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C:\001Xiaofeng\value-investment-backup\估值分析\SW1L港股\"/>
    </mc:Choice>
  </mc:AlternateContent>
  <bookViews>
    <workbookView xWindow="0" yWindow="0" windowWidth="3800" windowHeight="2960"/>
  </bookViews>
  <sheets>
    <sheet name="港股" sheetId="15" r:id="rId1"/>
    <sheet name="估值-增速与年化收益" sheetId="14" r:id="rId2"/>
  </sheets>
  <functionGroups builtInGroupCount="18"/>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5" i="14" l="1"/>
  <c r="C5" i="14" s="1"/>
  <c r="D5" i="14" s="1"/>
  <c r="E5" i="14" s="1"/>
  <c r="F5" i="14" s="1"/>
  <c r="G5" i="14" s="1"/>
  <c r="H5" i="14" s="1"/>
  <c r="I5" i="14" s="1"/>
  <c r="J5" i="14" s="1"/>
  <c r="K5" i="14" s="1"/>
  <c r="L5" i="14" s="1"/>
  <c r="M5" i="14" s="1"/>
  <c r="N5" i="14" s="1"/>
  <c r="O5" i="14" s="1"/>
  <c r="P5" i="14" s="1"/>
  <c r="Q5" i="14" s="1"/>
  <c r="R5" i="14" s="1"/>
  <c r="S5" i="14" s="1"/>
  <c r="T5" i="14" s="1"/>
  <c r="U5" i="14" s="1"/>
  <c r="V5" i="14" s="1"/>
  <c r="W5" i="14" s="1"/>
  <c r="X5" i="14" s="1"/>
  <c r="Y5" i="14" s="1"/>
  <c r="Z5" i="14" s="1"/>
  <c r="AA5" i="14" s="1"/>
  <c r="AB5" i="14" s="1"/>
  <c r="AC5" i="14" s="1"/>
  <c r="AD5" i="14" s="1"/>
  <c r="B1" i="14"/>
  <c r="C1" i="14" s="1"/>
  <c r="D1" i="14" s="1"/>
  <c r="E1" i="14" s="1"/>
  <c r="F1" i="14" s="1"/>
  <c r="G1" i="14" s="1"/>
  <c r="H1" i="14" s="1"/>
  <c r="I1" i="14" s="1"/>
  <c r="J1" i="14" s="1"/>
  <c r="K1" i="14" s="1"/>
  <c r="L1" i="14" s="1"/>
  <c r="M1" i="14" s="1"/>
  <c r="N1" i="14" s="1"/>
  <c r="O1" i="14" s="1"/>
  <c r="P1" i="14" s="1"/>
  <c r="Q1" i="14" s="1"/>
  <c r="R1" i="14" s="1"/>
  <c r="S1" i="14" s="1"/>
  <c r="T1" i="14" s="1"/>
  <c r="U1" i="14" s="1"/>
  <c r="V1" i="14" s="1"/>
  <c r="W1" i="14" s="1"/>
  <c r="X1" i="14" s="1"/>
  <c r="Y1" i="14" s="1"/>
  <c r="Z1" i="14" s="1"/>
  <c r="AA1" i="14" s="1"/>
  <c r="AB1" i="14" s="1"/>
  <c r="AC1" i="14" s="1"/>
  <c r="AD1" i="14" s="1"/>
  <c r="C112" i="15"/>
  <c r="C239" i="15"/>
  <c r="C238" i="15"/>
  <c r="C256" i="15"/>
  <c r="C252" i="15"/>
  <c r="C270" i="15"/>
  <c r="C304" i="15"/>
  <c r="C313" i="15"/>
  <c r="C317" i="15"/>
  <c r="C329" i="15"/>
  <c r="C333" i="15"/>
  <c r="C343" i="15"/>
  <c r="C357" i="15"/>
  <c r="C386" i="15"/>
  <c r="C389" i="15"/>
  <c r="C392" i="15"/>
  <c r="C391" i="15"/>
  <c r="C405" i="15"/>
  <c r="C409" i="15"/>
  <c r="C486" i="15"/>
  <c r="C488" i="15"/>
  <c r="C489" i="15"/>
  <c r="C509" i="15"/>
  <c r="C519" i="15"/>
  <c r="C517" i="15"/>
  <c r="C516" i="15"/>
  <c r="C532" i="15"/>
  <c r="C530" i="15"/>
  <c r="C529" i="15"/>
  <c r="C512" i="15"/>
  <c r="C406" i="15"/>
  <c r="C432" i="15"/>
  <c r="C513" i="15"/>
  <c r="C511" i="15"/>
  <c r="C397" i="15"/>
  <c r="C508" i="15"/>
  <c r="C435" i="15"/>
  <c r="C421" i="15"/>
  <c r="C206" i="15"/>
  <c r="C171" i="15"/>
  <c r="C157" i="15"/>
  <c r="C88" i="15"/>
  <c r="C450" i="15"/>
  <c r="C235" i="15"/>
  <c r="C231" i="15"/>
  <c r="C540" i="15"/>
  <c r="C526" i="15"/>
  <c r="C344" i="15"/>
  <c r="C318" i="15"/>
  <c r="C314" i="15"/>
  <c r="C348" i="15"/>
  <c r="C135" i="15"/>
  <c r="C56" i="15"/>
  <c r="C211" i="15"/>
  <c r="C498" i="15"/>
  <c r="C257" i="15"/>
  <c r="C35" i="15"/>
  <c r="C120" i="15"/>
  <c r="C367" i="15"/>
  <c r="C295" i="15"/>
  <c r="C302" i="15"/>
  <c r="C294" i="15"/>
  <c r="C543" i="15"/>
  <c r="C494" i="15"/>
  <c r="C387" i="15"/>
  <c r="C173" i="15"/>
  <c r="C55" i="15"/>
  <c r="C41" i="15"/>
  <c r="C499" i="15"/>
  <c r="C474" i="15"/>
  <c r="C175" i="15"/>
  <c r="C518" i="15"/>
  <c r="C402" i="15"/>
  <c r="C335" i="15"/>
  <c r="C298" i="15"/>
  <c r="C20" i="15"/>
  <c r="C30" i="15"/>
  <c r="C497" i="15"/>
  <c r="C448" i="15"/>
  <c r="C278" i="15"/>
  <c r="C195" i="15"/>
  <c r="C199" i="15"/>
  <c r="C354" i="15"/>
  <c r="C208" i="15"/>
  <c r="C90" i="15"/>
  <c r="C271" i="15"/>
  <c r="C319" i="15"/>
  <c r="C63" i="15"/>
  <c r="C340" i="15"/>
  <c r="C364" i="15"/>
  <c r="C39" i="15"/>
  <c r="C376" i="15"/>
  <c r="C73" i="15"/>
  <c r="C480" i="15"/>
  <c r="C70" i="15"/>
  <c r="C189" i="15"/>
  <c r="C428" i="15"/>
  <c r="C324" i="15"/>
  <c r="C102" i="15"/>
  <c r="C326" i="15"/>
  <c r="C440" i="15"/>
  <c r="C420" i="15"/>
  <c r="C525" i="15"/>
  <c r="C162" i="15"/>
  <c r="C109" i="15"/>
  <c r="C275" i="15"/>
  <c r="C481" i="15"/>
  <c r="C176" i="15"/>
  <c r="C403" i="15"/>
  <c r="C106" i="15"/>
  <c r="C205" i="15"/>
  <c r="C104" i="15"/>
  <c r="C504" i="15"/>
  <c r="C76" i="15"/>
  <c r="C23" i="15"/>
  <c r="C398" i="15"/>
  <c r="C203" i="15"/>
  <c r="C174" i="15"/>
  <c r="C133" i="15"/>
  <c r="C429" i="15"/>
  <c r="C531" i="15"/>
  <c r="C183" i="15"/>
  <c r="C155" i="15"/>
  <c r="C113" i="15"/>
  <c r="C242" i="15"/>
  <c r="C229" i="15"/>
  <c r="C22" i="15"/>
  <c r="C79" i="15"/>
  <c r="C547" i="15"/>
  <c r="C524" i="15"/>
  <c r="C263" i="15"/>
  <c r="C51" i="15"/>
  <c r="C47" i="15"/>
  <c r="C187" i="15"/>
  <c r="C346" i="15"/>
  <c r="C332" i="15"/>
  <c r="C156" i="15"/>
  <c r="C126" i="15"/>
  <c r="C125" i="15"/>
  <c r="C31" i="15"/>
  <c r="C40" i="15"/>
  <c r="C378" i="15"/>
  <c r="C168" i="15"/>
  <c r="C71" i="15"/>
  <c r="C425" i="15"/>
  <c r="C105" i="15"/>
  <c r="C452" i="15"/>
  <c r="C181" i="15"/>
  <c r="C99" i="15"/>
  <c r="C394" i="15"/>
  <c r="C460" i="15"/>
  <c r="C49" i="15"/>
  <c r="C210" i="15"/>
  <c r="C198" i="15"/>
  <c r="C541" i="15"/>
  <c r="C501" i="15"/>
  <c r="C485" i="15"/>
  <c r="C309" i="15"/>
  <c r="C375" i="15"/>
  <c r="C410" i="15"/>
  <c r="C148" i="15"/>
  <c r="C495" i="15"/>
  <c r="C484" i="15"/>
  <c r="C462" i="15"/>
  <c r="C456" i="15"/>
  <c r="C491" i="15"/>
  <c r="C92" i="15"/>
  <c r="C95" i="15"/>
  <c r="C331" i="15"/>
  <c r="C121" i="15"/>
  <c r="C24" i="15"/>
  <c r="C446" i="15"/>
  <c r="C465" i="15"/>
  <c r="C132" i="15"/>
  <c r="C461" i="15"/>
  <c r="C108" i="15"/>
  <c r="C260" i="15"/>
  <c r="C449" i="15"/>
  <c r="C233" i="15"/>
  <c r="C533" i="15"/>
  <c r="C299" i="15"/>
  <c r="C251" i="15"/>
  <c r="C167" i="15"/>
  <c r="C103" i="15"/>
  <c r="C443" i="15"/>
  <c r="C250" i="15"/>
  <c r="C218" i="15"/>
  <c r="C45" i="15"/>
  <c r="C54" i="15"/>
  <c r="C232" i="15"/>
  <c r="C227" i="15"/>
  <c r="C339" i="15"/>
  <c r="C62" i="15"/>
  <c r="C164" i="15"/>
  <c r="C96" i="15"/>
  <c r="C25" i="15"/>
  <c r="C308" i="15"/>
  <c r="C467" i="15"/>
  <c r="C216" i="15"/>
  <c r="C32" i="15"/>
  <c r="C284" i="15"/>
  <c r="C268" i="15"/>
  <c r="C21" i="15"/>
  <c r="C116" i="15"/>
  <c r="C281" i="15"/>
  <c r="C334" i="15"/>
  <c r="C214" i="15"/>
  <c r="C93" i="15"/>
  <c r="C500" i="15"/>
  <c r="C365" i="15"/>
  <c r="C81" i="15"/>
  <c r="C142" i="15"/>
  <c r="C118" i="15"/>
  <c r="C493" i="15"/>
  <c r="C44" i="15"/>
  <c r="C247" i="15"/>
  <c r="C188" i="15"/>
  <c r="C200" i="15"/>
  <c r="C523" i="15"/>
  <c r="C34" i="15"/>
  <c r="C219" i="15"/>
  <c r="C400" i="15"/>
  <c r="C546" i="15"/>
  <c r="C111" i="15"/>
  <c r="C414" i="15"/>
  <c r="C285" i="15"/>
  <c r="C328" i="15"/>
  <c r="C515" i="15"/>
  <c r="C442" i="15"/>
  <c r="C514" i="15"/>
  <c r="C65" i="15"/>
  <c r="C286" i="15"/>
  <c r="C356" i="15"/>
  <c r="C534" i="15"/>
  <c r="C191" i="15"/>
  <c r="C60" i="15"/>
  <c r="C383" i="15"/>
  <c r="C407" i="15"/>
  <c r="C468" i="15"/>
  <c r="C194" i="15"/>
  <c r="C527" i="15"/>
  <c r="C58" i="15"/>
  <c r="C43" i="15"/>
  <c r="C315" i="15"/>
  <c r="C549" i="15"/>
  <c r="C539" i="15"/>
  <c r="C355" i="15"/>
  <c r="C330" i="15"/>
  <c r="C152" i="15"/>
  <c r="C163" i="15"/>
  <c r="C201" i="15"/>
  <c r="C381" i="15"/>
  <c r="C158" i="15"/>
  <c r="C146" i="15"/>
  <c r="C64" i="15"/>
  <c r="C545" i="15"/>
  <c r="C83" i="15"/>
  <c r="C510" i="15"/>
  <c r="C476" i="15"/>
  <c r="C419" i="15"/>
  <c r="C145" i="15"/>
  <c r="C291" i="15"/>
  <c r="C374" i="15"/>
  <c r="C454" i="15"/>
  <c r="C321" i="15"/>
  <c r="C265" i="15"/>
  <c r="C110" i="15"/>
  <c r="C522" i="15"/>
  <c r="C153" i="15"/>
  <c r="C86" i="15"/>
  <c r="C303" i="15"/>
  <c r="C520" i="15"/>
  <c r="C373" i="15"/>
  <c r="C347" i="15"/>
  <c r="C311" i="15"/>
  <c r="C297" i="15"/>
  <c r="C122" i="15"/>
  <c r="C77" i="15"/>
  <c r="C190" i="15"/>
  <c r="C186" i="15"/>
  <c r="C149" i="15"/>
  <c r="C33" i="15"/>
  <c r="C475" i="15"/>
  <c r="C296" i="15"/>
  <c r="C274" i="15"/>
  <c r="C269" i="15"/>
  <c r="C300" i="15"/>
  <c r="C221" i="15"/>
  <c r="C368" i="15"/>
  <c r="C100" i="15"/>
  <c r="C537" i="15"/>
  <c r="C61" i="15"/>
  <c r="C408" i="15"/>
  <c r="C277" i="15"/>
  <c r="C170" i="15"/>
  <c r="C483" i="15"/>
  <c r="C223" i="15"/>
  <c r="C325" i="15"/>
  <c r="C413" i="15"/>
  <c r="C127" i="15"/>
  <c r="C75" i="15"/>
  <c r="C28" i="15"/>
  <c r="C451" i="15"/>
  <c r="C327" i="15"/>
  <c r="C68" i="15"/>
  <c r="C107" i="15"/>
  <c r="C141" i="15"/>
  <c r="C380" i="15"/>
  <c r="C307" i="15"/>
  <c r="C185" i="15"/>
  <c r="C548" i="15"/>
  <c r="C52" i="15"/>
  <c r="C282" i="15"/>
  <c r="C130" i="15"/>
  <c r="C436" i="15"/>
  <c r="C384" i="15"/>
  <c r="C261" i="15"/>
  <c r="C349" i="15"/>
  <c r="C377" i="15"/>
  <c r="C165" i="15"/>
  <c r="C433" i="15"/>
  <c r="C379" i="15"/>
  <c r="C180" i="15"/>
  <c r="C197" i="15"/>
  <c r="C363" i="15"/>
  <c r="C427" i="15"/>
  <c r="C312" i="15"/>
  <c r="C225" i="15"/>
  <c r="C336" i="15"/>
  <c r="C459" i="15"/>
  <c r="C138" i="15"/>
  <c r="C441" i="15"/>
  <c r="C228" i="15"/>
  <c r="C401" i="15"/>
  <c r="C463" i="15"/>
  <c r="C48" i="15"/>
  <c r="C438" i="15"/>
  <c r="C361" i="15"/>
  <c r="C290" i="15"/>
  <c r="C457" i="15"/>
  <c r="C94" i="15"/>
  <c r="C184" i="15"/>
  <c r="C301" i="15"/>
  <c r="C418" i="15"/>
  <c r="C272" i="15"/>
  <c r="C341" i="15"/>
  <c r="C29" i="15"/>
  <c r="C114" i="15"/>
  <c r="C264" i="15"/>
  <c r="C85" i="15"/>
  <c r="C471" i="15"/>
  <c r="C136" i="15"/>
  <c r="C89" i="15"/>
  <c r="C178" i="15"/>
  <c r="C350" i="15"/>
  <c r="C236" i="15"/>
  <c r="C215" i="15"/>
  <c r="C503" i="15"/>
  <c r="C469" i="15"/>
  <c r="C464" i="15"/>
  <c r="C502" i="15"/>
  <c r="C150" i="15"/>
  <c r="C283" i="15"/>
  <c r="C169" i="15"/>
  <c r="C455" i="15"/>
  <c r="C507" i="15"/>
  <c r="C288" i="15"/>
  <c r="C478" i="15"/>
  <c r="C26" i="15"/>
  <c r="C159" i="15"/>
  <c r="C213" i="15"/>
  <c r="C487" i="15"/>
  <c r="C84" i="15"/>
  <c r="C202" i="15"/>
  <c r="C101" i="15"/>
  <c r="C337" i="15"/>
  <c r="C362" i="15"/>
  <c r="C366" i="15"/>
  <c r="C241" i="15"/>
  <c r="C36" i="15"/>
  <c r="C293" i="15"/>
  <c r="C399" i="15"/>
  <c r="C144" i="15"/>
  <c r="C196" i="15"/>
  <c r="C226" i="15"/>
  <c r="C267" i="15"/>
  <c r="C273" i="15"/>
  <c r="C166" i="15"/>
  <c r="C124" i="15"/>
  <c r="C544" i="15"/>
  <c r="C287" i="15"/>
  <c r="C466" i="15"/>
  <c r="C445" i="15"/>
  <c r="C72" i="15"/>
  <c r="C220" i="15"/>
  <c r="C139" i="15"/>
  <c r="C477" i="15"/>
  <c r="C320" i="15"/>
  <c r="C416" i="15"/>
  <c r="C140" i="15"/>
  <c r="C38" i="15"/>
  <c r="C473" i="15"/>
  <c r="C97" i="15"/>
  <c r="C353" i="15"/>
  <c r="C411" i="15"/>
  <c r="C172" i="15"/>
  <c r="C209" i="15"/>
  <c r="C161" i="15"/>
  <c r="C306" i="15"/>
  <c r="C360" i="15"/>
  <c r="C82" i="15"/>
  <c r="C117" i="15"/>
  <c r="C388" i="15"/>
  <c r="C521" i="15"/>
  <c r="C243" i="15"/>
  <c r="C439" i="15"/>
  <c r="C390" i="15"/>
  <c r="C444" i="15"/>
  <c r="C292" i="15"/>
  <c r="C395" i="15"/>
  <c r="C262" i="15"/>
  <c r="C143" i="15"/>
  <c r="C385" i="15"/>
  <c r="C482" i="15"/>
  <c r="C479" i="15"/>
  <c r="C370" i="15"/>
  <c r="C46" i="15"/>
  <c r="C396" i="15"/>
  <c r="C305" i="15"/>
  <c r="C129" i="15"/>
  <c r="C437" i="15"/>
  <c r="C289" i="15"/>
  <c r="C230" i="15"/>
  <c r="C192" i="15"/>
  <c r="C369" i="15"/>
  <c r="C505" i="15"/>
  <c r="C345" i="15"/>
  <c r="C322" i="15"/>
  <c r="C50" i="15"/>
  <c r="C371" i="15"/>
  <c r="C528" i="15"/>
  <c r="C182" i="15"/>
  <c r="C536" i="15"/>
  <c r="C78" i="15"/>
  <c r="C359" i="15"/>
  <c r="C254" i="15"/>
  <c r="C276" i="15"/>
  <c r="C351" i="15"/>
  <c r="C179" i="15"/>
  <c r="C69" i="15"/>
  <c r="C131" i="15"/>
  <c r="C453" i="15"/>
  <c r="C496" i="15"/>
  <c r="C472" i="15"/>
  <c r="C310" i="15"/>
  <c r="C415" i="15"/>
  <c r="C91" i="15"/>
  <c r="C222" i="15"/>
  <c r="C255" i="15"/>
  <c r="C338" i="15"/>
  <c r="C115" i="15"/>
  <c r="C382" i="15"/>
  <c r="C259" i="15"/>
  <c r="C316" i="15"/>
  <c r="C237" i="15"/>
  <c r="C177" i="15"/>
  <c r="C240" i="15"/>
  <c r="C119" i="15"/>
  <c r="C258" i="15"/>
  <c r="C358" i="15"/>
  <c r="C426" i="15"/>
  <c r="C542" i="15"/>
  <c r="C42" i="15"/>
  <c r="C134" i="15"/>
  <c r="C246" i="15"/>
  <c r="C248" i="15"/>
  <c r="C66" i="15"/>
  <c r="C207" i="15"/>
  <c r="C431" i="15"/>
  <c r="C434" i="15"/>
  <c r="C249" i="15"/>
  <c r="C424" i="15"/>
  <c r="C266" i="15"/>
  <c r="C430" i="15"/>
  <c r="C74" i="15"/>
  <c r="C280" i="15"/>
  <c r="C147" i="15"/>
  <c r="C279" i="15"/>
  <c r="C342" i="15"/>
  <c r="C490" i="15"/>
  <c r="C128" i="15"/>
  <c r="C470" i="15"/>
  <c r="C160" i="15"/>
  <c r="C412" i="15"/>
  <c r="C422" i="15"/>
  <c r="C538" i="15"/>
  <c r="C492" i="15"/>
  <c r="C458" i="15"/>
  <c r="C87" i="15"/>
  <c r="C53" i="15"/>
  <c r="C217" i="15"/>
  <c r="C447" i="15"/>
  <c r="C224" i="15"/>
  <c r="C352" i="15"/>
  <c r="C57" i="15"/>
  <c r="C323" i="15"/>
  <c r="C123" i="15"/>
  <c r="C393" i="15"/>
  <c r="C372" i="15"/>
  <c r="C98" i="15"/>
  <c r="C151" i="15"/>
  <c r="C253" i="15"/>
  <c r="C245" i="15"/>
  <c r="C59" i="15"/>
  <c r="C423" i="15"/>
  <c r="C67" i="15"/>
  <c r="C535" i="15"/>
  <c r="C404" i="15"/>
  <c r="C204" i="15"/>
  <c r="C234" i="15"/>
  <c r="C417" i="15"/>
  <c r="C212" i="15"/>
  <c r="C37" i="15"/>
  <c r="C506" i="15"/>
  <c r="C193" i="15"/>
  <c r="C244" i="15"/>
  <c r="C19" i="15"/>
  <c r="C18" i="15"/>
  <c r="C17" i="15"/>
  <c r="C16" i="15"/>
  <c r="C15" i="15"/>
  <c r="C14" i="15"/>
  <c r="C13" i="15"/>
  <c r="C12" i="15"/>
  <c r="C11" i="15"/>
  <c r="C10" i="15"/>
  <c r="C9" i="15"/>
  <c r="C8" i="15"/>
  <c r="C7" i="15"/>
  <c r="C6" i="15"/>
  <c r="C5" i="15"/>
  <c r="C4" i="15"/>
  <c r="C3" i="15"/>
  <c r="C2" i="15"/>
</calcChain>
</file>

<file path=xl/sharedStrings.xml><?xml version="1.0" encoding="utf-8"?>
<sst xmlns="http://schemas.openxmlformats.org/spreadsheetml/2006/main" count="33084" uniqueCount="12979">
  <si>
    <t>&lt;-增速</t>
    <phoneticPr fontId="1" type="noConversion"/>
  </si>
  <si>
    <t>&lt;-估值</t>
    <phoneticPr fontId="1" type="noConversion"/>
  </si>
  <si>
    <t>&lt;-折合年化收益</t>
    <phoneticPr fontId="1" type="noConversion"/>
  </si>
  <si>
    <t>现价</t>
  </si>
  <si>
    <t>市净率</t>
  </si>
  <si>
    <t>代码</t>
  </si>
  <si>
    <t>总市值</t>
  </si>
  <si>
    <t>TTM市盈率</t>
  </si>
  <si>
    <t>所属行业</t>
  </si>
  <si>
    <t>--</t>
  </si>
  <si>
    <t>预期多</t>
    <phoneticPr fontId="1" type="noConversion"/>
  </si>
  <si>
    <t>预期空</t>
    <phoneticPr fontId="1" type="noConversion"/>
  </si>
  <si>
    <t>已知和基本信息</t>
    <phoneticPr fontId="1" type="noConversion"/>
  </si>
  <si>
    <t>净利润增长率</t>
  </si>
  <si>
    <t>总股本</t>
  </si>
  <si>
    <t>1.88亿</t>
  </si>
  <si>
    <t>2.00亿</t>
  </si>
  <si>
    <t>0亿</t>
  </si>
  <si>
    <t>1.01亿</t>
  </si>
  <si>
    <t>3.16亿</t>
  </si>
  <si>
    <t>1.33亿</t>
  </si>
  <si>
    <t>4.85亿</t>
  </si>
  <si>
    <t>1.23亿</t>
  </si>
  <si>
    <t>1.71亿</t>
  </si>
  <si>
    <t>2.60亿</t>
  </si>
  <si>
    <t>3.34亿</t>
  </si>
  <si>
    <t>1.05亿</t>
  </si>
  <si>
    <t>1.37亿</t>
  </si>
  <si>
    <t>1.08亿</t>
  </si>
  <si>
    <t>流动资产</t>
  </si>
  <si>
    <t>1.22亿</t>
  </si>
  <si>
    <t>3.09亿</t>
  </si>
  <si>
    <t>3.00亿</t>
  </si>
  <si>
    <t>2.44亿</t>
  </si>
  <si>
    <t>2.49亿</t>
  </si>
  <si>
    <t>1.74亿</t>
  </si>
  <si>
    <t>4.72亿</t>
  </si>
  <si>
    <t>2.17亿</t>
  </si>
  <si>
    <t>1.03亿</t>
  </si>
  <si>
    <t>3.66亿</t>
  </si>
  <si>
    <t>27.67亿</t>
  </si>
  <si>
    <t>1.66亿</t>
  </si>
  <si>
    <t>2.52亿</t>
  </si>
  <si>
    <t>2.72亿</t>
  </si>
  <si>
    <t>3.20亿</t>
  </si>
  <si>
    <t>25.40亿</t>
  </si>
  <si>
    <t>15.53亿</t>
  </si>
  <si>
    <t>-1.97亿</t>
  </si>
  <si>
    <t>8.02亿</t>
  </si>
  <si>
    <t>3.46亿</t>
  </si>
  <si>
    <t>3.44亿</t>
  </si>
  <si>
    <t>N-1年营收增速</t>
  </si>
  <si>
    <t>N-2年营收增速</t>
  </si>
  <si>
    <t>N-3年营收增速</t>
  </si>
  <si>
    <t>N-4年营收增速</t>
  </si>
  <si>
    <t>N-5年营收增速</t>
  </si>
  <si>
    <t>N-1年利润增速</t>
  </si>
  <si>
    <t>N-2年利润增速</t>
  </si>
  <si>
    <t>N-3年利润增速</t>
  </si>
  <si>
    <t>N-4年利润增速</t>
  </si>
  <si>
    <t>N-5年利润增速</t>
  </si>
  <si>
    <t>20增速</t>
  </si>
  <si>
    <t>当期自由现金流估计值</t>
  </si>
  <si>
    <t>自由现金流估计增速</t>
  </si>
  <si>
    <t>1.36亿</t>
  </si>
  <si>
    <t>15.10亿</t>
  </si>
  <si>
    <t>3.58亿</t>
  </si>
  <si>
    <t>2.25亿</t>
  </si>
  <si>
    <t>1.95亿</t>
  </si>
  <si>
    <t>27.38亿</t>
  </si>
  <si>
    <t>1.04亿</t>
  </si>
  <si>
    <t>-1.29亿</t>
  </si>
  <si>
    <t>35.02亿</t>
  </si>
  <si>
    <t>2.48亿</t>
  </si>
  <si>
    <t>2.29亿</t>
  </si>
  <si>
    <t>4.46亿</t>
  </si>
  <si>
    <t>7.57亿</t>
  </si>
  <si>
    <t>13.00亿</t>
  </si>
  <si>
    <t>15.22亿</t>
  </si>
  <si>
    <t>11.99亿</t>
  </si>
  <si>
    <t>1.27亿</t>
  </si>
  <si>
    <t>-2.05亿</t>
  </si>
  <si>
    <t>1.20亿</t>
  </si>
  <si>
    <t>86.96亿</t>
  </si>
  <si>
    <t>3.77亿</t>
  </si>
  <si>
    <t>1.68亿</t>
  </si>
  <si>
    <t>4.58亿</t>
  </si>
  <si>
    <t>-12.68亿</t>
  </si>
  <si>
    <t>25.51亿</t>
  </si>
  <si>
    <t>1.10亿</t>
  </si>
  <si>
    <t>流通股本</t>
  </si>
  <si>
    <t>6.50亿</t>
  </si>
  <si>
    <t>16.49亿</t>
  </si>
  <si>
    <t>27.16亿</t>
  </si>
  <si>
    <t>2.66亿</t>
  </si>
  <si>
    <t>6.08亿</t>
  </si>
  <si>
    <t>10.28亿</t>
  </si>
  <si>
    <t>7.65亿</t>
  </si>
  <si>
    <t>1.40亿</t>
  </si>
  <si>
    <t>1.02亿</t>
  </si>
  <si>
    <t>37.26亿</t>
  </si>
  <si>
    <t>5.82亿</t>
  </si>
  <si>
    <t>3.73亿</t>
  </si>
  <si>
    <t>30.20亿</t>
  </si>
  <si>
    <t>净利润?</t>
  </si>
  <si>
    <t>单季营收增速</t>
  </si>
  <si>
    <t>单季利润增速</t>
  </si>
  <si>
    <t>1.16亿</t>
  </si>
  <si>
    <t>扭亏</t>
  </si>
  <si>
    <t>亏损</t>
  </si>
  <si>
    <t/>
  </si>
  <si>
    <t>12.77亿</t>
  </si>
  <si>
    <t>6.19亿</t>
  </si>
  <si>
    <t>8.57亿</t>
  </si>
  <si>
    <t>3.88亿</t>
  </si>
  <si>
    <t>1.24亿</t>
  </si>
  <si>
    <t>1.18亿</t>
  </si>
  <si>
    <t>1.77亿</t>
  </si>
  <si>
    <t>9.45亿</t>
  </si>
  <si>
    <t>13.70亿</t>
  </si>
  <si>
    <t>13.78亿</t>
  </si>
  <si>
    <t>1.57亿</t>
  </si>
  <si>
    <t>2.05亿</t>
  </si>
  <si>
    <t>1.30亿</t>
  </si>
  <si>
    <t>涨幅</t>
  </si>
  <si>
    <t>4.83亿</t>
  </si>
  <si>
    <t>3.68亿</t>
  </si>
  <si>
    <t>15.98亿</t>
  </si>
  <si>
    <t>7.34亿</t>
  </si>
  <si>
    <t>1.17亿</t>
  </si>
  <si>
    <t>2.11亿</t>
  </si>
  <si>
    <t>2.56亿</t>
  </si>
  <si>
    <t>5.70亿</t>
  </si>
  <si>
    <t>4.18亿</t>
  </si>
  <si>
    <t>2.12亿</t>
  </si>
  <si>
    <t>7.01亿</t>
  </si>
  <si>
    <t>10.79亿</t>
  </si>
  <si>
    <t>2.67亿</t>
  </si>
  <si>
    <t>3.24亿</t>
  </si>
  <si>
    <t>1.64亿</t>
  </si>
  <si>
    <t>1.79亿</t>
  </si>
  <si>
    <t>1.39亿</t>
  </si>
  <si>
    <t>1.78亿</t>
  </si>
  <si>
    <t>2.75亿</t>
  </si>
  <si>
    <t>3.07亿</t>
  </si>
  <si>
    <t>1.62亿</t>
  </si>
  <si>
    <t>29.68亿</t>
  </si>
  <si>
    <t>13.36亿</t>
  </si>
  <si>
    <t>1.50亿</t>
  </si>
  <si>
    <t>9.47亿</t>
  </si>
  <si>
    <t>4.90亿</t>
  </si>
  <si>
    <t>11.42亿</t>
  </si>
  <si>
    <t>3.74亿</t>
  </si>
  <si>
    <t>2.13亿</t>
  </si>
  <si>
    <t>46.91亿</t>
  </si>
  <si>
    <t>45.05亿</t>
  </si>
  <si>
    <t>4.62亿</t>
  </si>
  <si>
    <t>-3.59亿</t>
  </si>
  <si>
    <t>4.04亿</t>
  </si>
  <si>
    <t>28.53亿</t>
  </si>
  <si>
    <t>4.19亿</t>
  </si>
  <si>
    <t>3.70亿</t>
  </si>
  <si>
    <t>12.55亿</t>
  </si>
  <si>
    <t>-1.93亿</t>
  </si>
  <si>
    <t>6.67亿</t>
  </si>
  <si>
    <t>2.07亿</t>
  </si>
  <si>
    <t>34.17亿</t>
  </si>
  <si>
    <t>2.95亿</t>
  </si>
  <si>
    <t>8.82亿</t>
  </si>
  <si>
    <t>7.99亿</t>
  </si>
  <si>
    <t>13.58亿</t>
  </si>
  <si>
    <t>9.98亿</t>
  </si>
  <si>
    <t>3.59亿</t>
  </si>
  <si>
    <t>6.82亿</t>
  </si>
  <si>
    <t>8.38亿</t>
  </si>
  <si>
    <t>1.61亿</t>
  </si>
  <si>
    <t>7.98亿</t>
  </si>
  <si>
    <t>8.32亿</t>
  </si>
  <si>
    <t>1.44亿</t>
  </si>
  <si>
    <t>1.92亿</t>
  </si>
  <si>
    <t>4.28亿</t>
  </si>
  <si>
    <t>4.49亿</t>
  </si>
  <si>
    <t>1.34亿</t>
  </si>
  <si>
    <t>22.10亿</t>
  </si>
  <si>
    <t>7.50亿</t>
  </si>
  <si>
    <t>11.36亿</t>
  </si>
  <si>
    <t>3.63亿</t>
  </si>
  <si>
    <t>17.33亿</t>
  </si>
  <si>
    <t>3.86亿</t>
  </si>
  <si>
    <t>5.19亿</t>
  </si>
  <si>
    <t>4.63亿</t>
  </si>
  <si>
    <t>11.84亿</t>
  </si>
  <si>
    <t>7.95亿</t>
  </si>
  <si>
    <t>5.80亿</t>
  </si>
  <si>
    <t>5.39亿</t>
  </si>
  <si>
    <t>7.06亿</t>
  </si>
  <si>
    <t>46.36亿</t>
  </si>
  <si>
    <t>27.56亿</t>
  </si>
  <si>
    <t>16.52亿</t>
  </si>
  <si>
    <t>4.21亿</t>
  </si>
  <si>
    <t>20.48亿</t>
  </si>
  <si>
    <t>3.96亿</t>
  </si>
  <si>
    <t>1.72亿</t>
  </si>
  <si>
    <t>9.03亿</t>
  </si>
  <si>
    <t>8.06亿</t>
  </si>
  <si>
    <t>1.67亿</t>
  </si>
  <si>
    <t>2.58亿</t>
  </si>
  <si>
    <t>21.54亿</t>
  </si>
  <si>
    <t>18.09亿</t>
  </si>
  <si>
    <t>8.45亿</t>
  </si>
  <si>
    <t>2.82亿</t>
  </si>
  <si>
    <t>10.34亿</t>
  </si>
  <si>
    <t>1.15亿</t>
  </si>
  <si>
    <t>3.10亿</t>
  </si>
  <si>
    <t>2.86亿</t>
  </si>
  <si>
    <t>3.75亿</t>
  </si>
  <si>
    <t>10.67亿</t>
  </si>
  <si>
    <t>2.88亿</t>
  </si>
  <si>
    <t>5.33亿</t>
  </si>
  <si>
    <t>1.25亿</t>
  </si>
  <si>
    <t>-1.47亿</t>
  </si>
  <si>
    <t>9.22亿</t>
  </si>
  <si>
    <t>14.60亿</t>
  </si>
  <si>
    <t>7.61亿</t>
  </si>
  <si>
    <t>29.01亿</t>
  </si>
  <si>
    <t>47.33亿</t>
  </si>
  <si>
    <t>7.04亿</t>
  </si>
  <si>
    <t>5.76亿</t>
  </si>
  <si>
    <t>13.46亿</t>
  </si>
  <si>
    <t>10.35亿</t>
  </si>
  <si>
    <t>3.60亿</t>
  </si>
  <si>
    <t>22.06亿</t>
  </si>
  <si>
    <t>5.46亿</t>
  </si>
  <si>
    <t>7.77亿</t>
  </si>
  <si>
    <t>1.56亿</t>
  </si>
  <si>
    <t>12.51亿</t>
  </si>
  <si>
    <t>2.38亿</t>
  </si>
  <si>
    <t>1.06亿</t>
  </si>
  <si>
    <t>27.47亿</t>
  </si>
  <si>
    <t>1.35亿</t>
  </si>
  <si>
    <t>1.98亿</t>
  </si>
  <si>
    <t>2.46亿</t>
  </si>
  <si>
    <t>2.76亿</t>
  </si>
  <si>
    <t>1.97亿</t>
  </si>
  <si>
    <t>3.87亿</t>
  </si>
  <si>
    <t>4.60亿</t>
  </si>
  <si>
    <t>2.87亿</t>
  </si>
  <si>
    <t>3.83亿</t>
  </si>
  <si>
    <t>18.63亿</t>
  </si>
  <si>
    <t>1.90亿</t>
  </si>
  <si>
    <t>21.06亿</t>
  </si>
  <si>
    <t>2.85亿</t>
  </si>
  <si>
    <t>5.55亿</t>
  </si>
  <si>
    <t>2.23亿</t>
  </si>
  <si>
    <t>1.49亿</t>
  </si>
  <si>
    <t xml:space="preserve">名称    </t>
  </si>
  <si>
    <t>港股@成交量[20230609]</t>
  </si>
  <si>
    <t>港股@负债合计[20230331]</t>
  </si>
  <si>
    <t>港股@权益合计[20230331]</t>
  </si>
  <si>
    <t>港股@营业收入[20230331]</t>
  </si>
  <si>
    <t>港股@营业收入(同比增长率)%[20230331]</t>
  </si>
  <si>
    <t>LYear港股@营业收入[20221231]</t>
  </si>
  <si>
    <t>LYear港股@归属于母公司所有者的净利润[20221231]</t>
  </si>
  <si>
    <t>港股@权益乘数[20230331]</t>
  </si>
  <si>
    <t>港股@总资产周转率[20230331]</t>
  </si>
  <si>
    <t>港股@营业利润率%[20230331]</t>
  </si>
  <si>
    <t>港股@毛利[20230331]</t>
  </si>
  <si>
    <t>港股@营业成本[20230331]</t>
  </si>
  <si>
    <t>港股@销售费用[20230331]</t>
  </si>
  <si>
    <t>港股@管理费用[20230331]</t>
  </si>
  <si>
    <t>港股@研发费用总额[20221231]</t>
  </si>
  <si>
    <t>港股@财务费用[20230331]</t>
  </si>
  <si>
    <t>港股@投资收入[20230331]</t>
  </si>
  <si>
    <t>港股@营业外收入[20230331]</t>
  </si>
  <si>
    <t>利润总额</t>
  </si>
  <si>
    <t>港股@现金及现金等价物[20230331]</t>
  </si>
  <si>
    <t>港股@应收账款[20230331]</t>
  </si>
  <si>
    <t>资产总计</t>
  </si>
  <si>
    <t>港股@固定资产[20230331]</t>
  </si>
  <si>
    <t>资产负债比率</t>
  </si>
  <si>
    <t>港股@短期借款[20230331]</t>
  </si>
  <si>
    <t>港股@应付账款[20221231]</t>
  </si>
  <si>
    <t>港股@应付账款[20230331]</t>
  </si>
  <si>
    <t>港股@流动负债合计[20221231]</t>
  </si>
  <si>
    <t>港股@流动负债合计[20230331]</t>
  </si>
  <si>
    <t>港股@长期借款[20230331]</t>
  </si>
  <si>
    <t>港股@经营活动产生的现金流量净额[20221231]</t>
  </si>
  <si>
    <t>港股@投资活动产生的现金流量净额[20221231]</t>
  </si>
  <si>
    <t>港股@投资活动产生的现金流量净额[20230331]</t>
  </si>
  <si>
    <t>港股@营业收入[20211231]</t>
  </si>
  <si>
    <t>港股@营业收入[20201231]</t>
  </si>
  <si>
    <t>港股@营业收入[20191231]</t>
  </si>
  <si>
    <t>港股@营业收入[20181231]</t>
  </si>
  <si>
    <t>港股@营业收入[20171231]</t>
  </si>
  <si>
    <t>港股@归属于母公司所有者的净利润[20211231]</t>
  </si>
  <si>
    <t>港股@归属于母公司所有者的净利润[20201231]</t>
  </si>
  <si>
    <t>港股@归属于母公司所有者的净利润[20191231]</t>
  </si>
  <si>
    <t>港股@归属于母公司所有者的净利润[20181231]</t>
  </si>
  <si>
    <t>港股@归属于母公司所有者的净利润[20171231]</t>
  </si>
  <si>
    <t>CYLQ港股@营业收入[20221231]</t>
  </si>
  <si>
    <t>LYCQ港股@营业收入[20220331]</t>
  </si>
  <si>
    <t>LYLQ港股@营业收入[20211231]</t>
  </si>
  <si>
    <t>CYLQ港股@归属于母公司所有者的净利润[20221231]</t>
  </si>
  <si>
    <t>LYCQ港股@归属于母公司所有者的净利润[20220331]</t>
  </si>
  <si>
    <t>LYLQ港股@归属于母公司所有者的净利润[20211231]</t>
  </si>
  <si>
    <t>港股@投入资本回报率%[20221231]</t>
  </si>
  <si>
    <t>港股@投入资本回报率%[20211231]</t>
  </si>
  <si>
    <t>港股@投入资本回报率%[20201231]</t>
  </si>
  <si>
    <t>港股@净资产收益率roe%[20221231]</t>
  </si>
  <si>
    <t>港股@净资产收益率roe%[20211231]</t>
  </si>
  <si>
    <t>港股@净资产收益率roe%[20201231]</t>
  </si>
  <si>
    <t>港股@历史分红总额</t>
  </si>
  <si>
    <t>港股@所属恒生行业(二级)</t>
  </si>
  <si>
    <t>港股@销售毛利率%[20221231]</t>
  </si>
  <si>
    <t>港股@销售毛利率%[20211231]</t>
  </si>
  <si>
    <t>港股@销售毛利率%[20201231]</t>
  </si>
  <si>
    <t>港股@销售净利率%[20221231]</t>
  </si>
  <si>
    <t>港股@销售净利率%[20211231]</t>
  </si>
  <si>
    <t>港股@销售净利率%[20201231]</t>
  </si>
  <si>
    <t>港股@区间涨跌幅:前复权%[20230605-20230609]</t>
  </si>
  <si>
    <t>港股@区间涨跌幅:前复权%[20230427-20230609]</t>
  </si>
  <si>
    <t>港股@区间成交量[20230605-20230609]</t>
  </si>
  <si>
    <t>港股@区间成交量[20230427-20230609]</t>
  </si>
  <si>
    <t>6年PE</t>
  </si>
  <si>
    <t>5年营收增速PEG</t>
  </si>
  <si>
    <t>股利率</t>
  </si>
  <si>
    <t>过往营收增速均值</t>
  </si>
  <si>
    <t>过往利润增速均值</t>
  </si>
  <si>
    <t>折现率</t>
  </si>
  <si>
    <t>1年自由现金流折现</t>
  </si>
  <si>
    <t>1增速</t>
  </si>
  <si>
    <t>3年自由现金流折现</t>
  </si>
  <si>
    <t>3增速</t>
  </si>
  <si>
    <t>6年自由现金流折现</t>
  </si>
  <si>
    <t>6增速</t>
  </si>
  <si>
    <t>10年自由现金流折现</t>
  </si>
  <si>
    <t>10增速</t>
  </si>
  <si>
    <t>20年自由现金流折现</t>
  </si>
  <si>
    <t>承担负债现期溢价</t>
  </si>
  <si>
    <t>清算价格</t>
  </si>
  <si>
    <t>原始顺序</t>
  </si>
  <si>
    <t>策略1营收单季最佳增速</t>
  </si>
  <si>
    <t>策略1利润单季最佳增速</t>
  </si>
  <si>
    <t>营收成长策略</t>
  </si>
  <si>
    <t>利润成长策略</t>
  </si>
  <si>
    <t>营收和利润加权</t>
  </si>
  <si>
    <t>价格变动策略</t>
  </si>
  <si>
    <t>成交量综合策略</t>
  </si>
  <si>
    <t>量价齐升策略</t>
  </si>
  <si>
    <t>基本面排序</t>
  </si>
  <si>
    <t>综合策略</t>
  </si>
  <si>
    <t>机会区域号</t>
  </si>
  <si>
    <t>5日成交换手率</t>
  </si>
  <si>
    <t>30日成交换手率</t>
  </si>
  <si>
    <t>昨日价格累计指数</t>
  </si>
  <si>
    <t>今日价格累积指数</t>
  </si>
  <si>
    <t>成交量异动策略</t>
  </si>
  <si>
    <t>价格箱体形态过滤</t>
  </si>
  <si>
    <t>价格右侧初期策略</t>
  </si>
  <si>
    <t>N日期</t>
  </si>
  <si>
    <t>N-4</t>
  </si>
  <si>
    <t>N-3</t>
  </si>
  <si>
    <t>N-2</t>
  </si>
  <si>
    <t>N-1</t>
  </si>
  <si>
    <t>N</t>
  </si>
  <si>
    <t>长和</t>
  </si>
  <si>
    <t>2624.97亿</t>
  </si>
  <si>
    <t>366.80亿</t>
  </si>
  <si>
    <t>2808.47亿</t>
  </si>
  <si>
    <t>2663.96亿</t>
  </si>
  <si>
    <t>2771.29亿</t>
  </si>
  <si>
    <t>2485.15亿</t>
  </si>
  <si>
    <t>334.84亿</t>
  </si>
  <si>
    <t>291.43亿</t>
  </si>
  <si>
    <t>398.30亿</t>
  </si>
  <si>
    <t>390.00亿</t>
  </si>
  <si>
    <t>351.00亿</t>
  </si>
  <si>
    <t>综合企业</t>
  </si>
  <si>
    <t>1.32亿</t>
  </si>
  <si>
    <t>中电控股</t>
  </si>
  <si>
    <t>1006.62亿</t>
  </si>
  <si>
    <t>9.24亿</t>
  </si>
  <si>
    <t>127.34亿</t>
  </si>
  <si>
    <t>839.59亿</t>
  </si>
  <si>
    <t>795.90亿</t>
  </si>
  <si>
    <t>914.25亿</t>
  </si>
  <si>
    <t>920.73亿</t>
  </si>
  <si>
    <t>84.91亿</t>
  </si>
  <si>
    <t>114.56亿</t>
  </si>
  <si>
    <t>46.57亿</t>
  </si>
  <si>
    <t>135.50亿</t>
  </si>
  <si>
    <t>142.49亿</t>
  </si>
  <si>
    <t>公用事业</t>
  </si>
  <si>
    <t>香港中华煤气</t>
  </si>
  <si>
    <t>609.53亿</t>
  </si>
  <si>
    <t>52.48亿</t>
  </si>
  <si>
    <t>42.73亿</t>
  </si>
  <si>
    <t>535.64亿</t>
  </si>
  <si>
    <t>409.27亿</t>
  </si>
  <si>
    <t>390.73亿</t>
  </si>
  <si>
    <t>324.76亿</t>
  </si>
  <si>
    <t>50.17亿</t>
  </si>
  <si>
    <t>60.07亿</t>
  </si>
  <si>
    <t>69.66亿</t>
  </si>
  <si>
    <t>93.13亿</t>
  </si>
  <si>
    <t>82.25亿</t>
  </si>
  <si>
    <t>5.03亿</t>
  </si>
  <si>
    <t>7.93亿</t>
  </si>
  <si>
    <t>33.86亿</t>
  </si>
  <si>
    <t>66.23亿</t>
  </si>
  <si>
    <t>地产</t>
  </si>
  <si>
    <t>汇丰控股</t>
  </si>
  <si>
    <t>1157.30亿</t>
  </si>
  <si>
    <t>4839.50亿</t>
  </si>
  <si>
    <t>4964.33亿</t>
  </si>
  <si>
    <t>4885.31亿</t>
  </si>
  <si>
    <t>983.09亿</t>
  </si>
  <si>
    <t>302.21亿</t>
  </si>
  <si>
    <t>464.81亿</t>
  </si>
  <si>
    <t>987.71亿</t>
  </si>
  <si>
    <t>756.63亿</t>
  </si>
  <si>
    <t>960.24亿</t>
  </si>
  <si>
    <t>银行</t>
  </si>
  <si>
    <t>电能实业</t>
  </si>
  <si>
    <t>12.65亿</t>
  </si>
  <si>
    <t>56.49亿</t>
  </si>
  <si>
    <t>39.15亿</t>
  </si>
  <si>
    <t>7.72亿</t>
  </si>
  <si>
    <t>12.76亿</t>
  </si>
  <si>
    <t>12.70亿</t>
  </si>
  <si>
    <t>15.55亿</t>
  </si>
  <si>
    <t>14.20亿</t>
  </si>
  <si>
    <t>61.40亿</t>
  </si>
  <si>
    <t>61.32亿</t>
  </si>
  <si>
    <t>71.31亿</t>
  </si>
  <si>
    <t>76.36亿</t>
  </si>
  <si>
    <t>83.19亿</t>
  </si>
  <si>
    <t>电讯盈科</t>
  </si>
  <si>
    <t>384.26亿</t>
  </si>
  <si>
    <t>1.58亿</t>
  </si>
  <si>
    <t>410.01亿</t>
  </si>
  <si>
    <t>384.78亿</t>
  </si>
  <si>
    <t>388.50亿</t>
  </si>
  <si>
    <t>368.32亿</t>
  </si>
  <si>
    <t>10.39亿</t>
  </si>
  <si>
    <t>-10.20亿</t>
  </si>
  <si>
    <t>6.81亿</t>
  </si>
  <si>
    <t>8.97亿</t>
  </si>
  <si>
    <t>20.38亿</t>
  </si>
  <si>
    <t>电讯</t>
  </si>
  <si>
    <t>1.63亿</t>
  </si>
  <si>
    <t>恒生银行</t>
  </si>
  <si>
    <t>531.23亿</t>
  </si>
  <si>
    <t>94.55亿</t>
  </si>
  <si>
    <t>34.85亿</t>
  </si>
  <si>
    <t>493.26亿</t>
  </si>
  <si>
    <t>543.32亿</t>
  </si>
  <si>
    <t>553.75亿</t>
  </si>
  <si>
    <t>500.76亿</t>
  </si>
  <si>
    <t>132.57亿</t>
  </si>
  <si>
    <t>159.87亿</t>
  </si>
  <si>
    <t>248.40亿</t>
  </si>
  <si>
    <t>242.11亿</t>
  </si>
  <si>
    <t>200.18亿</t>
  </si>
  <si>
    <t>恒基地产</t>
  </si>
  <si>
    <t>255.51亿</t>
  </si>
  <si>
    <t>92.39亿</t>
  </si>
  <si>
    <t>235.27亿</t>
  </si>
  <si>
    <t>250.20亿</t>
  </si>
  <si>
    <t>219.82亿</t>
  </si>
  <si>
    <t>279.60亿</t>
  </si>
  <si>
    <t>131.95亿</t>
  </si>
  <si>
    <t>101.92亿</t>
  </si>
  <si>
    <t>169.94亿</t>
  </si>
  <si>
    <t>311.57亿</t>
  </si>
  <si>
    <t>308.09亿</t>
  </si>
  <si>
    <t>和黄医药</t>
  </si>
  <si>
    <t>33.29亿</t>
  </si>
  <si>
    <t>-28.17亿</t>
  </si>
  <si>
    <t>-20.97亿</t>
  </si>
  <si>
    <t>23.16亿</t>
  </si>
  <si>
    <t>27.77亿</t>
  </si>
  <si>
    <t>17.67亿</t>
  </si>
  <si>
    <t>15.95亿</t>
  </si>
  <si>
    <t>16.77亿</t>
  </si>
  <si>
    <t>18.85亿</t>
  </si>
  <si>
    <t>-15.18亿</t>
  </si>
  <si>
    <t>-9.75亿</t>
  </si>
  <si>
    <t>1538.82亿</t>
  </si>
  <si>
    <t>药品及生物科技</t>
  </si>
  <si>
    <t>希慎兴业</t>
  </si>
  <si>
    <t>34.60亿</t>
  </si>
  <si>
    <t>-11.57亿</t>
  </si>
  <si>
    <t>23.95亿</t>
  </si>
  <si>
    <t>36.08亿</t>
  </si>
  <si>
    <t>37.10亿</t>
  </si>
  <si>
    <t>38.90亿</t>
  </si>
  <si>
    <t>35.48亿</t>
  </si>
  <si>
    <t>13.83亿</t>
  </si>
  <si>
    <t>-25.47亿</t>
  </si>
  <si>
    <t>48.45亿</t>
  </si>
  <si>
    <t>60.33亿</t>
  </si>
  <si>
    <t>36.36亿</t>
  </si>
  <si>
    <t>新鸿基地产</t>
  </si>
  <si>
    <t>777.47亿</t>
  </si>
  <si>
    <t>255.60亿</t>
  </si>
  <si>
    <t>852.62亿</t>
  </si>
  <si>
    <t>826.53亿</t>
  </si>
  <si>
    <t>856.44亿</t>
  </si>
  <si>
    <t>782.07亿</t>
  </si>
  <si>
    <t>266.86亿</t>
  </si>
  <si>
    <t>235.21亿</t>
  </si>
  <si>
    <t>449.12亿</t>
  </si>
  <si>
    <t>499.51亿</t>
  </si>
  <si>
    <t>417.82亿</t>
  </si>
  <si>
    <t>新世界发展</t>
  </si>
  <si>
    <t>682.13亿</t>
  </si>
  <si>
    <t>12.49亿</t>
  </si>
  <si>
    <t>682.33亿</t>
  </si>
  <si>
    <t>590.08亿</t>
  </si>
  <si>
    <t>606.89亿</t>
  </si>
  <si>
    <t>566.29亿</t>
  </si>
  <si>
    <t>11.72亿</t>
  </si>
  <si>
    <t>10.96亿</t>
  </si>
  <si>
    <t>181.60亿</t>
  </si>
  <si>
    <t>233.38亿</t>
  </si>
  <si>
    <t>76.76亿</t>
  </si>
  <si>
    <t>1.26亿</t>
  </si>
  <si>
    <t>太古股份公司A</t>
  </si>
  <si>
    <t>916.93亿</t>
  </si>
  <si>
    <t>41.95亿</t>
  </si>
  <si>
    <t>928.35亿</t>
  </si>
  <si>
    <t>800.33亿</t>
  </si>
  <si>
    <t>846.06亿</t>
  </si>
  <si>
    <t>802.89亿</t>
  </si>
  <si>
    <t>-109.99亿</t>
  </si>
  <si>
    <t>90.07亿</t>
  </si>
  <si>
    <t>236.29亿</t>
  </si>
  <si>
    <t>260.70亿</t>
  </si>
  <si>
    <t>商汤-W</t>
  </si>
  <si>
    <t>42.96亿</t>
  </si>
  <si>
    <t>-68.19亿</t>
  </si>
  <si>
    <t>9.58亿</t>
  </si>
  <si>
    <t>37.49亿</t>
  </si>
  <si>
    <t>57.55亿</t>
  </si>
  <si>
    <t>41.07亿</t>
  </si>
  <si>
    <t>21.10亿</t>
  </si>
  <si>
    <t>709.53亿</t>
  </si>
  <si>
    <t>-209.88亿</t>
  </si>
  <si>
    <t>-144.91亿</t>
  </si>
  <si>
    <t>243.98亿</t>
  </si>
  <si>
    <t>软件服务</t>
  </si>
  <si>
    <t>45.24亿</t>
  </si>
  <si>
    <t>10.94亿</t>
  </si>
  <si>
    <t>57.96亿</t>
  </si>
  <si>
    <t>银河娱乐</t>
  </si>
  <si>
    <t>84.01亿</t>
  </si>
  <si>
    <t>-34.34亿</t>
  </si>
  <si>
    <t>129.53亿</t>
  </si>
  <si>
    <t>83.91亿</t>
  </si>
  <si>
    <t>295.91亿</t>
  </si>
  <si>
    <t>266.41亿</t>
  </si>
  <si>
    <t>13.26亿</t>
  </si>
  <si>
    <t>-39.73亿</t>
  </si>
  <si>
    <t>130.42亿</t>
  </si>
  <si>
    <t>135.07亿</t>
  </si>
  <si>
    <t>105.04亿</t>
  </si>
  <si>
    <t>旅游及消闲设施</t>
  </si>
  <si>
    <t>2.32亿</t>
  </si>
  <si>
    <t>第一拖拉机股份</t>
  </si>
  <si>
    <t>141.18亿</t>
  </si>
  <si>
    <t>7.68亿</t>
  </si>
  <si>
    <t>1.80亿</t>
  </si>
  <si>
    <t>5.97亿</t>
  </si>
  <si>
    <t>20.27亿</t>
  </si>
  <si>
    <t>25.73亿</t>
  </si>
  <si>
    <t>40.63亿</t>
  </si>
  <si>
    <t>113.77亿</t>
  </si>
  <si>
    <t>89.85亿</t>
  </si>
  <si>
    <t>64.65亿</t>
  </si>
  <si>
    <t>64.69亿</t>
  </si>
  <si>
    <t>88.21亿</t>
  </si>
  <si>
    <t>5.37亿</t>
  </si>
  <si>
    <t>6869.88万</t>
  </si>
  <si>
    <t>-14.80亿</t>
  </si>
  <si>
    <t>6775.49万</t>
  </si>
  <si>
    <t>52.25亿</t>
  </si>
  <si>
    <t>5.93亿</t>
  </si>
  <si>
    <t>13.62亿</t>
  </si>
  <si>
    <t>工业工程</t>
  </si>
  <si>
    <t>港铁公司</t>
  </si>
  <si>
    <t>478.12亿</t>
  </si>
  <si>
    <t>98.27亿</t>
  </si>
  <si>
    <t>155.85亿</t>
  </si>
  <si>
    <t>472.02亿</t>
  </si>
  <si>
    <t>425.41亿</t>
  </si>
  <si>
    <t>539.30亿</t>
  </si>
  <si>
    <t>554.40亿</t>
  </si>
  <si>
    <t>95.52亿</t>
  </si>
  <si>
    <t>-48.09亿</t>
  </si>
  <si>
    <t>119.32亿</t>
  </si>
  <si>
    <t>160.08亿</t>
  </si>
  <si>
    <t>168.29亿</t>
  </si>
  <si>
    <t>中国海外宏洋集团</t>
  </si>
  <si>
    <t>103.93亿</t>
  </si>
  <si>
    <t>648.57亿</t>
  </si>
  <si>
    <t>35.54亿</t>
  </si>
  <si>
    <t>3447613500亿</t>
  </si>
  <si>
    <t>203939980000亿</t>
  </si>
  <si>
    <t>211.50亿</t>
  </si>
  <si>
    <t>1187.75亿</t>
  </si>
  <si>
    <t>5.49亿</t>
  </si>
  <si>
    <t>-16.40亿</t>
  </si>
  <si>
    <t>659.15亿</t>
  </si>
  <si>
    <t>511.43亿</t>
  </si>
  <si>
    <t>319.50亿</t>
  </si>
  <si>
    <t>245.08亿</t>
  </si>
  <si>
    <t>202.78亿</t>
  </si>
  <si>
    <t>61.84亿</t>
  </si>
  <si>
    <t>52.14亿</t>
  </si>
  <si>
    <t>37.21亿</t>
  </si>
  <si>
    <t>23.26亿</t>
  </si>
  <si>
    <t>12.71亿</t>
  </si>
  <si>
    <t>84.43亿</t>
  </si>
  <si>
    <t>1046.97万</t>
  </si>
  <si>
    <t>2.42亿</t>
  </si>
  <si>
    <t>信和置业</t>
  </si>
  <si>
    <t>155.54亿</t>
  </si>
  <si>
    <t>57.35亿</t>
  </si>
  <si>
    <t>1.54亿</t>
  </si>
  <si>
    <t>64.66亿</t>
  </si>
  <si>
    <t>245.45亿</t>
  </si>
  <si>
    <t>58.87亿</t>
  </si>
  <si>
    <t>107.30亿</t>
  </si>
  <si>
    <t>183.34亿</t>
  </si>
  <si>
    <t>96.46亿</t>
  </si>
  <si>
    <t>16.88亿</t>
  </si>
  <si>
    <t>69.15亿</t>
  </si>
  <si>
    <t>139.96亿</t>
  </si>
  <si>
    <t>74.15亿</t>
  </si>
  <si>
    <t>1.96亿</t>
  </si>
  <si>
    <t>太古股份公司B</t>
  </si>
  <si>
    <t>绿景中国地产</t>
  </si>
  <si>
    <t>26.41亿</t>
  </si>
  <si>
    <t>-8.24亿</t>
  </si>
  <si>
    <t>61.48亿</t>
  </si>
  <si>
    <t>53.61亿</t>
  </si>
  <si>
    <t>51.42亿</t>
  </si>
  <si>
    <t>35.58亿</t>
  </si>
  <si>
    <t>14.11亿</t>
  </si>
  <si>
    <t>41.16亿</t>
  </si>
  <si>
    <t>19.55亿</t>
  </si>
  <si>
    <t>14.09亿</t>
  </si>
  <si>
    <t>12.41亿</t>
  </si>
  <si>
    <t>467.78万</t>
  </si>
  <si>
    <t>恒隆地产</t>
  </si>
  <si>
    <t>103.47亿</t>
  </si>
  <si>
    <t>38.36亿</t>
  </si>
  <si>
    <t>103.21亿</t>
  </si>
  <si>
    <t>89.73亿</t>
  </si>
  <si>
    <t>94.08亿</t>
  </si>
  <si>
    <t>111.99亿</t>
  </si>
  <si>
    <t>38.68亿</t>
  </si>
  <si>
    <t>-25.71亿</t>
  </si>
  <si>
    <t>61.72亿</t>
  </si>
  <si>
    <t>80.78亿</t>
  </si>
  <si>
    <t>81.24亿</t>
  </si>
  <si>
    <t>四川成渝高速公路</t>
  </si>
  <si>
    <t>8.63亿</t>
  </si>
  <si>
    <t>1.28亿</t>
  </si>
  <si>
    <t>38.81亿</t>
  </si>
  <si>
    <t>3.12亿</t>
  </si>
  <si>
    <t>7.59亿</t>
  </si>
  <si>
    <t>3.54亿</t>
  </si>
  <si>
    <t>-21.56亿</t>
  </si>
  <si>
    <t>108.13亿</t>
  </si>
  <si>
    <t>97.72亿</t>
  </si>
  <si>
    <t>87.24亿</t>
  </si>
  <si>
    <t>77.66亿</t>
  </si>
  <si>
    <t>106.27亿</t>
  </si>
  <si>
    <t>22.91亿</t>
  </si>
  <si>
    <t>8.04亿</t>
  </si>
  <si>
    <t>12.14亿</t>
  </si>
  <si>
    <t>9.67亿</t>
  </si>
  <si>
    <t>10.72亿</t>
  </si>
  <si>
    <t>24.80亿</t>
  </si>
  <si>
    <t>58.13亿</t>
  </si>
  <si>
    <t>工用运输</t>
  </si>
  <si>
    <t>保利置业集团</t>
  </si>
  <si>
    <t>463.96亿</t>
  </si>
  <si>
    <t>9.21亿</t>
  </si>
  <si>
    <t>2.71亿</t>
  </si>
  <si>
    <t>371.09亿</t>
  </si>
  <si>
    <t>312.81亿</t>
  </si>
  <si>
    <t>232.34亿</t>
  </si>
  <si>
    <t>317.03亿</t>
  </si>
  <si>
    <t>18.80亿</t>
  </si>
  <si>
    <t>38.33亿</t>
  </si>
  <si>
    <t>22.42亿</t>
  </si>
  <si>
    <t>24.62亿</t>
  </si>
  <si>
    <t>57.62亿</t>
  </si>
  <si>
    <t>2.45亿</t>
  </si>
  <si>
    <t>越秀地产</t>
  </si>
  <si>
    <t>816.92亿</t>
  </si>
  <si>
    <t>44.60亿</t>
  </si>
  <si>
    <t>18.52亿</t>
  </si>
  <si>
    <t>41.96亿</t>
  </si>
  <si>
    <t>702.60亿</t>
  </si>
  <si>
    <t>551.07亿</t>
  </si>
  <si>
    <t>300.97亿</t>
  </si>
  <si>
    <t>285.27亿</t>
  </si>
  <si>
    <t>43.95亿</t>
  </si>
  <si>
    <t>50.63亿</t>
  </si>
  <si>
    <t>38.93亿</t>
  </si>
  <si>
    <t>31.06亿</t>
  </si>
  <si>
    <t>27.10亿</t>
  </si>
  <si>
    <t>4.71亿</t>
  </si>
  <si>
    <t>昆仑能源</t>
  </si>
  <si>
    <t>1939.70亿</t>
  </si>
  <si>
    <t>58.98亿</t>
  </si>
  <si>
    <t>35.11亿</t>
  </si>
  <si>
    <t>1696.51亿</t>
  </si>
  <si>
    <t>1422.26亿</t>
  </si>
  <si>
    <t>1200.88亿</t>
  </si>
  <si>
    <t>1063.50亿</t>
  </si>
  <si>
    <t>281.83亿</t>
  </si>
  <si>
    <t>72.26亿</t>
  </si>
  <si>
    <t>62.03亿</t>
  </si>
  <si>
    <t>52.76亿</t>
  </si>
  <si>
    <t>57.07亿</t>
  </si>
  <si>
    <t>476.13亿</t>
  </si>
  <si>
    <t>中国儒意</t>
  </si>
  <si>
    <t>14.89亿</t>
  </si>
  <si>
    <t>8.91亿</t>
  </si>
  <si>
    <t>6.32亿</t>
  </si>
  <si>
    <t>28.39亿</t>
  </si>
  <si>
    <t>2.74亿</t>
  </si>
  <si>
    <t>5.69亿</t>
  </si>
  <si>
    <t>3.14亿</t>
  </si>
  <si>
    <t>14.39亿</t>
  </si>
  <si>
    <t>1432.90万</t>
  </si>
  <si>
    <t>1.42亿</t>
  </si>
  <si>
    <t>2544.00万</t>
  </si>
  <si>
    <t>媒体及娱乐</t>
  </si>
  <si>
    <t>6.31亿</t>
  </si>
  <si>
    <t>第一太平</t>
  </si>
  <si>
    <t>804.61亿</t>
  </si>
  <si>
    <t>30.58亿</t>
  </si>
  <si>
    <t>45.69亿</t>
  </si>
  <si>
    <t>111.19亿</t>
  </si>
  <si>
    <t>717.78亿</t>
  </si>
  <si>
    <t>585.83亿</t>
  </si>
  <si>
    <t>606.54亿</t>
  </si>
  <si>
    <t>570.17亿</t>
  </si>
  <si>
    <t>25.99亿</t>
  </si>
  <si>
    <t>15.63亿</t>
  </si>
  <si>
    <t>-19.77亿</t>
  </si>
  <si>
    <t>10.33亿</t>
  </si>
  <si>
    <t>4.38亿</t>
  </si>
  <si>
    <t>食物饮品</t>
  </si>
  <si>
    <t>1.19亿</t>
  </si>
  <si>
    <t>招商局港口</t>
  </si>
  <si>
    <t>125.45亿</t>
  </si>
  <si>
    <t>77.81亿</t>
  </si>
  <si>
    <t>4.75亿</t>
  </si>
  <si>
    <t>118.50亿</t>
  </si>
  <si>
    <t>89.45亿</t>
  </si>
  <si>
    <t>101.60亿</t>
  </si>
  <si>
    <t>86.92亿</t>
  </si>
  <si>
    <t>81.44亿</t>
  </si>
  <si>
    <t>51.51亿</t>
  </si>
  <si>
    <t>83.62亿</t>
  </si>
  <si>
    <t>72.45亿</t>
  </si>
  <si>
    <t>60.28亿</t>
  </si>
  <si>
    <t>建滔集团</t>
  </si>
  <si>
    <t>493.76亿</t>
  </si>
  <si>
    <t>36.55亿</t>
  </si>
  <si>
    <t>35.85亿</t>
  </si>
  <si>
    <t>567.55亿</t>
  </si>
  <si>
    <t>435.10亿</t>
  </si>
  <si>
    <t>459.94亿</t>
  </si>
  <si>
    <t>433.71亿</t>
  </si>
  <si>
    <t>107.78亿</t>
  </si>
  <si>
    <t>47.03亿</t>
  </si>
  <si>
    <t>30.94亿</t>
  </si>
  <si>
    <t>60.76亿</t>
  </si>
  <si>
    <t>55.93亿</t>
  </si>
  <si>
    <t>中国旺旺</t>
  </si>
  <si>
    <t>295.79亿</t>
  </si>
  <si>
    <t>51.83亿</t>
  </si>
  <si>
    <t>13.65亿</t>
  </si>
  <si>
    <t>260.52亿</t>
  </si>
  <si>
    <t>219.36亿</t>
  </si>
  <si>
    <t>251.80亿</t>
  </si>
  <si>
    <t>214.68亿</t>
  </si>
  <si>
    <t>49.24亿</t>
  </si>
  <si>
    <t>39.84亿</t>
  </si>
  <si>
    <t>40.58亿</t>
  </si>
  <si>
    <t>38.94亿</t>
  </si>
  <si>
    <t>37.67亿</t>
  </si>
  <si>
    <t>408.82亿</t>
  </si>
  <si>
    <t>深圳国际</t>
  </si>
  <si>
    <t>155.29亿</t>
  </si>
  <si>
    <t>12.54亿</t>
  </si>
  <si>
    <t>-78.36亿</t>
  </si>
  <si>
    <t>185.42亿</t>
  </si>
  <si>
    <t>194.52亿</t>
  </si>
  <si>
    <t>115.81亿</t>
  </si>
  <si>
    <t>101.39亿</t>
  </si>
  <si>
    <t>40.07亿</t>
  </si>
  <si>
    <t>50.21亿</t>
  </si>
  <si>
    <t>42.13亿</t>
  </si>
  <si>
    <t>38.17亿</t>
  </si>
  <si>
    <t>177.25亿</t>
  </si>
  <si>
    <t>1.45亿</t>
  </si>
  <si>
    <t>中国光大控股</t>
  </si>
  <si>
    <t>-74.43亿</t>
  </si>
  <si>
    <t>40.60亿</t>
  </si>
  <si>
    <t>3.30亿</t>
  </si>
  <si>
    <t>6.49亿</t>
  </si>
  <si>
    <t>8.54亿</t>
  </si>
  <si>
    <t>55.29亿</t>
  </si>
  <si>
    <t>22.64亿</t>
  </si>
  <si>
    <t>22.37亿</t>
  </si>
  <si>
    <t>31.04亿</t>
  </si>
  <si>
    <t>41.48亿</t>
  </si>
  <si>
    <t>其他金融</t>
  </si>
  <si>
    <t>青岛啤酒股份</t>
  </si>
  <si>
    <t>335.96亿</t>
  </si>
  <si>
    <t>41.75亿</t>
  </si>
  <si>
    <t>39.72亿</t>
  </si>
  <si>
    <t>16.94亿</t>
  </si>
  <si>
    <t>3.78亿</t>
  </si>
  <si>
    <t>124.62亿</t>
  </si>
  <si>
    <t>2.53亿</t>
  </si>
  <si>
    <t>55.04亿</t>
  </si>
  <si>
    <t>341.00亿</t>
  </si>
  <si>
    <t>304.42亿</t>
  </si>
  <si>
    <t>302.59亿</t>
  </si>
  <si>
    <t>315.04亿</t>
  </si>
  <si>
    <t>38.52亿</t>
  </si>
  <si>
    <t>26.24亿</t>
  </si>
  <si>
    <t>20.70亿</t>
  </si>
  <si>
    <t>16.19亿</t>
  </si>
  <si>
    <t>15.14亿</t>
  </si>
  <si>
    <t>106.59亿</t>
  </si>
  <si>
    <t>13.89亿</t>
  </si>
  <si>
    <t>吉利汽车</t>
  </si>
  <si>
    <t>1669.19亿</t>
  </si>
  <si>
    <t>57.79亿</t>
  </si>
  <si>
    <t>22.17亿</t>
  </si>
  <si>
    <t>1244.23亿</t>
  </si>
  <si>
    <t>1097.91亿</t>
  </si>
  <si>
    <t>1213.69亿</t>
  </si>
  <si>
    <t>1112.11亿</t>
  </si>
  <si>
    <t>57.80亿</t>
  </si>
  <si>
    <t>64.32亿</t>
  </si>
  <si>
    <t>91.52亿</t>
  </si>
  <si>
    <t>142.93亿</t>
  </si>
  <si>
    <t>127.49亿</t>
  </si>
  <si>
    <t>175.03亿</t>
  </si>
  <si>
    <t>汽车</t>
  </si>
  <si>
    <t>11.62亿</t>
  </si>
  <si>
    <t>江苏宁沪高速公路</t>
  </si>
  <si>
    <t>147.63亿</t>
  </si>
  <si>
    <t>42.01亿</t>
  </si>
  <si>
    <t>3.03亿</t>
  </si>
  <si>
    <t>10.66亿</t>
  </si>
  <si>
    <t>13.75亿</t>
  </si>
  <si>
    <t>90.36亿</t>
  </si>
  <si>
    <t>28.33亿</t>
  </si>
  <si>
    <t>62.36亿</t>
  </si>
  <si>
    <t>171.35亿</t>
  </si>
  <si>
    <t>94.24亿</t>
  </si>
  <si>
    <t>113.51亿</t>
  </si>
  <si>
    <t>113.36亿</t>
  </si>
  <si>
    <t>51.17亿</t>
  </si>
  <si>
    <t>29.37亿</t>
  </si>
  <si>
    <t>46.93亿</t>
  </si>
  <si>
    <t>49.83亿</t>
  </si>
  <si>
    <t>43.01亿</t>
  </si>
  <si>
    <t>33.24亿</t>
  </si>
  <si>
    <t>17.80亿</t>
  </si>
  <si>
    <t>1.94亿</t>
  </si>
  <si>
    <t>德昌电机控股</t>
  </si>
  <si>
    <t>269.86亿</t>
  </si>
  <si>
    <t>11.46亿</t>
  </si>
  <si>
    <t>14.38亿</t>
  </si>
  <si>
    <t>245.39亿</t>
  </si>
  <si>
    <t>238.12亿</t>
  </si>
  <si>
    <t>254.04亿</t>
  </si>
  <si>
    <t>215.70亿</t>
  </si>
  <si>
    <t>-38.28亿</t>
  </si>
  <si>
    <t>22.08亿</t>
  </si>
  <si>
    <t>20.73亿</t>
  </si>
  <si>
    <t>18.49亿</t>
  </si>
  <si>
    <t>2.36亿</t>
  </si>
  <si>
    <t>96.18亿</t>
  </si>
  <si>
    <t>6.85亿</t>
  </si>
  <si>
    <t>4.89亿</t>
  </si>
  <si>
    <t>9.33亿</t>
  </si>
  <si>
    <t>3.99亿</t>
  </si>
  <si>
    <t>京城机电股份</t>
  </si>
  <si>
    <t>15.92亿</t>
  </si>
  <si>
    <t>15.40亿</t>
  </si>
  <si>
    <t>2064.70万</t>
  </si>
  <si>
    <t>3.31亿</t>
  </si>
  <si>
    <t>3.85亿</t>
  </si>
  <si>
    <t>1.14亿</t>
  </si>
  <si>
    <t>3.61亿</t>
  </si>
  <si>
    <t>14.41亿</t>
  </si>
  <si>
    <t>12.83亿</t>
  </si>
  <si>
    <t>13.25亿</t>
  </si>
  <si>
    <t>14.43亿</t>
  </si>
  <si>
    <t>-2850.91万</t>
  </si>
  <si>
    <t>1.86亿</t>
  </si>
  <si>
    <t>-1.45亿</t>
  </si>
  <si>
    <t>-1.07亿</t>
  </si>
  <si>
    <t>2501.91万</t>
  </si>
  <si>
    <t>3.43亿</t>
  </si>
  <si>
    <t>-154.18万</t>
  </si>
  <si>
    <t>东岳集团</t>
  </si>
  <si>
    <t>225.94亿</t>
  </si>
  <si>
    <t>43.49亿</t>
  </si>
  <si>
    <t>14.78亿</t>
  </si>
  <si>
    <t>29.46亿</t>
  </si>
  <si>
    <t>62.87亿</t>
  </si>
  <si>
    <t>194.01亿</t>
  </si>
  <si>
    <t>119.72亿</t>
  </si>
  <si>
    <t>144.81亿</t>
  </si>
  <si>
    <t>161.90亿</t>
  </si>
  <si>
    <t>121.53亿</t>
  </si>
  <si>
    <t>25.41亿</t>
  </si>
  <si>
    <t>9.20亿</t>
  </si>
  <si>
    <t>16.35亿</t>
  </si>
  <si>
    <t>24.24亿</t>
  </si>
  <si>
    <t>19.20亿</t>
  </si>
  <si>
    <t>原材料</t>
  </si>
  <si>
    <t>1.85亿</t>
  </si>
  <si>
    <t>新濠国际发展</t>
  </si>
  <si>
    <t>67.32亿</t>
  </si>
  <si>
    <t>-51.13亿</t>
  </si>
  <si>
    <t>-41.12亿</t>
  </si>
  <si>
    <t>90.85亿</t>
  </si>
  <si>
    <t>75.68亿</t>
  </si>
  <si>
    <t>221.30亿</t>
  </si>
  <si>
    <t>238.77亿</t>
  </si>
  <si>
    <t>-38.09亿</t>
  </si>
  <si>
    <t>-63.40亿</t>
  </si>
  <si>
    <t>6.90亿</t>
  </si>
  <si>
    <t>5.23亿</t>
  </si>
  <si>
    <t>4.74亿</t>
  </si>
  <si>
    <t>12.21亿</t>
  </si>
  <si>
    <t>4.29亿</t>
  </si>
  <si>
    <t>119.68亿</t>
  </si>
  <si>
    <t>统一企业中国</t>
  </si>
  <si>
    <t>318.77亿</t>
  </si>
  <si>
    <t>13.79亿</t>
  </si>
  <si>
    <t>1378715300亿</t>
  </si>
  <si>
    <t>24574931000亿</t>
  </si>
  <si>
    <t>30.18亿</t>
  </si>
  <si>
    <t>89.44亿</t>
  </si>
  <si>
    <t>16.13亿</t>
  </si>
  <si>
    <t>-4.70亿</t>
  </si>
  <si>
    <t>308.95亿</t>
  </si>
  <si>
    <t>271.30亿</t>
  </si>
  <si>
    <t>246.07亿</t>
  </si>
  <si>
    <t>247.90亿</t>
  </si>
  <si>
    <t>249.63亿</t>
  </si>
  <si>
    <t>18.38亿</t>
  </si>
  <si>
    <t>19.38亿</t>
  </si>
  <si>
    <t>15.27亿</t>
  </si>
  <si>
    <t>10.53亿</t>
  </si>
  <si>
    <t>108.83亿</t>
  </si>
  <si>
    <t>阿里健康</t>
  </si>
  <si>
    <t>253.77亿</t>
  </si>
  <si>
    <t>-3.27亿</t>
  </si>
  <si>
    <t>8.99亿</t>
  </si>
  <si>
    <t>183.78亿</t>
  </si>
  <si>
    <t>104.76亿</t>
  </si>
  <si>
    <t>30.52亿</t>
  </si>
  <si>
    <t>5.36亿</t>
  </si>
  <si>
    <t>4.13亿</t>
  </si>
  <si>
    <t>-718.96万</t>
  </si>
  <si>
    <t>-9565.09万</t>
  </si>
  <si>
    <t>-1.34亿</t>
  </si>
  <si>
    <t>-2.34亿</t>
  </si>
  <si>
    <t>10.63亿</t>
  </si>
  <si>
    <t>冠城钟表珠宝</t>
  </si>
  <si>
    <t>16.22亿</t>
  </si>
  <si>
    <t>-1.11亿</t>
  </si>
  <si>
    <t>-19.59亿</t>
  </si>
  <si>
    <t>2.39亿</t>
  </si>
  <si>
    <t>19.66亿</t>
  </si>
  <si>
    <t>18.62亿</t>
  </si>
  <si>
    <t>28.17亿</t>
  </si>
  <si>
    <t>30.14亿</t>
  </si>
  <si>
    <t>42.74亿</t>
  </si>
  <si>
    <t>-1.01亿</t>
  </si>
  <si>
    <t>-1.69亿</t>
  </si>
  <si>
    <t>4424.60万</t>
  </si>
  <si>
    <t>2.01亿</t>
  </si>
  <si>
    <t>11.70亿</t>
  </si>
  <si>
    <t>1.87亿</t>
  </si>
  <si>
    <t>纺织及服饰</t>
  </si>
  <si>
    <t>光大环境</t>
  </si>
  <si>
    <t>373.21亿</t>
  </si>
  <si>
    <t>46.02亿</t>
  </si>
  <si>
    <t>40.09亿</t>
  </si>
  <si>
    <t>498.95亿</t>
  </si>
  <si>
    <t>429.26亿</t>
  </si>
  <si>
    <t>272.28亿</t>
  </si>
  <si>
    <t>200.43亿</t>
  </si>
  <si>
    <t>68.04亿</t>
  </si>
  <si>
    <t>60.16亿</t>
  </si>
  <si>
    <t>52.03亿</t>
  </si>
  <si>
    <t>43.19亿</t>
  </si>
  <si>
    <t>35.10亿</t>
  </si>
  <si>
    <t>中信股份</t>
  </si>
  <si>
    <t>7089.36亿</t>
  </si>
  <si>
    <t>5529.49亿</t>
  </si>
  <si>
    <t>5332.85亿</t>
  </si>
  <si>
    <t>4505.36亿</t>
  </si>
  <si>
    <t>702.22亿</t>
  </si>
  <si>
    <t>566.28亿</t>
  </si>
  <si>
    <t>539.03亿</t>
  </si>
  <si>
    <t>502.39亿</t>
  </si>
  <si>
    <t>439.02亿</t>
  </si>
  <si>
    <t>14.59亿</t>
  </si>
  <si>
    <t>金蝶国际</t>
  </si>
  <si>
    <t>54.89亿</t>
  </si>
  <si>
    <t>-4.39亿</t>
  </si>
  <si>
    <t>42.48亿</t>
  </si>
  <si>
    <t>4.22亿</t>
  </si>
  <si>
    <t>51.11亿</t>
  </si>
  <si>
    <t>40.01亿</t>
  </si>
  <si>
    <t>37.16亿</t>
  </si>
  <si>
    <t>31.98亿</t>
  </si>
  <si>
    <t>27.62亿</t>
  </si>
  <si>
    <t>-3.70亿</t>
  </si>
  <si>
    <t>-4.00亿</t>
  </si>
  <si>
    <t>4.16亿</t>
  </si>
  <si>
    <t>4.69亿</t>
  </si>
  <si>
    <t>3.72亿</t>
  </si>
  <si>
    <t>4537.86万</t>
  </si>
  <si>
    <t>3.49亿</t>
  </si>
  <si>
    <t>粤海投资</t>
  </si>
  <si>
    <t>231.96亿</t>
  </si>
  <si>
    <t>47.64亿</t>
  </si>
  <si>
    <t>62.25亿</t>
  </si>
  <si>
    <t>-13.99亿</t>
  </si>
  <si>
    <t>297.15亿</t>
  </si>
  <si>
    <t>231.73亿</t>
  </si>
  <si>
    <t>133.64亿</t>
  </si>
  <si>
    <t>121.69亿</t>
  </si>
  <si>
    <t>46.97亿</t>
  </si>
  <si>
    <t>45.10亿</t>
  </si>
  <si>
    <t>50.44亿</t>
  </si>
  <si>
    <t>50.15亿</t>
  </si>
  <si>
    <t>56.85亿</t>
  </si>
  <si>
    <t>55.07亿</t>
  </si>
  <si>
    <t>14.87亿</t>
  </si>
  <si>
    <t>瑞安房地产</t>
  </si>
  <si>
    <t>175.59亿</t>
  </si>
  <si>
    <t>10.22亿</t>
  </si>
  <si>
    <t>35.00亿</t>
  </si>
  <si>
    <t>214.96亿</t>
  </si>
  <si>
    <t>54.79亿</t>
  </si>
  <si>
    <t>282.84亿</t>
  </si>
  <si>
    <t>221.21亿</t>
  </si>
  <si>
    <t>20.03亿</t>
  </si>
  <si>
    <t>-8.82亿</t>
  </si>
  <si>
    <t>21.59亿</t>
  </si>
  <si>
    <t>21.70亿</t>
  </si>
  <si>
    <t>20.01亿</t>
  </si>
  <si>
    <t>1.84亿</t>
  </si>
  <si>
    <t>比亚迪电子</t>
  </si>
  <si>
    <t>1209.17亿</t>
  </si>
  <si>
    <t>20.96亿</t>
  </si>
  <si>
    <t>23.20亿</t>
  </si>
  <si>
    <t>44.78亿</t>
  </si>
  <si>
    <t>67.25亿</t>
  </si>
  <si>
    <t>1090.50亿</t>
  </si>
  <si>
    <t>871.53亿</t>
  </si>
  <si>
    <t>467.36亿</t>
  </si>
  <si>
    <t>464.87亿</t>
  </si>
  <si>
    <t>28.28亿</t>
  </si>
  <si>
    <t>64.86亿</t>
  </si>
  <si>
    <t>17.85亿</t>
  </si>
  <si>
    <t>24.92亿</t>
  </si>
  <si>
    <t>30.99亿</t>
  </si>
  <si>
    <t>258.15亿</t>
  </si>
  <si>
    <t>2.22亿</t>
  </si>
  <si>
    <t>资讯科技器材</t>
  </si>
  <si>
    <t>万洲国际</t>
  </si>
  <si>
    <t>2196.86亿</t>
  </si>
  <si>
    <t>106.97亿</t>
  </si>
  <si>
    <t>2128.31亿</t>
  </si>
  <si>
    <t>1983.92亿</t>
  </si>
  <si>
    <t>1770.88亿</t>
  </si>
  <si>
    <t>1748.70亿</t>
  </si>
  <si>
    <t>83.28亿</t>
  </si>
  <si>
    <t>64.19亿</t>
  </si>
  <si>
    <t>114.08亿</t>
  </si>
  <si>
    <t>73.87亿</t>
  </si>
  <si>
    <t>88.53亿</t>
  </si>
  <si>
    <t>513.32亿</t>
  </si>
  <si>
    <t>45.34亿</t>
  </si>
  <si>
    <t>农业产品</t>
  </si>
  <si>
    <t>华润啤酒</t>
  </si>
  <si>
    <t>397.80亿</t>
  </si>
  <si>
    <t>49.00亿</t>
  </si>
  <si>
    <t>374.83亿</t>
  </si>
  <si>
    <t>362.84亿</t>
  </si>
  <si>
    <t>356.46亿</t>
  </si>
  <si>
    <t>56.17亿</t>
  </si>
  <si>
    <t>24.96亿</t>
  </si>
  <si>
    <t>14.66亿</t>
  </si>
  <si>
    <t>11.12亿</t>
  </si>
  <si>
    <t>2.54亿</t>
  </si>
  <si>
    <t>国泰航空</t>
  </si>
  <si>
    <t>510.36亿</t>
  </si>
  <si>
    <t>-71.62亿</t>
  </si>
  <si>
    <t>455.87亿</t>
  </si>
  <si>
    <t>469.34亿</t>
  </si>
  <si>
    <t>1110.60亿</t>
  </si>
  <si>
    <t>972.84亿</t>
  </si>
  <si>
    <t>-61.23亿</t>
  </si>
  <si>
    <t>-218.76亿</t>
  </si>
  <si>
    <t>16.91亿</t>
  </si>
  <si>
    <t>23.45亿</t>
  </si>
  <si>
    <t>-12.59亿</t>
  </si>
  <si>
    <t>3.93亿</t>
  </si>
  <si>
    <t>1.38亿</t>
  </si>
  <si>
    <t>中化化肥</t>
  </si>
  <si>
    <t>259.49亿</t>
  </si>
  <si>
    <t>12.60亿</t>
  </si>
  <si>
    <t>277.24亿</t>
  </si>
  <si>
    <t>254.84亿</t>
  </si>
  <si>
    <t>261.84亿</t>
  </si>
  <si>
    <t>211.53亿</t>
  </si>
  <si>
    <t>10.61亿</t>
  </si>
  <si>
    <t>6.88亿</t>
  </si>
  <si>
    <t>5.24亿</t>
  </si>
  <si>
    <t>-26.47亿</t>
  </si>
  <si>
    <t>中手游</t>
  </si>
  <si>
    <t>30.62亿</t>
  </si>
  <si>
    <t>-2.31亿</t>
  </si>
  <si>
    <t>5.94亿</t>
  </si>
  <si>
    <t>3.47亿</t>
  </si>
  <si>
    <t>45.53亿</t>
  </si>
  <si>
    <t>18.17亿</t>
  </si>
  <si>
    <t>7.49亿</t>
  </si>
  <si>
    <t>8.36亿</t>
  </si>
  <si>
    <t>2.78亿</t>
  </si>
  <si>
    <t>3.69亿</t>
  </si>
  <si>
    <t>3.40亿</t>
  </si>
  <si>
    <t>2.92亿</t>
  </si>
  <si>
    <t>伟易达</t>
  </si>
  <si>
    <t>185.63亿</t>
  </si>
  <si>
    <t>13.52亿</t>
  </si>
  <si>
    <t>6.60亿</t>
  </si>
  <si>
    <t>49.18亿</t>
  </si>
  <si>
    <t>10.93亿</t>
  </si>
  <si>
    <t>-2.51亿</t>
  </si>
  <si>
    <t>184.45亿</t>
  </si>
  <si>
    <t>167.93亿</t>
  </si>
  <si>
    <t>167.19亿</t>
  </si>
  <si>
    <t>161.56亿</t>
  </si>
  <si>
    <t>17.95亿</t>
  </si>
  <si>
    <t>14.79亿</t>
  </si>
  <si>
    <t>13.45亿</t>
  </si>
  <si>
    <t>13.91亿</t>
  </si>
  <si>
    <t>-2.24亿</t>
  </si>
  <si>
    <t>36.48亿</t>
  </si>
  <si>
    <t>44.77亿</t>
  </si>
  <si>
    <t>6.87亿</t>
  </si>
  <si>
    <t>思派健康</t>
  </si>
  <si>
    <t>46.47亿</t>
  </si>
  <si>
    <t>-15.46亿</t>
  </si>
  <si>
    <t>7067.55万</t>
  </si>
  <si>
    <t>-1547487000亿</t>
  </si>
  <si>
    <t>3304829900亿</t>
  </si>
  <si>
    <t>3.84亿</t>
  </si>
  <si>
    <t>11.91亿</t>
  </si>
  <si>
    <t>42.54亿</t>
  </si>
  <si>
    <t>32.18亿</t>
  </si>
  <si>
    <t>11.61亿</t>
  </si>
  <si>
    <t>1.51亿</t>
  </si>
  <si>
    <t>东方海外国际</t>
  </si>
  <si>
    <t>1547.56亿</t>
  </si>
  <si>
    <t>778.09亿</t>
  </si>
  <si>
    <t>11.93亿</t>
  </si>
  <si>
    <t>16.86亿</t>
  </si>
  <si>
    <t>1312.57亿</t>
  </si>
  <si>
    <t>635.07亿</t>
  </si>
  <si>
    <t>514.90亿</t>
  </si>
  <si>
    <t>467.41亿</t>
  </si>
  <si>
    <t>555.85亿</t>
  </si>
  <si>
    <t>69.99亿</t>
  </si>
  <si>
    <t>105.03亿</t>
  </si>
  <si>
    <t>8.47亿</t>
  </si>
  <si>
    <t>10.76亿</t>
  </si>
  <si>
    <t>中船防务</t>
  </si>
  <si>
    <t>144.11亿</t>
  </si>
  <si>
    <t>1.07亿</t>
  </si>
  <si>
    <t>2.10亿</t>
  </si>
  <si>
    <t>22.07亿</t>
  </si>
  <si>
    <t>22.73亿</t>
  </si>
  <si>
    <t>39.17亿</t>
  </si>
  <si>
    <t>142.70亿</t>
  </si>
  <si>
    <t>138.06亿</t>
  </si>
  <si>
    <t>218.02亿</t>
  </si>
  <si>
    <t>274.79亿</t>
  </si>
  <si>
    <t>9720.99万</t>
  </si>
  <si>
    <t>43.65亿</t>
  </si>
  <si>
    <t>6.13亿</t>
  </si>
  <si>
    <t>-21.28亿</t>
  </si>
  <si>
    <t>-6055.35万</t>
  </si>
  <si>
    <t>-1519.22万</t>
  </si>
  <si>
    <t>14.57亿</t>
  </si>
  <si>
    <t>康师傅控股</t>
  </si>
  <si>
    <t>888.01亿</t>
  </si>
  <si>
    <t>29.70亿</t>
  </si>
  <si>
    <t>50.49亿</t>
  </si>
  <si>
    <t>907.14亿</t>
  </si>
  <si>
    <t>805.94亿</t>
  </si>
  <si>
    <t>690.97亿</t>
  </si>
  <si>
    <t>706.80亿</t>
  </si>
  <si>
    <t>46.56亿</t>
  </si>
  <si>
    <t>48.42亿</t>
  </si>
  <si>
    <t>37.22亿</t>
  </si>
  <si>
    <t>28.05亿</t>
  </si>
  <si>
    <t>21.81亿</t>
  </si>
  <si>
    <t>434.52亿</t>
  </si>
  <si>
    <t>马鞍山钢铁股份</t>
  </si>
  <si>
    <t>1147.01亿</t>
  </si>
  <si>
    <t>-9.99亿</t>
  </si>
  <si>
    <t>67.86亿</t>
  </si>
  <si>
    <t>86.09亿</t>
  </si>
  <si>
    <t>74.93亿</t>
  </si>
  <si>
    <t>8.64亿</t>
  </si>
  <si>
    <t>1386.01亿</t>
  </si>
  <si>
    <t>966.36亿</t>
  </si>
  <si>
    <t>868.10亿</t>
  </si>
  <si>
    <t>933.10亿</t>
  </si>
  <si>
    <t>877.93亿</t>
  </si>
  <si>
    <t>65.29亿</t>
  </si>
  <si>
    <t>23.63亿</t>
  </si>
  <si>
    <t>12.61亿</t>
  </si>
  <si>
    <t>67.67亿</t>
  </si>
  <si>
    <t>49.50亿</t>
  </si>
  <si>
    <t>326.57亿</t>
  </si>
  <si>
    <t>15.46亿</t>
  </si>
  <si>
    <t>一般金属及矿石</t>
  </si>
  <si>
    <t>1.48亿</t>
  </si>
  <si>
    <t>百富环球</t>
  </si>
  <si>
    <t>80.63亿</t>
  </si>
  <si>
    <t>5.67亿</t>
  </si>
  <si>
    <t>17.00亿</t>
  </si>
  <si>
    <t>71.96亿</t>
  </si>
  <si>
    <t>56.51亿</t>
  </si>
  <si>
    <t>49.26亿</t>
  </si>
  <si>
    <t>44.15亿</t>
  </si>
  <si>
    <t>35.91亿</t>
  </si>
  <si>
    <t>10.84亿</t>
  </si>
  <si>
    <t>9.00亿</t>
  </si>
  <si>
    <t>6.24亿</t>
  </si>
  <si>
    <t>5.22亿</t>
  </si>
  <si>
    <t>4.08亿</t>
  </si>
  <si>
    <t>13.97亿</t>
  </si>
  <si>
    <t>华宝国际</t>
  </si>
  <si>
    <t>-11.90亿</t>
  </si>
  <si>
    <t>3.13亿</t>
  </si>
  <si>
    <t>19.80亿</t>
  </si>
  <si>
    <t>14.03亿</t>
  </si>
  <si>
    <t>47.54亿</t>
  </si>
  <si>
    <t>45.94亿</t>
  </si>
  <si>
    <t>39.32亿</t>
  </si>
  <si>
    <t>8.27亿</t>
  </si>
  <si>
    <t>4.99亿</t>
  </si>
  <si>
    <t>12.43亿</t>
  </si>
  <si>
    <t>15.79亿</t>
  </si>
  <si>
    <t>12.03亿</t>
  </si>
  <si>
    <t>上海石油化工股份</t>
  </si>
  <si>
    <t>819.62亿</t>
  </si>
  <si>
    <t>-32.11亿</t>
  </si>
  <si>
    <t>5.83亿</t>
  </si>
  <si>
    <t>1.47亿</t>
  </si>
  <si>
    <t>24.15亿</t>
  </si>
  <si>
    <t>20.80亿</t>
  </si>
  <si>
    <t>8.00亿</t>
  </si>
  <si>
    <t>929.26亿</t>
  </si>
  <si>
    <t>733.74亿</t>
  </si>
  <si>
    <t>1088.66亿</t>
  </si>
  <si>
    <t>949.75亿</t>
  </si>
  <si>
    <t>25.39亿</t>
  </si>
  <si>
    <t>7.69亿</t>
  </si>
  <si>
    <t>24.76亿</t>
  </si>
  <si>
    <t>73.65亿</t>
  </si>
  <si>
    <t>275.10亿</t>
  </si>
  <si>
    <t>2.63亿</t>
  </si>
  <si>
    <t>2.47亿</t>
  </si>
  <si>
    <t>2.09亿</t>
  </si>
  <si>
    <t>维他奶国际</t>
  </si>
  <si>
    <t>65.01亿</t>
  </si>
  <si>
    <t>-1.59亿</t>
  </si>
  <si>
    <t>75.20亿</t>
  </si>
  <si>
    <t>72.33亿</t>
  </si>
  <si>
    <t>54.06亿</t>
  </si>
  <si>
    <t>5.48亿</t>
  </si>
  <si>
    <t>6.96亿</t>
  </si>
  <si>
    <t>5.86亿</t>
  </si>
  <si>
    <t>6.18亿</t>
  </si>
  <si>
    <t>鞍钢股份</t>
  </si>
  <si>
    <t>1466.41亿</t>
  </si>
  <si>
    <t>1.76亿</t>
  </si>
  <si>
    <t>5.18亿</t>
  </si>
  <si>
    <t>29.57亿</t>
  </si>
  <si>
    <t>60.86亿</t>
  </si>
  <si>
    <t>23.88亿</t>
  </si>
  <si>
    <t>69.25亿</t>
  </si>
  <si>
    <t>1653.90亿</t>
  </si>
  <si>
    <t>1190.83亿</t>
  </si>
  <si>
    <t>1197.32亿</t>
  </si>
  <si>
    <t>1099.19亿</t>
  </si>
  <si>
    <t>23.58亿</t>
  </si>
  <si>
    <t>19.97亿</t>
  </si>
  <si>
    <t>90.54亿</t>
  </si>
  <si>
    <t>79.58亿</t>
  </si>
  <si>
    <t>427.57亿</t>
  </si>
  <si>
    <t>18.28亿</t>
  </si>
  <si>
    <t>243.02亿</t>
  </si>
  <si>
    <t>2.27亿</t>
  </si>
  <si>
    <t>中国软件国际</t>
  </si>
  <si>
    <t>225.68亿</t>
  </si>
  <si>
    <t>225.28亿</t>
  </si>
  <si>
    <t>168.07亿</t>
  </si>
  <si>
    <t>120.52亿</t>
  </si>
  <si>
    <t>110.82亿</t>
  </si>
  <si>
    <t>13.92亿</t>
  </si>
  <si>
    <t>11.38亿</t>
  </si>
  <si>
    <t>8.44亿</t>
  </si>
  <si>
    <t>8.15亿</t>
  </si>
  <si>
    <t>6.78亿</t>
  </si>
  <si>
    <t>5.40亿</t>
  </si>
  <si>
    <t>江西铜业股份</t>
  </si>
  <si>
    <t>5396.75亿</t>
  </si>
  <si>
    <t>67.70亿</t>
  </si>
  <si>
    <t>7.78亿</t>
  </si>
  <si>
    <t>5407.57亿</t>
  </si>
  <si>
    <t>3787.34亿</t>
  </si>
  <si>
    <t>2441.10亿</t>
  </si>
  <si>
    <t>2448.65亿</t>
  </si>
  <si>
    <t>70.68亿</t>
  </si>
  <si>
    <t>26.55亿</t>
  </si>
  <si>
    <t>27.24亿</t>
  </si>
  <si>
    <t>27.50亿</t>
  </si>
  <si>
    <t>1502.71亿</t>
  </si>
  <si>
    <t>3.45亿</t>
  </si>
  <si>
    <t>上海实业控股</t>
  </si>
  <si>
    <t>313.49亿</t>
  </si>
  <si>
    <t>23.14亿</t>
  </si>
  <si>
    <t>5.26亿</t>
  </si>
  <si>
    <t>387.48亿</t>
  </si>
  <si>
    <t>271.38亿</t>
  </si>
  <si>
    <t>304.13亿</t>
  </si>
  <si>
    <t>295.20亿</t>
  </si>
  <si>
    <t>37.28亿</t>
  </si>
  <si>
    <t>21.89亿</t>
  </si>
  <si>
    <t>33.50亿</t>
  </si>
  <si>
    <t>33.33亿</t>
  </si>
  <si>
    <t>31.35亿</t>
  </si>
  <si>
    <t>北控水务集团</t>
  </si>
  <si>
    <t>26.48亿</t>
  </si>
  <si>
    <t>278.80亿</t>
  </si>
  <si>
    <t>253.61亿</t>
  </si>
  <si>
    <t>245.97亿</t>
  </si>
  <si>
    <t>211.92亿</t>
  </si>
  <si>
    <t>41.47亿</t>
  </si>
  <si>
    <t>41.83亿</t>
  </si>
  <si>
    <t>44.71亿</t>
  </si>
  <si>
    <t>37.17亿</t>
  </si>
  <si>
    <t>4.44亿</t>
  </si>
  <si>
    <t>中国燃气</t>
  </si>
  <si>
    <t>882.25亿</t>
  </si>
  <si>
    <t>76.62亿</t>
  </si>
  <si>
    <t>699.75亿</t>
  </si>
  <si>
    <t>595.40亿</t>
  </si>
  <si>
    <t>528.32亿</t>
  </si>
  <si>
    <t>319.93亿</t>
  </si>
  <si>
    <t>104.79亿</t>
  </si>
  <si>
    <t>91.88亿</t>
  </si>
  <si>
    <t>82.24亿</t>
  </si>
  <si>
    <t>60.95亿</t>
  </si>
  <si>
    <t>2.14亿</t>
  </si>
  <si>
    <t>中国石油化工股份</t>
  </si>
  <si>
    <t>36746.23亿</t>
  </si>
  <si>
    <t>746.27亿</t>
  </si>
  <si>
    <t>29.02亿</t>
  </si>
  <si>
    <t>32810.48亿</t>
  </si>
  <si>
    <t>24417.91亿</t>
  </si>
  <si>
    <t>32172.43亿</t>
  </si>
  <si>
    <t>27580.33亿</t>
  </si>
  <si>
    <t>881.33亿</t>
  </si>
  <si>
    <t>398.61亿</t>
  </si>
  <si>
    <t>642.17亿</t>
  </si>
  <si>
    <t>701.58亿</t>
  </si>
  <si>
    <t>614.36亿</t>
  </si>
  <si>
    <t>8430.26亿</t>
  </si>
  <si>
    <t>石油及天然气</t>
  </si>
  <si>
    <t>6.12亿</t>
  </si>
  <si>
    <t>香港交易所</t>
  </si>
  <si>
    <t>171.00亿</t>
  </si>
  <si>
    <t>100.78亿</t>
  </si>
  <si>
    <t>15.23亿</t>
  </si>
  <si>
    <t>15.35亿</t>
  </si>
  <si>
    <t>4.31亿</t>
  </si>
  <si>
    <t>196.46亿</t>
  </si>
  <si>
    <t>169.62亿</t>
  </si>
  <si>
    <t>135.82亿</t>
  </si>
  <si>
    <t>142.83亿</t>
  </si>
  <si>
    <t>125.35亿</t>
  </si>
  <si>
    <t>115.05亿</t>
  </si>
  <si>
    <t>93.91亿</t>
  </si>
  <si>
    <t>93.12亿</t>
  </si>
  <si>
    <t>74.04亿</t>
  </si>
  <si>
    <t>45.98亿</t>
  </si>
  <si>
    <t>26.68亿</t>
  </si>
  <si>
    <t>中国中铁</t>
  </si>
  <si>
    <t>13022.21亿</t>
  </si>
  <si>
    <t>332.16亿</t>
  </si>
  <si>
    <t>17.26亿</t>
  </si>
  <si>
    <t>14.49亿</t>
  </si>
  <si>
    <t>2.94亿</t>
  </si>
  <si>
    <t>13142.22亿</t>
  </si>
  <si>
    <t>11617.83亿</t>
  </si>
  <si>
    <t>8430.00亿</t>
  </si>
  <si>
    <t>8257.70亿</t>
  </si>
  <si>
    <t>311.87亿</t>
  </si>
  <si>
    <t>282.10亿</t>
  </si>
  <si>
    <t>264.60亿</t>
  </si>
  <si>
    <t>195.82亿</t>
  </si>
  <si>
    <t>192.63亿</t>
  </si>
  <si>
    <t>3276.98亿</t>
  </si>
  <si>
    <t>93.57亿</t>
  </si>
  <si>
    <t>建筑</t>
  </si>
  <si>
    <t>北京控股</t>
  </si>
  <si>
    <t>23.15亿</t>
  </si>
  <si>
    <t>805.22亿</t>
  </si>
  <si>
    <t>684.07亿</t>
  </si>
  <si>
    <t>677.65亿</t>
  </si>
  <si>
    <t>575.08亿</t>
  </si>
  <si>
    <t>99.19亿</t>
  </si>
  <si>
    <t>52.87亿</t>
  </si>
  <si>
    <t>80.55亿</t>
  </si>
  <si>
    <t>75.77亿</t>
  </si>
  <si>
    <t>68.80亿</t>
  </si>
  <si>
    <t>7.39亿</t>
  </si>
  <si>
    <t>SOHO中国</t>
  </si>
  <si>
    <t>20.02亿</t>
  </si>
  <si>
    <t>6904.87万</t>
  </si>
  <si>
    <t>18.69亿</t>
  </si>
  <si>
    <t>21.33亿</t>
  </si>
  <si>
    <t>26.12亿</t>
  </si>
  <si>
    <t>19.59亿</t>
  </si>
  <si>
    <t>23.53亿</t>
  </si>
  <si>
    <t>-1.61亿</t>
  </si>
  <si>
    <t>14.88亿</t>
  </si>
  <si>
    <t>21.92亿</t>
  </si>
  <si>
    <t>56.75亿</t>
  </si>
  <si>
    <t>11.83亿</t>
  </si>
  <si>
    <t>敏实集团</t>
  </si>
  <si>
    <t>195.23亿</t>
  </si>
  <si>
    <t>16.93亿</t>
  </si>
  <si>
    <t>20.93亿</t>
  </si>
  <si>
    <t>170.44亿</t>
  </si>
  <si>
    <t>148.59亿</t>
  </si>
  <si>
    <t>136.49亿</t>
  </si>
  <si>
    <t>18.32亿</t>
  </si>
  <si>
    <t>16.63亿</t>
  </si>
  <si>
    <t>18.89亿</t>
  </si>
  <si>
    <t>18.91亿</t>
  </si>
  <si>
    <t>24.28亿</t>
  </si>
  <si>
    <t>86.01亿</t>
  </si>
  <si>
    <t>大新金融</t>
  </si>
  <si>
    <t>73.15亿</t>
  </si>
  <si>
    <t>11.71亿</t>
  </si>
  <si>
    <t>60.14亿</t>
  </si>
  <si>
    <t>59.23亿</t>
  </si>
  <si>
    <t>61.44亿</t>
  </si>
  <si>
    <t>54.99亿</t>
  </si>
  <si>
    <t>13.08亿</t>
  </si>
  <si>
    <t>11.58亿</t>
  </si>
  <si>
    <t>17.08亿</t>
  </si>
  <si>
    <t>19.15亿</t>
  </si>
  <si>
    <t>54.05亿</t>
  </si>
  <si>
    <t>109.42亿</t>
  </si>
  <si>
    <t>四环医药</t>
  </si>
  <si>
    <t>26.86亿</t>
  </si>
  <si>
    <t>-21.60亿</t>
  </si>
  <si>
    <t>10.57亿</t>
  </si>
  <si>
    <t>28.57亿</t>
  </si>
  <si>
    <t>40.30亿</t>
  </si>
  <si>
    <t>29.48亿</t>
  </si>
  <si>
    <t>33.22亿</t>
  </si>
  <si>
    <t>32.92亿</t>
  </si>
  <si>
    <t>5.10亿</t>
  </si>
  <si>
    <t>5.64亿</t>
  </si>
  <si>
    <t>-30.77亿</t>
  </si>
  <si>
    <t>18.44亿</t>
  </si>
  <si>
    <t>17.37亿</t>
  </si>
  <si>
    <t>87.98亿</t>
  </si>
  <si>
    <t>联合能源集团</t>
  </si>
  <si>
    <t>107.54亿</t>
  </si>
  <si>
    <t>26.01亿</t>
  </si>
  <si>
    <t>6.07亿</t>
  </si>
  <si>
    <t>74.37亿</t>
  </si>
  <si>
    <t>62.04亿</t>
  </si>
  <si>
    <t>52.79亿</t>
  </si>
  <si>
    <t>44.21亿</t>
  </si>
  <si>
    <t>19.06亿</t>
  </si>
  <si>
    <t>16.38亿</t>
  </si>
  <si>
    <t>13.16亿</t>
  </si>
  <si>
    <t>3.97亿</t>
  </si>
  <si>
    <t>东风集团股份</t>
  </si>
  <si>
    <t>1045.33亿</t>
  </si>
  <si>
    <t>115.80亿</t>
  </si>
  <si>
    <t>467.11亿</t>
  </si>
  <si>
    <t>74.03亿</t>
  </si>
  <si>
    <t>1385.74亿</t>
  </si>
  <si>
    <t>1292.51亿</t>
  </si>
  <si>
    <t>1190.33亿</t>
  </si>
  <si>
    <t>1510.37亿</t>
  </si>
  <si>
    <t>128.22亿</t>
  </si>
  <si>
    <t>143.69亿</t>
  </si>
  <si>
    <t>147.78亿</t>
  </si>
  <si>
    <t>168.58亿</t>
  </si>
  <si>
    <t>8.86亿</t>
  </si>
  <si>
    <t>4.43亿</t>
  </si>
  <si>
    <t>858.11亿</t>
  </si>
  <si>
    <t>专业零售</t>
  </si>
  <si>
    <t>66.14亿</t>
  </si>
  <si>
    <t>3.65亿</t>
  </si>
  <si>
    <t>18.70亿</t>
  </si>
  <si>
    <t>远大医药</t>
  </si>
  <si>
    <t>95.62亿</t>
  </si>
  <si>
    <t>20.79亿</t>
  </si>
  <si>
    <t>5.32亿</t>
  </si>
  <si>
    <t>2098251000亿</t>
  </si>
  <si>
    <t>22371061000亿</t>
  </si>
  <si>
    <t>8.73亿</t>
  </si>
  <si>
    <t>64.55亿</t>
  </si>
  <si>
    <t>18.43亿</t>
  </si>
  <si>
    <t>-23.60亿</t>
  </si>
  <si>
    <t>85.98亿</t>
  </si>
  <si>
    <t>63.53亿</t>
  </si>
  <si>
    <t>65.91亿</t>
  </si>
  <si>
    <t>59.58亿</t>
  </si>
  <si>
    <t>47.71亿</t>
  </si>
  <si>
    <t>24.03亿</t>
  </si>
  <si>
    <t>17.93亿</t>
  </si>
  <si>
    <t>11.51亿</t>
  </si>
  <si>
    <t>7.13亿</t>
  </si>
  <si>
    <t>4.61亿</t>
  </si>
  <si>
    <t>18.93亿</t>
  </si>
  <si>
    <t>呷哺呷哺</t>
  </si>
  <si>
    <t>53.30亿</t>
  </si>
  <si>
    <t>-3.98亿</t>
  </si>
  <si>
    <t>-8.73亿</t>
  </si>
  <si>
    <t>75.27亿</t>
  </si>
  <si>
    <t>65.02亿</t>
  </si>
  <si>
    <t>67.39亿</t>
  </si>
  <si>
    <t>53.90亿</t>
  </si>
  <si>
    <t>43.93亿</t>
  </si>
  <si>
    <t>218.95万</t>
  </si>
  <si>
    <t>3.22亿</t>
  </si>
  <si>
    <t>5.27亿</t>
  </si>
  <si>
    <t>5.04亿</t>
  </si>
  <si>
    <t>11.13亿</t>
  </si>
  <si>
    <t>ASMPT</t>
  </si>
  <si>
    <t>193.63亿</t>
  </si>
  <si>
    <t>26.20亿</t>
  </si>
  <si>
    <t>15.84亿</t>
  </si>
  <si>
    <t>3.90亿</t>
  </si>
  <si>
    <t>20.26亿</t>
  </si>
  <si>
    <t>52.47亿</t>
  </si>
  <si>
    <t>219.48亿</t>
  </si>
  <si>
    <t>147.00亿</t>
  </si>
  <si>
    <t>195.51亿</t>
  </si>
  <si>
    <t>175.23亿</t>
  </si>
  <si>
    <t>31.69亿</t>
  </si>
  <si>
    <t>22.16亿</t>
  </si>
  <si>
    <t>28.15亿</t>
  </si>
  <si>
    <t>52.67亿</t>
  </si>
  <si>
    <t>半导体</t>
  </si>
  <si>
    <t>广深铁路股份</t>
  </si>
  <si>
    <t>224.86亿</t>
  </si>
  <si>
    <t>-22.50亿</t>
  </si>
  <si>
    <t>19.96亿</t>
  </si>
  <si>
    <t>8.01亿</t>
  </si>
  <si>
    <t>92.96亿</t>
  </si>
  <si>
    <t>-3.45亿</t>
  </si>
  <si>
    <t>246.74亿</t>
  </si>
  <si>
    <t>225.76亿</t>
  </si>
  <si>
    <t>219.78亿</t>
  </si>
  <si>
    <t>-11.92亿</t>
  </si>
  <si>
    <t>-6.65亿</t>
  </si>
  <si>
    <t>8.93亿</t>
  </si>
  <si>
    <t>12.17亿</t>
  </si>
  <si>
    <t>61.63亿</t>
  </si>
  <si>
    <t>-4.91亿</t>
  </si>
  <si>
    <t>6.46亿</t>
  </si>
  <si>
    <t>金地商置</t>
  </si>
  <si>
    <t>116.22亿</t>
  </si>
  <si>
    <t>26.07亿</t>
  </si>
  <si>
    <t>173.69亿</t>
  </si>
  <si>
    <t>201.24亿</t>
  </si>
  <si>
    <t>80.60亿</t>
  </si>
  <si>
    <t>56.48亿</t>
  </si>
  <si>
    <t>49.15亿</t>
  </si>
  <si>
    <t>51.90亿</t>
  </si>
  <si>
    <t>42.46亿</t>
  </si>
  <si>
    <t>25.65亿</t>
  </si>
  <si>
    <t>19.70亿</t>
  </si>
  <si>
    <t>58.86亿</t>
  </si>
  <si>
    <t>阜丰集团</t>
  </si>
  <si>
    <t>309.94亿</t>
  </si>
  <si>
    <t>43.56亿</t>
  </si>
  <si>
    <t>40.61亿</t>
  </si>
  <si>
    <t>263.76亿</t>
  </si>
  <si>
    <t>198.94亿</t>
  </si>
  <si>
    <t>156.72亿</t>
  </si>
  <si>
    <t>156.26亿</t>
  </si>
  <si>
    <t>15.68亿</t>
  </si>
  <si>
    <t>7.51亿</t>
  </si>
  <si>
    <t>21.01亿</t>
  </si>
  <si>
    <t>16.57亿</t>
  </si>
  <si>
    <t>深圳高速公路股份</t>
  </si>
  <si>
    <t>467.72亿</t>
  </si>
  <si>
    <t>21.67亿</t>
  </si>
  <si>
    <t>105.28亿</t>
  </si>
  <si>
    <t>22.72亿</t>
  </si>
  <si>
    <t>8.52亿</t>
  </si>
  <si>
    <t>13.14亿</t>
  </si>
  <si>
    <t>2.97亿</t>
  </si>
  <si>
    <t>44.94亿</t>
  </si>
  <si>
    <t>30.64亿</t>
  </si>
  <si>
    <t>132.38亿</t>
  </si>
  <si>
    <t>94.87亿</t>
  </si>
  <si>
    <t>66.12亿</t>
  </si>
  <si>
    <t>62.47亿</t>
  </si>
  <si>
    <t>31.91亿</t>
  </si>
  <si>
    <t>24.49亿</t>
  </si>
  <si>
    <t>40.27亿</t>
  </si>
  <si>
    <t>16.59亿</t>
  </si>
  <si>
    <t>21.76亿</t>
  </si>
  <si>
    <t>5.09亿</t>
  </si>
  <si>
    <t>147.41亿</t>
  </si>
  <si>
    <t>裕元集团</t>
  </si>
  <si>
    <t>700.40亿</t>
  </si>
  <si>
    <t>11.20亿</t>
  </si>
  <si>
    <t>156.42亿</t>
  </si>
  <si>
    <t>665.43亿</t>
  </si>
  <si>
    <t>654.74亿</t>
  </si>
  <si>
    <t>759.53亿</t>
  </si>
  <si>
    <t>712.75亿</t>
  </si>
  <si>
    <t>-7.04亿</t>
  </si>
  <si>
    <t>23.40亿</t>
  </si>
  <si>
    <t>24.06亿</t>
  </si>
  <si>
    <t>40.57亿</t>
  </si>
  <si>
    <t>187.50亿</t>
  </si>
  <si>
    <t>6.94亿</t>
  </si>
  <si>
    <t>中国通信服务</t>
  </si>
  <si>
    <t>37.88亿</t>
  </si>
  <si>
    <t>1640.72亿</t>
  </si>
  <si>
    <t>1461.85亿</t>
  </si>
  <si>
    <t>1208.93亿</t>
  </si>
  <si>
    <t>1133.83亿</t>
  </si>
  <si>
    <t>38.66亿</t>
  </si>
  <si>
    <t>36.73亿</t>
  </si>
  <si>
    <t>34.08亿</t>
  </si>
  <si>
    <t>33.03亿</t>
  </si>
  <si>
    <t>32.54亿</t>
  </si>
  <si>
    <t>7.30亿</t>
  </si>
  <si>
    <t>南京熊猫电子股份</t>
  </si>
  <si>
    <t>43.32亿</t>
  </si>
  <si>
    <t>4567.20万</t>
  </si>
  <si>
    <t>14.10亿</t>
  </si>
  <si>
    <t>18.88亿</t>
  </si>
  <si>
    <t>16.68亿</t>
  </si>
  <si>
    <t>19.68亿</t>
  </si>
  <si>
    <t>1.70亿</t>
  </si>
  <si>
    <t>55.23亿</t>
  </si>
  <si>
    <t>46.80亿</t>
  </si>
  <si>
    <t>51.82亿</t>
  </si>
  <si>
    <t>51.01亿</t>
  </si>
  <si>
    <t>50.26亿</t>
  </si>
  <si>
    <t>5134.15万</t>
  </si>
  <si>
    <t>9215.55万</t>
  </si>
  <si>
    <t>5884.52万</t>
  </si>
  <si>
    <t>1.29亿</t>
  </si>
  <si>
    <t>13.01亿</t>
  </si>
  <si>
    <t>-2090.84万</t>
  </si>
  <si>
    <t>6.66亿</t>
  </si>
  <si>
    <t>力劲科技</t>
  </si>
  <si>
    <t>53.62亿</t>
  </si>
  <si>
    <t>6.26亿</t>
  </si>
  <si>
    <t>15.07亿</t>
  </si>
  <si>
    <t>34.06亿</t>
  </si>
  <si>
    <t>1.83亿</t>
  </si>
  <si>
    <t>40.21亿</t>
  </si>
  <si>
    <t>27.46亿</t>
  </si>
  <si>
    <t>36.04亿</t>
  </si>
  <si>
    <t>37.29亿</t>
  </si>
  <si>
    <t>32.25亿</t>
  </si>
  <si>
    <t>327.80万</t>
  </si>
  <si>
    <t>1.91亿</t>
  </si>
  <si>
    <t>郑煤机</t>
  </si>
  <si>
    <t>104.92亿</t>
  </si>
  <si>
    <t>361.48亿</t>
  </si>
  <si>
    <t>28.63亿</t>
  </si>
  <si>
    <t>21.72亿</t>
  </si>
  <si>
    <t>7.85亿</t>
  </si>
  <si>
    <t>16.44亿</t>
  </si>
  <si>
    <t>108.46亿</t>
  </si>
  <si>
    <t>27.40亿</t>
  </si>
  <si>
    <t>358.70亿</t>
  </si>
  <si>
    <t>316.08亿</t>
  </si>
  <si>
    <t>296.17亿</t>
  </si>
  <si>
    <t>90.48亿</t>
  </si>
  <si>
    <t>23.85亿</t>
  </si>
  <si>
    <t>14.77亿</t>
  </si>
  <si>
    <t>9.48亿</t>
  </si>
  <si>
    <t>3.41亿</t>
  </si>
  <si>
    <t>99.55亿</t>
  </si>
  <si>
    <t>8.41亿</t>
  </si>
  <si>
    <t>42.79亿</t>
  </si>
  <si>
    <t>9.39亿</t>
  </si>
  <si>
    <t>-4.79亿</t>
  </si>
  <si>
    <t>4.39亿</t>
  </si>
  <si>
    <t>7.63亿</t>
  </si>
  <si>
    <t>7.20亿</t>
  </si>
  <si>
    <t>34.51亿</t>
  </si>
  <si>
    <t>45.48亿</t>
  </si>
  <si>
    <t>35.64亿</t>
  </si>
  <si>
    <t>48.76亿</t>
  </si>
  <si>
    <t>-4.51亿</t>
  </si>
  <si>
    <t>-2.19亿</t>
  </si>
  <si>
    <t>中国中药</t>
  </si>
  <si>
    <t>161.37亿</t>
  </si>
  <si>
    <t>8.62亿</t>
  </si>
  <si>
    <t>813080330亿</t>
  </si>
  <si>
    <t>40182855000亿</t>
  </si>
  <si>
    <t>21.31亿</t>
  </si>
  <si>
    <t>113.97亿</t>
  </si>
  <si>
    <t>12.32亿</t>
  </si>
  <si>
    <t>-4.22亿</t>
  </si>
  <si>
    <t>233.30亿</t>
  </si>
  <si>
    <t>176.47亿</t>
  </si>
  <si>
    <t>160.04亿</t>
  </si>
  <si>
    <t>128.19亿</t>
  </si>
  <si>
    <t>99.96亿</t>
  </si>
  <si>
    <t>23.67亿</t>
  </si>
  <si>
    <t>19.82亿</t>
  </si>
  <si>
    <t>17.75亿</t>
  </si>
  <si>
    <t>31.99亿</t>
  </si>
  <si>
    <t>浙江沪杭甬</t>
  </si>
  <si>
    <t>43.42亿</t>
  </si>
  <si>
    <t>60.68亿</t>
  </si>
  <si>
    <t>19.50亿</t>
  </si>
  <si>
    <t>199.14亿</t>
  </si>
  <si>
    <t>148.41亿</t>
  </si>
  <si>
    <t>127.43亿</t>
  </si>
  <si>
    <t>115.41亿</t>
  </si>
  <si>
    <t>58.32亿</t>
  </si>
  <si>
    <t>28.80亿</t>
  </si>
  <si>
    <t>40.02亿</t>
  </si>
  <si>
    <t>38.39亿</t>
  </si>
  <si>
    <t>44.84亿</t>
  </si>
  <si>
    <t>13.38亿</t>
  </si>
  <si>
    <t>323.36亿</t>
  </si>
  <si>
    <t>中国东方集团</t>
  </si>
  <si>
    <t>548.49亿</t>
  </si>
  <si>
    <t>9.11亿</t>
  </si>
  <si>
    <t>636.22亿</t>
  </si>
  <si>
    <t>466.62亿</t>
  </si>
  <si>
    <t>464.35亿</t>
  </si>
  <si>
    <t>495.78亿</t>
  </si>
  <si>
    <t>30.53亿</t>
  </si>
  <si>
    <t>35.88亿</t>
  </si>
  <si>
    <t>54.44亿</t>
  </si>
  <si>
    <t>58.02亿</t>
  </si>
  <si>
    <t>海螺创业</t>
  </si>
  <si>
    <t>92.78亿</t>
  </si>
  <si>
    <t>180.04亿</t>
  </si>
  <si>
    <t>20.42亿</t>
  </si>
  <si>
    <t>102.25亿</t>
  </si>
  <si>
    <t>78.72亿</t>
  </si>
  <si>
    <t>32.90亿</t>
  </si>
  <si>
    <t>91.32亿</t>
  </si>
  <si>
    <t>90.79亿</t>
  </si>
  <si>
    <t>78.18亿</t>
  </si>
  <si>
    <t>67.72亿</t>
  </si>
  <si>
    <t>40.80亿</t>
  </si>
  <si>
    <t>1.55亿</t>
  </si>
  <si>
    <t>3.71亿</t>
  </si>
  <si>
    <t>2.43亿</t>
  </si>
  <si>
    <t>13.64亿</t>
  </si>
  <si>
    <t>4.52亿</t>
  </si>
  <si>
    <t>5.59亿</t>
  </si>
  <si>
    <t>11.21亿</t>
  </si>
  <si>
    <t>北京北辰实业股份</t>
  </si>
  <si>
    <t>594.14亿</t>
  </si>
  <si>
    <t>182.96亿</t>
  </si>
  <si>
    <t>46.68亿</t>
  </si>
  <si>
    <t>146.53亿</t>
  </si>
  <si>
    <t>-16.60亿</t>
  </si>
  <si>
    <t>6535.47万</t>
  </si>
  <si>
    <t>2.65亿</t>
  </si>
  <si>
    <t>507.17万</t>
  </si>
  <si>
    <t>55028881亿</t>
  </si>
  <si>
    <t>150.07亿</t>
  </si>
  <si>
    <t>77710578000亿</t>
  </si>
  <si>
    <t>32.62亿</t>
  </si>
  <si>
    <t>75.37亿</t>
  </si>
  <si>
    <t>71.62亿</t>
  </si>
  <si>
    <t>353.74亿</t>
  </si>
  <si>
    <t>331.88亿</t>
  </si>
  <si>
    <t>195.27亿</t>
  </si>
  <si>
    <t>25.90亿</t>
  </si>
  <si>
    <t>-2.55亿</t>
  </si>
  <si>
    <t>9050.32万</t>
  </si>
  <si>
    <t>271.63亿</t>
  </si>
  <si>
    <t>214.49亿</t>
  </si>
  <si>
    <t>224.87亿</t>
  </si>
  <si>
    <t>203.40亿</t>
  </si>
  <si>
    <t>183.47亿</t>
  </si>
  <si>
    <t>2.41亿</t>
  </si>
  <si>
    <t>2581.42万</t>
  </si>
  <si>
    <t>19.99亿</t>
  </si>
  <si>
    <t>16.66亿</t>
  </si>
  <si>
    <t>4090.64万</t>
  </si>
  <si>
    <t>六福集团</t>
  </si>
  <si>
    <t>117.38亿</t>
  </si>
  <si>
    <t>39.09亿</t>
  </si>
  <si>
    <t>88.61亿</t>
  </si>
  <si>
    <t>112.34亿</t>
  </si>
  <si>
    <t>145.78亿</t>
  </si>
  <si>
    <t>128.07亿</t>
  </si>
  <si>
    <t>10.17亿</t>
  </si>
  <si>
    <t>8.66亿</t>
  </si>
  <si>
    <t>14.93亿</t>
  </si>
  <si>
    <t>13.69亿</t>
  </si>
  <si>
    <t>中国外运</t>
  </si>
  <si>
    <t>45.89亿</t>
  </si>
  <si>
    <t>2.80亿</t>
  </si>
  <si>
    <t>1.81亿</t>
  </si>
  <si>
    <t>11.47亿</t>
  </si>
  <si>
    <t>1519.92亿</t>
  </si>
  <si>
    <t>1005.48亿</t>
  </si>
  <si>
    <t>880.27亿</t>
  </si>
  <si>
    <t>877.09亿</t>
  </si>
  <si>
    <t>45.47亿</t>
  </si>
  <si>
    <t>32.83亿</t>
  </si>
  <si>
    <t>31.33亿</t>
  </si>
  <si>
    <t>30.79亿</t>
  </si>
  <si>
    <t>364.78亿</t>
  </si>
  <si>
    <t>12.12亿</t>
  </si>
  <si>
    <t>深圳控股</t>
  </si>
  <si>
    <t>315.40亿</t>
  </si>
  <si>
    <t>20.85亿</t>
  </si>
  <si>
    <t>320.50亿</t>
  </si>
  <si>
    <t>188.03亿</t>
  </si>
  <si>
    <t>166.43亿</t>
  </si>
  <si>
    <t>102.54亿</t>
  </si>
  <si>
    <t>-27.22亿</t>
  </si>
  <si>
    <t>37.23亿</t>
  </si>
  <si>
    <t>34.15亿</t>
  </si>
  <si>
    <t>49.51亿</t>
  </si>
  <si>
    <t>三一国际</t>
  </si>
  <si>
    <t>175.27亿</t>
  </si>
  <si>
    <t>18.78亿</t>
  </si>
  <si>
    <t>9.70亿</t>
  </si>
  <si>
    <t>124.83亿</t>
  </si>
  <si>
    <t>87.77亿</t>
  </si>
  <si>
    <t>50.29亿</t>
  </si>
  <si>
    <t>29.75亿</t>
  </si>
  <si>
    <t>15.42亿</t>
  </si>
  <si>
    <t>12.46亿</t>
  </si>
  <si>
    <t>6.83亿</t>
  </si>
  <si>
    <t>50.76亿</t>
  </si>
  <si>
    <t>35.12亿</t>
  </si>
  <si>
    <t>嘉里物流</t>
  </si>
  <si>
    <t>866.49亿</t>
  </si>
  <si>
    <t>35.79亿</t>
  </si>
  <si>
    <t>53.84亿</t>
  </si>
  <si>
    <t>817.71亿</t>
  </si>
  <si>
    <t>533.61亿</t>
  </si>
  <si>
    <t>381.39亿</t>
  </si>
  <si>
    <t>307.88亿</t>
  </si>
  <si>
    <t>79.39亿</t>
  </si>
  <si>
    <t>28.96亿</t>
  </si>
  <si>
    <t>24.40亿</t>
  </si>
  <si>
    <t>21.16亿</t>
  </si>
  <si>
    <t>首钢资源</t>
  </si>
  <si>
    <t>82.15亿</t>
  </si>
  <si>
    <t>27.15亿</t>
  </si>
  <si>
    <t>6.15亿</t>
  </si>
  <si>
    <t>-11.51亿</t>
  </si>
  <si>
    <t>70.76亿</t>
  </si>
  <si>
    <t>39.97亿</t>
  </si>
  <si>
    <t>36.86亿</t>
  </si>
  <si>
    <t>34.72亿</t>
  </si>
  <si>
    <t>25.38亿</t>
  </si>
  <si>
    <t>10.80亿</t>
  </si>
  <si>
    <t>11.40亿</t>
  </si>
  <si>
    <t>11.00亿</t>
  </si>
  <si>
    <t>10.81亿</t>
  </si>
  <si>
    <t>煤炭</t>
  </si>
  <si>
    <t>普达特科技</t>
  </si>
  <si>
    <t>8.89亿</t>
  </si>
  <si>
    <t>-4.04亿</t>
  </si>
  <si>
    <t>17.61亿</t>
  </si>
  <si>
    <t>7677.90万</t>
  </si>
  <si>
    <t>-3.87亿</t>
  </si>
  <si>
    <t>-2.77亿</t>
  </si>
  <si>
    <t>2737.90万</t>
  </si>
  <si>
    <t>1449.30万</t>
  </si>
  <si>
    <t>-4.62亿</t>
  </si>
  <si>
    <t>677.90万</t>
  </si>
  <si>
    <t>复星国际</t>
  </si>
  <si>
    <t>5.95亿</t>
  </si>
  <si>
    <t>1975.01亿</t>
  </si>
  <si>
    <t>1629.82亿</t>
  </si>
  <si>
    <t>1245.08亿</t>
  </si>
  <si>
    <t>1055.33亿</t>
  </si>
  <si>
    <t>95.33亿</t>
  </si>
  <si>
    <t>165.36亿</t>
  </si>
  <si>
    <t>152.61亿</t>
  </si>
  <si>
    <t>157.77亿</t>
  </si>
  <si>
    <t>8.40亿</t>
  </si>
  <si>
    <t>10.23亿</t>
  </si>
  <si>
    <t>10.02亿</t>
  </si>
  <si>
    <t>2.37亿</t>
  </si>
  <si>
    <t>5.42亿</t>
  </si>
  <si>
    <t>新创建集团</t>
  </si>
  <si>
    <t>311.39亿</t>
  </si>
  <si>
    <t>15.87亿</t>
  </si>
  <si>
    <t>1468700000亿</t>
  </si>
  <si>
    <t>148548000000亿</t>
  </si>
  <si>
    <t>6.34亿</t>
  </si>
  <si>
    <t>569.43亿</t>
  </si>
  <si>
    <t>288.52亿</t>
  </si>
  <si>
    <t>259.20亿</t>
  </si>
  <si>
    <t>268.33亿</t>
  </si>
  <si>
    <t>351.15亿</t>
  </si>
  <si>
    <t>313.85亿</t>
  </si>
  <si>
    <t>40.43亿</t>
  </si>
  <si>
    <t>60.69亿</t>
  </si>
  <si>
    <t>56.29亿</t>
  </si>
  <si>
    <t>430.89亿</t>
  </si>
  <si>
    <t>3.01亿</t>
  </si>
  <si>
    <t>15.51亿</t>
  </si>
  <si>
    <t>30.29亿</t>
  </si>
  <si>
    <t>2.81亿</t>
  </si>
  <si>
    <t>中国东方教育</t>
  </si>
  <si>
    <t>43.08亿</t>
  </si>
  <si>
    <t>4.14亿</t>
  </si>
  <si>
    <t>1.31亿</t>
  </si>
  <si>
    <t>26.31亿</t>
  </si>
  <si>
    <t>50.69亿</t>
  </si>
  <si>
    <t>5.81亿</t>
  </si>
  <si>
    <t>20.23亿</t>
  </si>
  <si>
    <t>支援服务</t>
  </si>
  <si>
    <t>创科实业</t>
  </si>
  <si>
    <t>1034.87亿</t>
  </si>
  <si>
    <t>84.10亿</t>
  </si>
  <si>
    <t>1029.58亿</t>
  </si>
  <si>
    <t>760.72亿</t>
  </si>
  <si>
    <t>550.04亿</t>
  </si>
  <si>
    <t>473.81亿</t>
  </si>
  <si>
    <t>85.70亿</t>
  </si>
  <si>
    <t>62.08亿</t>
  </si>
  <si>
    <t>47.88亿</t>
  </si>
  <si>
    <t>43.28亿</t>
  </si>
  <si>
    <t>36.76亿</t>
  </si>
  <si>
    <t>家庭电器及用品</t>
  </si>
  <si>
    <t>中国东方航空股份</t>
  </si>
  <si>
    <t>-421.75亿</t>
  </si>
  <si>
    <t>276.40亿</t>
  </si>
  <si>
    <t>9.97亿</t>
  </si>
  <si>
    <t>3.56亿</t>
  </si>
  <si>
    <t>821.97亿</t>
  </si>
  <si>
    <t>699.97亿</t>
  </si>
  <si>
    <t>1312.56亿</t>
  </si>
  <si>
    <t>1228.57亿</t>
  </si>
  <si>
    <t>-149.56亿</t>
  </si>
  <si>
    <t>-141.07亿</t>
  </si>
  <si>
    <t>35.67亿</t>
  </si>
  <si>
    <t>30.72亿</t>
  </si>
  <si>
    <t>76.03亿</t>
  </si>
  <si>
    <t>155.86亿</t>
  </si>
  <si>
    <t>-95.70亿</t>
  </si>
  <si>
    <t>37.50亿</t>
  </si>
  <si>
    <t>嘉里建设</t>
  </si>
  <si>
    <t>145.90亿</t>
  </si>
  <si>
    <t>27.55亿</t>
  </si>
  <si>
    <t>3.36亿</t>
  </si>
  <si>
    <t>-3.60亿</t>
  </si>
  <si>
    <t>153.27亿</t>
  </si>
  <si>
    <t>145.26亿</t>
  </si>
  <si>
    <t>214.33亿</t>
  </si>
  <si>
    <t>355.48亿</t>
  </si>
  <si>
    <t>103.58亿</t>
  </si>
  <si>
    <t>54.03亿</t>
  </si>
  <si>
    <t>68.97亿</t>
  </si>
  <si>
    <t>74.99亿</t>
  </si>
  <si>
    <t>92.42亿</t>
  </si>
  <si>
    <t>328.09亿</t>
  </si>
  <si>
    <t>中国海外发展</t>
  </si>
  <si>
    <t>2034.21亿</t>
  </si>
  <si>
    <t>262.45亿</t>
  </si>
  <si>
    <t>2966.24亿</t>
  </si>
  <si>
    <t>2214.43亿</t>
  </si>
  <si>
    <t>1639.89亿</t>
  </si>
  <si>
    <t>1639.72亿</t>
  </si>
  <si>
    <t>491.70亿</t>
  </si>
  <si>
    <t>523.29亿</t>
  </si>
  <si>
    <t>465.08亿</t>
  </si>
  <si>
    <t>429.44亿</t>
  </si>
  <si>
    <t>407.67亿</t>
  </si>
  <si>
    <t>355.55亿</t>
  </si>
  <si>
    <t>16.34亿</t>
  </si>
  <si>
    <t>5.74亿</t>
  </si>
  <si>
    <t>北京首都机场股份</t>
  </si>
  <si>
    <t>22.50亿</t>
  </si>
  <si>
    <t>-39.78亿</t>
  </si>
  <si>
    <t>35.20亿</t>
  </si>
  <si>
    <t>-5.41亿</t>
  </si>
  <si>
    <t>38.08亿</t>
  </si>
  <si>
    <t>39.77亿</t>
  </si>
  <si>
    <t>128.23亿</t>
  </si>
  <si>
    <t>114.79亿</t>
  </si>
  <si>
    <t>-25.92亿</t>
  </si>
  <si>
    <t>-24.25亿</t>
  </si>
  <si>
    <t>27.04亿</t>
  </si>
  <si>
    <t>32.70亿</t>
  </si>
  <si>
    <t>31.18亿</t>
  </si>
  <si>
    <t>1.13亿</t>
  </si>
  <si>
    <t>中国民航信息网络</t>
  </si>
  <si>
    <t>7.07亿</t>
  </si>
  <si>
    <t>7.92亿</t>
  </si>
  <si>
    <t>64.40亿</t>
  </si>
  <si>
    <t>84.27亿</t>
  </si>
  <si>
    <t>80.31亿</t>
  </si>
  <si>
    <t>6.75亿</t>
  </si>
  <si>
    <t>4.32亿</t>
  </si>
  <si>
    <t>28.42亿</t>
  </si>
  <si>
    <t>26.47亿</t>
  </si>
  <si>
    <t>26.96亿</t>
  </si>
  <si>
    <t>2.99亿</t>
  </si>
  <si>
    <t>首程控股</t>
  </si>
  <si>
    <t>16.00亿</t>
  </si>
  <si>
    <t>2.02亿</t>
  </si>
  <si>
    <t>14.71亿</t>
  </si>
  <si>
    <t>11.95亿</t>
  </si>
  <si>
    <t>38.16亿</t>
  </si>
  <si>
    <t>-10.95亿</t>
  </si>
  <si>
    <t>6.59亿</t>
  </si>
  <si>
    <t>3.53亿</t>
  </si>
  <si>
    <t>5728.60万</t>
  </si>
  <si>
    <t>2.93亿</t>
  </si>
  <si>
    <t>腾讯控股</t>
  </si>
  <si>
    <t>6255.90亿</t>
  </si>
  <si>
    <t>2123.57亿</t>
  </si>
  <si>
    <t>573.01亿</t>
  </si>
  <si>
    <t>6858.64亿</t>
  </si>
  <si>
    <t>5745.72亿</t>
  </si>
  <si>
    <t>3560.33亿</t>
  </si>
  <si>
    <t>2850.50亿</t>
  </si>
  <si>
    <t>2752.95亿</t>
  </si>
  <si>
    <t>1905.22亿</t>
  </si>
  <si>
    <t>1042.74亿</t>
  </si>
  <si>
    <t>896.29亿</t>
  </si>
  <si>
    <t>857.33亿</t>
  </si>
  <si>
    <t>1670.70亿</t>
  </si>
  <si>
    <t>288.74亿</t>
  </si>
  <si>
    <t>1055.21亿</t>
  </si>
  <si>
    <t>5.66亿</t>
  </si>
  <si>
    <t>京东方精电</t>
  </si>
  <si>
    <t>107.22亿</t>
  </si>
  <si>
    <t>77.38亿</t>
  </si>
  <si>
    <t>45.27亿</t>
  </si>
  <si>
    <t>31.77亿</t>
  </si>
  <si>
    <t>28.79亿</t>
  </si>
  <si>
    <t>3.28亿</t>
  </si>
  <si>
    <t>6863.90万</t>
  </si>
  <si>
    <t>2502.00万</t>
  </si>
  <si>
    <t>1713.30万</t>
  </si>
  <si>
    <t>2211.30万</t>
  </si>
  <si>
    <t>山东新华制药股份</t>
  </si>
  <si>
    <t>83.90亿</t>
  </si>
  <si>
    <t>4.64亿</t>
  </si>
  <si>
    <t>4.03亿</t>
  </si>
  <si>
    <t>8.55亿</t>
  </si>
  <si>
    <t>79.60亿</t>
  </si>
  <si>
    <t>70.86亿</t>
  </si>
  <si>
    <t>59.72亿</t>
  </si>
  <si>
    <t>54.14亿</t>
  </si>
  <si>
    <t>4.27亿</t>
  </si>
  <si>
    <t>3.35亿</t>
  </si>
  <si>
    <t>2.91亿</t>
  </si>
  <si>
    <t>2.51亿</t>
  </si>
  <si>
    <t>22.38亿</t>
  </si>
  <si>
    <t>2.31亿</t>
  </si>
  <si>
    <t>中国电信</t>
  </si>
  <si>
    <t>5431.21亿</t>
  </si>
  <si>
    <t>311.28亿</t>
  </si>
  <si>
    <t>5382.33亿</t>
  </si>
  <si>
    <t>4690.85亿</t>
  </si>
  <si>
    <t>4293.93亿</t>
  </si>
  <si>
    <t>4390.72亿</t>
  </si>
  <si>
    <t>248.51亿</t>
  </si>
  <si>
    <t>229.28亿</t>
  </si>
  <si>
    <t>241.50亿</t>
  </si>
  <si>
    <t>223.20亿</t>
  </si>
  <si>
    <t>1475.32亿</t>
  </si>
  <si>
    <t>89.08亿</t>
  </si>
  <si>
    <t>3.18亿</t>
  </si>
  <si>
    <t>140.18亿</t>
  </si>
  <si>
    <t>5.02亿</t>
  </si>
  <si>
    <t>5.62亿</t>
  </si>
  <si>
    <t>亚洲水泥(中国)</t>
  </si>
  <si>
    <t>8.16亿</t>
  </si>
  <si>
    <t>20.40亿</t>
  </si>
  <si>
    <t>17.04亿</t>
  </si>
  <si>
    <t>2.90亿</t>
  </si>
  <si>
    <t>143.95亿</t>
  </si>
  <si>
    <t>129.01亿</t>
  </si>
  <si>
    <t>93.70亿</t>
  </si>
  <si>
    <t>21.65亿</t>
  </si>
  <si>
    <t>31.81亿</t>
  </si>
  <si>
    <t>35.17亿</t>
  </si>
  <si>
    <t>7.22亿</t>
  </si>
  <si>
    <t>25.82亿</t>
  </si>
  <si>
    <t>1.53亿</t>
  </si>
  <si>
    <t>创维集团</t>
  </si>
  <si>
    <t>603.43亿</t>
  </si>
  <si>
    <t>58.07亿</t>
  </si>
  <si>
    <t>623.61亿</t>
  </si>
  <si>
    <t>477.87亿</t>
  </si>
  <si>
    <t>490.75亿</t>
  </si>
  <si>
    <t>428.45亿</t>
  </si>
  <si>
    <t>17.16亿</t>
  </si>
  <si>
    <t>8.35亿</t>
  </si>
  <si>
    <t>13.10亿</t>
  </si>
  <si>
    <t>134.30亿</t>
  </si>
  <si>
    <t>8509.42万</t>
  </si>
  <si>
    <t>1.21亿</t>
  </si>
  <si>
    <t>中国国航</t>
  </si>
  <si>
    <t>634.81亿</t>
  </si>
  <si>
    <t>-435.64亿</t>
  </si>
  <si>
    <t>13.49亿</t>
  </si>
  <si>
    <t>7.18亿</t>
  </si>
  <si>
    <t>962.49亿</t>
  </si>
  <si>
    <t>880.35亿</t>
  </si>
  <si>
    <t>1604.10亿</t>
  </si>
  <si>
    <t>1486.95亿</t>
  </si>
  <si>
    <t>-203.70亿</t>
  </si>
  <si>
    <t>-171.67亿</t>
  </si>
  <si>
    <t>71.75亿</t>
  </si>
  <si>
    <t>83.69亿</t>
  </si>
  <si>
    <t>86.85亿</t>
  </si>
  <si>
    <t>158.66亿</t>
  </si>
  <si>
    <t>-109.76亿</t>
  </si>
  <si>
    <t>159.41亿</t>
  </si>
  <si>
    <t>合生创展集团</t>
  </si>
  <si>
    <t>272.52亿</t>
  </si>
  <si>
    <t>87.62亿</t>
  </si>
  <si>
    <t>307.34亿</t>
  </si>
  <si>
    <t>343.71亿</t>
  </si>
  <si>
    <t>132.94亿</t>
  </si>
  <si>
    <t>138.24亿</t>
  </si>
  <si>
    <t>97.59亿</t>
  </si>
  <si>
    <t>136.34亿</t>
  </si>
  <si>
    <t>94.86亿</t>
  </si>
  <si>
    <t>57.75亿</t>
  </si>
  <si>
    <t>104.58亿</t>
  </si>
  <si>
    <t>中国联通</t>
  </si>
  <si>
    <t>4004.12亿</t>
  </si>
  <si>
    <t>188.90亿</t>
  </si>
  <si>
    <t>12.36亿</t>
  </si>
  <si>
    <t>4014.57亿</t>
  </si>
  <si>
    <t>3621.45亿</t>
  </si>
  <si>
    <t>3311.93亿</t>
  </si>
  <si>
    <t>3294.92亿</t>
  </si>
  <si>
    <t>175.94亿</t>
  </si>
  <si>
    <t>148.90亿</t>
  </si>
  <si>
    <t>126.61亿</t>
  </si>
  <si>
    <t>116.10亿</t>
  </si>
  <si>
    <t>1097.86亿</t>
  </si>
  <si>
    <t>57.15亿</t>
  </si>
  <si>
    <t>中兴通讯</t>
  </si>
  <si>
    <t>1376.32亿</t>
  </si>
  <si>
    <t>91.15亿</t>
  </si>
  <si>
    <t>-2.07亿</t>
  </si>
  <si>
    <t>1392.67亿</t>
  </si>
  <si>
    <t>1201.03亿</t>
  </si>
  <si>
    <t>973.65亿</t>
  </si>
  <si>
    <t>1304.59亿</t>
  </si>
  <si>
    <t>83.42亿</t>
  </si>
  <si>
    <t>50.77亿</t>
  </si>
  <si>
    <t>57.53亿</t>
  </si>
  <si>
    <t>-79.52亿</t>
  </si>
  <si>
    <t>54.77亿</t>
  </si>
  <si>
    <t>341.73亿</t>
  </si>
  <si>
    <t>27.34亿</t>
  </si>
  <si>
    <t>129.62亿</t>
  </si>
  <si>
    <t>1.99亿</t>
  </si>
  <si>
    <t>阅文集团</t>
  </si>
  <si>
    <t>86.02亿</t>
  </si>
  <si>
    <t>6.86亿</t>
  </si>
  <si>
    <t>5.96亿</t>
  </si>
  <si>
    <t>106.14亿</t>
  </si>
  <si>
    <t>101.62亿</t>
  </si>
  <si>
    <t>57.37亿</t>
  </si>
  <si>
    <t>49.10亿</t>
  </si>
  <si>
    <t>22.61亿</t>
  </si>
  <si>
    <t>-53.44亿</t>
  </si>
  <si>
    <t>12.25亿</t>
  </si>
  <si>
    <t>10.37亿</t>
  </si>
  <si>
    <t>1.59亿</t>
  </si>
  <si>
    <t>网龙</t>
  </si>
  <si>
    <t>88.74亿</t>
  </si>
  <si>
    <t>9.41亿</t>
  </si>
  <si>
    <t>13.81亿</t>
  </si>
  <si>
    <t>861868400亿</t>
  </si>
  <si>
    <t>12444071100亿</t>
  </si>
  <si>
    <t>7.67亿</t>
  </si>
  <si>
    <t>33.44亿</t>
  </si>
  <si>
    <t>12.07亿</t>
  </si>
  <si>
    <t>-1.20亿</t>
  </si>
  <si>
    <t>86.16亿</t>
  </si>
  <si>
    <t>64.74亿</t>
  </si>
  <si>
    <t>57.36亿</t>
  </si>
  <si>
    <t>46.37亿</t>
  </si>
  <si>
    <t>9.02亿</t>
  </si>
  <si>
    <t>6.21亿</t>
  </si>
  <si>
    <t>-2498.87万</t>
  </si>
  <si>
    <t>79.68亿</t>
  </si>
  <si>
    <t>同程旅行</t>
  </si>
  <si>
    <t>74.28亿</t>
  </si>
  <si>
    <t>-1.65亿</t>
  </si>
  <si>
    <t>15.74亿</t>
  </si>
  <si>
    <t>14.47亿</t>
  </si>
  <si>
    <t>18.60亿</t>
  </si>
  <si>
    <t>6.04亿</t>
  </si>
  <si>
    <t>92.30亿</t>
  </si>
  <si>
    <t>70.71亿</t>
  </si>
  <si>
    <t>82.62亿</t>
  </si>
  <si>
    <t>59.84亿</t>
  </si>
  <si>
    <t>6.03亿</t>
  </si>
  <si>
    <t>2.34亿</t>
  </si>
  <si>
    <t>21.19亿</t>
  </si>
  <si>
    <t>中国铁塔</t>
  </si>
  <si>
    <t>1039.77亿</t>
  </si>
  <si>
    <t>99.13亿</t>
  </si>
  <si>
    <t>1060.23亿</t>
  </si>
  <si>
    <t>966.62亿</t>
  </si>
  <si>
    <t>817.73亿</t>
  </si>
  <si>
    <t>823.22亿</t>
  </si>
  <si>
    <t>89.74亿</t>
  </si>
  <si>
    <t>58.36亿</t>
  </si>
  <si>
    <t>30.17亿</t>
  </si>
  <si>
    <t>23.29亿</t>
  </si>
  <si>
    <t>279.12亿</t>
  </si>
  <si>
    <t>26.88亿</t>
  </si>
  <si>
    <t>198.97亿</t>
  </si>
  <si>
    <t>2.96亿</t>
  </si>
  <si>
    <t>惠理集团</t>
  </si>
  <si>
    <t>6.61亿</t>
  </si>
  <si>
    <t>-5.44亿</t>
  </si>
  <si>
    <t>2.35亿</t>
  </si>
  <si>
    <t>14.07亿</t>
  </si>
  <si>
    <t>26.44亿</t>
  </si>
  <si>
    <t>17.50亿</t>
  </si>
  <si>
    <t>41.63亿</t>
  </si>
  <si>
    <t>5.13亿</t>
  </si>
  <si>
    <t>58.49亿</t>
  </si>
  <si>
    <t>新华文轩</t>
  </si>
  <si>
    <t>122.82亿</t>
  </si>
  <si>
    <t>15.76亿</t>
  </si>
  <si>
    <t>25.94亿</t>
  </si>
  <si>
    <t>27.71亿</t>
  </si>
  <si>
    <t>61.53亿</t>
  </si>
  <si>
    <t>85.09亿</t>
  </si>
  <si>
    <t>22.84亿</t>
  </si>
  <si>
    <t>2.62亿</t>
  </si>
  <si>
    <t>127.52亿</t>
  </si>
  <si>
    <t>106.78亿</t>
  </si>
  <si>
    <t>93.21亿</t>
  </si>
  <si>
    <t>88.07亿</t>
  </si>
  <si>
    <t>15.99亿</t>
  </si>
  <si>
    <t>15.05亿</t>
  </si>
  <si>
    <t>12.73亿</t>
  </si>
  <si>
    <t>11.08亿</t>
  </si>
  <si>
    <t>27.14亿</t>
  </si>
  <si>
    <t>66.17亿</t>
  </si>
  <si>
    <t>中国金茂</t>
  </si>
  <si>
    <t>936.23亿</t>
  </si>
  <si>
    <t>20.09亿</t>
  </si>
  <si>
    <t>1102.78亿</t>
  </si>
  <si>
    <t>715.78亿</t>
  </si>
  <si>
    <t>441.01亿</t>
  </si>
  <si>
    <t>372.56亿</t>
  </si>
  <si>
    <t>57.43亿</t>
  </si>
  <si>
    <t>46.26亿</t>
  </si>
  <si>
    <t>72.10亿</t>
  </si>
  <si>
    <t>59.33亿</t>
  </si>
  <si>
    <t>47.69亿</t>
  </si>
  <si>
    <t>198.26亿</t>
  </si>
  <si>
    <t>天能动力</t>
  </si>
  <si>
    <t>841.55亿</t>
  </si>
  <si>
    <t>1048.37亿</t>
  </si>
  <si>
    <t>637.96亿</t>
  </si>
  <si>
    <t>395.67亿</t>
  </si>
  <si>
    <t>322.55亿</t>
  </si>
  <si>
    <t>29.52亿</t>
  </si>
  <si>
    <t>18.79亿</t>
  </si>
  <si>
    <t>13.53亿</t>
  </si>
  <si>
    <t>14.13亿</t>
  </si>
  <si>
    <t>天工国际</t>
  </si>
  <si>
    <t>57.16亿</t>
  </si>
  <si>
    <t>5.68亿</t>
  </si>
  <si>
    <t>3.25亿</t>
  </si>
  <si>
    <t>14.35亿</t>
  </si>
  <si>
    <t>57.30亿</t>
  </si>
  <si>
    <t>3.42亿</t>
  </si>
  <si>
    <t>-3.06亿</t>
  </si>
  <si>
    <t>70.35亿</t>
  </si>
  <si>
    <t>62.23亿</t>
  </si>
  <si>
    <t>57.18亿</t>
  </si>
  <si>
    <t>46.74亿</t>
  </si>
  <si>
    <t>8.14亿</t>
  </si>
  <si>
    <t>6.40亿</t>
  </si>
  <si>
    <t>4.42亿</t>
  </si>
  <si>
    <t>2.03亿</t>
  </si>
  <si>
    <t>华润电力</t>
  </si>
  <si>
    <t>1025.44亿</t>
  </si>
  <si>
    <t>70.42亿</t>
  </si>
  <si>
    <t>897.43亿</t>
  </si>
  <si>
    <t>688.50亿</t>
  </si>
  <si>
    <t>769.40亿</t>
  </si>
  <si>
    <t>733.12亿</t>
  </si>
  <si>
    <t>15.93亿</t>
  </si>
  <si>
    <t>75.83亿</t>
  </si>
  <si>
    <t>65.90亿</t>
  </si>
  <si>
    <t>39.50亿</t>
  </si>
  <si>
    <t>46.23亿</t>
  </si>
  <si>
    <t>17.84亿</t>
  </si>
  <si>
    <t>4.81亿</t>
  </si>
  <si>
    <t>中教控股</t>
  </si>
  <si>
    <t>54.07亿</t>
  </si>
  <si>
    <t>20.97亿</t>
  </si>
  <si>
    <t>44.37亿</t>
  </si>
  <si>
    <t>30.28亿</t>
  </si>
  <si>
    <t>21.40亿</t>
  </si>
  <si>
    <t>17.40亿</t>
  </si>
  <si>
    <t>7.16亿</t>
  </si>
  <si>
    <t>5.14亿</t>
  </si>
  <si>
    <t>微创医疗</t>
  </si>
  <si>
    <t>65.65亿</t>
  </si>
  <si>
    <t>-34.08亿</t>
  </si>
  <si>
    <t>32.78亿</t>
  </si>
  <si>
    <t>51.70亿</t>
  </si>
  <si>
    <t>60.72亿</t>
  </si>
  <si>
    <t>50.30亿</t>
  </si>
  <si>
    <t>52.45亿</t>
  </si>
  <si>
    <t>34.71亿</t>
  </si>
  <si>
    <t>-14.83亿</t>
  </si>
  <si>
    <t>5.65亿</t>
  </si>
  <si>
    <t>医疗保健设备和服务</t>
  </si>
  <si>
    <t>中国水务</t>
  </si>
  <si>
    <t>129.50亿</t>
  </si>
  <si>
    <t>18.94亿</t>
  </si>
  <si>
    <t>103.46亿</t>
  </si>
  <si>
    <t>86.94亿</t>
  </si>
  <si>
    <t>75.80亿</t>
  </si>
  <si>
    <t>57.08亿</t>
  </si>
  <si>
    <t>16.92亿</t>
  </si>
  <si>
    <t>16.39亿</t>
  </si>
  <si>
    <t>11.41亿</t>
  </si>
  <si>
    <t>伟仕佳杰</t>
  </si>
  <si>
    <t>773.24亿</t>
  </si>
  <si>
    <t>8.23亿</t>
  </si>
  <si>
    <t>783.35亿</t>
  </si>
  <si>
    <t>699.62亿</t>
  </si>
  <si>
    <t>624.82亿</t>
  </si>
  <si>
    <t>545.43亿</t>
  </si>
  <si>
    <t>10.68亿</t>
  </si>
  <si>
    <t>8.10亿</t>
  </si>
  <si>
    <t>7.41亿</t>
  </si>
  <si>
    <t>27.03亿</t>
  </si>
  <si>
    <t>中国石油股份</t>
  </si>
  <si>
    <t>36541.04亿</t>
  </si>
  <si>
    <t>1685.16亿</t>
  </si>
  <si>
    <t>50.43亿</t>
  </si>
  <si>
    <t>74.87亿</t>
  </si>
  <si>
    <t>32012.70亿</t>
  </si>
  <si>
    <t>23049.39亿</t>
  </si>
  <si>
    <t>27041.00亿</t>
  </si>
  <si>
    <t>24168.51亿</t>
  </si>
  <si>
    <t>1128.62亿</t>
  </si>
  <si>
    <t>226.53亿</t>
  </si>
  <si>
    <t>510.50亿</t>
  </si>
  <si>
    <t>603.87亿</t>
  </si>
  <si>
    <t>273.33亿</t>
  </si>
  <si>
    <t>9611.56亿</t>
  </si>
  <si>
    <t>5.71亿</t>
  </si>
  <si>
    <t>神州控股</t>
  </si>
  <si>
    <t>200.24亿</t>
  </si>
  <si>
    <t>3.50亿</t>
  </si>
  <si>
    <t>209.45亿</t>
  </si>
  <si>
    <t>198.20亿</t>
  </si>
  <si>
    <t>152.54亿</t>
  </si>
  <si>
    <t>132.47亿</t>
  </si>
  <si>
    <t>8.71亿</t>
  </si>
  <si>
    <t>3.02亿</t>
  </si>
  <si>
    <t>-4.13亿</t>
  </si>
  <si>
    <t>康哲药业</t>
  </si>
  <si>
    <t>103.23亿</t>
  </si>
  <si>
    <t>1.41亿</t>
  </si>
  <si>
    <t>102.09亿</t>
  </si>
  <si>
    <t>82.79亿</t>
  </si>
  <si>
    <t>61.87亿</t>
  </si>
  <si>
    <t>64.13亿</t>
  </si>
  <si>
    <t>36.95亿</t>
  </si>
  <si>
    <t>30.16亿</t>
  </si>
  <si>
    <t>21.91亿</t>
  </si>
  <si>
    <t>20.08亿</t>
  </si>
  <si>
    <t>信义玻璃</t>
  </si>
  <si>
    <t>257.46亿</t>
  </si>
  <si>
    <t>51.27亿</t>
  </si>
  <si>
    <t>8.87亿</t>
  </si>
  <si>
    <t>119.03亿</t>
  </si>
  <si>
    <t>304.59亿</t>
  </si>
  <si>
    <t>186.16亿</t>
  </si>
  <si>
    <t>160.14亿</t>
  </si>
  <si>
    <t>147.28亿</t>
  </si>
  <si>
    <t>115.56亿</t>
  </si>
  <si>
    <t>64.22亿</t>
  </si>
  <si>
    <t>42.37亿</t>
  </si>
  <si>
    <t>40.14亿</t>
  </si>
  <si>
    <t>4.30亿</t>
  </si>
  <si>
    <t>白云山</t>
  </si>
  <si>
    <t>434.98亿</t>
  </si>
  <si>
    <t>406.90亿</t>
  </si>
  <si>
    <t>246.06亿</t>
  </si>
  <si>
    <t>795.20亿</t>
  </si>
  <si>
    <t>44.75亿</t>
  </si>
  <si>
    <t>56.40亿</t>
  </si>
  <si>
    <t>189.65亿</t>
  </si>
  <si>
    <t>21.32亿</t>
  </si>
  <si>
    <t>12.01亿</t>
  </si>
  <si>
    <t>-4029.07万</t>
  </si>
  <si>
    <t>4196.15万</t>
  </si>
  <si>
    <t>2250531300亿</t>
  </si>
  <si>
    <t>231.40亿</t>
  </si>
  <si>
    <t>196.62亿</t>
  </si>
  <si>
    <t>84187754000亿</t>
  </si>
  <si>
    <t>43.18亿</t>
  </si>
  <si>
    <t>98.53亿</t>
  </si>
  <si>
    <t>168.77亿</t>
  </si>
  <si>
    <t>166.24亿</t>
  </si>
  <si>
    <t>421.85亿</t>
  </si>
  <si>
    <t>375.90亿</t>
  </si>
  <si>
    <t>78.96亿</t>
  </si>
  <si>
    <t>-81.82亿</t>
  </si>
  <si>
    <t>-7.29亿</t>
  </si>
  <si>
    <t>841.43亿</t>
  </si>
  <si>
    <t>732.02亿</t>
  </si>
  <si>
    <t>722.50亿</t>
  </si>
  <si>
    <t>480.87亿</t>
  </si>
  <si>
    <t>251.22亿</t>
  </si>
  <si>
    <t>45.55亿</t>
  </si>
  <si>
    <t>34.75亿</t>
  </si>
  <si>
    <t>39.18亿</t>
  </si>
  <si>
    <t>24.72亿</t>
  </si>
  <si>
    <t>252.03亿</t>
  </si>
  <si>
    <t>22.27亿</t>
  </si>
  <si>
    <t>4630.64万</t>
  </si>
  <si>
    <t>澳博控股</t>
  </si>
  <si>
    <t>39.98亿</t>
  </si>
  <si>
    <t>-77.98亿</t>
  </si>
  <si>
    <t>58.90亿</t>
  </si>
  <si>
    <t>41.38亿</t>
  </si>
  <si>
    <t>174.06亿</t>
  </si>
  <si>
    <t>156.84亿</t>
  </si>
  <si>
    <t>-41.44亿</t>
  </si>
  <si>
    <t>-30.25亿</t>
  </si>
  <si>
    <t>32.07亿</t>
  </si>
  <si>
    <t>28.50亿</t>
  </si>
  <si>
    <t>19.63亿</t>
  </si>
  <si>
    <t>-12.82亿</t>
  </si>
  <si>
    <t>4.54亿</t>
  </si>
  <si>
    <t>中升控股</t>
  </si>
  <si>
    <t>2028.97亿</t>
  </si>
  <si>
    <t>75.22亿</t>
  </si>
  <si>
    <t>92.57亿</t>
  </si>
  <si>
    <t>2144.14亿</t>
  </si>
  <si>
    <t>1768.16亿</t>
  </si>
  <si>
    <t>1226.68亿</t>
  </si>
  <si>
    <t>1034.53亿</t>
  </si>
  <si>
    <t>101.99亿</t>
  </si>
  <si>
    <t>66.03亿</t>
  </si>
  <si>
    <t>50.31亿</t>
  </si>
  <si>
    <t>41.41亿</t>
  </si>
  <si>
    <t>40.17亿</t>
  </si>
  <si>
    <t>79.78亿</t>
  </si>
  <si>
    <t>中国海洋石油</t>
  </si>
  <si>
    <t>4451.61亿</t>
  </si>
  <si>
    <t>1598.52亿</t>
  </si>
  <si>
    <t>9.99亿</t>
  </si>
  <si>
    <t>19.14亿</t>
  </si>
  <si>
    <t>674.48亿</t>
  </si>
  <si>
    <t>1159.42亿</t>
  </si>
  <si>
    <t>2804.56亿</t>
  </si>
  <si>
    <t>1722.68亿</t>
  </si>
  <si>
    <t>2532.10亿</t>
  </si>
  <si>
    <t>2234.63亿</t>
  </si>
  <si>
    <t>861.07亿</t>
  </si>
  <si>
    <t>297.45亿</t>
  </si>
  <si>
    <t>682.18亿</t>
  </si>
  <si>
    <t>599.76亿</t>
  </si>
  <si>
    <t>295.85亿</t>
  </si>
  <si>
    <t>1068.35亿</t>
  </si>
  <si>
    <t>423.02亿</t>
  </si>
  <si>
    <t>4.47亿</t>
  </si>
  <si>
    <t>57.88亿</t>
  </si>
  <si>
    <t>东江环保</t>
  </si>
  <si>
    <t>43.75亿</t>
  </si>
  <si>
    <t>-5.66亿</t>
  </si>
  <si>
    <t>1.46亿</t>
  </si>
  <si>
    <t>11.90亿</t>
  </si>
  <si>
    <t>38.35亿</t>
  </si>
  <si>
    <t>49.17亿</t>
  </si>
  <si>
    <t>39.43亿</t>
  </si>
  <si>
    <t>38.65亿</t>
  </si>
  <si>
    <t>37.39亿</t>
  </si>
  <si>
    <t>11.76亿</t>
  </si>
  <si>
    <t>646.10万</t>
  </si>
  <si>
    <t>3574.51万</t>
  </si>
  <si>
    <t>华能国际电力股份</t>
  </si>
  <si>
    <t>2767.03亿</t>
  </si>
  <si>
    <t>-115.27亿</t>
  </si>
  <si>
    <t>17.14亿</t>
  </si>
  <si>
    <t>18.14亿</t>
  </si>
  <si>
    <t>24.31亿</t>
  </si>
  <si>
    <t>2490.55亿</t>
  </si>
  <si>
    <t>1998.25亿</t>
  </si>
  <si>
    <t>1930.50亿</t>
  </si>
  <si>
    <t>1827.84亿</t>
  </si>
  <si>
    <t>7.24亿</t>
  </si>
  <si>
    <t>8.56亿</t>
  </si>
  <si>
    <t>800.34亿</t>
  </si>
  <si>
    <t>-11.79亿</t>
  </si>
  <si>
    <t>28.92亿</t>
  </si>
  <si>
    <t>明源云</t>
  </si>
  <si>
    <t>20.49亿</t>
  </si>
  <si>
    <t>-13.02亿</t>
  </si>
  <si>
    <t>-4.15亿</t>
  </si>
  <si>
    <t>4.97亿</t>
  </si>
  <si>
    <t>26.75亿</t>
  </si>
  <si>
    <t>20.33亿</t>
  </si>
  <si>
    <t>6.95亿</t>
  </si>
  <si>
    <t>-4.21亿</t>
  </si>
  <si>
    <t>-8.40亿</t>
  </si>
  <si>
    <t>8770.07万</t>
  </si>
  <si>
    <t>1.60亿</t>
  </si>
  <si>
    <t>海螺水泥</t>
  </si>
  <si>
    <t>1489.34亿</t>
  </si>
  <si>
    <t>178.92亿</t>
  </si>
  <si>
    <t>8.95亿</t>
  </si>
  <si>
    <t>63.41亿</t>
  </si>
  <si>
    <t>2056.67亿</t>
  </si>
  <si>
    <t>2101.26亿</t>
  </si>
  <si>
    <t>1461.99亿</t>
  </si>
  <si>
    <t>902.90亿</t>
  </si>
  <si>
    <t>407.77亿</t>
  </si>
  <si>
    <t>419.45亿</t>
  </si>
  <si>
    <t>375.81亿</t>
  </si>
  <si>
    <t>339.97亿</t>
  </si>
  <si>
    <t>190.61亿</t>
  </si>
  <si>
    <t>311.32亿</t>
  </si>
  <si>
    <t>2.16亿</t>
  </si>
  <si>
    <t>龙源电力</t>
  </si>
  <si>
    <t>449.68亿</t>
  </si>
  <si>
    <t>55.32亿</t>
  </si>
  <si>
    <t>33.12亿</t>
  </si>
  <si>
    <t>488.23亿</t>
  </si>
  <si>
    <t>341.68亿</t>
  </si>
  <si>
    <t>300.45亿</t>
  </si>
  <si>
    <t>294.83亿</t>
  </si>
  <si>
    <t>56.33亿</t>
  </si>
  <si>
    <t>48.33亿</t>
  </si>
  <si>
    <t>44.68亿</t>
  </si>
  <si>
    <t>44.22亿</t>
  </si>
  <si>
    <t>128.53亿</t>
  </si>
  <si>
    <t>27.85亿</t>
  </si>
  <si>
    <t>6.02亿</t>
  </si>
  <si>
    <t>海信家电</t>
  </si>
  <si>
    <t>830.69亿</t>
  </si>
  <si>
    <t>237.35亿</t>
  </si>
  <si>
    <t>45.49亿</t>
  </si>
  <si>
    <t>822.42亿</t>
  </si>
  <si>
    <t>572.90亿</t>
  </si>
  <si>
    <t>410.12亿</t>
  </si>
  <si>
    <t>401.48亿</t>
  </si>
  <si>
    <t>18.82亿</t>
  </si>
  <si>
    <t>20.04亿</t>
  </si>
  <si>
    <t>24.20亿</t>
  </si>
  <si>
    <t>225.73亿</t>
  </si>
  <si>
    <t>中石化冠德</t>
  </si>
  <si>
    <t>6.16亿</t>
  </si>
  <si>
    <t>4.35亿</t>
  </si>
  <si>
    <t>6.37亿</t>
  </si>
  <si>
    <t>11.96亿</t>
  </si>
  <si>
    <t>16.56亿</t>
  </si>
  <si>
    <t>17.29亿</t>
  </si>
  <si>
    <t>10.50亿</t>
  </si>
  <si>
    <t>23.02亿</t>
  </si>
  <si>
    <t>12.85亿</t>
  </si>
  <si>
    <t>12.62亿</t>
  </si>
  <si>
    <t>12.08亿</t>
  </si>
  <si>
    <t>建设银行</t>
  </si>
  <si>
    <t>3602.28亿</t>
  </si>
  <si>
    <t>9235.28亿</t>
  </si>
  <si>
    <t>8444.12亿</t>
  </si>
  <si>
    <t>7176.91亿</t>
  </si>
  <si>
    <t>7131.85亿</t>
  </si>
  <si>
    <t>3648.70亿</t>
  </si>
  <si>
    <t>3163.61亿</t>
  </si>
  <si>
    <t>2936.47亿</t>
  </si>
  <si>
    <t>2854.69亿</t>
  </si>
  <si>
    <t>2891.97亿</t>
  </si>
  <si>
    <t>2526.04亿</t>
  </si>
  <si>
    <t>1094.40亿</t>
  </si>
  <si>
    <t>11.33亿</t>
  </si>
  <si>
    <t>中国移动</t>
  </si>
  <si>
    <t>10573.22亿</t>
  </si>
  <si>
    <t>1415.30亿</t>
  </si>
  <si>
    <t>16.95亿</t>
  </si>
  <si>
    <t>10386.92亿</t>
  </si>
  <si>
    <t>9154.63亿</t>
  </si>
  <si>
    <t>8389.42亿</t>
  </si>
  <si>
    <t>8878.02亿</t>
  </si>
  <si>
    <t>1422.23亿</t>
  </si>
  <si>
    <t>1285.38亿</t>
  </si>
  <si>
    <t>1191.71亿</t>
  </si>
  <si>
    <t>1341.05亿</t>
  </si>
  <si>
    <t>1370.09亿</t>
  </si>
  <si>
    <t>2803.42亿</t>
  </si>
  <si>
    <t>316.01亿</t>
  </si>
  <si>
    <t>新天绿色能源</t>
  </si>
  <si>
    <t>208.67亿</t>
  </si>
  <si>
    <t>25.19亿</t>
  </si>
  <si>
    <t>4.88亿</t>
  </si>
  <si>
    <t>71.82亿</t>
  </si>
  <si>
    <t>4.70亿</t>
  </si>
  <si>
    <t>196.95亿</t>
  </si>
  <si>
    <t>148.71亿</t>
  </si>
  <si>
    <t>113.58亿</t>
  </si>
  <si>
    <t>84.61亿</t>
  </si>
  <si>
    <t>15.81亿</t>
  </si>
  <si>
    <t>14.44亿</t>
  </si>
  <si>
    <t>11.27亿</t>
  </si>
  <si>
    <t>77.84亿</t>
  </si>
  <si>
    <t>11.56亿</t>
  </si>
  <si>
    <t>49.37亿</t>
  </si>
  <si>
    <t>龙湖集团</t>
  </si>
  <si>
    <t>2826.62亿</t>
  </si>
  <si>
    <t>274.83亿</t>
  </si>
  <si>
    <t>2735.23亿</t>
  </si>
  <si>
    <t>2199.62亿</t>
  </si>
  <si>
    <t>1318.48亿</t>
  </si>
  <si>
    <t>864.11亿</t>
  </si>
  <si>
    <t>292.09亿</t>
  </si>
  <si>
    <t>238.40亿</t>
  </si>
  <si>
    <t>204.91亿</t>
  </si>
  <si>
    <t>184.87亿</t>
  </si>
  <si>
    <t>151.04亿</t>
  </si>
  <si>
    <t>中国太平</t>
  </si>
  <si>
    <t>27.97亿</t>
  </si>
  <si>
    <t>3158.58亿</t>
  </si>
  <si>
    <t>2701.13亿</t>
  </si>
  <si>
    <t>2136.62亿</t>
  </si>
  <si>
    <t>1961.00亿</t>
  </si>
  <si>
    <t>75.14亿</t>
  </si>
  <si>
    <t>65.49亿</t>
  </si>
  <si>
    <t>88.31亿</t>
  </si>
  <si>
    <t>66.27亿</t>
  </si>
  <si>
    <t>58.81亿</t>
  </si>
  <si>
    <t>55.54亿</t>
  </si>
  <si>
    <t>保险</t>
  </si>
  <si>
    <t>信义光能</t>
  </si>
  <si>
    <t>205.44亿</t>
  </si>
  <si>
    <t>38.20亿</t>
  </si>
  <si>
    <t>106.10亿</t>
  </si>
  <si>
    <t>58.92亿</t>
  </si>
  <si>
    <t>160.65亿</t>
  </si>
  <si>
    <t>123.16亿</t>
  </si>
  <si>
    <t>76.72亿</t>
  </si>
  <si>
    <t>95.27亿</t>
  </si>
  <si>
    <t>45.61亿</t>
  </si>
  <si>
    <t>24.16亿</t>
  </si>
  <si>
    <t>23.32亿</t>
  </si>
  <si>
    <t>114.66亿</t>
  </si>
  <si>
    <t>L'Occitane</t>
  </si>
  <si>
    <t>21.18亿</t>
  </si>
  <si>
    <t>1.65亿</t>
  </si>
  <si>
    <t>73.63亿</t>
  </si>
  <si>
    <t>28.52亿</t>
  </si>
  <si>
    <t>140.20亿</t>
  </si>
  <si>
    <t>127.44亿</t>
  </si>
  <si>
    <t>109.96亿</t>
  </si>
  <si>
    <t>9.92亿</t>
  </si>
  <si>
    <t>10.43亿</t>
  </si>
  <si>
    <t>9.30亿</t>
  </si>
  <si>
    <t>52.32亿</t>
  </si>
  <si>
    <t>中芯国际</t>
  </si>
  <si>
    <t>114.82亿</t>
  </si>
  <si>
    <t>567.90亿</t>
  </si>
  <si>
    <t>141.94亿</t>
  </si>
  <si>
    <t>424.45亿</t>
  </si>
  <si>
    <t>302.91亿</t>
  </si>
  <si>
    <t>242.62亿</t>
  </si>
  <si>
    <t>263.22亿</t>
  </si>
  <si>
    <t>242.33亿</t>
  </si>
  <si>
    <t>132.70亿</t>
  </si>
  <si>
    <t>18.27亿</t>
  </si>
  <si>
    <t>14.04亿</t>
  </si>
  <si>
    <t>144.24亿</t>
  </si>
  <si>
    <t>11.63亿</t>
  </si>
  <si>
    <t>荣晖国际</t>
  </si>
  <si>
    <t>390.91亿</t>
  </si>
  <si>
    <t>-2.49亿</t>
  </si>
  <si>
    <t>346.45亿</t>
  </si>
  <si>
    <t>158.76亿</t>
  </si>
  <si>
    <t>43.30亿</t>
  </si>
  <si>
    <t>53.89亿</t>
  </si>
  <si>
    <t>6189.30万</t>
  </si>
  <si>
    <t>2134.90万</t>
  </si>
  <si>
    <t>4.53亿</t>
  </si>
  <si>
    <t>大唐发电</t>
  </si>
  <si>
    <t>1303.61亿</t>
  </si>
  <si>
    <t>-19.26亿</t>
  </si>
  <si>
    <t>105.84亿</t>
  </si>
  <si>
    <t>1253.40亿</t>
  </si>
  <si>
    <t>1123.78亿</t>
  </si>
  <si>
    <t>1063.33亿</t>
  </si>
  <si>
    <t>1009.29亿</t>
  </si>
  <si>
    <t>4.37亿</t>
  </si>
  <si>
    <t>17.92亿</t>
  </si>
  <si>
    <t>363.92亿</t>
  </si>
  <si>
    <t>-5.05亿</t>
  </si>
  <si>
    <t>9.84亿</t>
  </si>
  <si>
    <t>联想集团</t>
  </si>
  <si>
    <t>5608.42亿</t>
  </si>
  <si>
    <t>158.96亿</t>
  </si>
  <si>
    <t>4722.71亿</t>
  </si>
  <si>
    <t>3933.05亿</t>
  </si>
  <si>
    <t>3559.52亿</t>
  </si>
  <si>
    <t>3343.80亿</t>
  </si>
  <si>
    <t>91.61亿</t>
  </si>
  <si>
    <t>51.58亿</t>
  </si>
  <si>
    <t>46.81亿</t>
  </si>
  <si>
    <t>-14.86亿</t>
  </si>
  <si>
    <t>41.58亿</t>
  </si>
  <si>
    <t>1314.89亿</t>
  </si>
  <si>
    <t>36.20亿</t>
  </si>
  <si>
    <t>12.44亿</t>
  </si>
  <si>
    <t>安徽皖通高速公路</t>
  </si>
  <si>
    <t>58.73亿</t>
  </si>
  <si>
    <t>16.31亿</t>
  </si>
  <si>
    <t>8.19亿</t>
  </si>
  <si>
    <t>4.84亿</t>
  </si>
  <si>
    <t>6.93亿</t>
  </si>
  <si>
    <t>14.19亿</t>
  </si>
  <si>
    <t>-11.04亿</t>
  </si>
  <si>
    <t>49.34亿</t>
  </si>
  <si>
    <t>35.94亿</t>
  </si>
  <si>
    <t>44.13亿</t>
  </si>
  <si>
    <t>51.66亿</t>
  </si>
  <si>
    <t>18.51亿</t>
  </si>
  <si>
    <t>12.18亿</t>
  </si>
  <si>
    <t>12.99亿</t>
  </si>
  <si>
    <t>11.82亿</t>
  </si>
  <si>
    <t>5.01亿</t>
  </si>
  <si>
    <t>中信银行</t>
  </si>
  <si>
    <t>2181.05亿</t>
  </si>
  <si>
    <t>646.57亿</t>
  </si>
  <si>
    <t>3.29亿</t>
  </si>
  <si>
    <t>2322.63亿</t>
  </si>
  <si>
    <t>2186.71亿</t>
  </si>
  <si>
    <t>1784.41亿</t>
  </si>
  <si>
    <t>1840.00亿</t>
  </si>
  <si>
    <t>644.47亿</t>
  </si>
  <si>
    <t>536.57亿</t>
  </si>
  <si>
    <t>506.83亿</t>
  </si>
  <si>
    <t>510.32亿</t>
  </si>
  <si>
    <t>596.60亿</t>
  </si>
  <si>
    <t>213.97亿</t>
  </si>
  <si>
    <t>39.30亿</t>
  </si>
  <si>
    <t>1.12亿</t>
  </si>
  <si>
    <t>12.10亿</t>
  </si>
  <si>
    <t>快手-W</t>
  </si>
  <si>
    <t>-154.45亿</t>
  </si>
  <si>
    <t>992.84亿</t>
  </si>
  <si>
    <t>700.55亿</t>
  </si>
  <si>
    <t>231.14亿</t>
  </si>
  <si>
    <t>99.98亿</t>
  </si>
  <si>
    <t>-956.01亿</t>
  </si>
  <si>
    <t>-1390.18亿</t>
  </si>
  <si>
    <t>-219.61亿</t>
  </si>
  <si>
    <t>-141.52亿</t>
  </si>
  <si>
    <t>-240.32亿</t>
  </si>
  <si>
    <t>259.81亿</t>
  </si>
  <si>
    <t>-77.13亿</t>
  </si>
  <si>
    <t>新城发展</t>
  </si>
  <si>
    <t>1314.69亿</t>
  </si>
  <si>
    <t>3.17亿</t>
  </si>
  <si>
    <t>2075.98亿</t>
  </si>
  <si>
    <t>1741.59亿</t>
  </si>
  <si>
    <t>623.74亿</t>
  </si>
  <si>
    <t>489.39亿</t>
  </si>
  <si>
    <t>105.19亿</t>
  </si>
  <si>
    <t>121.31亿</t>
  </si>
  <si>
    <t>87.30亿</t>
  </si>
  <si>
    <t>76.98亿</t>
  </si>
  <si>
    <t>105.52亿</t>
  </si>
  <si>
    <t>2.18亿</t>
  </si>
  <si>
    <t>中石化油服</t>
  </si>
  <si>
    <t>204.31亿</t>
  </si>
  <si>
    <t>832.23亿</t>
  </si>
  <si>
    <t>6.45亿</t>
  </si>
  <si>
    <t>20.75亿</t>
  </si>
  <si>
    <t>-3.16亿</t>
  </si>
  <si>
    <t>851.43亿</t>
  </si>
  <si>
    <t>811.37亿</t>
  </si>
  <si>
    <t>665.05亿</t>
  </si>
  <si>
    <t>582.59亿</t>
  </si>
  <si>
    <t>-4259.49万</t>
  </si>
  <si>
    <t>11.03亿</t>
  </si>
  <si>
    <t>2.73亿</t>
  </si>
  <si>
    <t>-126.64亿</t>
  </si>
  <si>
    <t>188.66亿</t>
  </si>
  <si>
    <t>13.66亿</t>
  </si>
  <si>
    <t>长江基建集团</t>
  </si>
  <si>
    <t>66.15亿</t>
  </si>
  <si>
    <t>77.48亿</t>
  </si>
  <si>
    <t>17.17亿</t>
  </si>
  <si>
    <t>70.48亿</t>
  </si>
  <si>
    <t>71.49亿</t>
  </si>
  <si>
    <t>75.15亿</t>
  </si>
  <si>
    <t>73.20亿</t>
  </si>
  <si>
    <t>105.06亿</t>
  </si>
  <si>
    <t>104.43亿</t>
  </si>
  <si>
    <t>102.56亿</t>
  </si>
  <si>
    <t>恒安国际</t>
  </si>
  <si>
    <t>255.13亿</t>
  </si>
  <si>
    <t>254.58亿</t>
  </si>
  <si>
    <t>266.68亿</t>
  </si>
  <si>
    <t>233.57亿</t>
  </si>
  <si>
    <t>216.76亿</t>
  </si>
  <si>
    <t>43.67亿</t>
  </si>
  <si>
    <t>43.26亿</t>
  </si>
  <si>
    <t>消费者主要零售商</t>
  </si>
  <si>
    <t>越秀交通基建</t>
  </si>
  <si>
    <t>5.11亿</t>
  </si>
  <si>
    <t>45.33亿</t>
  </si>
  <si>
    <t>34.80亿</t>
  </si>
  <si>
    <t>32.42亿</t>
  </si>
  <si>
    <t>32.40亿</t>
  </si>
  <si>
    <t>17.94亿</t>
  </si>
  <si>
    <t>12.00亿</t>
  </si>
  <si>
    <t>重庆钢铁股份</t>
  </si>
  <si>
    <t>410.78亿</t>
  </si>
  <si>
    <t>-11.50亿</t>
  </si>
  <si>
    <t>15.34亿</t>
  </si>
  <si>
    <t>145.00亿</t>
  </si>
  <si>
    <t>37.05亿</t>
  </si>
  <si>
    <t>485.98亿</t>
  </si>
  <si>
    <t>289.84亿</t>
  </si>
  <si>
    <t>257.77亿</t>
  </si>
  <si>
    <t>158.70亿</t>
  </si>
  <si>
    <t>20.36亿</t>
  </si>
  <si>
    <t>107.10亿</t>
  </si>
  <si>
    <t>13.32亿</t>
  </si>
  <si>
    <t>中国南方航空股份</t>
  </si>
  <si>
    <t>982.11亿</t>
  </si>
  <si>
    <t>-368.88亿</t>
  </si>
  <si>
    <t>10.10亿</t>
  </si>
  <si>
    <t>9.34亿</t>
  </si>
  <si>
    <t>8.88亿</t>
  </si>
  <si>
    <t>17.34亿</t>
  </si>
  <si>
    <t>1244.63亿</t>
  </si>
  <si>
    <t>1103.23亿</t>
  </si>
  <si>
    <t>1635.29亿</t>
  </si>
  <si>
    <t>1532.27亿</t>
  </si>
  <si>
    <t>-148.24亿</t>
  </si>
  <si>
    <t>-129.29亿</t>
  </si>
  <si>
    <t>29.50亿</t>
  </si>
  <si>
    <t>32.96亿</t>
  </si>
  <si>
    <t>71.47亿</t>
  </si>
  <si>
    <t>263.87亿</t>
  </si>
  <si>
    <t>-55.45亿</t>
  </si>
  <si>
    <t>80.68亿</t>
  </si>
  <si>
    <t>浙江世宝</t>
  </si>
  <si>
    <t>11.10亿</t>
  </si>
  <si>
    <t>3.91亿</t>
  </si>
  <si>
    <t>15.54亿</t>
  </si>
  <si>
    <t>1785.06万</t>
  </si>
  <si>
    <t>1.75亿</t>
  </si>
  <si>
    <t>7.82亿</t>
  </si>
  <si>
    <t>7.32亿</t>
  </si>
  <si>
    <t>10.13亿</t>
  </si>
  <si>
    <t>14.27亿</t>
  </si>
  <si>
    <t>10.87亿</t>
  </si>
  <si>
    <t>12.90亿</t>
  </si>
  <si>
    <t>13.84亿</t>
  </si>
  <si>
    <t>4182.44万</t>
  </si>
  <si>
    <t>4868.43万</t>
  </si>
  <si>
    <t>828.72万</t>
  </si>
  <si>
    <t>3915.14万</t>
  </si>
  <si>
    <t>3.19亿</t>
  </si>
  <si>
    <t>-497.29万</t>
  </si>
  <si>
    <t>2095.09万</t>
  </si>
  <si>
    <t>阿里影业</t>
  </si>
  <si>
    <t>45.04亿</t>
  </si>
  <si>
    <t>31.38亿</t>
  </si>
  <si>
    <t>-1.14亿</t>
  </si>
  <si>
    <t>-12.56亿</t>
  </si>
  <si>
    <t>-2.96亿</t>
  </si>
  <si>
    <t>5105.77万</t>
  </si>
  <si>
    <t>天津创业环保股份</t>
  </si>
  <si>
    <t>11.09亿</t>
  </si>
  <si>
    <t>50.50亿</t>
  </si>
  <si>
    <t>4.20亿</t>
  </si>
  <si>
    <t>5.77亿</t>
  </si>
  <si>
    <t>5.31亿</t>
  </si>
  <si>
    <t>10.29亿</t>
  </si>
  <si>
    <t>39.51亿</t>
  </si>
  <si>
    <t>27.87亿</t>
  </si>
  <si>
    <t>8.49亿</t>
  </si>
  <si>
    <t>6.79亿</t>
  </si>
  <si>
    <t>6.09亿</t>
  </si>
  <si>
    <t>13.12亿</t>
  </si>
  <si>
    <t>威高股份</t>
  </si>
  <si>
    <t>6.17亿</t>
  </si>
  <si>
    <t>19.42亿</t>
  </si>
  <si>
    <t>66.95亿</t>
  </si>
  <si>
    <t>24.98亿</t>
  </si>
  <si>
    <t>161.74亿</t>
  </si>
  <si>
    <t>138.53亿</t>
  </si>
  <si>
    <t>100.30亿</t>
  </si>
  <si>
    <t>75.44亿</t>
  </si>
  <si>
    <t>27.49亿</t>
  </si>
  <si>
    <t>24.87亿</t>
  </si>
  <si>
    <t>20.62亿</t>
  </si>
  <si>
    <t>20.72亿</t>
  </si>
  <si>
    <t>TCL电子</t>
  </si>
  <si>
    <t>713.51亿</t>
  </si>
  <si>
    <t>748.47亿</t>
  </si>
  <si>
    <t>577.49亿</t>
  </si>
  <si>
    <t>455.82亿</t>
  </si>
  <si>
    <t>408.22亿</t>
  </si>
  <si>
    <t>35.99亿</t>
  </si>
  <si>
    <t>22.79亿</t>
  </si>
  <si>
    <t>10.41亿</t>
  </si>
  <si>
    <t>华电国际电力股份</t>
  </si>
  <si>
    <t>1185.50亿</t>
  </si>
  <si>
    <t>-10.51亿</t>
  </si>
  <si>
    <t>61.13亿</t>
  </si>
  <si>
    <t>1226.86亿</t>
  </si>
  <si>
    <t>1052.25亿</t>
  </si>
  <si>
    <t>995.36亿</t>
  </si>
  <si>
    <t>940.70亿</t>
  </si>
  <si>
    <t>38.72亿</t>
  </si>
  <si>
    <t>37.83亿</t>
  </si>
  <si>
    <t>16.46亿</t>
  </si>
  <si>
    <t>355.37亿</t>
  </si>
  <si>
    <t>260.57亿</t>
  </si>
  <si>
    <t>东方电气</t>
  </si>
  <si>
    <t>32.20亿</t>
  </si>
  <si>
    <t>135.55亿</t>
  </si>
  <si>
    <t>582.61亿</t>
  </si>
  <si>
    <t>441.56亿</t>
  </si>
  <si>
    <t>345.81亿</t>
  </si>
  <si>
    <t>400.80亿</t>
  </si>
  <si>
    <t>28.03亿</t>
  </si>
  <si>
    <t>22.19亿</t>
  </si>
  <si>
    <t>14.28亿</t>
  </si>
  <si>
    <t>12.68亿</t>
  </si>
  <si>
    <t>172.94亿</t>
  </si>
  <si>
    <t>港华智慧能源</t>
  </si>
  <si>
    <t>200.73亿</t>
  </si>
  <si>
    <t>9.65亿</t>
  </si>
  <si>
    <t>13.40亿</t>
  </si>
  <si>
    <t>171.25亿</t>
  </si>
  <si>
    <t>128.26亿</t>
  </si>
  <si>
    <t>117.87亿</t>
  </si>
  <si>
    <t>87.60亿</t>
  </si>
  <si>
    <t>12.53亿</t>
  </si>
  <si>
    <t>12.24亿</t>
  </si>
  <si>
    <t>41.53亿</t>
  </si>
  <si>
    <t>中国神华</t>
  </si>
  <si>
    <t>3886.68亿</t>
  </si>
  <si>
    <t>27.13亿</t>
  </si>
  <si>
    <t>181.85亿</t>
  </si>
  <si>
    <t>4109.91亿</t>
  </si>
  <si>
    <t>2780.26亿</t>
  </si>
  <si>
    <t>3007.05亿</t>
  </si>
  <si>
    <t>2982.22亿</t>
  </si>
  <si>
    <t>427.28亿</t>
  </si>
  <si>
    <t>466.08亿</t>
  </si>
  <si>
    <t>502.54亿</t>
  </si>
  <si>
    <t>1034.72亿</t>
  </si>
  <si>
    <t>石药集团</t>
  </si>
  <si>
    <t>349.00亿</t>
  </si>
  <si>
    <t>68.72亿</t>
  </si>
  <si>
    <t>14.52亿</t>
  </si>
  <si>
    <t>22.68亿</t>
  </si>
  <si>
    <t>86.04亿</t>
  </si>
  <si>
    <t>341.23亿</t>
  </si>
  <si>
    <t>297.29亿</t>
  </si>
  <si>
    <t>201.72亿</t>
  </si>
  <si>
    <t>154.63亿</t>
  </si>
  <si>
    <t>68.64亿</t>
  </si>
  <si>
    <t>61.50亿</t>
  </si>
  <si>
    <t>41.51亿</t>
  </si>
  <si>
    <t>35.08亿</t>
  </si>
  <si>
    <t>97.10亿</t>
  </si>
  <si>
    <t>17.32亿</t>
  </si>
  <si>
    <t>国药控股</t>
  </si>
  <si>
    <t>6228.78亿</t>
  </si>
  <si>
    <t>47.24亿</t>
  </si>
  <si>
    <t>6380.27亿</t>
  </si>
  <si>
    <t>5440.01亿</t>
  </si>
  <si>
    <t>3922.77亿</t>
  </si>
  <si>
    <t>3696.85亿</t>
  </si>
  <si>
    <t>95.00亿</t>
  </si>
  <si>
    <t>69.87亿</t>
  </si>
  <si>
    <t>66.45亿</t>
  </si>
  <si>
    <t>66.85亿</t>
  </si>
  <si>
    <t>1569.79亿</t>
  </si>
  <si>
    <t>凯盛新能</t>
  </si>
  <si>
    <t>16.21亿</t>
  </si>
  <si>
    <t>56.31亿</t>
  </si>
  <si>
    <t>24.34亿</t>
  </si>
  <si>
    <t>22.31亿</t>
  </si>
  <si>
    <t>26.51亿</t>
  </si>
  <si>
    <t>-2.98亿</t>
  </si>
  <si>
    <t>43.87亿</t>
  </si>
  <si>
    <t>20.44亿</t>
  </si>
  <si>
    <t>15.97亿</t>
  </si>
  <si>
    <t>18.01亿</t>
  </si>
  <si>
    <t>6034.49万</t>
  </si>
  <si>
    <t>1781.38万</t>
  </si>
  <si>
    <t>12.33亿</t>
  </si>
  <si>
    <t>华润置地</t>
  </si>
  <si>
    <t>2335.86亿</t>
  </si>
  <si>
    <t>316.90亿</t>
  </si>
  <si>
    <t>2597.27亿</t>
  </si>
  <si>
    <t>2140.50亿</t>
  </si>
  <si>
    <t>1379.86亿</t>
  </si>
  <si>
    <t>1222.19亿</t>
  </si>
  <si>
    <t>396.75亿</t>
  </si>
  <si>
    <t>355.30亿</t>
  </si>
  <si>
    <t>320.41亿</t>
  </si>
  <si>
    <t>275.97亿</t>
  </si>
  <si>
    <t>236.07亿</t>
  </si>
  <si>
    <t>H&amp;H国际控股</t>
  </si>
  <si>
    <t>144.13亿</t>
  </si>
  <si>
    <t>15.13亿</t>
  </si>
  <si>
    <t>141.40亿</t>
  </si>
  <si>
    <t>133.43亿</t>
  </si>
  <si>
    <t>122.09亿</t>
  </si>
  <si>
    <t>115.37亿</t>
  </si>
  <si>
    <t>97.06亿</t>
  </si>
  <si>
    <t>6.23亿</t>
  </si>
  <si>
    <t>13.55亿</t>
  </si>
  <si>
    <t>11.23亿</t>
  </si>
  <si>
    <t>9.60亿</t>
  </si>
  <si>
    <t>11.18亿</t>
  </si>
  <si>
    <t>长实集团</t>
  </si>
  <si>
    <t>216.83亿</t>
  </si>
  <si>
    <t>65.74亿</t>
  </si>
  <si>
    <t>642.04亿</t>
  </si>
  <si>
    <t>598.25亿</t>
  </si>
  <si>
    <t>503.68亿</t>
  </si>
  <si>
    <t>575.46亿</t>
  </si>
  <si>
    <t>163.32亿</t>
  </si>
  <si>
    <t>291.34亿</t>
  </si>
  <si>
    <t>401.17亿</t>
  </si>
  <si>
    <t>301.25亿</t>
  </si>
  <si>
    <t>华晨中国</t>
  </si>
  <si>
    <t>80.62亿</t>
  </si>
  <si>
    <t>6.06亿</t>
  </si>
  <si>
    <t>35.13亿</t>
  </si>
  <si>
    <t>26.23亿</t>
  </si>
  <si>
    <t>43.16亿</t>
  </si>
  <si>
    <t>49.84亿</t>
  </si>
  <si>
    <t>63.60亿</t>
  </si>
  <si>
    <t>75.57亿</t>
  </si>
  <si>
    <t>66.28亿</t>
  </si>
  <si>
    <t>现代牧业</t>
  </si>
  <si>
    <t>138.70亿</t>
  </si>
  <si>
    <t>6.35亿</t>
  </si>
  <si>
    <t>86.68亿</t>
  </si>
  <si>
    <t>71.76亿</t>
  </si>
  <si>
    <t>61.62亿</t>
  </si>
  <si>
    <t>56.44亿</t>
  </si>
  <si>
    <t>12.48亿</t>
  </si>
  <si>
    <t>9.18亿</t>
  </si>
  <si>
    <t>3.81亿</t>
  </si>
  <si>
    <t>-5.65亿</t>
  </si>
  <si>
    <t>-11.69亿</t>
  </si>
  <si>
    <t>5.99亿</t>
  </si>
  <si>
    <t>创梦天地</t>
  </si>
  <si>
    <t>30.84亿</t>
  </si>
  <si>
    <t>-28.12亿</t>
  </si>
  <si>
    <t>5.00亿</t>
  </si>
  <si>
    <t>32.30亿</t>
  </si>
  <si>
    <t>38.29亿</t>
  </si>
  <si>
    <t>26.92亿</t>
  </si>
  <si>
    <t>21.14亿</t>
  </si>
  <si>
    <t>-5.26亿</t>
  </si>
  <si>
    <t>3.94亿</t>
  </si>
  <si>
    <t>永利澳门</t>
  </si>
  <si>
    <t>34.83亿</t>
  </si>
  <si>
    <t>-73.39亿</t>
  </si>
  <si>
    <t>16.26亿</t>
  </si>
  <si>
    <t>9.32亿</t>
  </si>
  <si>
    <t>4.01亿</t>
  </si>
  <si>
    <t>-12.86亿</t>
  </si>
  <si>
    <t>68.62亿</t>
  </si>
  <si>
    <t>206.64亿</t>
  </si>
  <si>
    <t>172.95亿</t>
  </si>
  <si>
    <t>-51.79亿</t>
  </si>
  <si>
    <t>-72.17亿</t>
  </si>
  <si>
    <t>50.57亿</t>
  </si>
  <si>
    <t>62.45亿</t>
  </si>
  <si>
    <t>37.00亿</t>
  </si>
  <si>
    <t>14.15亿</t>
  </si>
  <si>
    <t>-14.76亿</t>
  </si>
  <si>
    <t>522.33亿</t>
  </si>
  <si>
    <t>9.69亿</t>
  </si>
  <si>
    <t>5.54亿</t>
  </si>
  <si>
    <t>-2.90亿</t>
  </si>
  <si>
    <t>中远海能</t>
  </si>
  <si>
    <t>388.27亿</t>
  </si>
  <si>
    <t>398.33亿</t>
  </si>
  <si>
    <t>63.85亿</t>
  </si>
  <si>
    <t>16.48亿</t>
  </si>
  <si>
    <t>19.08亿</t>
  </si>
  <si>
    <t>1497.82万</t>
  </si>
  <si>
    <t>2.68亿</t>
  </si>
  <si>
    <t>2718.84万</t>
  </si>
  <si>
    <t>4.68亿</t>
  </si>
  <si>
    <t>1574.42万</t>
  </si>
  <si>
    <t>1356914000亿</t>
  </si>
  <si>
    <t>48.59亿</t>
  </si>
  <si>
    <t>78659723000亿</t>
  </si>
  <si>
    <t>524.53亿</t>
  </si>
  <si>
    <t>46.20亿</t>
  </si>
  <si>
    <t>21.88亿</t>
  </si>
  <si>
    <t>32.43亿</t>
  </si>
  <si>
    <t>119.47亿</t>
  </si>
  <si>
    <t>118.93亿</t>
  </si>
  <si>
    <t>226.28亿</t>
  </si>
  <si>
    <t>46.59亿</t>
  </si>
  <si>
    <t>-58.17亿</t>
  </si>
  <si>
    <t>-13.40亿</t>
  </si>
  <si>
    <t>154.83亿</t>
  </si>
  <si>
    <t>193.90亿</t>
  </si>
  <si>
    <t>153.33亿</t>
  </si>
  <si>
    <t>137.77亿</t>
  </si>
  <si>
    <t>113.95亿</t>
  </si>
  <si>
    <t>-61.05亿</t>
  </si>
  <si>
    <t>28.38亿</t>
  </si>
  <si>
    <t>8502.95万</t>
  </si>
  <si>
    <t>21.28亿</t>
  </si>
  <si>
    <t>42.77亿</t>
  </si>
  <si>
    <t>3086.57万</t>
  </si>
  <si>
    <t>中联重科</t>
  </si>
  <si>
    <t>469.64亿</t>
  </si>
  <si>
    <t>11.67亿</t>
  </si>
  <si>
    <t>38.85亿</t>
  </si>
  <si>
    <t>130.93亿</t>
  </si>
  <si>
    <t>11.74亿</t>
  </si>
  <si>
    <t>822.02亿</t>
  </si>
  <si>
    <t>776.03亿</t>
  </si>
  <si>
    <t>326.74亿</t>
  </si>
  <si>
    <t>247.07亿</t>
  </si>
  <si>
    <t>77.18亿</t>
  </si>
  <si>
    <t>48.96亿</t>
  </si>
  <si>
    <t>23.12亿</t>
  </si>
  <si>
    <t>16.09亿</t>
  </si>
  <si>
    <t>122.77亿</t>
  </si>
  <si>
    <t>238.88亿</t>
  </si>
  <si>
    <t>1.09亿</t>
  </si>
  <si>
    <t>-1.70亿</t>
  </si>
  <si>
    <t>兖矿能源</t>
  </si>
  <si>
    <t>1908.64亿</t>
  </si>
  <si>
    <t>1542.78亿</t>
  </si>
  <si>
    <t>489.93亿</t>
  </si>
  <si>
    <t>1744.06亿</t>
  </si>
  <si>
    <t>343.03亿</t>
  </si>
  <si>
    <t>142.08亿</t>
  </si>
  <si>
    <t>347.85亿</t>
  </si>
  <si>
    <t>15.91亿</t>
  </si>
  <si>
    <t>7.27亿</t>
  </si>
  <si>
    <t>1426.29万</t>
  </si>
  <si>
    <t>7932917600亿</t>
  </si>
  <si>
    <t>577.52亿</t>
  </si>
  <si>
    <t>80.40亿</t>
  </si>
  <si>
    <t>345142520000亿</t>
  </si>
  <si>
    <t>943.79亿</t>
  </si>
  <si>
    <t>298.29亿</t>
  </si>
  <si>
    <t>299.05亿</t>
  </si>
  <si>
    <t>944.21亿</t>
  </si>
  <si>
    <t>965.51亿</t>
  </si>
  <si>
    <t>655.77亿</t>
  </si>
  <si>
    <t>698.00亿</t>
  </si>
  <si>
    <t>-171.14亿</t>
  </si>
  <si>
    <t>-41.47亿</t>
  </si>
  <si>
    <t>1330.00亿</t>
  </si>
  <si>
    <t>823.88亿</t>
  </si>
  <si>
    <t>757.72亿</t>
  </si>
  <si>
    <t>767.95亿</t>
  </si>
  <si>
    <t>631.49亿</t>
  </si>
  <si>
    <t>207.45亿</t>
  </si>
  <si>
    <t>75.30亿</t>
  </si>
  <si>
    <t>88.27亿</t>
  </si>
  <si>
    <t>493.33亿</t>
  </si>
  <si>
    <t>82.35亿</t>
  </si>
  <si>
    <t>490.06亿</t>
  </si>
  <si>
    <t>4.78亿</t>
  </si>
  <si>
    <t>珠光控股</t>
  </si>
  <si>
    <t>-10.65亿</t>
  </si>
  <si>
    <t>32.50亿</t>
  </si>
  <si>
    <t>19.07亿</t>
  </si>
  <si>
    <t>29.85亿</t>
  </si>
  <si>
    <t>66.25亿</t>
  </si>
  <si>
    <t>40.75亿</t>
  </si>
  <si>
    <t>27.05亿</t>
  </si>
  <si>
    <t>2126.50万</t>
  </si>
  <si>
    <t>21.94亿</t>
  </si>
  <si>
    <t>7.47亿</t>
  </si>
  <si>
    <t>471.70万</t>
  </si>
  <si>
    <t>7.23亿</t>
  </si>
  <si>
    <t>中国生物制药</t>
  </si>
  <si>
    <t>324.67亿</t>
  </si>
  <si>
    <t>28.69亿</t>
  </si>
  <si>
    <t>18.47亿</t>
  </si>
  <si>
    <t>328.92亿</t>
  </si>
  <si>
    <t>281.85亿</t>
  </si>
  <si>
    <t>237.84亿</t>
  </si>
  <si>
    <t>177.67亿</t>
  </si>
  <si>
    <t>178.88亿</t>
  </si>
  <si>
    <t>30.25亿</t>
  </si>
  <si>
    <t>103.00亿</t>
  </si>
  <si>
    <t>26.03亿</t>
  </si>
  <si>
    <t>中国铁建</t>
  </si>
  <si>
    <t>12320.42亿</t>
  </si>
  <si>
    <t>269.58亿</t>
  </si>
  <si>
    <t>18.50亿</t>
  </si>
  <si>
    <t>12445.66亿</t>
  </si>
  <si>
    <t>10805.66亿</t>
  </si>
  <si>
    <t>8313.18亿</t>
  </si>
  <si>
    <t>8164.28亿</t>
  </si>
  <si>
    <t>266.16亿</t>
  </si>
  <si>
    <t>242.77亿</t>
  </si>
  <si>
    <t>211.85亿</t>
  </si>
  <si>
    <t>194.34亿</t>
  </si>
  <si>
    <t>189.03亿</t>
  </si>
  <si>
    <t>3253.25亿</t>
  </si>
  <si>
    <t>69.32亿</t>
  </si>
  <si>
    <t>华润燃气</t>
  </si>
  <si>
    <t>943.38亿</t>
  </si>
  <si>
    <t>796.42亿</t>
  </si>
  <si>
    <t>558.64亿</t>
  </si>
  <si>
    <t>511.65亿</t>
  </si>
  <si>
    <t>398.38亿</t>
  </si>
  <si>
    <t>63.95亿</t>
  </si>
  <si>
    <t>44.50亿</t>
  </si>
  <si>
    <t>36.54亿</t>
  </si>
  <si>
    <t>伟禄集团</t>
  </si>
  <si>
    <t>8.69亿</t>
  </si>
  <si>
    <t>8.29亿</t>
  </si>
  <si>
    <t>8.11亿</t>
  </si>
  <si>
    <t>8.85亿</t>
  </si>
  <si>
    <t>-4.16亿</t>
  </si>
  <si>
    <t>9325.40万</t>
  </si>
  <si>
    <t>609.16万</t>
  </si>
  <si>
    <t>中远海运港口</t>
  </si>
  <si>
    <t>112.53亿</t>
  </si>
  <si>
    <t>23.83亿</t>
  </si>
  <si>
    <t>94.22亿</t>
  </si>
  <si>
    <t>77.58亿</t>
  </si>
  <si>
    <t>78.37亿</t>
  </si>
  <si>
    <t>49.60亿</t>
  </si>
  <si>
    <t>27.66亿</t>
  </si>
  <si>
    <t>26.94亿</t>
  </si>
  <si>
    <t>23.99亿</t>
  </si>
  <si>
    <t>25.43亿</t>
  </si>
  <si>
    <t>40.04亿</t>
  </si>
  <si>
    <t>251.84亿</t>
  </si>
  <si>
    <t>五矿资源</t>
  </si>
  <si>
    <t>254.09亿</t>
  </si>
  <si>
    <t>21.26亿</t>
  </si>
  <si>
    <t>331.80亿</t>
  </si>
  <si>
    <t>235.20亿</t>
  </si>
  <si>
    <t>287.52亿</t>
  </si>
  <si>
    <t>293.13亿</t>
  </si>
  <si>
    <t>52.02亿</t>
  </si>
  <si>
    <t>-5.02亿</t>
  </si>
  <si>
    <t>-17.94亿</t>
  </si>
  <si>
    <t>5.35亿</t>
  </si>
  <si>
    <t>11.49亿</t>
  </si>
  <si>
    <t>华润万象生活</t>
  </si>
  <si>
    <t>24.89亿</t>
  </si>
  <si>
    <t>15.11亿</t>
  </si>
  <si>
    <t>108.68亿</t>
  </si>
  <si>
    <t>80.80亿</t>
  </si>
  <si>
    <t>65.58亿</t>
  </si>
  <si>
    <t>50.46亿</t>
  </si>
  <si>
    <t>37.52亿</t>
  </si>
  <si>
    <t>21.12亿</t>
  </si>
  <si>
    <t>9.75亿</t>
  </si>
  <si>
    <t>4.82亿</t>
  </si>
  <si>
    <t>4.66亿</t>
  </si>
  <si>
    <t>32.09亿</t>
  </si>
  <si>
    <t>比亚迪股份</t>
  </si>
  <si>
    <t>4701.85亿</t>
  </si>
  <si>
    <t>187.45亿</t>
  </si>
  <si>
    <t>7.86亿</t>
  </si>
  <si>
    <t>2609.50亿</t>
  </si>
  <si>
    <t>1829.20亿</t>
  </si>
  <si>
    <t>1386.71亿</t>
  </si>
  <si>
    <t>1230.68亿</t>
  </si>
  <si>
    <t>47.89亿</t>
  </si>
  <si>
    <t>18.04亿</t>
  </si>
  <si>
    <t>31.66亿</t>
  </si>
  <si>
    <t>48.75亿</t>
  </si>
  <si>
    <t>810.44亿</t>
  </si>
  <si>
    <t>5.05亿</t>
  </si>
  <si>
    <t>7.37亿</t>
  </si>
  <si>
    <t>5.73亿</t>
  </si>
  <si>
    <t>7.33亿</t>
  </si>
  <si>
    <t>宝龙地产</t>
  </si>
  <si>
    <t>353.97亿</t>
  </si>
  <si>
    <t>488.61亿</t>
  </si>
  <si>
    <t>423.07亿</t>
  </si>
  <si>
    <t>223.09亿</t>
  </si>
  <si>
    <t>186.94亿</t>
  </si>
  <si>
    <t>73.37亿</t>
  </si>
  <si>
    <t>72.63亿</t>
  </si>
  <si>
    <t>45.16亿</t>
  </si>
  <si>
    <t>40.00亿</t>
  </si>
  <si>
    <t>94.73亿</t>
  </si>
  <si>
    <t>3D Medicines</t>
  </si>
  <si>
    <t>-11.56亿</t>
  </si>
  <si>
    <t>4.24亿</t>
  </si>
  <si>
    <t>7378.84万</t>
  </si>
  <si>
    <t>55.52亿</t>
  </si>
  <si>
    <t>63.36亿</t>
  </si>
  <si>
    <t>14.54亿</t>
  </si>
  <si>
    <t>中国有色矿业</t>
  </si>
  <si>
    <t>319.72亿</t>
  </si>
  <si>
    <t>20.59亿</t>
  </si>
  <si>
    <t>2983663200亿</t>
  </si>
  <si>
    <t>31396093000亿</t>
  </si>
  <si>
    <t>87.75亿</t>
  </si>
  <si>
    <t>61.10亿</t>
  </si>
  <si>
    <t>-5.91亿</t>
  </si>
  <si>
    <t>315.86亿</t>
  </si>
  <si>
    <t>201.36亿</t>
  </si>
  <si>
    <t>160.86亿</t>
  </si>
  <si>
    <t>143.68亿</t>
  </si>
  <si>
    <t>美东汽车</t>
  </si>
  <si>
    <t>323.25亿</t>
  </si>
  <si>
    <t>5.88亿</t>
  </si>
  <si>
    <t>13.02亿</t>
  </si>
  <si>
    <t>288.70亿</t>
  </si>
  <si>
    <t>240.85亿</t>
  </si>
  <si>
    <t>126.01亿</t>
  </si>
  <si>
    <t>92.11亿</t>
  </si>
  <si>
    <t>28.01亿</t>
  </si>
  <si>
    <t>农业银行</t>
  </si>
  <si>
    <t>2728.89亿</t>
  </si>
  <si>
    <t>8653.68亿</t>
  </si>
  <si>
    <t>7945.73亿</t>
  </si>
  <si>
    <t>6860.71亿</t>
  </si>
  <si>
    <t>6546.07亿</t>
  </si>
  <si>
    <t>2784.33亿</t>
  </si>
  <si>
    <t>2460.02亿</t>
  </si>
  <si>
    <t>2370.20亿</t>
  </si>
  <si>
    <t>2308.89亿</t>
  </si>
  <si>
    <t>2313.42亿</t>
  </si>
  <si>
    <t>2284.72亿</t>
  </si>
  <si>
    <t>友邦保险</t>
  </si>
  <si>
    <t>22.02亿</t>
  </si>
  <si>
    <t>3706.00亿</t>
  </si>
  <si>
    <t>3904.33亿</t>
  </si>
  <si>
    <t>2535.79亿</t>
  </si>
  <si>
    <t>2995.11亿</t>
  </si>
  <si>
    <t>579.16亿</t>
  </si>
  <si>
    <t>448.05亿</t>
  </si>
  <si>
    <t>517.68亿</t>
  </si>
  <si>
    <t>203.45亿</t>
  </si>
  <si>
    <t>507.60亿</t>
  </si>
  <si>
    <t>5.50亿</t>
  </si>
  <si>
    <t>先健科技</t>
  </si>
  <si>
    <t>12.38亿</t>
  </si>
  <si>
    <t>3.67亿</t>
  </si>
  <si>
    <t>-5.17亿</t>
  </si>
  <si>
    <t>7.66亿</t>
  </si>
  <si>
    <t>海丰国际</t>
  </si>
  <si>
    <t>321.14亿</t>
  </si>
  <si>
    <t>151.82亿</t>
  </si>
  <si>
    <t>16.33亿</t>
  </si>
  <si>
    <t>234.91亿</t>
  </si>
  <si>
    <t>130.65亿</t>
  </si>
  <si>
    <t>113.52亿</t>
  </si>
  <si>
    <t>105.36亿</t>
  </si>
  <si>
    <t>90.67亿</t>
  </si>
  <si>
    <t>27.26亿</t>
  </si>
  <si>
    <t>17.13亿</t>
  </si>
  <si>
    <t>15.47亿</t>
  </si>
  <si>
    <t>14.74亿</t>
  </si>
  <si>
    <t>1.43亿</t>
  </si>
  <si>
    <t>香港宽频</t>
  </si>
  <si>
    <t>116.26亿</t>
  </si>
  <si>
    <t>5.53亿</t>
  </si>
  <si>
    <t>-3.09亿</t>
  </si>
  <si>
    <t>114.64亿</t>
  </si>
  <si>
    <t>94.53亿</t>
  </si>
  <si>
    <t>39.49亿</t>
  </si>
  <si>
    <t>32.32亿</t>
  </si>
  <si>
    <t>9717.40万</t>
  </si>
  <si>
    <t>2.15亿</t>
  </si>
  <si>
    <t>19.36亿</t>
  </si>
  <si>
    <t>1.11亿</t>
  </si>
  <si>
    <t>5.17亿</t>
  </si>
  <si>
    <t>153.07亿</t>
  </si>
  <si>
    <t>31.70亿</t>
  </si>
  <si>
    <t>439.63亿</t>
  </si>
  <si>
    <t>400.87亿</t>
  </si>
  <si>
    <t>387.91亿</t>
  </si>
  <si>
    <t>299.58亿</t>
  </si>
  <si>
    <t>77.67亿</t>
  </si>
  <si>
    <t>89.60亿</t>
  </si>
  <si>
    <t>86.18亿</t>
  </si>
  <si>
    <t>79.75亿</t>
  </si>
  <si>
    <t>36.17亿</t>
  </si>
  <si>
    <t>69.77亿</t>
  </si>
  <si>
    <t>耐世特</t>
  </si>
  <si>
    <t>299.80亿</t>
  </si>
  <si>
    <t>261.91亿</t>
  </si>
  <si>
    <t>235.09亿</t>
  </si>
  <si>
    <t>278.44亿</t>
  </si>
  <si>
    <t>306.48亿</t>
  </si>
  <si>
    <t>303.03亿</t>
  </si>
  <si>
    <t>9.05亿</t>
  </si>
  <si>
    <t>18.10亿</t>
  </si>
  <si>
    <t>29.74亿</t>
  </si>
  <si>
    <t>绿色动力环保</t>
  </si>
  <si>
    <t>50.85亿</t>
  </si>
  <si>
    <t>3.82亿</t>
  </si>
  <si>
    <t>36.57亿</t>
  </si>
  <si>
    <t>-2.69亿</t>
  </si>
  <si>
    <t>61.28亿</t>
  </si>
  <si>
    <t>26.59亿</t>
  </si>
  <si>
    <t>19.18亿</t>
  </si>
  <si>
    <t>12.98亿</t>
  </si>
  <si>
    <t>6.00亿</t>
  </si>
  <si>
    <t>4.65亿</t>
  </si>
  <si>
    <t>新华保险</t>
  </si>
  <si>
    <t>110.80亿</t>
  </si>
  <si>
    <t>2694.23亿</t>
  </si>
  <si>
    <t>2429.78亿</t>
  </si>
  <si>
    <t>1730.26亿</t>
  </si>
  <si>
    <t>1715.41亿</t>
  </si>
  <si>
    <t>183.03亿</t>
  </si>
  <si>
    <t>170.37亿</t>
  </si>
  <si>
    <t>162.70亿</t>
  </si>
  <si>
    <t>90.20亿</t>
  </si>
  <si>
    <t>64.54亿</t>
  </si>
  <si>
    <t>304.32亿</t>
  </si>
  <si>
    <t>中国人民保险集团</t>
  </si>
  <si>
    <t>276.13亿</t>
  </si>
  <si>
    <t>7280.95亿</t>
  </si>
  <si>
    <t>6932.15亿</t>
  </si>
  <si>
    <t>5677.03亿</t>
  </si>
  <si>
    <t>5799.98亿</t>
  </si>
  <si>
    <t>262.97亿</t>
  </si>
  <si>
    <t>238.81亿</t>
  </si>
  <si>
    <t>247.36亿</t>
  </si>
  <si>
    <t>147.02亿</t>
  </si>
  <si>
    <t>193.01亿</t>
  </si>
  <si>
    <t>1581.21亿</t>
  </si>
  <si>
    <t>17.59亿</t>
  </si>
  <si>
    <t>华虹半导体</t>
  </si>
  <si>
    <t>193.29亿</t>
  </si>
  <si>
    <t>15.88亿</t>
  </si>
  <si>
    <t>12.57亿</t>
  </si>
  <si>
    <t>2.59亿</t>
  </si>
  <si>
    <t>107.94亿</t>
  </si>
  <si>
    <t>127.17亿</t>
  </si>
  <si>
    <t>74.53亿</t>
  </si>
  <si>
    <t>72.88亿</t>
  </si>
  <si>
    <t>63.15亿</t>
  </si>
  <si>
    <t>20.39亿</t>
  </si>
  <si>
    <t>7.71亿</t>
  </si>
  <si>
    <t>12.63亿</t>
  </si>
  <si>
    <t>11.35亿</t>
  </si>
  <si>
    <t>复旦张江</t>
  </si>
  <si>
    <t>6.72亿</t>
  </si>
  <si>
    <t>2.64亿</t>
  </si>
  <si>
    <t>10.15亿</t>
  </si>
  <si>
    <t>2.30亿</t>
  </si>
  <si>
    <t>7.60亿</t>
  </si>
  <si>
    <t>9.89亿</t>
  </si>
  <si>
    <t>2.61亿</t>
  </si>
  <si>
    <t>9026.16万</t>
  </si>
  <si>
    <t>607.49万</t>
  </si>
  <si>
    <t>5.57亿</t>
  </si>
  <si>
    <t>美图公司</t>
  </si>
  <si>
    <t>23.52亿</t>
  </si>
  <si>
    <t>14.23亿</t>
  </si>
  <si>
    <t>15.25亿</t>
  </si>
  <si>
    <t>33.84亿</t>
  </si>
  <si>
    <t>54.28亿</t>
  </si>
  <si>
    <t>-5450.74万</t>
  </si>
  <si>
    <t>-4883.21万</t>
  </si>
  <si>
    <t>-4.43亿</t>
  </si>
  <si>
    <t>-14.28亿</t>
  </si>
  <si>
    <t>-2.37亿</t>
  </si>
  <si>
    <t>8889.67万</t>
  </si>
  <si>
    <t>7.88亿</t>
  </si>
  <si>
    <t>中国信达</t>
  </si>
  <si>
    <t>907.19亿</t>
  </si>
  <si>
    <t>59.82亿</t>
  </si>
  <si>
    <t>82.47亿</t>
  </si>
  <si>
    <t>1189.21亿</t>
  </si>
  <si>
    <t>1290.18亿</t>
  </si>
  <si>
    <t>1218.60亿</t>
  </si>
  <si>
    <t>1439.10亿</t>
  </si>
  <si>
    <t>135.12亿</t>
  </si>
  <si>
    <t>144.91亿</t>
  </si>
  <si>
    <t>133.34亿</t>
  </si>
  <si>
    <t>124.78亿</t>
  </si>
  <si>
    <t>204.69亿</t>
  </si>
  <si>
    <t>2.19亿</t>
  </si>
  <si>
    <t>13.24亿</t>
  </si>
  <si>
    <t>361度</t>
  </si>
  <si>
    <t>78.53亿</t>
  </si>
  <si>
    <t>8.43亿</t>
  </si>
  <si>
    <t>72.66亿</t>
  </si>
  <si>
    <t>61.11亿</t>
  </si>
  <si>
    <t>59.06亿</t>
  </si>
  <si>
    <t>4.95亿</t>
  </si>
  <si>
    <t>特步国际</t>
  </si>
  <si>
    <t>145.87亿</t>
  </si>
  <si>
    <t>10.40亿</t>
  </si>
  <si>
    <t>3.37亿</t>
  </si>
  <si>
    <t>122.61亿</t>
  </si>
  <si>
    <t>97.40亿</t>
  </si>
  <si>
    <t>72.68亿</t>
  </si>
  <si>
    <t>61.30亿</t>
  </si>
  <si>
    <t>6.11亿</t>
  </si>
  <si>
    <t>8.13亿</t>
  </si>
  <si>
    <t>7.48亿</t>
  </si>
  <si>
    <t>中州证券</t>
  </si>
  <si>
    <t>-16.38亿</t>
  </si>
  <si>
    <t>40.64亿</t>
  </si>
  <si>
    <t>30.15亿</t>
  </si>
  <si>
    <t>38.27亿</t>
  </si>
  <si>
    <t>6.28亿</t>
  </si>
  <si>
    <t>6506.42万</t>
  </si>
  <si>
    <t>7490.74万</t>
  </si>
  <si>
    <t>5.30亿</t>
  </si>
  <si>
    <t>2273.24万</t>
  </si>
  <si>
    <t>中国宏桥</t>
  </si>
  <si>
    <t>1485.70亿</t>
  </si>
  <si>
    <t>98.17亿</t>
  </si>
  <si>
    <t>1401.94亿</t>
  </si>
  <si>
    <t>1026.76亿</t>
  </si>
  <si>
    <t>1026.96亿</t>
  </si>
  <si>
    <t>1174.23亿</t>
  </si>
  <si>
    <t>196.82亿</t>
  </si>
  <si>
    <t>125.10亿</t>
  </si>
  <si>
    <t>68.12亿</t>
  </si>
  <si>
    <t>61.57亿</t>
  </si>
  <si>
    <t>5.60亿</t>
  </si>
  <si>
    <t>13.33亿</t>
  </si>
  <si>
    <t>49.88亿</t>
  </si>
  <si>
    <t>13.22亿</t>
  </si>
  <si>
    <t>10.54亿</t>
  </si>
  <si>
    <t>7.54亿</t>
  </si>
  <si>
    <t>61.19亿</t>
  </si>
  <si>
    <t>7.43亿</t>
  </si>
  <si>
    <t>9.76亿</t>
  </si>
  <si>
    <t>9.23亿</t>
  </si>
  <si>
    <t>10.00亿</t>
  </si>
  <si>
    <t>17.23亿</t>
  </si>
  <si>
    <t>3.62亿</t>
  </si>
  <si>
    <t>16.05亿</t>
  </si>
  <si>
    <t>16.76亿</t>
  </si>
  <si>
    <t>6.30亿</t>
  </si>
  <si>
    <t>工商银行</t>
  </si>
  <si>
    <t>3899.54亿</t>
  </si>
  <si>
    <t>10471.67亿</t>
  </si>
  <si>
    <t>9483.33亿</t>
  </si>
  <si>
    <t>8244.24亿</t>
  </si>
  <si>
    <t>8068.75亿</t>
  </si>
  <si>
    <t>4147.76亿</t>
  </si>
  <si>
    <t>3659.93亿</t>
  </si>
  <si>
    <t>3438.54亿</t>
  </si>
  <si>
    <t>3338.03亿</t>
  </si>
  <si>
    <t>3376.25亿</t>
  </si>
  <si>
    <t>2772.24亿</t>
  </si>
  <si>
    <t>6.58亿</t>
  </si>
  <si>
    <t>15.32亿</t>
  </si>
  <si>
    <t>62.33亿</t>
  </si>
  <si>
    <t>42.25亿</t>
  </si>
  <si>
    <t>2.28亿</t>
  </si>
  <si>
    <t>13.80亿</t>
  </si>
  <si>
    <t>福寿园</t>
  </si>
  <si>
    <t>24.50亿</t>
  </si>
  <si>
    <t>914583380亿</t>
  </si>
  <si>
    <t>8817106600亿</t>
  </si>
  <si>
    <t>3.48亿</t>
  </si>
  <si>
    <t>9.62亿</t>
  </si>
  <si>
    <t>28.48亿</t>
  </si>
  <si>
    <t>22.56亿</t>
  </si>
  <si>
    <t>20.68亿</t>
  </si>
  <si>
    <t>17.71亿</t>
  </si>
  <si>
    <t>6.47亿</t>
  </si>
  <si>
    <t>5.56亿</t>
  </si>
  <si>
    <t>13.82亿</t>
  </si>
  <si>
    <t>国联证券</t>
  </si>
  <si>
    <t>44.92亿</t>
  </si>
  <si>
    <t>133.33亿</t>
  </si>
  <si>
    <t>4.00亿</t>
  </si>
  <si>
    <t>51.81亿</t>
  </si>
  <si>
    <t>17.28亿</t>
  </si>
  <si>
    <t>21.49亿</t>
  </si>
  <si>
    <t>10.88亿</t>
  </si>
  <si>
    <t>5759.95万</t>
  </si>
  <si>
    <t>4.33亿</t>
  </si>
  <si>
    <t>5.20亿</t>
  </si>
  <si>
    <t>2.33亿</t>
  </si>
  <si>
    <t>19.85亿</t>
  </si>
  <si>
    <t>周黑鸭</t>
  </si>
  <si>
    <t>2852.18万</t>
  </si>
  <si>
    <t>10.32亿</t>
  </si>
  <si>
    <t>35.14亿</t>
  </si>
  <si>
    <t>26.00亿</t>
  </si>
  <si>
    <t>38.95亿</t>
  </si>
  <si>
    <t>4.55亿</t>
  </si>
  <si>
    <t>9.13亿</t>
  </si>
  <si>
    <t>日清食品</t>
  </si>
  <si>
    <t>37.06亿</t>
  </si>
  <si>
    <t>10.24亿</t>
  </si>
  <si>
    <t>9.17亿</t>
  </si>
  <si>
    <t>-1.82亿</t>
  </si>
  <si>
    <t>35.19亿</t>
  </si>
  <si>
    <t>30.88亿</t>
  </si>
  <si>
    <t>29.99亿</t>
  </si>
  <si>
    <t>26.89亿</t>
  </si>
  <si>
    <t>3.04亿</t>
  </si>
  <si>
    <t>10.62亿</t>
  </si>
  <si>
    <t>9031.10万</t>
  </si>
  <si>
    <t>6.39亿</t>
  </si>
  <si>
    <t>欧康维视生物-B</t>
  </si>
  <si>
    <t>-4.54亿</t>
  </si>
  <si>
    <t>2.08亿</t>
  </si>
  <si>
    <t>2.79亿</t>
  </si>
  <si>
    <t>6875.08万</t>
  </si>
  <si>
    <t>1560.91万</t>
  </si>
  <si>
    <t>-3.18亿</t>
  </si>
  <si>
    <t>-26.99亿</t>
  </si>
  <si>
    <t>-14.67亿</t>
  </si>
  <si>
    <t>-2.36亿</t>
  </si>
  <si>
    <t>-1.73万</t>
  </si>
  <si>
    <t>丘钛科技</t>
  </si>
  <si>
    <t>155.22亿</t>
  </si>
  <si>
    <t>1.93亿</t>
  </si>
  <si>
    <t>228.52亿</t>
  </si>
  <si>
    <t>207.39亿</t>
  </si>
  <si>
    <t>92.63亿</t>
  </si>
  <si>
    <t>95.18亿</t>
  </si>
  <si>
    <t>10.01亿</t>
  </si>
  <si>
    <t>1639.47万</t>
  </si>
  <si>
    <t>3.80亿</t>
  </si>
  <si>
    <t>丽珠医药</t>
  </si>
  <si>
    <t>140.82亿</t>
  </si>
  <si>
    <t>31.28亿</t>
  </si>
  <si>
    <t>146.04亿</t>
  </si>
  <si>
    <t>123.92亿</t>
  </si>
  <si>
    <t>100.89亿</t>
  </si>
  <si>
    <t>102.28亿</t>
  </si>
  <si>
    <t>21.74亿</t>
  </si>
  <si>
    <t>14.56亿</t>
  </si>
  <si>
    <t>53.10亿</t>
  </si>
  <si>
    <t>42.44亿</t>
  </si>
  <si>
    <t>华润医疗</t>
  </si>
  <si>
    <t>54.46亿</t>
  </si>
  <si>
    <t>22.51亿</t>
  </si>
  <si>
    <t>5.12亿</t>
  </si>
  <si>
    <t>4.91亿</t>
  </si>
  <si>
    <t>10.25亿</t>
  </si>
  <si>
    <t>融创服务</t>
  </si>
  <si>
    <t>80.39亿</t>
  </si>
  <si>
    <t>50.59亿</t>
  </si>
  <si>
    <t>96.78亿</t>
  </si>
  <si>
    <t>55.13亿</t>
  </si>
  <si>
    <t>5150.23万</t>
  </si>
  <si>
    <t>3.38亿</t>
  </si>
  <si>
    <t>方达控股</t>
  </si>
  <si>
    <t>-11.55亿</t>
  </si>
  <si>
    <t>6.51亿</t>
  </si>
  <si>
    <t>8806.20万</t>
  </si>
  <si>
    <t>7942.93万</t>
  </si>
  <si>
    <t>红星美凯龙</t>
  </si>
  <si>
    <t>28.86亿</t>
  </si>
  <si>
    <t>159.49亿</t>
  </si>
  <si>
    <t>16.84亿</t>
  </si>
  <si>
    <t>12.02亿</t>
  </si>
  <si>
    <t>3.39亿</t>
  </si>
  <si>
    <t>7.76亿</t>
  </si>
  <si>
    <t>189.95亿</t>
  </si>
  <si>
    <t>165.19亿</t>
  </si>
  <si>
    <t>131.39亿</t>
  </si>
  <si>
    <t>20.63亿</t>
  </si>
  <si>
    <t>50.06亿</t>
  </si>
  <si>
    <t>50.98亿</t>
  </si>
  <si>
    <t>48.89亿</t>
  </si>
  <si>
    <t>40.42亿</t>
  </si>
  <si>
    <t>8.61亿</t>
  </si>
  <si>
    <t>三生制药</t>
  </si>
  <si>
    <t>21.60亿</t>
  </si>
  <si>
    <t>20.24亿</t>
  </si>
  <si>
    <t>78.15亿</t>
  </si>
  <si>
    <t>66.60亿</t>
  </si>
  <si>
    <t>52.19亿</t>
  </si>
  <si>
    <t>20.22亿</t>
  </si>
  <si>
    <t>9.96亿</t>
  </si>
  <si>
    <t>金斯瑞生物科技</t>
  </si>
  <si>
    <t>48.85亿</t>
  </si>
  <si>
    <t>-17.71亿</t>
  </si>
  <si>
    <t>-9.39亿</t>
  </si>
  <si>
    <t>-34.61亿</t>
  </si>
  <si>
    <t>38.22亿</t>
  </si>
  <si>
    <t>30.30亿</t>
  </si>
  <si>
    <t>-15.89亿</t>
  </si>
  <si>
    <t>-7.55亿</t>
  </si>
  <si>
    <t>2.04亿</t>
  </si>
  <si>
    <t>颐海国际</t>
  </si>
  <si>
    <t>69.34亿</t>
  </si>
  <si>
    <t>8.37亿</t>
  </si>
  <si>
    <t>72.77亿</t>
  </si>
  <si>
    <t>63.89亿</t>
  </si>
  <si>
    <t>19.74亿</t>
  </si>
  <si>
    <t>9.38亿</t>
  </si>
  <si>
    <t>10.55亿</t>
  </si>
  <si>
    <t>8.03亿</t>
  </si>
  <si>
    <t>5.90亿</t>
  </si>
  <si>
    <t>雅迪控股</t>
  </si>
  <si>
    <t>350.38亿</t>
  </si>
  <si>
    <t>24.38亿</t>
  </si>
  <si>
    <t>-23.19亿</t>
  </si>
  <si>
    <t>330.22亿</t>
  </si>
  <si>
    <t>230.76亿</t>
  </si>
  <si>
    <t>112.91亿</t>
  </si>
  <si>
    <t>94.12亿</t>
  </si>
  <si>
    <t>20.86亿</t>
  </si>
  <si>
    <t>天伦燃气</t>
  </si>
  <si>
    <t>93.68亿</t>
  </si>
  <si>
    <t>58.22亿</t>
  </si>
  <si>
    <t>37.27亿</t>
  </si>
  <si>
    <t>6.48亿</t>
  </si>
  <si>
    <t>13.71亿</t>
  </si>
  <si>
    <t>中粮家佳康</t>
  </si>
  <si>
    <t>145.53亿</t>
  </si>
  <si>
    <t>4.02亿</t>
  </si>
  <si>
    <t>161.97亿</t>
  </si>
  <si>
    <t>225.53亿</t>
  </si>
  <si>
    <t>81.62亿</t>
  </si>
  <si>
    <t>83.45亿</t>
  </si>
  <si>
    <t>-5.63亿</t>
  </si>
  <si>
    <t>47.62亿</t>
  </si>
  <si>
    <t>-7.15亿</t>
  </si>
  <si>
    <t>5.41亿</t>
  </si>
  <si>
    <t>中国中冶</t>
  </si>
  <si>
    <t>6664.80亿</t>
  </si>
  <si>
    <t>104.17亿</t>
  </si>
  <si>
    <t>7.52亿</t>
  </si>
  <si>
    <t>6098.70亿</t>
  </si>
  <si>
    <t>4745.51亿</t>
  </si>
  <si>
    <t>3296.64亿</t>
  </si>
  <si>
    <t>2925.31亿</t>
  </si>
  <si>
    <t>89.26亿</t>
  </si>
  <si>
    <t>62.50亿</t>
  </si>
  <si>
    <t>62.18亿</t>
  </si>
  <si>
    <t>63.37亿</t>
  </si>
  <si>
    <t>1451.07亿</t>
  </si>
  <si>
    <t>33.06亿</t>
  </si>
  <si>
    <t>10.82亿</t>
  </si>
  <si>
    <t>9.50亿</t>
  </si>
  <si>
    <t>大众公用</t>
  </si>
  <si>
    <t>65.57亿</t>
  </si>
  <si>
    <t>-3.75亿</t>
  </si>
  <si>
    <t>3.57亿</t>
  </si>
  <si>
    <t>7.05亿</t>
  </si>
  <si>
    <t>19.54亿</t>
  </si>
  <si>
    <t>105.17亿</t>
  </si>
  <si>
    <t>42.83亿</t>
  </si>
  <si>
    <t>3.51亿</t>
  </si>
  <si>
    <t>68.42亿</t>
  </si>
  <si>
    <t>59.03亿</t>
  </si>
  <si>
    <t>57.64亿</t>
  </si>
  <si>
    <t>6.14亿</t>
  </si>
  <si>
    <t>5.45亿</t>
  </si>
  <si>
    <t>-4.01亿</t>
  </si>
  <si>
    <t>11.85亿</t>
  </si>
  <si>
    <t>邮储银行</t>
  </si>
  <si>
    <t>3540.30亿</t>
  </si>
  <si>
    <t>885.74亿</t>
  </si>
  <si>
    <t>3624.84亿</t>
  </si>
  <si>
    <t>3225.47亿</t>
  </si>
  <si>
    <t>2931.50亿</t>
  </si>
  <si>
    <t>2429.08亿</t>
  </si>
  <si>
    <t>734.39亿</t>
  </si>
  <si>
    <t>680.93亿</t>
  </si>
  <si>
    <t>595.61亿</t>
  </si>
  <si>
    <t>571.67亿</t>
  </si>
  <si>
    <t>978.29亿</t>
  </si>
  <si>
    <t>308.03亿</t>
  </si>
  <si>
    <t>华南城</t>
  </si>
  <si>
    <t>103.12亿</t>
  </si>
  <si>
    <t>23.78亿</t>
  </si>
  <si>
    <t>113.09亿</t>
  </si>
  <si>
    <t>98.88亿</t>
  </si>
  <si>
    <t>94.05亿</t>
  </si>
  <si>
    <t>78.39亿</t>
  </si>
  <si>
    <t>26.33亿</t>
  </si>
  <si>
    <t>32.51亿</t>
  </si>
  <si>
    <t>45.12亿</t>
  </si>
  <si>
    <t>43.23亿</t>
  </si>
  <si>
    <t>亚信科技</t>
  </si>
  <si>
    <t>87.29亿</t>
  </si>
  <si>
    <t>7.89亿</t>
  </si>
  <si>
    <t>4.57亿</t>
  </si>
  <si>
    <t>新意网集团</t>
  </si>
  <si>
    <t>-17.44亿</t>
  </si>
  <si>
    <t>18.74亿</t>
  </si>
  <si>
    <t>15.61亿</t>
  </si>
  <si>
    <t>7.83亿</t>
  </si>
  <si>
    <t>8.65亿</t>
  </si>
  <si>
    <t>JS环球生活</t>
  </si>
  <si>
    <t>393.62亿</t>
  </si>
  <si>
    <t>18.07亿</t>
  </si>
  <si>
    <t>39.11亿</t>
  </si>
  <si>
    <t>401.64亿</t>
  </si>
  <si>
    <t>325.30亿</t>
  </si>
  <si>
    <t>210.10亿</t>
  </si>
  <si>
    <t>122.17亿</t>
  </si>
  <si>
    <t>32.79亿</t>
  </si>
  <si>
    <t>26.70亿</t>
  </si>
  <si>
    <t>28.72亿</t>
  </si>
  <si>
    <t>2.40亿</t>
  </si>
  <si>
    <t>7.17亿</t>
  </si>
  <si>
    <t>5.21亿</t>
  </si>
  <si>
    <t>58.43亿</t>
  </si>
  <si>
    <t>6.43亿</t>
  </si>
  <si>
    <t>34.59亿</t>
  </si>
  <si>
    <t>483193510亿</t>
  </si>
  <si>
    <t>25072172000亿</t>
  </si>
  <si>
    <t>6659.26万</t>
  </si>
  <si>
    <t>16.02亿</t>
  </si>
  <si>
    <t>-32.43亿</t>
  </si>
  <si>
    <t>5.47亿</t>
  </si>
  <si>
    <t>中国中车</t>
  </si>
  <si>
    <t>2496.53亿</t>
  </si>
  <si>
    <t>131.46亿</t>
  </si>
  <si>
    <t>14.76亿</t>
  </si>
  <si>
    <t>-99.06亿</t>
  </si>
  <si>
    <t>2743.44亿</t>
  </si>
  <si>
    <t>2692.50亿</t>
  </si>
  <si>
    <t>2471.27亿</t>
  </si>
  <si>
    <t>2482.25亿</t>
  </si>
  <si>
    <t>126.16亿</t>
  </si>
  <si>
    <t>135.05亿</t>
  </si>
  <si>
    <t>131.81亿</t>
  </si>
  <si>
    <t>128.72亿</t>
  </si>
  <si>
    <t>129.38亿</t>
  </si>
  <si>
    <t>374.65亿</t>
  </si>
  <si>
    <t>赣锋锂业</t>
  </si>
  <si>
    <t>466.70亿</t>
  </si>
  <si>
    <t>231.30亿</t>
  </si>
  <si>
    <t>40.10亿</t>
  </si>
  <si>
    <t>101.57亿</t>
  </si>
  <si>
    <t>56.46亿</t>
  </si>
  <si>
    <t>135.22亿</t>
  </si>
  <si>
    <t>65.42亿</t>
  </si>
  <si>
    <t>55.68亿</t>
  </si>
  <si>
    <t>50.01亿</t>
  </si>
  <si>
    <t>63.99亿</t>
  </si>
  <si>
    <t>12.22亿</t>
  </si>
  <si>
    <t>25.12亿</t>
  </si>
  <si>
    <t>43.47亿</t>
  </si>
  <si>
    <t>19.26亿</t>
  </si>
  <si>
    <t>广发证券</t>
  </si>
  <si>
    <t>375.16亿</t>
  </si>
  <si>
    <t>87.21亿</t>
  </si>
  <si>
    <t>17.20亿</t>
  </si>
  <si>
    <t>513.25亿</t>
  </si>
  <si>
    <t>428.88亿</t>
  </si>
  <si>
    <t>336.11亿</t>
  </si>
  <si>
    <t>259.79亿</t>
  </si>
  <si>
    <t>343.06亿</t>
  </si>
  <si>
    <t>132.75亿</t>
  </si>
  <si>
    <t>119.64亿</t>
  </si>
  <si>
    <t>84.25亿</t>
  </si>
  <si>
    <t>103.05亿</t>
  </si>
  <si>
    <t>65.34亿</t>
  </si>
  <si>
    <t>16.06亿</t>
  </si>
  <si>
    <t>山东黄金</t>
  </si>
  <si>
    <t>567.50亿</t>
  </si>
  <si>
    <t>9.46亿</t>
  </si>
  <si>
    <t>7.26亿</t>
  </si>
  <si>
    <t>415.51亿</t>
  </si>
  <si>
    <t>759.12亿</t>
  </si>
  <si>
    <t>640.47亿</t>
  </si>
  <si>
    <t>611.93亿</t>
  </si>
  <si>
    <t>14.42亿</t>
  </si>
  <si>
    <t>10.98亿</t>
  </si>
  <si>
    <t>13.41亿</t>
  </si>
  <si>
    <t>163.81亿</t>
  </si>
  <si>
    <t>黄金及贵金属</t>
  </si>
  <si>
    <t>国泰君安国际</t>
  </si>
  <si>
    <t>8038.10万</t>
  </si>
  <si>
    <t>48.78亿</t>
  </si>
  <si>
    <t>10.95亿</t>
  </si>
  <si>
    <t>7.97亿</t>
  </si>
  <si>
    <t>12.28亿</t>
  </si>
  <si>
    <t>爱康医疗</t>
  </si>
  <si>
    <t>11.87亿</t>
  </si>
  <si>
    <t>12.34亿</t>
  </si>
  <si>
    <t>10.36亿</t>
  </si>
  <si>
    <t>6.84亿</t>
  </si>
  <si>
    <t>2.98亿</t>
  </si>
  <si>
    <t>东方甄选</t>
  </si>
  <si>
    <t>-6.28亿</t>
  </si>
  <si>
    <t>17.31亿</t>
  </si>
  <si>
    <t>-20.23亿</t>
  </si>
  <si>
    <t>-8.06亿</t>
  </si>
  <si>
    <t>-4504.09万</t>
  </si>
  <si>
    <t>大唐新能源</t>
  </si>
  <si>
    <t>141.00亿</t>
  </si>
  <si>
    <t>33.04亿</t>
  </si>
  <si>
    <t>15.52亿</t>
  </si>
  <si>
    <t>145.33亿</t>
  </si>
  <si>
    <t>111.71亿</t>
  </si>
  <si>
    <t>94.72亿</t>
  </si>
  <si>
    <t>85.17亿</t>
  </si>
  <si>
    <t>10.46亿</t>
  </si>
  <si>
    <t>13.77亿</t>
  </si>
  <si>
    <t>37.68亿</t>
  </si>
  <si>
    <t>10.92亿</t>
  </si>
  <si>
    <t>新特能源</t>
  </si>
  <si>
    <t>151.11亿</t>
  </si>
  <si>
    <t>57.23亿</t>
  </si>
  <si>
    <t>270.12亿</t>
  </si>
  <si>
    <t>273.74亿</t>
  </si>
  <si>
    <t>167.88亿</t>
  </si>
  <si>
    <t>137.24亿</t>
  </si>
  <si>
    <t>136.93亿</t>
  </si>
  <si>
    <t>7.56亿</t>
  </si>
  <si>
    <t>4.50亿</t>
  </si>
  <si>
    <t>12.84亿</t>
  </si>
  <si>
    <t>82.77亿</t>
  </si>
  <si>
    <t>27.83亿</t>
  </si>
  <si>
    <t>中国交通建设</t>
  </si>
  <si>
    <t>208.77亿</t>
  </si>
  <si>
    <t>12.27亿</t>
  </si>
  <si>
    <t>8360.70亿</t>
  </si>
  <si>
    <t>7443.36亿</t>
  </si>
  <si>
    <t>5563.95亿</t>
  </si>
  <si>
    <t>5515.74亿</t>
  </si>
  <si>
    <t>177.46亿</t>
  </si>
  <si>
    <t>210.20亿</t>
  </si>
  <si>
    <t>214.07亿</t>
  </si>
  <si>
    <t>2114.76亿</t>
  </si>
  <si>
    <t>62.82亿</t>
  </si>
  <si>
    <t>信达生物</t>
  </si>
  <si>
    <t>51.40亿</t>
  </si>
  <si>
    <t>-24.58亿</t>
  </si>
  <si>
    <t>39.47亿</t>
  </si>
  <si>
    <t>52.28亿</t>
  </si>
  <si>
    <t>45.81亿</t>
  </si>
  <si>
    <t>1079.05万</t>
  </si>
  <si>
    <t>2222.52万</t>
  </si>
  <si>
    <t>-19.22亿</t>
  </si>
  <si>
    <t>-65.71亿</t>
  </si>
  <si>
    <t>-6.74亿</t>
  </si>
  <si>
    <t>小米集团-W</t>
  </si>
  <si>
    <t>3159.18亿</t>
  </si>
  <si>
    <t>27.91亿</t>
  </si>
  <si>
    <t>111.12亿</t>
  </si>
  <si>
    <t>-18.54亿</t>
  </si>
  <si>
    <t>4020.15亿</t>
  </si>
  <si>
    <t>2930.47亿</t>
  </si>
  <si>
    <t>1991.59亿</t>
  </si>
  <si>
    <t>1374.24亿</t>
  </si>
  <si>
    <t>236.81亿</t>
  </si>
  <si>
    <t>112.24亿</t>
  </si>
  <si>
    <t>154.32亿</t>
  </si>
  <si>
    <t>-525.43亿</t>
  </si>
  <si>
    <t>904.61亿</t>
  </si>
  <si>
    <t>-7.25亿</t>
  </si>
  <si>
    <t>中广核新能源</t>
  </si>
  <si>
    <t>189.74亿</t>
  </si>
  <si>
    <t>15.24亿</t>
  </si>
  <si>
    <t>138.44亿</t>
  </si>
  <si>
    <t>89.15亿</t>
  </si>
  <si>
    <t>106.42亿</t>
  </si>
  <si>
    <t>86.62亿</t>
  </si>
  <si>
    <t>6.91亿</t>
  </si>
  <si>
    <t>17.24亿</t>
  </si>
  <si>
    <t>晨鸣纸业</t>
  </si>
  <si>
    <t>358.30亿</t>
  </si>
  <si>
    <t>83.71亿</t>
  </si>
  <si>
    <t>38.92亿</t>
  </si>
  <si>
    <t>400.84亿</t>
  </si>
  <si>
    <t>363.36亿</t>
  </si>
  <si>
    <t>328.78亿</t>
  </si>
  <si>
    <t>353.35亿</t>
  </si>
  <si>
    <t>25.29亿</t>
  </si>
  <si>
    <t>20.41亿</t>
  </si>
  <si>
    <t>28.58亿</t>
  </si>
  <si>
    <t>45.19亿</t>
  </si>
  <si>
    <t>104.19亿</t>
  </si>
  <si>
    <t>92.51亿</t>
  </si>
  <si>
    <t>291.98亿</t>
  </si>
  <si>
    <t>中广核电力</t>
  </si>
  <si>
    <t>2877.77亿</t>
  </si>
  <si>
    <t>1839.09亿</t>
  </si>
  <si>
    <t>206.88亿</t>
  </si>
  <si>
    <t>925.23亿</t>
  </si>
  <si>
    <t>112.41亿</t>
  </si>
  <si>
    <t>84.03亿</t>
  </si>
  <si>
    <t>122.85亿</t>
  </si>
  <si>
    <t>966.96万</t>
  </si>
  <si>
    <t>8.78亿</t>
  </si>
  <si>
    <t>43.46亿</t>
  </si>
  <si>
    <t>5971275500亿</t>
  </si>
  <si>
    <t>188.87亿</t>
  </si>
  <si>
    <t>162.65亿</t>
  </si>
  <si>
    <t>471685790000亿</t>
  </si>
  <si>
    <t>2884.92亿</t>
  </si>
  <si>
    <t>163.00亿</t>
  </si>
  <si>
    <t>316.57亿</t>
  </si>
  <si>
    <t>306.38亿</t>
  </si>
  <si>
    <t>858.85亿</t>
  </si>
  <si>
    <t>872.86亿</t>
  </si>
  <si>
    <t>1885.57亿</t>
  </si>
  <si>
    <t>353.87亿</t>
  </si>
  <si>
    <t>-162.21亿</t>
  </si>
  <si>
    <t>-19.40亿</t>
  </si>
  <si>
    <t>980.44亿</t>
  </si>
  <si>
    <t>833.89亿</t>
  </si>
  <si>
    <t>672.46亿</t>
  </si>
  <si>
    <t>578.73亿</t>
  </si>
  <si>
    <t>547.10亿</t>
  </si>
  <si>
    <t>119.18亿</t>
  </si>
  <si>
    <t>105.78亿</t>
  </si>
  <si>
    <t>99.09亿</t>
  </si>
  <si>
    <t>209.88亿</t>
  </si>
  <si>
    <t>316.10亿</t>
  </si>
  <si>
    <t>招金矿业</t>
  </si>
  <si>
    <t>88.96亿</t>
  </si>
  <si>
    <t>4.86亿</t>
  </si>
  <si>
    <t>6.80亿</t>
  </si>
  <si>
    <t>83.99亿</t>
  </si>
  <si>
    <t>91.16亿</t>
  </si>
  <si>
    <t>81.72亿</t>
  </si>
  <si>
    <t>80.01亿</t>
  </si>
  <si>
    <t>4126.20万</t>
  </si>
  <si>
    <t>48.37亿</t>
  </si>
  <si>
    <t>ESR</t>
  </si>
  <si>
    <t>64.12亿</t>
  </si>
  <si>
    <t>44.83亿</t>
  </si>
  <si>
    <t>31.54亿</t>
  </si>
  <si>
    <t>30.11亿</t>
  </si>
  <si>
    <t>19.91亿</t>
  </si>
  <si>
    <t>11.98亿</t>
  </si>
  <si>
    <t>27.25亿</t>
  </si>
  <si>
    <t>22.21亿</t>
  </si>
  <si>
    <t>19.09亿</t>
  </si>
  <si>
    <t>14.55亿</t>
  </si>
  <si>
    <t>平安好医生</t>
  </si>
  <si>
    <t>-6.85亿</t>
  </si>
  <si>
    <t>39.29亿</t>
  </si>
  <si>
    <t>-9.14亿</t>
  </si>
  <si>
    <t>89.81亿</t>
  </si>
  <si>
    <t>81.84亿</t>
  </si>
  <si>
    <t>56.61亿</t>
  </si>
  <si>
    <t>38.00亿</t>
  </si>
  <si>
    <t>22.40亿</t>
  </si>
  <si>
    <t>-18.84亿</t>
  </si>
  <si>
    <t>-11.30亿</t>
  </si>
  <si>
    <t>-8.20亿</t>
  </si>
  <si>
    <t>-10.38亿</t>
  </si>
  <si>
    <t>-12.01亿</t>
  </si>
  <si>
    <t>40.16亿</t>
  </si>
  <si>
    <t>13.68亿</t>
  </si>
  <si>
    <t>4.36亿</t>
  </si>
  <si>
    <t>61.04亿</t>
  </si>
  <si>
    <t>96.86亿</t>
  </si>
  <si>
    <t>63.08亿</t>
  </si>
  <si>
    <t>27.44亿</t>
  </si>
  <si>
    <t>春立医疗</t>
  </si>
  <si>
    <t>7.03亿</t>
  </si>
  <si>
    <t>31.73亿</t>
  </si>
  <si>
    <t>8905.44万</t>
  </si>
  <si>
    <t>7425.18万</t>
  </si>
  <si>
    <t>4608.53万</t>
  </si>
  <si>
    <t>-137.00万</t>
  </si>
  <si>
    <t>265.79万</t>
  </si>
  <si>
    <t>63846792亿</t>
  </si>
  <si>
    <t>9.19亿</t>
  </si>
  <si>
    <t>3876215100亿</t>
  </si>
  <si>
    <t>4626.06万</t>
  </si>
  <si>
    <t>-8.60亿</t>
  </si>
  <si>
    <t>177.30万</t>
  </si>
  <si>
    <t>11.06亿</t>
  </si>
  <si>
    <t>9.49亿</t>
  </si>
  <si>
    <t>3.95亿</t>
  </si>
  <si>
    <t>8186.57万</t>
  </si>
  <si>
    <t>9128.69万</t>
  </si>
  <si>
    <t>汇量科技</t>
  </si>
  <si>
    <t>20.10亿</t>
  </si>
  <si>
    <t>69.84亿</t>
  </si>
  <si>
    <t>58.91亿</t>
  </si>
  <si>
    <t>24.45亿</t>
  </si>
  <si>
    <t>-1.95亿</t>
  </si>
  <si>
    <t>-4036.21万</t>
  </si>
  <si>
    <t>18.23亿</t>
  </si>
  <si>
    <t>-4.61亿</t>
  </si>
  <si>
    <t>百威亚太</t>
  </si>
  <si>
    <t>505.80亿</t>
  </si>
  <si>
    <t>71.29亿</t>
  </si>
  <si>
    <t>67.06亿</t>
  </si>
  <si>
    <t>66.58亿</t>
  </si>
  <si>
    <t>529.33亿</t>
  </si>
  <si>
    <t>433.24亿</t>
  </si>
  <si>
    <t>528.01亿</t>
  </si>
  <si>
    <t>476.58亿</t>
  </si>
  <si>
    <t>74.08亿</t>
  </si>
  <si>
    <t>39.85亿</t>
  </si>
  <si>
    <t>69.93亿</t>
  </si>
  <si>
    <t>75.05亿</t>
  </si>
  <si>
    <t>44.85亿</t>
  </si>
  <si>
    <t>127.80亿</t>
  </si>
  <si>
    <t>23.65亿</t>
  </si>
  <si>
    <t>126.66亿</t>
  </si>
  <si>
    <t>君实生物</t>
  </si>
  <si>
    <t>32.65亿</t>
  </si>
  <si>
    <t>16.40亿</t>
  </si>
  <si>
    <t>-26.92亿</t>
  </si>
  <si>
    <t>26.90亿</t>
  </si>
  <si>
    <t>-20.03亿</t>
  </si>
  <si>
    <t>49.28亿</t>
  </si>
  <si>
    <t>19.01亿</t>
  </si>
  <si>
    <t>333.38万</t>
  </si>
  <si>
    <t>137.63万</t>
  </si>
  <si>
    <t>-8.80亿</t>
  </si>
  <si>
    <t>-19.85亿</t>
  </si>
  <si>
    <t>-8.31亿</t>
  </si>
  <si>
    <t>-8.16亿</t>
  </si>
  <si>
    <t>-3.85亿</t>
  </si>
  <si>
    <t>-4.89亿</t>
  </si>
  <si>
    <t>中国中免</t>
  </si>
  <si>
    <t>614.06亿</t>
  </si>
  <si>
    <t>57.69亿</t>
  </si>
  <si>
    <t>23.41亿</t>
  </si>
  <si>
    <t>-3.55亿</t>
  </si>
  <si>
    <t>73.01亿</t>
  </si>
  <si>
    <t>29.64亿</t>
  </si>
  <si>
    <t>-4.67亿</t>
  </si>
  <si>
    <t>828.69亿</t>
  </si>
  <si>
    <t>626.91亿</t>
  </si>
  <si>
    <t>535.23亿</t>
  </si>
  <si>
    <t>200.95亿</t>
  </si>
  <si>
    <t>海天国际</t>
  </si>
  <si>
    <t>138.85亿</t>
  </si>
  <si>
    <t>25.55亿</t>
  </si>
  <si>
    <t>40.31亿</t>
  </si>
  <si>
    <t>196.14亿</t>
  </si>
  <si>
    <t>140.64亿</t>
  </si>
  <si>
    <t>123.55亿</t>
  </si>
  <si>
    <t>122.12亿</t>
  </si>
  <si>
    <t>37.37亿</t>
  </si>
  <si>
    <t>28.46亿</t>
  </si>
  <si>
    <t>19.56亿</t>
  </si>
  <si>
    <t>21.83亿</t>
  </si>
  <si>
    <t>24.04亿</t>
  </si>
  <si>
    <t>中信国际电讯</t>
  </si>
  <si>
    <t>101.11亿</t>
  </si>
  <si>
    <t>89.23亿</t>
  </si>
  <si>
    <t>94.64亿</t>
  </si>
  <si>
    <t>74.51亿</t>
  </si>
  <si>
    <t>9.51亿</t>
  </si>
  <si>
    <t>8.81亿</t>
  </si>
  <si>
    <t>71.81亿</t>
  </si>
  <si>
    <t>建滔积层板</t>
  </si>
  <si>
    <t>223.64亿</t>
  </si>
  <si>
    <t>59.92亿</t>
  </si>
  <si>
    <t>288.00亿</t>
  </si>
  <si>
    <t>173.01亿</t>
  </si>
  <si>
    <t>206.46亿</t>
  </si>
  <si>
    <t>183.38亿</t>
  </si>
  <si>
    <t>67.82亿</t>
  </si>
  <si>
    <t>24.02亿</t>
  </si>
  <si>
    <t>37.65亿</t>
  </si>
  <si>
    <t>中国科培</t>
  </si>
  <si>
    <t>16.37亿</t>
  </si>
  <si>
    <t>6.55亿</t>
  </si>
  <si>
    <t>6.73亿</t>
  </si>
  <si>
    <t>3.89亿</t>
  </si>
  <si>
    <t>2.77亿</t>
  </si>
  <si>
    <t>8.84亿</t>
  </si>
  <si>
    <t>猫眼娱乐</t>
  </si>
  <si>
    <t>26.17亿</t>
  </si>
  <si>
    <t>2.21亿</t>
  </si>
  <si>
    <t>40.70亿</t>
  </si>
  <si>
    <t>16.28亿</t>
  </si>
  <si>
    <t>42.75亿</t>
  </si>
  <si>
    <t>30.55亿</t>
  </si>
  <si>
    <t>4.51亿</t>
  </si>
  <si>
    <t>-7.70亿</t>
  </si>
  <si>
    <t>-1.56亿</t>
  </si>
  <si>
    <t>-9047.98万</t>
  </si>
  <si>
    <t>中煤能源</t>
  </si>
  <si>
    <t>2488.33亿</t>
  </si>
  <si>
    <t>222.46亿</t>
  </si>
  <si>
    <t>2936.70亿</t>
  </si>
  <si>
    <t>1680.16亿</t>
  </si>
  <si>
    <t>1185.74亿</t>
  </si>
  <si>
    <t>977.25亿</t>
  </si>
  <si>
    <t>63.81亿</t>
  </si>
  <si>
    <t>40.37亿</t>
  </si>
  <si>
    <t>738.52亿</t>
  </si>
  <si>
    <t>83.77亿</t>
  </si>
  <si>
    <t>中国旭阳集团</t>
  </si>
  <si>
    <t>486.66亿</t>
  </si>
  <si>
    <t>35.69亿</t>
  </si>
  <si>
    <t>482.09亿</t>
  </si>
  <si>
    <t>235.82亿</t>
  </si>
  <si>
    <t>234.36亿</t>
  </si>
  <si>
    <t>223.69亿</t>
  </si>
  <si>
    <t>32.00亿</t>
  </si>
  <si>
    <t>建发国际集团</t>
  </si>
  <si>
    <t>1123.99亿</t>
  </si>
  <si>
    <t>47.61亿</t>
  </si>
  <si>
    <t>39.70亿</t>
  </si>
  <si>
    <t>668.15亿</t>
  </si>
  <si>
    <t>509.47亿</t>
  </si>
  <si>
    <t>140.86亿</t>
  </si>
  <si>
    <t>57.29亿</t>
  </si>
  <si>
    <t>26.67亿</t>
  </si>
  <si>
    <t>16.17亿</t>
  </si>
  <si>
    <t>6.33亿</t>
  </si>
  <si>
    <t>77.51亿</t>
  </si>
  <si>
    <t>新秀丽</t>
  </si>
  <si>
    <t>91.57亿</t>
  </si>
  <si>
    <t>224.84亿</t>
  </si>
  <si>
    <t>24.42亿</t>
  </si>
  <si>
    <t>9.25亿</t>
  </si>
  <si>
    <t>157.58亿</t>
  </si>
  <si>
    <t>119.14亿</t>
  </si>
  <si>
    <t>297.46亿</t>
  </si>
  <si>
    <t>272.78亿</t>
  </si>
  <si>
    <t>18.54亿</t>
  </si>
  <si>
    <t>26.11亿</t>
  </si>
  <si>
    <t>21.36亿</t>
  </si>
  <si>
    <t>12.37亿</t>
  </si>
  <si>
    <t>中远海控</t>
  </si>
  <si>
    <t>4411.53亿</t>
  </si>
  <si>
    <t>1237.35亿</t>
  </si>
  <si>
    <t>28.35亿</t>
  </si>
  <si>
    <t>15.73亿</t>
  </si>
  <si>
    <t>27.37亿</t>
  </si>
  <si>
    <t>4086.08亿</t>
  </si>
  <si>
    <t>2041.23亿</t>
  </si>
  <si>
    <t>1370.22亿</t>
  </si>
  <si>
    <t>1083.79亿</t>
  </si>
  <si>
    <t>118.32亿</t>
  </si>
  <si>
    <t>74.76亿</t>
  </si>
  <si>
    <t>14.01亿</t>
  </si>
  <si>
    <t>1292.97亿</t>
  </si>
  <si>
    <t>金沙中国有限公司</t>
  </si>
  <si>
    <t>85.11亿</t>
  </si>
  <si>
    <t>-123.52亿</t>
  </si>
  <si>
    <t>82.34亿</t>
  </si>
  <si>
    <t>410.11亿</t>
  </si>
  <si>
    <t>364.21亿</t>
  </si>
  <si>
    <t>-81.72亿</t>
  </si>
  <si>
    <t>-118.08亿</t>
  </si>
  <si>
    <t>158.31亿</t>
  </si>
  <si>
    <t>146.89亿</t>
  </si>
  <si>
    <t>125.26亿</t>
  </si>
  <si>
    <t>1285.56亿</t>
  </si>
  <si>
    <t>周大福</t>
  </si>
  <si>
    <t>989.38亿</t>
  </si>
  <si>
    <t>67.12亿</t>
  </si>
  <si>
    <t>11.55亿</t>
  </si>
  <si>
    <t>701.64亿</t>
  </si>
  <si>
    <t>567.51亿</t>
  </si>
  <si>
    <t>591.56亿</t>
  </si>
  <si>
    <t>512.46亿</t>
  </si>
  <si>
    <t>60.26亿</t>
  </si>
  <si>
    <t>45.77亿</t>
  </si>
  <si>
    <t>40.95亿</t>
  </si>
  <si>
    <t>锦欣生殖</t>
  </si>
  <si>
    <t>22.52亿</t>
  </si>
  <si>
    <t>云顶新耀-B</t>
  </si>
  <si>
    <t>1443.07万</t>
  </si>
  <si>
    <t>-2.79亿</t>
  </si>
  <si>
    <t>6.61万</t>
  </si>
  <si>
    <t>-12.35亿</t>
  </si>
  <si>
    <t>-67.44亿</t>
  </si>
  <si>
    <t>-2.40亿</t>
  </si>
  <si>
    <t>-11.29亿</t>
  </si>
  <si>
    <t>-186.80万</t>
  </si>
  <si>
    <t>北京汽车</t>
  </si>
  <si>
    <t>2148.61亿</t>
  </si>
  <si>
    <t>47.34亿</t>
  </si>
  <si>
    <t>7.81亿</t>
  </si>
  <si>
    <t>30.60亿</t>
  </si>
  <si>
    <t>179.74亿</t>
  </si>
  <si>
    <t>87.99亿</t>
  </si>
  <si>
    <t>2154.09亿</t>
  </si>
  <si>
    <t>2109.34亿</t>
  </si>
  <si>
    <t>1729.77亿</t>
  </si>
  <si>
    <t>1608.43亿</t>
  </si>
  <si>
    <t>24.18亿</t>
  </si>
  <si>
    <t>45.62亿</t>
  </si>
  <si>
    <t>27.01亿</t>
  </si>
  <si>
    <t>531.55亿</t>
  </si>
  <si>
    <t>19.32亿</t>
  </si>
  <si>
    <t>重庆银行</t>
  </si>
  <si>
    <t>135.63亿</t>
  </si>
  <si>
    <t>156.57亿</t>
  </si>
  <si>
    <t>143.11亿</t>
  </si>
  <si>
    <t>116.33亿</t>
  </si>
  <si>
    <t>99.74亿</t>
  </si>
  <si>
    <t>118.38亿</t>
  </si>
  <si>
    <t>53.53亿</t>
  </si>
  <si>
    <t>47.02亿</t>
  </si>
  <si>
    <t>42.92亿</t>
  </si>
  <si>
    <t>44.67亿</t>
  </si>
  <si>
    <t>36.00亿</t>
  </si>
  <si>
    <t>太古地产</t>
  </si>
  <si>
    <t>138.26亿</t>
  </si>
  <si>
    <t>79.80亿</t>
  </si>
  <si>
    <t>8.12亿</t>
  </si>
  <si>
    <t>163.18亿</t>
  </si>
  <si>
    <t>133.08亿</t>
  </si>
  <si>
    <t>147.19亿</t>
  </si>
  <si>
    <t>185.58亿</t>
  </si>
  <si>
    <t>71.21亿</t>
  </si>
  <si>
    <t>40.96亿</t>
  </si>
  <si>
    <t>134.23亿</t>
  </si>
  <si>
    <t>286.66亿</t>
  </si>
  <si>
    <t>339.57亿</t>
  </si>
  <si>
    <t>民生银行</t>
  </si>
  <si>
    <t>1521.38亿</t>
  </si>
  <si>
    <t>351.55亿</t>
  </si>
  <si>
    <t>1937.26亿</t>
  </si>
  <si>
    <t>2007.31亿</t>
  </si>
  <si>
    <t>1518.47亿</t>
  </si>
  <si>
    <t>1655.36亿</t>
  </si>
  <si>
    <t>380.24亿</t>
  </si>
  <si>
    <t>369.16亿</t>
  </si>
  <si>
    <t>595.19亿</t>
  </si>
  <si>
    <t>566.76亿</t>
  </si>
  <si>
    <t>590.94亿</t>
  </si>
  <si>
    <t>407.33亿</t>
  </si>
  <si>
    <t>169.25亿</t>
  </si>
  <si>
    <t>复星旅游文化</t>
  </si>
  <si>
    <t>155.43亿</t>
  </si>
  <si>
    <t>-6.15亿</t>
  </si>
  <si>
    <t>113.41亿</t>
  </si>
  <si>
    <t>84.15亿</t>
  </si>
  <si>
    <t>185.25亿</t>
  </si>
  <si>
    <t>141.46亿</t>
  </si>
  <si>
    <t>-30.68亿</t>
  </si>
  <si>
    <t>11.31亿</t>
  </si>
  <si>
    <t>34.34亿</t>
  </si>
  <si>
    <t>15.26亿</t>
  </si>
  <si>
    <t>16.08亿</t>
  </si>
  <si>
    <t>14.64亿</t>
  </si>
  <si>
    <t>39.28亿</t>
  </si>
  <si>
    <t>敏华控股</t>
  </si>
  <si>
    <t>214.97亿</t>
  </si>
  <si>
    <t>22.47亿</t>
  </si>
  <si>
    <t>164.34亿</t>
  </si>
  <si>
    <t>121.44亿</t>
  </si>
  <si>
    <t>100.27亿</t>
  </si>
  <si>
    <t>77.79亿</t>
  </si>
  <si>
    <t>19.25亿</t>
  </si>
  <si>
    <t>15.36亿</t>
  </si>
  <si>
    <t>17.52亿</t>
  </si>
  <si>
    <t>石四药集团</t>
  </si>
  <si>
    <t>17.49亿</t>
  </si>
  <si>
    <t>64.34亿</t>
  </si>
  <si>
    <t>10.08亿</t>
  </si>
  <si>
    <t>10966512000亿</t>
  </si>
  <si>
    <t>26.78亿</t>
  </si>
  <si>
    <t>53.57亿</t>
  </si>
  <si>
    <t>42.61亿</t>
  </si>
  <si>
    <t>41.81亿</t>
  </si>
  <si>
    <t>30.76亿</t>
  </si>
  <si>
    <t>9.12亿</t>
  </si>
  <si>
    <t>6.65亿</t>
  </si>
  <si>
    <t>34.47亿</t>
  </si>
  <si>
    <t>碧桂园</t>
  </si>
  <si>
    <t>4855.02亿</t>
  </si>
  <si>
    <t>-68.27亿</t>
  </si>
  <si>
    <t>6404.92亿</t>
  </si>
  <si>
    <t>5516.78亿</t>
  </si>
  <si>
    <t>4316.19亿</t>
  </si>
  <si>
    <t>2720.30亿</t>
  </si>
  <si>
    <t>328.13亿</t>
  </si>
  <si>
    <t>417.43亿</t>
  </si>
  <si>
    <t>441.97亿</t>
  </si>
  <si>
    <t>394.16亿</t>
  </si>
  <si>
    <t>312.48亿</t>
  </si>
  <si>
    <t>832.45亿</t>
  </si>
  <si>
    <t>金隅集团</t>
  </si>
  <si>
    <t>1145.57亿</t>
  </si>
  <si>
    <t>18.12亿</t>
  </si>
  <si>
    <t>157.54亿</t>
  </si>
  <si>
    <t>11.16亿</t>
  </si>
  <si>
    <t>1492.29亿</t>
  </si>
  <si>
    <t>1263.15亿</t>
  </si>
  <si>
    <t>946.37亿</t>
  </si>
  <si>
    <t>763.44亿</t>
  </si>
  <si>
    <t>33.89亿</t>
  </si>
  <si>
    <t>41.28亿</t>
  </si>
  <si>
    <t>37.12亿</t>
  </si>
  <si>
    <t>34.01亿</t>
  </si>
  <si>
    <t>85.63亿</t>
  </si>
  <si>
    <t>微盟集团</t>
  </si>
  <si>
    <t>-20.63亿</t>
  </si>
  <si>
    <t>-8.23亿</t>
  </si>
  <si>
    <t>32.89亿</t>
  </si>
  <si>
    <t>23.47亿</t>
  </si>
  <si>
    <t>9.85亿</t>
  </si>
  <si>
    <t>-9.59亿</t>
  </si>
  <si>
    <t>-13.79亿</t>
  </si>
  <si>
    <t>-12.40亿</t>
  </si>
  <si>
    <t>339.41万</t>
  </si>
  <si>
    <t>理想汽车-W</t>
  </si>
  <si>
    <t>510.88亿</t>
  </si>
  <si>
    <t>-22.70亿</t>
  </si>
  <si>
    <t>330.73亿</t>
  </si>
  <si>
    <t>112.72亿</t>
  </si>
  <si>
    <t>953.69万</t>
  </si>
  <si>
    <t>-3.94亿</t>
  </si>
  <si>
    <t>-9.44亿</t>
  </si>
  <si>
    <t>117.92亿</t>
  </si>
  <si>
    <t>-1340.05万</t>
  </si>
  <si>
    <t>浙商银行</t>
  </si>
  <si>
    <t>667.20亿</t>
  </si>
  <si>
    <t>瑞声科技</t>
  </si>
  <si>
    <t>232.67亿</t>
  </si>
  <si>
    <t>9.27亿</t>
  </si>
  <si>
    <t>17.44亿</t>
  </si>
  <si>
    <t>49.32亿</t>
  </si>
  <si>
    <t>216.33亿</t>
  </si>
  <si>
    <t>204.29亿</t>
  </si>
  <si>
    <t>206.44亿</t>
  </si>
  <si>
    <t>253.19亿</t>
  </si>
  <si>
    <t>16.12亿</t>
  </si>
  <si>
    <t>17.96亿</t>
  </si>
  <si>
    <t>24.84亿</t>
  </si>
  <si>
    <t>43.22亿</t>
  </si>
  <si>
    <t>63.84亿</t>
  </si>
  <si>
    <t>60.38亿</t>
  </si>
  <si>
    <t>135.78亿</t>
  </si>
  <si>
    <t>17.39亿</t>
  </si>
  <si>
    <t>安踏体育</t>
  </si>
  <si>
    <t>605.24亿</t>
  </si>
  <si>
    <t>85.62亿</t>
  </si>
  <si>
    <t>604.02亿</t>
  </si>
  <si>
    <t>423.27亿</t>
  </si>
  <si>
    <t>274.40亿</t>
  </si>
  <si>
    <t>200.13亿</t>
  </si>
  <si>
    <t>46.72亿</t>
  </si>
  <si>
    <t>37.02亿</t>
  </si>
  <si>
    <t>富智康集团</t>
  </si>
  <si>
    <t>733.51亿</t>
  </si>
  <si>
    <t>669.27亿</t>
  </si>
  <si>
    <t>692.71亿</t>
  </si>
  <si>
    <t>1164.77亿</t>
  </si>
  <si>
    <t>943.94亿</t>
  </si>
  <si>
    <t>-13.49亿</t>
  </si>
  <si>
    <t>-9572.56万</t>
  </si>
  <si>
    <t>-67.15亿</t>
  </si>
  <si>
    <t>-41.06亿</t>
  </si>
  <si>
    <t>42.97亿</t>
  </si>
  <si>
    <t>中集集团</t>
  </si>
  <si>
    <t>303.18亿</t>
  </si>
  <si>
    <t>1590.46亿</t>
  </si>
  <si>
    <t>21.46亿</t>
  </si>
  <si>
    <t>710.68亿</t>
  </si>
  <si>
    <t>1996.69亿</t>
  </si>
  <si>
    <t>1113.83亿</t>
  </si>
  <si>
    <t>1064.56亿</t>
  </si>
  <si>
    <t>914.76亿</t>
  </si>
  <si>
    <t>79.47亿</t>
  </si>
  <si>
    <t>63.76亿</t>
  </si>
  <si>
    <t>38.49亿</t>
  </si>
  <si>
    <t>30.08亿</t>
  </si>
  <si>
    <t>436.56亿</t>
  </si>
  <si>
    <t>21.04亿</t>
  </si>
  <si>
    <t>中铝国际</t>
  </si>
  <si>
    <t>266.02亿</t>
  </si>
  <si>
    <t>-1205.10万</t>
  </si>
  <si>
    <t>4.77亿</t>
  </si>
  <si>
    <t>4.34亿</t>
  </si>
  <si>
    <t>51.49亿</t>
  </si>
  <si>
    <t>5.92亿</t>
  </si>
  <si>
    <t>291.23亿</t>
  </si>
  <si>
    <t>273.11亿</t>
  </si>
  <si>
    <t>382.12亿</t>
  </si>
  <si>
    <t>432.39亿</t>
  </si>
  <si>
    <t>-25.07亿</t>
  </si>
  <si>
    <t>3894.77万</t>
  </si>
  <si>
    <t>7.40亿</t>
  </si>
  <si>
    <t>59.10亿</t>
  </si>
  <si>
    <t>19.95亿</t>
  </si>
  <si>
    <t>先声药业</t>
  </si>
  <si>
    <t>10.52亿</t>
  </si>
  <si>
    <t>61.22亿</t>
  </si>
  <si>
    <t>53.74亿</t>
  </si>
  <si>
    <t>18.45亿</t>
  </si>
  <si>
    <t>11.22亿</t>
  </si>
  <si>
    <t>9.35亿</t>
  </si>
  <si>
    <t>中国黄金国际</t>
  </si>
  <si>
    <t>86.27亿</t>
  </si>
  <si>
    <t>31.67亿</t>
  </si>
  <si>
    <t>5.44亿</t>
  </si>
  <si>
    <t>88.69亿</t>
  </si>
  <si>
    <t>66.99亿</t>
  </si>
  <si>
    <t>44.70亿</t>
  </si>
  <si>
    <t>8.68亿</t>
  </si>
  <si>
    <t>-2.56亿</t>
  </si>
  <si>
    <t>-3789.31万</t>
  </si>
  <si>
    <t>4.93亿</t>
  </si>
  <si>
    <t>23.81亿</t>
  </si>
  <si>
    <t>5.58亿</t>
  </si>
  <si>
    <t>22.98亿</t>
  </si>
  <si>
    <t>创新奇智</t>
  </si>
  <si>
    <t>17.57亿</t>
  </si>
  <si>
    <t>-4.10亿</t>
  </si>
  <si>
    <t>5.51亿</t>
  </si>
  <si>
    <t>-7.80亿</t>
  </si>
  <si>
    <t>-4.30亿</t>
  </si>
  <si>
    <t>中国联塑</t>
  </si>
  <si>
    <t>347.08亿</t>
  </si>
  <si>
    <t>28.40亿</t>
  </si>
  <si>
    <t>392.55亿</t>
  </si>
  <si>
    <t>334.60亿</t>
  </si>
  <si>
    <t>270.23亿</t>
  </si>
  <si>
    <t>244.10亿</t>
  </si>
  <si>
    <t>33.80亿</t>
  </si>
  <si>
    <t>28.37亿</t>
  </si>
  <si>
    <t>91.23亿</t>
  </si>
  <si>
    <t>医思健康</t>
  </si>
  <si>
    <t>29.20亿</t>
  </si>
  <si>
    <t>105207000亿</t>
  </si>
  <si>
    <t>5216260000亿</t>
  </si>
  <si>
    <t>7520.10万</t>
  </si>
  <si>
    <t>13.63亿</t>
  </si>
  <si>
    <t>-5.71亿</t>
  </si>
  <si>
    <t>19.49亿</t>
  </si>
  <si>
    <t>上美股份</t>
  </si>
  <si>
    <t>44.31亿</t>
  </si>
  <si>
    <t>奈雪的茶</t>
  </si>
  <si>
    <t>48.41亿</t>
  </si>
  <si>
    <t>-5.29亿</t>
  </si>
  <si>
    <t>13.57亿</t>
  </si>
  <si>
    <t>52.61亿</t>
  </si>
  <si>
    <t>36.44亿</t>
  </si>
  <si>
    <t>-55.40亿</t>
  </si>
  <si>
    <t>-2.41亿</t>
  </si>
  <si>
    <t>乐普生物-B</t>
  </si>
  <si>
    <t>1756.68万</t>
  </si>
  <si>
    <t>-7.77亿</t>
  </si>
  <si>
    <t>9.52亿</t>
  </si>
  <si>
    <t>-12.38亿</t>
  </si>
  <si>
    <t>-6.94亿</t>
  </si>
  <si>
    <t>医渡科技</t>
  </si>
  <si>
    <t>-9.40亿</t>
  </si>
  <si>
    <t>41.76亿</t>
  </si>
  <si>
    <t>10.27亿</t>
  </si>
  <si>
    <t>2840.08万</t>
  </si>
  <si>
    <t>-43.82亿</t>
  </si>
  <si>
    <t>-16.48亿</t>
  </si>
  <si>
    <t>-10.90亿</t>
  </si>
  <si>
    <t>-12.23亿</t>
  </si>
  <si>
    <t>心通医疗-B</t>
  </si>
  <si>
    <t>2.83亿</t>
  </si>
  <si>
    <t>-5.13亿</t>
  </si>
  <si>
    <t>-2.06亿</t>
  </si>
  <si>
    <t>-4.74亿</t>
  </si>
  <si>
    <t>-1.62亿</t>
  </si>
  <si>
    <t>-6861.55万</t>
  </si>
  <si>
    <t>康诺亚-B</t>
  </si>
  <si>
    <t>-3.48亿</t>
  </si>
  <si>
    <t>5.72亿</t>
  </si>
  <si>
    <t>-4.53亿</t>
  </si>
  <si>
    <t>-7.28亿</t>
  </si>
  <si>
    <t>-47.60亿</t>
  </si>
  <si>
    <t>-9.76亿</t>
  </si>
  <si>
    <t>科济药业-B</t>
  </si>
  <si>
    <t>-10.07亿</t>
  </si>
  <si>
    <t>3160.80万</t>
  </si>
  <si>
    <t>-58.10亿</t>
  </si>
  <si>
    <t>-1.84万</t>
  </si>
  <si>
    <t>微创脑科学</t>
  </si>
  <si>
    <t>-2455.31万</t>
  </si>
  <si>
    <t>2959.62万</t>
  </si>
  <si>
    <t>绿叶制药</t>
  </si>
  <si>
    <t>67.48亿</t>
  </si>
  <si>
    <t>18.66亿</t>
  </si>
  <si>
    <t>63.68亿</t>
  </si>
  <si>
    <t>45.74亿</t>
  </si>
  <si>
    <t>8.42亿</t>
  </si>
  <si>
    <t>16.41亿</t>
  </si>
  <si>
    <t>14.84亿</t>
  </si>
  <si>
    <t>11.77亿</t>
  </si>
  <si>
    <t>医脉通</t>
  </si>
  <si>
    <t>2.55亿</t>
  </si>
  <si>
    <t>9503.10万</t>
  </si>
  <si>
    <t>4973.43万</t>
  </si>
  <si>
    <t>复星医药</t>
  </si>
  <si>
    <t>494.24亿</t>
  </si>
  <si>
    <t>42.16亿</t>
  </si>
  <si>
    <t>60.52亿</t>
  </si>
  <si>
    <t>66.39亿</t>
  </si>
  <si>
    <t>117.17亿</t>
  </si>
  <si>
    <t>-1.57亿</t>
  </si>
  <si>
    <t>475.89亿</t>
  </si>
  <si>
    <t>359.52亿</t>
  </si>
  <si>
    <t>281.39亿</t>
  </si>
  <si>
    <t>220.14亿</t>
  </si>
  <si>
    <t>43.66亿</t>
  </si>
  <si>
    <t>30.83亿</t>
  </si>
  <si>
    <t>37.46亿</t>
  </si>
  <si>
    <t>127.41亿</t>
  </si>
  <si>
    <t>万科企业</t>
  </si>
  <si>
    <t>5683.80亿</t>
  </si>
  <si>
    <t>255.15亿</t>
  </si>
  <si>
    <t>19.64亿</t>
  </si>
  <si>
    <t>31.03亿</t>
  </si>
  <si>
    <t>5544.51亿</t>
  </si>
  <si>
    <t>4995.39亿</t>
  </si>
  <si>
    <t>3382.59亿</t>
  </si>
  <si>
    <t>2845.53亿</t>
  </si>
  <si>
    <t>275.81亿</t>
  </si>
  <si>
    <t>494.82亿</t>
  </si>
  <si>
    <t>434.40亿</t>
  </si>
  <si>
    <t>384.54亿</t>
  </si>
  <si>
    <t>336.31亿</t>
  </si>
  <si>
    <t>772.84亿</t>
  </si>
  <si>
    <t>金风科技</t>
  </si>
  <si>
    <t>521.79亿</t>
  </si>
  <si>
    <t>621.39亿</t>
  </si>
  <si>
    <t>669.20亿</t>
  </si>
  <si>
    <t>325.53亿</t>
  </si>
  <si>
    <t>299.38亿</t>
  </si>
  <si>
    <t>33.90亿</t>
  </si>
  <si>
    <t>23.57亿</t>
  </si>
  <si>
    <t>35.81亿</t>
  </si>
  <si>
    <t>35.77亿</t>
  </si>
  <si>
    <t>78.30亿</t>
  </si>
  <si>
    <t>安德利果汁</t>
  </si>
  <si>
    <t>11.86亿</t>
  </si>
  <si>
    <t>2.06亿</t>
  </si>
  <si>
    <t>-1.51亿</t>
  </si>
  <si>
    <t>12.16亿</t>
  </si>
  <si>
    <t>1.89亿</t>
  </si>
  <si>
    <t>3990.74万</t>
  </si>
  <si>
    <t>西部水泥</t>
  </si>
  <si>
    <t>95.77亿</t>
  </si>
  <si>
    <t>97.99亿</t>
  </si>
  <si>
    <t>85.00亿</t>
  </si>
  <si>
    <t>67.31亿</t>
  </si>
  <si>
    <t>19.41亿</t>
  </si>
  <si>
    <t>20.13亿</t>
  </si>
  <si>
    <t>13.20亿</t>
  </si>
  <si>
    <t>31.59亿</t>
  </si>
  <si>
    <t>广汽集团</t>
  </si>
  <si>
    <t>90.06亿</t>
  </si>
  <si>
    <t>926.65亿</t>
  </si>
  <si>
    <t>752.77亿</t>
  </si>
  <si>
    <t>824.12亿</t>
  </si>
  <si>
    <t>91.97亿</t>
  </si>
  <si>
    <t>71.09亿</t>
  </si>
  <si>
    <t>73.94亿</t>
  </si>
  <si>
    <t>124.10亿</t>
  </si>
  <si>
    <t>131.94亿</t>
  </si>
  <si>
    <t>280.92亿</t>
  </si>
  <si>
    <t>微创机器人-B</t>
  </si>
  <si>
    <t>2437.03万</t>
  </si>
  <si>
    <t>8.53亿</t>
  </si>
  <si>
    <t>263.27万</t>
  </si>
  <si>
    <t>-7.14亿</t>
  </si>
  <si>
    <t>-2.72万</t>
  </si>
  <si>
    <t>海昌海洋公园</t>
  </si>
  <si>
    <t>-15.75亿</t>
  </si>
  <si>
    <t>30.13亿</t>
  </si>
  <si>
    <t>20.14亿</t>
  </si>
  <si>
    <t>-17.30亿</t>
  </si>
  <si>
    <t>2802.69万</t>
  </si>
  <si>
    <t>4504.07万</t>
  </si>
  <si>
    <t>9.53亿</t>
  </si>
  <si>
    <t>圣诺医药-B</t>
  </si>
  <si>
    <t>-6.89亿</t>
  </si>
  <si>
    <t>-16.62亿</t>
  </si>
  <si>
    <t>-3.39亿</t>
  </si>
  <si>
    <t>药明生物</t>
  </si>
  <si>
    <t>172.25亿</t>
  </si>
  <si>
    <t>49.87亿</t>
  </si>
  <si>
    <t>8.96亿</t>
  </si>
  <si>
    <t>62.52亿</t>
  </si>
  <si>
    <t>126.00亿</t>
  </si>
  <si>
    <t>66.89亿</t>
  </si>
  <si>
    <t>41.49亿</t>
  </si>
  <si>
    <t>固生堂</t>
  </si>
  <si>
    <t>18.33亿</t>
  </si>
  <si>
    <t>16.80亿</t>
  </si>
  <si>
    <t>-6.21亿</t>
  </si>
  <si>
    <t>-3.05亿</t>
  </si>
  <si>
    <t>美高梅中国</t>
  </si>
  <si>
    <t>-52.32亿</t>
  </si>
  <si>
    <t>-5231911000亿</t>
  </si>
  <si>
    <t>31209496000亿</t>
  </si>
  <si>
    <t>1438.10万</t>
  </si>
  <si>
    <t>23.04亿</t>
  </si>
  <si>
    <t>-21.14亿</t>
  </si>
  <si>
    <t>-13.21亿</t>
  </si>
  <si>
    <t>39.81亿</t>
  </si>
  <si>
    <t>19.79亿</t>
  </si>
  <si>
    <t>98.08亿</t>
  </si>
  <si>
    <t>63.43亿</t>
  </si>
  <si>
    <t>-38.47亿</t>
  </si>
  <si>
    <t>-52.02亿</t>
  </si>
  <si>
    <t>19.31亿</t>
  </si>
  <si>
    <t>216.72亿</t>
  </si>
  <si>
    <t>泉峰控股</t>
  </si>
  <si>
    <t>155.32亿</t>
  </si>
  <si>
    <t>22.99亿</t>
  </si>
  <si>
    <t>137.07亿</t>
  </si>
  <si>
    <t>93.11亿</t>
  </si>
  <si>
    <t>54.11亿</t>
  </si>
  <si>
    <t>心泰医疗</t>
  </si>
  <si>
    <t>-2235.10万</t>
  </si>
  <si>
    <t>-4.58亿</t>
  </si>
  <si>
    <t>申洲国际</t>
  </si>
  <si>
    <t>313.40亿</t>
  </si>
  <si>
    <t>51.47亿</t>
  </si>
  <si>
    <t>10.51亿</t>
  </si>
  <si>
    <t>274.50亿</t>
  </si>
  <si>
    <t>238.54亿</t>
  </si>
  <si>
    <t>216.82亿</t>
  </si>
  <si>
    <t>41.29亿</t>
  </si>
  <si>
    <t>60.87亿</t>
  </si>
  <si>
    <t>56.94亿</t>
  </si>
  <si>
    <t>45.11亿</t>
  </si>
  <si>
    <t>理文造纸</t>
  </si>
  <si>
    <t>291.70亿</t>
  </si>
  <si>
    <t>325.11亿</t>
  </si>
  <si>
    <t>258.68亿</t>
  </si>
  <si>
    <t>322.08亿</t>
  </si>
  <si>
    <t>258.37亿</t>
  </si>
  <si>
    <t>31.23亿</t>
  </si>
  <si>
    <t>35.24亿</t>
  </si>
  <si>
    <t>32.36亿</t>
  </si>
  <si>
    <t>48.80亿</t>
  </si>
  <si>
    <t>50.40亿</t>
  </si>
  <si>
    <t>中国平安</t>
  </si>
  <si>
    <t>945.05亿</t>
  </si>
  <si>
    <t>680.01亿</t>
  </si>
  <si>
    <t>15677.63亿</t>
  </si>
  <si>
    <t>15549.21亿</t>
  </si>
  <si>
    <t>12115.52亿</t>
  </si>
  <si>
    <t>11598.46亿</t>
  </si>
  <si>
    <t>1244.31亿</t>
  </si>
  <si>
    <t>1705.60亿</t>
  </si>
  <si>
    <t>1669.62亿</t>
  </si>
  <si>
    <t>1222.90亿</t>
  </si>
  <si>
    <t>1068.08亿</t>
  </si>
  <si>
    <t>2716.21亿</t>
  </si>
  <si>
    <t>蒙牛乳业</t>
  </si>
  <si>
    <t>1044.55亿</t>
  </si>
  <si>
    <t>1079.29亿</t>
  </si>
  <si>
    <t>906.26亿</t>
  </si>
  <si>
    <t>785.37亿</t>
  </si>
  <si>
    <t>721.21亿</t>
  </si>
  <si>
    <t>61.54亿</t>
  </si>
  <si>
    <t>45.88亿</t>
  </si>
  <si>
    <t>34.65亿</t>
  </si>
  <si>
    <t>24.55亿</t>
  </si>
  <si>
    <t>111.30亿</t>
  </si>
  <si>
    <t>中国财险</t>
  </si>
  <si>
    <t>301.29亿</t>
  </si>
  <si>
    <t>3.76亿</t>
  </si>
  <si>
    <t>108.28亿</t>
  </si>
  <si>
    <t>5128.14亿</t>
  </si>
  <si>
    <t>4908.76亿</t>
  </si>
  <si>
    <t>4103.10亿</t>
  </si>
  <si>
    <t>3901.29亿</t>
  </si>
  <si>
    <t>273.80亿</t>
  </si>
  <si>
    <t>248.73亿</t>
  </si>
  <si>
    <t>271.35亿</t>
  </si>
  <si>
    <t>176.31亿</t>
  </si>
  <si>
    <t>237.47亿</t>
  </si>
  <si>
    <t>1266.17亿</t>
  </si>
  <si>
    <t>李宁</t>
  </si>
  <si>
    <t>291.09亿</t>
  </si>
  <si>
    <t>45.84亿</t>
  </si>
  <si>
    <t>17.87亿</t>
  </si>
  <si>
    <t>172.31亿</t>
  </si>
  <si>
    <t>106.39亿</t>
  </si>
  <si>
    <t>49.11亿</t>
  </si>
  <si>
    <t>16.75亿</t>
  </si>
  <si>
    <t>长城汽车</t>
  </si>
  <si>
    <t>1491.57亿</t>
  </si>
  <si>
    <t>93.25亿</t>
  </si>
  <si>
    <t>1618.43亿</t>
  </si>
  <si>
    <t>1193.28亿</t>
  </si>
  <si>
    <t>1129.83亿</t>
  </si>
  <si>
    <t>1212.92亿</t>
  </si>
  <si>
    <t>82.36亿</t>
  </si>
  <si>
    <t>63.92亿</t>
  </si>
  <si>
    <t>50.25亿</t>
  </si>
  <si>
    <t>59.29亿</t>
  </si>
  <si>
    <t>60.27亿</t>
  </si>
  <si>
    <t>401.69亿</t>
  </si>
  <si>
    <t>20.15亿</t>
  </si>
  <si>
    <t>潍柴动力</t>
  </si>
  <si>
    <t>1970.53亿</t>
  </si>
  <si>
    <t>55.33亿</t>
  </si>
  <si>
    <t>32.76亿</t>
  </si>
  <si>
    <t>64.59亿</t>
  </si>
  <si>
    <t>2686.25亿</t>
  </si>
  <si>
    <t>2341.56亿</t>
  </si>
  <si>
    <t>1805.05亿</t>
  </si>
  <si>
    <t>1817.17亿</t>
  </si>
  <si>
    <t>109.99亿</t>
  </si>
  <si>
    <t>101.75亿</t>
  </si>
  <si>
    <t>98.57亿</t>
  </si>
  <si>
    <t>81.63亿</t>
  </si>
  <si>
    <t>556.13亿</t>
  </si>
  <si>
    <t>12.96亿</t>
  </si>
  <si>
    <t>太平洋航运</t>
  </si>
  <si>
    <t>256.23亿</t>
  </si>
  <si>
    <t>54.80亿</t>
  </si>
  <si>
    <t>231.80亿</t>
  </si>
  <si>
    <t>114.04亿</t>
  </si>
  <si>
    <t>124.68亿</t>
  </si>
  <si>
    <t>116.27亿</t>
  </si>
  <si>
    <t>65.88亿</t>
  </si>
  <si>
    <t>-16.14亿</t>
  </si>
  <si>
    <t>2820.85万</t>
  </si>
  <si>
    <t>21.86亿</t>
  </si>
  <si>
    <t>中航科工</t>
  </si>
  <si>
    <t>713.95亿</t>
  </si>
  <si>
    <t>25.00亿</t>
  </si>
  <si>
    <t>50.12亿</t>
  </si>
  <si>
    <t>5630055600亿</t>
  </si>
  <si>
    <t>162453040000亿</t>
  </si>
  <si>
    <t>466.18亿</t>
  </si>
  <si>
    <t>902.98亿</t>
  </si>
  <si>
    <t>116.85亿</t>
  </si>
  <si>
    <t>-18.20亿</t>
  </si>
  <si>
    <t>736.64亿</t>
  </si>
  <si>
    <t>605.72亿</t>
  </si>
  <si>
    <t>489.82亿</t>
  </si>
  <si>
    <t>407.11亿</t>
  </si>
  <si>
    <t>390.80亿</t>
  </si>
  <si>
    <t>15.39亿</t>
  </si>
  <si>
    <t>14.65亿</t>
  </si>
  <si>
    <t>34.16亿</t>
  </si>
  <si>
    <t>药明康德</t>
  </si>
  <si>
    <t>443.96亿</t>
  </si>
  <si>
    <t>99.40亿</t>
  </si>
  <si>
    <t>62.15亿</t>
  </si>
  <si>
    <t>280.44亿</t>
  </si>
  <si>
    <t>197.09亿</t>
  </si>
  <si>
    <t>109.46亿</t>
  </si>
  <si>
    <t>93.10亿</t>
  </si>
  <si>
    <t>25.74亿</t>
  </si>
  <si>
    <t>104.51亿</t>
  </si>
  <si>
    <t>72.74亿</t>
  </si>
  <si>
    <t>金川国际</t>
  </si>
  <si>
    <t>68.84亿</t>
  </si>
  <si>
    <t>802.66万</t>
  </si>
  <si>
    <t>64.87亿</t>
  </si>
  <si>
    <t>51.52亿</t>
  </si>
  <si>
    <t>109.67亿</t>
  </si>
  <si>
    <t>42.91亿</t>
  </si>
  <si>
    <t>9.40亿</t>
  </si>
  <si>
    <t>6809.73万</t>
  </si>
  <si>
    <t>巨子生物</t>
  </si>
  <si>
    <t>11.30亿</t>
  </si>
  <si>
    <t>10.69亿</t>
  </si>
  <si>
    <t>保诚</t>
  </si>
  <si>
    <t>5651.37亿</t>
  </si>
  <si>
    <t>4342.46亿</t>
  </si>
  <si>
    <t>2808.10亿</t>
  </si>
  <si>
    <t>9113.28亿</t>
  </si>
  <si>
    <t>-159.24亿</t>
  </si>
  <si>
    <t>164.21亿</t>
  </si>
  <si>
    <t>60.97亿</t>
  </si>
  <si>
    <t>314.85亿</t>
  </si>
  <si>
    <t>252.02亿</t>
  </si>
  <si>
    <t>中国电力</t>
  </si>
  <si>
    <t>492.86亿</t>
  </si>
  <si>
    <t>27.99亿</t>
  </si>
  <si>
    <t>434.41亿</t>
  </si>
  <si>
    <t>338.83亿</t>
  </si>
  <si>
    <t>263.88亿</t>
  </si>
  <si>
    <t>239.38亿</t>
  </si>
  <si>
    <t>-7.96亿</t>
  </si>
  <si>
    <t>舜宇光学科技</t>
  </si>
  <si>
    <t>374.49亿</t>
  </si>
  <si>
    <t>31.63亿</t>
  </si>
  <si>
    <t>459.15亿</t>
  </si>
  <si>
    <t>452.94亿</t>
  </si>
  <si>
    <t>295.26亿</t>
  </si>
  <si>
    <t>268.15亿</t>
  </si>
  <si>
    <t>61.08亿</t>
  </si>
  <si>
    <t>28.36亿</t>
  </si>
  <si>
    <t>34.79亿</t>
  </si>
  <si>
    <t>67.75亿</t>
  </si>
  <si>
    <t>中银香港</t>
  </si>
  <si>
    <t>270.54亿</t>
  </si>
  <si>
    <t>644.55亿</t>
  </si>
  <si>
    <t>720.69亿</t>
  </si>
  <si>
    <t>677.25亿</t>
  </si>
  <si>
    <t>655.64亿</t>
  </si>
  <si>
    <t>229.70亿</t>
  </si>
  <si>
    <t>264.87亿</t>
  </si>
  <si>
    <t>321.84亿</t>
  </si>
  <si>
    <t>320.70亿</t>
  </si>
  <si>
    <t>311.63亿</t>
  </si>
  <si>
    <t>90.40亿</t>
  </si>
  <si>
    <t>心动公司</t>
  </si>
  <si>
    <t>38.70亿</t>
  </si>
  <si>
    <t>-6.24亿</t>
  </si>
  <si>
    <t>9.82亿</t>
  </si>
  <si>
    <t>33.10亿</t>
  </si>
  <si>
    <t>33.94亿</t>
  </si>
  <si>
    <t>-10.58亿</t>
  </si>
  <si>
    <t>1089.99万</t>
  </si>
  <si>
    <t>亿华通</t>
  </si>
  <si>
    <t>高视医疗</t>
  </si>
  <si>
    <t>14.14亿</t>
  </si>
  <si>
    <t>15.90亿</t>
  </si>
  <si>
    <t>粉笔</t>
  </si>
  <si>
    <t>中银航空租赁</t>
  </si>
  <si>
    <t>150.01亿</t>
  </si>
  <si>
    <t>156628480亿</t>
  </si>
  <si>
    <t>172333300000亿</t>
  </si>
  <si>
    <t>21.08万</t>
  </si>
  <si>
    <t>212.31亿</t>
  </si>
  <si>
    <t>156.83亿</t>
  </si>
  <si>
    <t>159.25亿</t>
  </si>
  <si>
    <t>152.10亿</t>
  </si>
  <si>
    <t>140.44亿</t>
  </si>
  <si>
    <t>102.61亿</t>
  </si>
  <si>
    <t>43.77亿</t>
  </si>
  <si>
    <t>39.53亿</t>
  </si>
  <si>
    <t>54.68亿</t>
  </si>
  <si>
    <t>48.61亿</t>
  </si>
  <si>
    <t>96.00亿</t>
  </si>
  <si>
    <t>中国铝业</t>
  </si>
  <si>
    <t>3282.63亿</t>
  </si>
  <si>
    <t>45.97亿</t>
  </si>
  <si>
    <t>3659.85亿</t>
  </si>
  <si>
    <t>2216.82亿</t>
  </si>
  <si>
    <t>2052.23亿</t>
  </si>
  <si>
    <t>2170.25亿</t>
  </si>
  <si>
    <t>982.22亿</t>
  </si>
  <si>
    <t>中国太保</t>
  </si>
  <si>
    <t>277.61亿</t>
  </si>
  <si>
    <t>11.69亿</t>
  </si>
  <si>
    <t>5388.23亿</t>
  </si>
  <si>
    <t>4993.63亿</t>
  </si>
  <si>
    <t>4020.43亿</t>
  </si>
  <si>
    <t>3829.35亿</t>
  </si>
  <si>
    <t>328.58亿</t>
  </si>
  <si>
    <t>293.02亿</t>
  </si>
  <si>
    <t>310.01亿</t>
  </si>
  <si>
    <t>205.16亿</t>
  </si>
  <si>
    <t>175.78亿</t>
  </si>
  <si>
    <t>975.04亿</t>
  </si>
  <si>
    <t>1109.48亿</t>
  </si>
  <si>
    <t>上海医药</t>
  </si>
  <si>
    <t>2608.90亿</t>
  </si>
  <si>
    <t>53.51亿</t>
  </si>
  <si>
    <t>2634.61亿</t>
  </si>
  <si>
    <t>2280.30亿</t>
  </si>
  <si>
    <t>1811.33亿</t>
  </si>
  <si>
    <t>1568.73亿</t>
  </si>
  <si>
    <t>62.37亿</t>
  </si>
  <si>
    <t>53.59亿</t>
  </si>
  <si>
    <t>44.19亿</t>
  </si>
  <si>
    <t>42.21亿</t>
  </si>
  <si>
    <t>699.44亿</t>
  </si>
  <si>
    <t>15.43亿</t>
  </si>
  <si>
    <t>国泰君安</t>
  </si>
  <si>
    <t>534.65亿</t>
  </si>
  <si>
    <t>123.86亿</t>
  </si>
  <si>
    <t>32.48亿</t>
  </si>
  <si>
    <t>50.28亿</t>
  </si>
  <si>
    <t>551.57亿</t>
  </si>
  <si>
    <t>355.58亿</t>
  </si>
  <si>
    <t>395.08亿</t>
  </si>
  <si>
    <t>178.38亿</t>
  </si>
  <si>
    <t>127.12亿</t>
  </si>
  <si>
    <t>89.28亿</t>
  </si>
  <si>
    <t>111.40亿</t>
  </si>
  <si>
    <t>96.19亿</t>
  </si>
  <si>
    <t>292.40亿</t>
  </si>
  <si>
    <t>京东物流</t>
  </si>
  <si>
    <t>419.79亿</t>
  </si>
  <si>
    <t>1550.03亿</t>
  </si>
  <si>
    <t>-15.76亿</t>
  </si>
  <si>
    <t>401.09亿</t>
  </si>
  <si>
    <t>13.05亿</t>
  </si>
  <si>
    <t>20.51亿</t>
  </si>
  <si>
    <t>35.23亿</t>
  </si>
  <si>
    <t>-1185053990亿</t>
  </si>
  <si>
    <t>120365191000亿</t>
  </si>
  <si>
    <t>102.66亿</t>
  </si>
  <si>
    <t>386.33亿</t>
  </si>
  <si>
    <t>150.20亿</t>
  </si>
  <si>
    <t>-147.86亿</t>
  </si>
  <si>
    <t>1281.97亿</t>
  </si>
  <si>
    <t>874.55亿</t>
  </si>
  <si>
    <t>557.05亿</t>
  </si>
  <si>
    <t>431.23亿</t>
  </si>
  <si>
    <t>-193.98亿</t>
  </si>
  <si>
    <t>-49.27亿</t>
  </si>
  <si>
    <t>337.31亿</t>
  </si>
  <si>
    <t>-17.09亿</t>
  </si>
  <si>
    <t>工用支援</t>
  </si>
  <si>
    <t>中国人寿</t>
  </si>
  <si>
    <t>361.92亿</t>
  </si>
  <si>
    <t>10101.30亿</t>
  </si>
  <si>
    <t>9595.38亿</t>
  </si>
  <si>
    <t>7143.79亿</t>
  </si>
  <si>
    <t>7713.18亿</t>
  </si>
  <si>
    <t>599.01亿</t>
  </si>
  <si>
    <t>651.36亿</t>
  </si>
  <si>
    <t>129.74亿</t>
  </si>
  <si>
    <t>386.68亿</t>
  </si>
  <si>
    <t>4236.76亿</t>
  </si>
  <si>
    <t>环球医疗</t>
  </si>
  <si>
    <t>25.35亿</t>
  </si>
  <si>
    <t>121.40亿</t>
  </si>
  <si>
    <t>101.56亿</t>
  </si>
  <si>
    <t>48.92亿</t>
  </si>
  <si>
    <t>40.99亿</t>
  </si>
  <si>
    <t>16.64亿</t>
  </si>
  <si>
    <t>37.98亿</t>
  </si>
  <si>
    <t>中海物业</t>
  </si>
  <si>
    <t>94.42亿</t>
  </si>
  <si>
    <t>65.45亿</t>
  </si>
  <si>
    <t>54.66亿</t>
  </si>
  <si>
    <t>41.78亿</t>
  </si>
  <si>
    <t>33.58亿</t>
  </si>
  <si>
    <t>7.00亿</t>
  </si>
  <si>
    <t>5.38亿</t>
  </si>
  <si>
    <t>天虹国际集团</t>
  </si>
  <si>
    <t>268.55亿</t>
  </si>
  <si>
    <t>324.75亿</t>
  </si>
  <si>
    <t>233.34亿</t>
  </si>
  <si>
    <t>218.11亿</t>
  </si>
  <si>
    <t>195.50亿</t>
  </si>
  <si>
    <t>32.88亿</t>
  </si>
  <si>
    <t>9.88亿</t>
  </si>
  <si>
    <t>9731.49万</t>
  </si>
  <si>
    <t>新奥能源</t>
  </si>
  <si>
    <t>1241.49亿</t>
  </si>
  <si>
    <t>66.16亿</t>
  </si>
  <si>
    <t>1140.17亿</t>
  </si>
  <si>
    <t>853.60亿</t>
  </si>
  <si>
    <t>691.11亿</t>
  </si>
  <si>
    <t>578.70亿</t>
  </si>
  <si>
    <t>94.96亿</t>
  </si>
  <si>
    <t>74.83亿</t>
  </si>
  <si>
    <t>33.59亿</t>
  </si>
  <si>
    <t>玖龙纸业</t>
  </si>
  <si>
    <t>756.00亿</t>
  </si>
  <si>
    <t>38.37亿</t>
  </si>
  <si>
    <t>78.11亿</t>
  </si>
  <si>
    <t>35.50亿</t>
  </si>
  <si>
    <t>740.74亿</t>
  </si>
  <si>
    <t>562.78亿</t>
  </si>
  <si>
    <t>623.99亿</t>
  </si>
  <si>
    <t>451.32亿</t>
  </si>
  <si>
    <t>85.43亿</t>
  </si>
  <si>
    <t>44.09亿</t>
  </si>
  <si>
    <t>50.53亿</t>
  </si>
  <si>
    <t>153.67亿</t>
  </si>
  <si>
    <t>上海电气</t>
  </si>
  <si>
    <t>1320.91亿</t>
  </si>
  <si>
    <t>-40.23亿</t>
  </si>
  <si>
    <t>8.30亿</t>
  </si>
  <si>
    <t>1588.16亿</t>
  </si>
  <si>
    <t>1629.77亿</t>
  </si>
  <si>
    <t>1151.78亿</t>
  </si>
  <si>
    <t>953.65亿</t>
  </si>
  <si>
    <t>-122.30亿</t>
  </si>
  <si>
    <t>44.79亿</t>
  </si>
  <si>
    <t>41.57亿</t>
  </si>
  <si>
    <t>31.49亿</t>
  </si>
  <si>
    <t>306.65亿</t>
  </si>
  <si>
    <t>1558.83万</t>
  </si>
  <si>
    <t>130.90亿</t>
  </si>
  <si>
    <t>29.63亿</t>
  </si>
  <si>
    <t>-15.19亿</t>
  </si>
  <si>
    <t>中国华融</t>
  </si>
  <si>
    <t>159.19亿</t>
  </si>
  <si>
    <t>-1.46亿</t>
  </si>
  <si>
    <t>中远海发</t>
  </si>
  <si>
    <t>1039.95亿</t>
  </si>
  <si>
    <t>331.32亿</t>
  </si>
  <si>
    <t>40.50亿</t>
  </si>
  <si>
    <t>287.27亿</t>
  </si>
  <si>
    <t>44.26亿</t>
  </si>
  <si>
    <t>9.86亿</t>
  </si>
  <si>
    <t>438.49万</t>
  </si>
  <si>
    <t>10.97亿</t>
  </si>
  <si>
    <t>2695.68万</t>
  </si>
  <si>
    <t>454926760亿</t>
  </si>
  <si>
    <t>101.68亿</t>
  </si>
  <si>
    <t>19.05亿</t>
  </si>
  <si>
    <t>137127760000亿</t>
  </si>
  <si>
    <t>490.98亿</t>
  </si>
  <si>
    <t>145.48亿</t>
  </si>
  <si>
    <t>26.53亿</t>
  </si>
  <si>
    <t>474.02亿</t>
  </si>
  <si>
    <t>352.88亿</t>
  </si>
  <si>
    <t>679.18亿</t>
  </si>
  <si>
    <t>126.49亿</t>
  </si>
  <si>
    <t>444.86亿</t>
  </si>
  <si>
    <t>239.08亿</t>
  </si>
  <si>
    <t>158.19亿</t>
  </si>
  <si>
    <t>184.93亿</t>
  </si>
  <si>
    <t>190.64亿</t>
  </si>
  <si>
    <t>71.22亿</t>
  </si>
  <si>
    <t>25.50亿</t>
  </si>
  <si>
    <t>17.55亿</t>
  </si>
  <si>
    <t>76.34亿</t>
  </si>
  <si>
    <t>16.98亿</t>
  </si>
  <si>
    <t>90.58亿</t>
  </si>
  <si>
    <t>绿城服务</t>
  </si>
  <si>
    <t>167.59亿</t>
  </si>
  <si>
    <t>24.21亿</t>
  </si>
  <si>
    <t>7.84亿</t>
  </si>
  <si>
    <t>153.87亿</t>
  </si>
  <si>
    <t>120.45亿</t>
  </si>
  <si>
    <t>76.40亿</t>
  </si>
  <si>
    <t>5.34亿</t>
  </si>
  <si>
    <t>20.25亿</t>
  </si>
  <si>
    <t>辽港股份</t>
  </si>
  <si>
    <t>22.86亿</t>
  </si>
  <si>
    <t>73.08亿</t>
  </si>
  <si>
    <t>69.26亿</t>
  </si>
  <si>
    <t>149.61亿</t>
  </si>
  <si>
    <t>143.17亿</t>
  </si>
  <si>
    <t>76.91亿</t>
  </si>
  <si>
    <t>23.46亿</t>
  </si>
  <si>
    <t>24.47亿</t>
  </si>
  <si>
    <t>35.22亿</t>
  </si>
  <si>
    <t>中海油田服务</t>
  </si>
  <si>
    <t>401.72亿</t>
  </si>
  <si>
    <t>26.54亿</t>
  </si>
  <si>
    <t>177.28亿</t>
  </si>
  <si>
    <t>357.17亿</t>
  </si>
  <si>
    <t>344.76亿</t>
  </si>
  <si>
    <t>249.20亿</t>
  </si>
  <si>
    <t>209.31亿</t>
  </si>
  <si>
    <t>32.22亿</t>
  </si>
  <si>
    <t>27.96亿</t>
  </si>
  <si>
    <t>8061.52万</t>
  </si>
  <si>
    <t>5127.82万</t>
  </si>
  <si>
    <t>169.74亿</t>
  </si>
  <si>
    <t>渣打集团</t>
  </si>
  <si>
    <t>1274.11亿</t>
  </si>
  <si>
    <t>198.87亿</t>
  </si>
  <si>
    <t>1146.38亿</t>
  </si>
  <si>
    <t>1143.88亿</t>
  </si>
  <si>
    <t>1158.57亿</t>
  </si>
  <si>
    <t>1127.17亿</t>
  </si>
  <si>
    <t>148.55亿</t>
  </si>
  <si>
    <t>144.45亿</t>
  </si>
  <si>
    <t>60.48亿</t>
  </si>
  <si>
    <t>紫金矿业</t>
  </si>
  <si>
    <t>3001.44亿</t>
  </si>
  <si>
    <t>226.09亿</t>
  </si>
  <si>
    <t>120.21亿</t>
  </si>
  <si>
    <t>2714.02亿</t>
  </si>
  <si>
    <t>2014.34亿</t>
  </si>
  <si>
    <t>1188.64亿</t>
  </si>
  <si>
    <t>1133.54亿</t>
  </si>
  <si>
    <t>191.91亿</t>
  </si>
  <si>
    <t>47.87亿</t>
  </si>
  <si>
    <t>46.61亿</t>
  </si>
  <si>
    <t>42.05亿</t>
  </si>
  <si>
    <t>786.97亿</t>
  </si>
  <si>
    <t>75.52亿</t>
  </si>
  <si>
    <t>希玛眼科</t>
  </si>
  <si>
    <t>-2187.50万</t>
  </si>
  <si>
    <t>-46225000亿</t>
  </si>
  <si>
    <t>2901687000亿</t>
  </si>
  <si>
    <t>4530.60万</t>
  </si>
  <si>
    <t>5.25亿</t>
  </si>
  <si>
    <t>-1.96亿</t>
  </si>
  <si>
    <t>3.11亿</t>
  </si>
  <si>
    <t>2186.10万</t>
  </si>
  <si>
    <t>-624.60万</t>
  </si>
  <si>
    <t>4143.50万</t>
  </si>
  <si>
    <t>4257.10万</t>
  </si>
  <si>
    <t>4012.70万</t>
  </si>
  <si>
    <t>6550.84万</t>
  </si>
  <si>
    <t>中国建筑国际</t>
  </si>
  <si>
    <t>1019.75亿</t>
  </si>
  <si>
    <t>79.57亿</t>
  </si>
  <si>
    <t>773.10亿</t>
  </si>
  <si>
    <t>624.58亿</t>
  </si>
  <si>
    <t>556.26亿</t>
  </si>
  <si>
    <t>501.53亿</t>
  </si>
  <si>
    <t>68.01亿</t>
  </si>
  <si>
    <t>60.15亿</t>
  </si>
  <si>
    <t>54.13亿</t>
  </si>
  <si>
    <t>45.00亿</t>
  </si>
  <si>
    <t>54.90亿</t>
  </si>
  <si>
    <t>173.26亿</t>
  </si>
  <si>
    <t>雅生活服务</t>
  </si>
  <si>
    <t>173.49亿</t>
  </si>
  <si>
    <t>172.41亿</t>
  </si>
  <si>
    <t>119.50亿</t>
  </si>
  <si>
    <t>38.45亿</t>
  </si>
  <si>
    <t>21.11亿</t>
  </si>
  <si>
    <t>28.27亿</t>
  </si>
  <si>
    <t>20.91亿</t>
  </si>
  <si>
    <t>华润医药</t>
  </si>
  <si>
    <t>2368.06亿</t>
  </si>
  <si>
    <t>2004.23亿</t>
  </si>
  <si>
    <t>1896.89亿</t>
  </si>
  <si>
    <t>1725.32亿</t>
  </si>
  <si>
    <t>37.69亿</t>
  </si>
  <si>
    <t>32.97亿</t>
  </si>
  <si>
    <t>32.86亿</t>
  </si>
  <si>
    <t>39.78亿</t>
  </si>
  <si>
    <t>中国建材</t>
  </si>
  <si>
    <t>496.38亿</t>
  </si>
  <si>
    <t>3374.95亿</t>
  </si>
  <si>
    <t>3037.47亿</t>
  </si>
  <si>
    <t>2493.50亿</t>
  </si>
  <si>
    <t>2207.42亿</t>
  </si>
  <si>
    <t>149.73亿</t>
  </si>
  <si>
    <t>122.64亿</t>
  </si>
  <si>
    <t>90.31亿</t>
  </si>
  <si>
    <t>59.22亿</t>
  </si>
  <si>
    <t>606.71亿</t>
  </si>
  <si>
    <t>交通银行</t>
  </si>
  <si>
    <t>955.12亿</t>
  </si>
  <si>
    <t>3283.62亿</t>
  </si>
  <si>
    <t>2924.03亿</t>
  </si>
  <si>
    <t>2419.96亿</t>
  </si>
  <si>
    <t>2317.52亿</t>
  </si>
  <si>
    <t>1003.70亿</t>
  </si>
  <si>
    <t>863.62亿</t>
  </si>
  <si>
    <t>838.35亿</t>
  </si>
  <si>
    <t>841.90亿</t>
  </si>
  <si>
    <t>784.61亿</t>
  </si>
  <si>
    <t>48.22亿</t>
  </si>
  <si>
    <t>-11.02亿</t>
  </si>
  <si>
    <t>36.24亿</t>
  </si>
  <si>
    <t>中国龙工</t>
  </si>
  <si>
    <t>125.79亿</t>
  </si>
  <si>
    <t>451623550亿</t>
  </si>
  <si>
    <t>17362508000亿</t>
  </si>
  <si>
    <t>54.88亿</t>
  </si>
  <si>
    <t>20.95亿</t>
  </si>
  <si>
    <t>-11.28亿</t>
  </si>
  <si>
    <t>167.64亿</t>
  </si>
  <si>
    <t>153.52亿</t>
  </si>
  <si>
    <t>131.24亿</t>
  </si>
  <si>
    <t>135.13亿</t>
  </si>
  <si>
    <t>107.83亿</t>
  </si>
  <si>
    <t>15.62亿</t>
  </si>
  <si>
    <t>23.35亿</t>
  </si>
  <si>
    <t>18.37亿</t>
  </si>
  <si>
    <t>88.12亿</t>
  </si>
  <si>
    <t>泰格医药</t>
  </si>
  <si>
    <t>20.55亿</t>
  </si>
  <si>
    <t>79.93亿</t>
  </si>
  <si>
    <t>22.74亿</t>
  </si>
  <si>
    <t>12.45亿</t>
  </si>
  <si>
    <t>2.69亿</t>
  </si>
  <si>
    <t>23.80亿</t>
  </si>
  <si>
    <t>3.21亿</t>
  </si>
  <si>
    <t>12.79亿</t>
  </si>
  <si>
    <t>-6.26亿</t>
  </si>
  <si>
    <t>38.05亿</t>
  </si>
  <si>
    <t>26.18亿</t>
  </si>
  <si>
    <t>20.17亿</t>
  </si>
  <si>
    <t>6.57亿</t>
  </si>
  <si>
    <t>远东宏信</t>
  </si>
  <si>
    <t>412.72亿</t>
  </si>
  <si>
    <t>69.17亿</t>
  </si>
  <si>
    <t>411.97亿</t>
  </si>
  <si>
    <t>346.15亿</t>
  </si>
  <si>
    <t>288.96亿</t>
  </si>
  <si>
    <t>225.18亿</t>
  </si>
  <si>
    <t>67.50亿</t>
  </si>
  <si>
    <t>54.54亿</t>
  </si>
  <si>
    <t>48.47亿</t>
  </si>
  <si>
    <t>44.72亿</t>
  </si>
  <si>
    <t>38.71亿</t>
  </si>
  <si>
    <t>114.11亿</t>
  </si>
  <si>
    <t>秦港股份</t>
  </si>
  <si>
    <t>109.07亿</t>
  </si>
  <si>
    <t>76.53亿</t>
  </si>
  <si>
    <t>67.38亿</t>
  </si>
  <si>
    <t>78.22亿</t>
  </si>
  <si>
    <t>72.67亿</t>
  </si>
  <si>
    <t>84.31亿</t>
  </si>
  <si>
    <t>12.72亿</t>
  </si>
  <si>
    <t>远洋集团</t>
  </si>
  <si>
    <t>520.35亿</t>
  </si>
  <si>
    <t>-179.71亿</t>
  </si>
  <si>
    <t>73.00亿</t>
  </si>
  <si>
    <t>786.71亿</t>
  </si>
  <si>
    <t>673.55亿</t>
  </si>
  <si>
    <t>471.63亿</t>
  </si>
  <si>
    <t>549.55亿</t>
  </si>
  <si>
    <t>33.42亿</t>
  </si>
  <si>
    <t>40.69亿</t>
  </si>
  <si>
    <t>61.33亿</t>
  </si>
  <si>
    <t>龙光集团</t>
  </si>
  <si>
    <t>469.55亿</t>
  </si>
  <si>
    <t>-97.09亿</t>
  </si>
  <si>
    <t>958.69亿</t>
  </si>
  <si>
    <t>847.20亿</t>
  </si>
  <si>
    <t>331.97亿</t>
  </si>
  <si>
    <t>153.15亿</t>
  </si>
  <si>
    <t>125.93亿</t>
  </si>
  <si>
    <t>94.37亿</t>
  </si>
  <si>
    <t>78.26亿</t>
  </si>
  <si>
    <t>224.68亿</t>
  </si>
  <si>
    <t>4.45亿</t>
  </si>
  <si>
    <t>雅居乐集团</t>
  </si>
  <si>
    <t>609.56亿</t>
  </si>
  <si>
    <t>-169.00亿</t>
  </si>
  <si>
    <t>894.22亿</t>
  </si>
  <si>
    <t>956.44亿</t>
  </si>
  <si>
    <t>639.27亿</t>
  </si>
  <si>
    <t>618.72亿</t>
  </si>
  <si>
    <t>82.19亿</t>
  </si>
  <si>
    <t>112.93亿</t>
  </si>
  <si>
    <t>83.94亿</t>
  </si>
  <si>
    <t>81.13亿</t>
  </si>
  <si>
    <t>72.24亿</t>
  </si>
  <si>
    <t>联想控股</t>
  </si>
  <si>
    <t>5456.20亿</t>
  </si>
  <si>
    <t>13.17亿</t>
  </si>
  <si>
    <t>5998.48亿</t>
  </si>
  <si>
    <t>4976.98亿</t>
  </si>
  <si>
    <t>4086.66亿</t>
  </si>
  <si>
    <t>3791.68亿</t>
  </si>
  <si>
    <t>70.47亿</t>
  </si>
  <si>
    <t>46.10亿</t>
  </si>
  <si>
    <t>49.66亿</t>
  </si>
  <si>
    <t>福耀玻璃</t>
  </si>
  <si>
    <t>316.98亿</t>
  </si>
  <si>
    <t>53.64亿</t>
  </si>
  <si>
    <t>289.02亿</t>
  </si>
  <si>
    <t>237.27亿</t>
  </si>
  <si>
    <t>230.28亿</t>
  </si>
  <si>
    <t>224.38亿</t>
  </si>
  <si>
    <t>32.38亿</t>
  </si>
  <si>
    <t>37.74亿</t>
  </si>
  <si>
    <t>80.06亿</t>
  </si>
  <si>
    <t>10.74亿</t>
  </si>
  <si>
    <t>212.90亿</t>
  </si>
  <si>
    <t>同仁堂国药</t>
  </si>
  <si>
    <t>15.56亿</t>
  </si>
  <si>
    <t>13.15亿</t>
  </si>
  <si>
    <t>12.66亿</t>
  </si>
  <si>
    <t>24.61亿</t>
  </si>
  <si>
    <t>重庆农村商业银行</t>
  </si>
  <si>
    <t>321.15亿</t>
  </si>
  <si>
    <t>376.22亿</t>
  </si>
  <si>
    <t>335.45亿</t>
  </si>
  <si>
    <t>297.08亿</t>
  </si>
  <si>
    <t>287.38亿</t>
  </si>
  <si>
    <t>117.06亿</t>
  </si>
  <si>
    <t>100.13亿</t>
  </si>
  <si>
    <t>103.14亿</t>
  </si>
  <si>
    <t>107.13亿</t>
  </si>
  <si>
    <t>93.78亿</t>
  </si>
  <si>
    <t>44.63亿</t>
  </si>
  <si>
    <t>299.78亿</t>
  </si>
  <si>
    <t>中裕能源</t>
  </si>
  <si>
    <t>129.97亿</t>
  </si>
  <si>
    <t>13.95亿</t>
  </si>
  <si>
    <t>-13.18亿</t>
  </si>
  <si>
    <t>113.44亿</t>
  </si>
  <si>
    <t>85.44亿</t>
  </si>
  <si>
    <t>76.27亿</t>
  </si>
  <si>
    <t>50.48亿</t>
  </si>
  <si>
    <t>11.89亿</t>
  </si>
  <si>
    <t>12.59亿</t>
  </si>
  <si>
    <t>兖煤澳大利亚</t>
  </si>
  <si>
    <t>561.47亿</t>
  </si>
  <si>
    <t>190.88亿</t>
  </si>
  <si>
    <t>35.61亿</t>
  </si>
  <si>
    <t>305.81亿</t>
  </si>
  <si>
    <t>207.41亿</t>
  </si>
  <si>
    <t>268.28亿</t>
  </si>
  <si>
    <t>158.53亿</t>
  </si>
  <si>
    <t>44.76亿</t>
  </si>
  <si>
    <t>-62.11亿</t>
  </si>
  <si>
    <t>39.24亿</t>
  </si>
  <si>
    <t>47.13亿</t>
  </si>
  <si>
    <t>13.96亿</t>
  </si>
  <si>
    <t>永达汽车</t>
  </si>
  <si>
    <t>812.50亿</t>
  </si>
  <si>
    <t>161.76亿</t>
  </si>
  <si>
    <t>954.09亿</t>
  </si>
  <si>
    <t>817.06亿</t>
  </si>
  <si>
    <t>629.86亿</t>
  </si>
  <si>
    <t>607.83亿</t>
  </si>
  <si>
    <t>30.37亿</t>
  </si>
  <si>
    <t>19.37亿</t>
  </si>
  <si>
    <t>51.18亿</t>
  </si>
  <si>
    <t>弘业期货</t>
  </si>
  <si>
    <t>17.82亿</t>
  </si>
  <si>
    <t>1396.80万</t>
  </si>
  <si>
    <t>19.98亿</t>
  </si>
  <si>
    <t>4.10亿</t>
  </si>
  <si>
    <t>9821.89万</t>
  </si>
  <si>
    <t>7904.97万</t>
  </si>
  <si>
    <t>2376.52万</t>
  </si>
  <si>
    <t>9167.34万</t>
  </si>
  <si>
    <t>美团-W</t>
  </si>
  <si>
    <t>2481.31亿</t>
  </si>
  <si>
    <t>-75.43亿</t>
  </si>
  <si>
    <t>307.03亿</t>
  </si>
  <si>
    <t>18.57亿</t>
  </si>
  <si>
    <t>2193.42亿</t>
  </si>
  <si>
    <t>1368.24亿</t>
  </si>
  <si>
    <t>742.68亿</t>
  </si>
  <si>
    <t>406.76亿</t>
  </si>
  <si>
    <t>-288.23亿</t>
  </si>
  <si>
    <t>56.12亿</t>
  </si>
  <si>
    <t>25.02亿</t>
  </si>
  <si>
    <t>-1314.82亿</t>
  </si>
  <si>
    <t>-226.79亿</t>
  </si>
  <si>
    <t>570.61亿</t>
  </si>
  <si>
    <t>-70.33亿</t>
  </si>
  <si>
    <t>翰森制药</t>
  </si>
  <si>
    <t>29.15亿</t>
  </si>
  <si>
    <t>29.55亿</t>
  </si>
  <si>
    <t>30.92亿</t>
  </si>
  <si>
    <t>121.66亿</t>
  </si>
  <si>
    <t>87.93亿</t>
  </si>
  <si>
    <t>74.16亿</t>
  </si>
  <si>
    <t>19.13亿</t>
  </si>
  <si>
    <t>赢家时尚</t>
  </si>
  <si>
    <t>-6.45亿</t>
  </si>
  <si>
    <t>77.82亿</t>
  </si>
  <si>
    <t>63.47亿</t>
  </si>
  <si>
    <t>28.70亿</t>
  </si>
  <si>
    <t>26.42亿</t>
  </si>
  <si>
    <t>阜博集团</t>
  </si>
  <si>
    <t>4200.20万</t>
  </si>
  <si>
    <t>-2267.70万</t>
  </si>
  <si>
    <t>8118.70万</t>
  </si>
  <si>
    <t>-4820.15万</t>
  </si>
  <si>
    <t>-1960.07万</t>
  </si>
  <si>
    <t>-1989.44万</t>
  </si>
  <si>
    <t>康龙化成</t>
  </si>
  <si>
    <t>15.50亿</t>
  </si>
  <si>
    <t>23.01亿</t>
  </si>
  <si>
    <t>41.99亿</t>
  </si>
  <si>
    <t>33.11亿</t>
  </si>
  <si>
    <t>20.34亿</t>
  </si>
  <si>
    <t>25.93亿</t>
  </si>
  <si>
    <t>39.68亿</t>
  </si>
  <si>
    <t>协鑫科技</t>
  </si>
  <si>
    <t>414.58亿</t>
  </si>
  <si>
    <t>180.84亿</t>
  </si>
  <si>
    <t>19.02亿</t>
  </si>
  <si>
    <t>88.77亿</t>
  </si>
  <si>
    <t>241.20亿</t>
  </si>
  <si>
    <t>174.87亿</t>
  </si>
  <si>
    <t>234.16亿</t>
  </si>
  <si>
    <t>-67.56亿</t>
  </si>
  <si>
    <t>-2.20亿</t>
  </si>
  <si>
    <t>-7.90亿</t>
  </si>
  <si>
    <t>中国重汽</t>
  </si>
  <si>
    <t>1143.16亿</t>
  </si>
  <si>
    <t>1170.42亿</t>
  </si>
  <si>
    <t>714.22亿</t>
  </si>
  <si>
    <t>664.89亿</t>
  </si>
  <si>
    <t>52.92亿</t>
  </si>
  <si>
    <t>81.65亿</t>
  </si>
  <si>
    <t>49.48亿</t>
  </si>
  <si>
    <t>青岛银行</t>
  </si>
  <si>
    <t>119.49亿</t>
  </si>
  <si>
    <t>-5.76亿</t>
  </si>
  <si>
    <t>110.84亿</t>
  </si>
  <si>
    <t>83.86亿</t>
  </si>
  <si>
    <t>65.55亿</t>
  </si>
  <si>
    <t>29.98亿</t>
  </si>
  <si>
    <t>25.53亿</t>
  </si>
  <si>
    <t>22.78亿</t>
  </si>
  <si>
    <t>80.13亿</t>
  </si>
  <si>
    <t>信义能源</t>
  </si>
  <si>
    <t>9.71亿</t>
  </si>
  <si>
    <t>-15.30亿</t>
  </si>
  <si>
    <t>22.97亿</t>
  </si>
  <si>
    <t>17.22亿</t>
  </si>
  <si>
    <t>金山软件</t>
  </si>
  <si>
    <t>85.23亿</t>
  </si>
  <si>
    <t>278.43亿</t>
  </si>
  <si>
    <t>86.15亿</t>
  </si>
  <si>
    <t>-68.23亿</t>
  </si>
  <si>
    <t>18.58亿</t>
  </si>
  <si>
    <t>-1.08亿</t>
  </si>
  <si>
    <t>386257670亿</t>
  </si>
  <si>
    <t>179.48亿</t>
  </si>
  <si>
    <t>36366174000亿</t>
  </si>
  <si>
    <t>77.71亿</t>
  </si>
  <si>
    <t>47.44亿</t>
  </si>
  <si>
    <t>29.39亿</t>
  </si>
  <si>
    <t>29.03亿</t>
  </si>
  <si>
    <t>-35.19亿</t>
  </si>
  <si>
    <t>78.02亿</t>
  </si>
  <si>
    <t>91.84亿</t>
  </si>
  <si>
    <t>62.12亿</t>
  </si>
  <si>
    <t>119.73亿</t>
  </si>
  <si>
    <t>-17.28亿</t>
  </si>
  <si>
    <t>22.85亿</t>
  </si>
  <si>
    <t>金山云</t>
  </si>
  <si>
    <t>时代电气</t>
  </si>
  <si>
    <t>202.13亿</t>
  </si>
  <si>
    <t>28.83亿</t>
  </si>
  <si>
    <t>11.26亿</t>
  </si>
  <si>
    <t>20.83亿</t>
  </si>
  <si>
    <t>183.73亿</t>
  </si>
  <si>
    <t>189.77亿</t>
  </si>
  <si>
    <t>178.28亿</t>
  </si>
  <si>
    <t>181.56亿</t>
  </si>
  <si>
    <t>24.71亿</t>
  </si>
  <si>
    <t>29.72亿</t>
  </si>
  <si>
    <t>中集安瑞科</t>
  </si>
  <si>
    <t>221.13亿</t>
  </si>
  <si>
    <t>6.29亿</t>
  </si>
  <si>
    <t>225.61亿</t>
  </si>
  <si>
    <t>146.48亿</t>
  </si>
  <si>
    <t>148.61亿</t>
  </si>
  <si>
    <t>128.36亿</t>
  </si>
  <si>
    <t>10.18亿</t>
  </si>
  <si>
    <t>8.94亿</t>
  </si>
  <si>
    <t>30.22亿</t>
  </si>
  <si>
    <t>绿城中国</t>
  </si>
  <si>
    <t>1434.41亿</t>
  </si>
  <si>
    <t>29.16亿</t>
  </si>
  <si>
    <t>1227.44亿</t>
  </si>
  <si>
    <t>784.06亿</t>
  </si>
  <si>
    <t>686.60亿</t>
  </si>
  <si>
    <t>502.97亿</t>
  </si>
  <si>
    <t>39.86亿</t>
  </si>
  <si>
    <t>13.34亿</t>
  </si>
  <si>
    <t>19.93亿</t>
  </si>
  <si>
    <t>5.84亿</t>
  </si>
  <si>
    <t>中金公司</t>
  </si>
  <si>
    <t>300.84亿</t>
  </si>
  <si>
    <t>79.48亿</t>
  </si>
  <si>
    <t>27.88亿</t>
  </si>
  <si>
    <t>227.98亿</t>
  </si>
  <si>
    <t>158.56亿</t>
  </si>
  <si>
    <t>134.16亿</t>
  </si>
  <si>
    <t>127.63亿</t>
  </si>
  <si>
    <t>84.68亿</t>
  </si>
  <si>
    <t>46.73亿</t>
  </si>
  <si>
    <t>金界控股</t>
  </si>
  <si>
    <t>115.50亿</t>
  </si>
  <si>
    <t>74.73亿</t>
  </si>
  <si>
    <t>-11.46亿</t>
  </si>
  <si>
    <t>40.59亿</t>
  </si>
  <si>
    <t>19.94亿</t>
  </si>
  <si>
    <t>115.38亿</t>
  </si>
  <si>
    <t>联邦制药</t>
  </si>
  <si>
    <t>127.86亿</t>
  </si>
  <si>
    <t>6.70亿</t>
  </si>
  <si>
    <t>79.34亿</t>
  </si>
  <si>
    <t>118.82亿</t>
  </si>
  <si>
    <t>104.56亿</t>
  </si>
  <si>
    <t>85.52亿</t>
  </si>
  <si>
    <t>9801.97万</t>
  </si>
  <si>
    <t>东方证券</t>
  </si>
  <si>
    <t>239.24亿</t>
  </si>
  <si>
    <t>21.97亿</t>
  </si>
  <si>
    <t>309.33亿</t>
  </si>
  <si>
    <t>267.84亿</t>
  </si>
  <si>
    <t>178.81亿</t>
  </si>
  <si>
    <t>199.97亿</t>
  </si>
  <si>
    <t>31.46亿</t>
  </si>
  <si>
    <t>27.21亿</t>
  </si>
  <si>
    <t>14.02亿</t>
  </si>
  <si>
    <t>42.60亿</t>
  </si>
  <si>
    <t>107.68亿</t>
  </si>
  <si>
    <t>招商银行</t>
  </si>
  <si>
    <t>3860.53亿</t>
  </si>
  <si>
    <t>1497.83亿</t>
  </si>
  <si>
    <t>4008.73亿</t>
  </si>
  <si>
    <t>3425.50亿</t>
  </si>
  <si>
    <t>2813.88亿</t>
  </si>
  <si>
    <t>2638.05亿</t>
  </si>
  <si>
    <t>1424.20亿</t>
  </si>
  <si>
    <t>1140.54亿</t>
  </si>
  <si>
    <t>1037.79亿</t>
  </si>
  <si>
    <t>917.26亿</t>
  </si>
  <si>
    <t>841.03亿</t>
  </si>
  <si>
    <t>1127.38亿</t>
  </si>
  <si>
    <t>444.24亿</t>
  </si>
  <si>
    <t>中国通号</t>
  </si>
  <si>
    <t>85.30亿</t>
  </si>
  <si>
    <t>450.99亿</t>
  </si>
  <si>
    <t>23.49亿</t>
  </si>
  <si>
    <t>466.59亿</t>
  </si>
  <si>
    <t>475.50亿</t>
  </si>
  <si>
    <t>455.58亿</t>
  </si>
  <si>
    <t>412.83亿</t>
  </si>
  <si>
    <t>45.52亿</t>
  </si>
  <si>
    <t>42.64亿</t>
  </si>
  <si>
    <t>84.99亿</t>
  </si>
  <si>
    <t>中国银行</t>
  </si>
  <si>
    <t>2414.36亿</t>
  </si>
  <si>
    <t>7377.86亿</t>
  </si>
  <si>
    <t>6651.99亿</t>
  </si>
  <si>
    <t>5704.26亿</t>
  </si>
  <si>
    <t>5770.97亿</t>
  </si>
  <si>
    <t>2521.34亿</t>
  </si>
  <si>
    <t>2155.44亿</t>
  </si>
  <si>
    <t>2094.25亿</t>
  </si>
  <si>
    <t>2050.46亿</t>
  </si>
  <si>
    <t>1986.01亿</t>
  </si>
  <si>
    <t>1819.86亿</t>
  </si>
  <si>
    <t>美的置业</t>
  </si>
  <si>
    <t>830.63亿</t>
  </si>
  <si>
    <t>19.48亿</t>
  </si>
  <si>
    <t>902.49亿</t>
  </si>
  <si>
    <t>625.55亿</t>
  </si>
  <si>
    <t>342.94亿</t>
  </si>
  <si>
    <t>212.41亿</t>
  </si>
  <si>
    <t>51.57亿</t>
  </si>
  <si>
    <t>48.11亿</t>
  </si>
  <si>
    <t>22.93亿</t>
  </si>
  <si>
    <t>84.70亿</t>
  </si>
  <si>
    <t>洛阳钼业</t>
  </si>
  <si>
    <t>1937.58亿</t>
  </si>
  <si>
    <t>68.44亿</t>
  </si>
  <si>
    <t>7.35亿</t>
  </si>
  <si>
    <t>2113.57亿</t>
  </si>
  <si>
    <t>1335.99亿</t>
  </si>
  <si>
    <t>295.61亿</t>
  </si>
  <si>
    <t>289.51亿</t>
  </si>
  <si>
    <t>27.76亿</t>
  </si>
  <si>
    <t>52.78亿</t>
  </si>
  <si>
    <t>544.21亿</t>
  </si>
  <si>
    <t>中国能源建设</t>
  </si>
  <si>
    <t>88.10亿</t>
  </si>
  <si>
    <t>54.25亿</t>
  </si>
  <si>
    <t>12.82亿</t>
  </si>
  <si>
    <t>3929.20亿</t>
  </si>
  <si>
    <t>3201.83亿</t>
  </si>
  <si>
    <t>2550.86亿</t>
  </si>
  <si>
    <t>2809.86亿</t>
  </si>
  <si>
    <t>52.04亿</t>
  </si>
  <si>
    <t>876.16亿</t>
  </si>
  <si>
    <t>74.34亿</t>
  </si>
  <si>
    <t>波司登</t>
  </si>
  <si>
    <t>199.95亿</t>
  </si>
  <si>
    <t>160.07亿</t>
  </si>
  <si>
    <t>110.98亿</t>
  </si>
  <si>
    <t>76.95亿</t>
  </si>
  <si>
    <t>13.13亿</t>
  </si>
  <si>
    <t>11.45亿</t>
  </si>
  <si>
    <t>中信证券</t>
  </si>
  <si>
    <t>766.31亿</t>
  </si>
  <si>
    <t>234.87亿</t>
  </si>
  <si>
    <t>908.80亿</t>
  </si>
  <si>
    <t>638.43亿</t>
  </si>
  <si>
    <t>486.87亿</t>
  </si>
  <si>
    <t>376.93亿</t>
  </si>
  <si>
    <t>177.62亿</t>
  </si>
  <si>
    <t>136.65亿</t>
  </si>
  <si>
    <t>106.91亿</t>
  </si>
  <si>
    <t>144.08亿</t>
  </si>
  <si>
    <t>64.49亿</t>
  </si>
  <si>
    <t>保利物业</t>
  </si>
  <si>
    <t>154.40亿</t>
  </si>
  <si>
    <t>17.77亿</t>
  </si>
  <si>
    <t>132.03亿</t>
  </si>
  <si>
    <t>95.79亿</t>
  </si>
  <si>
    <t>48.16亿</t>
  </si>
  <si>
    <t>中烟香港</t>
  </si>
  <si>
    <t>83.24亿</t>
  </si>
  <si>
    <t>80.64亿</t>
  </si>
  <si>
    <t>70.33亿</t>
  </si>
  <si>
    <t>78.07亿</t>
  </si>
  <si>
    <t>众安在线</t>
  </si>
  <si>
    <t>-7.92亿</t>
  </si>
  <si>
    <t>268.66亿</t>
  </si>
  <si>
    <t>220.42亿</t>
  </si>
  <si>
    <t>66.94亿</t>
  </si>
  <si>
    <t>14.26亿</t>
  </si>
  <si>
    <t>-5.07亿</t>
  </si>
  <si>
    <t>-19.86亿</t>
  </si>
  <si>
    <t>-11.96亿</t>
  </si>
  <si>
    <t>中信建投证券</t>
  </si>
  <si>
    <t>409.67亿</t>
  </si>
  <si>
    <t>75.08亿</t>
  </si>
  <si>
    <t>475.90亿</t>
  </si>
  <si>
    <t>364.29亿</t>
  </si>
  <si>
    <t>187.78亿</t>
  </si>
  <si>
    <t>196.88亿</t>
  </si>
  <si>
    <t>118.67亿</t>
  </si>
  <si>
    <t>108.93亿</t>
  </si>
  <si>
    <t>35.15亿</t>
  </si>
  <si>
    <t>48.14亿</t>
  </si>
  <si>
    <t>62.86亿</t>
  </si>
  <si>
    <t>2.70亿</t>
  </si>
  <si>
    <t>盛业</t>
  </si>
  <si>
    <t>10.14亿</t>
  </si>
  <si>
    <t>8.39亿</t>
  </si>
  <si>
    <t>3.92亿</t>
  </si>
  <si>
    <t>海吉亚医疗</t>
  </si>
  <si>
    <t>36.05亿</t>
  </si>
  <si>
    <t>16.71亿</t>
  </si>
  <si>
    <t>8.72亿</t>
  </si>
  <si>
    <t>7.15亿</t>
  </si>
  <si>
    <t>4443.96万</t>
  </si>
  <si>
    <t>294.67万</t>
  </si>
  <si>
    <t>-5566.97万</t>
  </si>
  <si>
    <t>鸿腾精密科技</t>
  </si>
  <si>
    <t>353.75亿</t>
  </si>
  <si>
    <t>120.19亿</t>
  </si>
  <si>
    <t>350.15亿</t>
  </si>
  <si>
    <t>334.52亿</t>
  </si>
  <si>
    <t>313.80亿</t>
  </si>
  <si>
    <t>265.58亿</t>
  </si>
  <si>
    <t>10.73亿</t>
  </si>
  <si>
    <t>82.31亿</t>
  </si>
  <si>
    <t>碧桂园服务</t>
  </si>
  <si>
    <t>466.66亿</t>
  </si>
  <si>
    <t>353.18亿</t>
  </si>
  <si>
    <t>185.94亿</t>
  </si>
  <si>
    <t>53.23亿</t>
  </si>
  <si>
    <t>37.43亿</t>
  </si>
  <si>
    <t>49.39亿</t>
  </si>
  <si>
    <t>32.02亿</t>
  </si>
  <si>
    <t>18.67亿</t>
  </si>
  <si>
    <t>41.40亿</t>
  </si>
  <si>
    <t>招商证券</t>
  </si>
  <si>
    <t>29.97亿</t>
  </si>
  <si>
    <t>329.52亿</t>
  </si>
  <si>
    <t>84.16亿</t>
  </si>
  <si>
    <t>23.94亿</t>
  </si>
  <si>
    <t>17.25亿</t>
  </si>
  <si>
    <t>30.91亿</t>
  </si>
  <si>
    <t>491.91亿</t>
  </si>
  <si>
    <t>385.33亿</t>
  </si>
  <si>
    <t>204.74亿</t>
  </si>
  <si>
    <t>230.89亿</t>
  </si>
  <si>
    <t>132.77亿</t>
  </si>
  <si>
    <t>103.57亿</t>
  </si>
  <si>
    <t>72.42亿</t>
  </si>
  <si>
    <t>41.25亿</t>
  </si>
  <si>
    <t>62.27亿</t>
  </si>
  <si>
    <t>37.95亿</t>
  </si>
  <si>
    <t>同道猎聘</t>
  </si>
  <si>
    <t>16.14亿</t>
  </si>
  <si>
    <t>36.19亿</t>
  </si>
  <si>
    <t>29.76亿</t>
  </si>
  <si>
    <t>5005.04万</t>
  </si>
  <si>
    <t>14.80亿</t>
  </si>
  <si>
    <t>32.47亿</t>
  </si>
  <si>
    <t>22.28亿</t>
  </si>
  <si>
    <t>6391.80万</t>
  </si>
  <si>
    <t>880.93万</t>
  </si>
  <si>
    <t>1078.77万</t>
  </si>
  <si>
    <t>-458.77万</t>
  </si>
  <si>
    <t>滔搏</t>
  </si>
  <si>
    <t>394.62亿</t>
  </si>
  <si>
    <t>430.78亿</t>
  </si>
  <si>
    <t>376.05亿</t>
  </si>
  <si>
    <t>328.56亿</t>
  </si>
  <si>
    <t>245.59亿</t>
  </si>
  <si>
    <t>33.14亿</t>
  </si>
  <si>
    <t>25.71亿</t>
  </si>
  <si>
    <t>25.83亿</t>
  </si>
  <si>
    <t>14.92亿</t>
  </si>
  <si>
    <t>昭衍新药</t>
  </si>
  <si>
    <t>25.58亿</t>
  </si>
  <si>
    <t>6.68亿</t>
  </si>
  <si>
    <t>21.20亿</t>
  </si>
  <si>
    <t>9581.25万</t>
  </si>
  <si>
    <t>百济神州</t>
  </si>
  <si>
    <t>110.56亿</t>
  </si>
  <si>
    <t>-156.46亿</t>
  </si>
  <si>
    <t>28.74亿</t>
  </si>
  <si>
    <t>6.42亿</t>
  </si>
  <si>
    <t>32.10亿</t>
  </si>
  <si>
    <t>91.73亿</t>
  </si>
  <si>
    <t>33.34亿</t>
  </si>
  <si>
    <t>-123.81亿</t>
  </si>
  <si>
    <t>-73.87亿</t>
  </si>
  <si>
    <t>-52.78亿</t>
  </si>
  <si>
    <t>24.01亿</t>
  </si>
  <si>
    <t>18.77亿</t>
  </si>
  <si>
    <t>光大证券</t>
  </si>
  <si>
    <t>168.72亿</t>
  </si>
  <si>
    <t>31.94亿</t>
  </si>
  <si>
    <t>266.95亿</t>
  </si>
  <si>
    <t>249.71亿</t>
  </si>
  <si>
    <t>153.51亿</t>
  </si>
  <si>
    <t>176.97亿</t>
  </si>
  <si>
    <t>36.16亿</t>
  </si>
  <si>
    <t>8.21亿</t>
  </si>
  <si>
    <t>康希诺生物</t>
  </si>
  <si>
    <t>-10.26亿</t>
  </si>
  <si>
    <t>52.65亿</t>
  </si>
  <si>
    <t>2210.26万</t>
  </si>
  <si>
    <t>128.89万</t>
  </si>
  <si>
    <t>23.44亿</t>
  </si>
  <si>
    <t>-4.73亿</t>
  </si>
  <si>
    <t>-1.75亿</t>
  </si>
  <si>
    <t>-7726.91万</t>
  </si>
  <si>
    <t>中国飞鹤</t>
  </si>
  <si>
    <t>240.41亿</t>
  </si>
  <si>
    <t>55.75亿</t>
  </si>
  <si>
    <t>278.90亿</t>
  </si>
  <si>
    <t>221.60亿</t>
  </si>
  <si>
    <t>70.58亿</t>
  </si>
  <si>
    <t>84.14亿</t>
  </si>
  <si>
    <t>88.64亿</t>
  </si>
  <si>
    <t>43.97亿</t>
  </si>
  <si>
    <t>郑州银行</t>
  </si>
  <si>
    <t>165.28亿</t>
  </si>
  <si>
    <t>16.07亿</t>
  </si>
  <si>
    <t>170.70亿</t>
  </si>
  <si>
    <t>159.62亿</t>
  </si>
  <si>
    <t>101.83亿</t>
  </si>
  <si>
    <t>115.89亿</t>
  </si>
  <si>
    <t>33.75亿</t>
  </si>
  <si>
    <t>31.87亿</t>
  </si>
  <si>
    <t>36.71亿</t>
  </si>
  <si>
    <t>51.31亿</t>
  </si>
  <si>
    <t>青岛港</t>
  </si>
  <si>
    <t>215.66亿</t>
  </si>
  <si>
    <t>51.05亿</t>
  </si>
  <si>
    <t>98.00亿</t>
  </si>
  <si>
    <t>20.78亿</t>
  </si>
  <si>
    <t>203.83亿</t>
  </si>
  <si>
    <t>156.32亿</t>
  </si>
  <si>
    <t>132.35亿</t>
  </si>
  <si>
    <t>121.64亿</t>
  </si>
  <si>
    <t>48.54亿</t>
  </si>
  <si>
    <t>45.79亿</t>
  </si>
  <si>
    <t>42.35亿</t>
  </si>
  <si>
    <t>40.92亿</t>
  </si>
  <si>
    <t>55.70亿</t>
  </si>
  <si>
    <t>128.38亿</t>
  </si>
  <si>
    <t>诺辉健康</t>
  </si>
  <si>
    <t>-8938.84万</t>
  </si>
  <si>
    <t>-90601095亿</t>
  </si>
  <si>
    <t>2904661200亿</t>
  </si>
  <si>
    <t>4846.32万</t>
  </si>
  <si>
    <t>2.57亿</t>
  </si>
  <si>
    <t>-4.65亿</t>
  </si>
  <si>
    <t>8410.88万</t>
  </si>
  <si>
    <t>6512.23万</t>
  </si>
  <si>
    <t>2142.39万</t>
  </si>
  <si>
    <t>-37.78亿</t>
  </si>
  <si>
    <t>-1.19亿</t>
  </si>
  <si>
    <t>7.29亿</t>
  </si>
  <si>
    <t>环球新材国际</t>
  </si>
  <si>
    <t>8112.96万</t>
  </si>
  <si>
    <t>266806930亿</t>
  </si>
  <si>
    <t>3561265000亿</t>
  </si>
  <si>
    <t>2656.79万</t>
  </si>
  <si>
    <t>-3.72亿</t>
  </si>
  <si>
    <t>4171.17万</t>
  </si>
  <si>
    <t>京东健康</t>
  </si>
  <si>
    <t>527.23亿</t>
  </si>
  <si>
    <t>375.70亿</t>
  </si>
  <si>
    <t>231.02亿</t>
  </si>
  <si>
    <t>93.01亿</t>
  </si>
  <si>
    <t>-13.15亿</t>
  </si>
  <si>
    <t>-205.42亿</t>
  </si>
  <si>
    <t>-10.86亿</t>
  </si>
  <si>
    <t>瑞尔集团</t>
  </si>
  <si>
    <t>-8.65亿</t>
  </si>
  <si>
    <t>-7.10亿</t>
  </si>
  <si>
    <t>-3.46亿</t>
  </si>
  <si>
    <t>华新水泥</t>
  </si>
  <si>
    <t>337.13亿</t>
  </si>
  <si>
    <t>30.45亿</t>
  </si>
  <si>
    <t>4.26亿</t>
  </si>
  <si>
    <t>181.98亿</t>
  </si>
  <si>
    <t>390.12亿</t>
  </si>
  <si>
    <t>343.82亿</t>
  </si>
  <si>
    <t>246.46亿</t>
  </si>
  <si>
    <t>65.68亿</t>
  </si>
  <si>
    <t>67.11亿</t>
  </si>
  <si>
    <t>78.95亿</t>
  </si>
  <si>
    <t>8.28亿</t>
  </si>
  <si>
    <t>艾美疫苗</t>
  </si>
  <si>
    <t>-3.61亿</t>
  </si>
  <si>
    <t>-1.24亿</t>
  </si>
  <si>
    <t>19.23亿</t>
  </si>
  <si>
    <t>19.52亿</t>
  </si>
  <si>
    <t>金力永磁</t>
  </si>
  <si>
    <t>80.83亿</t>
  </si>
  <si>
    <t>49.96亿</t>
  </si>
  <si>
    <t>28.81亿</t>
  </si>
  <si>
    <t>洪九果品</t>
  </si>
  <si>
    <t>170.12亿</t>
  </si>
  <si>
    <t>125.88亿</t>
  </si>
  <si>
    <t>68.79亿</t>
  </si>
  <si>
    <t>海尔智家</t>
  </si>
  <si>
    <t>165.95亿</t>
  </si>
  <si>
    <t>2780.61亿</t>
  </si>
  <si>
    <t>2499.43亿</t>
  </si>
  <si>
    <t>2137.58亿</t>
  </si>
  <si>
    <t>1956.19亿</t>
  </si>
  <si>
    <t>105.88亿</t>
  </si>
  <si>
    <t>91.70亿</t>
  </si>
  <si>
    <t>85.21亿</t>
  </si>
  <si>
    <t>83.25亿</t>
  </si>
  <si>
    <t>741.08亿</t>
  </si>
  <si>
    <t>星空华文</t>
  </si>
  <si>
    <t>9805.22万</t>
  </si>
  <si>
    <t>时代天使</t>
  </si>
  <si>
    <t>14.32亿</t>
  </si>
  <si>
    <t>15.57亿</t>
  </si>
  <si>
    <t>9.73亿</t>
  </si>
  <si>
    <t>申万宏源</t>
  </si>
  <si>
    <t>354.57亿</t>
  </si>
  <si>
    <t>33.88亿</t>
  </si>
  <si>
    <t>23.96亿</t>
  </si>
  <si>
    <t>563.13亿</t>
  </si>
  <si>
    <t>464.77亿</t>
  </si>
  <si>
    <t>274.51亿</t>
  </si>
  <si>
    <t>250.87亿</t>
  </si>
  <si>
    <t>115.08亿</t>
  </si>
  <si>
    <t>64.09亿</t>
  </si>
  <si>
    <t>47.37亿</t>
  </si>
  <si>
    <t>55.15亿</t>
  </si>
  <si>
    <t>47.84亿</t>
  </si>
  <si>
    <t>13.21亿</t>
  </si>
  <si>
    <t>高鑫零售</t>
  </si>
  <si>
    <t>1086.91亿</t>
  </si>
  <si>
    <t>-9.11亿</t>
  </si>
  <si>
    <t>40.71亿</t>
  </si>
  <si>
    <t>1131.30亿</t>
  </si>
  <si>
    <t>1226.71亿</t>
  </si>
  <si>
    <t>28.21亿</t>
  </si>
  <si>
    <t>33.49亿</t>
  </si>
  <si>
    <t>中国光大银行</t>
  </si>
  <si>
    <t>1640.81亿</t>
  </si>
  <si>
    <t>451.19亿</t>
  </si>
  <si>
    <t>3.98亿</t>
  </si>
  <si>
    <t>1754.39亿</t>
  </si>
  <si>
    <t>1639.99亿</t>
  </si>
  <si>
    <t>1144.57亿</t>
  </si>
  <si>
    <t>1105.52亿</t>
  </si>
  <si>
    <t>472.74亿</t>
  </si>
  <si>
    <t>424.51亿</t>
  </si>
  <si>
    <t>401.23亿</t>
  </si>
  <si>
    <t>366.73亿</t>
  </si>
  <si>
    <t>360.81亿</t>
  </si>
  <si>
    <t>451.80亿</t>
  </si>
  <si>
    <t>凯莱英</t>
  </si>
  <si>
    <t>24.56亿</t>
  </si>
  <si>
    <t>-3.74亿</t>
  </si>
  <si>
    <t>56.72亿</t>
  </si>
  <si>
    <t>27.33亿</t>
  </si>
  <si>
    <t>8.58亿</t>
  </si>
  <si>
    <t>昊海生物科技</t>
  </si>
  <si>
    <t>23.73亿</t>
  </si>
  <si>
    <t>-7.69亿</t>
  </si>
  <si>
    <t>21.43亿</t>
  </si>
  <si>
    <t>17.60亿</t>
  </si>
  <si>
    <t>7515.59万</t>
  </si>
  <si>
    <t>海通证券</t>
  </si>
  <si>
    <t>473.58亿</t>
  </si>
  <si>
    <t>73.84亿</t>
  </si>
  <si>
    <t>-28.55亿</t>
  </si>
  <si>
    <t>707.88亿</t>
  </si>
  <si>
    <t>646.93亿</t>
  </si>
  <si>
    <t>440.29亿</t>
  </si>
  <si>
    <t>495.44亿</t>
  </si>
  <si>
    <t>157.06亿</t>
  </si>
  <si>
    <t>103.33亿</t>
  </si>
  <si>
    <t>83.07亿</t>
  </si>
  <si>
    <t>亚盛医药-B</t>
  </si>
  <si>
    <t>-9.96亿</t>
  </si>
  <si>
    <t>3417.58万</t>
  </si>
  <si>
    <t>1483.92万</t>
  </si>
  <si>
    <t>775.05万</t>
  </si>
  <si>
    <t>758.66万</t>
  </si>
  <si>
    <t>-9.58亿</t>
  </si>
  <si>
    <t>-8.08亿</t>
  </si>
  <si>
    <t>-16.55亿</t>
  </si>
  <si>
    <t>-3.93亿</t>
  </si>
  <si>
    <t>-1.42亿</t>
  </si>
  <si>
    <t>海底捞</t>
  </si>
  <si>
    <t>503.41亿</t>
  </si>
  <si>
    <t>341.05亿</t>
  </si>
  <si>
    <t>193.21亿</t>
  </si>
  <si>
    <t>127.53亿</t>
  </si>
  <si>
    <t>-50.98亿</t>
  </si>
  <si>
    <t>福莱特玻璃</t>
  </si>
  <si>
    <t>172.89亿</t>
  </si>
  <si>
    <t>37.57亿</t>
  </si>
  <si>
    <t>73.89亿</t>
  </si>
  <si>
    <t>34.88亿</t>
  </si>
  <si>
    <t>35.66亿</t>
  </si>
  <si>
    <t>25.95亿</t>
  </si>
  <si>
    <t>5.15亿</t>
  </si>
  <si>
    <t>43.05亿</t>
  </si>
  <si>
    <t>长飞光纤光缆</t>
  </si>
  <si>
    <t>36.34亿</t>
  </si>
  <si>
    <t>155.05亿</t>
  </si>
  <si>
    <t>16.89亿</t>
  </si>
  <si>
    <t>35.73亿</t>
  </si>
  <si>
    <t>17.99亿</t>
  </si>
  <si>
    <t>-24.67亿</t>
  </si>
  <si>
    <t>116.37亿</t>
  </si>
  <si>
    <t>97.73亿</t>
  </si>
  <si>
    <t>129.34亿</t>
  </si>
  <si>
    <t>124.28亿</t>
  </si>
  <si>
    <t>16.96亿</t>
  </si>
  <si>
    <t>15.21亿</t>
  </si>
  <si>
    <t>36.59亿</t>
  </si>
  <si>
    <t>中国银河</t>
  </si>
  <si>
    <t>6291.71亿</t>
  </si>
  <si>
    <t>1206.88亿</t>
  </si>
  <si>
    <t>71.19亿</t>
  </si>
  <si>
    <t>493.89亿</t>
  </si>
  <si>
    <t>79.84亿</t>
  </si>
  <si>
    <t>29.11亿</t>
  </si>
  <si>
    <t>-2366.16万</t>
  </si>
  <si>
    <t>2570287000亿</t>
  </si>
  <si>
    <t>1277.90亿</t>
  </si>
  <si>
    <t>140.52亿</t>
  </si>
  <si>
    <t>749859110000亿</t>
  </si>
  <si>
    <t>99.50亿</t>
  </si>
  <si>
    <t>1462.54亿</t>
  </si>
  <si>
    <t>5061.50亿</t>
  </si>
  <si>
    <t>4801.23亿</t>
  </si>
  <si>
    <t>1117.01亿</t>
  </si>
  <si>
    <t>325.18亿</t>
  </si>
  <si>
    <t>-279.89亿</t>
  </si>
  <si>
    <t>-163.59亿</t>
  </si>
  <si>
    <t>554.42亿</t>
  </si>
  <si>
    <t>372.67亿</t>
  </si>
  <si>
    <t>262.54亿</t>
  </si>
  <si>
    <t>184.85亿</t>
  </si>
  <si>
    <t>191.65亿</t>
  </si>
  <si>
    <t>120.81亿</t>
  </si>
  <si>
    <t>32.87亿</t>
  </si>
  <si>
    <t>47.72亿</t>
  </si>
  <si>
    <t>82.97亿</t>
  </si>
  <si>
    <t>186.71亿</t>
  </si>
  <si>
    <t>华泰证券</t>
  </si>
  <si>
    <t>47.21亿</t>
  </si>
  <si>
    <t>458.10亿</t>
  </si>
  <si>
    <t>119.79亿</t>
  </si>
  <si>
    <t>494.88亿</t>
  </si>
  <si>
    <t>359.54亿</t>
  </si>
  <si>
    <t>279.03亿</t>
  </si>
  <si>
    <t>375.54亿</t>
  </si>
  <si>
    <t>162.24亿</t>
  </si>
  <si>
    <t>128.99亿</t>
  </si>
  <si>
    <t>100.59亿</t>
  </si>
  <si>
    <t>111.22亿</t>
  </si>
  <si>
    <t>68.90亿</t>
  </si>
  <si>
    <t>27.31亿</t>
  </si>
  <si>
    <t>博安生物</t>
  </si>
  <si>
    <t>-374246050亿</t>
  </si>
  <si>
    <t>2484706800亿</t>
  </si>
  <si>
    <t>-2.28亿</t>
  </si>
  <si>
    <t>思摩尔国际</t>
  </si>
  <si>
    <t>137.01亿</t>
  </si>
  <si>
    <t>28.32亿</t>
  </si>
  <si>
    <t>168.43亿</t>
  </si>
  <si>
    <t>119.31亿</t>
  </si>
  <si>
    <t>39.10亿</t>
  </si>
  <si>
    <t>28.60亿</t>
  </si>
  <si>
    <t>24.29亿</t>
  </si>
  <si>
    <t>50.47亿</t>
  </si>
  <si>
    <t>哔哩哔哩-W</t>
  </si>
  <si>
    <t>247.04亿</t>
  </si>
  <si>
    <t>-84.57亿</t>
  </si>
  <si>
    <t>143.02亿</t>
  </si>
  <si>
    <t>47.01亿</t>
  </si>
  <si>
    <t>-83.13亿</t>
  </si>
  <si>
    <t>-35.90亿</t>
  </si>
  <si>
    <t>-28.14亿</t>
  </si>
  <si>
    <t>62.90亿</t>
  </si>
  <si>
    <t>40.53亿</t>
  </si>
  <si>
    <t>金科服务</t>
  </si>
  <si>
    <t>-20.52亿</t>
  </si>
  <si>
    <t>40.19亿</t>
  </si>
  <si>
    <t>17.35亿</t>
  </si>
  <si>
    <t>12.95亿</t>
  </si>
  <si>
    <t>再鼎医药</t>
  </si>
  <si>
    <t>16.79亿</t>
  </si>
  <si>
    <t>-1.50亿</t>
  </si>
  <si>
    <t>11.25亿</t>
  </si>
  <si>
    <t>101.06万</t>
  </si>
  <si>
    <t>-54.93亿</t>
  </si>
  <si>
    <t>-20.85亿</t>
  </si>
  <si>
    <t>天齐锂业</t>
  </si>
  <si>
    <t>453.15亿</t>
  </si>
  <si>
    <t>33.21亿</t>
  </si>
  <si>
    <t>93.04亿</t>
  </si>
  <si>
    <t>38.32亿</t>
  </si>
  <si>
    <t>65.56亿</t>
  </si>
  <si>
    <t>64.31亿</t>
  </si>
  <si>
    <t>柠萌影视</t>
  </si>
  <si>
    <t>-8.26亿</t>
  </si>
  <si>
    <t>15.29亿</t>
  </si>
  <si>
    <t>18.29亿</t>
  </si>
  <si>
    <t>-261.82万</t>
  </si>
  <si>
    <t>优然牧业</t>
  </si>
  <si>
    <t>203.63亿</t>
  </si>
  <si>
    <t>187.91亿</t>
  </si>
  <si>
    <t>140.42亿</t>
  </si>
  <si>
    <t>72.12亿</t>
  </si>
  <si>
    <t>9383.38万</t>
  </si>
  <si>
    <t>零跑汽车</t>
  </si>
  <si>
    <t>139.71亿</t>
  </si>
  <si>
    <t>-57.63亿</t>
  </si>
  <si>
    <t>-12.85亿</t>
  </si>
  <si>
    <t>小鹏汽车-W</t>
  </si>
  <si>
    <t>302.95亿</t>
  </si>
  <si>
    <t>-103.10亿</t>
  </si>
  <si>
    <t>14.81亿</t>
  </si>
  <si>
    <t>49.13亿</t>
  </si>
  <si>
    <t>257.00亿</t>
  </si>
  <si>
    <t>1105.13万</t>
  </si>
  <si>
    <t>-59.55亿</t>
  </si>
  <si>
    <t>-58.28亿</t>
  </si>
  <si>
    <t>91.94亿</t>
  </si>
  <si>
    <t>海伦司</t>
  </si>
  <si>
    <t>-18.06亿</t>
  </si>
  <si>
    <t>22.48亿</t>
  </si>
  <si>
    <t>-2.82亿</t>
  </si>
  <si>
    <t>8351.88万</t>
  </si>
  <si>
    <t>健世科技-B</t>
  </si>
  <si>
    <t>-4.96亿</t>
  </si>
  <si>
    <t>汇通达网络</t>
  </si>
  <si>
    <t>805.27亿</t>
  </si>
  <si>
    <t>591.53亿</t>
  </si>
  <si>
    <t>339.32亿</t>
  </si>
  <si>
    <t>叮当健康</t>
  </si>
  <si>
    <t>48.84亿</t>
  </si>
  <si>
    <t>-31.96亿</t>
  </si>
  <si>
    <t>-2.68亿</t>
  </si>
  <si>
    <t>26.56亿</t>
  </si>
  <si>
    <t>-4.92亿</t>
  </si>
  <si>
    <t>名创优品</t>
  </si>
  <si>
    <t>83.03亿</t>
  </si>
  <si>
    <t>30.68亿</t>
  </si>
  <si>
    <t>118.14亿</t>
  </si>
  <si>
    <t>16.47亿</t>
  </si>
  <si>
    <t>109.13亿</t>
  </si>
  <si>
    <t>101.59亿</t>
  </si>
  <si>
    <t>-17.02亿</t>
  </si>
  <si>
    <t>31.96亿</t>
  </si>
  <si>
    <t>九毛九</t>
  </si>
  <si>
    <t>5559.28万</t>
  </si>
  <si>
    <t>21.55亿</t>
  </si>
  <si>
    <t>7930.12万</t>
  </si>
  <si>
    <t>8015.97万</t>
  </si>
  <si>
    <t>移卡</t>
  </si>
  <si>
    <t>38.56亿</t>
  </si>
  <si>
    <t>2.84亿</t>
  </si>
  <si>
    <t>37.45亿</t>
  </si>
  <si>
    <t>25.23亿</t>
  </si>
  <si>
    <t>9461.09万</t>
  </si>
  <si>
    <t>-2.08亿</t>
  </si>
  <si>
    <t>康方生物</t>
  </si>
  <si>
    <t>-10.04亿</t>
  </si>
  <si>
    <t>321.77万</t>
  </si>
  <si>
    <t>4810.23万</t>
  </si>
  <si>
    <t>-13.16亿</t>
  </si>
  <si>
    <t>-14.03亿</t>
  </si>
  <si>
    <t>-454.98万</t>
  </si>
  <si>
    <t>开拓药业-B</t>
  </si>
  <si>
    <t>安能物流</t>
  </si>
  <si>
    <t>105.31亿</t>
  </si>
  <si>
    <t>-461694100亿</t>
  </si>
  <si>
    <t>6578208300亿</t>
  </si>
  <si>
    <t>16.30亿</t>
  </si>
  <si>
    <t>-8.89亿</t>
  </si>
  <si>
    <t>118.11亿</t>
  </si>
  <si>
    <t>84.41亿</t>
  </si>
  <si>
    <t>59.65亿</t>
  </si>
  <si>
    <t>60.71亿</t>
  </si>
  <si>
    <t>联易融科技-W</t>
  </si>
  <si>
    <t>-1518.20万</t>
  </si>
  <si>
    <t>-3.10亿</t>
  </si>
  <si>
    <t>14.67亿</t>
  </si>
  <si>
    <t>12.26亿</t>
  </si>
  <si>
    <t>-159.08亿</t>
  </si>
  <si>
    <t>-8.55亿</t>
  </si>
  <si>
    <t>康宁杰瑞制药-B</t>
  </si>
  <si>
    <t>-3.67亿</t>
  </si>
  <si>
    <t>-5.10亿</t>
  </si>
  <si>
    <t>-9.31亿</t>
  </si>
  <si>
    <t>-1.71亿</t>
  </si>
  <si>
    <t>-3963.68万</t>
  </si>
  <si>
    <t>诺诚健华</t>
  </si>
  <si>
    <t>86.50亿</t>
  </si>
  <si>
    <t>-10.00亿</t>
  </si>
  <si>
    <t>23.27亿</t>
  </si>
  <si>
    <t>-6.38亿</t>
  </si>
  <si>
    <t>162.58万</t>
  </si>
  <si>
    <t>184.11万</t>
  </si>
  <si>
    <t>12.23万</t>
  </si>
  <si>
    <t>-7903.54万</t>
  </si>
  <si>
    <t>-23.93亿</t>
  </si>
  <si>
    <t>绿城管理控股</t>
  </si>
  <si>
    <t>29.96亿</t>
  </si>
  <si>
    <t>23.55亿</t>
  </si>
  <si>
    <t>6.92亿</t>
  </si>
  <si>
    <t>8.50亿</t>
  </si>
  <si>
    <t>31.64亿</t>
  </si>
  <si>
    <t>百胜中国</t>
  </si>
  <si>
    <t>357.03亿</t>
  </si>
  <si>
    <t>582.30亿</t>
  </si>
  <si>
    <t>226.92亿</t>
  </si>
  <si>
    <t>740.04亿</t>
  </si>
  <si>
    <t>161.36亿</t>
  </si>
  <si>
    <t>120.69亿</t>
  </si>
  <si>
    <t>4684.80万</t>
  </si>
  <si>
    <t>2457676000亿</t>
  </si>
  <si>
    <t>93933476000亿</t>
  </si>
  <si>
    <t>165.99亿</t>
  </si>
  <si>
    <t>169.12亿</t>
  </si>
  <si>
    <t>164.89亿</t>
  </si>
  <si>
    <t>110.33亿</t>
  </si>
  <si>
    <t>-40.76亿</t>
  </si>
  <si>
    <t>-33.69亿</t>
  </si>
  <si>
    <t>762.41亿</t>
  </si>
  <si>
    <t>635.05亿</t>
  </si>
  <si>
    <t>679.57亿</t>
  </si>
  <si>
    <t>656.25亿</t>
  </si>
  <si>
    <t>604.26亿</t>
  </si>
  <si>
    <t>77.20亿</t>
  </si>
  <si>
    <t>60.78亿</t>
  </si>
  <si>
    <t>55.46亿</t>
  </si>
  <si>
    <t>31.10亿</t>
  </si>
  <si>
    <t>207.44亿</t>
  </si>
  <si>
    <t>海普瑞</t>
  </si>
  <si>
    <t>80.67亿</t>
  </si>
  <si>
    <t>8.20亿</t>
  </si>
  <si>
    <t>9.68亿</t>
  </si>
  <si>
    <t>77.88亿</t>
  </si>
  <si>
    <t>54.65亿</t>
  </si>
  <si>
    <t>33.91亿</t>
  </si>
  <si>
    <t>泡泡玛特</t>
  </si>
  <si>
    <t>52.09亿</t>
  </si>
  <si>
    <t>10.05亿</t>
  </si>
  <si>
    <t>18.81亿</t>
  </si>
  <si>
    <t>188.11万</t>
  </si>
  <si>
    <t>金辉控股</t>
  </si>
  <si>
    <t>398.42亿</t>
  </si>
  <si>
    <t>22.15亿</t>
  </si>
  <si>
    <t>490.12亿</t>
  </si>
  <si>
    <t>415.68亿</t>
  </si>
  <si>
    <t>141.19亿</t>
  </si>
  <si>
    <t>24.35亿</t>
  </si>
  <si>
    <t>-11.27亿</t>
  </si>
  <si>
    <t>10.07亿</t>
  </si>
  <si>
    <t>-14.26亿</t>
  </si>
  <si>
    <t>-6.68亿</t>
  </si>
  <si>
    <t>1289.01万</t>
  </si>
  <si>
    <t>-8.32亿</t>
  </si>
  <si>
    <t>-4.81亿</t>
  </si>
  <si>
    <t>-3.07亿</t>
  </si>
  <si>
    <t>-3.54亿</t>
  </si>
  <si>
    <t>沛嘉医疗-B</t>
  </si>
  <si>
    <t>-4.60亿</t>
  </si>
  <si>
    <t>4607.29万</t>
  </si>
  <si>
    <t>-7.03亿</t>
  </si>
  <si>
    <t>-24.66亿</t>
  </si>
  <si>
    <t>-5.94亿</t>
  </si>
  <si>
    <t>-9407.68万</t>
  </si>
  <si>
    <t>康基医疗</t>
  </si>
  <si>
    <t>-4.17亿</t>
  </si>
  <si>
    <t>6.10亿</t>
  </si>
  <si>
    <t>5.63亿</t>
  </si>
  <si>
    <t>港股</t>
  </si>
  <si>
    <t>账面净赚</t>
  </si>
  <si>
    <t>2.24亿</t>
  </si>
  <si>
    <t>4.96亿</t>
  </si>
  <si>
    <t>1.The industry-leading 0.11μm and independently-developed 90nm low power and ultra-low leakage embedded flash
memory technology platforms, remained highly recognized in the market and were widely used in general MCU,
Type-C interface control IC, touch control IC, smart meter control IC, and highly reliable Automotive Electronics,
etc. Meanwhile, shipments using the 55nm high-speed MCU embedded flash memory technology platform, with
independent intellectual property rights, increased rapidly.</t>
    <phoneticPr fontId="1" type="noConversion"/>
  </si>
  <si>
    <t>九龙仓集团</t>
  </si>
  <si>
    <t>180.64亿</t>
  </si>
  <si>
    <t>四海国际</t>
  </si>
  <si>
    <t>27.52亿</t>
  </si>
  <si>
    <t>12.31亿</t>
  </si>
  <si>
    <t>大家乐集团</t>
  </si>
  <si>
    <t>27.74亿</t>
  </si>
  <si>
    <t>3.33亿</t>
  </si>
  <si>
    <t>14.18亿</t>
  </si>
  <si>
    <t>非凡领越</t>
  </si>
  <si>
    <t>5.16亿</t>
  </si>
  <si>
    <t>中广核矿业</t>
  </si>
  <si>
    <t>达势股份</t>
  </si>
  <si>
    <t>9437078亿</t>
  </si>
  <si>
    <t>4209437300亿</t>
  </si>
  <si>
    <t>京基金融国际</t>
  </si>
  <si>
    <t>友联国际教育租赁</t>
  </si>
  <si>
    <t>165853610亿</t>
  </si>
  <si>
    <t>3843252600亿</t>
  </si>
  <si>
    <t>马可数字科技</t>
  </si>
  <si>
    <t>来凯医药-B</t>
  </si>
  <si>
    <t>百果园集团</t>
  </si>
  <si>
    <t>梅斯健康</t>
  </si>
  <si>
    <t>易点云</t>
  </si>
  <si>
    <t>科笛-B</t>
  </si>
  <si>
    <t>4.07亿</t>
  </si>
  <si>
    <t>珍酒李渡</t>
  </si>
  <si>
    <t>特海国际</t>
  </si>
  <si>
    <t>北森控股</t>
  </si>
  <si>
    <t>-2970517900亿</t>
  </si>
  <si>
    <t>2138205700亿</t>
  </si>
  <si>
    <t>艾迪康控股</t>
  </si>
  <si>
    <t>药师帮</t>
  </si>
  <si>
    <t>荣昌生物</t>
  </si>
  <si>
    <r>
      <t>1.京东物流主要聚焦于</t>
    </r>
    <r>
      <rPr>
        <sz val="9"/>
        <color rgb="FFFF0000"/>
        <rFont val="宋体"/>
        <family val="3"/>
        <charset val="134"/>
        <scheme val="minor"/>
      </rPr>
      <t>快消、服装、家电家具、3C、汽车、 生鲜</t>
    </r>
    <r>
      <rPr>
        <sz val="9"/>
        <color theme="1"/>
        <rFont val="宋体"/>
        <family val="2"/>
        <charset val="134"/>
        <scheme val="minor"/>
      </rPr>
      <t>等六大行业。</t>
    </r>
    <phoneticPr fontId="1" type="noConversion"/>
  </si>
  <si>
    <t>开始亏损</t>
  </si>
  <si>
    <t>00</t>
  </si>
  <si>
    <t>1501.20万</t>
  </si>
  <si>
    <t>5911.60万</t>
  </si>
  <si>
    <t>2.89亿</t>
  </si>
  <si>
    <t>267.92万</t>
  </si>
  <si>
    <t>386.34万</t>
  </si>
  <si>
    <t>1735.89万</t>
  </si>
  <si>
    <t>916.60万</t>
  </si>
  <si>
    <t>508.52万</t>
  </si>
  <si>
    <t>1622.55万</t>
  </si>
  <si>
    <t>6344.15万</t>
  </si>
  <si>
    <t>136.00万</t>
  </si>
  <si>
    <t>368.00万</t>
  </si>
  <si>
    <t>3429.80万</t>
  </si>
  <si>
    <t>01392000000</t>
  </si>
  <si>
    <t>035790000000</t>
  </si>
  <si>
    <t>02715000000</t>
  </si>
  <si>
    <t>613.60万</t>
  </si>
  <si>
    <t>1895.87万</t>
  </si>
  <si>
    <t>3536.45万</t>
  </si>
  <si>
    <t>21.98亿</t>
  </si>
  <si>
    <t>10.16亿</t>
  </si>
  <si>
    <t>79.03万</t>
  </si>
  <si>
    <t>274.36万</t>
  </si>
  <si>
    <t>1581.84万</t>
  </si>
  <si>
    <t>1.52亿</t>
  </si>
  <si>
    <t>5.85亿</t>
  </si>
  <si>
    <t>70.40万</t>
  </si>
  <si>
    <t>257.87万</t>
  </si>
  <si>
    <t>1522.03万</t>
  </si>
  <si>
    <t>5.06亿</t>
  </si>
  <si>
    <t>23.79亿</t>
  </si>
  <si>
    <t>5.29亿</t>
  </si>
  <si>
    <t>15.38亿</t>
  </si>
  <si>
    <t>3.27亿</t>
  </si>
  <si>
    <t>817.20亿</t>
  </si>
  <si>
    <t>638.60万</t>
  </si>
  <si>
    <t>4050.27万</t>
  </si>
  <si>
    <t>8.92亿</t>
  </si>
  <si>
    <t>2338.86万</t>
  </si>
  <si>
    <t>034303000000</t>
  </si>
  <si>
    <t>0102909000000</t>
  </si>
  <si>
    <t>0205818000000</t>
  </si>
  <si>
    <t>0343030000000</t>
  </si>
  <si>
    <t>0686060000000</t>
  </si>
  <si>
    <t>0690000000</t>
  </si>
  <si>
    <t>431.70万</t>
  </si>
  <si>
    <t>2164.66万</t>
  </si>
  <si>
    <t>华润建材科技</t>
  </si>
  <si>
    <t>13.61万</t>
  </si>
  <si>
    <t>71.80万</t>
  </si>
  <si>
    <t>430.70万</t>
  </si>
  <si>
    <t>548.50万</t>
  </si>
  <si>
    <t>2090.01万</t>
  </si>
  <si>
    <t>3.52亿</t>
  </si>
  <si>
    <t>161.60万</t>
  </si>
  <si>
    <t>希教国际控股</t>
  </si>
  <si>
    <t>4664.47万</t>
  </si>
  <si>
    <t>15.03亿</t>
  </si>
  <si>
    <t>39.35万</t>
  </si>
  <si>
    <t>177.37万</t>
  </si>
  <si>
    <t>1068.42万</t>
  </si>
  <si>
    <t>0347000000</t>
  </si>
  <si>
    <t>01041000000</t>
  </si>
  <si>
    <t>02082000000</t>
  </si>
  <si>
    <t>03470000000</t>
  </si>
  <si>
    <t>06940000000</t>
  </si>
  <si>
    <t>融创中国</t>
  </si>
  <si>
    <t>180.60万</t>
  </si>
  <si>
    <t>964.25万</t>
  </si>
  <si>
    <t>5935.68万</t>
  </si>
  <si>
    <t>1708.00万</t>
  </si>
  <si>
    <t>4086.20万</t>
  </si>
  <si>
    <t>7.53亿</t>
  </si>
  <si>
    <t>9.54亿</t>
  </si>
  <si>
    <t>02070000000</t>
  </si>
  <si>
    <t>04140000000</t>
  </si>
  <si>
    <t>454.12万</t>
  </si>
  <si>
    <t>2828.05万</t>
  </si>
  <si>
    <t>896.08万</t>
  </si>
  <si>
    <t>3546.59万</t>
  </si>
  <si>
    <t>777.40万</t>
  </si>
  <si>
    <t>99.73万</t>
  </si>
  <si>
    <t>235.79万</t>
  </si>
  <si>
    <t>1499.10万</t>
  </si>
  <si>
    <t>1039.96万</t>
  </si>
  <si>
    <t>2945.01万</t>
  </si>
  <si>
    <t>1780.40万</t>
  </si>
  <si>
    <t>-6457728800亿</t>
  </si>
  <si>
    <t>1008269750000亿</t>
  </si>
  <si>
    <t>320.00万</t>
  </si>
  <si>
    <t>3018.11万</t>
  </si>
  <si>
    <t>132.00万</t>
  </si>
  <si>
    <t>329.50万</t>
  </si>
  <si>
    <t>2589.59万</t>
  </si>
  <si>
    <t>902.80万</t>
  </si>
  <si>
    <t>3295.86万</t>
  </si>
  <si>
    <t>Keep</t>
  </si>
  <si>
    <t>647.34万</t>
  </si>
  <si>
    <t>2504.48万</t>
  </si>
  <si>
    <t>13.61亿</t>
  </si>
  <si>
    <t>7.55亿</t>
  </si>
  <si>
    <t>1.69亿</t>
  </si>
  <si>
    <t>116.70万</t>
  </si>
  <si>
    <t>600.18万</t>
  </si>
  <si>
    <t>4693.70万</t>
  </si>
  <si>
    <t>381.10万</t>
  </si>
  <si>
    <t>1337.30万</t>
  </si>
  <si>
    <t>7034.61万</t>
  </si>
  <si>
    <t>2796.57万</t>
  </si>
  <si>
    <t>20.20万</t>
  </si>
  <si>
    <t>103.22万</t>
  </si>
  <si>
    <t>324.55万</t>
  </si>
  <si>
    <t>农夫山泉</t>
  </si>
  <si>
    <t>374.97亿</t>
  </si>
  <si>
    <t>95.83亿</t>
  </si>
  <si>
    <t>363.63亿</t>
  </si>
  <si>
    <t>272.67亿</t>
  </si>
  <si>
    <t>233.13亿</t>
  </si>
  <si>
    <t>209.70亿</t>
  </si>
  <si>
    <t>87.70亿</t>
  </si>
  <si>
    <t>55.30亿</t>
  </si>
  <si>
    <t>41.06亿</t>
  </si>
  <si>
    <t>169.15亿</t>
  </si>
  <si>
    <t>九方财富</t>
  </si>
  <si>
    <t>160.76万</t>
  </si>
  <si>
    <t>926.30万</t>
  </si>
  <si>
    <t>-228740500亿</t>
  </si>
  <si>
    <t>2021072600亿</t>
  </si>
  <si>
    <t>5297.05万</t>
  </si>
  <si>
    <t>515.25万</t>
  </si>
  <si>
    <t>1324.31万</t>
  </si>
  <si>
    <t>7666.33万</t>
  </si>
  <si>
    <t>313.50万</t>
  </si>
  <si>
    <t>59.59万</t>
  </si>
  <si>
    <t>206.08万</t>
  </si>
  <si>
    <t>1798.48万</t>
  </si>
  <si>
    <r>
      <t>1.公司通过收购跨越速运与德邦完善运输环节，基础设施建设渐成， 待起量后规模优势显现，且针对不同企业的定制化物流系统，具有切换壁垒， 先发优势明显。2.2021 年京东物流在中国快递行业</t>
    </r>
    <r>
      <rPr>
        <b/>
        <sz val="9"/>
        <color rgb="FFFF0000"/>
        <rFont val="宋体"/>
        <family val="3"/>
        <charset val="134"/>
        <scheme val="minor"/>
      </rPr>
      <t>市占率约为 5.2%</t>
    </r>
    <r>
      <rPr>
        <sz val="9"/>
        <color theme="1"/>
        <rFont val="宋体"/>
        <family val="2"/>
        <charset val="134"/>
        <scheme val="minor"/>
      </rPr>
      <t>，亚马 逊物流在美国快递行业市占率为 22.0%。京东物流仍有进一步提升空间，且京东物流相比于亚马逊物流，已经开始</t>
    </r>
    <r>
      <rPr>
        <sz val="9"/>
        <color rgb="FFFF0000"/>
        <rFont val="宋体"/>
        <family val="3"/>
        <charset val="134"/>
        <scheme val="minor"/>
      </rPr>
      <t>向外部非平台客户提供服务</t>
    </r>
    <r>
      <rPr>
        <sz val="9"/>
        <color theme="1"/>
        <rFont val="宋体"/>
        <family val="2"/>
        <charset val="134"/>
        <scheme val="minor"/>
      </rPr>
      <t>。</t>
    </r>
    <phoneticPr fontId="1" type="noConversion"/>
  </si>
  <si>
    <t>471.55万</t>
  </si>
  <si>
    <t>2755.75亿</t>
  </si>
  <si>
    <t>235.00亿</t>
  </si>
  <si>
    <t>30209000000亿</t>
  </si>
  <si>
    <t>1158903000000亿</t>
  </si>
  <si>
    <t>230.17亿</t>
  </si>
  <si>
    <t>1625.25亿</t>
  </si>
  <si>
    <t>514.37亿</t>
  </si>
  <si>
    <t>-154.15亿</t>
  </si>
  <si>
    <t>1895.69亿</t>
  </si>
  <si>
    <t>3507.55万</t>
  </si>
  <si>
    <t>321.24万</t>
  </si>
  <si>
    <t>871.69亿</t>
  </si>
  <si>
    <t>66.55亿</t>
  </si>
  <si>
    <t>7670000000亿</t>
  </si>
  <si>
    <t>229051000000亿</t>
  </si>
  <si>
    <t>65.26亿</t>
  </si>
  <si>
    <t>424.79亿</t>
  </si>
  <si>
    <t>235.67亿</t>
  </si>
  <si>
    <t>-94.72亿</t>
  </si>
  <si>
    <t>1530.84亿</t>
  </si>
  <si>
    <t>2670.54万</t>
  </si>
  <si>
    <t>1402.60万</t>
  </si>
  <si>
    <t>569.71亿</t>
  </si>
  <si>
    <t>60.70亿</t>
  </si>
  <si>
    <t>7171300000亿</t>
  </si>
  <si>
    <t>161977600000亿</t>
  </si>
  <si>
    <t>48.06亿</t>
  </si>
  <si>
    <t>401.42亿</t>
  </si>
  <si>
    <t>109.32亿</t>
  </si>
  <si>
    <t>-24.95亿</t>
  </si>
  <si>
    <t>888.93亿</t>
  </si>
  <si>
    <t>80.14万</t>
  </si>
  <si>
    <t>189.50亿</t>
  </si>
  <si>
    <t>1105000000亿</t>
  </si>
  <si>
    <t>204877000000亿</t>
  </si>
  <si>
    <t>8.83亿</t>
  </si>
  <si>
    <t>267.63亿</t>
  </si>
  <si>
    <t>-35.49亿</t>
  </si>
  <si>
    <t>223.78亿</t>
  </si>
  <si>
    <t>209.97亿</t>
  </si>
  <si>
    <t>210.55亿</t>
  </si>
  <si>
    <t>432.73亿</t>
  </si>
  <si>
    <t>60.19亿</t>
  </si>
  <si>
    <t>38.64亿</t>
  </si>
  <si>
    <t>218.76亿</t>
  </si>
  <si>
    <t>-17.05亿</t>
  </si>
  <si>
    <t>667.89亿</t>
  </si>
  <si>
    <t>665.02万</t>
  </si>
  <si>
    <t>4532.01万</t>
  </si>
  <si>
    <t>1537.28万</t>
  </si>
  <si>
    <t>219267.45亿</t>
  </si>
  <si>
    <t>15523.00亿</t>
  </si>
  <si>
    <t>1356.46亿</t>
  </si>
  <si>
    <t>5159.79亿</t>
  </si>
  <si>
    <t>1752.16亿</t>
  </si>
  <si>
    <t>-11.03亿</t>
  </si>
  <si>
    <t>84799525000亿</t>
  </si>
  <si>
    <t>23479046000000亿</t>
  </si>
  <si>
    <t>3054.96亿</t>
  </si>
  <si>
    <t>-4914.06亿</t>
  </si>
  <si>
    <t>3952.41亿</t>
  </si>
  <si>
    <t>4986.04亿</t>
  </si>
  <si>
    <t>215.74亿</t>
  </si>
  <si>
    <t>14228.15亿</t>
  </si>
  <si>
    <t>8374.81万</t>
  </si>
  <si>
    <t>300.79万</t>
  </si>
  <si>
    <t>12.92亿</t>
  </si>
  <si>
    <t>60.03亿</t>
  </si>
  <si>
    <t>6003000000亿</t>
  </si>
  <si>
    <t>95702000000亿</t>
  </si>
  <si>
    <t>32.49亿</t>
  </si>
  <si>
    <t>46.12亿</t>
  </si>
  <si>
    <t>1564.55亿</t>
  </si>
  <si>
    <t>1500.37万</t>
  </si>
  <si>
    <t>7914.41万</t>
  </si>
  <si>
    <t>628.26万</t>
  </si>
  <si>
    <t>363.47亿</t>
  </si>
  <si>
    <t>-4.71亿</t>
  </si>
  <si>
    <t>2090000000亿</t>
  </si>
  <si>
    <t>94563000000亿</t>
  </si>
  <si>
    <t>62.97亿</t>
  </si>
  <si>
    <t>207.68亿</t>
  </si>
  <si>
    <t>133.46亿</t>
  </si>
  <si>
    <t>-74.62亿</t>
  </si>
  <si>
    <t>415.03亿</t>
  </si>
  <si>
    <t>3029.33万</t>
  </si>
  <si>
    <t>371.54万</t>
  </si>
  <si>
    <t>408.25亿</t>
  </si>
  <si>
    <t>171.40亿</t>
  </si>
  <si>
    <t>17838000000亿</t>
  </si>
  <si>
    <t>1692094000000亿</t>
  </si>
  <si>
    <t>-844.64亿</t>
  </si>
  <si>
    <t>405.56亿</t>
  </si>
  <si>
    <t>343.14亿</t>
  </si>
  <si>
    <t>2659.37亿</t>
  </si>
  <si>
    <t>1796.44万</t>
  </si>
  <si>
    <t>7418.67万</t>
  </si>
  <si>
    <t>295.98万</t>
  </si>
  <si>
    <t>275.70亿</t>
  </si>
  <si>
    <t>92.61亿</t>
  </si>
  <si>
    <t>9778000000亿</t>
  </si>
  <si>
    <t>542550000000亿</t>
  </si>
  <si>
    <t>102.83亿</t>
  </si>
  <si>
    <t>601.34亿</t>
  </si>
  <si>
    <t>144.60亿</t>
  </si>
  <si>
    <t>1600.00万</t>
  </si>
  <si>
    <t>965.34亿</t>
  </si>
  <si>
    <t>1684.94万</t>
  </si>
  <si>
    <t>09261000000</t>
  </si>
  <si>
    <t>027783000000</t>
  </si>
  <si>
    <t>055566000000</t>
  </si>
  <si>
    <t>092610000000</t>
  </si>
  <si>
    <t>0185220000000</t>
  </si>
  <si>
    <t>165.70万</t>
  </si>
  <si>
    <t>65.46亿</t>
  </si>
  <si>
    <t>7.87亿</t>
  </si>
  <si>
    <t>23.59亿</t>
  </si>
  <si>
    <t>789645230亿</t>
  </si>
  <si>
    <t>9996306900亿</t>
  </si>
  <si>
    <t>31.48亿</t>
  </si>
  <si>
    <t>-22.74亿</t>
  </si>
  <si>
    <t>1085.11万</t>
  </si>
  <si>
    <t>7359.88万</t>
  </si>
  <si>
    <t>66.26万</t>
  </si>
  <si>
    <t>-8.72亿</t>
  </si>
  <si>
    <t>-1026000000亿</t>
  </si>
  <si>
    <t>114526000000亿</t>
  </si>
  <si>
    <t>21.38亿</t>
  </si>
  <si>
    <t>528.27万</t>
  </si>
  <si>
    <t>3226.62万</t>
  </si>
  <si>
    <t>820.42万</t>
  </si>
  <si>
    <t>711.95亿</t>
  </si>
  <si>
    <t>239.07亿</t>
  </si>
  <si>
    <t>9473000000亿</t>
  </si>
  <si>
    <t>816135000000亿</t>
  </si>
  <si>
    <t>32.59亿</t>
  </si>
  <si>
    <t>534.14亿</t>
  </si>
  <si>
    <t>261.77亿</t>
  </si>
  <si>
    <t>-160.57亿</t>
  </si>
  <si>
    <t>2119.67亿</t>
  </si>
  <si>
    <t>2474.58万</t>
  </si>
  <si>
    <t>023907000000</t>
  </si>
  <si>
    <t>071721000000</t>
  </si>
  <si>
    <t>0143442000000</t>
  </si>
  <si>
    <t>0239070000000</t>
  </si>
  <si>
    <t>0478140000000</t>
  </si>
  <si>
    <t>699.15万</t>
  </si>
  <si>
    <t>952.14亿</t>
  </si>
  <si>
    <t>-5772000000亿</t>
  </si>
  <si>
    <t>470168600000亿</t>
  </si>
  <si>
    <t>103.92亿</t>
  </si>
  <si>
    <t>1769.84亿</t>
  </si>
  <si>
    <t>109.91亿</t>
  </si>
  <si>
    <t>11.52亿</t>
  </si>
  <si>
    <t>639.11亿</t>
  </si>
  <si>
    <t>4222.29万</t>
  </si>
  <si>
    <t>201.24万</t>
  </si>
  <si>
    <t>948.23亿</t>
  </si>
  <si>
    <t>288.53亿</t>
  </si>
  <si>
    <t>29838000000亿</t>
  </si>
  <si>
    <t>447752000000亿</t>
  </si>
  <si>
    <t>59.88亿</t>
  </si>
  <si>
    <t>418.14亿</t>
  </si>
  <si>
    <t>99.17亿</t>
  </si>
  <si>
    <t>130.30亿</t>
  </si>
  <si>
    <t>33.57亿</t>
  </si>
  <si>
    <t>2852.95亿</t>
  </si>
  <si>
    <t>912.74万</t>
  </si>
  <si>
    <t>4464.90万</t>
  </si>
  <si>
    <t>028853000000</t>
  </si>
  <si>
    <t>086559000000</t>
  </si>
  <si>
    <t>0173118000000</t>
  </si>
  <si>
    <t>0288530000000</t>
  </si>
  <si>
    <t>0577060000000</t>
  </si>
  <si>
    <t>37.33亿</t>
  </si>
  <si>
    <t>-70.60亿</t>
  </si>
  <si>
    <t>37.99亿</t>
  </si>
  <si>
    <t>-7119457300亿</t>
  </si>
  <si>
    <t>36051852000亿</t>
  </si>
  <si>
    <t>-35.45亿</t>
  </si>
  <si>
    <t>37.91亿</t>
  </si>
  <si>
    <t>189.09亿</t>
  </si>
  <si>
    <t>917.25万</t>
  </si>
  <si>
    <t>230.02亿</t>
  </si>
  <si>
    <t>68.28亿</t>
  </si>
  <si>
    <t>6873976000亿</t>
  </si>
  <si>
    <t>87215455000亿</t>
  </si>
  <si>
    <t>27.69亿</t>
  </si>
  <si>
    <t>125.33亿</t>
  </si>
  <si>
    <t>115.94亿</t>
  </si>
  <si>
    <t>-106.75亿</t>
  </si>
  <si>
    <t>242.30亿</t>
  </si>
  <si>
    <t>3992.69万</t>
  </si>
  <si>
    <t>06828000000</t>
  </si>
  <si>
    <t>020484000000</t>
  </si>
  <si>
    <t>040968000000</t>
  </si>
  <si>
    <t>068280000000</t>
  </si>
  <si>
    <t>0136560000000</t>
  </si>
  <si>
    <t>491.40万</t>
  </si>
  <si>
    <t>81.21亿</t>
  </si>
  <si>
    <t>50.08亿</t>
  </si>
  <si>
    <t>125.90亿</t>
  </si>
  <si>
    <t>41.52亿</t>
  </si>
  <si>
    <t>4755.93万</t>
  </si>
  <si>
    <t>-1387.26万</t>
  </si>
  <si>
    <t>8656.61万</t>
  </si>
  <si>
    <t>654605780亿</t>
  </si>
  <si>
    <t>16564606000亿</t>
  </si>
  <si>
    <t>58.37亿</t>
  </si>
  <si>
    <t>66.26亿</t>
  </si>
  <si>
    <t>75.24亿</t>
  </si>
  <si>
    <t>-22.03亿</t>
  </si>
  <si>
    <t>-5.59亿</t>
  </si>
  <si>
    <t>1709.00万</t>
  </si>
  <si>
    <t>8542.85万</t>
  </si>
  <si>
    <t>01093000000</t>
  </si>
  <si>
    <t>03279000000</t>
  </si>
  <si>
    <t>06558000000</t>
  </si>
  <si>
    <t>010930000000</t>
  </si>
  <si>
    <t>021860000000</t>
  </si>
  <si>
    <t>367.45万</t>
  </si>
  <si>
    <t>569.82亿</t>
  </si>
  <si>
    <t>8088000000亿</t>
  </si>
  <si>
    <t>346426000000亿</t>
  </si>
  <si>
    <t>167.90亿</t>
  </si>
  <si>
    <t>1524.19亿</t>
  </si>
  <si>
    <t>111.97亿</t>
  </si>
  <si>
    <t>-77.24亿</t>
  </si>
  <si>
    <t>1322.78亿</t>
  </si>
  <si>
    <t>2302.35万</t>
  </si>
  <si>
    <t>1.82亿</t>
  </si>
  <si>
    <t>696.50万</t>
  </si>
  <si>
    <t>118.81亿</t>
  </si>
  <si>
    <t>2628542500亿</t>
  </si>
  <si>
    <t>179086640000亿</t>
  </si>
  <si>
    <t>109.02亿</t>
  </si>
  <si>
    <t>627.02亿</t>
  </si>
  <si>
    <t>2956.89万</t>
  </si>
  <si>
    <t>33.85万</t>
  </si>
  <si>
    <t>579.55亿</t>
  </si>
  <si>
    <t>620.75万</t>
  </si>
  <si>
    <t>3338.07万</t>
  </si>
  <si>
    <t>412.00万</t>
  </si>
  <si>
    <t>-23.31亿</t>
  </si>
  <si>
    <t>-2337522600亿</t>
  </si>
  <si>
    <t>115662866000亿</t>
  </si>
  <si>
    <t>431.68亿</t>
  </si>
  <si>
    <t>-39.77亿</t>
  </si>
  <si>
    <t>-25.85亿</t>
  </si>
  <si>
    <t>5341.26万</t>
  </si>
  <si>
    <t>1394.18万</t>
  </si>
  <si>
    <t>103.16亿</t>
  </si>
  <si>
    <t>4596000000亿</t>
  </si>
  <si>
    <t>217302000000亿</t>
  </si>
  <si>
    <t>151.37亿</t>
  </si>
  <si>
    <t>-29.40亿</t>
  </si>
  <si>
    <t>631.38亿</t>
  </si>
  <si>
    <t>8476.43万</t>
  </si>
  <si>
    <t>196.40万</t>
  </si>
  <si>
    <t>451.63亿</t>
  </si>
  <si>
    <t>184.28亿</t>
  </si>
  <si>
    <t>126.95亿</t>
  </si>
  <si>
    <t>1955.07万</t>
  </si>
  <si>
    <t>778.48万</t>
  </si>
  <si>
    <t>438535060亿</t>
  </si>
  <si>
    <t>28.76亿</t>
  </si>
  <si>
    <t>63590649000亿</t>
  </si>
  <si>
    <t>8.74亿</t>
  </si>
  <si>
    <t>14.58亿</t>
  </si>
  <si>
    <t>63.73亿</t>
  </si>
  <si>
    <t>382.39亿</t>
  </si>
  <si>
    <t>27.19亿</t>
  </si>
  <si>
    <t>-10.82亿</t>
  </si>
  <si>
    <t>117.54亿</t>
  </si>
  <si>
    <t>933.56万</t>
  </si>
  <si>
    <t>8324.23万</t>
  </si>
  <si>
    <t>486.10万</t>
  </si>
  <si>
    <t>448.70亿</t>
  </si>
  <si>
    <t>1788897500亿</t>
  </si>
  <si>
    <t>225609970000亿</t>
  </si>
  <si>
    <t>214.44亿</t>
  </si>
  <si>
    <t>-14.14亿</t>
  </si>
  <si>
    <t>25.21亿</t>
  </si>
  <si>
    <t>3352.02万</t>
  </si>
  <si>
    <t>794.80万</t>
  </si>
  <si>
    <t>7730.00万</t>
  </si>
  <si>
    <t>-372300000亿</t>
  </si>
  <si>
    <t>3987600000亿</t>
  </si>
  <si>
    <t>-4.50亿</t>
  </si>
  <si>
    <t>1210.00万</t>
  </si>
  <si>
    <t>6960.00万</t>
  </si>
  <si>
    <t>21.47亿</t>
  </si>
  <si>
    <t>3360.00万</t>
  </si>
  <si>
    <t>1370.00万</t>
  </si>
  <si>
    <t>400.00万</t>
  </si>
  <si>
    <t>3264.49万</t>
  </si>
  <si>
    <t>9244.09万</t>
  </si>
  <si>
    <t>1967.98万</t>
  </si>
  <si>
    <t>879.39亿</t>
  </si>
  <si>
    <t>34.91亿</t>
  </si>
  <si>
    <t>5015168700亿</t>
  </si>
  <si>
    <t>439772120000亿</t>
  </si>
  <si>
    <t>2302.97亿</t>
  </si>
  <si>
    <t>93.86亿</t>
  </si>
  <si>
    <t>174.78亿</t>
  </si>
  <si>
    <t>6586.45万</t>
  </si>
  <si>
    <t>1998.04万</t>
  </si>
  <si>
    <t>1944.15亿</t>
  </si>
  <si>
    <t>62.29亿</t>
  </si>
  <si>
    <t>10145331000亿</t>
  </si>
  <si>
    <t>157325530000亿</t>
  </si>
  <si>
    <t>379.10亿</t>
  </si>
  <si>
    <t>157.94亿</t>
  </si>
  <si>
    <t>-11.63亿</t>
  </si>
  <si>
    <t>9811.00万</t>
  </si>
  <si>
    <t>06229000000</t>
  </si>
  <si>
    <t>018687000000</t>
  </si>
  <si>
    <t>037374000000</t>
  </si>
  <si>
    <t>062290000000</t>
  </si>
  <si>
    <t>0124580000000</t>
  </si>
  <si>
    <t>1591.18万</t>
  </si>
  <si>
    <t>39.76亿</t>
  </si>
  <si>
    <t>3645.63万</t>
  </si>
  <si>
    <t>748200350亿</t>
  </si>
  <si>
    <t>18285885000亿</t>
  </si>
  <si>
    <t>-36.58亿</t>
  </si>
  <si>
    <t>0756000000</t>
  </si>
  <si>
    <t>02268000000</t>
  </si>
  <si>
    <t>04536000000</t>
  </si>
  <si>
    <t>07560000000</t>
  </si>
  <si>
    <t>015120000000</t>
  </si>
  <si>
    <t>278.94万</t>
  </si>
  <si>
    <t>820.99亿</t>
  </si>
  <si>
    <t>10477675400亿</t>
  </si>
  <si>
    <t>213689430000亿</t>
  </si>
  <si>
    <t>45.18亿</t>
  </si>
  <si>
    <t>358.73亿</t>
  </si>
  <si>
    <t>135.14亿</t>
  </si>
  <si>
    <t>-115.92亿</t>
  </si>
  <si>
    <t>112.31亿</t>
  </si>
  <si>
    <t>2038.72万</t>
  </si>
  <si>
    <t>397.47万</t>
  </si>
  <si>
    <t>7385000000亿</t>
  </si>
  <si>
    <t>172314000000亿</t>
  </si>
  <si>
    <t>203.69亿</t>
  </si>
  <si>
    <t>72.38亿</t>
  </si>
  <si>
    <t>25.69亿</t>
  </si>
  <si>
    <t>481.13亿</t>
  </si>
  <si>
    <t>1874.32万</t>
  </si>
  <si>
    <t>06233000000</t>
  </si>
  <si>
    <t>018699000000</t>
  </si>
  <si>
    <t>037398000000</t>
  </si>
  <si>
    <t>062330000000</t>
  </si>
  <si>
    <t>0124660000000</t>
  </si>
  <si>
    <t>316.25万</t>
  </si>
  <si>
    <t>397.12亿</t>
  </si>
  <si>
    <t>2344102000亿</t>
  </si>
  <si>
    <t>98968526000亿</t>
  </si>
  <si>
    <t>34.52亿</t>
  </si>
  <si>
    <t>189.23亿</t>
  </si>
  <si>
    <t>53.11亿</t>
  </si>
  <si>
    <t>-82.41亿</t>
  </si>
  <si>
    <t>216.88亿</t>
  </si>
  <si>
    <t>1922.06万</t>
  </si>
  <si>
    <t>826.90万</t>
  </si>
  <si>
    <t>262.06亿</t>
  </si>
  <si>
    <t>38.54亿</t>
  </si>
  <si>
    <t>1854825000亿</t>
  </si>
  <si>
    <t>29380100000亿</t>
  </si>
  <si>
    <t>100.29亿</t>
  </si>
  <si>
    <t>-36.04亿</t>
  </si>
  <si>
    <t>428.36亿</t>
  </si>
  <si>
    <t>6240.99万</t>
  </si>
  <si>
    <t>633.79万</t>
  </si>
  <si>
    <t>205.24亿</t>
  </si>
  <si>
    <t>2904908000亿</t>
  </si>
  <si>
    <t>130494541000亿</t>
  </si>
  <si>
    <t>43.38亿</t>
  </si>
  <si>
    <t>420.09亿</t>
  </si>
  <si>
    <t>-64.73亿</t>
  </si>
  <si>
    <t>2372.00万</t>
  </si>
  <si>
    <t>125.00万</t>
  </si>
  <si>
    <t>-19.23亿</t>
  </si>
  <si>
    <t>-1762269000亿</t>
  </si>
  <si>
    <t>79587922000亿</t>
  </si>
  <si>
    <t>213.33亿</t>
  </si>
  <si>
    <t>131.19亿</t>
  </si>
  <si>
    <t>606.51万</t>
  </si>
  <si>
    <t>3927.83万</t>
  </si>
  <si>
    <t>189.55万</t>
  </si>
  <si>
    <t>109.48亿</t>
  </si>
  <si>
    <t>345.85亿</t>
  </si>
  <si>
    <t>46.70亿</t>
  </si>
  <si>
    <t>54425546000亿</t>
  </si>
  <si>
    <t>-37.96亿</t>
  </si>
  <si>
    <t>142.71亿</t>
  </si>
  <si>
    <t>1607.69万</t>
  </si>
  <si>
    <t>3787.64万</t>
  </si>
  <si>
    <t>1964.43亿</t>
  </si>
  <si>
    <t>56.63亿</t>
  </si>
  <si>
    <t>36.84亿</t>
  </si>
  <si>
    <t>5409766700亿</t>
  </si>
  <si>
    <t>211125580000亿</t>
  </si>
  <si>
    <t>647.53亿</t>
  </si>
  <si>
    <t>1061.38亿</t>
  </si>
  <si>
    <t>244.92亿</t>
  </si>
  <si>
    <t>-176.98亿</t>
  </si>
  <si>
    <t>154.81万</t>
  </si>
  <si>
    <t>415.91亿</t>
  </si>
  <si>
    <t>462.47亿</t>
  </si>
  <si>
    <t>48.38亿</t>
  </si>
  <si>
    <t>17.45亿</t>
  </si>
  <si>
    <t>19.76亿</t>
  </si>
  <si>
    <t>102.81万</t>
  </si>
  <si>
    <t>5450.45万</t>
  </si>
  <si>
    <t>350.82万</t>
  </si>
  <si>
    <t>1418114000亿</t>
  </si>
  <si>
    <t>19.73亿</t>
  </si>
  <si>
    <t>87837802000亿</t>
  </si>
  <si>
    <t>32.31亿</t>
  </si>
  <si>
    <t>104.68亿</t>
  </si>
  <si>
    <t>297.86亿</t>
  </si>
  <si>
    <t>81.04亿</t>
  </si>
  <si>
    <t>-31.55亿</t>
  </si>
  <si>
    <t>-24.14亿</t>
  </si>
  <si>
    <t>52.41亿</t>
  </si>
  <si>
    <t>420.83亿</t>
  </si>
  <si>
    <t>1570.85万</t>
  </si>
  <si>
    <t>9846.48万</t>
  </si>
  <si>
    <t>40.65万</t>
  </si>
  <si>
    <t>286.29亿</t>
  </si>
  <si>
    <t>12.39亿</t>
  </si>
  <si>
    <t>953897580亿</t>
  </si>
  <si>
    <t>31284045000亿</t>
  </si>
  <si>
    <t>77.06亿</t>
  </si>
  <si>
    <t>33.96亿</t>
  </si>
  <si>
    <t>-18.91亿</t>
  </si>
  <si>
    <t>91.38亿</t>
  </si>
  <si>
    <t>409.08万</t>
  </si>
  <si>
    <t>3221.59万</t>
  </si>
  <si>
    <t>29.60万</t>
  </si>
  <si>
    <t>14.86亿</t>
  </si>
  <si>
    <t>-5664.63万</t>
  </si>
  <si>
    <t>4775.09万</t>
  </si>
  <si>
    <t>1131.76万</t>
  </si>
  <si>
    <t>4320.48万</t>
  </si>
  <si>
    <t>7284.03万</t>
  </si>
  <si>
    <t>308.77万</t>
  </si>
  <si>
    <t>354.64万</t>
  </si>
  <si>
    <t>-3600289亿</t>
  </si>
  <si>
    <t>3132237600亿</t>
  </si>
  <si>
    <t>4.79亿</t>
  </si>
  <si>
    <t>9707.40万</t>
  </si>
  <si>
    <t>7274.37万</t>
  </si>
  <si>
    <t>-1.72亿</t>
  </si>
  <si>
    <t>-1339.05万</t>
  </si>
  <si>
    <t>162.20万</t>
  </si>
  <si>
    <t>3187.00万</t>
  </si>
  <si>
    <t>642.48万</t>
  </si>
  <si>
    <t>158.88亿</t>
  </si>
  <si>
    <t>669871380亿</t>
  </si>
  <si>
    <t>24060214000亿</t>
  </si>
  <si>
    <t>49.98亿</t>
  </si>
  <si>
    <t>15.08亿</t>
  </si>
  <si>
    <t>-28.87亿</t>
  </si>
  <si>
    <t>65.76亿</t>
  </si>
  <si>
    <t>9756.06万</t>
  </si>
  <si>
    <t>295.20万</t>
  </si>
  <si>
    <t>178.69亿</t>
  </si>
  <si>
    <t>939.30万</t>
  </si>
  <si>
    <t>-3494121000亿</t>
  </si>
  <si>
    <t>89411449000亿</t>
  </si>
  <si>
    <t>9180.70万</t>
  </si>
  <si>
    <t>87.26亿</t>
  </si>
  <si>
    <t>85.08亿</t>
  </si>
  <si>
    <t>-15.21亿</t>
  </si>
  <si>
    <t>1020.27万</t>
  </si>
  <si>
    <t>4882.43万</t>
  </si>
  <si>
    <t>305.89亿</t>
  </si>
  <si>
    <t>7.75亿</t>
  </si>
  <si>
    <t>478039070亿</t>
  </si>
  <si>
    <t>23024083000亿</t>
  </si>
  <si>
    <t>42.45亿</t>
  </si>
  <si>
    <t>-6.09亿</t>
  </si>
  <si>
    <t>49.40万</t>
  </si>
  <si>
    <t>17.06亿</t>
  </si>
  <si>
    <t>4510.00万</t>
  </si>
  <si>
    <t>1543.40万</t>
  </si>
  <si>
    <t>63259000亿</t>
  </si>
  <si>
    <t>16531006000亿</t>
  </si>
  <si>
    <t>-1.98亿</t>
  </si>
  <si>
    <t>612.60万</t>
  </si>
  <si>
    <t>6056.04万</t>
  </si>
  <si>
    <t>2347.60万</t>
  </si>
  <si>
    <t>320.90亿</t>
  </si>
  <si>
    <t>44.29亿</t>
  </si>
  <si>
    <t>7938.70万</t>
  </si>
  <si>
    <t>5297151000亿</t>
  </si>
  <si>
    <t>189182820000亿</t>
  </si>
  <si>
    <t>122.62亿</t>
  </si>
  <si>
    <t>411.85亿</t>
  </si>
  <si>
    <t>24.95亿</t>
  </si>
  <si>
    <t>-38.39亿</t>
  </si>
  <si>
    <t>137.97亿</t>
  </si>
  <si>
    <t>2792.16万</t>
  </si>
  <si>
    <t>7463.28亿</t>
  </si>
  <si>
    <t>630.30亿</t>
  </si>
  <si>
    <t>115401359000亿</t>
  </si>
  <si>
    <t>12420954500000亿</t>
  </si>
  <si>
    <t>-249.91亿</t>
  </si>
  <si>
    <t>-419.63亿</t>
  </si>
  <si>
    <t>7484.24亿</t>
  </si>
  <si>
    <t>850.68亿</t>
  </si>
  <si>
    <t>1473.94亿</t>
  </si>
  <si>
    <t>1228.16万</t>
  </si>
  <si>
    <t>-2.30亿</t>
  </si>
  <si>
    <t>15.78亿</t>
  </si>
  <si>
    <t>-295761340亿</t>
  </si>
  <si>
    <t>15499388000亿</t>
  </si>
  <si>
    <t>7707.49万</t>
  </si>
  <si>
    <t>49.65亿</t>
  </si>
  <si>
    <t>-14.30亿</t>
  </si>
  <si>
    <t>6473.98万</t>
  </si>
  <si>
    <t>2462.71万</t>
  </si>
  <si>
    <t>242.00亿</t>
  </si>
  <si>
    <t>31.22亿</t>
  </si>
  <si>
    <t>138490890000亿</t>
  </si>
  <si>
    <t>107.11亿</t>
  </si>
  <si>
    <t>-25.03亿</t>
  </si>
  <si>
    <t>382.67亿</t>
  </si>
  <si>
    <t>8854.47万</t>
  </si>
  <si>
    <t>03122000000</t>
  </si>
  <si>
    <t>09366000000</t>
  </si>
  <si>
    <t>018732000000</t>
  </si>
  <si>
    <t>031220000000</t>
  </si>
  <si>
    <t>062440000000</t>
  </si>
  <si>
    <t>159.20万</t>
  </si>
  <si>
    <t>106.90亿</t>
  </si>
  <si>
    <t>1531391400亿</t>
  </si>
  <si>
    <t>110714008000亿</t>
  </si>
  <si>
    <t>19.92亿</t>
  </si>
  <si>
    <t>281.08亿</t>
  </si>
  <si>
    <t>101.67亿</t>
  </si>
  <si>
    <t>2510.81万</t>
  </si>
  <si>
    <t>0888000000</t>
  </si>
  <si>
    <t>02664000000</t>
  </si>
  <si>
    <t>05328000000</t>
  </si>
  <si>
    <t>08880000000</t>
  </si>
  <si>
    <t>017760000000</t>
  </si>
  <si>
    <t>1164.10万</t>
  </si>
  <si>
    <t>512.38亿</t>
  </si>
  <si>
    <t>322.95亿</t>
  </si>
  <si>
    <t>393.48亿</t>
  </si>
  <si>
    <t>1424.59亿</t>
  </si>
  <si>
    <t>44.30亿</t>
  </si>
  <si>
    <t>27.06亿</t>
  </si>
  <si>
    <t>51.76亿</t>
  </si>
  <si>
    <t>83533477000亿</t>
  </si>
  <si>
    <t>112.28亿</t>
  </si>
  <si>
    <t>-194.42亿</t>
  </si>
  <si>
    <t>4666.00万</t>
  </si>
  <si>
    <t>1875.24万</t>
  </si>
  <si>
    <t>483.66亿</t>
  </si>
  <si>
    <t>2049.29亿</t>
  </si>
  <si>
    <t>155490580000亿</t>
  </si>
  <si>
    <t>363.84亿</t>
  </si>
  <si>
    <t>126.30亿</t>
  </si>
  <si>
    <t>917.10万</t>
  </si>
  <si>
    <t>426.77亿</t>
  </si>
  <si>
    <t>5715586800亿</t>
  </si>
  <si>
    <t>78404609000亿</t>
  </si>
  <si>
    <t>32.44亿</t>
  </si>
  <si>
    <t>267.08亿</t>
  </si>
  <si>
    <t>-106.19亿</t>
  </si>
  <si>
    <t>543.14亿</t>
  </si>
  <si>
    <t>6529.47万</t>
  </si>
  <si>
    <t>1758.61万</t>
  </si>
  <si>
    <t>944.85亿</t>
  </si>
  <si>
    <t>9790000000亿</t>
  </si>
  <si>
    <t>174115000000亿</t>
  </si>
  <si>
    <t>73.97亿</t>
  </si>
  <si>
    <t>454.93亿</t>
  </si>
  <si>
    <t>264.08亿</t>
  </si>
  <si>
    <t>-26.68亿</t>
  </si>
  <si>
    <t>319.58亿</t>
  </si>
  <si>
    <t>5449.05万</t>
  </si>
  <si>
    <t>1450.60万</t>
  </si>
  <si>
    <t>238.18亿</t>
  </si>
  <si>
    <t>749927960亿</t>
  </si>
  <si>
    <t>24097656000亿</t>
  </si>
  <si>
    <t>41.35亿</t>
  </si>
  <si>
    <t>116.55亿</t>
  </si>
  <si>
    <t>-15.99亿</t>
  </si>
  <si>
    <t>3907.35万</t>
  </si>
  <si>
    <t>3634.80万</t>
  </si>
  <si>
    <t>-2201.06万</t>
  </si>
  <si>
    <t>4.06亿</t>
  </si>
  <si>
    <t>-41700544亿</t>
  </si>
  <si>
    <t>7771147100亿</t>
  </si>
  <si>
    <t>5103.58万</t>
  </si>
  <si>
    <t>-9455.49万</t>
  </si>
  <si>
    <t>25.01万</t>
  </si>
  <si>
    <t>176.02亿</t>
  </si>
  <si>
    <t>6.54亿</t>
  </si>
  <si>
    <t>732888000亿</t>
  </si>
  <si>
    <t>10611216000亿</t>
  </si>
  <si>
    <t>19.81亿</t>
  </si>
  <si>
    <t>18.75亿</t>
  </si>
  <si>
    <t>-2.16亿</t>
  </si>
  <si>
    <t>248.30亿</t>
  </si>
  <si>
    <t>195.03万</t>
  </si>
  <si>
    <t>1261.67万</t>
  </si>
  <si>
    <t>105.13万</t>
  </si>
  <si>
    <t>651.74亿</t>
  </si>
  <si>
    <t>106.84亿</t>
  </si>
  <si>
    <t>10694110400亿</t>
  </si>
  <si>
    <t>121923344000亿</t>
  </si>
  <si>
    <t>20.31亿</t>
  </si>
  <si>
    <t>185.28亿</t>
  </si>
  <si>
    <t>48.21亿</t>
  </si>
  <si>
    <t>-362.49亿</t>
  </si>
  <si>
    <t>1447.80亿</t>
  </si>
  <si>
    <t>629.08万</t>
  </si>
  <si>
    <t>4113.14万</t>
  </si>
  <si>
    <t>213.52万</t>
  </si>
  <si>
    <t>322.62亿</t>
  </si>
  <si>
    <t>30.23亿</t>
  </si>
  <si>
    <t>176.70亿</t>
  </si>
  <si>
    <t>5269.17万</t>
  </si>
  <si>
    <t>2858.65万</t>
  </si>
  <si>
    <t>-9080.64万</t>
  </si>
  <si>
    <t>2345.32万</t>
  </si>
  <si>
    <t>26619271亿</t>
  </si>
  <si>
    <t>138.30亿</t>
  </si>
  <si>
    <t>54835806000亿</t>
  </si>
  <si>
    <t>55.01亿</t>
  </si>
  <si>
    <t>95.95亿</t>
  </si>
  <si>
    <t>78.19亿</t>
  </si>
  <si>
    <t>290.34亿</t>
  </si>
  <si>
    <t>266.12亿</t>
  </si>
  <si>
    <t>35.75亿</t>
  </si>
  <si>
    <t>36.31亿</t>
  </si>
  <si>
    <t>-33.99亿</t>
  </si>
  <si>
    <t>1733.74万</t>
  </si>
  <si>
    <t>1732.99万</t>
  </si>
  <si>
    <t>8329.71万</t>
  </si>
  <si>
    <t>1473.47万</t>
  </si>
  <si>
    <t>881.54亿</t>
  </si>
  <si>
    <t>3854970400亿</t>
  </si>
  <si>
    <t>58262651000亿</t>
  </si>
  <si>
    <t>93.97亿</t>
  </si>
  <si>
    <t>320.01亿</t>
  </si>
  <si>
    <t>60.23亿</t>
  </si>
  <si>
    <t>-40.82亿</t>
  </si>
  <si>
    <t>5615.01万</t>
  </si>
  <si>
    <t>1030.40万</t>
  </si>
  <si>
    <t>575.64亿</t>
  </si>
  <si>
    <t>344.47亿</t>
  </si>
  <si>
    <t>218.49亿</t>
  </si>
  <si>
    <t>1080.41亿</t>
  </si>
  <si>
    <t>-14.55亿</t>
  </si>
  <si>
    <t>216.45亿</t>
  </si>
  <si>
    <t>8172.52万</t>
  </si>
  <si>
    <t>43.17亿</t>
  </si>
  <si>
    <t>9673.37万</t>
  </si>
  <si>
    <t>-372804000亿</t>
  </si>
  <si>
    <t>55.42亿</t>
  </si>
  <si>
    <t>50.87亿</t>
  </si>
  <si>
    <t>92011603000亿</t>
  </si>
  <si>
    <t>515.85亿</t>
  </si>
  <si>
    <t>123.27亿</t>
  </si>
  <si>
    <t>242.76亿</t>
  </si>
  <si>
    <t>245.69亿</t>
  </si>
  <si>
    <t>482.93亿</t>
  </si>
  <si>
    <t>476.29亿</t>
  </si>
  <si>
    <t>84.02亿</t>
  </si>
  <si>
    <t>-5.60亿</t>
  </si>
  <si>
    <t>166.11亿</t>
  </si>
  <si>
    <t>2544.40万</t>
  </si>
  <si>
    <t>33.90万</t>
  </si>
  <si>
    <t>67.09亿</t>
  </si>
  <si>
    <t>6.44亿</t>
  </si>
  <si>
    <t>1165103000亿</t>
  </si>
  <si>
    <t>9075329000亿</t>
  </si>
  <si>
    <t>293.80万</t>
  </si>
  <si>
    <t>1692.15万</t>
  </si>
  <si>
    <t>55.00万</t>
  </si>
  <si>
    <t>36.26亿</t>
  </si>
  <si>
    <t>318427460亿</t>
  </si>
  <si>
    <t>17541514000亿</t>
  </si>
  <si>
    <t>15.16亿</t>
  </si>
  <si>
    <t>10.58亿</t>
  </si>
  <si>
    <t>97.80亿</t>
  </si>
  <si>
    <t>631.61万</t>
  </si>
  <si>
    <t>3589.17万</t>
  </si>
  <si>
    <t>552.30万</t>
  </si>
  <si>
    <t>157.05亿</t>
  </si>
  <si>
    <t>269.48亿</t>
  </si>
  <si>
    <t>198.51亿</t>
  </si>
  <si>
    <t>877.81亿</t>
  </si>
  <si>
    <t>191.34亿</t>
  </si>
  <si>
    <t>6466.21万</t>
  </si>
  <si>
    <t>-4659.34万</t>
  </si>
  <si>
    <t>972.03万</t>
  </si>
  <si>
    <t>91891327亿</t>
  </si>
  <si>
    <t>93.31亿</t>
  </si>
  <si>
    <t>42653231000亿</t>
  </si>
  <si>
    <t>149.67亿</t>
  </si>
  <si>
    <t>71.68亿</t>
  </si>
  <si>
    <t>159.74亿</t>
  </si>
  <si>
    <t>155.53亿</t>
  </si>
  <si>
    <t>21.62亿</t>
  </si>
  <si>
    <t>-2.80亿</t>
  </si>
  <si>
    <t>2697.68万</t>
  </si>
  <si>
    <t>226.00万</t>
  </si>
  <si>
    <t>80.24亿</t>
  </si>
  <si>
    <t>201221000亿</t>
  </si>
  <si>
    <t>6498281000亿</t>
  </si>
  <si>
    <t>2.26亿</t>
  </si>
  <si>
    <t>27.80亿</t>
  </si>
  <si>
    <t>16.99亿</t>
  </si>
  <si>
    <t>-4.07亿</t>
  </si>
  <si>
    <t>75.09亿</t>
  </si>
  <si>
    <t>67.14亿</t>
  </si>
  <si>
    <t>79.63亿</t>
  </si>
  <si>
    <t>7363.40万</t>
  </si>
  <si>
    <t>2121.40万</t>
  </si>
  <si>
    <t>75.46亿</t>
  </si>
  <si>
    <t>1266.51万</t>
  </si>
  <si>
    <t>3703.95万</t>
  </si>
  <si>
    <t>189.33万</t>
  </si>
  <si>
    <t>4572.10万</t>
  </si>
  <si>
    <t>166348000亿</t>
  </si>
  <si>
    <t>5734337000亿</t>
  </si>
  <si>
    <t>-1.89亿</t>
  </si>
  <si>
    <t>50.23亿</t>
  </si>
  <si>
    <t>1034.98万</t>
  </si>
  <si>
    <t>8684.90万</t>
  </si>
  <si>
    <t>664.11万</t>
  </si>
  <si>
    <t>479.94亿</t>
  </si>
  <si>
    <t>579.68亿</t>
  </si>
  <si>
    <t>292.60亿</t>
  </si>
  <si>
    <t>1234.94亿</t>
  </si>
  <si>
    <t>-35.70亿</t>
  </si>
  <si>
    <t>-12.50亿</t>
  </si>
  <si>
    <t>305.10亿</t>
  </si>
  <si>
    <t>31.26亿</t>
  </si>
  <si>
    <t>6040.16万</t>
  </si>
  <si>
    <t>1402.18万</t>
  </si>
  <si>
    <t>-1779690000亿</t>
  </si>
  <si>
    <t>45.72亿</t>
  </si>
  <si>
    <t>105962743000亿</t>
  </si>
  <si>
    <t>527.19亿</t>
  </si>
  <si>
    <t>268.39亿</t>
  </si>
  <si>
    <t>290.46亿</t>
  </si>
  <si>
    <t>385.73亿</t>
  </si>
  <si>
    <t>408.11亿</t>
  </si>
  <si>
    <t>59.31亿</t>
  </si>
  <si>
    <t>-32.34亿</t>
  </si>
  <si>
    <t>-8.37亿</t>
  </si>
  <si>
    <t>85.27亿</t>
  </si>
  <si>
    <t>3711.66万</t>
  </si>
  <si>
    <t>1439.27万</t>
  </si>
  <si>
    <t>187.64亿</t>
  </si>
  <si>
    <t>781225570亿</t>
  </si>
  <si>
    <t>18709580000亿</t>
  </si>
  <si>
    <t>-15.84亿</t>
  </si>
  <si>
    <t>8998.67万</t>
  </si>
  <si>
    <t>0782000000</t>
  </si>
  <si>
    <t>02346000000</t>
  </si>
  <si>
    <t>04692000000</t>
  </si>
  <si>
    <t>07820000000</t>
  </si>
  <si>
    <t>015640000000</t>
  </si>
  <si>
    <t>613.68万</t>
  </si>
  <si>
    <t>1223.47亿</t>
  </si>
  <si>
    <t>878.02亿</t>
  </si>
  <si>
    <t>1317.48亿</t>
  </si>
  <si>
    <t>5703.95亿</t>
  </si>
  <si>
    <t>73.95亿</t>
  </si>
  <si>
    <t>39.39亿</t>
  </si>
  <si>
    <t>1278.09亿</t>
  </si>
  <si>
    <t>59.66亿</t>
  </si>
  <si>
    <t>9986.15万</t>
  </si>
  <si>
    <t>1941977300亿</t>
  </si>
  <si>
    <t>484.32亿</t>
  </si>
  <si>
    <t>75.76亿</t>
  </si>
  <si>
    <t>210149460000亿</t>
  </si>
  <si>
    <t>274.60亿</t>
  </si>
  <si>
    <t>622.17亿</t>
  </si>
  <si>
    <t>164.14亿</t>
  </si>
  <si>
    <t>172.21亿</t>
  </si>
  <si>
    <t>770.59亿</t>
  </si>
  <si>
    <t>986.75亿</t>
  </si>
  <si>
    <t>210.94亿</t>
  </si>
  <si>
    <t>119.83亿</t>
  </si>
  <si>
    <t>-90.20亿</t>
  </si>
  <si>
    <t>-29.80亿</t>
  </si>
  <si>
    <t>205.54亿</t>
  </si>
  <si>
    <t>3637.05万</t>
  </si>
  <si>
    <t>07395000000</t>
  </si>
  <si>
    <t>022185000000</t>
  </si>
  <si>
    <t>044370000000</t>
  </si>
  <si>
    <t>073950000000</t>
  </si>
  <si>
    <t>0147900000000</t>
  </si>
  <si>
    <t>78.50万</t>
  </si>
  <si>
    <t>326.98亿</t>
  </si>
  <si>
    <t>34.24亿</t>
  </si>
  <si>
    <t>4525667000亿</t>
  </si>
  <si>
    <t>179311610000亿</t>
  </si>
  <si>
    <t>60.04亿</t>
  </si>
  <si>
    <t>474.25亿</t>
  </si>
  <si>
    <t>43.55亿</t>
  </si>
  <si>
    <t>-40.37亿</t>
  </si>
  <si>
    <t>192.19亿</t>
  </si>
  <si>
    <t>363.97万</t>
  </si>
  <si>
    <t>3509.14万</t>
  </si>
  <si>
    <t>2203.40万</t>
  </si>
  <si>
    <t>268.78亿</t>
  </si>
  <si>
    <t>3359115300亿</t>
  </si>
  <si>
    <t>181413640000亿</t>
  </si>
  <si>
    <t>227.10亿</t>
  </si>
  <si>
    <t>465.87亿</t>
  </si>
  <si>
    <t>-16.69亿</t>
  </si>
  <si>
    <t>242.37亿</t>
  </si>
  <si>
    <t>41.54亿</t>
  </si>
  <si>
    <t>139.53亿</t>
  </si>
  <si>
    <t>921.95万</t>
  </si>
  <si>
    <t>919.88亿</t>
  </si>
  <si>
    <t>42.93亿</t>
  </si>
  <si>
    <t>2107203000亿</t>
  </si>
  <si>
    <t>149355480000亿</t>
  </si>
  <si>
    <t>517.80亿</t>
  </si>
  <si>
    <t>-75.07亿</t>
  </si>
  <si>
    <t>207.19亿</t>
  </si>
  <si>
    <t>5988.27万</t>
  </si>
  <si>
    <t>9148.86万</t>
  </si>
  <si>
    <t>11900.46亿</t>
  </si>
  <si>
    <t>10663.15亿</t>
  </si>
  <si>
    <t>7634.19亿</t>
  </si>
  <si>
    <t>34496.02亿</t>
  </si>
  <si>
    <t>639.19亿</t>
  </si>
  <si>
    <t>883.05亿</t>
  </si>
  <si>
    <t>6751.14亿</t>
  </si>
  <si>
    <t>612.38亿</t>
  </si>
  <si>
    <t>153.13亿</t>
  </si>
  <si>
    <t>29.17亿</t>
  </si>
  <si>
    <t>167.56亿</t>
  </si>
  <si>
    <t>23552310000亿</t>
  </si>
  <si>
    <t>1196.86亿</t>
  </si>
  <si>
    <t>912.73亿</t>
  </si>
  <si>
    <t>2256361100000亿</t>
  </si>
  <si>
    <t>7414.63亿</t>
  </si>
  <si>
    <t>1365.91亿</t>
  </si>
  <si>
    <t>2839.16亿</t>
  </si>
  <si>
    <t>2805.69亿</t>
  </si>
  <si>
    <t>7093.25亿</t>
  </si>
  <si>
    <t>7517.62亿</t>
  </si>
  <si>
    <t>1846.93亿</t>
  </si>
  <si>
    <t>1770.09亿</t>
  </si>
  <si>
    <t>-1708.59亿</t>
  </si>
  <si>
    <t>-464.68亿</t>
  </si>
  <si>
    <t>290.22亿</t>
  </si>
  <si>
    <t>6518.55亿</t>
  </si>
  <si>
    <t>30.78亿</t>
  </si>
  <si>
    <t>498.28万</t>
  </si>
  <si>
    <t>2899.75亿</t>
  </si>
  <si>
    <t>499.57亿</t>
  </si>
  <si>
    <t>38.47亿</t>
  </si>
  <si>
    <t>155.57亿</t>
  </si>
  <si>
    <t>118.62亿</t>
  </si>
  <si>
    <t>2700.00万</t>
  </si>
  <si>
    <t>3000.00万</t>
  </si>
  <si>
    <t>13.42亿</t>
  </si>
  <si>
    <t>3001000000亿</t>
  </si>
  <si>
    <t>1358.99亿</t>
  </si>
  <si>
    <t>339932000000亿</t>
  </si>
  <si>
    <t>15.02亿</t>
  </si>
  <si>
    <t>2865.11亿</t>
  </si>
  <si>
    <t>2871.62亿</t>
  </si>
  <si>
    <t>6600.00万</t>
  </si>
  <si>
    <t>115.00亿</t>
  </si>
  <si>
    <t>-62.90亿</t>
  </si>
  <si>
    <t>1193.83亿</t>
  </si>
  <si>
    <t>1871.24万</t>
  </si>
  <si>
    <t>1338.30万</t>
  </si>
  <si>
    <t>14954.20亿</t>
  </si>
  <si>
    <t>5079.61亿</t>
  </si>
  <si>
    <t>2853.49亿</t>
  </si>
  <si>
    <t>13849.52亿</t>
  </si>
  <si>
    <t>348.44亿</t>
  </si>
  <si>
    <t>240.47亿</t>
  </si>
  <si>
    <t>2613.02亿</t>
  </si>
  <si>
    <t>14.53亿</t>
  </si>
  <si>
    <t>109.79亿</t>
  </si>
  <si>
    <t>329.35亿</t>
  </si>
  <si>
    <t>12.97亿</t>
  </si>
  <si>
    <t>8657988000亿</t>
  </si>
  <si>
    <t>1860.26亿</t>
  </si>
  <si>
    <t>2024.76亿</t>
  </si>
  <si>
    <t>2003381000000亿</t>
  </si>
  <si>
    <t>756.68亿</t>
  </si>
  <si>
    <t>1060.00亿</t>
  </si>
  <si>
    <t>6453.73亿</t>
  </si>
  <si>
    <t>6210.76亿</t>
  </si>
  <si>
    <t>11078.65亿</t>
  </si>
  <si>
    <t>11032.75亿</t>
  </si>
  <si>
    <t>3438.82亿</t>
  </si>
  <si>
    <t>420.55亿</t>
  </si>
  <si>
    <t>-818.20亿</t>
  </si>
  <si>
    <t>-136.01亿</t>
  </si>
  <si>
    <t>414.61亿</t>
  </si>
  <si>
    <t>9377.36万</t>
  </si>
  <si>
    <t>6.63亿</t>
  </si>
  <si>
    <t>034844000000</t>
  </si>
  <si>
    <t>0104532000000</t>
  </si>
  <si>
    <t>0209064000000</t>
  </si>
  <si>
    <t>0348440000000</t>
  </si>
  <si>
    <t>0696880000000</t>
  </si>
  <si>
    <t>206.00万</t>
  </si>
  <si>
    <t>902.32亿</t>
  </si>
  <si>
    <t>7017095200亿</t>
  </si>
  <si>
    <t>224123250000亿</t>
  </si>
  <si>
    <t>52.34亿</t>
  </si>
  <si>
    <t>682.10亿</t>
  </si>
  <si>
    <t>63.00亿</t>
  </si>
  <si>
    <t>-55.48亿</t>
  </si>
  <si>
    <t>895.43亿</t>
  </si>
  <si>
    <t>207.55亿</t>
  </si>
  <si>
    <t>1286.97万</t>
  </si>
  <si>
    <t>9431.85万</t>
  </si>
  <si>
    <t>292.50万</t>
  </si>
  <si>
    <t>18.40亿</t>
  </si>
  <si>
    <t>-197394930亿</t>
  </si>
  <si>
    <t>75218565000亿</t>
  </si>
  <si>
    <t>114.57亿</t>
  </si>
  <si>
    <t>1128.80万</t>
  </si>
  <si>
    <t>7966.30万</t>
  </si>
  <si>
    <t>山高控股</t>
  </si>
  <si>
    <t>459.40万</t>
  </si>
  <si>
    <t>1509.20万</t>
  </si>
  <si>
    <t>547697000亿</t>
  </si>
  <si>
    <t>72737804000亿</t>
  </si>
  <si>
    <t>210.98亿</t>
  </si>
  <si>
    <t>33.27亿</t>
  </si>
  <si>
    <t>-44.92亿</t>
  </si>
  <si>
    <t>41.93亿</t>
  </si>
  <si>
    <t>-3.15亿</t>
  </si>
  <si>
    <t>-2.85亿</t>
  </si>
  <si>
    <t>-20.96亿</t>
  </si>
  <si>
    <t>6.71亿</t>
  </si>
  <si>
    <t>2044.04万</t>
  </si>
  <si>
    <t>015092000</t>
  </si>
  <si>
    <t>045276000</t>
  </si>
  <si>
    <t>090552000</t>
  </si>
  <si>
    <t>0150920000</t>
  </si>
  <si>
    <t>0301840000</t>
  </si>
  <si>
    <t>272.80万</t>
  </si>
  <si>
    <t>224.98亿</t>
  </si>
  <si>
    <t>15.31亿</t>
  </si>
  <si>
    <t>2152929100亿</t>
  </si>
  <si>
    <t>41159357000亿</t>
  </si>
  <si>
    <t>47.66亿</t>
  </si>
  <si>
    <t>154.75亿</t>
  </si>
  <si>
    <t>36.90亿</t>
  </si>
  <si>
    <t>-38.37亿</t>
  </si>
  <si>
    <t>2211.76万</t>
  </si>
  <si>
    <t>02086000000</t>
  </si>
  <si>
    <t>06258000000</t>
  </si>
  <si>
    <t>012516000000</t>
  </si>
  <si>
    <t>020860000000</t>
  </si>
  <si>
    <t>041720000000</t>
  </si>
  <si>
    <t>21.40万</t>
  </si>
  <si>
    <t>2068886000亿</t>
  </si>
  <si>
    <t>269788560000亿</t>
  </si>
  <si>
    <t>-20.99亿</t>
  </si>
  <si>
    <t>-4488.10万</t>
  </si>
  <si>
    <t>69.61亿</t>
  </si>
  <si>
    <t>110.57亿</t>
  </si>
  <si>
    <t>171.13万</t>
  </si>
  <si>
    <t>959.52万</t>
  </si>
  <si>
    <t>01592000000</t>
  </si>
  <si>
    <t>04776000000</t>
  </si>
  <si>
    <t>09552000000</t>
  </si>
  <si>
    <t>015920000000</t>
  </si>
  <si>
    <t>031840000000</t>
  </si>
  <si>
    <t>1681.80万</t>
  </si>
  <si>
    <t>-5921.34万</t>
  </si>
  <si>
    <t>-282476490亿</t>
  </si>
  <si>
    <t>12645138400亿</t>
  </si>
  <si>
    <t>45.02亿</t>
  </si>
  <si>
    <t>8324.10万</t>
  </si>
  <si>
    <t>135.91亿</t>
  </si>
  <si>
    <t>-17.07亿</t>
  </si>
  <si>
    <t>-1707401000亿</t>
  </si>
  <si>
    <t>25829150000亿</t>
  </si>
  <si>
    <t>89.87亿</t>
  </si>
  <si>
    <t>73.27亿</t>
  </si>
  <si>
    <t>-65.43亿</t>
  </si>
  <si>
    <t>58.76亿</t>
  </si>
  <si>
    <t>35.96亿</t>
  </si>
  <si>
    <t>4158.04万</t>
  </si>
  <si>
    <t>1088.69亿</t>
  </si>
  <si>
    <t>-43.80亿</t>
  </si>
  <si>
    <t>50.11亿</t>
  </si>
  <si>
    <t>-7468410600亿</t>
  </si>
  <si>
    <t>362489220000亿</t>
  </si>
  <si>
    <t>618.87亿</t>
  </si>
  <si>
    <t>1457.53亿</t>
  </si>
  <si>
    <t>93.76亿</t>
  </si>
  <si>
    <t>139.51亿</t>
  </si>
  <si>
    <t>371.56亿</t>
  </si>
  <si>
    <t>14.96亿</t>
  </si>
  <si>
    <t>469.10万</t>
  </si>
  <si>
    <t>-213150610亿</t>
  </si>
  <si>
    <t>4512256300亿</t>
  </si>
  <si>
    <t>20.66亿</t>
  </si>
  <si>
    <t>-8.71亿</t>
  </si>
  <si>
    <t>1956.59万</t>
  </si>
  <si>
    <t>505.60万</t>
  </si>
  <si>
    <t>31.39亿</t>
  </si>
  <si>
    <t>146.97亿</t>
  </si>
  <si>
    <t>18.24亿</t>
  </si>
  <si>
    <t>4218.60万</t>
  </si>
  <si>
    <t>6734.80万</t>
  </si>
  <si>
    <t>177455000亿</t>
  </si>
  <si>
    <t>23962844000亿</t>
  </si>
  <si>
    <t>60.13亿</t>
  </si>
  <si>
    <t>23.48亿</t>
  </si>
  <si>
    <t>-6.07亿</t>
  </si>
  <si>
    <t>200.30亿</t>
  </si>
  <si>
    <t>1077.75万</t>
  </si>
  <si>
    <t>4502.32万</t>
  </si>
  <si>
    <t>562.80万</t>
  </si>
  <si>
    <t>114.12亿</t>
  </si>
  <si>
    <t>290.81亿</t>
  </si>
  <si>
    <t>70.96亿</t>
  </si>
  <si>
    <t>286.62亿</t>
  </si>
  <si>
    <t>11.60亿</t>
  </si>
  <si>
    <t>62.51亿</t>
  </si>
  <si>
    <t>4098.22万</t>
  </si>
  <si>
    <t>575.73万</t>
  </si>
  <si>
    <t>2044.22万</t>
  </si>
  <si>
    <t>590528850亿</t>
  </si>
  <si>
    <t>27.59亿</t>
  </si>
  <si>
    <t>67.65亿</t>
  </si>
  <si>
    <t>40492274000亿</t>
  </si>
  <si>
    <t>241.70亿</t>
  </si>
  <si>
    <t>87.94亿</t>
  </si>
  <si>
    <t>82.70亿</t>
  </si>
  <si>
    <t>-9.02亿</t>
  </si>
  <si>
    <t>-2.42亿</t>
  </si>
  <si>
    <t>3667.20万</t>
  </si>
  <si>
    <t>2471.20万</t>
  </si>
  <si>
    <t>191.31亿</t>
  </si>
  <si>
    <t>912862740亿</t>
  </si>
  <si>
    <t>99862074000亿</t>
  </si>
  <si>
    <t>63.91亿</t>
  </si>
  <si>
    <t>436.79亿</t>
  </si>
  <si>
    <t>12.64亿</t>
  </si>
  <si>
    <t>60.12亿</t>
  </si>
  <si>
    <t>9336.20万</t>
  </si>
  <si>
    <t>356.90万</t>
  </si>
  <si>
    <t>307.01亿</t>
  </si>
  <si>
    <t>3446588700亿</t>
  </si>
  <si>
    <t>35693244000亿</t>
  </si>
  <si>
    <t>153.96亿</t>
  </si>
  <si>
    <t>77.25亿</t>
  </si>
  <si>
    <t>1675.72万</t>
  </si>
  <si>
    <t>227.65万</t>
  </si>
  <si>
    <t>420.72亿</t>
  </si>
  <si>
    <t>306.45亿</t>
  </si>
  <si>
    <t>101.44亿</t>
  </si>
  <si>
    <t>14.17亿</t>
  </si>
  <si>
    <t>420.59万</t>
  </si>
  <si>
    <t>3680.49万</t>
  </si>
  <si>
    <t>584.19万</t>
  </si>
  <si>
    <t>552965450亿</t>
  </si>
  <si>
    <t>36.25亿</t>
  </si>
  <si>
    <t>72717158000亿</t>
  </si>
  <si>
    <t>78.74亿</t>
  </si>
  <si>
    <t>29.36亿</t>
  </si>
  <si>
    <t>217.34亿</t>
  </si>
  <si>
    <t>212.15亿</t>
  </si>
  <si>
    <t>180.78亿</t>
  </si>
  <si>
    <t>44.89亿</t>
  </si>
  <si>
    <t>-10.12亿</t>
  </si>
  <si>
    <t>7.25亿</t>
  </si>
  <si>
    <t>703.80万</t>
  </si>
  <si>
    <t>4936.17万</t>
  </si>
  <si>
    <t>02551000000</t>
  </si>
  <si>
    <t>07653000000</t>
  </si>
  <si>
    <t>015306000000</t>
  </si>
  <si>
    <t>025510000000</t>
  </si>
  <si>
    <t>051020000000</t>
  </si>
  <si>
    <t>390.84万</t>
  </si>
  <si>
    <t>616.30亿</t>
  </si>
  <si>
    <t>2415208100亿</t>
  </si>
  <si>
    <t>57475150000亿</t>
  </si>
  <si>
    <t>37.14亿</t>
  </si>
  <si>
    <t>155.02亿</t>
  </si>
  <si>
    <t>73.79亿</t>
  </si>
  <si>
    <t>-11.85亿</t>
  </si>
  <si>
    <t>401.22亿</t>
  </si>
  <si>
    <t>2319.52万</t>
  </si>
  <si>
    <t>1387.01万</t>
  </si>
  <si>
    <t>1629.11亿</t>
  </si>
  <si>
    <t>4090664300亿</t>
  </si>
  <si>
    <t>133505924000亿</t>
  </si>
  <si>
    <t>585.66亿</t>
  </si>
  <si>
    <t>835.80亿</t>
  </si>
  <si>
    <t>58.72亿</t>
  </si>
  <si>
    <t>1587.77亿</t>
  </si>
  <si>
    <t>165.15亿</t>
  </si>
  <si>
    <t>6274.31万</t>
  </si>
  <si>
    <t>03929000000</t>
  </si>
  <si>
    <t>011787000000</t>
  </si>
  <si>
    <t>023574000000</t>
  </si>
  <si>
    <t>039290000000</t>
  </si>
  <si>
    <t>078580000000</t>
  </si>
  <si>
    <t>72.20万</t>
  </si>
  <si>
    <t>19.19亿</t>
  </si>
  <si>
    <t>38.14亿</t>
  </si>
  <si>
    <t>-2.61亿</t>
  </si>
  <si>
    <t>5429.48万</t>
  </si>
  <si>
    <t>1158.91万</t>
  </si>
  <si>
    <t>-370.50万</t>
  </si>
  <si>
    <t>589.61万</t>
  </si>
  <si>
    <t>-37729936亿</t>
  </si>
  <si>
    <t>5733011100亿</t>
  </si>
  <si>
    <t>2842.77万</t>
  </si>
  <si>
    <t>-7218.59万</t>
  </si>
  <si>
    <t>-1.31亿</t>
  </si>
  <si>
    <t>469.60万</t>
  </si>
  <si>
    <t>8900.24万</t>
  </si>
  <si>
    <t>241.75万</t>
  </si>
  <si>
    <t>58.96亿</t>
  </si>
  <si>
    <t>2795.80万</t>
  </si>
  <si>
    <t>205202000亿</t>
  </si>
  <si>
    <t>8662312000亿</t>
  </si>
  <si>
    <t>18.11亿</t>
  </si>
  <si>
    <t>42.69亿</t>
  </si>
  <si>
    <t>9937.50万</t>
  </si>
  <si>
    <t>1267.25万</t>
  </si>
  <si>
    <t>100.84万</t>
  </si>
  <si>
    <t>283.88亿</t>
  </si>
  <si>
    <t>248.42亿</t>
  </si>
  <si>
    <t>103.95亿</t>
  </si>
  <si>
    <t>399.27亿</t>
  </si>
  <si>
    <t>6029.45万</t>
  </si>
  <si>
    <t>1265258190亿</t>
  </si>
  <si>
    <t>61.23亿</t>
  </si>
  <si>
    <t>135.90亿</t>
  </si>
  <si>
    <t>53229960000亿</t>
  </si>
  <si>
    <t>52.22亿</t>
  </si>
  <si>
    <t>8.25亿</t>
  </si>
  <si>
    <t>115.86亿</t>
  </si>
  <si>
    <t>109.36亿</t>
  </si>
  <si>
    <t>212.45亿</t>
  </si>
  <si>
    <t>194.98亿</t>
  </si>
  <si>
    <t>-21.57亿</t>
  </si>
  <si>
    <t>-9388.33万</t>
  </si>
  <si>
    <t>618.56万</t>
  </si>
  <si>
    <t>5765.57万</t>
  </si>
  <si>
    <t>536.20万</t>
  </si>
  <si>
    <t>1537.71亿</t>
  </si>
  <si>
    <t>671.55亿</t>
  </si>
  <si>
    <t>185.97亿</t>
  </si>
  <si>
    <t>57.26亿</t>
  </si>
  <si>
    <t>18.59亿</t>
  </si>
  <si>
    <t>24.58亿</t>
  </si>
  <si>
    <t>2516.59万</t>
  </si>
  <si>
    <t>1887884400亿</t>
  </si>
  <si>
    <t>220926320000亿</t>
  </si>
  <si>
    <t>1132.44亿</t>
  </si>
  <si>
    <t>1066.36亿</t>
  </si>
  <si>
    <t>107.58亿</t>
  </si>
  <si>
    <t>-182.15亿</t>
  </si>
  <si>
    <t>172.96亿</t>
  </si>
  <si>
    <t>2616.72万</t>
  </si>
  <si>
    <t>232.60万</t>
  </si>
  <si>
    <t>507.10亿</t>
  </si>
  <si>
    <t>-215087590亿</t>
  </si>
  <si>
    <t>54843075000亿</t>
  </si>
  <si>
    <t>48.08亿</t>
  </si>
  <si>
    <t>247.16亿</t>
  </si>
  <si>
    <t>-7.39亿</t>
  </si>
  <si>
    <t>81.03亿</t>
  </si>
  <si>
    <t>1180.40万</t>
  </si>
  <si>
    <t>8334.36万</t>
  </si>
  <si>
    <t>2513.19万</t>
  </si>
  <si>
    <t>87.86亿</t>
  </si>
  <si>
    <t>6342.50万</t>
  </si>
  <si>
    <t>2940794400亿</t>
  </si>
  <si>
    <t>88200667000亿</t>
  </si>
  <si>
    <t>37.70亿</t>
  </si>
  <si>
    <t>21.77亿</t>
  </si>
  <si>
    <t>-50.14亿</t>
  </si>
  <si>
    <t>85.97亿</t>
  </si>
  <si>
    <t>83.00万</t>
  </si>
  <si>
    <t>119.78亿</t>
  </si>
  <si>
    <t>942631000亿</t>
  </si>
  <si>
    <t>15979373000亿</t>
  </si>
  <si>
    <t>24.66亿</t>
  </si>
  <si>
    <t>-6443.10万</t>
  </si>
  <si>
    <t>93.56亿</t>
  </si>
  <si>
    <t>582.38万</t>
  </si>
  <si>
    <t>2502.54万</t>
  </si>
  <si>
    <t>769.40万</t>
  </si>
  <si>
    <t>415.54亿</t>
  </si>
  <si>
    <t>442.51亿</t>
  </si>
  <si>
    <t>261.21亿</t>
  </si>
  <si>
    <t>1111.88亿</t>
  </si>
  <si>
    <t>46.28亿</t>
  </si>
  <si>
    <t>12.75亿</t>
  </si>
  <si>
    <t>248.46亿</t>
  </si>
  <si>
    <t>4.25亿</t>
  </si>
  <si>
    <t>9123.54万</t>
  </si>
  <si>
    <t>908500730亿</t>
  </si>
  <si>
    <t>117.03亿</t>
  </si>
  <si>
    <t>186.67亿</t>
  </si>
  <si>
    <t>85804932000亿</t>
  </si>
  <si>
    <t>158.47亿</t>
  </si>
  <si>
    <t>6.64亿</t>
  </si>
  <si>
    <t>307.35亿</t>
  </si>
  <si>
    <t>330.38亿</t>
  </si>
  <si>
    <t>42.06亿</t>
  </si>
  <si>
    <t>1230.03亿</t>
  </si>
  <si>
    <t>124.36亿</t>
  </si>
  <si>
    <t>4013.67万</t>
  </si>
  <si>
    <t>129.40万</t>
  </si>
  <si>
    <t>158.32亿</t>
  </si>
  <si>
    <t>193396000亿</t>
  </si>
  <si>
    <t>174413360000亿</t>
  </si>
  <si>
    <t>937.26亿</t>
  </si>
  <si>
    <t>189.68亿</t>
  </si>
  <si>
    <t>1278.10万</t>
  </si>
  <si>
    <t>459.52万</t>
  </si>
  <si>
    <t>222.29亿</t>
  </si>
  <si>
    <t>21.15亿</t>
  </si>
  <si>
    <t>2015642100亿</t>
  </si>
  <si>
    <t>38326453000亿</t>
  </si>
  <si>
    <t>-54.43亿</t>
  </si>
  <si>
    <t>2909.11万</t>
  </si>
  <si>
    <t>02115000000</t>
  </si>
  <si>
    <t>06345000000</t>
  </si>
  <si>
    <t>012690000000</t>
  </si>
  <si>
    <t>021150000000</t>
  </si>
  <si>
    <t>042300000000</t>
  </si>
  <si>
    <t>78.78万</t>
  </si>
  <si>
    <t>507.06亿</t>
  </si>
  <si>
    <t>7.91亿</t>
  </si>
  <si>
    <t>605885000亿</t>
  </si>
  <si>
    <t>42120915000亿</t>
  </si>
  <si>
    <t>43.11亿</t>
  </si>
  <si>
    <t>146.55亿</t>
  </si>
  <si>
    <t>-17.49亿</t>
  </si>
  <si>
    <t>358.07万</t>
  </si>
  <si>
    <t>2071.14万</t>
  </si>
  <si>
    <t>942.95万</t>
  </si>
  <si>
    <t>2300938000亿</t>
  </si>
  <si>
    <t>22491544000亿</t>
  </si>
  <si>
    <t>45.43亿</t>
  </si>
  <si>
    <t>147.23亿</t>
  </si>
  <si>
    <t>4045.98万</t>
  </si>
  <si>
    <t>3039.00万</t>
  </si>
  <si>
    <t>-2.23亿</t>
  </si>
  <si>
    <t>6869.40万</t>
  </si>
  <si>
    <t>-149834000亿</t>
  </si>
  <si>
    <t>2745192000亿</t>
  </si>
  <si>
    <t>-2.65亿</t>
  </si>
  <si>
    <t>26.84亿</t>
  </si>
  <si>
    <t>107.75万</t>
  </si>
  <si>
    <t>2172.67亿</t>
  </si>
  <si>
    <t>5861519500亿</t>
  </si>
  <si>
    <t>886154480000亿</t>
  </si>
  <si>
    <t>289.48亿</t>
  </si>
  <si>
    <t>6334.59亿</t>
  </si>
  <si>
    <t>107.70亿</t>
  </si>
  <si>
    <t>192.79亿</t>
  </si>
  <si>
    <t>2057.95亿</t>
  </si>
  <si>
    <t>123.44亿</t>
  </si>
  <si>
    <t>254.78亿</t>
  </si>
  <si>
    <t>1085.16万</t>
  </si>
  <si>
    <t>01511000000</t>
  </si>
  <si>
    <t>04533000000</t>
  </si>
  <si>
    <t>09066000000</t>
  </si>
  <si>
    <t>015110000000</t>
  </si>
  <si>
    <t>030220000000</t>
  </si>
  <si>
    <t>瑞浦兰钧</t>
  </si>
  <si>
    <t>8.14万</t>
  </si>
  <si>
    <t>-2130245500亿</t>
  </si>
  <si>
    <t>39485981000亿</t>
  </si>
  <si>
    <t>33.33万</t>
  </si>
  <si>
    <t>304.84万</t>
  </si>
  <si>
    <t>270.85万</t>
  </si>
  <si>
    <t>43.61亿</t>
  </si>
  <si>
    <t>1903.66万</t>
  </si>
  <si>
    <t>298848240亿</t>
  </si>
  <si>
    <t>10184940000亿</t>
  </si>
  <si>
    <t>2721.55万</t>
  </si>
  <si>
    <t>0299000000</t>
  </si>
  <si>
    <t>0897000000</t>
  </si>
  <si>
    <t>01794000000</t>
  </si>
  <si>
    <t>02990000000</t>
  </si>
  <si>
    <t>05980000000</t>
  </si>
  <si>
    <t>612.07万</t>
  </si>
  <si>
    <t>1072.56亿</t>
  </si>
  <si>
    <t>76.26亿</t>
  </si>
  <si>
    <t>7626191700亿</t>
  </si>
  <si>
    <t>96871889000亿</t>
  </si>
  <si>
    <t>130.74亿</t>
  </si>
  <si>
    <t>373.64亿</t>
  </si>
  <si>
    <t>164.33亿</t>
  </si>
  <si>
    <t>-60.83亿</t>
  </si>
  <si>
    <t>206.65亿</t>
  </si>
  <si>
    <t>2322.94万</t>
  </si>
  <si>
    <t>265.00万</t>
  </si>
  <si>
    <t>2515.28亿</t>
  </si>
  <si>
    <t>433.40亿</t>
  </si>
  <si>
    <t>357.19亿</t>
  </si>
  <si>
    <t>1246.83亿</t>
  </si>
  <si>
    <t>-89.54亿</t>
  </si>
  <si>
    <t>341.72亿</t>
  </si>
  <si>
    <t>14.72亿</t>
  </si>
  <si>
    <t>10.04亿</t>
  </si>
  <si>
    <t>-1004176600亿</t>
  </si>
  <si>
    <t>55.71亿</t>
  </si>
  <si>
    <t>294868750000亿</t>
  </si>
  <si>
    <t>999.44亿</t>
  </si>
  <si>
    <t>382.91亿</t>
  </si>
  <si>
    <t>163.93亿</t>
  </si>
  <si>
    <t>1164.87亿</t>
  </si>
  <si>
    <t>1053.26亿</t>
  </si>
  <si>
    <t>642.93亿</t>
  </si>
  <si>
    <t>291.29亿</t>
  </si>
  <si>
    <t>-176.18亿</t>
  </si>
  <si>
    <t>-39.63亿</t>
  </si>
  <si>
    <t>522.37亿</t>
  </si>
  <si>
    <t>2202.84万</t>
  </si>
  <si>
    <t>83.13万</t>
  </si>
  <si>
    <t>4163786000亿</t>
  </si>
  <si>
    <t>208432380000亿</t>
  </si>
  <si>
    <t>258.46亿</t>
  </si>
  <si>
    <t>49.77亿</t>
  </si>
  <si>
    <t>-24.53亿</t>
  </si>
  <si>
    <t>333.90亿</t>
  </si>
  <si>
    <t>697.97万</t>
  </si>
  <si>
    <t>7384.21万</t>
  </si>
  <si>
    <t>2564.43万</t>
  </si>
  <si>
    <t>393.69亿</t>
  </si>
  <si>
    <t>2220.07亿</t>
  </si>
  <si>
    <t>280.74亿</t>
  </si>
  <si>
    <t>29648532000亿</t>
  </si>
  <si>
    <t>1012454800000亿</t>
  </si>
  <si>
    <t>754.38亿</t>
  </si>
  <si>
    <t>3131.85亿</t>
  </si>
  <si>
    <t>386.73亿</t>
  </si>
  <si>
    <t>-52.30亿</t>
  </si>
  <si>
    <t>1061.19亿</t>
  </si>
  <si>
    <t>8511.34万</t>
  </si>
  <si>
    <t>584.60万</t>
  </si>
  <si>
    <t>194.87亿</t>
  </si>
  <si>
    <t>158.97亿</t>
  </si>
  <si>
    <t>13.72亿</t>
  </si>
  <si>
    <t>47.48亿</t>
  </si>
  <si>
    <t>-18.60亿</t>
  </si>
  <si>
    <t>394.01万</t>
  </si>
  <si>
    <t>9224.55万</t>
  </si>
  <si>
    <t>7439.76万</t>
  </si>
  <si>
    <t>203.29万</t>
  </si>
  <si>
    <t>-160895410亿</t>
  </si>
  <si>
    <t>17.03亿</t>
  </si>
  <si>
    <t>35383600000亿</t>
  </si>
  <si>
    <t>227.77亿</t>
  </si>
  <si>
    <t>78.50亿</t>
  </si>
  <si>
    <t>34.41亿</t>
  </si>
  <si>
    <t>31.74亿</t>
  </si>
  <si>
    <t>147.94亿</t>
  </si>
  <si>
    <t>149.58亿</t>
  </si>
  <si>
    <t>-6.31亿</t>
  </si>
  <si>
    <t>-3.49亿</t>
  </si>
  <si>
    <t>3381.50万</t>
  </si>
  <si>
    <t>337.73万</t>
  </si>
  <si>
    <t>75.66亿</t>
  </si>
  <si>
    <t>1587161600亿</t>
  </si>
  <si>
    <t>30145642000亿</t>
  </si>
  <si>
    <t>67.89亿</t>
  </si>
  <si>
    <t>88.46亿</t>
  </si>
  <si>
    <t>1725.80万</t>
  </si>
  <si>
    <t>01534000000</t>
  </si>
  <si>
    <t>04602000000</t>
  </si>
  <si>
    <t>09204000000</t>
  </si>
  <si>
    <t>015340000000</t>
  </si>
  <si>
    <t>030680000000</t>
  </si>
  <si>
    <t>70.20万</t>
  </si>
  <si>
    <t>2260.50万</t>
  </si>
  <si>
    <t>459545000亿</t>
  </si>
  <si>
    <t>13522517000亿</t>
  </si>
  <si>
    <t>-6.34亿</t>
  </si>
  <si>
    <t>51.14亿</t>
  </si>
  <si>
    <t>473.08万</t>
  </si>
  <si>
    <t>3919.83万</t>
  </si>
  <si>
    <t>1751.38万</t>
  </si>
  <si>
    <t>6676.02亿</t>
  </si>
  <si>
    <t>1263.00亿</t>
  </si>
  <si>
    <t>129404218000亿</t>
  </si>
  <si>
    <t>1728977100000亿</t>
  </si>
  <si>
    <t>1261.82亿</t>
  </si>
  <si>
    <t>3860.35亿</t>
  </si>
  <si>
    <t>2433.15亿</t>
  </si>
  <si>
    <t>-1372.01亿</t>
  </si>
  <si>
    <t>8096.48万</t>
  </si>
  <si>
    <t>0126300000000</t>
  </si>
  <si>
    <t>0378900000000</t>
  </si>
  <si>
    <t>0757800000000</t>
  </si>
  <si>
    <t>01263000000000</t>
  </si>
  <si>
    <t>02526000000000</t>
  </si>
  <si>
    <t>120.95万</t>
  </si>
  <si>
    <t>107.60亿</t>
  </si>
  <si>
    <t>481081000亿</t>
  </si>
  <si>
    <t>10033870000亿</t>
  </si>
  <si>
    <t>37.55亿</t>
  </si>
  <si>
    <t>929.75万</t>
  </si>
  <si>
    <t>5025.52万</t>
  </si>
  <si>
    <t>0475000000</t>
  </si>
  <si>
    <t>01425000000</t>
  </si>
  <si>
    <t>02850000000</t>
  </si>
  <si>
    <t>04750000000</t>
  </si>
  <si>
    <t>09500000000</t>
  </si>
  <si>
    <t>45.60万</t>
  </si>
  <si>
    <t>51.39亿</t>
  </si>
  <si>
    <t>26.49亿</t>
  </si>
  <si>
    <t>87.79亿</t>
  </si>
  <si>
    <t>7.12亿</t>
  </si>
  <si>
    <t>318.69万</t>
  </si>
  <si>
    <t>2446.77万</t>
  </si>
  <si>
    <t>156681860亿</t>
  </si>
  <si>
    <t>9133560400亿</t>
  </si>
  <si>
    <t>-3.34亿</t>
  </si>
  <si>
    <t>409.14万</t>
  </si>
  <si>
    <t>3289.94万</t>
  </si>
  <si>
    <t>4240.62亿</t>
  </si>
  <si>
    <t>4914.60亿</t>
  </si>
  <si>
    <t>1461.43亿</t>
  </si>
  <si>
    <t>5629.55亿</t>
  </si>
  <si>
    <t>333.75亿</t>
  </si>
  <si>
    <t>1015.43亿</t>
  </si>
  <si>
    <t>446.00亿</t>
  </si>
  <si>
    <t>575.28亿</t>
  </si>
  <si>
    <t>180.55亿</t>
  </si>
  <si>
    <t>9306160800亿</t>
  </si>
  <si>
    <t>771.77亿</t>
  </si>
  <si>
    <t>555.27亿</t>
  </si>
  <si>
    <t>915522150000亿</t>
  </si>
  <si>
    <t>4312.34亿</t>
  </si>
  <si>
    <t>43.34亿</t>
  </si>
  <si>
    <t>1599.05亿</t>
  </si>
  <si>
    <t>1671.56亿</t>
  </si>
  <si>
    <t>3326.27亿</t>
  </si>
  <si>
    <t>3337.21亿</t>
  </si>
  <si>
    <t>55.91亿</t>
  </si>
  <si>
    <t>1507.36亿</t>
  </si>
  <si>
    <t>-1046.78亿</t>
  </si>
  <si>
    <t>-218.88亿</t>
  </si>
  <si>
    <t>317.75亿</t>
  </si>
  <si>
    <t>1891.77亿</t>
  </si>
  <si>
    <t>18.39亿</t>
  </si>
  <si>
    <t>163.95万</t>
  </si>
  <si>
    <t>30.85亿</t>
  </si>
  <si>
    <t>184.17亿</t>
  </si>
  <si>
    <t>81.41亿</t>
  </si>
  <si>
    <t>-24.92万</t>
  </si>
  <si>
    <t>8299.18万</t>
  </si>
  <si>
    <t>8413.62万</t>
  </si>
  <si>
    <t>1722.52万</t>
  </si>
  <si>
    <t>8209.33万</t>
  </si>
  <si>
    <t>-142175660亿</t>
  </si>
  <si>
    <t>97.52亿</t>
  </si>
  <si>
    <t>21502318000亿</t>
  </si>
  <si>
    <t>64.44亿</t>
  </si>
  <si>
    <t>-30.85亿</t>
  </si>
  <si>
    <t>-501.44万</t>
  </si>
  <si>
    <t>61.26亿</t>
  </si>
  <si>
    <t>989.90万</t>
  </si>
  <si>
    <t>712.73万</t>
  </si>
  <si>
    <t>756.72亿</t>
  </si>
  <si>
    <t>1935889200亿</t>
  </si>
  <si>
    <t>73621888000亿</t>
  </si>
  <si>
    <t>185.85亿</t>
  </si>
  <si>
    <t>388.36亿</t>
  </si>
  <si>
    <t>-3.86亿</t>
  </si>
  <si>
    <t>5278.11万</t>
  </si>
  <si>
    <t>1326.20万</t>
  </si>
  <si>
    <t>3303.50亿</t>
  </si>
  <si>
    <t>377.94亿</t>
  </si>
  <si>
    <t>431.45亿</t>
  </si>
  <si>
    <t>1627.88亿</t>
  </si>
  <si>
    <t>-11.38亿</t>
  </si>
  <si>
    <t>417.73亿</t>
  </si>
  <si>
    <t>4.48亿</t>
  </si>
  <si>
    <t>-2159246100亿</t>
  </si>
  <si>
    <t>368144250000亿</t>
  </si>
  <si>
    <t>1148.33亿</t>
  </si>
  <si>
    <t>240.66亿</t>
  </si>
  <si>
    <t>1209.30亿</t>
  </si>
  <si>
    <t>1327.90亿</t>
  </si>
  <si>
    <t>941.33亿</t>
  </si>
  <si>
    <t>-167.12亿</t>
  </si>
  <si>
    <t>-27.08亿</t>
  </si>
  <si>
    <t>6691.71万</t>
  </si>
  <si>
    <t>131.96万</t>
  </si>
  <si>
    <t>342.92亿</t>
  </si>
  <si>
    <t>29.22亿</t>
  </si>
  <si>
    <t>3404220000亿</t>
  </si>
  <si>
    <t>288694140000亿</t>
  </si>
  <si>
    <t>146.67亿</t>
  </si>
  <si>
    <t>1208.39亿</t>
  </si>
  <si>
    <t>-14.98亿</t>
  </si>
  <si>
    <t>805.98万</t>
  </si>
  <si>
    <t>7171.90万</t>
  </si>
  <si>
    <t>5231.10万</t>
  </si>
  <si>
    <t>3288.67亿</t>
  </si>
  <si>
    <t>3881.72亿</t>
  </si>
  <si>
    <t>1073.16亿</t>
  </si>
  <si>
    <t>4084.41亿</t>
  </si>
  <si>
    <t>205.27亿</t>
  </si>
  <si>
    <t>1044.69亿</t>
  </si>
  <si>
    <t>205.01亿</t>
  </si>
  <si>
    <t>553.58亿</t>
  </si>
  <si>
    <t>-1725.76万</t>
  </si>
  <si>
    <t>6072518000亿</t>
  </si>
  <si>
    <t>717039260000亿</t>
  </si>
  <si>
    <t>1122.74亿</t>
  </si>
  <si>
    <t>2890.15亿</t>
  </si>
  <si>
    <t>1122.41亿</t>
  </si>
  <si>
    <t>-937.72亿</t>
  </si>
  <si>
    <t>862.10亿</t>
  </si>
  <si>
    <t>12.93亿</t>
  </si>
  <si>
    <t>020527000000</t>
  </si>
  <si>
    <t>061581000000</t>
  </si>
  <si>
    <t>0123162000000</t>
  </si>
  <si>
    <t>0205270000000</t>
  </si>
  <si>
    <t>0410540000000</t>
  </si>
  <si>
    <t>551.64万</t>
  </si>
  <si>
    <t>1480.03亿</t>
  </si>
  <si>
    <t>768.50亿</t>
  </si>
  <si>
    <t>326.66亿</t>
  </si>
  <si>
    <t>1347.40亿</t>
  </si>
  <si>
    <t>102.23亿</t>
  </si>
  <si>
    <t>135.44亿</t>
  </si>
  <si>
    <t>191.22亿</t>
  </si>
  <si>
    <t>293.60亿</t>
  </si>
  <si>
    <t>-6880.71万</t>
  </si>
  <si>
    <t>2978214100亿</t>
  </si>
  <si>
    <t>937.08亿</t>
  </si>
  <si>
    <t>244.11亿</t>
  </si>
  <si>
    <t>224852110000亿</t>
  </si>
  <si>
    <t>161.60亿</t>
  </si>
  <si>
    <t>311.04亿</t>
  </si>
  <si>
    <t>333.08亿</t>
  </si>
  <si>
    <t>910.18亿</t>
  </si>
  <si>
    <t>916.21亿</t>
  </si>
  <si>
    <t>485.91亿</t>
  </si>
  <si>
    <t>190.80亿</t>
  </si>
  <si>
    <t>-229.12亿</t>
  </si>
  <si>
    <t>-162.45亿</t>
  </si>
  <si>
    <t>4693.07万</t>
  </si>
  <si>
    <t>010223000000</t>
  </si>
  <si>
    <t>030669000000</t>
  </si>
  <si>
    <t>061338000000</t>
  </si>
  <si>
    <t>0102230000000</t>
  </si>
  <si>
    <t>0204460000000</t>
  </si>
  <si>
    <t>322.03万</t>
  </si>
  <si>
    <t>76.86亿</t>
  </si>
  <si>
    <t>880848220亿</t>
  </si>
  <si>
    <t>25419184000亿</t>
  </si>
  <si>
    <t>12.40亿</t>
  </si>
  <si>
    <t>-37.11亿</t>
  </si>
  <si>
    <t>1450.15万</t>
  </si>
  <si>
    <t>483.91万</t>
  </si>
  <si>
    <t>130.41亿</t>
  </si>
  <si>
    <t>1716170200亿</t>
  </si>
  <si>
    <t>34767747000亿</t>
  </si>
  <si>
    <t>45.28亿</t>
  </si>
  <si>
    <t>130.31亿</t>
  </si>
  <si>
    <t>43.89亿</t>
  </si>
  <si>
    <t>-19.32亿</t>
  </si>
  <si>
    <t>4616.30万</t>
  </si>
  <si>
    <t>1303.90亿</t>
  </si>
  <si>
    <t>2162.38亿</t>
  </si>
  <si>
    <t>258.58亿</t>
  </si>
  <si>
    <t>1030.53亿</t>
  </si>
  <si>
    <t>106.88亿</t>
  </si>
  <si>
    <t>346627520000亿</t>
  </si>
  <si>
    <t>310.07亿</t>
  </si>
  <si>
    <t>700.84亿</t>
  </si>
  <si>
    <t>359.99亿</t>
  </si>
  <si>
    <t>-349.74亿</t>
  </si>
  <si>
    <t>347.90万</t>
  </si>
  <si>
    <t>2308.80万</t>
  </si>
  <si>
    <t>2126.30万</t>
  </si>
  <si>
    <t>23088000亿</t>
  </si>
  <si>
    <t>4678082000亿</t>
  </si>
  <si>
    <t>5632.50万</t>
  </si>
  <si>
    <t>-6760.10万</t>
  </si>
  <si>
    <t>67.62亿</t>
  </si>
  <si>
    <t>3167.10万</t>
  </si>
  <si>
    <t>126.60万</t>
  </si>
  <si>
    <t>95.65亿</t>
  </si>
  <si>
    <t>149.45亿</t>
  </si>
  <si>
    <t>26.61亿</t>
  </si>
  <si>
    <t>129.73亿</t>
  </si>
  <si>
    <t>17.56亿</t>
  </si>
  <si>
    <t>1130.65万</t>
  </si>
  <si>
    <t>-5177.33万</t>
  </si>
  <si>
    <t>1971.92万</t>
  </si>
  <si>
    <t>228712290亿</t>
  </si>
  <si>
    <t>96.89亿</t>
  </si>
  <si>
    <t>24510703000亿</t>
  </si>
  <si>
    <t>25.49亿</t>
  </si>
  <si>
    <t>1078.60万</t>
  </si>
  <si>
    <t>60.36亿</t>
  </si>
  <si>
    <t>64.96亿</t>
  </si>
  <si>
    <t>86.32亿</t>
  </si>
  <si>
    <t>90.24亿</t>
  </si>
  <si>
    <t>25.79亿</t>
  </si>
  <si>
    <t>-2039.13万</t>
  </si>
  <si>
    <t>68.61亿</t>
  </si>
  <si>
    <t>911.12万</t>
  </si>
  <si>
    <t>5005.75万</t>
  </si>
  <si>
    <t>世茂集团</t>
  </si>
  <si>
    <t>5841.60万</t>
  </si>
  <si>
    <t>651.84亿</t>
  </si>
  <si>
    <t>-230.53亿</t>
  </si>
  <si>
    <t>-25869681000亿</t>
  </si>
  <si>
    <t>595511080000亿</t>
  </si>
  <si>
    <t>462.46亿</t>
  </si>
  <si>
    <t>4602.58亿</t>
  </si>
  <si>
    <t>-59.96亿</t>
  </si>
  <si>
    <t>11.50亿</t>
  </si>
  <si>
    <t>711.16亿</t>
  </si>
  <si>
    <t>1319.98亿</t>
  </si>
  <si>
    <t>1613.27亿</t>
  </si>
  <si>
    <t>844.34亿</t>
  </si>
  <si>
    <t>-331.75亿</t>
  </si>
  <si>
    <t>150.51亿</t>
  </si>
  <si>
    <t>121.78亿</t>
  </si>
  <si>
    <t>94.00亿</t>
  </si>
  <si>
    <t>-242.46亿</t>
  </si>
  <si>
    <t>46.07亿</t>
  </si>
  <si>
    <t>1207.20万</t>
  </si>
  <si>
    <t>793.69亿</t>
  </si>
  <si>
    <t>-75.60亿</t>
  </si>
  <si>
    <t>-5325722200亿</t>
  </si>
  <si>
    <t>446284070000亿</t>
  </si>
  <si>
    <t>1930.30亿</t>
  </si>
  <si>
    <t>18.03亿</t>
  </si>
  <si>
    <t>202.93亿</t>
  </si>
  <si>
    <t>9600.75万</t>
  </si>
  <si>
    <t>14.75亿</t>
  </si>
  <si>
    <t>122.00万</t>
  </si>
  <si>
    <t>919.61亿</t>
  </si>
  <si>
    <t>21.13亿</t>
  </si>
  <si>
    <t>2012299800亿</t>
  </si>
  <si>
    <t>51248394000亿</t>
  </si>
  <si>
    <t>94.79亿</t>
  </si>
  <si>
    <t>255.26亿</t>
  </si>
  <si>
    <t>25.54亿</t>
  </si>
  <si>
    <t>898.50万</t>
  </si>
  <si>
    <t>493.01万</t>
  </si>
  <si>
    <t>56.60亿</t>
  </si>
  <si>
    <t>460325070亿</t>
  </si>
  <si>
    <t>14865650000亿</t>
  </si>
  <si>
    <t>13.67亿</t>
  </si>
  <si>
    <t>59.20亿</t>
  </si>
  <si>
    <t>6043.24万</t>
  </si>
  <si>
    <t>-2.45亿</t>
  </si>
  <si>
    <t>2680.70万</t>
  </si>
  <si>
    <t>2003.16万</t>
  </si>
  <si>
    <t>1024.70亿</t>
  </si>
  <si>
    <t>110.03亿</t>
  </si>
  <si>
    <t>12110495000亿</t>
  </si>
  <si>
    <t>322395990000亿</t>
  </si>
  <si>
    <t>60.17亿</t>
  </si>
  <si>
    <t>840.62亿</t>
  </si>
  <si>
    <t>288.69亿</t>
  </si>
  <si>
    <t>-439.86亿</t>
  </si>
  <si>
    <t>458.26亿</t>
  </si>
  <si>
    <t>6721.72万</t>
  </si>
  <si>
    <t>465.60万</t>
  </si>
  <si>
    <t>60.37亿</t>
  </si>
  <si>
    <t>14.83亿</t>
  </si>
  <si>
    <t>1289930400亿</t>
  </si>
  <si>
    <t>39324419000亿</t>
  </si>
  <si>
    <t>5589.74万</t>
  </si>
  <si>
    <t>88.49亿</t>
  </si>
  <si>
    <t>41.34亿</t>
  </si>
  <si>
    <t>-29.06亿</t>
  </si>
  <si>
    <t>2388.22万</t>
  </si>
  <si>
    <t>745.26万</t>
  </si>
  <si>
    <t>74.26亿</t>
  </si>
  <si>
    <t>-37.31亿</t>
  </si>
  <si>
    <t>-5070565300亿</t>
  </si>
  <si>
    <t>30716015000亿</t>
  </si>
  <si>
    <t>99.28亿</t>
  </si>
  <si>
    <t>-18.11亿</t>
  </si>
  <si>
    <t>-29.43亿</t>
  </si>
  <si>
    <t>3569.74万</t>
  </si>
  <si>
    <t>1938.60万</t>
  </si>
  <si>
    <t>141.95亿</t>
  </si>
  <si>
    <t>1377784000亿</t>
  </si>
  <si>
    <t>60277616000亿</t>
  </si>
  <si>
    <t>54.04亿</t>
  </si>
  <si>
    <t>211.78亿</t>
  </si>
  <si>
    <t>34.66亿</t>
  </si>
  <si>
    <t>4671.46万</t>
  </si>
  <si>
    <t>01857000000</t>
  </si>
  <si>
    <t>05571000000</t>
  </si>
  <si>
    <t>011142000000</t>
  </si>
  <si>
    <t>018570000000</t>
  </si>
  <si>
    <t>037140000000</t>
  </si>
  <si>
    <t>177.58万</t>
  </si>
  <si>
    <t>738.91亿</t>
  </si>
  <si>
    <t>922033000亿</t>
  </si>
  <si>
    <t>35020347000亿</t>
  </si>
  <si>
    <t>155.62亿</t>
  </si>
  <si>
    <t>265.56亿</t>
  </si>
  <si>
    <t>1001.38万</t>
  </si>
  <si>
    <t>6038.78万</t>
  </si>
  <si>
    <t>0922000000</t>
  </si>
  <si>
    <t>02766000000</t>
  </si>
  <si>
    <t>05532000000</t>
  </si>
  <si>
    <t>09220000000</t>
  </si>
  <si>
    <t>018440000000</t>
  </si>
  <si>
    <t>11576.70亿</t>
  </si>
  <si>
    <t>18127.10亿</t>
  </si>
  <si>
    <t>8760.22亿</t>
  </si>
  <si>
    <t>33006.71亿</t>
  </si>
  <si>
    <t>1766.48亿</t>
  </si>
  <si>
    <t>2664.98亿</t>
  </si>
  <si>
    <t>6095.23亿</t>
  </si>
  <si>
    <t>1110.31亿</t>
  </si>
  <si>
    <t>240.69亿</t>
  </si>
  <si>
    <t>40.91亿</t>
  </si>
  <si>
    <t>55313844000亿</t>
  </si>
  <si>
    <t>2502.54亿</t>
  </si>
  <si>
    <t>1005.73亿</t>
  </si>
  <si>
    <t>2970380300000亿</t>
  </si>
  <si>
    <t>16068.18亿</t>
  </si>
  <si>
    <t>876.61亿</t>
  </si>
  <si>
    <t>7552.89亿</t>
  </si>
  <si>
    <t>6771.90亿</t>
  </si>
  <si>
    <t>1642.59亿</t>
  </si>
  <si>
    <t>5005.21亿</t>
  </si>
  <si>
    <t>-2803.96亿</t>
  </si>
  <si>
    <t>-678.57亿</t>
  </si>
  <si>
    <t>479.72亿</t>
  </si>
  <si>
    <t>11275.41亿</t>
  </si>
  <si>
    <t>0176648000000</t>
  </si>
  <si>
    <t>0529944000000</t>
  </si>
  <si>
    <t>01059888000000</t>
  </si>
  <si>
    <t>01766480000000</t>
  </si>
  <si>
    <t>03532960000000</t>
  </si>
  <si>
    <t>389.40万</t>
  </si>
  <si>
    <t>200.35亿</t>
  </si>
  <si>
    <t>-20.10亿</t>
  </si>
  <si>
    <t>-1865152500亿</t>
  </si>
  <si>
    <t>24993155000亿</t>
  </si>
  <si>
    <t>100.64亿</t>
  </si>
  <si>
    <t>8.18亿</t>
  </si>
  <si>
    <t>68.32亿</t>
  </si>
  <si>
    <t>2037.10万</t>
  </si>
  <si>
    <t>722.68万</t>
  </si>
  <si>
    <t>87.84亿</t>
  </si>
  <si>
    <t>26.32亿</t>
  </si>
  <si>
    <t>2613812200亿</t>
  </si>
  <si>
    <t>19436544000亿</t>
  </si>
  <si>
    <t>22.46亿</t>
  </si>
  <si>
    <t>-4.85亿</t>
  </si>
  <si>
    <t>100.02亿</t>
  </si>
  <si>
    <t>4213.33万</t>
  </si>
  <si>
    <t>932.70万</t>
  </si>
  <si>
    <t>267.99亿</t>
  </si>
  <si>
    <t>53.65亿</t>
  </si>
  <si>
    <t>5378705000亿</t>
  </si>
  <si>
    <t>50813419000亿</t>
  </si>
  <si>
    <t>113.48亿</t>
  </si>
  <si>
    <t>263.06亿</t>
  </si>
  <si>
    <t>3448.79万</t>
  </si>
  <si>
    <t>672.35万</t>
  </si>
  <si>
    <t>131.37亿</t>
  </si>
  <si>
    <t>-1875000000亿</t>
  </si>
  <si>
    <t>49739700000亿</t>
  </si>
  <si>
    <t>-12.75亿</t>
  </si>
  <si>
    <t>2360.67万</t>
  </si>
  <si>
    <t>897.89万</t>
  </si>
  <si>
    <t>1965.38亿</t>
  </si>
  <si>
    <t>5471008100亿</t>
  </si>
  <si>
    <t>113202887000亿</t>
  </si>
  <si>
    <t>121.04亿</t>
  </si>
  <si>
    <t>367.55亿</t>
  </si>
  <si>
    <t>70.44亿</t>
  </si>
  <si>
    <t>-5.45亿</t>
  </si>
  <si>
    <t>105.87亿</t>
  </si>
  <si>
    <t>4382.35万</t>
  </si>
  <si>
    <t>05501000000</t>
  </si>
  <si>
    <t>016503000000</t>
  </si>
  <si>
    <t>033006000000</t>
  </si>
  <si>
    <t>055010000000</t>
  </si>
  <si>
    <t>0110020000000</t>
  </si>
  <si>
    <t>9284.18万</t>
  </si>
  <si>
    <t>3743.82亿</t>
  </si>
  <si>
    <t>7637.34亿</t>
  </si>
  <si>
    <t>1147.57亿</t>
  </si>
  <si>
    <t>4196.74亿</t>
  </si>
  <si>
    <t>1357.57亿</t>
  </si>
  <si>
    <t>587.62亿</t>
  </si>
  <si>
    <t>559.94亿</t>
  </si>
  <si>
    <t>60.02亿</t>
  </si>
  <si>
    <t>4098.68万</t>
  </si>
  <si>
    <t>42848464000亿</t>
  </si>
  <si>
    <t>1977.93亿</t>
  </si>
  <si>
    <t>1138116070000亿</t>
  </si>
  <si>
    <t>74.60亿</t>
  </si>
  <si>
    <t>46.54亿</t>
  </si>
  <si>
    <t>672.87亿</t>
  </si>
  <si>
    <t>1358.62亿</t>
  </si>
  <si>
    <t>1423.10亿</t>
  </si>
  <si>
    <t>957.25亿</t>
  </si>
  <si>
    <t>2299.20亿</t>
  </si>
  <si>
    <t>-856.08亿</t>
  </si>
  <si>
    <t>-365.47亿</t>
  </si>
  <si>
    <t>5134.60亿</t>
  </si>
  <si>
    <t>32.01亿</t>
  </si>
  <si>
    <t>0135757000000</t>
  </si>
  <si>
    <t>0407271000000</t>
  </si>
  <si>
    <t>0814542000000</t>
  </si>
  <si>
    <t>01357570000000</t>
  </si>
  <si>
    <t>02715140000000</t>
  </si>
  <si>
    <t>旭辉控股集团</t>
  </si>
  <si>
    <t>6755.02万</t>
  </si>
  <si>
    <t>787.43亿</t>
  </si>
  <si>
    <t>-98.47亿</t>
  </si>
  <si>
    <t>-9513857300亿</t>
  </si>
  <si>
    <t>330044870000亿</t>
  </si>
  <si>
    <t>319.36亿</t>
  </si>
  <si>
    <t>2285.80亿</t>
  </si>
  <si>
    <t>132.58亿</t>
  </si>
  <si>
    <t>30.01亿</t>
  </si>
  <si>
    <t>535.17亿</t>
  </si>
  <si>
    <t>1320.44亿</t>
  </si>
  <si>
    <t>855.77亿</t>
  </si>
  <si>
    <t>482.40亿</t>
  </si>
  <si>
    <t>381.54亿</t>
  </si>
  <si>
    <t>93.22亿</t>
  </si>
  <si>
    <t>95.73亿</t>
  </si>
  <si>
    <t>71.93亿</t>
  </si>
  <si>
    <t>61.59亿</t>
  </si>
  <si>
    <t>-147.21亿</t>
  </si>
  <si>
    <t>155.10亿</t>
  </si>
  <si>
    <t>4.11亿</t>
  </si>
  <si>
    <t>81.35亿</t>
  </si>
  <si>
    <t>26.88万</t>
  </si>
  <si>
    <t>75.23亿</t>
  </si>
  <si>
    <t>43.58亿</t>
  </si>
  <si>
    <t>-1186.17万</t>
  </si>
  <si>
    <t>1730.62万</t>
  </si>
  <si>
    <t>5067.95万</t>
  </si>
  <si>
    <t>1142.21万</t>
  </si>
  <si>
    <t>-208108850亿</t>
  </si>
  <si>
    <t>12.35亿</t>
  </si>
  <si>
    <t>12754422900亿</t>
  </si>
  <si>
    <t>15.89亿</t>
  </si>
  <si>
    <t>112.84万</t>
  </si>
  <si>
    <t>-6.56亿</t>
  </si>
  <si>
    <t>43.21亿</t>
  </si>
  <si>
    <t>96.25万</t>
  </si>
  <si>
    <t>1726.89万</t>
  </si>
  <si>
    <t>4387.20万</t>
  </si>
  <si>
    <t>3975.55亿</t>
  </si>
  <si>
    <t>1907.40亿</t>
  </si>
  <si>
    <t>699.72亿</t>
  </si>
  <si>
    <t>2770.78亿</t>
  </si>
  <si>
    <t>108.00亿</t>
  </si>
  <si>
    <t>591.72亿</t>
  </si>
  <si>
    <t>5134.59万</t>
  </si>
  <si>
    <t>17.09亿</t>
  </si>
  <si>
    <t>17.65亿</t>
  </si>
  <si>
    <t>6296129400亿</t>
  </si>
  <si>
    <t>224.12亿</t>
  </si>
  <si>
    <t>509.85亿</t>
  </si>
  <si>
    <t>588294730000亿</t>
  </si>
  <si>
    <t>3299.06亿</t>
  </si>
  <si>
    <t>677.98亿</t>
  </si>
  <si>
    <t>247.33亿</t>
  </si>
  <si>
    <t>226.00亿</t>
  </si>
  <si>
    <t>1797.76亿</t>
  </si>
  <si>
    <t>1869.82亿</t>
  </si>
  <si>
    <t>1943.61亿</t>
  </si>
  <si>
    <t>498.74亿</t>
  </si>
  <si>
    <t>-597.75亿</t>
  </si>
  <si>
    <t>-100.12亿</t>
  </si>
  <si>
    <t>-153.25亿</t>
  </si>
  <si>
    <t>05965000000</t>
  </si>
  <si>
    <t>017895000000</t>
  </si>
  <si>
    <t>059650000000</t>
  </si>
  <si>
    <t>0119300000000</t>
  </si>
  <si>
    <t>363.40万</t>
  </si>
  <si>
    <t>17.97亿</t>
  </si>
  <si>
    <t>-6.42亿</t>
  </si>
  <si>
    <t>-643516540亿</t>
  </si>
  <si>
    <t>6415201400亿</t>
  </si>
  <si>
    <t>2604.79万</t>
  </si>
  <si>
    <t>-1.52亿</t>
  </si>
  <si>
    <t>2917.86万</t>
  </si>
  <si>
    <t>593.12万</t>
  </si>
  <si>
    <t>2148.07亿</t>
  </si>
  <si>
    <t>227.90亿</t>
  </si>
  <si>
    <t>1545.64亿</t>
  </si>
  <si>
    <t>189.21亿</t>
  </si>
  <si>
    <t>-2.75亿</t>
  </si>
  <si>
    <t>1604827900亿</t>
  </si>
  <si>
    <t>715.51亿</t>
  </si>
  <si>
    <t>143.86亿</t>
  </si>
  <si>
    <t>264445650000亿</t>
  </si>
  <si>
    <t>914.37亿</t>
  </si>
  <si>
    <t>68.18亿</t>
  </si>
  <si>
    <t>66.19亿</t>
  </si>
  <si>
    <t>325.13亿</t>
  </si>
  <si>
    <t>283.93亿</t>
  </si>
  <si>
    <t>180.06亿</t>
  </si>
  <si>
    <t>209.13亿</t>
  </si>
  <si>
    <t>-211.64亿</t>
  </si>
  <si>
    <t>862.41亿</t>
  </si>
  <si>
    <t>4296.72万</t>
  </si>
  <si>
    <t>5067.85万</t>
  </si>
  <si>
    <t>106.53亿</t>
  </si>
  <si>
    <t>412.59亿</t>
  </si>
  <si>
    <t>67.97亿</t>
  </si>
  <si>
    <t>9.43亿</t>
  </si>
  <si>
    <t>2977507700亿</t>
  </si>
  <si>
    <t>252032980000亿</t>
  </si>
  <si>
    <t>781.09亿</t>
  </si>
  <si>
    <t>152.20亿</t>
  </si>
  <si>
    <t>-234.96亿</t>
  </si>
  <si>
    <t>87.90亿</t>
  </si>
  <si>
    <t>107.27亿</t>
  </si>
  <si>
    <t>960.19万</t>
  </si>
  <si>
    <t>253.32亿</t>
  </si>
  <si>
    <t>932.00亿</t>
  </si>
  <si>
    <t>30.47亿</t>
  </si>
  <si>
    <t>75218739000亿</t>
  </si>
  <si>
    <t>292.23亿</t>
  </si>
  <si>
    <t>482.79亿</t>
  </si>
  <si>
    <t>-104.77亿</t>
  </si>
  <si>
    <t>1860.94万</t>
  </si>
  <si>
    <t>221.60万</t>
  </si>
  <si>
    <t>-446696000亿</t>
  </si>
  <si>
    <t>14717657000亿</t>
  </si>
  <si>
    <t>748.03万</t>
  </si>
  <si>
    <t>6681.13万</t>
  </si>
  <si>
    <t>325.80万</t>
  </si>
  <si>
    <t>1298486000亿</t>
  </si>
  <si>
    <t>16027223000亿</t>
  </si>
  <si>
    <t>4541.60万</t>
  </si>
  <si>
    <t>-7.05亿</t>
  </si>
  <si>
    <t>2669.87万</t>
  </si>
  <si>
    <t>393330.40亿</t>
  </si>
  <si>
    <t>35189.63亿</t>
  </si>
  <si>
    <t>2077.60亿</t>
  </si>
  <si>
    <t>8165.50亿</t>
  </si>
  <si>
    <t>3590.53亿</t>
  </si>
  <si>
    <t>8.08亿</t>
  </si>
  <si>
    <t>93737890000亿</t>
  </si>
  <si>
    <t>42852002000000亿</t>
  </si>
  <si>
    <t>1771.56亿</t>
  </si>
  <si>
    <t>7046.92亿</t>
  </si>
  <si>
    <t>-9002.59亿</t>
  </si>
  <si>
    <t>-1456.55亿</t>
  </si>
  <si>
    <t>8644.07亿</t>
  </si>
  <si>
    <t>1091.59亿</t>
  </si>
  <si>
    <t>13224.46亿</t>
  </si>
  <si>
    <t>129.80亿</t>
  </si>
  <si>
    <t>0359053000000</t>
  </si>
  <si>
    <t>01077159000000</t>
  </si>
  <si>
    <t>02154318000000</t>
  </si>
  <si>
    <t>03590530000000</t>
  </si>
  <si>
    <t>07181060000000</t>
  </si>
  <si>
    <t>2888.43万</t>
  </si>
  <si>
    <t>7051.57亿</t>
  </si>
  <si>
    <t>14853.72亿</t>
  </si>
  <si>
    <t>2844.34亿</t>
  </si>
  <si>
    <t>11064.05亿</t>
  </si>
  <si>
    <t>1444.42亿</t>
  </si>
  <si>
    <t>2039.77亿</t>
  </si>
  <si>
    <t>804.57亿</t>
  </si>
  <si>
    <t>632.48亿</t>
  </si>
  <si>
    <t>908.42亿</t>
  </si>
  <si>
    <t>373.39亿</t>
  </si>
  <si>
    <t>10.03亿</t>
  </si>
  <si>
    <t>31957839000亿</t>
  </si>
  <si>
    <t>1790.76亿</t>
  </si>
  <si>
    <t>949.78亿</t>
  </si>
  <si>
    <t>2190529800000亿</t>
  </si>
  <si>
    <t>7444.63亿</t>
  </si>
  <si>
    <t>290.71亿</t>
  </si>
  <si>
    <t>212.24亿</t>
  </si>
  <si>
    <t>6122.99亿</t>
  </si>
  <si>
    <t>6106.22亿</t>
  </si>
  <si>
    <t>3330.04亿</t>
  </si>
  <si>
    <t>-2254.87亿</t>
  </si>
  <si>
    <t>-221.02亿</t>
  </si>
  <si>
    <t>12268.59亿</t>
  </si>
  <si>
    <t>9645.67万</t>
  </si>
  <si>
    <t>6.97亿</t>
  </si>
  <si>
    <t>692.30万</t>
  </si>
  <si>
    <t>570.55亿</t>
  </si>
  <si>
    <t>289.37亿</t>
  </si>
  <si>
    <t>84.94亿</t>
  </si>
  <si>
    <t>221.43亿</t>
  </si>
  <si>
    <t>23.61亿</t>
  </si>
  <si>
    <t>68.02亿</t>
  </si>
  <si>
    <t>138.51万</t>
  </si>
  <si>
    <t>4.17亿</t>
  </si>
  <si>
    <t>1086647450亿</t>
  </si>
  <si>
    <t>37.59亿</t>
  </si>
  <si>
    <t>80.19亿</t>
  </si>
  <si>
    <t>85992847000亿</t>
  </si>
  <si>
    <t>519.25亿</t>
  </si>
  <si>
    <t>189.57亿</t>
  </si>
  <si>
    <t>368.81亿</t>
  </si>
  <si>
    <t>53.18亿</t>
  </si>
  <si>
    <t>-11.12亿</t>
  </si>
  <si>
    <t>26.95亿</t>
  </si>
  <si>
    <t>18.00亿</t>
  </si>
  <si>
    <t>5510.00万</t>
  </si>
  <si>
    <t>1428.91万</t>
  </si>
  <si>
    <t>1981.23亿</t>
  </si>
  <si>
    <t>18780701000亿</t>
  </si>
  <si>
    <t>767786020000亿</t>
  </si>
  <si>
    <t>465.69亿</t>
  </si>
  <si>
    <t>2926.74亿</t>
  </si>
  <si>
    <t>361.83亿</t>
  </si>
  <si>
    <t>-127.29亿</t>
  </si>
  <si>
    <t>655.52亿</t>
  </si>
  <si>
    <t>7370.70万</t>
  </si>
  <si>
    <t>728.34万</t>
  </si>
  <si>
    <t>1467.95亿</t>
  </si>
  <si>
    <t>10276941000亿</t>
  </si>
  <si>
    <t>1509497500000亿</t>
  </si>
  <si>
    <t>1115.80亿</t>
  </si>
  <si>
    <t>-1309.51亿</t>
  </si>
  <si>
    <t>1288.80亿</t>
  </si>
  <si>
    <t>64.89亿</t>
  </si>
  <si>
    <t>3659.43万</t>
  </si>
  <si>
    <t>3542.50万</t>
  </si>
  <si>
    <t>266.29亿</t>
  </si>
  <si>
    <t>41.87亿</t>
  </si>
  <si>
    <t>4700546000亿</t>
  </si>
  <si>
    <t>60432994000亿</t>
  </si>
  <si>
    <t>172.23亿</t>
  </si>
  <si>
    <t>57.90亿</t>
  </si>
  <si>
    <t>-104.00亿</t>
  </si>
  <si>
    <t>121.33亿</t>
  </si>
  <si>
    <t>13.39亿</t>
  </si>
  <si>
    <t>76.30万</t>
  </si>
  <si>
    <t>182.78亿</t>
  </si>
  <si>
    <t>328711040亿</t>
  </si>
  <si>
    <t>24360009000亿</t>
  </si>
  <si>
    <t>55.73亿</t>
  </si>
  <si>
    <t>56.08亿</t>
  </si>
  <si>
    <t>932.67万</t>
  </si>
  <si>
    <t>6768.81万</t>
  </si>
  <si>
    <t>4292.81万</t>
  </si>
  <si>
    <t>493.78亿</t>
  </si>
  <si>
    <t>70.50亿</t>
  </si>
  <si>
    <t>54.72亿</t>
  </si>
  <si>
    <t>8786867300亿</t>
  </si>
  <si>
    <t>373266690000亿</t>
  </si>
  <si>
    <t>220.58亿</t>
  </si>
  <si>
    <t>593.76亿</t>
  </si>
  <si>
    <t>262.32亿</t>
  </si>
  <si>
    <t>-484.87亿</t>
  </si>
  <si>
    <t>54.86亿</t>
  </si>
  <si>
    <t>16.24亿</t>
  </si>
  <si>
    <t>873.00万</t>
  </si>
  <si>
    <t>553.77亿</t>
  </si>
  <si>
    <t>1382081000亿</t>
  </si>
  <si>
    <t>16331129000亿</t>
  </si>
  <si>
    <t>30.71亿</t>
  </si>
  <si>
    <t>-1.81亿</t>
  </si>
  <si>
    <t>6797.00万</t>
  </si>
  <si>
    <t>2057.60万</t>
  </si>
  <si>
    <t>2293.60亿</t>
  </si>
  <si>
    <t>1009.06亿</t>
  </si>
  <si>
    <t>327.97亿</t>
  </si>
  <si>
    <t>1328.40亿</t>
  </si>
  <si>
    <t>-2.32亿</t>
  </si>
  <si>
    <t>40.88亿</t>
  </si>
  <si>
    <t>287.08亿</t>
  </si>
  <si>
    <t>2337.22万</t>
  </si>
  <si>
    <t>5.07亿</t>
  </si>
  <si>
    <t>1872723600亿</t>
  </si>
  <si>
    <t>117.83亿</t>
  </si>
  <si>
    <t>217.75亿</t>
  </si>
  <si>
    <t>330265360000亿</t>
  </si>
  <si>
    <t>2060.22亿</t>
  </si>
  <si>
    <t>248.92亿</t>
  </si>
  <si>
    <t>245.94亿</t>
  </si>
  <si>
    <t>1000.07亿</t>
  </si>
  <si>
    <t>956.14亿</t>
  </si>
  <si>
    <t>1243.11亿</t>
  </si>
  <si>
    <t>258.19亿</t>
  </si>
  <si>
    <t>-172.88亿</t>
  </si>
  <si>
    <t>-129.07亿</t>
  </si>
  <si>
    <t>296.72亿</t>
  </si>
  <si>
    <t>9123.19万</t>
  </si>
  <si>
    <t>5719.94万</t>
  </si>
  <si>
    <t>2512.80亿</t>
  </si>
  <si>
    <t>458.95亿</t>
  </si>
  <si>
    <t>1010.84亿</t>
  </si>
  <si>
    <t>4864.07亿</t>
  </si>
  <si>
    <t>126.24亿</t>
  </si>
  <si>
    <t>176.46亿</t>
  </si>
  <si>
    <t>834.38亿</t>
  </si>
  <si>
    <t>62.62亿</t>
  </si>
  <si>
    <t>82.12亿</t>
  </si>
  <si>
    <t>172.38亿</t>
  </si>
  <si>
    <t>-1.15亿</t>
  </si>
  <si>
    <t>6633726100亿</t>
  </si>
  <si>
    <t>341.24亿</t>
  </si>
  <si>
    <t>585.69亿</t>
  </si>
  <si>
    <t>308568380000亿</t>
  </si>
  <si>
    <t>151.14亿</t>
  </si>
  <si>
    <t>767.37亿</t>
  </si>
  <si>
    <t>727.51亿</t>
  </si>
  <si>
    <t>2048.85亿</t>
  </si>
  <si>
    <t>1988.62亿</t>
  </si>
  <si>
    <t>289.04亿</t>
  </si>
  <si>
    <t>219.97亿</t>
  </si>
  <si>
    <t>-150.37亿</t>
  </si>
  <si>
    <t>-15.67亿</t>
  </si>
  <si>
    <t>444.04亿</t>
  </si>
  <si>
    <t>23.42亿</t>
  </si>
  <si>
    <t>110.00万</t>
  </si>
  <si>
    <t>86.80亿</t>
  </si>
  <si>
    <t>157.45亿</t>
  </si>
  <si>
    <t>72.69亿</t>
  </si>
  <si>
    <t>3631.38万</t>
  </si>
  <si>
    <t>1341.47万</t>
  </si>
  <si>
    <t>392.12万</t>
  </si>
  <si>
    <t>512057020亿</t>
  </si>
  <si>
    <t>24424404000亿</t>
  </si>
  <si>
    <t>16.01亿</t>
  </si>
  <si>
    <t>68.29亿</t>
  </si>
  <si>
    <t>-33.95亿</t>
  </si>
  <si>
    <t>95.48亿</t>
  </si>
  <si>
    <t>793.71万</t>
  </si>
  <si>
    <t>7167.09万</t>
  </si>
  <si>
    <t>2588.52万</t>
  </si>
  <si>
    <t>89368.81亿</t>
  </si>
  <si>
    <t>8463.57亿</t>
  </si>
  <si>
    <t>486.84亿</t>
  </si>
  <si>
    <t>2022.13亿</t>
  </si>
  <si>
    <t>682.14亿</t>
  </si>
  <si>
    <t>20915133000亿</t>
  </si>
  <si>
    <t>9783237400000亿</t>
  </si>
  <si>
    <t>416.09亿</t>
  </si>
  <si>
    <t>-10.06亿</t>
  </si>
  <si>
    <t>20.69亿</t>
  </si>
  <si>
    <t>547.92亿</t>
  </si>
  <si>
    <t>1604.58亿</t>
  </si>
  <si>
    <t>2053.22万</t>
  </si>
  <si>
    <t>1243.86亿</t>
  </si>
  <si>
    <t>70.11亿</t>
  </si>
  <si>
    <t>135.25亿</t>
  </si>
  <si>
    <t>7014583800亿</t>
  </si>
  <si>
    <t>116521675000亿</t>
  </si>
  <si>
    <t>258.71亿</t>
  </si>
  <si>
    <t>534.70亿</t>
  </si>
  <si>
    <t>227.80亿</t>
  </si>
  <si>
    <t>-217.76亿</t>
  </si>
  <si>
    <t>1062.48亿</t>
  </si>
  <si>
    <t>2381.80万</t>
  </si>
  <si>
    <t>1324.33亿</t>
  </si>
  <si>
    <t>9.64亿</t>
  </si>
  <si>
    <t>860047830亿</t>
  </si>
  <si>
    <t>413364480000亿</t>
  </si>
  <si>
    <t>2616.34亿</t>
  </si>
  <si>
    <t>0964000000</t>
  </si>
  <si>
    <t>02892000000</t>
  </si>
  <si>
    <t>05784000000</t>
  </si>
  <si>
    <t>09640000000</t>
  </si>
  <si>
    <t>019280000000</t>
  </si>
  <si>
    <t>668.70万</t>
  </si>
  <si>
    <t>714.54亿</t>
  </si>
  <si>
    <t>90.49亿</t>
  </si>
  <si>
    <t>199.00亿</t>
  </si>
  <si>
    <t>876.75亿</t>
  </si>
  <si>
    <t>184.07亿</t>
  </si>
  <si>
    <t>1372.84万</t>
  </si>
  <si>
    <t>1211.16万</t>
  </si>
  <si>
    <t>191414830亿</t>
  </si>
  <si>
    <t>118.94亿</t>
  </si>
  <si>
    <t>80502997000亿</t>
  </si>
  <si>
    <t>219.17亿</t>
  </si>
  <si>
    <t>385.82亿</t>
  </si>
  <si>
    <t>378.78亿</t>
  </si>
  <si>
    <t>725.53亿</t>
  </si>
  <si>
    <t>702.21亿</t>
  </si>
  <si>
    <t>-44.50亿</t>
  </si>
  <si>
    <t>-2.66亿</t>
  </si>
  <si>
    <t>9148.13万</t>
  </si>
  <si>
    <t>2676.98万</t>
  </si>
  <si>
    <t>232.58万</t>
  </si>
  <si>
    <t>59.90亿</t>
  </si>
  <si>
    <t>80.27亿</t>
  </si>
  <si>
    <t>8459000000亿</t>
  </si>
  <si>
    <t>165873000000亿</t>
  </si>
  <si>
    <t>160.99亿</t>
  </si>
  <si>
    <t>928.77亿</t>
  </si>
  <si>
    <t>980.34万</t>
  </si>
  <si>
    <t>5212.46万</t>
  </si>
  <si>
    <t>104.93万</t>
  </si>
  <si>
    <t>260.54亿</t>
  </si>
  <si>
    <t>30.70亿</t>
  </si>
  <si>
    <t>3077476300亿</t>
  </si>
  <si>
    <t>44084671000亿</t>
  </si>
  <si>
    <t>208.94亿</t>
  </si>
  <si>
    <t>378.33亿</t>
  </si>
  <si>
    <t>791.33万</t>
  </si>
  <si>
    <t>5325.63万</t>
  </si>
  <si>
    <t>03070000000</t>
  </si>
  <si>
    <t>09210000000</t>
  </si>
  <si>
    <t>018420000000</t>
  </si>
  <si>
    <t>030700000000</t>
  </si>
  <si>
    <t>061400000000</t>
  </si>
  <si>
    <t>84.40万</t>
  </si>
  <si>
    <t>43.48亿</t>
  </si>
  <si>
    <t>1229545060亿</t>
  </si>
  <si>
    <t>40013994000亿</t>
  </si>
  <si>
    <t>85.88亿</t>
  </si>
  <si>
    <t>30.67亿</t>
  </si>
  <si>
    <t>-12.74亿</t>
  </si>
  <si>
    <t>79.11亿</t>
  </si>
  <si>
    <t>720.64万</t>
  </si>
  <si>
    <t>8765.78万</t>
  </si>
  <si>
    <t>0839000000</t>
  </si>
  <si>
    <t>02517000000</t>
  </si>
  <si>
    <t>05034000000</t>
  </si>
  <si>
    <t>08390000000</t>
  </si>
  <si>
    <t>016780000000</t>
  </si>
  <si>
    <t>348.20万</t>
  </si>
  <si>
    <t>191.00亿</t>
  </si>
  <si>
    <t>210.60亿</t>
  </si>
  <si>
    <t>429.12亿</t>
  </si>
  <si>
    <t>85.19亿</t>
  </si>
  <si>
    <t>1758.48万</t>
  </si>
  <si>
    <t>7684.94万</t>
  </si>
  <si>
    <t>15.94亿</t>
  </si>
  <si>
    <t>6214.16万</t>
  </si>
  <si>
    <t>2055.10万</t>
  </si>
  <si>
    <t>-359991710亿</t>
  </si>
  <si>
    <t>40160557000亿</t>
  </si>
  <si>
    <t>279.21亿</t>
  </si>
  <si>
    <t>71.12亿</t>
  </si>
  <si>
    <t>151.97亿</t>
  </si>
  <si>
    <t>154.77亿</t>
  </si>
  <si>
    <t>-8.78亿</t>
  </si>
  <si>
    <t>702.76万</t>
  </si>
  <si>
    <t>9428.22万</t>
  </si>
  <si>
    <t>961.30万</t>
  </si>
  <si>
    <t>2809.49亿</t>
  </si>
  <si>
    <t>574.39亿</t>
  </si>
  <si>
    <t>479.66亿</t>
  </si>
  <si>
    <t>1753.14亿</t>
  </si>
  <si>
    <t>-45.38亿</t>
  </si>
  <si>
    <t>51.19亿</t>
  </si>
  <si>
    <t>428.47亿</t>
  </si>
  <si>
    <t>16.60亿</t>
  </si>
  <si>
    <t>1354721600亿</t>
  </si>
  <si>
    <t>112.84亿</t>
  </si>
  <si>
    <t>47.60亿</t>
  </si>
  <si>
    <t>338388100000亿</t>
  </si>
  <si>
    <t>1006.02亿</t>
  </si>
  <si>
    <t>545.52亿</t>
  </si>
  <si>
    <t>241.83亿</t>
  </si>
  <si>
    <t>1418.88亿</t>
  </si>
  <si>
    <t>1442.81亿</t>
  </si>
  <si>
    <t>525.57亿</t>
  </si>
  <si>
    <t>373.88亿</t>
  </si>
  <si>
    <t>-196.20亿</t>
  </si>
  <si>
    <t>-39.36亿</t>
  </si>
  <si>
    <t>4493.05万</t>
  </si>
  <si>
    <t>143.00万</t>
  </si>
  <si>
    <t>19.71亿</t>
  </si>
  <si>
    <t>8463.14万</t>
  </si>
  <si>
    <t>2074.83万</t>
  </si>
  <si>
    <t>5913.41万</t>
  </si>
  <si>
    <t>201.22万</t>
  </si>
  <si>
    <t>834.58万</t>
  </si>
  <si>
    <t>27586321亿</t>
  </si>
  <si>
    <t>3107381700亿</t>
  </si>
  <si>
    <t>2688.47万</t>
  </si>
  <si>
    <t>350.42万</t>
  </si>
  <si>
    <t>-5526.80万</t>
  </si>
  <si>
    <t>612.51万</t>
  </si>
  <si>
    <t>1535.50万</t>
  </si>
  <si>
    <t>2479.00万</t>
  </si>
  <si>
    <t>40.24亿</t>
  </si>
  <si>
    <t>-3.33亿</t>
  </si>
  <si>
    <t>508373520亿</t>
  </si>
  <si>
    <t>18959320000亿</t>
  </si>
  <si>
    <t>44.00万</t>
  </si>
  <si>
    <t>112.90亿</t>
  </si>
  <si>
    <t>50.62亿</t>
  </si>
  <si>
    <t>318.94万</t>
  </si>
  <si>
    <t>5868.66万</t>
  </si>
  <si>
    <t>5816.66万</t>
  </si>
  <si>
    <t>9796.28万</t>
  </si>
  <si>
    <t>2140.05万</t>
  </si>
  <si>
    <t>269190520亿</t>
  </si>
  <si>
    <t>26596412000亿</t>
  </si>
  <si>
    <t>179.16万</t>
  </si>
  <si>
    <t>39.74亿</t>
  </si>
  <si>
    <t>-18.01亿</t>
  </si>
  <si>
    <t>-2.86亿</t>
  </si>
  <si>
    <t>130.20万</t>
  </si>
  <si>
    <t>800.49万</t>
  </si>
  <si>
    <t>145.02亿</t>
  </si>
  <si>
    <t>2259928100亿</t>
  </si>
  <si>
    <t>36909307000亿</t>
  </si>
  <si>
    <t>19.40亿</t>
  </si>
  <si>
    <t>83.11亿</t>
  </si>
  <si>
    <t>-15.22亿</t>
  </si>
  <si>
    <t>155.09亿</t>
  </si>
  <si>
    <t>68.08亿</t>
  </si>
  <si>
    <t>6657.04万</t>
  </si>
  <si>
    <t>1173.94万</t>
  </si>
  <si>
    <t>789.86亿</t>
  </si>
  <si>
    <t>7.44亿</t>
  </si>
  <si>
    <t>826809000亿</t>
  </si>
  <si>
    <t>64776450000亿</t>
  </si>
  <si>
    <t>240.08亿</t>
  </si>
  <si>
    <t>455.36亿</t>
  </si>
  <si>
    <t>16.03亿</t>
  </si>
  <si>
    <t>2161.40万</t>
  </si>
  <si>
    <t>5539.00万</t>
  </si>
  <si>
    <t>1485.20万</t>
  </si>
  <si>
    <t>333.85亿</t>
  </si>
  <si>
    <t>1265.03亿</t>
  </si>
  <si>
    <t>238893620000亿</t>
  </si>
  <si>
    <t>103.70亿</t>
  </si>
  <si>
    <t>-101.88亿</t>
  </si>
  <si>
    <t>-52.40亿</t>
  </si>
  <si>
    <t>7974.97万</t>
  </si>
  <si>
    <t>237.34万</t>
  </si>
  <si>
    <t>928.95亿</t>
  </si>
  <si>
    <t>455.74亿</t>
  </si>
  <si>
    <t>161.73亿</t>
  </si>
  <si>
    <t>661.81亿</t>
  </si>
  <si>
    <t>31.92亿</t>
  </si>
  <si>
    <t>129.81亿</t>
  </si>
  <si>
    <t>14.24亿</t>
  </si>
  <si>
    <t>3570.83万</t>
  </si>
  <si>
    <t>1062844430亿</t>
  </si>
  <si>
    <t>186.79亿</t>
  </si>
  <si>
    <t>170.20亿</t>
  </si>
  <si>
    <t>138468910000亿</t>
  </si>
  <si>
    <t>53.79亿</t>
  </si>
  <si>
    <t>9725.26万</t>
  </si>
  <si>
    <t>373.63亿</t>
  </si>
  <si>
    <t>781.03亿</t>
  </si>
  <si>
    <t>834.20亿</t>
  </si>
  <si>
    <t>-38.32亿</t>
  </si>
  <si>
    <t>66.37亿</t>
  </si>
  <si>
    <t>-18.39亿</t>
  </si>
  <si>
    <t>620.88亿</t>
  </si>
  <si>
    <t>1847.55万</t>
  </si>
  <si>
    <t>205.10万</t>
  </si>
  <si>
    <t>198.42亿</t>
  </si>
  <si>
    <t>15.75亿</t>
  </si>
  <si>
    <t>1811324000亿</t>
  </si>
  <si>
    <t>53464703000亿</t>
  </si>
  <si>
    <t>144.38亿</t>
  </si>
  <si>
    <t>6.36亿</t>
  </si>
  <si>
    <t>1692.36万</t>
  </si>
  <si>
    <t>8233.00万</t>
  </si>
  <si>
    <t>4946.32万</t>
  </si>
  <si>
    <t>1661.00亿</t>
  </si>
  <si>
    <t>5420.75亿</t>
  </si>
  <si>
    <t>945.36亿</t>
  </si>
  <si>
    <t>3760.78亿</t>
  </si>
  <si>
    <t>708.42亿</t>
  </si>
  <si>
    <t>293.21亿</t>
  </si>
  <si>
    <t>652.15亿</t>
  </si>
  <si>
    <t>48.81亿</t>
  </si>
  <si>
    <t>1725.76万</t>
  </si>
  <si>
    <t>22421937000亿</t>
  </si>
  <si>
    <t>1193.59亿</t>
  </si>
  <si>
    <t>219.42亿</t>
  </si>
  <si>
    <t>708175320000亿</t>
  </si>
  <si>
    <t>3152.78亿</t>
  </si>
  <si>
    <t>426.43亿</t>
  </si>
  <si>
    <t>1003.95亿</t>
  </si>
  <si>
    <t>1002.75亿</t>
  </si>
  <si>
    <t>321.64亿</t>
  </si>
  <si>
    <t>983.15亿</t>
  </si>
  <si>
    <t>-405.31亿</t>
  </si>
  <si>
    <t>-269.70亿</t>
  </si>
  <si>
    <t>629.66亿</t>
  </si>
  <si>
    <t>244.44亿</t>
  </si>
  <si>
    <t>4728.77亿</t>
  </si>
  <si>
    <t>070842000000</t>
  </si>
  <si>
    <t>0212526000000</t>
  </si>
  <si>
    <t>0425052000000</t>
  </si>
  <si>
    <t>0708420000000</t>
  </si>
  <si>
    <t>01416840000000</t>
  </si>
  <si>
    <t>3893.09万</t>
  </si>
  <si>
    <t>64.38亿</t>
  </si>
  <si>
    <t>52.95亿</t>
  </si>
  <si>
    <t>6656886100亿</t>
  </si>
  <si>
    <t>50734515000亿</t>
  </si>
  <si>
    <t>31.15亿</t>
  </si>
  <si>
    <t>111.62亿</t>
  </si>
  <si>
    <t>157.34亿</t>
  </si>
  <si>
    <t>401.63万</t>
  </si>
  <si>
    <t>3130.14亿</t>
  </si>
  <si>
    <t>1325.19亿</t>
  </si>
  <si>
    <t>1584.76亿</t>
  </si>
  <si>
    <t>6539.60亿</t>
  </si>
  <si>
    <t>99.25亿</t>
  </si>
  <si>
    <t>110.42亿</t>
  </si>
  <si>
    <t>1474.34亿</t>
  </si>
  <si>
    <t>45.36亿</t>
  </si>
  <si>
    <t>19.67亿</t>
  </si>
  <si>
    <t>6798.42万</t>
  </si>
  <si>
    <t>2586785500亿</t>
  </si>
  <si>
    <t>527.50亿</t>
  </si>
  <si>
    <t>2493.53亿</t>
  </si>
  <si>
    <t>445532590000亿</t>
  </si>
  <si>
    <t>116.81亿</t>
  </si>
  <si>
    <t>679.13亿</t>
  </si>
  <si>
    <t>1607.38亿</t>
  </si>
  <si>
    <t>1611.03亿</t>
  </si>
  <si>
    <t>2647.22亿</t>
  </si>
  <si>
    <t>2890.24亿</t>
  </si>
  <si>
    <t>154.17亿</t>
  </si>
  <si>
    <t>188.25亿</t>
  </si>
  <si>
    <t>-10.35亿</t>
  </si>
  <si>
    <t>85.66亿</t>
  </si>
  <si>
    <t>207.36亿</t>
  </si>
  <si>
    <t>2493.37万</t>
  </si>
  <si>
    <t>17.80万</t>
  </si>
  <si>
    <t>78.85亿</t>
  </si>
  <si>
    <t>54.52亿</t>
  </si>
  <si>
    <t>596.38万</t>
  </si>
  <si>
    <t>9947.11万</t>
  </si>
  <si>
    <t>2232.77万</t>
  </si>
  <si>
    <t>1679.54万</t>
  </si>
  <si>
    <t>1304497亿</t>
  </si>
  <si>
    <t>29.09亿</t>
  </si>
  <si>
    <t>13336434400亿</t>
  </si>
  <si>
    <t>9.90亿</t>
  </si>
  <si>
    <t>45.54亿</t>
  </si>
  <si>
    <t>32.23亿</t>
  </si>
  <si>
    <t>-19.27亿</t>
  </si>
  <si>
    <t>135.60万</t>
  </si>
  <si>
    <t>2154.59万</t>
  </si>
  <si>
    <t>1160.62万</t>
  </si>
  <si>
    <t>2752.96亿</t>
  </si>
  <si>
    <t>343.83亿</t>
  </si>
  <si>
    <t>40892385000亿</t>
  </si>
  <si>
    <t>1305768350000亿</t>
  </si>
  <si>
    <t>923.48亿</t>
  </si>
  <si>
    <t>6404.06亿</t>
  </si>
  <si>
    <t>519.07亿</t>
  </si>
  <si>
    <t>-430.83亿</t>
  </si>
  <si>
    <t>5943.34万</t>
  </si>
  <si>
    <t>034383000000</t>
  </si>
  <si>
    <t>0103149000000</t>
  </si>
  <si>
    <t>0206298000000</t>
  </si>
  <si>
    <t>0343830000000</t>
  </si>
  <si>
    <t>0687660000000</t>
  </si>
  <si>
    <t>13.90万</t>
  </si>
  <si>
    <t>152.66亿</t>
  </si>
  <si>
    <t>6.38亿</t>
  </si>
  <si>
    <t>637818490亿</t>
  </si>
  <si>
    <t>21970008000亿</t>
  </si>
  <si>
    <t>92.53亿</t>
  </si>
  <si>
    <t>-5708.02万</t>
  </si>
  <si>
    <t>135.35万</t>
  </si>
  <si>
    <t>1275.48万</t>
  </si>
  <si>
    <t>815.56万</t>
  </si>
  <si>
    <t>472.43亿</t>
  </si>
  <si>
    <t>173.40亿</t>
  </si>
  <si>
    <t>17524000000亿</t>
  </si>
  <si>
    <t>508885000000亿</t>
  </si>
  <si>
    <t>518.00亿</t>
  </si>
  <si>
    <t>-40.21亿</t>
  </si>
  <si>
    <t>563.41亿</t>
  </si>
  <si>
    <t>566.22亿</t>
  </si>
  <si>
    <t>4633.51万</t>
  </si>
  <si>
    <t>12.29亿</t>
  </si>
  <si>
    <t>84.79亿</t>
  </si>
  <si>
    <t>3462.90万</t>
  </si>
  <si>
    <t>8480697600亿</t>
  </si>
  <si>
    <t>60460494000亿</t>
  </si>
  <si>
    <t>34.84亿</t>
  </si>
  <si>
    <t>131.91亿</t>
  </si>
  <si>
    <t>146.46亿</t>
  </si>
  <si>
    <t>1337.19万</t>
  </si>
  <si>
    <t>270.96亿</t>
  </si>
  <si>
    <t>218.52万</t>
  </si>
  <si>
    <t>147.53亿</t>
  </si>
  <si>
    <t>203272750亿</t>
  </si>
  <si>
    <t>34414370000亿</t>
  </si>
  <si>
    <t>48.64亿</t>
  </si>
  <si>
    <t>92.77亿</t>
  </si>
  <si>
    <t>59.73亿</t>
  </si>
  <si>
    <t>-42.55亿</t>
  </si>
  <si>
    <t>3699.72万</t>
  </si>
  <si>
    <t>456.28万</t>
  </si>
  <si>
    <t>-6.10亿</t>
  </si>
  <si>
    <t>-614768690亿</t>
  </si>
  <si>
    <t>4064351100亿</t>
  </si>
  <si>
    <t>17.47亿</t>
  </si>
  <si>
    <t>2950.80万</t>
  </si>
  <si>
    <t>669.03万</t>
  </si>
  <si>
    <t>142.11亿</t>
  </si>
  <si>
    <t>1171656000亿</t>
  </si>
  <si>
    <t>44829053000亿</t>
  </si>
  <si>
    <t>-54.09亿</t>
  </si>
  <si>
    <t>4078.40万</t>
  </si>
  <si>
    <t>2853.56万</t>
  </si>
  <si>
    <t>786.79亿</t>
  </si>
  <si>
    <t>647.66亿</t>
  </si>
  <si>
    <t>126.22亿</t>
  </si>
  <si>
    <t>516.04亿</t>
  </si>
  <si>
    <t>35.62亿</t>
  </si>
  <si>
    <t>90.60亿</t>
  </si>
  <si>
    <t>12.86亿</t>
  </si>
  <si>
    <t>5800.95万</t>
  </si>
  <si>
    <t>1100687330亿</t>
  </si>
  <si>
    <t>154.45亿</t>
  </si>
  <si>
    <t>296.31亿</t>
  </si>
  <si>
    <t>143444910000亿</t>
  </si>
  <si>
    <t>118.18亿</t>
  </si>
  <si>
    <t>347.65亿</t>
  </si>
  <si>
    <t>261.42亿</t>
  </si>
  <si>
    <t>548.06亿</t>
  </si>
  <si>
    <t>533.96亿</t>
  </si>
  <si>
    <t>181.45亿</t>
  </si>
  <si>
    <t>-10.47亿</t>
  </si>
  <si>
    <t>269.10亿</t>
  </si>
  <si>
    <t>6138.27万</t>
  </si>
  <si>
    <t>1898.50万</t>
  </si>
  <si>
    <t>497099000亿</t>
  </si>
  <si>
    <t>6750363000亿</t>
  </si>
  <si>
    <t>36.49亿</t>
  </si>
  <si>
    <t>38.60亿</t>
  </si>
  <si>
    <t>28.62亿</t>
  </si>
  <si>
    <t>5207.80万</t>
  </si>
  <si>
    <t>5971.40万</t>
  </si>
  <si>
    <t>-936170000亿</t>
  </si>
  <si>
    <t>35882100000亿</t>
  </si>
  <si>
    <t>215.85亿</t>
  </si>
  <si>
    <t>92.67亿</t>
  </si>
  <si>
    <t>3616.33万</t>
  </si>
  <si>
    <t>306.74亿</t>
  </si>
  <si>
    <t>25.56亿</t>
  </si>
  <si>
    <t>48.27亿</t>
  </si>
  <si>
    <t>5587767700亿</t>
  </si>
  <si>
    <t>69723603000亿</t>
  </si>
  <si>
    <t>247.82亿</t>
  </si>
  <si>
    <t>66.49亿</t>
  </si>
  <si>
    <t>-8.30亿</t>
  </si>
  <si>
    <t>115.46亿</t>
  </si>
  <si>
    <t>02556000000</t>
  </si>
  <si>
    <t>07668000000</t>
  </si>
  <si>
    <t>015336000000</t>
  </si>
  <si>
    <t>025560000000</t>
  </si>
  <si>
    <t>051120000000</t>
  </si>
  <si>
    <t>1298.35万</t>
  </si>
  <si>
    <t>13931.70亿</t>
  </si>
  <si>
    <t>4502.75亿</t>
  </si>
  <si>
    <t>2957.13亿</t>
  </si>
  <si>
    <t>12427.58亿</t>
  </si>
  <si>
    <t>258.14亿</t>
  </si>
  <si>
    <t>222.50亿</t>
  </si>
  <si>
    <t>2734.63亿</t>
  </si>
  <si>
    <t>293.22亿</t>
  </si>
  <si>
    <t>7649693300亿</t>
  </si>
  <si>
    <t>1609.36亿</t>
  </si>
  <si>
    <t>1971.61亿</t>
  </si>
  <si>
    <t>1843444400000亿</t>
  </si>
  <si>
    <t>799.65亿</t>
  </si>
  <si>
    <t>1299.39亿</t>
  </si>
  <si>
    <t>5974.60亿</t>
  </si>
  <si>
    <t>5703.36亿</t>
  </si>
  <si>
    <t>10940.65亿</t>
  </si>
  <si>
    <t>11149.20亿</t>
  </si>
  <si>
    <t>2237.62亿</t>
  </si>
  <si>
    <t>223.76亿</t>
  </si>
  <si>
    <t>-612.88亿</t>
  </si>
  <si>
    <t>-147.45亿</t>
  </si>
  <si>
    <t>386.94亿</t>
  </si>
  <si>
    <t>5095.27万</t>
  </si>
  <si>
    <t>331.62万</t>
  </si>
  <si>
    <t>1012.72亿</t>
  </si>
  <si>
    <t>52.24亿</t>
  </si>
  <si>
    <t>7058886000亿</t>
  </si>
  <si>
    <t>137871090000亿</t>
  </si>
  <si>
    <t>144.35亿</t>
  </si>
  <si>
    <t>511.09亿</t>
  </si>
  <si>
    <t>-45.33亿</t>
  </si>
  <si>
    <t>167.99亿</t>
  </si>
  <si>
    <t>2112.34万</t>
  </si>
  <si>
    <t>120.80万</t>
  </si>
  <si>
    <t>7668.90万</t>
  </si>
  <si>
    <t>41250000亿</t>
  </si>
  <si>
    <t>20480929000亿</t>
  </si>
  <si>
    <t>8496.10万</t>
  </si>
  <si>
    <t>-1394.00万</t>
  </si>
  <si>
    <t>7908.80万</t>
  </si>
  <si>
    <t>793.60万</t>
  </si>
  <si>
    <t>4551.68万</t>
  </si>
  <si>
    <t>076689000</t>
  </si>
  <si>
    <t>0230067000</t>
  </si>
  <si>
    <t>0460134000</t>
  </si>
  <si>
    <t>0766890000</t>
  </si>
  <si>
    <t>01533780000</t>
  </si>
  <si>
    <t>375.81万</t>
  </si>
  <si>
    <t>393.43亿</t>
  </si>
  <si>
    <t>533.14亿</t>
  </si>
  <si>
    <t>26.04亿</t>
  </si>
  <si>
    <t>113.60亿</t>
  </si>
  <si>
    <t>2331.07万</t>
  </si>
  <si>
    <t>598416880亿</t>
  </si>
  <si>
    <t>92656772000亿</t>
  </si>
  <si>
    <t>326.22亿</t>
  </si>
  <si>
    <t>125.55亿</t>
  </si>
  <si>
    <t>135.30亿</t>
  </si>
  <si>
    <t>182.85亿</t>
  </si>
  <si>
    <t>262.13亿</t>
  </si>
  <si>
    <t>4738.36万</t>
  </si>
  <si>
    <t>3777.65万</t>
  </si>
  <si>
    <t>339.51亿</t>
  </si>
  <si>
    <t>7029.90万</t>
  </si>
  <si>
    <t>1093.54万</t>
  </si>
  <si>
    <t>953723100亿</t>
  </si>
  <si>
    <t>92957149000亿</t>
  </si>
  <si>
    <t>171.94亿</t>
  </si>
  <si>
    <t>144.50亿</t>
  </si>
  <si>
    <t>-61.71亿</t>
  </si>
  <si>
    <t>070299000</t>
  </si>
  <si>
    <t>0210897000</t>
  </si>
  <si>
    <t>0421794000</t>
  </si>
  <si>
    <t>0702990000</t>
  </si>
  <si>
    <t>01405980000</t>
  </si>
  <si>
    <t>151.74万</t>
  </si>
  <si>
    <t>161.88亿</t>
  </si>
  <si>
    <t>3225722000亿</t>
  </si>
  <si>
    <t>30456253000亿</t>
  </si>
  <si>
    <t>91.42亿</t>
  </si>
  <si>
    <t>37.64亿</t>
  </si>
  <si>
    <t>1695.87万</t>
  </si>
  <si>
    <t>03210000000</t>
  </si>
  <si>
    <t>09630000000</t>
  </si>
  <si>
    <t>019260000000</t>
  </si>
  <si>
    <t>032100000000</t>
  </si>
  <si>
    <t>064200000000</t>
  </si>
  <si>
    <t>599.44万</t>
  </si>
  <si>
    <t>5639.32亿</t>
  </si>
  <si>
    <t>1671.26亿</t>
  </si>
  <si>
    <t>1324.56亿</t>
  </si>
  <si>
    <t>6489.13亿</t>
  </si>
  <si>
    <t>328.87亿</t>
  </si>
  <si>
    <t>271.80亿</t>
  </si>
  <si>
    <t>1052.75亿</t>
  </si>
  <si>
    <t>73.38亿</t>
  </si>
  <si>
    <t>437.58亿</t>
  </si>
  <si>
    <t>-2.09亿</t>
  </si>
  <si>
    <t>5145870100亿</t>
  </si>
  <si>
    <t>936.19亿</t>
  </si>
  <si>
    <t>734.41亿</t>
  </si>
  <si>
    <t>731057410000亿</t>
  </si>
  <si>
    <t>2492.58亿</t>
  </si>
  <si>
    <t>147.97亿</t>
  </si>
  <si>
    <t>2175.77亿</t>
  </si>
  <si>
    <t>2151.19亿</t>
  </si>
  <si>
    <t>4973.09亿</t>
  </si>
  <si>
    <t>4789.85亿</t>
  </si>
  <si>
    <t>150.96亿</t>
  </si>
  <si>
    <t>1860.53亿</t>
  </si>
  <si>
    <t>-1377.52亿</t>
  </si>
  <si>
    <t>-294.13亿</t>
  </si>
  <si>
    <t>102.22亿</t>
  </si>
  <si>
    <t>3340.84万</t>
  </si>
  <si>
    <t>611.70万</t>
  </si>
  <si>
    <t>251.07亿</t>
  </si>
  <si>
    <t>-29.08亿</t>
  </si>
  <si>
    <t>-2825214300亿</t>
  </si>
  <si>
    <t>235470140000亿</t>
  </si>
  <si>
    <t>149.88亿</t>
  </si>
  <si>
    <t>1315.24亿</t>
  </si>
  <si>
    <t>60.93亿</t>
  </si>
  <si>
    <t>6152.20万</t>
  </si>
  <si>
    <t>104.19万</t>
  </si>
  <si>
    <t>-5.75亿</t>
  </si>
  <si>
    <t>-616635520亿</t>
  </si>
  <si>
    <t>1566340400亿</t>
  </si>
  <si>
    <t>7881.57万</t>
  </si>
  <si>
    <t>-1.58亿</t>
  </si>
  <si>
    <t>-17.56亿</t>
  </si>
  <si>
    <t>-7.57亿</t>
  </si>
  <si>
    <t>250.24万</t>
  </si>
  <si>
    <t>4069.78万</t>
  </si>
  <si>
    <t>414.60万</t>
  </si>
  <si>
    <t>313.02亿</t>
  </si>
  <si>
    <t>170766040亿</t>
  </si>
  <si>
    <t>15588409000亿</t>
  </si>
  <si>
    <t>29.86亿</t>
  </si>
  <si>
    <t>2795.50万</t>
  </si>
  <si>
    <t>422358.79亿</t>
  </si>
  <si>
    <t>32349.62亿</t>
  </si>
  <si>
    <t>1978.57亿</t>
  </si>
  <si>
    <t>7439.95亿</t>
  </si>
  <si>
    <t>2776.60亿</t>
  </si>
  <si>
    <t>755.02万</t>
  </si>
  <si>
    <t>76406945000亿</t>
  </si>
  <si>
    <t>45470841000000亿</t>
  </si>
  <si>
    <t>1666.86亿</t>
  </si>
  <si>
    <t>20008.74亿</t>
  </si>
  <si>
    <t>-14592.69亿</t>
  </si>
  <si>
    <t>-12808.90亿</t>
  </si>
  <si>
    <t>7776.83亿</t>
  </si>
  <si>
    <t>867.23亿</t>
  </si>
  <si>
    <t>8672.76亿</t>
  </si>
  <si>
    <t>4637.38万</t>
  </si>
  <si>
    <t>2381.42亿</t>
  </si>
  <si>
    <t>294.01亿</t>
  </si>
  <si>
    <t>29533391000亿</t>
  </si>
  <si>
    <t>2236437700000亿</t>
  </si>
  <si>
    <t>852.88亿</t>
  </si>
  <si>
    <t>-166.92亿</t>
  </si>
  <si>
    <t>-1159.88亿</t>
  </si>
  <si>
    <t>1374.47亿</t>
  </si>
  <si>
    <t>9.26亿</t>
  </si>
  <si>
    <t>838.80万</t>
  </si>
  <si>
    <t>117830538亿</t>
  </si>
  <si>
    <t>5148154200亿</t>
  </si>
  <si>
    <t>-4.98亿</t>
  </si>
  <si>
    <t>4953.60万</t>
  </si>
  <si>
    <t>389.77万</t>
  </si>
  <si>
    <t>189.73亿</t>
  </si>
  <si>
    <t>4188055100亿</t>
  </si>
  <si>
    <t>20718388000亿</t>
  </si>
  <si>
    <t>52.51亿</t>
  </si>
  <si>
    <t>-11.65亿</t>
  </si>
  <si>
    <t>321.39亿</t>
  </si>
  <si>
    <t>2702.99万</t>
  </si>
  <si>
    <t>212.30万</t>
  </si>
  <si>
    <t>116.92亿</t>
  </si>
  <si>
    <t>-12.67亿</t>
  </si>
  <si>
    <t>3220.10万</t>
  </si>
  <si>
    <t>1534000亿</t>
  </si>
  <si>
    <t>17503242000亿</t>
  </si>
  <si>
    <t>9.28亿</t>
  </si>
  <si>
    <t>31.12亿</t>
  </si>
  <si>
    <t>19.83亿</t>
  </si>
  <si>
    <t>-4.64亿</t>
  </si>
  <si>
    <t>1342.69万</t>
  </si>
  <si>
    <t>1984.43万</t>
  </si>
  <si>
    <t>293.78亿</t>
  </si>
  <si>
    <t>492.75亿</t>
  </si>
  <si>
    <t>51.65亿</t>
  </si>
  <si>
    <t>280.08亿</t>
  </si>
  <si>
    <t>7.14亿</t>
  </si>
  <si>
    <t>44.51亿</t>
  </si>
  <si>
    <t>6071.44万</t>
  </si>
  <si>
    <t>-49786019亿</t>
  </si>
  <si>
    <t>18.46亿</t>
  </si>
  <si>
    <t>78653199000亿</t>
  </si>
  <si>
    <t>336.49亿</t>
  </si>
  <si>
    <t>61.45亿</t>
  </si>
  <si>
    <t>120.36亿</t>
  </si>
  <si>
    <t>146.10亿</t>
  </si>
  <si>
    <t>123.79亿</t>
  </si>
  <si>
    <t>42.95亿</t>
  </si>
  <si>
    <t>-51.25亿</t>
  </si>
  <si>
    <t>330.90亿</t>
  </si>
  <si>
    <t>21.84亿</t>
  </si>
  <si>
    <t>232.32亿</t>
  </si>
  <si>
    <t>8692.28万</t>
  </si>
  <si>
    <t>0706000000</t>
  </si>
  <si>
    <t>02118000000</t>
  </si>
  <si>
    <t>04236000000</t>
  </si>
  <si>
    <t>07060000000</t>
  </si>
  <si>
    <t>014120000000</t>
  </si>
  <si>
    <t>328.59亿</t>
  </si>
  <si>
    <t>352861930亿</t>
  </si>
  <si>
    <t>26593276000亿</t>
  </si>
  <si>
    <t>65.10亿</t>
  </si>
  <si>
    <t>85.06亿</t>
  </si>
  <si>
    <t>31.57亿</t>
  </si>
  <si>
    <t>-23.37亿</t>
  </si>
  <si>
    <t>34.44亿</t>
  </si>
  <si>
    <t>3164.64万</t>
  </si>
  <si>
    <t>142.00万</t>
  </si>
  <si>
    <t>153.42亿</t>
  </si>
  <si>
    <t>90.91亿</t>
  </si>
  <si>
    <t>36.60万</t>
  </si>
  <si>
    <t>5552.96万</t>
  </si>
  <si>
    <t>808.20万</t>
  </si>
  <si>
    <t>1946.94万</t>
  </si>
  <si>
    <t>158484380亿</t>
  </si>
  <si>
    <t>23.30亿</t>
  </si>
  <si>
    <t>24433439000亿</t>
  </si>
  <si>
    <t>42.20亿</t>
  </si>
  <si>
    <t>100.87亿</t>
  </si>
  <si>
    <t>-1.55亿</t>
  </si>
  <si>
    <t>1430.70万</t>
  </si>
  <si>
    <t>4646.30万</t>
  </si>
  <si>
    <t>06900000000</t>
  </si>
  <si>
    <t>013800000000</t>
  </si>
  <si>
    <t>654.34万</t>
  </si>
  <si>
    <t>14405.46亿</t>
  </si>
  <si>
    <t>1014.19亿</t>
  </si>
  <si>
    <t>285.34亿</t>
  </si>
  <si>
    <t>792.05亿</t>
  </si>
  <si>
    <t>95.50亿</t>
  </si>
  <si>
    <t>5331519800亿</t>
  </si>
  <si>
    <t>273.67亿</t>
  </si>
  <si>
    <t>1541964400000亿</t>
  </si>
  <si>
    <t>172.77亿</t>
  </si>
  <si>
    <t>1003.55亿</t>
  </si>
  <si>
    <t>-1717.19亿</t>
  </si>
  <si>
    <t>89.11亿</t>
  </si>
  <si>
    <t>1220.20亿</t>
  </si>
  <si>
    <t>39.71亿</t>
  </si>
  <si>
    <t>293.38亿</t>
  </si>
  <si>
    <t>1915.84万</t>
  </si>
  <si>
    <t>3513.60万</t>
  </si>
  <si>
    <t>13348.53亿</t>
  </si>
  <si>
    <t>3634.66亿</t>
  </si>
  <si>
    <t>1396.05亿</t>
  </si>
  <si>
    <t>5903.34亿</t>
  </si>
  <si>
    <t>244.69亿</t>
  </si>
  <si>
    <t>-68.83亿</t>
  </si>
  <si>
    <t>13011151800亿</t>
  </si>
  <si>
    <t>218.25亿</t>
  </si>
  <si>
    <t>1698318300000亿</t>
  </si>
  <si>
    <t>344.87亿</t>
  </si>
  <si>
    <t>773.36亿</t>
  </si>
  <si>
    <t>-777.50亿</t>
  </si>
  <si>
    <t>5787.84亿</t>
  </si>
  <si>
    <t>43.81亿</t>
  </si>
  <si>
    <t>387.31亿</t>
  </si>
  <si>
    <t>1245.80万</t>
  </si>
  <si>
    <t>178.57亿</t>
  </si>
  <si>
    <t>21.87亿</t>
  </si>
  <si>
    <t>987505680亿</t>
  </si>
  <si>
    <t>85479054000亿</t>
  </si>
  <si>
    <t>75.95亿</t>
  </si>
  <si>
    <t>-65.09亿</t>
  </si>
  <si>
    <t>38.70万</t>
  </si>
  <si>
    <t>25.46亿</t>
  </si>
  <si>
    <t>1173.03万</t>
  </si>
  <si>
    <t>6439.87万</t>
  </si>
  <si>
    <t>8045.73万</t>
  </si>
  <si>
    <t>-132.74万</t>
  </si>
  <si>
    <t>347.53万</t>
  </si>
  <si>
    <t>2437504亿</t>
  </si>
  <si>
    <t>13.30亿</t>
  </si>
  <si>
    <t>3047418600亿</t>
  </si>
  <si>
    <t>882.97万</t>
  </si>
  <si>
    <t>797.19万</t>
  </si>
  <si>
    <t>7784.71万</t>
  </si>
  <si>
    <t>-4974.17万</t>
  </si>
  <si>
    <t>-410.68万</t>
  </si>
  <si>
    <t>583.50万</t>
  </si>
  <si>
    <t>4749.20万</t>
  </si>
  <si>
    <t>2056.21万</t>
  </si>
  <si>
    <t>4.15亿</t>
  </si>
  <si>
    <t>401667410亿</t>
  </si>
  <si>
    <t>6321989300亿</t>
  </si>
  <si>
    <t>13.86亿</t>
  </si>
  <si>
    <t>-7.07亿</t>
  </si>
  <si>
    <t>829.67亿</t>
  </si>
  <si>
    <t>7666249500亿</t>
  </si>
  <si>
    <t>1747734600000亿</t>
  </si>
  <si>
    <t>170.38亿</t>
  </si>
  <si>
    <t>-664.08亿</t>
  </si>
  <si>
    <t>406.88亿</t>
  </si>
  <si>
    <t>182.40万</t>
  </si>
  <si>
    <t>92.34亿</t>
  </si>
  <si>
    <t>1140195990亿</t>
  </si>
  <si>
    <t>14322127000亿</t>
  </si>
  <si>
    <t>33.85亿</t>
  </si>
  <si>
    <t>737.90万</t>
  </si>
  <si>
    <t>7069.87万</t>
  </si>
  <si>
    <t>304.23万</t>
  </si>
  <si>
    <t>157.26亿</t>
  </si>
  <si>
    <t>11.29亿</t>
  </si>
  <si>
    <t>1132428310亿</t>
  </si>
  <si>
    <t>18992180000亿</t>
  </si>
  <si>
    <t>13.76亿</t>
  </si>
  <si>
    <t>-10.03亿</t>
  </si>
  <si>
    <t>75.12亿</t>
  </si>
  <si>
    <t>3424.99万</t>
  </si>
  <si>
    <t>96.50万</t>
  </si>
  <si>
    <t>374.89亿</t>
  </si>
  <si>
    <t>153.99亿</t>
  </si>
  <si>
    <t>11.88亿</t>
  </si>
  <si>
    <t>134017802亿</t>
  </si>
  <si>
    <t>119.91亿</t>
  </si>
  <si>
    <t>52888592000亿</t>
  </si>
  <si>
    <t>755.51万</t>
  </si>
  <si>
    <t>9.57亿</t>
  </si>
  <si>
    <t>354.56亿</t>
  </si>
  <si>
    <t>333.70亿</t>
  </si>
  <si>
    <t>36.10亿</t>
  </si>
  <si>
    <t>-5.12亿</t>
  </si>
  <si>
    <t>-1806.24万</t>
  </si>
  <si>
    <t>685.86万</t>
  </si>
  <si>
    <t>7512.36万</t>
  </si>
  <si>
    <t>0232000000</t>
  </si>
  <si>
    <t>0696000000</t>
  </si>
  <si>
    <t>02320000000</t>
  </si>
  <si>
    <t>04640000000</t>
  </si>
  <si>
    <t>4442.95万</t>
  </si>
  <si>
    <t>1464.78亿</t>
  </si>
  <si>
    <t>125.63亿</t>
  </si>
  <si>
    <t>13700036000亿</t>
  </si>
  <si>
    <t>219590880000亿</t>
  </si>
  <si>
    <t>127.69亿</t>
  </si>
  <si>
    <t>811.51亿</t>
  </si>
  <si>
    <t>245.57亿</t>
  </si>
  <si>
    <t>-196.09亿</t>
  </si>
  <si>
    <t>421.72亿</t>
  </si>
  <si>
    <t>012563000000</t>
  </si>
  <si>
    <t>037689000000</t>
  </si>
  <si>
    <t>075378000000</t>
  </si>
  <si>
    <t>0125630000000</t>
  </si>
  <si>
    <t>0251260000000</t>
  </si>
  <si>
    <t>粤丰环保</t>
  </si>
  <si>
    <t>139.80万</t>
  </si>
  <si>
    <t>49.80亿</t>
  </si>
  <si>
    <t>6153.00万</t>
  </si>
  <si>
    <t>1020527000亿</t>
  </si>
  <si>
    <t>27075156000亿</t>
  </si>
  <si>
    <t>48.15亿</t>
  </si>
  <si>
    <t>10.78亿</t>
  </si>
  <si>
    <t>-5.89亿</t>
  </si>
  <si>
    <t>67.95亿</t>
  </si>
  <si>
    <t>33.26亿</t>
  </si>
  <si>
    <t>23.98亿</t>
  </si>
  <si>
    <t>2230.30万</t>
  </si>
  <si>
    <t>4954.00万</t>
  </si>
  <si>
    <t>01001000000</t>
  </si>
  <si>
    <t>03003000000</t>
  </si>
  <si>
    <t>06006000000</t>
  </si>
  <si>
    <t>010010000000</t>
  </si>
  <si>
    <t>020020000000</t>
  </si>
  <si>
    <t>上海复旦</t>
  </si>
  <si>
    <t>341.70万</t>
  </si>
  <si>
    <t>25.47亿</t>
  </si>
  <si>
    <t>38.67亿</t>
  </si>
  <si>
    <t>5.43亿</t>
  </si>
  <si>
    <t>6475.87万</t>
  </si>
  <si>
    <t>13.04亿</t>
  </si>
  <si>
    <t>989.41万</t>
  </si>
  <si>
    <t>2879.25万</t>
  </si>
  <si>
    <t>170791120亿</t>
  </si>
  <si>
    <t>8.31亿</t>
  </si>
  <si>
    <t>9163714200亿</t>
  </si>
  <si>
    <t>20.60亿</t>
  </si>
  <si>
    <t>-7.76亿</t>
  </si>
  <si>
    <t>-8.02亿</t>
  </si>
  <si>
    <t>39.65亿</t>
  </si>
  <si>
    <t>31.41亿</t>
  </si>
  <si>
    <t>20.06亿</t>
  </si>
  <si>
    <t>12.15亿</t>
  </si>
  <si>
    <t>2344.24万</t>
  </si>
  <si>
    <t>471600.72亿</t>
  </si>
  <si>
    <t>41813.17亿</t>
  </si>
  <si>
    <t>2185.46亿</t>
  </si>
  <si>
    <t>8719.11亿</t>
  </si>
  <si>
    <t>3826.06亿</t>
  </si>
  <si>
    <t>-37.14亿</t>
  </si>
  <si>
    <t>94983673000亿</t>
  </si>
  <si>
    <t>51341389000000亿</t>
  </si>
  <si>
    <t>3191.35亿</t>
  </si>
  <si>
    <t>15533.18亿</t>
  </si>
  <si>
    <t>-9776.48亿</t>
  </si>
  <si>
    <t>-2156.35亿</t>
  </si>
  <si>
    <t>9410.94亿</t>
  </si>
  <si>
    <t>1111.71亿</t>
  </si>
  <si>
    <t>15348.58亿</t>
  </si>
  <si>
    <t>0382606000000</t>
  </si>
  <si>
    <t>01147818000000</t>
  </si>
  <si>
    <t>02295636000000</t>
  </si>
  <si>
    <t>03826060000000</t>
  </si>
  <si>
    <t>07652120000000</t>
  </si>
  <si>
    <t>297.45万</t>
  </si>
  <si>
    <t>808.57亿</t>
  </si>
  <si>
    <t>197.03亿</t>
  </si>
  <si>
    <t>49.22亿</t>
  </si>
  <si>
    <t>7.36亿</t>
  </si>
  <si>
    <t>3282.51万</t>
  </si>
  <si>
    <t>-7.80万</t>
  </si>
  <si>
    <t>-9.36亿</t>
  </si>
  <si>
    <t>770.00万</t>
  </si>
  <si>
    <t>-233676120亿</t>
  </si>
  <si>
    <t>139.14亿</t>
  </si>
  <si>
    <t>100560049000亿</t>
  </si>
  <si>
    <t>473.56亿</t>
  </si>
  <si>
    <t>392.78亿</t>
  </si>
  <si>
    <t>290.36亿</t>
  </si>
  <si>
    <t>-9.92亿</t>
  </si>
  <si>
    <t>28.54亿</t>
  </si>
  <si>
    <t>1073.48万</t>
  </si>
  <si>
    <t>0736000000</t>
  </si>
  <si>
    <t>02208000000</t>
  </si>
  <si>
    <t>04416000000</t>
  </si>
  <si>
    <t>07360000000</t>
  </si>
  <si>
    <t>014720000000</t>
  </si>
  <si>
    <t>305.95万</t>
  </si>
  <si>
    <t>126694411亿</t>
  </si>
  <si>
    <t>5363990500亿</t>
  </si>
  <si>
    <t>1417.80万</t>
  </si>
  <si>
    <t>39.91亿</t>
  </si>
  <si>
    <t>-11.58亿</t>
  </si>
  <si>
    <t>66465000亿</t>
  </si>
  <si>
    <t>1685040000亿</t>
  </si>
  <si>
    <t>-844.00万</t>
  </si>
  <si>
    <t>-7031.40万</t>
  </si>
  <si>
    <t>-8578.20万</t>
  </si>
  <si>
    <t>-671.00万</t>
  </si>
  <si>
    <t>-1.04亿</t>
  </si>
  <si>
    <t>-7312.90万</t>
  </si>
  <si>
    <t>2219.55万</t>
  </si>
  <si>
    <t>119.42亿</t>
  </si>
  <si>
    <t>794.59亿</t>
  </si>
  <si>
    <t>54.10万</t>
  </si>
  <si>
    <t>3620.20万</t>
  </si>
  <si>
    <t>333149000亿</t>
  </si>
  <si>
    <t>4683733000亿</t>
  </si>
  <si>
    <t>40.68亿</t>
  </si>
  <si>
    <t>253.82万</t>
  </si>
  <si>
    <t>2307.08万</t>
  </si>
  <si>
    <t>19.85万</t>
  </si>
  <si>
    <t>-416322510亿</t>
  </si>
  <si>
    <t>3585669100亿</t>
  </si>
  <si>
    <t>2761.55万</t>
  </si>
  <si>
    <t>276.05万</t>
  </si>
  <si>
    <t>2394.39万</t>
  </si>
  <si>
    <t>145.70万</t>
  </si>
  <si>
    <t>137.36亿</t>
  </si>
  <si>
    <t>8979.74万</t>
  </si>
  <si>
    <t>91566682亿</t>
  </si>
  <si>
    <t>16380243000亿</t>
  </si>
  <si>
    <t>57.31亿</t>
  </si>
  <si>
    <t>105.96亿</t>
  </si>
  <si>
    <t>1585.60万</t>
  </si>
  <si>
    <t>58.95万</t>
  </si>
  <si>
    <t>166.53亿</t>
  </si>
  <si>
    <t>34.63亿</t>
  </si>
  <si>
    <t>134.60亿</t>
  </si>
  <si>
    <t>21.42亿</t>
  </si>
  <si>
    <t>13.54亿</t>
  </si>
  <si>
    <t>-5879.27万</t>
  </si>
  <si>
    <t>3090.35万</t>
  </si>
  <si>
    <t>772362770亿</t>
  </si>
  <si>
    <t>38.89亿</t>
  </si>
  <si>
    <t>27169606000亿</t>
  </si>
  <si>
    <t>18.18亿</t>
  </si>
  <si>
    <t>88.65亿</t>
  </si>
  <si>
    <t>-4.93亿</t>
  </si>
  <si>
    <t>259.35万</t>
  </si>
  <si>
    <t>1513.50万</t>
  </si>
  <si>
    <t>213.40万</t>
  </si>
  <si>
    <t>359433020亿</t>
  </si>
  <si>
    <t>14967725000亿</t>
  </si>
  <si>
    <t>18.98亿</t>
  </si>
  <si>
    <t>-28.74亿</t>
  </si>
  <si>
    <t>89.13亿</t>
  </si>
  <si>
    <t>1351.78万</t>
  </si>
  <si>
    <t>0282000000</t>
  </si>
  <si>
    <t>0846000000</t>
  </si>
  <si>
    <t>01692000000</t>
  </si>
  <si>
    <t>02820000000</t>
  </si>
  <si>
    <t>05640000000</t>
  </si>
  <si>
    <t>952.50万</t>
  </si>
  <si>
    <t>76.84亿</t>
  </si>
  <si>
    <t>-4.77亿</t>
  </si>
  <si>
    <t>-431007200亿</t>
  </si>
  <si>
    <t>12765061500亿</t>
  </si>
  <si>
    <t>7.11亿</t>
  </si>
  <si>
    <t>4895.39万</t>
  </si>
  <si>
    <t>极兔速递-W</t>
  </si>
  <si>
    <t>1152.81万</t>
  </si>
  <si>
    <t>-9032468600亿</t>
  </si>
  <si>
    <t>51563645000亿</t>
  </si>
  <si>
    <t>814.33万</t>
  </si>
  <si>
    <t>20.30亿</t>
  </si>
  <si>
    <t>8442.13万</t>
  </si>
  <si>
    <t>4716.28万</t>
  </si>
  <si>
    <t>-7825000亿</t>
  </si>
  <si>
    <t>4466868800亿</t>
  </si>
  <si>
    <t>9852.80万</t>
  </si>
  <si>
    <t>-6.84亿</t>
  </si>
  <si>
    <t>4080.90万</t>
  </si>
  <si>
    <t>41.44万</t>
  </si>
  <si>
    <t>746.45亿</t>
  </si>
  <si>
    <t>565.17亿</t>
  </si>
  <si>
    <t>126.23亿</t>
  </si>
  <si>
    <t>-26.45亿</t>
  </si>
  <si>
    <t>3532.78万</t>
  </si>
  <si>
    <t>752.26万</t>
  </si>
  <si>
    <t>-385545700亿</t>
  </si>
  <si>
    <t>14.68亿</t>
  </si>
  <si>
    <t>131162000000亿</t>
  </si>
  <si>
    <t>29.33亿</t>
  </si>
  <si>
    <t>22.67亿</t>
  </si>
  <si>
    <t>313.42亿</t>
  </si>
  <si>
    <t>303.89亿</t>
  </si>
  <si>
    <t>205.11亿</t>
  </si>
  <si>
    <t>25.91亿</t>
  </si>
  <si>
    <t>-5.08亿</t>
  </si>
  <si>
    <t>157.72亿</t>
  </si>
  <si>
    <t>82.85亿</t>
  </si>
  <si>
    <t>390.04万</t>
  </si>
  <si>
    <t>3818.95万</t>
  </si>
  <si>
    <t>1059.95万</t>
  </si>
  <si>
    <t>85.68亿</t>
  </si>
  <si>
    <t>1738893300亿</t>
  </si>
  <si>
    <t>25897756000亿</t>
  </si>
  <si>
    <t>40.86亿</t>
  </si>
  <si>
    <t>22.83亿</t>
  </si>
  <si>
    <t>-14.75亿</t>
  </si>
  <si>
    <t>77.45亿</t>
  </si>
  <si>
    <t>9.06亿</t>
  </si>
  <si>
    <t>3479.11万</t>
  </si>
  <si>
    <t>宜明昂科-B</t>
  </si>
  <si>
    <t>28.06万</t>
  </si>
  <si>
    <t>-415962960亿</t>
  </si>
  <si>
    <t>958725560亿</t>
  </si>
  <si>
    <t>168.16万</t>
  </si>
  <si>
    <t>544.64万</t>
  </si>
  <si>
    <t>555.60万</t>
  </si>
  <si>
    <t>-7.46亿</t>
  </si>
  <si>
    <t>33.81亿</t>
  </si>
  <si>
    <t>-2773850100亿</t>
  </si>
  <si>
    <t>26458216000亿</t>
  </si>
  <si>
    <t>-22.41亿</t>
  </si>
  <si>
    <t>-27.94亿</t>
  </si>
  <si>
    <t>-27.97亿</t>
  </si>
  <si>
    <t>5264.21万</t>
  </si>
  <si>
    <t>2223.40万</t>
  </si>
  <si>
    <t>9661.18万</t>
  </si>
  <si>
    <t>1979.75万</t>
  </si>
  <si>
    <t>-9464.33万</t>
  </si>
  <si>
    <t>4622.49万</t>
  </si>
  <si>
    <t>4385.10万</t>
  </si>
  <si>
    <t>201.10万</t>
  </si>
  <si>
    <t>994284090亿</t>
  </si>
  <si>
    <t>6636874900亿</t>
  </si>
  <si>
    <t>1370.54万</t>
  </si>
  <si>
    <t>9234.70万</t>
  </si>
  <si>
    <t>1078.20万</t>
  </si>
  <si>
    <t>381.07亿</t>
  </si>
  <si>
    <t>28.94亿</t>
  </si>
  <si>
    <t>13.07亿</t>
  </si>
  <si>
    <t>2894141200亿</t>
  </si>
  <si>
    <t>28128599000亿</t>
  </si>
  <si>
    <t>149.87亿</t>
  </si>
  <si>
    <t>39.25亿</t>
  </si>
  <si>
    <t>-4.72亿</t>
  </si>
  <si>
    <t>7379.29万</t>
  </si>
  <si>
    <t>82.50万</t>
  </si>
  <si>
    <t>84.69亿</t>
  </si>
  <si>
    <t>554980850亿</t>
  </si>
  <si>
    <t>17199952000亿</t>
  </si>
  <si>
    <t>-3.42亿</t>
  </si>
  <si>
    <t>15.60亿</t>
  </si>
  <si>
    <t>339.00万</t>
  </si>
  <si>
    <t>4038.37万</t>
  </si>
  <si>
    <t>1658.50万</t>
  </si>
  <si>
    <t>126.81亿</t>
  </si>
  <si>
    <t>-1.49亿</t>
  </si>
  <si>
    <t>-187462260亿</t>
  </si>
  <si>
    <t>17791690000亿</t>
  </si>
  <si>
    <t>68.58亿</t>
  </si>
  <si>
    <t>22.20亿</t>
  </si>
  <si>
    <t>-8.13亿</t>
  </si>
  <si>
    <t>8648.30万</t>
  </si>
  <si>
    <t>803.30万</t>
  </si>
  <si>
    <t>5695.54亿</t>
  </si>
  <si>
    <t>1888.04亿</t>
  </si>
  <si>
    <t>1613.38亿</t>
  </si>
  <si>
    <t>6927.43亿</t>
  </si>
  <si>
    <t>75.51亿</t>
  </si>
  <si>
    <t>128.42亿</t>
  </si>
  <si>
    <t>1484.96亿</t>
  </si>
  <si>
    <t>64.78亿</t>
  </si>
  <si>
    <t>6981.13万</t>
  </si>
  <si>
    <t>3392039500亿</t>
  </si>
  <si>
    <t>542.76亿</t>
  </si>
  <si>
    <t>1664.71亿</t>
  </si>
  <si>
    <t>758358400000亿</t>
  </si>
  <si>
    <t>292.86亿</t>
  </si>
  <si>
    <t>624.14亿</t>
  </si>
  <si>
    <t>2982.88亿</t>
  </si>
  <si>
    <t>2971.26亿</t>
  </si>
  <si>
    <t>4919.95亿</t>
  </si>
  <si>
    <t>5160.22亿</t>
  </si>
  <si>
    <t>456.71亿</t>
  </si>
  <si>
    <t>-73.71亿</t>
  </si>
  <si>
    <t>79.52亿</t>
  </si>
  <si>
    <t>170.72亿</t>
  </si>
  <si>
    <t>4463.43万</t>
  </si>
  <si>
    <t>30.80万</t>
  </si>
  <si>
    <t>142.04亿</t>
  </si>
  <si>
    <t>69.45亿</t>
  </si>
  <si>
    <t>6256.79万</t>
  </si>
  <si>
    <t>8641.74万</t>
  </si>
  <si>
    <t>49.12万</t>
  </si>
  <si>
    <t>3536.72万</t>
  </si>
  <si>
    <t>759.51万</t>
  </si>
  <si>
    <t>90719056亿</t>
  </si>
  <si>
    <t>24791186000亿</t>
  </si>
  <si>
    <t>17.68亿</t>
  </si>
  <si>
    <t>15.65亿</t>
  </si>
  <si>
    <t>92.76亿</t>
  </si>
  <si>
    <t>88.24亿</t>
  </si>
  <si>
    <t>92.70万</t>
  </si>
  <si>
    <t>1367.60万</t>
  </si>
  <si>
    <t>8639.61万</t>
  </si>
  <si>
    <t>165276.55亿</t>
  </si>
  <si>
    <t>10879.85亿</t>
  </si>
  <si>
    <t>893.23亿</t>
  </si>
  <si>
    <t>3487.83亿</t>
  </si>
  <si>
    <t>887.42亿</t>
  </si>
  <si>
    <t>-1.05亿</t>
  </si>
  <si>
    <t>27997220000亿</t>
  </si>
  <si>
    <t>17615640000000亿</t>
  </si>
  <si>
    <t>601.87亿</t>
  </si>
  <si>
    <t>2886.70亿</t>
  </si>
  <si>
    <t>-2657.50亿</t>
  </si>
  <si>
    <t>-709.38亿</t>
  </si>
  <si>
    <t>1362.34亿</t>
  </si>
  <si>
    <t>1995.80万</t>
  </si>
  <si>
    <t>44.25亿</t>
  </si>
  <si>
    <t>-621457000亿</t>
  </si>
  <si>
    <t>103367840000亿</t>
  </si>
  <si>
    <t>407.60亿</t>
  </si>
  <si>
    <t>58.59亿</t>
  </si>
  <si>
    <t>28.16亿</t>
  </si>
  <si>
    <t>25.24万</t>
  </si>
  <si>
    <t>561596410亿</t>
  </si>
  <si>
    <t>12370104000亿</t>
  </si>
  <si>
    <t>10.89亿</t>
  </si>
  <si>
    <t>4.94亿</t>
  </si>
  <si>
    <t>319.84万</t>
  </si>
  <si>
    <t>1812.11万</t>
  </si>
  <si>
    <t>0584000000</t>
  </si>
  <si>
    <t>01752000000</t>
  </si>
  <si>
    <t>03504000000</t>
  </si>
  <si>
    <t>05840000000</t>
  </si>
  <si>
    <t>011680000000</t>
  </si>
  <si>
    <t>133.93万</t>
  </si>
  <si>
    <t>435440000亿</t>
  </si>
  <si>
    <t>22252201000亿</t>
  </si>
  <si>
    <t>3434.00万</t>
  </si>
  <si>
    <t>14.73亿</t>
  </si>
  <si>
    <t>61.68亿</t>
  </si>
  <si>
    <t>889.44万</t>
  </si>
  <si>
    <t>4054.66万</t>
  </si>
  <si>
    <t>0905000000</t>
  </si>
  <si>
    <t>05430000000</t>
  </si>
  <si>
    <t>09050000000</t>
  </si>
  <si>
    <t>018100000000</t>
  </si>
  <si>
    <t>484.70万</t>
  </si>
  <si>
    <t>268.63亿</t>
  </si>
  <si>
    <t>1171400050亿</t>
  </si>
  <si>
    <t>10961106000亿</t>
  </si>
  <si>
    <t>54.27亿</t>
  </si>
  <si>
    <t>-26.42亿</t>
  </si>
  <si>
    <t>44.46亿</t>
  </si>
  <si>
    <t>2027.47万</t>
  </si>
  <si>
    <t>01029000000</t>
  </si>
  <si>
    <t>03087000000</t>
  </si>
  <si>
    <t>06174000000</t>
  </si>
  <si>
    <t>010290000000</t>
  </si>
  <si>
    <t>020580000000</t>
  </si>
  <si>
    <t>中环新能源</t>
  </si>
  <si>
    <t>348.60万</t>
  </si>
  <si>
    <t>40.28亿</t>
  </si>
  <si>
    <t>6632.30万</t>
  </si>
  <si>
    <t>71289000亿</t>
  </si>
  <si>
    <t>3496284000亿</t>
  </si>
  <si>
    <t>-10.02亿</t>
  </si>
  <si>
    <t>-7.48亿</t>
  </si>
  <si>
    <t>10.86亿</t>
  </si>
  <si>
    <t>6198.50万</t>
  </si>
  <si>
    <t>-1268.70万</t>
  </si>
  <si>
    <t>-1081.40万</t>
  </si>
  <si>
    <t>1072.80万</t>
  </si>
  <si>
    <t>2695.60万</t>
  </si>
  <si>
    <t>-2784.30万</t>
  </si>
  <si>
    <t>2448.20万</t>
  </si>
  <si>
    <t>1206.23万</t>
  </si>
  <si>
    <t>2950.31亿</t>
  </si>
  <si>
    <t>2135.67亿</t>
  </si>
  <si>
    <t>343.67亿</t>
  </si>
  <si>
    <t>2549.25亿</t>
  </si>
  <si>
    <t>83.05亿</t>
  </si>
  <si>
    <t>260.63亿</t>
  </si>
  <si>
    <t>162.38亿</t>
  </si>
  <si>
    <t>-5832.10万</t>
  </si>
  <si>
    <t>1638657700亿</t>
  </si>
  <si>
    <t>728.61亿</t>
  </si>
  <si>
    <t>1122.71亿</t>
  </si>
  <si>
    <t>508597440000亿</t>
  </si>
  <si>
    <t>639.83亿</t>
  </si>
  <si>
    <t>90.65亿</t>
  </si>
  <si>
    <t>1982.70亿</t>
  </si>
  <si>
    <t>1940.60亿</t>
  </si>
  <si>
    <t>2744.97亿</t>
  </si>
  <si>
    <t>2679.85亿</t>
  </si>
  <si>
    <t>77.14亿</t>
  </si>
  <si>
    <t>161.38亿</t>
  </si>
  <si>
    <t>-122.53亿</t>
  </si>
  <si>
    <t>-31.87亿</t>
  </si>
  <si>
    <t>568.52亿</t>
  </si>
  <si>
    <t>8370.05万</t>
  </si>
  <si>
    <t>012838000000</t>
  </si>
  <si>
    <t>038514000000</t>
  </si>
  <si>
    <t>077028000000</t>
  </si>
  <si>
    <t>0128380000000</t>
  </si>
  <si>
    <t>0256760000000</t>
  </si>
  <si>
    <t>445.53亿</t>
  </si>
  <si>
    <t>585.22亿</t>
  </si>
  <si>
    <t>54.36亿</t>
  </si>
  <si>
    <t>359.69亿</t>
  </si>
  <si>
    <t>54.62亿</t>
  </si>
  <si>
    <t>4582.67万</t>
  </si>
  <si>
    <t>9369.76万</t>
  </si>
  <si>
    <t>-642469120亿</t>
  </si>
  <si>
    <t>69.12亿</t>
  </si>
  <si>
    <t>103074702000亿</t>
  </si>
  <si>
    <t>143.82亿</t>
  </si>
  <si>
    <t>70.04亿</t>
  </si>
  <si>
    <t>56.67亿</t>
  </si>
  <si>
    <t>93.67亿</t>
  </si>
  <si>
    <t>222.21亿</t>
  </si>
  <si>
    <t>220.78亿</t>
  </si>
  <si>
    <t>179.47亿</t>
  </si>
  <si>
    <t>-111.63亿</t>
  </si>
  <si>
    <t>-22.43亿</t>
  </si>
  <si>
    <t>41.21亿</t>
  </si>
  <si>
    <t>5417.50万</t>
  </si>
  <si>
    <t>854.69万</t>
  </si>
  <si>
    <t>6629.93亿</t>
  </si>
  <si>
    <t>1564.99亿</t>
  </si>
  <si>
    <t>365.02亿</t>
  </si>
  <si>
    <t>32.33亿</t>
  </si>
  <si>
    <t>1847720500亿</t>
  </si>
  <si>
    <t>1390.27亿</t>
  </si>
  <si>
    <t>819492200000亿</t>
  </si>
  <si>
    <t>77.59亿</t>
  </si>
  <si>
    <t>1447.10亿</t>
  </si>
  <si>
    <t>5154.72亿</t>
  </si>
  <si>
    <t>5270.58亿</t>
  </si>
  <si>
    <t>1252.38亿</t>
  </si>
  <si>
    <t>-25.79亿</t>
  </si>
  <si>
    <t>36.64亿</t>
  </si>
  <si>
    <t>92.84亿</t>
  </si>
  <si>
    <t>298.07亿</t>
  </si>
  <si>
    <t>3342.44万</t>
  </si>
  <si>
    <t>552.00万</t>
  </si>
  <si>
    <t>956.27亿</t>
  </si>
  <si>
    <t>585.15亿</t>
  </si>
  <si>
    <t>201.32亿</t>
  </si>
  <si>
    <t>649.78亿</t>
  </si>
  <si>
    <t>19.77亿</t>
  </si>
  <si>
    <t>26.63亿</t>
  </si>
  <si>
    <t>174.69亿</t>
  </si>
  <si>
    <t>4202.84万</t>
  </si>
  <si>
    <t>1123.25万</t>
  </si>
  <si>
    <t>1138580910亿</t>
  </si>
  <si>
    <t>11.24亿</t>
  </si>
  <si>
    <t>154141980000亿</t>
  </si>
  <si>
    <t>443.49亿</t>
  </si>
  <si>
    <t>247.39亿</t>
  </si>
  <si>
    <t>71.74亿</t>
  </si>
  <si>
    <t>120.09亿</t>
  </si>
  <si>
    <t>542.54亿</t>
  </si>
  <si>
    <t>580.60亿</t>
  </si>
  <si>
    <t>282.81亿</t>
  </si>
  <si>
    <t>103.62亿</t>
  </si>
  <si>
    <t>-260.21亿</t>
  </si>
  <si>
    <t>-52.80亿</t>
  </si>
  <si>
    <t>-5.22亿</t>
  </si>
  <si>
    <t>2348.45万</t>
  </si>
  <si>
    <t>818.20万</t>
  </si>
  <si>
    <t>206105000亿</t>
  </si>
  <si>
    <t>107535153000亿</t>
  </si>
  <si>
    <t>180.48亿</t>
  </si>
  <si>
    <t>779.27亿</t>
  </si>
  <si>
    <t>-49.06亿</t>
  </si>
  <si>
    <t>-3267.00万</t>
  </si>
  <si>
    <t>23.28亿</t>
  </si>
  <si>
    <t>3863.96万</t>
  </si>
  <si>
    <t>288.20万</t>
  </si>
  <si>
    <t>199622400亿</t>
  </si>
  <si>
    <t>3291914900亿</t>
  </si>
  <si>
    <t>3719.95万</t>
  </si>
  <si>
    <t>1430.55万</t>
  </si>
  <si>
    <t>9806.62万</t>
  </si>
  <si>
    <t>687.30万</t>
  </si>
  <si>
    <t>49.59亿</t>
  </si>
  <si>
    <t>272801850亿</t>
  </si>
  <si>
    <t>5192462700亿</t>
  </si>
  <si>
    <t>13.90亿</t>
  </si>
  <si>
    <t>-8.11亿</t>
  </si>
  <si>
    <t>4598.01万</t>
  </si>
  <si>
    <t>2013.49万</t>
  </si>
  <si>
    <t>718.95亿</t>
  </si>
  <si>
    <t>412.51亿</t>
  </si>
  <si>
    <t>37.58亿</t>
  </si>
  <si>
    <t>140.34亿</t>
  </si>
  <si>
    <t>18.76亿</t>
  </si>
  <si>
    <t>2613.22万</t>
  </si>
  <si>
    <t>345.08万</t>
  </si>
  <si>
    <t>4.40亿</t>
  </si>
  <si>
    <t>9656.00万</t>
  </si>
  <si>
    <t>1303396060亿</t>
  </si>
  <si>
    <t>49.74亿</t>
  </si>
  <si>
    <t>208.74亿</t>
  </si>
  <si>
    <t>113145671000亿</t>
  </si>
  <si>
    <t>731.13亿</t>
  </si>
  <si>
    <t>7083.39万</t>
  </si>
  <si>
    <t>196.54亿</t>
  </si>
  <si>
    <t>497.26亿</t>
  </si>
  <si>
    <t>78.27亿</t>
  </si>
  <si>
    <t>-71.47亿</t>
  </si>
  <si>
    <t>-16.91亿</t>
  </si>
  <si>
    <t>11.05亿</t>
  </si>
  <si>
    <t>21.64亿</t>
  </si>
  <si>
    <t>8504.88万</t>
  </si>
  <si>
    <t>02455000000</t>
  </si>
  <si>
    <t>07365000000</t>
  </si>
  <si>
    <t>014730000000</t>
  </si>
  <si>
    <t>024550000000</t>
  </si>
  <si>
    <t>049100000000</t>
  </si>
  <si>
    <t>182.32万</t>
  </si>
  <si>
    <t>60.41亿</t>
  </si>
  <si>
    <t>334.47亿</t>
  </si>
  <si>
    <t>47.63亿</t>
  </si>
  <si>
    <t>46.27亿</t>
  </si>
  <si>
    <t>94541738000亿</t>
  </si>
  <si>
    <t>189.86亿</t>
  </si>
  <si>
    <t>257.01亿</t>
  </si>
  <si>
    <t>411.14亿</t>
  </si>
  <si>
    <t>1607.78万</t>
  </si>
  <si>
    <t>980.40万</t>
  </si>
  <si>
    <t>14543.23亿</t>
  </si>
  <si>
    <t>5069.54亿</t>
  </si>
  <si>
    <t>1902.19亿</t>
  </si>
  <si>
    <t>8283.39亿</t>
  </si>
  <si>
    <t>256.59亿</t>
  </si>
  <si>
    <t>221.09亿</t>
  </si>
  <si>
    <t>1681.09亿</t>
  </si>
  <si>
    <t>98.10亿</t>
  </si>
  <si>
    <t>303.72亿</t>
  </si>
  <si>
    <t>9206.67万</t>
  </si>
  <si>
    <t>8117537800亿</t>
  </si>
  <si>
    <t>1543.66亿</t>
  </si>
  <si>
    <t>1313.18亿</t>
  </si>
  <si>
    <t>1961277800000亿</t>
  </si>
  <si>
    <t>678.52亿</t>
  </si>
  <si>
    <t>985.07亿</t>
  </si>
  <si>
    <t>4294.79亿</t>
  </si>
  <si>
    <t>4306.98亿</t>
  </si>
  <si>
    <t>8355.03亿</t>
  </si>
  <si>
    <t>8887.41亿</t>
  </si>
  <si>
    <t>4864.64亿</t>
  </si>
  <si>
    <t>132.36亿</t>
  </si>
  <si>
    <t>-612.61亿</t>
  </si>
  <si>
    <t>-236.76亿</t>
  </si>
  <si>
    <t>8111.99亿</t>
  </si>
  <si>
    <t>205.97亿</t>
  </si>
  <si>
    <t>546.40亿</t>
  </si>
  <si>
    <t>5712.71万</t>
  </si>
  <si>
    <t>428.13万</t>
  </si>
  <si>
    <t>68.03亿</t>
  </si>
  <si>
    <t>-1126798230亿</t>
  </si>
  <si>
    <t>22611712000亿</t>
  </si>
  <si>
    <t>49.07亿</t>
  </si>
  <si>
    <t>-33.41亿</t>
  </si>
  <si>
    <t>2804.08万</t>
  </si>
  <si>
    <t>2970.37亿</t>
  </si>
  <si>
    <t>191.56亿</t>
  </si>
  <si>
    <t>209.35亿</t>
  </si>
  <si>
    <t>19155214000亿</t>
  </si>
  <si>
    <t>355440040000亿</t>
  </si>
  <si>
    <t>680.72亿</t>
  </si>
  <si>
    <t>1267.07亿</t>
  </si>
  <si>
    <t>452.74亿</t>
  </si>
  <si>
    <t>-385.52亿</t>
  </si>
  <si>
    <t>32.57亿</t>
  </si>
  <si>
    <t>019156000000</t>
  </si>
  <si>
    <t>057468000000</t>
  </si>
  <si>
    <t>0114936000000</t>
  </si>
  <si>
    <t>0191560000000</t>
  </si>
  <si>
    <t>0383120000000</t>
  </si>
  <si>
    <t>1085.80万</t>
  </si>
  <si>
    <t>171.29亿</t>
  </si>
  <si>
    <t>2184213400亿</t>
  </si>
  <si>
    <t>65222959000亿</t>
  </si>
  <si>
    <t>156.43亿</t>
  </si>
  <si>
    <t>53.24亿</t>
  </si>
  <si>
    <t>-47.74亿</t>
  </si>
  <si>
    <t>6589.00万</t>
  </si>
  <si>
    <t>02091000000</t>
  </si>
  <si>
    <t>06273000000</t>
  </si>
  <si>
    <t>012546000000</t>
  </si>
  <si>
    <t>020910000000</t>
  </si>
  <si>
    <t>041820000000</t>
  </si>
  <si>
    <t>78.40万</t>
  </si>
  <si>
    <t>639.62亿</t>
  </si>
  <si>
    <t>225.07亿</t>
  </si>
  <si>
    <t>72.36亿</t>
  </si>
  <si>
    <t>289.19亿</t>
  </si>
  <si>
    <t>-14.05亿</t>
  </si>
  <si>
    <t>8.46亿</t>
  </si>
  <si>
    <t>5317.67万</t>
  </si>
  <si>
    <t>7253.59万</t>
  </si>
  <si>
    <t>73093445亿</t>
  </si>
  <si>
    <t>142.75亿</t>
  </si>
  <si>
    <t>86469291000亿</t>
  </si>
  <si>
    <t>350.68亿</t>
  </si>
  <si>
    <t>368.41亿</t>
  </si>
  <si>
    <t>93.41亿</t>
  </si>
  <si>
    <t>95.75亿</t>
  </si>
  <si>
    <t>545.66亿</t>
  </si>
  <si>
    <t>549.28亿</t>
  </si>
  <si>
    <t>48.12亿</t>
  </si>
  <si>
    <t>6389.86万</t>
  </si>
  <si>
    <t>448.97万</t>
  </si>
  <si>
    <t>3780.71万</t>
  </si>
  <si>
    <t>1510.62万</t>
  </si>
  <si>
    <t>291.54亿</t>
  </si>
  <si>
    <t>237.34亿</t>
  </si>
  <si>
    <t>8.33亿</t>
  </si>
  <si>
    <t>630.04万</t>
  </si>
  <si>
    <t>9990.64万</t>
  </si>
  <si>
    <t>1084.29万</t>
  </si>
  <si>
    <t>300604490亿</t>
  </si>
  <si>
    <t>55.26亿</t>
  </si>
  <si>
    <t>52888001000亿</t>
  </si>
  <si>
    <t>135.08亿</t>
  </si>
  <si>
    <t>59.32亿</t>
  </si>
  <si>
    <t>8.09亿</t>
  </si>
  <si>
    <t>134.22亿</t>
  </si>
  <si>
    <t>151.67亿</t>
  </si>
  <si>
    <t>114.74亿</t>
  </si>
  <si>
    <t>-21.48亿</t>
  </si>
  <si>
    <t>-10.84亿</t>
  </si>
  <si>
    <t>6098.98万</t>
  </si>
  <si>
    <t>226.48万</t>
  </si>
  <si>
    <t>68.06亿</t>
  </si>
  <si>
    <t>2093785400亿</t>
  </si>
  <si>
    <t>126468487000亿</t>
  </si>
  <si>
    <t>11.15亿</t>
  </si>
  <si>
    <t>-59.22亿</t>
  </si>
  <si>
    <t>16.51亿</t>
  </si>
  <si>
    <t>1593.43万</t>
  </si>
  <si>
    <t>01591000000</t>
  </si>
  <si>
    <t>04773000000</t>
  </si>
  <si>
    <t>09546000000</t>
  </si>
  <si>
    <t>015910000000</t>
  </si>
  <si>
    <t>031820000000</t>
  </si>
  <si>
    <t>613.42万</t>
  </si>
  <si>
    <t>51.23亿</t>
  </si>
  <si>
    <t>-367071340亿</t>
  </si>
  <si>
    <t>18109269000亿</t>
  </si>
  <si>
    <t>33.95亿</t>
  </si>
  <si>
    <t>-16.29亿</t>
  </si>
  <si>
    <t>70.00亿</t>
  </si>
  <si>
    <t>2754.36万</t>
  </si>
  <si>
    <t>44.80万</t>
  </si>
  <si>
    <t>145190870亿</t>
  </si>
  <si>
    <t>5401704900亿</t>
  </si>
  <si>
    <t>-5.90亿</t>
  </si>
  <si>
    <t>476.21万</t>
  </si>
  <si>
    <t>7403.26万</t>
  </si>
  <si>
    <t>2764.90万</t>
  </si>
  <si>
    <t>535.52亿</t>
  </si>
  <si>
    <t>6873680000亿</t>
  </si>
  <si>
    <t>126803774000亿</t>
  </si>
  <si>
    <t>155.99亿</t>
  </si>
  <si>
    <t>363.13亿</t>
  </si>
  <si>
    <t>-34.92亿</t>
  </si>
  <si>
    <t>46.63万</t>
  </si>
  <si>
    <t>53.99亿</t>
  </si>
  <si>
    <t>75.70亿</t>
  </si>
  <si>
    <t>4.05亿</t>
  </si>
  <si>
    <t>-25.01亿</t>
  </si>
  <si>
    <t>21.24亿</t>
  </si>
  <si>
    <t>-167.46万</t>
  </si>
  <si>
    <t>599.15万</t>
  </si>
  <si>
    <t>-323200300亿</t>
  </si>
  <si>
    <t>12969610400亿</t>
  </si>
  <si>
    <t>25.59亿</t>
  </si>
  <si>
    <t>17.90亿</t>
  </si>
  <si>
    <t>-22.09亿</t>
  </si>
  <si>
    <t>-9.78亿</t>
  </si>
  <si>
    <t>-7902.94万</t>
  </si>
  <si>
    <t>335.67万</t>
  </si>
  <si>
    <t>2999.47万</t>
  </si>
  <si>
    <t>237.27万</t>
  </si>
  <si>
    <t>200.93亿</t>
  </si>
  <si>
    <t>664.67亿</t>
  </si>
  <si>
    <t>197.84亿</t>
  </si>
  <si>
    <t>740.37亿</t>
  </si>
  <si>
    <t>74.43亿</t>
  </si>
  <si>
    <t>62.56亿</t>
  </si>
  <si>
    <t>135.28亿</t>
  </si>
  <si>
    <t>26.05亿</t>
  </si>
  <si>
    <t>6711.08万</t>
  </si>
  <si>
    <t>-1.35亿</t>
  </si>
  <si>
    <t>927.01万</t>
  </si>
  <si>
    <t>2626610800亿</t>
  </si>
  <si>
    <t>392.46亿</t>
  </si>
  <si>
    <t>86560386000亿</t>
  </si>
  <si>
    <t>56.99亿</t>
  </si>
  <si>
    <t>61.65亿</t>
  </si>
  <si>
    <t>168.03亿</t>
  </si>
  <si>
    <t>153.60亿</t>
  </si>
  <si>
    <t>27.20亿</t>
  </si>
  <si>
    <t>165.82亿</t>
  </si>
  <si>
    <t>-51.69亿</t>
  </si>
  <si>
    <t>119.10亿</t>
  </si>
  <si>
    <t>70.70亿</t>
  </si>
  <si>
    <t>31.61亿</t>
  </si>
  <si>
    <t>1123.42万</t>
  </si>
  <si>
    <t>6786.67万</t>
  </si>
  <si>
    <t>107.00万</t>
  </si>
  <si>
    <t>143.27亿</t>
  </si>
  <si>
    <t>2734629800亿</t>
  </si>
  <si>
    <t>31892687000亿</t>
  </si>
  <si>
    <t>44.10亿</t>
  </si>
  <si>
    <t>125.13亿</t>
  </si>
  <si>
    <t>738.35万</t>
  </si>
  <si>
    <t>6328.93万</t>
  </si>
  <si>
    <t>277.10万</t>
  </si>
  <si>
    <t>99.87亿</t>
  </si>
  <si>
    <t>1252000000亿</t>
  </si>
  <si>
    <t>17363000000亿</t>
  </si>
  <si>
    <t>1926.14万</t>
  </si>
  <si>
    <t>463.15万</t>
  </si>
  <si>
    <t>167.50亿</t>
  </si>
  <si>
    <t>9.07亿</t>
  </si>
  <si>
    <t>908644000亿</t>
  </si>
  <si>
    <t>23562884000亿</t>
  </si>
  <si>
    <t>55.95亿</t>
  </si>
  <si>
    <t>8.24亿</t>
  </si>
  <si>
    <t>297.67亿</t>
  </si>
  <si>
    <t>2222.74万</t>
  </si>
  <si>
    <t>269.60万</t>
  </si>
  <si>
    <t>491311470亿</t>
  </si>
  <si>
    <t>7841786600亿</t>
  </si>
  <si>
    <t>-6.19亿</t>
  </si>
  <si>
    <t>1838.60万</t>
  </si>
  <si>
    <t>360.82万</t>
  </si>
  <si>
    <t>52.15亿</t>
  </si>
  <si>
    <t>995170920亿</t>
  </si>
  <si>
    <t>13746453000亿</t>
  </si>
  <si>
    <t>1088.72万</t>
  </si>
  <si>
    <t>9295.39万</t>
  </si>
  <si>
    <t>0998000000</t>
  </si>
  <si>
    <t>02994000000</t>
  </si>
  <si>
    <t>05988000000</t>
  </si>
  <si>
    <t>09980000000</t>
  </si>
  <si>
    <t>019960000000</t>
  </si>
  <si>
    <t>3614.70万</t>
  </si>
  <si>
    <t>1751.10亿</t>
  </si>
  <si>
    <t>2043.35亿</t>
  </si>
  <si>
    <t>468.85亿</t>
  </si>
  <si>
    <t>2115.32亿</t>
  </si>
  <si>
    <t>221.25亿</t>
  </si>
  <si>
    <t>111.67亿</t>
  </si>
  <si>
    <t>357.18亿</t>
  </si>
  <si>
    <t>15.01亿</t>
  </si>
  <si>
    <t>7148834600亿</t>
  </si>
  <si>
    <t>976.49亿</t>
  </si>
  <si>
    <t>150.62亿</t>
  </si>
  <si>
    <t>379444890000亿</t>
  </si>
  <si>
    <t>1237.28亿</t>
  </si>
  <si>
    <t>293.10亿</t>
  </si>
  <si>
    <t>284.94亿</t>
  </si>
  <si>
    <t>1076.01亿</t>
  </si>
  <si>
    <t>985.08亿</t>
  </si>
  <si>
    <t>572.19亿</t>
  </si>
  <si>
    <t>470.99亿</t>
  </si>
  <si>
    <t>-165.06亿</t>
  </si>
  <si>
    <t>185.78亿</t>
  </si>
  <si>
    <t>351.46亿</t>
  </si>
  <si>
    <t>586.00万</t>
  </si>
  <si>
    <t>504.97亿</t>
  </si>
  <si>
    <t>9.44亿</t>
  </si>
  <si>
    <t>1084743610亿</t>
  </si>
  <si>
    <t>59015296000亿</t>
  </si>
  <si>
    <t>40.62亿</t>
  </si>
  <si>
    <t>328.37亿</t>
  </si>
  <si>
    <t>-18.77亿</t>
  </si>
  <si>
    <t>3159.80万</t>
  </si>
  <si>
    <t>224.87万</t>
  </si>
  <si>
    <t>1473.62亿</t>
  </si>
  <si>
    <t>47.57亿</t>
  </si>
  <si>
    <t>6944674700亿</t>
  </si>
  <si>
    <t>468381610000亿</t>
  </si>
  <si>
    <t>294.34亿</t>
  </si>
  <si>
    <t>2859.55亿</t>
  </si>
  <si>
    <t>-92.24亿</t>
  </si>
  <si>
    <t>39.27亿</t>
  </si>
  <si>
    <t>896.87万</t>
  </si>
  <si>
    <t>158.45万</t>
  </si>
  <si>
    <t>287.63亿</t>
  </si>
  <si>
    <t>3517293300亿</t>
  </si>
  <si>
    <t>39928270000亿</t>
  </si>
  <si>
    <t>41.73亿</t>
  </si>
  <si>
    <t>3196.80万</t>
  </si>
  <si>
    <t>03257000000</t>
  </si>
  <si>
    <t>09771000000</t>
  </si>
  <si>
    <t>019542000000</t>
  </si>
  <si>
    <t>032570000000</t>
  </si>
  <si>
    <t>065140000000</t>
  </si>
  <si>
    <t>6236.90万</t>
  </si>
  <si>
    <t>1690.68亿</t>
  </si>
  <si>
    <t>-87.36亿</t>
  </si>
  <si>
    <t>-11413075300亿</t>
  </si>
  <si>
    <t>1071923780000亿</t>
  </si>
  <si>
    <t>1483.33亿</t>
  </si>
  <si>
    <t>8542.10亿</t>
  </si>
  <si>
    <t>-173.04亿</t>
  </si>
  <si>
    <t>30.02亿</t>
  </si>
  <si>
    <t>1091.46亿</t>
  </si>
  <si>
    <t>2429.25亿</t>
  </si>
  <si>
    <t>2748.37亿</t>
  </si>
  <si>
    <t>1420.35亿</t>
  </si>
  <si>
    <t>789.76亿</t>
  </si>
  <si>
    <t>-468.55亿</t>
  </si>
  <si>
    <t>424.84亿</t>
  </si>
  <si>
    <t>290.86亿</t>
  </si>
  <si>
    <t>188.63亿</t>
  </si>
  <si>
    <t>131.93亿</t>
  </si>
  <si>
    <t>-312.13亿</t>
  </si>
  <si>
    <t>265.68亿</t>
  </si>
  <si>
    <t>3.55亿</t>
  </si>
  <si>
    <t>4112.26万</t>
  </si>
  <si>
    <t>2258.33亿</t>
  </si>
  <si>
    <t>2697.05亿</t>
  </si>
  <si>
    <t>1923.26亿</t>
  </si>
  <si>
    <t>261.56亿</t>
  </si>
  <si>
    <t>419.68亿</t>
  </si>
  <si>
    <t>-9.81亿</t>
  </si>
  <si>
    <t>8285922300亿</t>
  </si>
  <si>
    <t>1881.16亿</t>
  </si>
  <si>
    <t>495537380000亿</t>
  </si>
  <si>
    <t>1224.29亿</t>
  </si>
  <si>
    <t>202.77亿</t>
  </si>
  <si>
    <t>967.41亿</t>
  </si>
  <si>
    <t>1395.76亿</t>
  </si>
  <si>
    <t>1348.23亿</t>
  </si>
  <si>
    <t>293.48亿</t>
  </si>
  <si>
    <t>247.87亿</t>
  </si>
  <si>
    <t>-201.16亿</t>
  </si>
  <si>
    <t>-42.25亿</t>
  </si>
  <si>
    <t>1094.08亿</t>
  </si>
  <si>
    <t>340.72亿</t>
  </si>
  <si>
    <t>937.71亿</t>
  </si>
  <si>
    <t>2586.50万</t>
  </si>
  <si>
    <t>322.05亿</t>
  </si>
  <si>
    <t>5405212000亿</t>
  </si>
  <si>
    <t>80125238000亿</t>
  </si>
  <si>
    <t>107.17亿</t>
  </si>
  <si>
    <t>179.11亿</t>
  </si>
  <si>
    <t>-14.06亿</t>
  </si>
  <si>
    <t>8117.06万</t>
  </si>
  <si>
    <t>1181.96万</t>
  </si>
  <si>
    <t>946.84亿</t>
  </si>
  <si>
    <t>4616700000亿</t>
  </si>
  <si>
    <t>85043500000亿</t>
  </si>
  <si>
    <t>9.93亿</t>
  </si>
  <si>
    <t>510.21亿</t>
  </si>
  <si>
    <t>100.66亿</t>
  </si>
  <si>
    <t>-17.82亿</t>
  </si>
  <si>
    <t>609.99亿</t>
  </si>
  <si>
    <t>5349.13万</t>
  </si>
  <si>
    <t>2073.60万</t>
  </si>
  <si>
    <t>-8283.33万</t>
  </si>
  <si>
    <t>-81535356亿</t>
  </si>
  <si>
    <t>756949120亿</t>
  </si>
  <si>
    <t>1971.63万</t>
  </si>
  <si>
    <t>-4921.28万</t>
  </si>
  <si>
    <t>-1.36亿</t>
  </si>
  <si>
    <t>1857.84万</t>
  </si>
  <si>
    <t>1962.05万</t>
  </si>
  <si>
    <t>3969.88万</t>
  </si>
  <si>
    <t>2674.38万</t>
  </si>
  <si>
    <t>1831.28万</t>
  </si>
  <si>
    <t>1725.32万</t>
  </si>
  <si>
    <t>2250.00万</t>
  </si>
  <si>
    <t>20.43亿</t>
  </si>
  <si>
    <t>967.05万</t>
  </si>
  <si>
    <t>30.57亿</t>
  </si>
  <si>
    <t>2383.80万</t>
  </si>
  <si>
    <t>380362760亿</t>
  </si>
  <si>
    <t>16329189000亿</t>
  </si>
  <si>
    <t>-4.11亿</t>
  </si>
  <si>
    <t>7625.13万</t>
  </si>
  <si>
    <t>90.95万</t>
  </si>
  <si>
    <t>-9.26亿</t>
  </si>
  <si>
    <t>-925700340亿</t>
  </si>
  <si>
    <t>6328112700亿</t>
  </si>
  <si>
    <t>5359.65万</t>
  </si>
  <si>
    <t>-8.43亿</t>
  </si>
  <si>
    <t>723.26万</t>
  </si>
  <si>
    <t>7830.98万</t>
  </si>
  <si>
    <t>1047.70万</t>
  </si>
  <si>
    <t>966.80亿</t>
  </si>
  <si>
    <t>906.22亿</t>
  </si>
  <si>
    <t>476.23亿</t>
  </si>
  <si>
    <t>2169.92亿</t>
  </si>
  <si>
    <t>375.46亿</t>
  </si>
  <si>
    <t>32.06亿</t>
  </si>
  <si>
    <t>9037.42万</t>
  </si>
  <si>
    <t>3765974200亿</t>
  </si>
  <si>
    <t>379.97亿</t>
  </si>
  <si>
    <t>254.01亿</t>
  </si>
  <si>
    <t>187302300000亿</t>
  </si>
  <si>
    <t>416.28亿</t>
  </si>
  <si>
    <t>392.96亿</t>
  </si>
  <si>
    <t>398.16亿</t>
  </si>
  <si>
    <t>838.08亿</t>
  </si>
  <si>
    <t>826.59亿</t>
  </si>
  <si>
    <t>70.27亿</t>
  </si>
  <si>
    <t>265.82亿</t>
  </si>
  <si>
    <t>-102.66亿</t>
  </si>
  <si>
    <t>-18.58亿</t>
  </si>
  <si>
    <t>146.63亿</t>
  </si>
  <si>
    <t>5699.60万</t>
  </si>
  <si>
    <t>172.55万</t>
  </si>
  <si>
    <t>7759.70亿</t>
  </si>
  <si>
    <t>662.05亿</t>
  </si>
  <si>
    <t>126.43亿</t>
  </si>
  <si>
    <t>51.72亿</t>
  </si>
  <si>
    <t>2853.44万</t>
  </si>
  <si>
    <t>1746294400亿</t>
  </si>
  <si>
    <t>842175120000亿</t>
  </si>
  <si>
    <t>31.29亿</t>
  </si>
  <si>
    <t>48.77亿</t>
  </si>
  <si>
    <t>-229.95亿</t>
  </si>
  <si>
    <t>240.46亿</t>
  </si>
  <si>
    <t>101.47亿</t>
  </si>
  <si>
    <t>978.00万</t>
  </si>
  <si>
    <t>7447.44万</t>
  </si>
  <si>
    <t>中国春来</t>
  </si>
  <si>
    <t>37.70万</t>
  </si>
  <si>
    <t>16.10亿</t>
  </si>
  <si>
    <t>417241450亿</t>
  </si>
  <si>
    <t>7188107800亿</t>
  </si>
  <si>
    <t>-5.72亿</t>
  </si>
  <si>
    <t>12.56亿</t>
  </si>
  <si>
    <t>7.94亿</t>
  </si>
  <si>
    <t>7.31亿</t>
  </si>
  <si>
    <t>290.59万</t>
  </si>
  <si>
    <t>1886.41万</t>
  </si>
  <si>
    <t>673.43万</t>
  </si>
  <si>
    <t>146.70亿</t>
  </si>
  <si>
    <t>26.37亿</t>
  </si>
  <si>
    <t>2751000000亿</t>
  </si>
  <si>
    <t>354488000000亿</t>
  </si>
  <si>
    <t>177.89亿</t>
  </si>
  <si>
    <t>54.45亿</t>
  </si>
  <si>
    <t>-138.61亿</t>
  </si>
  <si>
    <t>576.81亿</t>
  </si>
  <si>
    <t>3812.97万</t>
  </si>
  <si>
    <t>2838.40万</t>
  </si>
  <si>
    <t>76311.26亿</t>
  </si>
  <si>
    <t>7037.67亿</t>
  </si>
  <si>
    <t>300.62亿</t>
  </si>
  <si>
    <t>1412.59亿</t>
  </si>
  <si>
    <t>345.38亿</t>
  </si>
  <si>
    <t>13.94亿</t>
  </si>
  <si>
    <t>14547078000亿</t>
  </si>
  <si>
    <t>8334893400000亿</t>
  </si>
  <si>
    <t>580.42亿</t>
  </si>
  <si>
    <t>807.64亿</t>
  </si>
  <si>
    <t>457.82亿</t>
  </si>
  <si>
    <t>121.26亿</t>
  </si>
  <si>
    <t>1422.19亿</t>
  </si>
  <si>
    <t>91.98万</t>
  </si>
  <si>
    <t>188.02亿</t>
  </si>
  <si>
    <t>379296160亿</t>
  </si>
  <si>
    <t>42338365000亿</t>
  </si>
  <si>
    <t>176.64亿</t>
  </si>
  <si>
    <t>47.82亿</t>
  </si>
  <si>
    <t>-10.68亿</t>
  </si>
  <si>
    <t>-33.29亿</t>
  </si>
  <si>
    <t>452.86万</t>
  </si>
  <si>
    <t>7051.08万</t>
  </si>
  <si>
    <t>九龙仓置业</t>
  </si>
  <si>
    <t>331.94万</t>
  </si>
  <si>
    <t>133.06亿</t>
  </si>
  <si>
    <t>4644000000亿</t>
  </si>
  <si>
    <t>245322000000亿</t>
  </si>
  <si>
    <t>146.77亿</t>
  </si>
  <si>
    <t>58.65亿</t>
  </si>
  <si>
    <t>124.59亿</t>
  </si>
  <si>
    <t>160.43亿</t>
  </si>
  <si>
    <t>155.15亿</t>
  </si>
  <si>
    <t>164.81亿</t>
  </si>
  <si>
    <t>209.04亿</t>
  </si>
  <si>
    <t>43.91亿</t>
  </si>
  <si>
    <t>-78.54亿</t>
  </si>
  <si>
    <t>180.27亿</t>
  </si>
  <si>
    <t>172.18亿</t>
  </si>
  <si>
    <t>-88.56亿</t>
  </si>
  <si>
    <t>317.29亿</t>
  </si>
  <si>
    <t>2216.27万</t>
  </si>
  <si>
    <t>301.73万</t>
  </si>
  <si>
    <t>173.51亿</t>
  </si>
  <si>
    <t>1184579000亿</t>
  </si>
  <si>
    <t>19967725000亿</t>
  </si>
  <si>
    <t>-16.61亿</t>
  </si>
  <si>
    <t>101.88亿</t>
  </si>
  <si>
    <t>4056.52万</t>
  </si>
  <si>
    <t>-55495542000亿</t>
  </si>
  <si>
    <t>1745421700000亿</t>
  </si>
  <si>
    <t>515.80万</t>
  </si>
  <si>
    <t>1953.63亿</t>
  </si>
  <si>
    <t>992.32亿</t>
  </si>
  <si>
    <t>138.21亿</t>
  </si>
  <si>
    <t>1171.39亿</t>
  </si>
  <si>
    <t>132.96亿</t>
  </si>
  <si>
    <t>18.55亿</t>
  </si>
  <si>
    <t>9880.80万</t>
  </si>
  <si>
    <t>-2243908300亿</t>
  </si>
  <si>
    <t>205.13亿</t>
  </si>
  <si>
    <t>111.39亿</t>
  </si>
  <si>
    <t>294595540000亿</t>
  </si>
  <si>
    <t>473.93亿</t>
  </si>
  <si>
    <t>316.76亿</t>
  </si>
  <si>
    <t>245.11亿</t>
  </si>
  <si>
    <t>214.18亿</t>
  </si>
  <si>
    <t>1289.18亿</t>
  </si>
  <si>
    <t>1176.39亿</t>
  </si>
  <si>
    <t>681.96亿</t>
  </si>
  <si>
    <t>78.28亿</t>
  </si>
  <si>
    <t>-13.41亿</t>
  </si>
  <si>
    <t>3258.58万</t>
  </si>
  <si>
    <t>2159.75万</t>
  </si>
  <si>
    <t>-834491020亿</t>
  </si>
  <si>
    <t>8625006800亿</t>
  </si>
  <si>
    <t>1257.56万</t>
  </si>
  <si>
    <t>48.50亿</t>
  </si>
  <si>
    <t>-6.53亿</t>
  </si>
  <si>
    <t>10.60亿</t>
  </si>
  <si>
    <t>781.61万</t>
  </si>
  <si>
    <t>1357.66亿</t>
  </si>
  <si>
    <t>128.30亿</t>
  </si>
  <si>
    <t>116.05亿</t>
  </si>
  <si>
    <t>12945162800亿</t>
  </si>
  <si>
    <t>157269040000亿</t>
  </si>
  <si>
    <t>568.60亿</t>
  </si>
  <si>
    <t>797.41亿</t>
  </si>
  <si>
    <t>555.70亿</t>
  </si>
  <si>
    <t>-1322.89万</t>
  </si>
  <si>
    <t>4228.44万</t>
  </si>
  <si>
    <t>590.80万</t>
  </si>
  <si>
    <t>31989.32亿</t>
  </si>
  <si>
    <t>2112.68亿</t>
  </si>
  <si>
    <t>176.38亿</t>
  </si>
  <si>
    <t>669.78亿</t>
  </si>
  <si>
    <t>6500722200亿</t>
  </si>
  <si>
    <t>3410199900000亿</t>
  </si>
  <si>
    <t>280.95亿</t>
  </si>
  <si>
    <t>2130.65亿</t>
  </si>
  <si>
    <t>-2208.39亿</t>
  </si>
  <si>
    <t>586.53亿</t>
  </si>
  <si>
    <t>658.92亿</t>
  </si>
  <si>
    <t>550.88亿</t>
  </si>
  <si>
    <t>437.38亿</t>
  </si>
  <si>
    <t>399.94亿</t>
  </si>
  <si>
    <t>144.37亿</t>
  </si>
  <si>
    <t>135.60亿</t>
  </si>
  <si>
    <t>144.43亿</t>
  </si>
  <si>
    <t>130.83亿</t>
  </si>
  <si>
    <t>131.28亿</t>
  </si>
  <si>
    <t>184.40亿</t>
  </si>
  <si>
    <t>133.31亿</t>
  </si>
  <si>
    <t>63.12亿</t>
  </si>
  <si>
    <t>248.62亿</t>
  </si>
  <si>
    <t>2731.24万</t>
  </si>
  <si>
    <t>1023.22万</t>
  </si>
  <si>
    <t>223.83亿</t>
  </si>
  <si>
    <t>625499390亿</t>
  </si>
  <si>
    <t>42654000000亿</t>
  </si>
  <si>
    <t>111.04亿</t>
  </si>
  <si>
    <t>50.78亿</t>
  </si>
  <si>
    <t>-16.57亿</t>
  </si>
  <si>
    <t>5252.34万</t>
  </si>
  <si>
    <t>0812000000</t>
  </si>
  <si>
    <t>02436000000</t>
  </si>
  <si>
    <t>04872000000</t>
  </si>
  <si>
    <t>08120000000</t>
  </si>
  <si>
    <t>016240000000</t>
  </si>
  <si>
    <t>563.50万</t>
  </si>
  <si>
    <t>683.55亿</t>
  </si>
  <si>
    <t>112.21亿</t>
  </si>
  <si>
    <t>17.69亿</t>
  </si>
  <si>
    <t>12361847400亿</t>
  </si>
  <si>
    <t>101100334000亿</t>
  </si>
  <si>
    <t>225.72亿</t>
  </si>
  <si>
    <t>215.23亿</t>
  </si>
  <si>
    <t>-282.74亿</t>
  </si>
  <si>
    <t>304.77亿</t>
  </si>
  <si>
    <t>2736.06万</t>
  </si>
  <si>
    <t>682.78万</t>
  </si>
  <si>
    <t>197.28亿</t>
  </si>
  <si>
    <t>120.03亿</t>
  </si>
  <si>
    <t>503.48亿</t>
  </si>
  <si>
    <t>-9.43亿</t>
  </si>
  <si>
    <t>-159684780亿</t>
  </si>
  <si>
    <t>33739115000亿</t>
  </si>
  <si>
    <t>213.78亿</t>
  </si>
  <si>
    <t>195.75亿</t>
  </si>
  <si>
    <t>-3.13亿</t>
  </si>
  <si>
    <t>5994.45万</t>
  </si>
  <si>
    <t>104.45万</t>
  </si>
  <si>
    <t>1139.93亿</t>
  </si>
  <si>
    <t>718.41亿</t>
  </si>
  <si>
    <t>348.66亿</t>
  </si>
  <si>
    <t>1395.11亿</t>
  </si>
  <si>
    <t>314.32亿</t>
  </si>
  <si>
    <t>6.27亿</t>
  </si>
  <si>
    <t>26.80亿</t>
  </si>
  <si>
    <t>9903.60万</t>
  </si>
  <si>
    <t>235045280亿</t>
  </si>
  <si>
    <t>254.95亿</t>
  </si>
  <si>
    <t>272.47亿</t>
  </si>
  <si>
    <t>185834060000亿</t>
  </si>
  <si>
    <t>434.89亿</t>
  </si>
  <si>
    <t>150.23亿</t>
  </si>
  <si>
    <t>272.55亿</t>
  </si>
  <si>
    <t>271.11亿</t>
  </si>
  <si>
    <t>865.84亿</t>
  </si>
  <si>
    <t>872.50亿</t>
  </si>
  <si>
    <t>236.75亿</t>
  </si>
  <si>
    <t>-89.61亿</t>
  </si>
  <si>
    <t>-48.50亿</t>
  </si>
  <si>
    <t>60.50亿</t>
  </si>
  <si>
    <t>133.95亿</t>
  </si>
  <si>
    <t>897.80万</t>
  </si>
  <si>
    <t>7004.41万</t>
  </si>
  <si>
    <t>中通快递-W</t>
  </si>
  <si>
    <t>155.37万</t>
  </si>
  <si>
    <t>421.15亿</t>
  </si>
  <si>
    <t>95.91亿</t>
  </si>
  <si>
    <t>9596635800亿</t>
  </si>
  <si>
    <t>96975575000亿</t>
  </si>
  <si>
    <t>219.91亿</t>
  </si>
  <si>
    <t>-134.31亿</t>
  </si>
  <si>
    <t>399.09亿</t>
  </si>
  <si>
    <t>372.32亿</t>
  </si>
  <si>
    <t>300.53亿</t>
  </si>
  <si>
    <t>200.44亿</t>
  </si>
  <si>
    <t>156.58亿</t>
  </si>
  <si>
    <t>49.91亿</t>
  </si>
  <si>
    <t>97.48亿</t>
  </si>
  <si>
    <t>76.81亿</t>
  </si>
  <si>
    <t>509.04万</t>
  </si>
  <si>
    <t>4947.15万</t>
  </si>
  <si>
    <t>263.00万</t>
  </si>
  <si>
    <t>361.13亿</t>
  </si>
  <si>
    <t>79.32亿</t>
  </si>
  <si>
    <t>243.59亿</t>
  </si>
  <si>
    <t>-30.52亿</t>
  </si>
  <si>
    <t>48.69亿</t>
  </si>
  <si>
    <t>3066.03万</t>
  </si>
  <si>
    <t>4668.18万</t>
  </si>
  <si>
    <t>1351.27万</t>
  </si>
  <si>
    <t>124304336亿</t>
  </si>
  <si>
    <t>44.62亿</t>
  </si>
  <si>
    <t>168.31亿</t>
  </si>
  <si>
    <t>44045286000亿</t>
  </si>
  <si>
    <t>26.74亿</t>
  </si>
  <si>
    <t>179.66亿</t>
  </si>
  <si>
    <t>170.60亿</t>
  </si>
  <si>
    <t>293.89亿</t>
  </si>
  <si>
    <t>293.69亿</t>
  </si>
  <si>
    <t>-14.73亿</t>
  </si>
  <si>
    <t>7963.19万</t>
  </si>
  <si>
    <t>726.50万</t>
  </si>
  <si>
    <t>287.60万</t>
  </si>
  <si>
    <t>72.43亿</t>
  </si>
  <si>
    <t>782631990亿</t>
  </si>
  <si>
    <t>11897789800亿</t>
  </si>
  <si>
    <t>29.44亿</t>
  </si>
  <si>
    <t>11.92亿</t>
  </si>
  <si>
    <t>71.34亿</t>
  </si>
  <si>
    <t>1205.00万</t>
  </si>
  <si>
    <t>0784000000</t>
  </si>
  <si>
    <t>02352000000</t>
  </si>
  <si>
    <t>04704000000</t>
  </si>
  <si>
    <t>07840000000</t>
  </si>
  <si>
    <t>015680000000</t>
  </si>
  <si>
    <t>101.69万</t>
  </si>
  <si>
    <t>35.89亿</t>
  </si>
  <si>
    <t>-1.99亿</t>
  </si>
  <si>
    <t>6801.04万</t>
  </si>
  <si>
    <t>-179410860亿</t>
  </si>
  <si>
    <t>22141967000亿</t>
  </si>
  <si>
    <t>23.86亿</t>
  </si>
  <si>
    <t>1229.45万</t>
  </si>
  <si>
    <t>-9.47亿</t>
  </si>
  <si>
    <t>427.69万</t>
  </si>
  <si>
    <t>3760.37万</t>
  </si>
  <si>
    <t>134.40万</t>
  </si>
  <si>
    <t>-404293910亿</t>
  </si>
  <si>
    <t>1021990550亿</t>
  </si>
  <si>
    <t>540.70万</t>
  </si>
  <si>
    <t>5789.53万</t>
  </si>
  <si>
    <t>2178.10万</t>
  </si>
  <si>
    <t>-625132170亿</t>
  </si>
  <si>
    <t>3605573900亿</t>
  </si>
  <si>
    <t>7147.82万</t>
  </si>
  <si>
    <t>1050.50万</t>
  </si>
  <si>
    <t>338.38亿</t>
  </si>
  <si>
    <t>25.96亿</t>
  </si>
  <si>
    <t>2543563300亿</t>
  </si>
  <si>
    <t>65806278000亿</t>
  </si>
  <si>
    <t>91.74亿</t>
  </si>
  <si>
    <t>268.71亿</t>
  </si>
  <si>
    <t>73.46亿</t>
  </si>
  <si>
    <t>-46.63亿</t>
  </si>
  <si>
    <t>3606.31万</t>
  </si>
  <si>
    <t>02596000000</t>
  </si>
  <si>
    <t>07788000000</t>
  </si>
  <si>
    <t>015576000000</t>
  </si>
  <si>
    <t>025960000000</t>
  </si>
  <si>
    <t>051920000000</t>
  </si>
  <si>
    <t>21.11万</t>
  </si>
  <si>
    <t>506074980亿</t>
  </si>
  <si>
    <t>3429820200亿</t>
  </si>
  <si>
    <t>11.53亿</t>
  </si>
  <si>
    <t>-5.01亿</t>
  </si>
  <si>
    <t>162.70万</t>
  </si>
  <si>
    <t>1688.10万</t>
  </si>
  <si>
    <t>448.35万</t>
  </si>
  <si>
    <t>1449.61万</t>
  </si>
  <si>
    <t>12240169亿</t>
  </si>
  <si>
    <t>8265747000亿</t>
  </si>
  <si>
    <t>9.08亿</t>
  </si>
  <si>
    <t>-14.62亿</t>
  </si>
  <si>
    <t>2737.85万</t>
  </si>
  <si>
    <t>301.20万</t>
  </si>
  <si>
    <t>-2422.16万</t>
  </si>
  <si>
    <t>-33215956亿</t>
  </si>
  <si>
    <t>2613676200亿</t>
  </si>
  <si>
    <t>2001.22万</t>
  </si>
  <si>
    <t>649.57万</t>
  </si>
  <si>
    <t>218.78万</t>
  </si>
  <si>
    <t>-7.18亿</t>
  </si>
  <si>
    <t>-85434115亿</t>
  </si>
  <si>
    <t>5217519500亿</t>
  </si>
  <si>
    <t>-4.08亿</t>
  </si>
  <si>
    <t>-26.75亿</t>
  </si>
  <si>
    <t>1590.78万</t>
  </si>
  <si>
    <t>8659.19万</t>
  </si>
  <si>
    <t>385.70万</t>
  </si>
  <si>
    <t>-516895570亿</t>
  </si>
  <si>
    <t>2825025800亿</t>
  </si>
  <si>
    <t>5837.27万</t>
  </si>
  <si>
    <t>-2.27亿</t>
  </si>
  <si>
    <t>2622.20万</t>
  </si>
  <si>
    <t>39.30万</t>
  </si>
  <si>
    <t>-392203920亿</t>
  </si>
  <si>
    <t>4256459100亿</t>
  </si>
  <si>
    <t>3232.47万</t>
  </si>
  <si>
    <t>604.28万</t>
  </si>
  <si>
    <t>3303.41万</t>
  </si>
  <si>
    <t>沧港铁路</t>
  </si>
  <si>
    <t>872.20万</t>
  </si>
  <si>
    <t>6465.17万</t>
  </si>
  <si>
    <t>64200049亿</t>
  </si>
  <si>
    <t>1453542600亿</t>
  </si>
  <si>
    <t>2137.37万</t>
  </si>
  <si>
    <t>5862.04万</t>
  </si>
  <si>
    <t>-7941.75万</t>
  </si>
  <si>
    <t>4.41亿</t>
  </si>
  <si>
    <t>9476.90万</t>
  </si>
  <si>
    <t>7586.32万</t>
  </si>
  <si>
    <t>7844.18万</t>
  </si>
  <si>
    <t>9303.05万</t>
  </si>
  <si>
    <t>9643.83万</t>
  </si>
  <si>
    <t>7679.65万</t>
  </si>
  <si>
    <t>4624.20万</t>
  </si>
  <si>
    <t>113.45万</t>
  </si>
  <si>
    <t>-819731780亿</t>
  </si>
  <si>
    <t>2474358000亿</t>
  </si>
  <si>
    <t>-4.99亿</t>
  </si>
  <si>
    <t>4302.69万</t>
  </si>
  <si>
    <t>1155.70万</t>
  </si>
  <si>
    <t>9117.92万</t>
  </si>
  <si>
    <t>52.00万</t>
  </si>
  <si>
    <t>147527690亿</t>
  </si>
  <si>
    <t>2149254700亿</t>
  </si>
  <si>
    <t>7574.41万</t>
  </si>
  <si>
    <t>5397.76万</t>
  </si>
  <si>
    <t>741.00万</t>
  </si>
  <si>
    <t>4287.18万</t>
  </si>
  <si>
    <t>0160000000</t>
  </si>
  <si>
    <t>0480000000</t>
  </si>
  <si>
    <t>0960000000</t>
  </si>
  <si>
    <t>01600000000</t>
  </si>
  <si>
    <t>03200000000</t>
  </si>
  <si>
    <t>1338.20万</t>
  </si>
  <si>
    <t>67.34亿</t>
  </si>
  <si>
    <t>590936210亿</t>
  </si>
  <si>
    <t>27942922000亿</t>
  </si>
  <si>
    <t>89.21亿</t>
  </si>
  <si>
    <t>-15.55亿</t>
  </si>
  <si>
    <t>4813.35万</t>
  </si>
  <si>
    <t>31.65万</t>
  </si>
  <si>
    <t>5947.43万</t>
  </si>
  <si>
    <t>275979310亿</t>
  </si>
  <si>
    <t>5364601100亿</t>
  </si>
  <si>
    <t>1619.20万</t>
  </si>
  <si>
    <t>-6.96亿</t>
  </si>
  <si>
    <t>234.50万</t>
  </si>
  <si>
    <t>1164.94万</t>
  </si>
  <si>
    <t>402.75万</t>
  </si>
  <si>
    <t>606.28亿</t>
  </si>
  <si>
    <t>620.58亿</t>
  </si>
  <si>
    <t>108.56亿</t>
  </si>
  <si>
    <t>452.17亿</t>
  </si>
  <si>
    <t>26.28亿</t>
  </si>
  <si>
    <t>65.08亿</t>
  </si>
  <si>
    <t>8759.96万</t>
  </si>
  <si>
    <t>848018140亿</t>
  </si>
  <si>
    <t>140.27亿</t>
  </si>
  <si>
    <t>88.43亿</t>
  </si>
  <si>
    <t>122686208000亿</t>
  </si>
  <si>
    <t>156.70亿</t>
  </si>
  <si>
    <t>167.53亿</t>
  </si>
  <si>
    <t>67.52亿</t>
  </si>
  <si>
    <t>66.13亿</t>
  </si>
  <si>
    <t>370.05亿</t>
  </si>
  <si>
    <t>362.43亿</t>
  </si>
  <si>
    <t>142.21亿</t>
  </si>
  <si>
    <t>-41.87亿</t>
  </si>
  <si>
    <t>114.87亿</t>
  </si>
  <si>
    <t>1948.79万</t>
  </si>
  <si>
    <t>02628000000</t>
  </si>
  <si>
    <t>07884000000</t>
  </si>
  <si>
    <t>015768000000</t>
  </si>
  <si>
    <t>026280000000</t>
  </si>
  <si>
    <t>052560000000</t>
  </si>
  <si>
    <t>3750.65万</t>
  </si>
  <si>
    <t>11480.11亿</t>
  </si>
  <si>
    <t>4309.37亿</t>
  </si>
  <si>
    <t>664.35亿</t>
  </si>
  <si>
    <t>5105.43亿</t>
  </si>
  <si>
    <t>71.85亿</t>
  </si>
  <si>
    <t>592.51亿</t>
  </si>
  <si>
    <t>27.45亿</t>
  </si>
  <si>
    <t>357329390亿</t>
  </si>
  <si>
    <t>871.75亿</t>
  </si>
  <si>
    <t>1578948200000亿</t>
  </si>
  <si>
    <t>409.73亿</t>
  </si>
  <si>
    <t>886.24亿</t>
  </si>
  <si>
    <t>9008.41亿</t>
  </si>
  <si>
    <t>8654.40亿</t>
  </si>
  <si>
    <t>2586.68亿</t>
  </si>
  <si>
    <t>42.89亿</t>
  </si>
  <si>
    <t>-50.60亿</t>
  </si>
  <si>
    <t>17.63亿</t>
  </si>
  <si>
    <t>1039.18亿</t>
  </si>
  <si>
    <t>31.40亿</t>
  </si>
  <si>
    <t>013333000000</t>
  </si>
  <si>
    <t>039999000000</t>
  </si>
  <si>
    <t>079998000000</t>
  </si>
  <si>
    <t>0133330000000</t>
  </si>
  <si>
    <t>0266660000000</t>
  </si>
  <si>
    <t>416.29万</t>
  </si>
  <si>
    <t>437.56亿</t>
  </si>
  <si>
    <t>550.77亿</t>
  </si>
  <si>
    <t>55.62亿</t>
  </si>
  <si>
    <t>24.83亿</t>
  </si>
  <si>
    <t>7750.26万</t>
  </si>
  <si>
    <t>417029110亿</t>
  </si>
  <si>
    <t>117.11亿</t>
  </si>
  <si>
    <t>282.95亿</t>
  </si>
  <si>
    <t>153195870000亿</t>
  </si>
  <si>
    <t>365.44亿</t>
  </si>
  <si>
    <t>456.51亿</t>
  </si>
  <si>
    <t>382.31亿</t>
  </si>
  <si>
    <t>690.82亿</t>
  </si>
  <si>
    <t>633.40亿</t>
  </si>
  <si>
    <t>334.58亿</t>
  </si>
  <si>
    <t>20.32亿</t>
  </si>
  <si>
    <t>-19.99亿</t>
  </si>
  <si>
    <t>44.16亿</t>
  </si>
  <si>
    <t>113.18亿</t>
  </si>
  <si>
    <t>2319.33万</t>
  </si>
  <si>
    <t>01334000000</t>
  </si>
  <si>
    <t>04002000000</t>
  </si>
  <si>
    <t>08004000000</t>
  </si>
  <si>
    <t>013340000000</t>
  </si>
  <si>
    <t>026680000000</t>
  </si>
  <si>
    <t>1.15万</t>
  </si>
  <si>
    <t>9384.74万</t>
  </si>
  <si>
    <t>27.86亿</t>
  </si>
  <si>
    <t>7244.97万</t>
  </si>
  <si>
    <t>76.84万</t>
  </si>
  <si>
    <t>1059.35万</t>
  </si>
  <si>
    <t>1887.20万</t>
  </si>
  <si>
    <t>-478.62万</t>
  </si>
  <si>
    <t>9.75万</t>
  </si>
  <si>
    <t>57550559亿</t>
  </si>
  <si>
    <t>2879847900亿</t>
  </si>
  <si>
    <t>5046.44万</t>
  </si>
  <si>
    <t>3074.33万</t>
  </si>
  <si>
    <t>8439.66万</t>
  </si>
  <si>
    <t>8943.00万</t>
  </si>
  <si>
    <t>-3272.34万</t>
  </si>
  <si>
    <t>-5.93亿</t>
  </si>
  <si>
    <t>35.00万</t>
  </si>
  <si>
    <t>789.60万</t>
  </si>
  <si>
    <t>1344.00万</t>
  </si>
  <si>
    <t>98.89亿</t>
  </si>
  <si>
    <t>751665440亿</t>
  </si>
  <si>
    <t>36068104000亿</t>
  </si>
  <si>
    <t>107.53亿</t>
  </si>
  <si>
    <t>29.60亿</t>
  </si>
  <si>
    <t>-36.76亿</t>
  </si>
  <si>
    <t>7176.91万</t>
  </si>
  <si>
    <t>2938.30万</t>
  </si>
  <si>
    <t>937.13亿</t>
  </si>
  <si>
    <t>1354.48亿</t>
  </si>
  <si>
    <t>226.37亿</t>
  </si>
  <si>
    <t>1421.84亿</t>
  </si>
  <si>
    <t>48.55亿</t>
  </si>
  <si>
    <t>213.80亿</t>
  </si>
  <si>
    <t>15.09亿</t>
  </si>
  <si>
    <t>91.95亿</t>
  </si>
  <si>
    <t>-5517.14万</t>
  </si>
  <si>
    <t>1178006870亿</t>
  </si>
  <si>
    <t>426.15亿</t>
  </si>
  <si>
    <t>80.48亿</t>
  </si>
  <si>
    <t>229160720000亿</t>
  </si>
  <si>
    <t>239.63亿</t>
  </si>
  <si>
    <t>161.30亿</t>
  </si>
  <si>
    <t>302.37亿</t>
  </si>
  <si>
    <t>214.31亿</t>
  </si>
  <si>
    <t>846.20亿</t>
  </si>
  <si>
    <t>738.88亿</t>
  </si>
  <si>
    <t>108.27亿</t>
  </si>
  <si>
    <t>-58.46亿</t>
  </si>
  <si>
    <t>-47.31亿</t>
  </si>
  <si>
    <t>1243.98亿</t>
  </si>
  <si>
    <t>312.58亿</t>
  </si>
  <si>
    <t>9585.63万</t>
  </si>
  <si>
    <t>522.55万</t>
  </si>
  <si>
    <t>-11.10亿</t>
  </si>
  <si>
    <t>-1121993590亿</t>
  </si>
  <si>
    <t>1565271700亿</t>
  </si>
  <si>
    <t>8139.39万</t>
  </si>
  <si>
    <t>-6.22亿</t>
  </si>
  <si>
    <t>-6400.16万</t>
  </si>
  <si>
    <t>877.36万</t>
  </si>
  <si>
    <t>2540.20万</t>
  </si>
  <si>
    <t>1031.70万</t>
  </si>
  <si>
    <t>-199406450亿</t>
  </si>
  <si>
    <t>12631232000亿</t>
  </si>
  <si>
    <t>5278.70万</t>
  </si>
  <si>
    <t>147.61万</t>
  </si>
  <si>
    <t>-663856890亿</t>
  </si>
  <si>
    <t>591972260亿</t>
  </si>
  <si>
    <t>3021.29万</t>
  </si>
  <si>
    <t>-5.49亿</t>
  </si>
  <si>
    <t>-4178.89万</t>
  </si>
  <si>
    <t>1226.93万</t>
  </si>
  <si>
    <t>8984.40万</t>
  </si>
  <si>
    <t>药明合联</t>
  </si>
  <si>
    <t>173.50万</t>
  </si>
  <si>
    <t>310814360亿</t>
  </si>
  <si>
    <t>7383258900亿</t>
  </si>
  <si>
    <t>1119.35万</t>
  </si>
  <si>
    <t>4711.75万</t>
  </si>
  <si>
    <t>186.73亿</t>
  </si>
  <si>
    <t>3914118000亿</t>
  </si>
  <si>
    <t>62018311000亿</t>
  </si>
  <si>
    <t>-35.39亿</t>
  </si>
  <si>
    <t>129.20万</t>
  </si>
  <si>
    <t>277272830亿</t>
  </si>
  <si>
    <t>3704434700亿</t>
  </si>
  <si>
    <t>-2.89亿</t>
  </si>
  <si>
    <t>9844.78万</t>
  </si>
  <si>
    <t>427.88万</t>
  </si>
  <si>
    <t>2880.93万</t>
  </si>
  <si>
    <t>214.87万</t>
  </si>
  <si>
    <t>107.38亿</t>
  </si>
  <si>
    <t>5.52亿</t>
  </si>
  <si>
    <t>-290178650亿</t>
  </si>
  <si>
    <t>14031563000亿</t>
  </si>
  <si>
    <t>-13.57亿</t>
  </si>
  <si>
    <t>493.66万</t>
  </si>
  <si>
    <t>2723.44万</t>
  </si>
  <si>
    <t>27.70万</t>
  </si>
  <si>
    <t>6750.18万</t>
  </si>
  <si>
    <t>166109380亿</t>
  </si>
  <si>
    <t>2177564000亿</t>
  </si>
  <si>
    <t>2131.78万</t>
  </si>
  <si>
    <t>6433.93万</t>
  </si>
  <si>
    <t>7187.45万</t>
  </si>
  <si>
    <t>8196.93万</t>
  </si>
  <si>
    <t>85.70万</t>
  </si>
  <si>
    <t>0166000000</t>
  </si>
  <si>
    <t>0498000000</t>
  </si>
  <si>
    <t>0996000000</t>
  </si>
  <si>
    <t>01660000000</t>
  </si>
  <si>
    <t>03320000000</t>
  </si>
  <si>
    <t>410.03万</t>
  </si>
  <si>
    <t>273.72亿</t>
  </si>
  <si>
    <t>4995671700亿</t>
  </si>
  <si>
    <t>53287528000亿</t>
  </si>
  <si>
    <t>146.72亿</t>
  </si>
  <si>
    <t>-15.13亿</t>
  </si>
  <si>
    <t>262.64亿</t>
  </si>
  <si>
    <t>1703.69万</t>
  </si>
  <si>
    <t>04996000000</t>
  </si>
  <si>
    <t>014988000000</t>
  </si>
  <si>
    <t>029976000000</t>
  </si>
  <si>
    <t>049960000000</t>
  </si>
  <si>
    <t>099920000000</t>
  </si>
  <si>
    <t>446.30万</t>
  </si>
  <si>
    <t>249.37亿</t>
  </si>
  <si>
    <t>1153963000亿</t>
  </si>
  <si>
    <t>54097321000亿</t>
  </si>
  <si>
    <t>19.35亿</t>
  </si>
  <si>
    <t>114.36亿</t>
  </si>
  <si>
    <t>-36.67亿</t>
  </si>
  <si>
    <t>137.15亿</t>
  </si>
  <si>
    <t>2150.22万</t>
  </si>
  <si>
    <t>01051000000</t>
  </si>
  <si>
    <t>03153000000</t>
  </si>
  <si>
    <t>06306000000</t>
  </si>
  <si>
    <t>010510000000</t>
  </si>
  <si>
    <t>021020000000</t>
  </si>
  <si>
    <t>5091.80万</t>
  </si>
  <si>
    <t>115843.32亿</t>
  </si>
  <si>
    <t>13397.72亿</t>
  </si>
  <si>
    <t>2975.11亿</t>
  </si>
  <si>
    <t>11295.56亿</t>
  </si>
  <si>
    <t>939.06亿</t>
  </si>
  <si>
    <t>358.17亿</t>
  </si>
  <si>
    <t>1206.16亿</t>
  </si>
  <si>
    <t>48590930000亿</t>
  </si>
  <si>
    <t>8482.67亿</t>
  </si>
  <si>
    <t>12924104500000亿</t>
  </si>
  <si>
    <t>525.91亿</t>
  </si>
  <si>
    <t>3950.74亿</t>
  </si>
  <si>
    <t>-1140.06亿</t>
  </si>
  <si>
    <t>-1.91亿</t>
  </si>
  <si>
    <t>10999.21亿</t>
  </si>
  <si>
    <t>317.66亿</t>
  </si>
  <si>
    <t>3597.62亿</t>
  </si>
  <si>
    <t>093906000000</t>
  </si>
  <si>
    <t>0281718000000</t>
  </si>
  <si>
    <t>0563436000000</t>
  </si>
  <si>
    <t>0939060000000</t>
  </si>
  <si>
    <t>01878120000000</t>
  </si>
  <si>
    <t>3264.55万</t>
  </si>
  <si>
    <t>1081.12亿</t>
  </si>
  <si>
    <t>52.72亿</t>
  </si>
  <si>
    <t>5357102000亿</t>
  </si>
  <si>
    <t>126304110000亿</t>
  </si>
  <si>
    <t>104.13亿</t>
  </si>
  <si>
    <t>357.30亿</t>
  </si>
  <si>
    <t>91.53亿</t>
  </si>
  <si>
    <t>9.31亿</t>
  </si>
  <si>
    <t>3590.75万</t>
  </si>
  <si>
    <t>4938.53亿</t>
  </si>
  <si>
    <t>2580.16亿</t>
  </si>
  <si>
    <t>1244.26亿</t>
  </si>
  <si>
    <t>5187.05亿</t>
  </si>
  <si>
    <t>269.50亿</t>
  </si>
  <si>
    <t>23.23亿</t>
  </si>
  <si>
    <t>6332397000亿</t>
  </si>
  <si>
    <t>114.90亿</t>
  </si>
  <si>
    <t>751869440000亿</t>
  </si>
  <si>
    <t>216.91亿</t>
  </si>
  <si>
    <t>-122.01亿</t>
  </si>
  <si>
    <t>103.64亿</t>
  </si>
  <si>
    <t>4984.99亿</t>
  </si>
  <si>
    <t>96.08亿</t>
  </si>
  <si>
    <t>910.58亿</t>
  </si>
  <si>
    <t>7.96亿</t>
  </si>
  <si>
    <t>2898.17万</t>
  </si>
  <si>
    <t>302.53亿</t>
  </si>
  <si>
    <t>34.93亿</t>
  </si>
  <si>
    <t>3493547700亿</t>
  </si>
  <si>
    <t>37498594000亿</t>
  </si>
  <si>
    <t>19.62亿</t>
  </si>
  <si>
    <t>-26.85亿</t>
  </si>
  <si>
    <t>72.18亿</t>
  </si>
  <si>
    <t>1345.05万</t>
  </si>
  <si>
    <t>1336.54亿</t>
  </si>
  <si>
    <t>774.42亿</t>
  </si>
  <si>
    <t>446.18亿</t>
  </si>
  <si>
    <t>1833.13亿</t>
  </si>
  <si>
    <t>76.97亿</t>
  </si>
  <si>
    <t>76.51亿</t>
  </si>
  <si>
    <t>369.66亿</t>
  </si>
  <si>
    <t>31.95亿</t>
  </si>
  <si>
    <t>120.96亿</t>
  </si>
  <si>
    <t>3480831500亿</t>
  </si>
  <si>
    <t>372.58亿</t>
  </si>
  <si>
    <t>426.29亿</t>
  </si>
  <si>
    <t>211095670000亿</t>
  </si>
  <si>
    <t>315.68亿</t>
  </si>
  <si>
    <t>750.75亿</t>
  </si>
  <si>
    <t>680.17亿</t>
  </si>
  <si>
    <t>1214.97亿</t>
  </si>
  <si>
    <t>1078.58亿</t>
  </si>
  <si>
    <t>202.50亿</t>
  </si>
  <si>
    <t>194.62亿</t>
  </si>
  <si>
    <t>-114.56亿</t>
  </si>
  <si>
    <t>-28.99亿</t>
  </si>
  <si>
    <t>8919.07万</t>
  </si>
  <si>
    <t>07697000000</t>
  </si>
  <si>
    <t>023091000000</t>
  </si>
  <si>
    <t>046182000000</t>
  </si>
  <si>
    <t>076970000000</t>
  </si>
  <si>
    <t>0153940000000</t>
  </si>
  <si>
    <t>2635.33万</t>
  </si>
  <si>
    <t>2395.22亿</t>
  </si>
  <si>
    <t>1258.54亿</t>
  </si>
  <si>
    <t>605.64亿</t>
  </si>
  <si>
    <t>2337.20亿</t>
  </si>
  <si>
    <t>98.81亿</t>
  </si>
  <si>
    <t>131.98亿</t>
  </si>
  <si>
    <t>473.66亿</t>
  </si>
  <si>
    <t>35.29亿</t>
  </si>
  <si>
    <t>50.72亿</t>
  </si>
  <si>
    <t>98.47亿</t>
  </si>
  <si>
    <t>3607584200亿</t>
  </si>
  <si>
    <t>949.46亿</t>
  </si>
  <si>
    <t>544.79亿</t>
  </si>
  <si>
    <t>365376180000亿</t>
  </si>
  <si>
    <t>474.00亿</t>
  </si>
  <si>
    <t>961.95亿</t>
  </si>
  <si>
    <t>1019.76亿</t>
  </si>
  <si>
    <t>1602.81亿</t>
  </si>
  <si>
    <t>1589.19亿</t>
  </si>
  <si>
    <t>284.25亿</t>
  </si>
  <si>
    <t>301.14亿</t>
  </si>
  <si>
    <t>-62.89亿</t>
  </si>
  <si>
    <t>8829.71万</t>
  </si>
  <si>
    <t>116.24亿</t>
  </si>
  <si>
    <t>13.60亿</t>
  </si>
  <si>
    <t>309.46亿</t>
  </si>
  <si>
    <t>8716.38万</t>
  </si>
  <si>
    <t>09881000000</t>
  </si>
  <si>
    <t>029643000000</t>
  </si>
  <si>
    <t>059286000000</t>
  </si>
  <si>
    <t>098810000000</t>
  </si>
  <si>
    <t>0197620000000</t>
  </si>
  <si>
    <t>1816.59万</t>
  </si>
  <si>
    <t>179.39亿</t>
  </si>
  <si>
    <t>854359370亿</t>
  </si>
  <si>
    <t>18999961000亿</t>
  </si>
  <si>
    <t>27.57亿</t>
  </si>
  <si>
    <t>27.60亿</t>
  </si>
  <si>
    <t>-4.78亿</t>
  </si>
  <si>
    <t>151.01亿</t>
  </si>
  <si>
    <t>451.72万</t>
  </si>
  <si>
    <t>203.76亿</t>
  </si>
  <si>
    <t>604.54亿</t>
  </si>
  <si>
    <t>442.22亿</t>
  </si>
  <si>
    <t>117.18亿</t>
  </si>
  <si>
    <t>53.67亿</t>
  </si>
  <si>
    <t>6651.62万</t>
  </si>
  <si>
    <t>2112818800亿</t>
  </si>
  <si>
    <t>124.22亿</t>
  </si>
  <si>
    <t>80830120000亿</t>
  </si>
  <si>
    <t>280.93亿</t>
  </si>
  <si>
    <t>144.40亿</t>
  </si>
  <si>
    <t>138.57亿</t>
  </si>
  <si>
    <t>-74.73亿</t>
  </si>
  <si>
    <t>2484.82万</t>
  </si>
  <si>
    <t>1060.58万</t>
  </si>
  <si>
    <t>49.90亿</t>
  </si>
  <si>
    <t>-9027.95万</t>
  </si>
  <si>
    <t>-83343370亿</t>
  </si>
  <si>
    <t>16952854000亿</t>
  </si>
  <si>
    <t>19.78亿</t>
  </si>
  <si>
    <t>-12.61亿</t>
  </si>
  <si>
    <t>7394.50万</t>
  </si>
  <si>
    <t>223.89万</t>
  </si>
  <si>
    <t>38.63亿</t>
  </si>
  <si>
    <t>8217.99万</t>
  </si>
  <si>
    <t>1587519000亿</t>
  </si>
  <si>
    <t>5451488100亿</t>
  </si>
  <si>
    <t>18.06亿</t>
  </si>
  <si>
    <t>-5.78亿</t>
  </si>
  <si>
    <t>2344.34万</t>
  </si>
  <si>
    <t>4.49万</t>
  </si>
  <si>
    <t>1523.38亿</t>
  </si>
  <si>
    <t>132.87亿</t>
  </si>
  <si>
    <t>13372432000亿</t>
  </si>
  <si>
    <t>1359629500000亿</t>
  </si>
  <si>
    <t>64.99亿</t>
  </si>
  <si>
    <t>-1592.44亿</t>
  </si>
  <si>
    <t>-78.63亿</t>
  </si>
  <si>
    <t>1227.51亿</t>
  </si>
  <si>
    <t>69.79万</t>
  </si>
  <si>
    <t>347.83万</t>
  </si>
  <si>
    <t>013287000000</t>
  </si>
  <si>
    <t>039861000000</t>
  </si>
  <si>
    <t>079722000000</t>
  </si>
  <si>
    <t>0132870000000</t>
  </si>
  <si>
    <t>0265740000000</t>
  </si>
  <si>
    <t>2767.70万</t>
  </si>
  <si>
    <t>485.20亿</t>
  </si>
  <si>
    <t>4970121500亿</t>
  </si>
  <si>
    <t>335225390000亿</t>
  </si>
  <si>
    <t>41.91亿</t>
  </si>
  <si>
    <t>824.02亿</t>
  </si>
  <si>
    <t>-294.26亿</t>
  </si>
  <si>
    <t>158.40亿</t>
  </si>
  <si>
    <t>11.66亿</t>
  </si>
  <si>
    <t>1006.10万</t>
  </si>
  <si>
    <t>347.29亿</t>
  </si>
  <si>
    <t>12.05亿</t>
  </si>
  <si>
    <t>28.13亿</t>
  </si>
  <si>
    <t>1260984070亿</t>
  </si>
  <si>
    <t>55135655000亿</t>
  </si>
  <si>
    <t>194.65亿</t>
  </si>
  <si>
    <t>29.21亿</t>
  </si>
  <si>
    <t>-16.31亿</t>
  </si>
  <si>
    <t>5648.23万</t>
  </si>
  <si>
    <t>992.92万</t>
  </si>
  <si>
    <t>654.98亿</t>
  </si>
  <si>
    <t>327.23亿</t>
  </si>
  <si>
    <t>34857000000亿</t>
  </si>
  <si>
    <t>3868783000000亿</t>
  </si>
  <si>
    <t>1971.17亿</t>
  </si>
  <si>
    <t>542.15亿</t>
  </si>
  <si>
    <t>2389.45亿</t>
  </si>
  <si>
    <t>5361.17万</t>
  </si>
  <si>
    <t>032723000000</t>
  </si>
  <si>
    <t>098169000000</t>
  </si>
  <si>
    <t>0196338000000</t>
  </si>
  <si>
    <t>0327230000000</t>
  </si>
  <si>
    <t>0654460000000</t>
  </si>
  <si>
    <t>148.98万</t>
  </si>
  <si>
    <t>37.15亿</t>
  </si>
  <si>
    <t>-9102.74万</t>
  </si>
  <si>
    <t>-71649824亿</t>
  </si>
  <si>
    <t>4833630300亿</t>
  </si>
  <si>
    <t>1307.75万</t>
  </si>
  <si>
    <t>-113655324亿</t>
  </si>
  <si>
    <t>5356395200亿</t>
  </si>
  <si>
    <t>12.94万</t>
  </si>
  <si>
    <t>176.03万</t>
  </si>
  <si>
    <t>4.18万</t>
  </si>
  <si>
    <t>5797.03万</t>
  </si>
  <si>
    <t>189548330亿</t>
  </si>
  <si>
    <t>3117282600亿</t>
  </si>
  <si>
    <t>9927.63万</t>
  </si>
  <si>
    <t>9.77亿</t>
  </si>
  <si>
    <t>-1.84亿</t>
  </si>
  <si>
    <t>-2.33亿</t>
  </si>
  <si>
    <t>22.33万</t>
  </si>
  <si>
    <t>426.83万</t>
  </si>
  <si>
    <t>56.05万</t>
  </si>
  <si>
    <t>372699230亿</t>
  </si>
  <si>
    <t>8321237800亿</t>
  </si>
  <si>
    <t>395.11万</t>
  </si>
  <si>
    <t>2413.47万</t>
  </si>
  <si>
    <t>177.25万</t>
  </si>
  <si>
    <t>60337040亿</t>
  </si>
  <si>
    <t>1420237800亿</t>
  </si>
  <si>
    <t>1463.17万</t>
  </si>
  <si>
    <t>5580.75万</t>
  </si>
  <si>
    <t>547.15万</t>
  </si>
  <si>
    <t>-987278280亿</t>
  </si>
  <si>
    <t>3630476300亿</t>
  </si>
  <si>
    <t>4010.85万</t>
  </si>
  <si>
    <t>友宝在线</t>
  </si>
  <si>
    <t>75.60万</t>
  </si>
  <si>
    <t>-350206300亿</t>
  </si>
  <si>
    <t>1658175700亿</t>
  </si>
  <si>
    <t>805.95万</t>
  </si>
  <si>
    <t>3195.45万</t>
  </si>
  <si>
    <t>476.00万</t>
  </si>
  <si>
    <t>206706050亿</t>
  </si>
  <si>
    <t>2326693300亿</t>
  </si>
  <si>
    <t>2544.88万</t>
  </si>
  <si>
    <t>161.80万</t>
  </si>
  <si>
    <t>-2152671500亿</t>
  </si>
  <si>
    <t>1870990900亿</t>
  </si>
  <si>
    <t>358.36万</t>
  </si>
  <si>
    <t>5082.53万</t>
  </si>
  <si>
    <t>速腾聚创</t>
  </si>
  <si>
    <t>3.48万</t>
  </si>
  <si>
    <t>-140941740亿</t>
  </si>
  <si>
    <t>4431893000亿</t>
  </si>
  <si>
    <t>48.94万</t>
  </si>
  <si>
    <t>363.82万</t>
  </si>
  <si>
    <t>锅圈</t>
  </si>
  <si>
    <t>170.16万</t>
  </si>
  <si>
    <t>288741270亿</t>
  </si>
  <si>
    <t>5099134300亿</t>
  </si>
  <si>
    <t>584.44万</t>
  </si>
  <si>
    <t>2607.88万</t>
  </si>
  <si>
    <t>57.05万</t>
  </si>
  <si>
    <t>161.39亿</t>
  </si>
  <si>
    <t>59.67亿</t>
  </si>
  <si>
    <t>5966838500亿</t>
  </si>
  <si>
    <t>188788830000亿</t>
  </si>
  <si>
    <t>197.62万</t>
  </si>
  <si>
    <t>265.71亿</t>
  </si>
  <si>
    <t>178.34亿</t>
  </si>
  <si>
    <t>-218.87亿</t>
  </si>
  <si>
    <t>111.77亿</t>
  </si>
  <si>
    <t>300.96万</t>
  </si>
  <si>
    <t>1863.74万</t>
  </si>
  <si>
    <t>05967000000</t>
  </si>
  <si>
    <t>017901000000</t>
  </si>
  <si>
    <t>035802000000</t>
  </si>
  <si>
    <t>059670000000</t>
  </si>
  <si>
    <t>0119340000000</t>
  </si>
  <si>
    <t>2662.20万</t>
  </si>
  <si>
    <t>1189.18亿</t>
  </si>
  <si>
    <t>1114.89亿</t>
  </si>
  <si>
    <t>520.27亿</t>
  </si>
  <si>
    <t>2467.23亿</t>
  </si>
  <si>
    <t>73.02亿</t>
  </si>
  <si>
    <t>73.25亿</t>
  </si>
  <si>
    <t>447.02亿</t>
  </si>
  <si>
    <t>9769.31万</t>
  </si>
  <si>
    <t>4366709900亿</t>
  </si>
  <si>
    <t>220.07亿</t>
  </si>
  <si>
    <t>230407010000亿</t>
  </si>
  <si>
    <t>1065.74亿</t>
  </si>
  <si>
    <t>53.12亿</t>
  </si>
  <si>
    <t>231.43亿</t>
  </si>
  <si>
    <t>242.22亿</t>
  </si>
  <si>
    <t>643.53亿</t>
  </si>
  <si>
    <t>574.84亿</t>
  </si>
  <si>
    <t>483.16亿</t>
  </si>
  <si>
    <t>294.43亿</t>
  </si>
  <si>
    <t>-120.57亿</t>
  </si>
  <si>
    <t>67.96亿</t>
  </si>
  <si>
    <t>24.78亿</t>
  </si>
  <si>
    <t>142.91亿</t>
  </si>
  <si>
    <t>1052.29万</t>
  </si>
  <si>
    <t>23353.29亿</t>
  </si>
  <si>
    <t>2979.86亿</t>
  </si>
  <si>
    <t>877.46亿</t>
  </si>
  <si>
    <t>3546.21亿</t>
  </si>
  <si>
    <t>298.79亿</t>
  </si>
  <si>
    <t>-143.71亿</t>
  </si>
  <si>
    <t>13038116800亿</t>
  </si>
  <si>
    <t>460.81亿</t>
  </si>
  <si>
    <t>2633314500000亿</t>
  </si>
  <si>
    <t>201.42亿</t>
  </si>
  <si>
    <t>1511.25亿</t>
  </si>
  <si>
    <t>-1768.80亿</t>
  </si>
  <si>
    <t>3742.09亿</t>
  </si>
  <si>
    <t>112.56亿</t>
  </si>
  <si>
    <t>5983.64万</t>
  </si>
  <si>
    <t>202.60万</t>
  </si>
  <si>
    <t>1459.68亿</t>
  </si>
  <si>
    <t>885.38亿</t>
  </si>
  <si>
    <t>754.42亿</t>
  </si>
  <si>
    <t>2845.26亿</t>
  </si>
  <si>
    <t>41.30亿</t>
  </si>
  <si>
    <t>84.34亿</t>
  </si>
  <si>
    <t>670.08亿</t>
  </si>
  <si>
    <t>7208.49万</t>
  </si>
  <si>
    <t>2012206300亿</t>
  </si>
  <si>
    <t>324.01亿</t>
  </si>
  <si>
    <t>919.56亿</t>
  </si>
  <si>
    <t>234505930000亿</t>
  </si>
  <si>
    <t>128.70亿</t>
  </si>
  <si>
    <t>403.51亿</t>
  </si>
  <si>
    <t>598.88亿</t>
  </si>
  <si>
    <t>618.60亿</t>
  </si>
  <si>
    <t>1341.44亿</t>
  </si>
  <si>
    <t>1351.20亿</t>
  </si>
  <si>
    <t>71.41亿</t>
  </si>
  <si>
    <t>-27.32亿</t>
  </si>
  <si>
    <t>19.86亿</t>
  </si>
  <si>
    <t>152.78亿</t>
  </si>
  <si>
    <t>1305.24万</t>
  </si>
  <si>
    <t>9958.60万</t>
  </si>
  <si>
    <t>04130000000</t>
  </si>
  <si>
    <t>012390000000</t>
  </si>
  <si>
    <t>024780000000</t>
  </si>
  <si>
    <t>041300000000</t>
  </si>
  <si>
    <t>082600000000</t>
  </si>
  <si>
    <t>114.54万</t>
  </si>
  <si>
    <t>7923.41亿</t>
  </si>
  <si>
    <t>1898.07亿</t>
  </si>
  <si>
    <t>59.78亿</t>
  </si>
  <si>
    <t>571.32亿</t>
  </si>
  <si>
    <t>94.95亿</t>
  </si>
  <si>
    <t>35.78亿</t>
  </si>
  <si>
    <t>-32.56亿</t>
  </si>
  <si>
    <t>2825076200亿</t>
  </si>
  <si>
    <t>1921.65亿</t>
  </si>
  <si>
    <t>982148330000亿</t>
  </si>
  <si>
    <t>41.80亿</t>
  </si>
  <si>
    <t>188.37亿</t>
  </si>
  <si>
    <t>6914.93亿</t>
  </si>
  <si>
    <t>6401.43亿</t>
  </si>
  <si>
    <t>1481.46亿</t>
  </si>
  <si>
    <t>267.90亿</t>
  </si>
  <si>
    <t>-373.80亿</t>
  </si>
  <si>
    <t>198.69亿</t>
  </si>
  <si>
    <t>697.13万</t>
  </si>
  <si>
    <t>8769.26万</t>
  </si>
  <si>
    <t>09495000000</t>
  </si>
  <si>
    <t>028485000000</t>
  </si>
  <si>
    <t>056970000000</t>
  </si>
  <si>
    <t>094950000000</t>
  </si>
  <si>
    <t>0189900000000</t>
  </si>
  <si>
    <t>3520.05万</t>
  </si>
  <si>
    <t>60186.90亿</t>
  </si>
  <si>
    <t>5293.21亿</t>
  </si>
  <si>
    <t>1302.38亿</t>
  </si>
  <si>
    <t>3779.11亿</t>
  </si>
  <si>
    <t>506.24亿</t>
  </si>
  <si>
    <t>14.91亿</t>
  </si>
  <si>
    <t>381.19亿</t>
  </si>
  <si>
    <t>22673251000亿</t>
  </si>
  <si>
    <t>2781.47亿</t>
  </si>
  <si>
    <t>6548011300000亿</t>
  </si>
  <si>
    <t>512.23亿</t>
  </si>
  <si>
    <t>4213.42亿</t>
  </si>
  <si>
    <t>-4650.48亿</t>
  </si>
  <si>
    <t>3020.08万</t>
  </si>
  <si>
    <t>4183.68亿</t>
  </si>
  <si>
    <t>621.63亿</t>
  </si>
  <si>
    <t>186.86亿</t>
  </si>
  <si>
    <t>2218.33亿</t>
  </si>
  <si>
    <t>368.97万</t>
  </si>
  <si>
    <t>149.63亿</t>
  </si>
  <si>
    <t>3932.62万</t>
  </si>
  <si>
    <t>2410622700亿</t>
  </si>
  <si>
    <t>88073908000亿</t>
  </si>
  <si>
    <t>329.67亿</t>
  </si>
  <si>
    <t>54.74亿</t>
  </si>
  <si>
    <t>-11.61亿</t>
  </si>
  <si>
    <t>136.20亿</t>
  </si>
  <si>
    <t>1769.92万</t>
  </si>
  <si>
    <t>312.75万</t>
  </si>
  <si>
    <t>143.07亿</t>
  </si>
  <si>
    <t>1481518700亿</t>
  </si>
  <si>
    <t>11631584200亿</t>
  </si>
  <si>
    <t>69.78亿</t>
  </si>
  <si>
    <t>122.96亿</t>
  </si>
  <si>
    <t>14.36亿</t>
  </si>
  <si>
    <t>2889.25万</t>
  </si>
  <si>
    <t>11.00万</t>
  </si>
  <si>
    <t>249.11亿</t>
  </si>
  <si>
    <t>-4.12亿</t>
  </si>
  <si>
    <t>-328182550亿</t>
  </si>
  <si>
    <t>25005607000亿</t>
  </si>
  <si>
    <t>99.95亿</t>
  </si>
  <si>
    <t>3236.97万</t>
  </si>
  <si>
    <t>236.90万</t>
  </si>
  <si>
    <t>952.19万</t>
  </si>
  <si>
    <t>179.56万</t>
  </si>
  <si>
    <t>1248.11亿</t>
  </si>
  <si>
    <t>74.72亿</t>
  </si>
  <si>
    <t>8475818400亿</t>
  </si>
  <si>
    <t>113052202000亿</t>
  </si>
  <si>
    <t>382.83亿</t>
  </si>
  <si>
    <t>105.37亿</t>
  </si>
  <si>
    <t>-53.15亿</t>
  </si>
  <si>
    <t>192.10亿</t>
  </si>
  <si>
    <t>1166.61万</t>
  </si>
  <si>
    <t>7599.86万</t>
  </si>
  <si>
    <t>1020.31万</t>
  </si>
  <si>
    <t>611.88亿</t>
  </si>
  <si>
    <t>-25.70亿</t>
  </si>
  <si>
    <t>331649830亿</t>
  </si>
  <si>
    <t>141313670000亿</t>
  </si>
  <si>
    <t>104.05亿</t>
  </si>
  <si>
    <t>302.72亿</t>
  </si>
  <si>
    <t>74.67亿</t>
  </si>
  <si>
    <t>-187.90亿</t>
  </si>
  <si>
    <t>5249.25万</t>
  </si>
  <si>
    <t>394.60万</t>
  </si>
  <si>
    <t>2172.36亿</t>
  </si>
  <si>
    <t>833.16亿</t>
  </si>
  <si>
    <t>220.72亿</t>
  </si>
  <si>
    <t>1250.66亿</t>
  </si>
  <si>
    <t>177.76亿</t>
  </si>
  <si>
    <t>58.99亿</t>
  </si>
  <si>
    <t>596681520亿</t>
  </si>
  <si>
    <t>368.76亿</t>
  </si>
  <si>
    <t>458.02亿</t>
  </si>
  <si>
    <t>300551720000亿</t>
  </si>
  <si>
    <t>216.24亿</t>
  </si>
  <si>
    <t>81.82亿</t>
  </si>
  <si>
    <t>785.81亿</t>
  </si>
  <si>
    <t>764.26亿</t>
  </si>
  <si>
    <t>1838.60亿</t>
  </si>
  <si>
    <t>1731.42亿</t>
  </si>
  <si>
    <t>365.05亿</t>
  </si>
  <si>
    <t>85.47亿</t>
  </si>
  <si>
    <t>2397.80万</t>
  </si>
  <si>
    <t>0313000000</t>
  </si>
  <si>
    <t>0939000000</t>
  </si>
  <si>
    <t>01878000000</t>
  </si>
  <si>
    <t>03130000000</t>
  </si>
  <si>
    <t>06260000000</t>
  </si>
  <si>
    <t>富力地产</t>
  </si>
  <si>
    <t>461.57万</t>
  </si>
  <si>
    <t>397.25亿</t>
  </si>
  <si>
    <t>-221.04亿</t>
  </si>
  <si>
    <t>-21866162000亿</t>
  </si>
  <si>
    <t>367082550000亿</t>
  </si>
  <si>
    <t>2159.95亿</t>
  </si>
  <si>
    <t>-17.13亿</t>
  </si>
  <si>
    <t>397.01亿</t>
  </si>
  <si>
    <t>933.44亿</t>
  </si>
  <si>
    <t>1023.74亿</t>
  </si>
  <si>
    <t>875.10亿</t>
  </si>
  <si>
    <t>-201.67亿</t>
  </si>
  <si>
    <t>107.33亿</t>
  </si>
  <si>
    <t>108.09亿</t>
  </si>
  <si>
    <t>95.31亿</t>
  </si>
  <si>
    <t>254.00亿</t>
  </si>
  <si>
    <t>-177.53亿</t>
  </si>
  <si>
    <t>2292.55万</t>
  </si>
  <si>
    <t>423.40万</t>
  </si>
  <si>
    <t>190.67亿</t>
  </si>
  <si>
    <t>785021710亿</t>
  </si>
  <si>
    <t>19821126000亿</t>
  </si>
  <si>
    <t>93.81亿</t>
  </si>
  <si>
    <t>-4.14亿</t>
  </si>
  <si>
    <t>1773.40万</t>
  </si>
  <si>
    <t>0664000000</t>
  </si>
  <si>
    <t>01992000000</t>
  </si>
  <si>
    <t>03984000000</t>
  </si>
  <si>
    <t>06640000000</t>
  </si>
  <si>
    <t>013280000000</t>
  </si>
  <si>
    <t>神威药业</t>
  </si>
  <si>
    <t>51.10万</t>
  </si>
  <si>
    <t>1062776860亿</t>
  </si>
  <si>
    <t>10495011100亿</t>
  </si>
  <si>
    <t>-5430.57万</t>
  </si>
  <si>
    <t>44.57亿</t>
  </si>
  <si>
    <t>31.65亿</t>
  </si>
  <si>
    <t>29.26亿</t>
  </si>
  <si>
    <t>426.90万</t>
  </si>
  <si>
    <t>2146.35万</t>
  </si>
  <si>
    <t>20.26万</t>
  </si>
  <si>
    <t>152.87亿</t>
  </si>
  <si>
    <t>465.62亿</t>
  </si>
  <si>
    <t>22.45亿</t>
  </si>
  <si>
    <t>5515.47万</t>
  </si>
  <si>
    <t>6032.94万</t>
  </si>
  <si>
    <t>450790210亿</t>
  </si>
  <si>
    <t>66.73亿</t>
  </si>
  <si>
    <t>46.50亿</t>
  </si>
  <si>
    <t>61848637000亿</t>
  </si>
  <si>
    <t>56.80亿</t>
  </si>
  <si>
    <t>51.44亿</t>
  </si>
  <si>
    <t>38.42亿</t>
  </si>
  <si>
    <t>36.60亿</t>
  </si>
  <si>
    <t>-3.83亿</t>
  </si>
  <si>
    <t>-3132.42万</t>
  </si>
  <si>
    <t>69.56亿</t>
  </si>
  <si>
    <t>462.72万</t>
  </si>
  <si>
    <t>5069.26万</t>
  </si>
  <si>
    <t>01472000000</t>
  </si>
  <si>
    <t>08832000000</t>
  </si>
  <si>
    <t>029440000000</t>
  </si>
  <si>
    <t>1265.04万</t>
  </si>
  <si>
    <t>425.67亿</t>
  </si>
  <si>
    <t>463.77亿</t>
  </si>
  <si>
    <t>91.51亿</t>
  </si>
  <si>
    <t>84.37万</t>
  </si>
  <si>
    <t>18.02亿</t>
  </si>
  <si>
    <t>4289.78万</t>
  </si>
  <si>
    <t>744927760亿</t>
  </si>
  <si>
    <t>47.93亿</t>
  </si>
  <si>
    <t>177.20亿</t>
  </si>
  <si>
    <t>88944675000亿</t>
  </si>
  <si>
    <t>472.34亿</t>
  </si>
  <si>
    <t>52.46亿</t>
  </si>
  <si>
    <t>145.37亿</t>
  </si>
  <si>
    <t>131.25亿</t>
  </si>
  <si>
    <t>256.12亿</t>
  </si>
  <si>
    <t>162.35亿</t>
  </si>
  <si>
    <t>143.51亿</t>
  </si>
  <si>
    <t>-81.75亿</t>
  </si>
  <si>
    <t>5521.71万</t>
  </si>
  <si>
    <t>10.47万</t>
  </si>
  <si>
    <t>59601.93亿</t>
  </si>
  <si>
    <t>3978.15亿</t>
  </si>
  <si>
    <t>1407.46亿</t>
  </si>
  <si>
    <t>235.66亿</t>
  </si>
  <si>
    <t>157.00亿</t>
  </si>
  <si>
    <t>7.90亿</t>
  </si>
  <si>
    <t>10915875000亿</t>
  </si>
  <si>
    <t>6358008100000亿</t>
  </si>
  <si>
    <t>176.22亿</t>
  </si>
  <si>
    <t>-434.45亿</t>
  </si>
  <si>
    <t>1235.00亿</t>
  </si>
  <si>
    <t>1549.75亿</t>
  </si>
  <si>
    <t>108.23万</t>
  </si>
  <si>
    <t>1169.42万</t>
  </si>
  <si>
    <t>023566000000</t>
  </si>
  <si>
    <t>070698000000</t>
  </si>
  <si>
    <t>0141396000000</t>
  </si>
  <si>
    <t>0235660000000</t>
  </si>
  <si>
    <t>0471320000000</t>
  </si>
  <si>
    <t>5338.72万</t>
  </si>
  <si>
    <t>2237.84亿</t>
  </si>
  <si>
    <t>1600.97亿</t>
  </si>
  <si>
    <t>793.29亿</t>
  </si>
  <si>
    <t>3163.12亿</t>
  </si>
  <si>
    <t>231.51亿</t>
  </si>
  <si>
    <t>120.67亿</t>
  </si>
  <si>
    <t>672.61亿</t>
  </si>
  <si>
    <t>17.18亿</t>
  </si>
  <si>
    <t>8250079900亿</t>
  </si>
  <si>
    <t>228.10亿</t>
  </si>
  <si>
    <t>383880920000亿</t>
  </si>
  <si>
    <t>877.59亿</t>
  </si>
  <si>
    <t>260.62亿</t>
  </si>
  <si>
    <t>178.51亿</t>
  </si>
  <si>
    <t>170.43亿</t>
  </si>
  <si>
    <t>922.81亿</t>
  </si>
  <si>
    <t>942.77亿</t>
  </si>
  <si>
    <t>1108.55亿</t>
  </si>
  <si>
    <t>404.06亿</t>
  </si>
  <si>
    <t>-372.32亿</t>
  </si>
  <si>
    <t>-85.11亿</t>
  </si>
  <si>
    <t>463.27亿</t>
  </si>
  <si>
    <t>461.31万</t>
  </si>
  <si>
    <t>241.66亿</t>
  </si>
  <si>
    <t>1137.34亿</t>
  </si>
  <si>
    <t>91.64亿</t>
  </si>
  <si>
    <t>9712948000亿</t>
  </si>
  <si>
    <t>249274690000亿</t>
  </si>
  <si>
    <t>580.70亿</t>
  </si>
  <si>
    <t>1153.55亿</t>
  </si>
  <si>
    <t>190.50亿</t>
  </si>
  <si>
    <t>3075.12万</t>
  </si>
  <si>
    <t>09164000000</t>
  </si>
  <si>
    <t>027492000000</t>
  </si>
  <si>
    <t>054984000000</t>
  </si>
  <si>
    <t>091640000000</t>
  </si>
  <si>
    <t>0183280000000</t>
  </si>
  <si>
    <t>523.11万</t>
  </si>
  <si>
    <t>169.29亿</t>
  </si>
  <si>
    <t>765951110亿</t>
  </si>
  <si>
    <t>26364246000亿</t>
  </si>
  <si>
    <t>32.28亿</t>
  </si>
  <si>
    <t>99.14亿</t>
  </si>
  <si>
    <t>26.66亿</t>
  </si>
  <si>
    <t>3063.66万</t>
  </si>
  <si>
    <t>0505000000</t>
  </si>
  <si>
    <t>01515000000</t>
  </si>
  <si>
    <t>03030000000</t>
  </si>
  <si>
    <t>05050000000</t>
  </si>
  <si>
    <t>010100000000</t>
  </si>
  <si>
    <t>883.37万</t>
  </si>
  <si>
    <t>2682.44亿</t>
  </si>
  <si>
    <t>8522958300亿</t>
  </si>
  <si>
    <t>270509600000亿</t>
  </si>
  <si>
    <t>596.89亿</t>
  </si>
  <si>
    <t>1471.46亿</t>
  </si>
  <si>
    <t>170.46亿</t>
  </si>
  <si>
    <t>-22.66亿</t>
  </si>
  <si>
    <t>2461.32亿</t>
  </si>
  <si>
    <t>46.79亿</t>
  </si>
  <si>
    <t>3796.57万</t>
  </si>
  <si>
    <t>2771.33万</t>
  </si>
  <si>
    <t>3340.28亿</t>
  </si>
  <si>
    <t>2087.67亿</t>
  </si>
  <si>
    <t>392.50亿</t>
  </si>
  <si>
    <t>2304.39亿</t>
  </si>
  <si>
    <t>58.12亿</t>
  </si>
  <si>
    <t>334.38亿</t>
  </si>
  <si>
    <t>-994757260亿</t>
  </si>
  <si>
    <t>353.81亿</t>
  </si>
  <si>
    <t>675.13亿</t>
  </si>
  <si>
    <t>542794750000亿</t>
  </si>
  <si>
    <t>1852.10亿</t>
  </si>
  <si>
    <t>423.20亿</t>
  </si>
  <si>
    <t>684.15亿</t>
  </si>
  <si>
    <t>1938.03亿</t>
  </si>
  <si>
    <t>1866.39亿</t>
  </si>
  <si>
    <t>1318.20亿</t>
  </si>
  <si>
    <t>318.17亿</t>
  </si>
  <si>
    <t>-299.69亿</t>
  </si>
  <si>
    <t>-39.38亿</t>
  </si>
  <si>
    <t>2638.40亿</t>
  </si>
  <si>
    <t>199.59亿</t>
  </si>
  <si>
    <t>22.23亿</t>
  </si>
  <si>
    <t>303.16亿</t>
  </si>
  <si>
    <t>3795.80万</t>
  </si>
  <si>
    <t>141428.98亿</t>
  </si>
  <si>
    <t>12143.07亿</t>
  </si>
  <si>
    <t>717.36亿</t>
  </si>
  <si>
    <t>2816.48亿</t>
  </si>
  <si>
    <t>934.57亿</t>
  </si>
  <si>
    <t>73.39亿</t>
  </si>
  <si>
    <t>27237886000亿</t>
  </si>
  <si>
    <t>15357205000000亿</t>
  </si>
  <si>
    <t>2393.39亿</t>
  </si>
  <si>
    <t>1505.33亿</t>
  </si>
  <si>
    <t>-1278.42亿</t>
  </si>
  <si>
    <t>570.37亿</t>
  </si>
  <si>
    <t>2894.25亿</t>
  </si>
  <si>
    <t>880.58亿</t>
  </si>
  <si>
    <t>287.59亿</t>
  </si>
  <si>
    <t>3334.18亿</t>
  </si>
  <si>
    <t>46.86万</t>
  </si>
  <si>
    <t>264.62亿</t>
  </si>
  <si>
    <t>80.94亿</t>
  </si>
  <si>
    <t>6.69亿</t>
  </si>
  <si>
    <t>5010.35万</t>
  </si>
  <si>
    <t>-2364.33万</t>
  </si>
  <si>
    <t>1657.78万</t>
  </si>
  <si>
    <t>337138400亿</t>
  </si>
  <si>
    <t>80.26亿</t>
  </si>
  <si>
    <t>32433702000亿</t>
  </si>
  <si>
    <t>45.37亿</t>
  </si>
  <si>
    <t>10.21亿</t>
  </si>
  <si>
    <t>-14.42亿</t>
  </si>
  <si>
    <t>366.78万</t>
  </si>
  <si>
    <t>3516.90万</t>
  </si>
  <si>
    <t>266.20万</t>
  </si>
  <si>
    <t>416.12亿</t>
  </si>
  <si>
    <t>7582440600亿</t>
  </si>
  <si>
    <t>385295920000亿</t>
  </si>
  <si>
    <t>104.25亿</t>
  </si>
  <si>
    <t>1722.03亿</t>
  </si>
  <si>
    <t>40.85亿</t>
  </si>
  <si>
    <t>-26.28亿</t>
  </si>
  <si>
    <t>135.27亿</t>
  </si>
  <si>
    <t>1294.00万</t>
  </si>
  <si>
    <t>06789000000</t>
  </si>
  <si>
    <t>020367000000</t>
  </si>
  <si>
    <t>040734000000</t>
  </si>
  <si>
    <t>067890000000</t>
  </si>
  <si>
    <t>0135780000000</t>
  </si>
  <si>
    <t>695.75万</t>
  </si>
  <si>
    <t>92.58亿</t>
  </si>
  <si>
    <t>214.00亿</t>
  </si>
  <si>
    <t>75.85亿</t>
  </si>
  <si>
    <t>11.34亿</t>
  </si>
  <si>
    <t>2164.77万</t>
  </si>
  <si>
    <t>437.28万</t>
  </si>
  <si>
    <t>479242750亿</t>
  </si>
  <si>
    <t>30658200000亿</t>
  </si>
  <si>
    <t>136.77亿</t>
  </si>
  <si>
    <t>54.39亿</t>
  </si>
  <si>
    <t>-30.03亿</t>
  </si>
  <si>
    <t>110.69亿</t>
  </si>
  <si>
    <t>2409.75万</t>
  </si>
  <si>
    <t>5579.90万</t>
  </si>
  <si>
    <t>509.28亿</t>
  </si>
  <si>
    <t>-231.26亿</t>
  </si>
  <si>
    <t>-23003631000亿</t>
  </si>
  <si>
    <t>226006100000亿</t>
  </si>
  <si>
    <t>152.47亿</t>
  </si>
  <si>
    <t>1693.25亿</t>
  </si>
  <si>
    <t>71.35亿</t>
  </si>
  <si>
    <t>61.49亿</t>
  </si>
  <si>
    <t>1442.20万</t>
  </si>
  <si>
    <t>517.04亿</t>
  </si>
  <si>
    <t>-97.94亿</t>
  </si>
  <si>
    <t>-9710262400亿</t>
  </si>
  <si>
    <t>272276420000亿</t>
  </si>
  <si>
    <t>326.62亿</t>
  </si>
  <si>
    <t>1791.08亿</t>
  </si>
  <si>
    <t>78.76亿</t>
  </si>
  <si>
    <t>8764.89万</t>
  </si>
  <si>
    <t>1544.29万</t>
  </si>
  <si>
    <t>474.77亿</t>
  </si>
  <si>
    <t>-151.29亿</t>
  </si>
  <si>
    <t>-14005984000亿</t>
  </si>
  <si>
    <t>265070100000亿</t>
  </si>
  <si>
    <t>274.19亿</t>
  </si>
  <si>
    <t>1569.34亿</t>
  </si>
  <si>
    <t>116.82亿</t>
  </si>
  <si>
    <t>7897.33万</t>
  </si>
  <si>
    <t>14.97亿</t>
  </si>
  <si>
    <t>307.20万</t>
  </si>
  <si>
    <t>4779.57亿</t>
  </si>
  <si>
    <t>-42.47亿</t>
  </si>
  <si>
    <t>690943630亿</t>
  </si>
  <si>
    <t>729776040000亿</t>
  </si>
  <si>
    <t>4850.52亿</t>
  </si>
  <si>
    <t>-113.57亿</t>
  </si>
  <si>
    <t>1397.03万</t>
  </si>
  <si>
    <t>6590.92万</t>
  </si>
  <si>
    <t>505.72万</t>
  </si>
  <si>
    <t>289.26亿</t>
  </si>
  <si>
    <t>354.28亿</t>
  </si>
  <si>
    <t>94.67亿</t>
  </si>
  <si>
    <t>363.51亿</t>
  </si>
  <si>
    <t>61.70亿</t>
  </si>
  <si>
    <t>34.45亿</t>
  </si>
  <si>
    <t>60.21亿</t>
  </si>
  <si>
    <t>-7475.82万</t>
  </si>
  <si>
    <t>1497447500亿</t>
  </si>
  <si>
    <t>222.53亿</t>
  </si>
  <si>
    <t>99.61亿</t>
  </si>
  <si>
    <t>64354040000亿</t>
  </si>
  <si>
    <t>161.91亿</t>
  </si>
  <si>
    <t>66.71亿</t>
  </si>
  <si>
    <t>165.56亿</t>
  </si>
  <si>
    <t>168.56亿</t>
  </si>
  <si>
    <t>103.50亿</t>
  </si>
  <si>
    <t>81.99亿</t>
  </si>
  <si>
    <t>-47.18亿</t>
  </si>
  <si>
    <t>1458.60万</t>
  </si>
  <si>
    <t>5647.49万</t>
  </si>
  <si>
    <t>91.90万</t>
  </si>
  <si>
    <t>1220.80万</t>
  </si>
  <si>
    <t>590587000亿</t>
  </si>
  <si>
    <t>4434445000亿</t>
  </si>
  <si>
    <t>-10.79亿</t>
  </si>
  <si>
    <t>902.40万</t>
  </si>
  <si>
    <t>5379.18万</t>
  </si>
  <si>
    <t>1266.70万</t>
  </si>
  <si>
    <t>14701.58亿</t>
  </si>
  <si>
    <t>1385.98亿</t>
  </si>
  <si>
    <t>303.05亿</t>
  </si>
  <si>
    <t>116.90亿</t>
  </si>
  <si>
    <t>7178.73万</t>
  </si>
  <si>
    <t>3949441700亿</t>
  </si>
  <si>
    <t>1608756500000亿</t>
  </si>
  <si>
    <t>50.94亿</t>
  </si>
  <si>
    <t>432.55亿</t>
  </si>
  <si>
    <t>338.06亿</t>
  </si>
  <si>
    <t>-228.97亿</t>
  </si>
  <si>
    <t>6724.12万</t>
  </si>
  <si>
    <t>4.23亿</t>
  </si>
  <si>
    <t>53.20万</t>
  </si>
  <si>
    <t>136.44亿</t>
  </si>
  <si>
    <t>300456000亿</t>
  </si>
  <si>
    <t>26430107000亿</t>
  </si>
  <si>
    <t>117.86亿</t>
  </si>
  <si>
    <t>15.04亿</t>
  </si>
  <si>
    <t>-9.64亿</t>
  </si>
  <si>
    <t>245.30万</t>
  </si>
  <si>
    <t>2191.61万</t>
  </si>
  <si>
    <t>551.21万</t>
  </si>
  <si>
    <t>1212296350亿</t>
  </si>
  <si>
    <t>2684309900亿</t>
  </si>
  <si>
    <t>2694.67万</t>
  </si>
  <si>
    <t>169.92万</t>
  </si>
  <si>
    <t>413.75亿</t>
  </si>
  <si>
    <t>96.76亿</t>
  </si>
  <si>
    <t>9676170500亿</t>
  </si>
  <si>
    <t>59865653000亿</t>
  </si>
  <si>
    <t>28.88亿</t>
  </si>
  <si>
    <t>67.08亿</t>
  </si>
  <si>
    <t>-31.70亿</t>
  </si>
  <si>
    <t>229.56亿</t>
  </si>
  <si>
    <t>962.19万</t>
  </si>
  <si>
    <t>6021.37万</t>
  </si>
  <si>
    <t>433.25万</t>
  </si>
  <si>
    <t>795.79亿</t>
  </si>
  <si>
    <t>642100250亿</t>
  </si>
  <si>
    <t>35838123000亿</t>
  </si>
  <si>
    <t>159.60亿</t>
  </si>
  <si>
    <t>53.40亿</t>
  </si>
  <si>
    <t>2644.33万</t>
  </si>
  <si>
    <t>35.70万</t>
  </si>
  <si>
    <t>104.28亿</t>
  </si>
  <si>
    <t>854.10万</t>
  </si>
  <si>
    <t>9107.66万</t>
  </si>
  <si>
    <t>224.28万</t>
  </si>
  <si>
    <t>1601.10万</t>
  </si>
  <si>
    <t>-14309747亿</t>
  </si>
  <si>
    <t>66.87亿</t>
  </si>
  <si>
    <t>12406926600亿</t>
  </si>
  <si>
    <t>5908.88万</t>
  </si>
  <si>
    <t>81.17亿</t>
  </si>
  <si>
    <t>5838.65万</t>
  </si>
  <si>
    <t>-17.73亿</t>
  </si>
  <si>
    <t>869.25万</t>
  </si>
  <si>
    <t>222.50万</t>
  </si>
  <si>
    <t>3233.90万</t>
  </si>
  <si>
    <t>2752.89万</t>
  </si>
  <si>
    <t>3033.68亿</t>
  </si>
  <si>
    <t>151.89亿</t>
  </si>
  <si>
    <t>232.41亿</t>
  </si>
  <si>
    <t>15190406000亿</t>
  </si>
  <si>
    <t>321219080000亿</t>
  </si>
  <si>
    <t>251.91亿</t>
  </si>
  <si>
    <t>1105.78亿</t>
  </si>
  <si>
    <t>444.20亿</t>
  </si>
  <si>
    <t>-270.37亿</t>
  </si>
  <si>
    <t>325.76万</t>
  </si>
  <si>
    <t>110.76亿</t>
  </si>
  <si>
    <t>35.93亿</t>
  </si>
  <si>
    <t>3592798800亿</t>
  </si>
  <si>
    <t>36217438000亿</t>
  </si>
  <si>
    <t>1700.13万</t>
  </si>
  <si>
    <t>112.90万</t>
  </si>
  <si>
    <t>912731200亿</t>
  </si>
  <si>
    <t>7706066800亿</t>
  </si>
  <si>
    <t>807.85万</t>
  </si>
  <si>
    <t>3620.97万</t>
  </si>
  <si>
    <t>467.30万</t>
  </si>
  <si>
    <t>-781.80万</t>
  </si>
  <si>
    <t>-210000亿</t>
  </si>
  <si>
    <t>3506108000亿</t>
  </si>
  <si>
    <t>-2.14亿</t>
  </si>
  <si>
    <t>2987.30万</t>
  </si>
  <si>
    <t>352.80万</t>
  </si>
  <si>
    <t>128.21亿</t>
  </si>
  <si>
    <t>144.07亿</t>
  </si>
  <si>
    <t>126.48亿</t>
  </si>
  <si>
    <t>5982.78万</t>
  </si>
  <si>
    <t>7611.46万</t>
  </si>
  <si>
    <t>232891310亿</t>
  </si>
  <si>
    <t>27228143000亿</t>
  </si>
  <si>
    <t>108.65亿</t>
  </si>
  <si>
    <t>40.06亿</t>
  </si>
  <si>
    <t>40.51亿</t>
  </si>
  <si>
    <t>74.66亿</t>
  </si>
  <si>
    <t>1591.71万</t>
  </si>
  <si>
    <t>369.42亿</t>
  </si>
  <si>
    <t>20.53亿</t>
  </si>
  <si>
    <t>3647171400亿</t>
  </si>
  <si>
    <t>90730470000亿</t>
  </si>
  <si>
    <t>142.67亿</t>
  </si>
  <si>
    <t>242.69亿</t>
  </si>
  <si>
    <t>-42.18亿</t>
  </si>
  <si>
    <t>-119.64亿</t>
  </si>
  <si>
    <t>69.74亿</t>
  </si>
  <si>
    <t>640.38万</t>
  </si>
  <si>
    <t>937.23亿</t>
  </si>
  <si>
    <t>58.30亿</t>
  </si>
  <si>
    <t>6387394100亿</t>
  </si>
  <si>
    <t>133501252000亿</t>
  </si>
  <si>
    <t>795.07亿</t>
  </si>
  <si>
    <t>-121.23亿</t>
  </si>
  <si>
    <t>670.15亿</t>
  </si>
  <si>
    <t>122.45亿</t>
  </si>
  <si>
    <t>2823.91万</t>
  </si>
  <si>
    <t>116.15万</t>
  </si>
  <si>
    <t>6271.28亿</t>
  </si>
  <si>
    <t>449.16亿</t>
  </si>
  <si>
    <t>2521.44万</t>
  </si>
  <si>
    <t>1207856190亿</t>
  </si>
  <si>
    <t>672043870000亿</t>
  </si>
  <si>
    <t>-186.94亿</t>
  </si>
  <si>
    <t>680.30万</t>
  </si>
  <si>
    <t>7279.10万</t>
  </si>
  <si>
    <t>1058.00万</t>
  </si>
  <si>
    <t>25.17亿</t>
  </si>
  <si>
    <t>994701000亿</t>
  </si>
  <si>
    <t>21133563000亿</t>
  </si>
  <si>
    <t>-26.10亿</t>
  </si>
  <si>
    <t>46.24亿</t>
  </si>
  <si>
    <t>6346.04万</t>
  </si>
  <si>
    <t>769.00万</t>
  </si>
  <si>
    <t>-2393713800亿</t>
  </si>
  <si>
    <t>16520039000亿</t>
  </si>
  <si>
    <t>6524.60万</t>
  </si>
  <si>
    <t>166.74万</t>
  </si>
  <si>
    <t>412.40亿</t>
  </si>
  <si>
    <t>42.11亿</t>
  </si>
  <si>
    <t>237.62亿</t>
  </si>
  <si>
    <t>34.04亿</t>
  </si>
  <si>
    <t>-5303.80万</t>
  </si>
  <si>
    <t>622888570亿</t>
  </si>
  <si>
    <t>89.31亿</t>
  </si>
  <si>
    <t>59438279000亿</t>
  </si>
  <si>
    <t>111.14亿</t>
  </si>
  <si>
    <t>115.24亿</t>
  </si>
  <si>
    <t>147.24亿</t>
  </si>
  <si>
    <t>155.70亿</t>
  </si>
  <si>
    <t>30.50亿</t>
  </si>
  <si>
    <t>-24.96亿</t>
  </si>
  <si>
    <t>85.12亿</t>
  </si>
  <si>
    <t>949.38万</t>
  </si>
  <si>
    <t>7814.71万</t>
  </si>
  <si>
    <t>261.37万</t>
  </si>
  <si>
    <t>258.99亿</t>
  </si>
  <si>
    <t>1275495570亿</t>
  </si>
  <si>
    <t>30241334000亿</t>
  </si>
  <si>
    <t>48.68亿</t>
  </si>
  <si>
    <t>153.66亿</t>
  </si>
  <si>
    <t>-22.81亿</t>
  </si>
  <si>
    <t>793.87万</t>
  </si>
  <si>
    <t>7910.19万</t>
  </si>
  <si>
    <t>619.80万</t>
  </si>
  <si>
    <t>1440.22亿</t>
  </si>
  <si>
    <t>7320576000亿</t>
  </si>
  <si>
    <t>587055630000亿</t>
  </si>
  <si>
    <t>532.91亿</t>
  </si>
  <si>
    <t>3324.21亿</t>
  </si>
  <si>
    <t>-209.44亿</t>
  </si>
  <si>
    <t>4665.16万</t>
  </si>
  <si>
    <t>1575.98万</t>
  </si>
  <si>
    <t>5473.51亿</t>
  </si>
  <si>
    <t>1145.80亿</t>
  </si>
  <si>
    <t>46.30亿</t>
  </si>
  <si>
    <t>271.89亿</t>
  </si>
  <si>
    <t>60.24亿</t>
  </si>
  <si>
    <t>24.64亿</t>
  </si>
  <si>
    <t>5089.50万</t>
  </si>
  <si>
    <t>1336481760亿</t>
  </si>
  <si>
    <t>1494.06亿</t>
  </si>
  <si>
    <t>661931060000亿</t>
  </si>
  <si>
    <t>4463.30亿</t>
  </si>
  <si>
    <t>3787.16亿</t>
  </si>
  <si>
    <t>1600.65亿</t>
  </si>
  <si>
    <t>-26.55亿</t>
  </si>
  <si>
    <t>22.82亿</t>
  </si>
  <si>
    <t>60.11亿</t>
  </si>
  <si>
    <t>6601.89万</t>
  </si>
  <si>
    <t>103.41万</t>
  </si>
  <si>
    <t>39.21亿</t>
  </si>
  <si>
    <t>13.88亿</t>
  </si>
  <si>
    <t>1388264700亿</t>
  </si>
  <si>
    <t>21486936000亿</t>
  </si>
  <si>
    <t>51.02亿</t>
  </si>
  <si>
    <t>22.58亿</t>
  </si>
  <si>
    <t>-3.35亿</t>
  </si>
  <si>
    <t>656.17万</t>
  </si>
  <si>
    <t>5271.82万</t>
  </si>
  <si>
    <t>323.40万</t>
  </si>
  <si>
    <t>29.61亿</t>
  </si>
  <si>
    <t>2960666300亿</t>
  </si>
  <si>
    <t>23039033000亿</t>
  </si>
  <si>
    <t>72.64亿</t>
  </si>
  <si>
    <t>26.13亿</t>
  </si>
  <si>
    <t>1776.04万</t>
  </si>
  <si>
    <t>276.08万</t>
  </si>
  <si>
    <t>2946.21亿</t>
  </si>
  <si>
    <t>864.27亿</t>
  </si>
  <si>
    <t>239.95亿</t>
  </si>
  <si>
    <t>27.58亿</t>
  </si>
  <si>
    <t>-965.74万</t>
  </si>
  <si>
    <t>956261180亿</t>
  </si>
  <si>
    <t>916.59亿</t>
  </si>
  <si>
    <t>381047040000亿</t>
  </si>
  <si>
    <t>1223.04亿</t>
  </si>
  <si>
    <t>2566.56亿</t>
  </si>
  <si>
    <t>2230.99亿</t>
  </si>
  <si>
    <t>597.59亿</t>
  </si>
  <si>
    <t>-143.28亿</t>
  </si>
  <si>
    <t>98.19亿</t>
  </si>
  <si>
    <t>1223.37万</t>
  </si>
  <si>
    <t>9429.53万</t>
  </si>
  <si>
    <t>2658.57万</t>
  </si>
  <si>
    <t>112117.61亿</t>
  </si>
  <si>
    <t>12139.55亿</t>
  </si>
  <si>
    <t>924.08亿</t>
  </si>
  <si>
    <t>3689.83亿</t>
  </si>
  <si>
    <t>1557.09亿</t>
  </si>
  <si>
    <t>145.29亿</t>
  </si>
  <si>
    <t>41463541000亿</t>
  </si>
  <si>
    <t>12425715800000亿</t>
  </si>
  <si>
    <t>1285.80亿</t>
  </si>
  <si>
    <t>3921.69亿</t>
  </si>
  <si>
    <t>-2796.48亿</t>
  </si>
  <si>
    <t>3476.06亿</t>
  </si>
  <si>
    <t>9551.12万</t>
  </si>
  <si>
    <t>746.20万</t>
  </si>
  <si>
    <t>738.27亿</t>
  </si>
  <si>
    <t>535.31亿</t>
  </si>
  <si>
    <t>70.03亿</t>
  </si>
  <si>
    <t>403.74亿</t>
  </si>
  <si>
    <t>38.12亿</t>
  </si>
  <si>
    <t>50.97亿</t>
  </si>
  <si>
    <t>22.34亿</t>
  </si>
  <si>
    <t>-2473.83万</t>
  </si>
  <si>
    <t>5587.40万</t>
  </si>
  <si>
    <t>768812900亿</t>
  </si>
  <si>
    <t>241.73亿</t>
  </si>
  <si>
    <t>257.45亿</t>
  </si>
  <si>
    <t>127357099000亿</t>
  </si>
  <si>
    <t>54.71亿</t>
  </si>
  <si>
    <t>1703.24万</t>
  </si>
  <si>
    <t>560.00亿</t>
  </si>
  <si>
    <t>523.94亿</t>
  </si>
  <si>
    <t>726.17亿</t>
  </si>
  <si>
    <t>696.36亿</t>
  </si>
  <si>
    <t>31.51亿</t>
  </si>
  <si>
    <t>-19.98亿</t>
  </si>
  <si>
    <t>6011.34万</t>
  </si>
  <si>
    <t>139.21亿</t>
  </si>
  <si>
    <t>5695.70万</t>
  </si>
  <si>
    <t>333016.18亿</t>
  </si>
  <si>
    <t>30030.29亿</t>
  </si>
  <si>
    <t>1714.89亿</t>
  </si>
  <si>
    <t>6832.97亿</t>
  </si>
  <si>
    <t>2374.46亿</t>
  </si>
  <si>
    <t>149.07亿</t>
  </si>
  <si>
    <t>64686878000亿</t>
  </si>
  <si>
    <t>36304647000000亿</t>
  </si>
  <si>
    <t>2407.88亿</t>
  </si>
  <si>
    <t>8949.88亿</t>
  </si>
  <si>
    <t>-5913.21亿</t>
  </si>
  <si>
    <t>-1596.50亿</t>
  </si>
  <si>
    <t>6592.37亿</t>
  </si>
  <si>
    <t>707.60亿</t>
  </si>
  <si>
    <t>9386.88亿</t>
  </si>
  <si>
    <t>128.39亿</t>
  </si>
  <si>
    <t>449.67万</t>
  </si>
  <si>
    <t>6058.20万</t>
  </si>
  <si>
    <t>995.26万</t>
  </si>
  <si>
    <t>806.41亿</t>
  </si>
  <si>
    <t>417851亿</t>
  </si>
  <si>
    <t>1549.36万</t>
  </si>
  <si>
    <t>220971120000亿</t>
  </si>
  <si>
    <t>317.82亿</t>
  </si>
  <si>
    <t>1373.27亿</t>
  </si>
  <si>
    <t>2373.90万</t>
  </si>
  <si>
    <t>1110.03亿</t>
  </si>
  <si>
    <t>805.51亿</t>
  </si>
  <si>
    <t>487.44亿</t>
  </si>
  <si>
    <t>2008.07亿</t>
  </si>
  <si>
    <t>90.43亿</t>
  </si>
  <si>
    <t>433.83亿</t>
  </si>
  <si>
    <t>2190.70万</t>
  </si>
  <si>
    <t>1274.11万</t>
  </si>
  <si>
    <t>2515370300亿</t>
  </si>
  <si>
    <t>335.90亿</t>
  </si>
  <si>
    <t>16.43亿</t>
  </si>
  <si>
    <t>191553790000亿</t>
  </si>
  <si>
    <t>411.89亿</t>
  </si>
  <si>
    <t>257.60亿</t>
  </si>
  <si>
    <t>51.50亿</t>
  </si>
  <si>
    <t>46.95亿</t>
  </si>
  <si>
    <t>536.92亿</t>
  </si>
  <si>
    <t>577.65亿</t>
  </si>
  <si>
    <t>-116.84亿</t>
  </si>
  <si>
    <t>-31.86亿</t>
  </si>
  <si>
    <t>239.82亿</t>
  </si>
  <si>
    <t>1929.40万</t>
  </si>
  <si>
    <t>6735.89亿</t>
  </si>
  <si>
    <t>2059.73亿</t>
  </si>
  <si>
    <t>1047.20亿</t>
  </si>
  <si>
    <t>4435.40亿</t>
  </si>
  <si>
    <t>87.54亿</t>
  </si>
  <si>
    <t>938.08亿</t>
  </si>
  <si>
    <t>56.93亿</t>
  </si>
  <si>
    <t>142.96亿</t>
  </si>
  <si>
    <t>2534470600亿</t>
  </si>
  <si>
    <t>690.91亿</t>
  </si>
  <si>
    <t>1019.50亿</t>
  </si>
  <si>
    <t>879561740000亿</t>
  </si>
  <si>
    <t>671.71亿</t>
  </si>
  <si>
    <t>540.95亿</t>
  </si>
  <si>
    <t>2386.56亿</t>
  </si>
  <si>
    <t>2316.82亿</t>
  </si>
  <si>
    <t>4571.25亿</t>
  </si>
  <si>
    <t>4614.24亿</t>
  </si>
  <si>
    <t>1922.29亿</t>
  </si>
  <si>
    <t>103.99亿</t>
  </si>
  <si>
    <t>-455.23亿</t>
  </si>
  <si>
    <t>-224.08亿</t>
  </si>
  <si>
    <t>4114.10亿</t>
  </si>
  <si>
    <t>79.64亿</t>
  </si>
  <si>
    <t>53.72亿</t>
  </si>
  <si>
    <t>5259.49万</t>
  </si>
  <si>
    <t>9149.01万</t>
  </si>
  <si>
    <t>191.72亿</t>
  </si>
  <si>
    <t>24.44亿</t>
  </si>
  <si>
    <t>983891070亿</t>
  </si>
  <si>
    <t>25324761000亿</t>
  </si>
  <si>
    <t>35.40亿</t>
  </si>
  <si>
    <t>69.19亿</t>
  </si>
  <si>
    <t>34.87亿</t>
  </si>
  <si>
    <t>167.05亿</t>
  </si>
  <si>
    <t>1021.60万</t>
  </si>
  <si>
    <t>13821.46亿</t>
  </si>
  <si>
    <t>3083.77亿</t>
  </si>
  <si>
    <t>78.60亿</t>
  </si>
  <si>
    <t>674.40亿</t>
  </si>
  <si>
    <t>210.42亿</t>
  </si>
  <si>
    <t>66.64亿</t>
  </si>
  <si>
    <t>5567888900亿</t>
  </si>
  <si>
    <t>3606.29亿</t>
  </si>
  <si>
    <t>1690522600000亿</t>
  </si>
  <si>
    <t>71.64亿</t>
  </si>
  <si>
    <t>11438.07亿</t>
  </si>
  <si>
    <t>12086.88亿</t>
  </si>
  <si>
    <t>1615.18亿</t>
  </si>
  <si>
    <t>-374.16亿</t>
  </si>
  <si>
    <t>-199.49亿</t>
  </si>
  <si>
    <t>-395.44亿</t>
  </si>
  <si>
    <t>698.86亿</t>
  </si>
  <si>
    <t>4620.98万</t>
  </si>
  <si>
    <t>74.42万</t>
  </si>
  <si>
    <t>165.11亿</t>
  </si>
  <si>
    <t>1531595300亿</t>
  </si>
  <si>
    <t>16308449000亿</t>
  </si>
  <si>
    <t>64.91亿</t>
  </si>
  <si>
    <t>6170.18万</t>
  </si>
  <si>
    <t>567.10万</t>
  </si>
  <si>
    <t>5739.01万</t>
  </si>
  <si>
    <t>248.30万</t>
  </si>
  <si>
    <t>118.36亿</t>
  </si>
  <si>
    <t>692373000亿</t>
  </si>
  <si>
    <t>6740395000亿</t>
  </si>
  <si>
    <t>-16.99亿</t>
  </si>
  <si>
    <t>1384.31万</t>
  </si>
  <si>
    <t>338.41万</t>
  </si>
  <si>
    <t>4215193700亿</t>
  </si>
  <si>
    <t>46987085000亿</t>
  </si>
  <si>
    <t>-58.40亿</t>
  </si>
  <si>
    <t>282.92亿</t>
  </si>
  <si>
    <t>1592.54万</t>
  </si>
  <si>
    <t>222.25万</t>
  </si>
  <si>
    <t>4628.24亿</t>
  </si>
  <si>
    <t>1112.35亿</t>
  </si>
  <si>
    <t>56.27亿</t>
  </si>
  <si>
    <t>371.05亿</t>
  </si>
  <si>
    <t>66.33亿</t>
  </si>
  <si>
    <t>27.70亿</t>
  </si>
  <si>
    <t>-10.17亿</t>
  </si>
  <si>
    <t>1327566700亿</t>
  </si>
  <si>
    <t>1180.89亿</t>
  </si>
  <si>
    <t>574058710000亿</t>
  </si>
  <si>
    <t>8.22亿</t>
  </si>
  <si>
    <t>3709.40亿</t>
  </si>
  <si>
    <t>3348.12亿</t>
  </si>
  <si>
    <t>1194.98亿</t>
  </si>
  <si>
    <t>-111.01亿</t>
  </si>
  <si>
    <t>-29.10亿</t>
  </si>
  <si>
    <t>46.58亿</t>
  </si>
  <si>
    <t>159.45亿</t>
  </si>
  <si>
    <t>1330.56万</t>
  </si>
  <si>
    <t>06633000000</t>
  </si>
  <si>
    <t>019899000000</t>
  </si>
  <si>
    <t>039798000000</t>
  </si>
  <si>
    <t>066330000000</t>
  </si>
  <si>
    <t>0132660000000</t>
  </si>
  <si>
    <t>2710.79万</t>
  </si>
  <si>
    <t>313014430亿</t>
  </si>
  <si>
    <t>12956610400亿</t>
  </si>
  <si>
    <t>649.94万</t>
  </si>
  <si>
    <t>67.21亿</t>
  </si>
  <si>
    <t>-9.85亿</t>
  </si>
  <si>
    <t>702.40万</t>
  </si>
  <si>
    <t>4583.35万</t>
  </si>
  <si>
    <t>178.60万</t>
  </si>
  <si>
    <t>44.69亿</t>
  </si>
  <si>
    <t>750840000亿</t>
  </si>
  <si>
    <t>11767228000亿</t>
  </si>
  <si>
    <t>-31.39亿</t>
  </si>
  <si>
    <t>1161.51万</t>
  </si>
  <si>
    <t>7629.07万</t>
  </si>
  <si>
    <t>4607.60万</t>
  </si>
  <si>
    <t>327.71亿</t>
  </si>
  <si>
    <t>1012102510亿</t>
  </si>
  <si>
    <t>39787172000亿</t>
  </si>
  <si>
    <t>51.80亿</t>
  </si>
  <si>
    <t>200.23亿</t>
  </si>
  <si>
    <t>44.81亿</t>
  </si>
  <si>
    <t>-32.04亿</t>
  </si>
  <si>
    <t>1127.60万</t>
  </si>
  <si>
    <t>566418600亿</t>
  </si>
  <si>
    <t>75905354000亿</t>
  </si>
  <si>
    <t>79.10亿</t>
  </si>
  <si>
    <t>289.22亿</t>
  </si>
  <si>
    <t>-3.88亿</t>
  </si>
  <si>
    <t>8518.57万</t>
  </si>
  <si>
    <t>127.52万</t>
  </si>
  <si>
    <t>5589.34亿</t>
  </si>
  <si>
    <t>1341.56亿</t>
  </si>
  <si>
    <t>327.85亿</t>
  </si>
  <si>
    <t>89.80亿</t>
  </si>
  <si>
    <t>22.03亿</t>
  </si>
  <si>
    <t>-2.62亿</t>
  </si>
  <si>
    <t>5704.55万</t>
  </si>
  <si>
    <t>2327931200亿</t>
  </si>
  <si>
    <t>970.69亿</t>
  </si>
  <si>
    <t>693089600000亿</t>
  </si>
  <si>
    <t>1291.90亿</t>
  </si>
  <si>
    <t>5418.12亿</t>
  </si>
  <si>
    <t>4346.13亿</t>
  </si>
  <si>
    <t>1213.52亿</t>
  </si>
  <si>
    <t>172.86亿</t>
  </si>
  <si>
    <t>-264.13亿</t>
  </si>
  <si>
    <t>-112.60亿</t>
  </si>
  <si>
    <t>215.52亿</t>
  </si>
  <si>
    <t>537.08万</t>
  </si>
  <si>
    <t>4428.96万</t>
  </si>
  <si>
    <t>246.99万</t>
  </si>
  <si>
    <t>82.22万</t>
  </si>
  <si>
    <t>18229806亿</t>
  </si>
  <si>
    <t>4964387200亿</t>
  </si>
  <si>
    <t>9070.84万</t>
  </si>
  <si>
    <t>2008.90万</t>
  </si>
  <si>
    <t>1570.77万</t>
  </si>
  <si>
    <t>300.54万</t>
  </si>
  <si>
    <t>305.32亿</t>
  </si>
  <si>
    <t>20.71亿</t>
  </si>
  <si>
    <t>1436885700亿</t>
  </si>
  <si>
    <t>16661832000亿</t>
  </si>
  <si>
    <t>59.41亿</t>
  </si>
  <si>
    <t>122.46亿</t>
  </si>
  <si>
    <t>4420.20万</t>
  </si>
  <si>
    <t>38.61万</t>
  </si>
  <si>
    <t>86.22亿</t>
  </si>
  <si>
    <t>631.03万</t>
  </si>
  <si>
    <t>-3021.32万</t>
  </si>
  <si>
    <t>717.37万</t>
  </si>
  <si>
    <t>-294849980亿</t>
  </si>
  <si>
    <t>10498288300亿</t>
  </si>
  <si>
    <t>4749.07万</t>
  </si>
  <si>
    <t>4431.98万</t>
  </si>
  <si>
    <t>-7287.27万</t>
  </si>
  <si>
    <t>267.18万</t>
  </si>
  <si>
    <t>2198.66万</t>
  </si>
  <si>
    <t>130.89万</t>
  </si>
  <si>
    <t>192.06亿</t>
  </si>
  <si>
    <t>-68.87亿</t>
  </si>
  <si>
    <t>-6887021200亿</t>
  </si>
  <si>
    <t>45345003000亿</t>
  </si>
  <si>
    <t>141.39亿</t>
  </si>
  <si>
    <t>-90.41亿</t>
  </si>
  <si>
    <t>-113.68亿</t>
  </si>
  <si>
    <t>580.46万</t>
  </si>
  <si>
    <t>3856.47万</t>
  </si>
  <si>
    <t>138.78万</t>
  </si>
  <si>
    <t>1913.10亿</t>
  </si>
  <si>
    <t>740.58亿</t>
  </si>
  <si>
    <t>42.55亿</t>
  </si>
  <si>
    <t>14.34亿</t>
  </si>
  <si>
    <t>242.22万</t>
  </si>
  <si>
    <t>-7.84亿</t>
  </si>
  <si>
    <t>2933.58万</t>
  </si>
  <si>
    <t>742615410亿</t>
  </si>
  <si>
    <t>661.10亿</t>
  </si>
  <si>
    <t>265368160000亿</t>
  </si>
  <si>
    <t>613.41亿</t>
  </si>
  <si>
    <t>1875.31亿</t>
  </si>
  <si>
    <t>1385.15亿</t>
  </si>
  <si>
    <t>348.40亿</t>
  </si>
  <si>
    <t>-162.35亿</t>
  </si>
  <si>
    <t>37.30亿</t>
  </si>
  <si>
    <t>27.43亿</t>
  </si>
  <si>
    <t>60.56亿</t>
  </si>
  <si>
    <t>519.71万</t>
  </si>
  <si>
    <t>6080.26万</t>
  </si>
  <si>
    <t>39.56万</t>
  </si>
  <si>
    <t>37.34亿</t>
  </si>
  <si>
    <t>55.08亿</t>
  </si>
  <si>
    <t>-16.25亿</t>
  </si>
  <si>
    <t>7127.41万</t>
  </si>
  <si>
    <t>4986.66万</t>
  </si>
  <si>
    <t>5024.75万</t>
  </si>
  <si>
    <t>-2521.47万</t>
  </si>
  <si>
    <t>926.72万</t>
  </si>
  <si>
    <t>-188628790亿</t>
  </si>
  <si>
    <t>9242191400亿</t>
  </si>
  <si>
    <t>10.30亿</t>
  </si>
  <si>
    <t>7814.26万</t>
  </si>
  <si>
    <t>28.12亿</t>
  </si>
  <si>
    <t>-4.84亿</t>
  </si>
  <si>
    <t>281.29万</t>
  </si>
  <si>
    <t>3500.80万</t>
  </si>
  <si>
    <t>767.40万</t>
  </si>
  <si>
    <t>214.11亿</t>
  </si>
  <si>
    <t>3606883900亿</t>
  </si>
  <si>
    <t>39676606000亿</t>
  </si>
  <si>
    <t>80.92亿</t>
  </si>
  <si>
    <t>45.44亿</t>
  </si>
  <si>
    <t>124.17亿</t>
  </si>
  <si>
    <t>6145.74万</t>
  </si>
  <si>
    <t>322.20万</t>
  </si>
  <si>
    <t>6226.25亿</t>
  </si>
  <si>
    <t>599.69亿</t>
  </si>
  <si>
    <t>34.12亿</t>
  </si>
  <si>
    <t>144.67亿</t>
  </si>
  <si>
    <t>4786.18万</t>
  </si>
  <si>
    <t>1069134210亿</t>
  </si>
  <si>
    <t>682593780000亿</t>
  </si>
  <si>
    <t>37.42亿</t>
  </si>
  <si>
    <t>-44.20亿</t>
  </si>
  <si>
    <t>-38.12亿</t>
  </si>
  <si>
    <t>3166.51万</t>
  </si>
  <si>
    <t>205.30万</t>
  </si>
  <si>
    <t>160.02亿</t>
  </si>
  <si>
    <t>496.51亿</t>
  </si>
  <si>
    <t>47.30亿</t>
  </si>
  <si>
    <t>197.58亿</t>
  </si>
  <si>
    <t>53.97亿</t>
  </si>
  <si>
    <t>1576.37万</t>
  </si>
  <si>
    <t>1152.98万</t>
  </si>
  <si>
    <t>2054.14万</t>
  </si>
  <si>
    <t>1591959000亿</t>
  </si>
  <si>
    <t>121.07亿</t>
  </si>
  <si>
    <t>65653123000亿</t>
  </si>
  <si>
    <t>253.04亿</t>
  </si>
  <si>
    <t>30.56亿</t>
  </si>
  <si>
    <t>93.77亿</t>
  </si>
  <si>
    <t>67.43亿</t>
  </si>
  <si>
    <t>-21.75亿</t>
  </si>
  <si>
    <t>-3.79亿</t>
  </si>
  <si>
    <t>1253.14万</t>
  </si>
  <si>
    <t>8593.38万</t>
  </si>
  <si>
    <t>05397000000</t>
  </si>
  <si>
    <t>016191000000</t>
  </si>
  <si>
    <t>032382000000</t>
  </si>
  <si>
    <t>053970000000</t>
  </si>
  <si>
    <t>0107940000000</t>
  </si>
  <si>
    <t>762.51万</t>
  </si>
  <si>
    <t>586.80亿</t>
  </si>
  <si>
    <t>13.44亿</t>
  </si>
  <si>
    <t>2349025100亿</t>
  </si>
  <si>
    <t>70472834000亿</t>
  </si>
  <si>
    <t>105.90亿</t>
  </si>
  <si>
    <t>159.88亿</t>
  </si>
  <si>
    <t>-87.95亿</t>
  </si>
  <si>
    <t>3054.05万</t>
  </si>
  <si>
    <t>175.35万</t>
  </si>
  <si>
    <t>2119.26万</t>
  </si>
  <si>
    <t>6694693亿</t>
  </si>
  <si>
    <t>3473383500亿</t>
  </si>
  <si>
    <t>9711.42万</t>
  </si>
  <si>
    <t>-3.91亿</t>
  </si>
  <si>
    <t>683.21万</t>
  </si>
  <si>
    <t>6030.07万</t>
  </si>
  <si>
    <t>57.41万</t>
  </si>
  <si>
    <t>386.93亿</t>
  </si>
  <si>
    <t>359.90亿</t>
  </si>
  <si>
    <t>74.63亿</t>
  </si>
  <si>
    <t>361.88亿</t>
  </si>
  <si>
    <t>14.95亿</t>
  </si>
  <si>
    <t>59.68亿</t>
  </si>
  <si>
    <t>4872.45万</t>
  </si>
  <si>
    <t>314934830亿</t>
  </si>
  <si>
    <t>68.31亿</t>
  </si>
  <si>
    <t>74682977000亿</t>
  </si>
  <si>
    <t>301.81亿</t>
  </si>
  <si>
    <t>96.05亿</t>
  </si>
  <si>
    <t>88.57亿</t>
  </si>
  <si>
    <t>207.56亿</t>
  </si>
  <si>
    <t>198.22亿</t>
  </si>
  <si>
    <t>144.31亿</t>
  </si>
  <si>
    <t>68.35亿</t>
  </si>
  <si>
    <t>-70.75亿</t>
  </si>
  <si>
    <t>249.20万</t>
  </si>
  <si>
    <t>2581.32万</t>
  </si>
  <si>
    <t>5.00万</t>
  </si>
  <si>
    <t>6.98亿</t>
  </si>
  <si>
    <t>-2137854200亿</t>
  </si>
  <si>
    <t>7960598900亿</t>
  </si>
  <si>
    <t>6616.44万</t>
  </si>
  <si>
    <t>-8.48亿</t>
  </si>
  <si>
    <t>91.46万</t>
  </si>
  <si>
    <t>934.49万</t>
  </si>
  <si>
    <t>恒大物业</t>
  </si>
  <si>
    <t>1332.65万</t>
  </si>
  <si>
    <t>136.88亿</t>
  </si>
  <si>
    <t>1714250700亿</t>
  </si>
  <si>
    <t>9039721200亿</t>
  </si>
  <si>
    <t>86.35亿</t>
  </si>
  <si>
    <t>133.22亿</t>
  </si>
  <si>
    <t>161.55亿</t>
  </si>
  <si>
    <t>128.51亿</t>
  </si>
  <si>
    <t>52.74亿</t>
  </si>
  <si>
    <t>31.55亿</t>
  </si>
  <si>
    <t>19.96万</t>
  </si>
  <si>
    <t>77.10亿</t>
  </si>
  <si>
    <t>73.31亿</t>
  </si>
  <si>
    <t>1142.00万</t>
  </si>
  <si>
    <t>-1575.56万</t>
  </si>
  <si>
    <t>9599.78万</t>
  </si>
  <si>
    <t>110225777亿</t>
  </si>
  <si>
    <t>27.89亿</t>
  </si>
  <si>
    <t>12516453000亿</t>
  </si>
  <si>
    <t>31.89亿</t>
  </si>
  <si>
    <t>29.58亿</t>
  </si>
  <si>
    <t>37.61亿</t>
  </si>
  <si>
    <t>-10.33亿</t>
  </si>
  <si>
    <t>189.66万</t>
  </si>
  <si>
    <t>2360.33万</t>
  </si>
  <si>
    <t>第四范式</t>
  </si>
  <si>
    <t>7.91万</t>
  </si>
  <si>
    <t>-1009127740亿</t>
  </si>
  <si>
    <t>7834841800亿</t>
  </si>
  <si>
    <t>43.90万</t>
  </si>
  <si>
    <t>782.32万</t>
  </si>
  <si>
    <t>巨星传奇</t>
  </si>
  <si>
    <t>630.63万</t>
  </si>
  <si>
    <t>45394738亿</t>
  </si>
  <si>
    <t>989401620亿</t>
  </si>
  <si>
    <t>1689.18万</t>
  </si>
  <si>
    <t>865886180亿</t>
  </si>
  <si>
    <t>12173616500亿</t>
  </si>
  <si>
    <t>53.04万</t>
  </si>
  <si>
    <t>1813.67万</t>
  </si>
  <si>
    <t>1594.67亿</t>
  </si>
  <si>
    <t>1186.58亿</t>
  </si>
  <si>
    <t>740.94亿</t>
  </si>
  <si>
    <t>2865.71亿</t>
  </si>
  <si>
    <t>181.94亿</t>
  </si>
  <si>
    <t>212.36亿</t>
  </si>
  <si>
    <t>528.57亿</t>
  </si>
  <si>
    <t>97.38亿</t>
  </si>
  <si>
    <t>55.69亿</t>
  </si>
  <si>
    <t>5235741800亿</t>
  </si>
  <si>
    <t>578.35亿</t>
  </si>
  <si>
    <t>342.16亿</t>
  </si>
  <si>
    <t>278125490000亿</t>
  </si>
  <si>
    <t>319.35亿</t>
  </si>
  <si>
    <t>108.45亿</t>
  </si>
  <si>
    <t>759.43亿</t>
  </si>
  <si>
    <t>805.19亿</t>
  </si>
  <si>
    <t>1316.35亿</t>
  </si>
  <si>
    <t>1289.98亿</t>
  </si>
  <si>
    <t>276.92亿</t>
  </si>
  <si>
    <t>-187.29亿</t>
  </si>
  <si>
    <t>-23.85亿</t>
  </si>
  <si>
    <t>2747.49亿</t>
  </si>
  <si>
    <t>160.15亿</t>
  </si>
  <si>
    <t>150.91亿</t>
  </si>
  <si>
    <t>5818.83万</t>
  </si>
  <si>
    <t>100.25万</t>
  </si>
  <si>
    <t>-17.59亿</t>
  </si>
  <si>
    <t>2404.30万</t>
  </si>
  <si>
    <t>-1791438500亿</t>
  </si>
  <si>
    <t>3525248800亿</t>
  </si>
  <si>
    <t>7411.85万</t>
  </si>
  <si>
    <t>-1960.79万</t>
  </si>
  <si>
    <t>1152.48万</t>
  </si>
  <si>
    <t>26.98万</t>
  </si>
  <si>
    <t>16.18亿</t>
  </si>
  <si>
    <t>5861.93万</t>
  </si>
  <si>
    <t>53329034亿</t>
  </si>
  <si>
    <t>5214244100亿</t>
  </si>
  <si>
    <t>7677.57万</t>
  </si>
  <si>
    <t>-10.76亿</t>
  </si>
  <si>
    <t>196.26万</t>
  </si>
  <si>
    <t>1393.31万</t>
  </si>
  <si>
    <t>133.04万</t>
  </si>
  <si>
    <t>5362.23亿</t>
  </si>
  <si>
    <t>1412.70亿</t>
  </si>
  <si>
    <t>348.38亿</t>
  </si>
  <si>
    <t>25.66亿</t>
  </si>
  <si>
    <t>76.14万</t>
  </si>
  <si>
    <t>-18.66亿</t>
  </si>
  <si>
    <t>1786943200亿</t>
  </si>
  <si>
    <t>1125.83亿</t>
  </si>
  <si>
    <t>677493070000亿</t>
  </si>
  <si>
    <t>1071.64亿</t>
  </si>
  <si>
    <t>4370.90亿</t>
  </si>
  <si>
    <t>3743.17亿</t>
  </si>
  <si>
    <t>1416.43亿</t>
  </si>
  <si>
    <t>797.24亿</t>
  </si>
  <si>
    <t>-826.72亿</t>
  </si>
  <si>
    <t>153.77亿</t>
  </si>
  <si>
    <t>89.83亿</t>
  </si>
  <si>
    <t>1161.87万</t>
  </si>
  <si>
    <t>181.00万</t>
  </si>
  <si>
    <t>956.21亿</t>
  </si>
  <si>
    <t>-405934200亿</t>
  </si>
  <si>
    <t>70075197000亿</t>
  </si>
  <si>
    <t>388.39亿</t>
  </si>
  <si>
    <t>-13.72亿</t>
  </si>
  <si>
    <t>2582.58万</t>
  </si>
  <si>
    <t>1153.16万</t>
  </si>
  <si>
    <t>68272.50亿</t>
  </si>
  <si>
    <t>6124.24亿</t>
  </si>
  <si>
    <t>334.12亿</t>
  </si>
  <si>
    <t>1499.70亿</t>
  </si>
  <si>
    <t>394.42亿</t>
  </si>
  <si>
    <t>13477107000亿</t>
  </si>
  <si>
    <t>7439673700000亿</t>
  </si>
  <si>
    <t>285.54亿</t>
  </si>
  <si>
    <t>-39.62亿</t>
  </si>
  <si>
    <t>-2256.25亿</t>
  </si>
  <si>
    <t>970.65亿</t>
  </si>
  <si>
    <t>1081.16亿</t>
  </si>
  <si>
    <t>6366.81万</t>
  </si>
  <si>
    <t>15.58万</t>
  </si>
  <si>
    <t>24.10亿</t>
  </si>
  <si>
    <t>189.91亿</t>
  </si>
  <si>
    <t>4812.93万</t>
  </si>
  <si>
    <t>61.80万</t>
  </si>
  <si>
    <t>301501060亿</t>
  </si>
  <si>
    <t>21400959000亿</t>
  </si>
  <si>
    <t>1318.91万</t>
  </si>
  <si>
    <t>38.91亿</t>
  </si>
  <si>
    <t>-29.50亿</t>
  </si>
  <si>
    <t>57.37万</t>
  </si>
  <si>
    <t>554.17万</t>
  </si>
  <si>
    <t>13.22万</t>
  </si>
  <si>
    <t>4.56亿</t>
  </si>
  <si>
    <t>-1484.67万</t>
  </si>
  <si>
    <t>412.06万</t>
  </si>
  <si>
    <t>99758395亿</t>
  </si>
  <si>
    <t>7758318900亿</t>
  </si>
  <si>
    <t>6040.94万</t>
  </si>
  <si>
    <t>8394.63万</t>
  </si>
  <si>
    <t>84.76万</t>
  </si>
  <si>
    <t>377.24万</t>
  </si>
  <si>
    <t>1158.65万</t>
  </si>
  <si>
    <t>5838.46亿</t>
  </si>
  <si>
    <t>1862.15亿</t>
  </si>
  <si>
    <t>457.83亿</t>
  </si>
  <si>
    <t>28.11亿</t>
  </si>
  <si>
    <t>1127512380亿</t>
  </si>
  <si>
    <t>1715.21亿</t>
  </si>
  <si>
    <t>111.01亿</t>
  </si>
  <si>
    <t>770061560000亿</t>
  </si>
  <si>
    <t>371.51亿</t>
  </si>
  <si>
    <t>1167.88亿</t>
  </si>
  <si>
    <t>4605.75亿</t>
  </si>
  <si>
    <t>3034.54亿</t>
  </si>
  <si>
    <t>2593.10亿</t>
  </si>
  <si>
    <t>163.36亿</t>
  </si>
  <si>
    <t>-96.50亿</t>
  </si>
  <si>
    <t>269.93亿</t>
  </si>
  <si>
    <t>4843.55万</t>
  </si>
  <si>
    <t>94.43万</t>
  </si>
  <si>
    <t>-10.15亿</t>
  </si>
  <si>
    <t>-1014765490亿</t>
  </si>
  <si>
    <t>2740930800亿</t>
  </si>
  <si>
    <t>7941.42万</t>
  </si>
  <si>
    <t>2403.09万</t>
  </si>
  <si>
    <t>610.17万</t>
  </si>
  <si>
    <t>5677.94万</t>
  </si>
  <si>
    <t>1463.00万</t>
  </si>
  <si>
    <t>454.41亿</t>
  </si>
  <si>
    <t>4927856400亿</t>
  </si>
  <si>
    <t>27050925000亿</t>
  </si>
  <si>
    <t>79.38亿</t>
  </si>
  <si>
    <t>98.66亿</t>
  </si>
  <si>
    <t>-58.22亿</t>
  </si>
  <si>
    <t>9406.05万</t>
  </si>
  <si>
    <t>731.40万</t>
  </si>
  <si>
    <t>220.40亿</t>
  </si>
  <si>
    <t>247.55亿</t>
  </si>
  <si>
    <t>233.77亿</t>
  </si>
  <si>
    <t>2604.55万</t>
  </si>
  <si>
    <t>3086.24万</t>
  </si>
  <si>
    <t>818260650亿</t>
  </si>
  <si>
    <t>85.77亿</t>
  </si>
  <si>
    <t>46794238000亿</t>
  </si>
  <si>
    <t>59.57亿</t>
  </si>
  <si>
    <t>100.69亿</t>
  </si>
  <si>
    <t>90.11亿</t>
  </si>
  <si>
    <t>21.56亿</t>
  </si>
  <si>
    <t>-63.86亿</t>
  </si>
  <si>
    <t>-14.23亿</t>
  </si>
  <si>
    <t>4609.20万</t>
  </si>
  <si>
    <t>53.25万</t>
  </si>
  <si>
    <t>159.56亿</t>
  </si>
  <si>
    <t>156.13亿</t>
  </si>
  <si>
    <t>145.34亿</t>
  </si>
  <si>
    <t>14.22亿</t>
  </si>
  <si>
    <t>4076.54万</t>
  </si>
  <si>
    <t>4258.65万</t>
  </si>
  <si>
    <t>35913251亿</t>
  </si>
  <si>
    <t>62.70亿</t>
  </si>
  <si>
    <t>31568253000亿</t>
  </si>
  <si>
    <t>72.73亿</t>
  </si>
  <si>
    <t>23.60亿</t>
  </si>
  <si>
    <t>31.09亿</t>
  </si>
  <si>
    <t>99.56亿</t>
  </si>
  <si>
    <t>89.84亿</t>
  </si>
  <si>
    <t>60.92亿</t>
  </si>
  <si>
    <t>-28.65亿</t>
  </si>
  <si>
    <t>-2.57亿</t>
  </si>
  <si>
    <t>315.55万</t>
  </si>
  <si>
    <t>2803.74万</t>
  </si>
  <si>
    <t>235.78万</t>
  </si>
  <si>
    <t>7311.84亿</t>
  </si>
  <si>
    <t>1992.41亿</t>
  </si>
  <si>
    <t>43.13亿</t>
  </si>
  <si>
    <t>442.89亿</t>
  </si>
  <si>
    <t>133.38亿</t>
  </si>
  <si>
    <t>38.30亿</t>
  </si>
  <si>
    <t>3938.67万</t>
  </si>
  <si>
    <t>2563150300亿</t>
  </si>
  <si>
    <t>1712.05亿</t>
  </si>
  <si>
    <t>930424760000亿</t>
  </si>
  <si>
    <t>48.18亿</t>
  </si>
  <si>
    <t>52.77亿</t>
  </si>
  <si>
    <t>1586.22亿</t>
  </si>
  <si>
    <t>6460.10亿</t>
  </si>
  <si>
    <t>5562.33亿</t>
  </si>
  <si>
    <t>1683.20亿</t>
  </si>
  <si>
    <t>-312.15亿</t>
  </si>
  <si>
    <t>-68.67亿</t>
  </si>
  <si>
    <t>27.32亿</t>
  </si>
  <si>
    <t>308.29亿</t>
  </si>
  <si>
    <t>1500.96万</t>
  </si>
  <si>
    <t>1707.59万</t>
  </si>
  <si>
    <t>122.43亿</t>
  </si>
  <si>
    <t>16.25亿</t>
  </si>
  <si>
    <t>1803347700亿</t>
  </si>
  <si>
    <t>27962181000亿</t>
  </si>
  <si>
    <t>-76.91亿</t>
  </si>
  <si>
    <t>53.54亿</t>
  </si>
  <si>
    <t>8768.51万</t>
  </si>
  <si>
    <t>564.34万</t>
  </si>
  <si>
    <t>2550948400亿</t>
  </si>
  <si>
    <t>19268676000亿</t>
  </si>
  <si>
    <t>3882.00万</t>
  </si>
  <si>
    <t>科伦博泰生物-B</t>
  </si>
  <si>
    <t>15.51万</t>
  </si>
  <si>
    <t>-629365690亿</t>
  </si>
  <si>
    <t>3847393400亿</t>
  </si>
  <si>
    <t>55.60万</t>
  </si>
  <si>
    <t>1109.91万</t>
  </si>
  <si>
    <t>384.70万</t>
  </si>
  <si>
    <t>246.95亿</t>
  </si>
  <si>
    <t>-52.86亿</t>
  </si>
  <si>
    <t>48.97亿</t>
  </si>
  <si>
    <t>-5274599800亿</t>
  </si>
  <si>
    <t>36348969000亿</t>
  </si>
  <si>
    <t>47.51亿</t>
  </si>
  <si>
    <t>198.45亿</t>
  </si>
  <si>
    <t>2363.36万</t>
  </si>
  <si>
    <t>1296.09万</t>
  </si>
  <si>
    <t>132.42亿</t>
  </si>
  <si>
    <t>13241545700亿</t>
  </si>
  <si>
    <t>53864122000亿</t>
  </si>
  <si>
    <t>217.89亿</t>
  </si>
  <si>
    <t>189.70亿</t>
  </si>
  <si>
    <t>-156.58亿</t>
  </si>
  <si>
    <t>2921.75万</t>
  </si>
  <si>
    <t>205.70万</t>
  </si>
  <si>
    <t>209066170亿</t>
  </si>
  <si>
    <t>2695123900亿</t>
  </si>
  <si>
    <t>649.30万</t>
  </si>
  <si>
    <t>5898.94万</t>
  </si>
  <si>
    <t>177.21万</t>
  </si>
  <si>
    <t>197282430亿</t>
  </si>
  <si>
    <t>4506033100亿</t>
  </si>
  <si>
    <t>-9197.45万</t>
  </si>
  <si>
    <t>43.59亿</t>
  </si>
  <si>
    <t>24.36亿</t>
  </si>
  <si>
    <t>-11.76亿</t>
  </si>
  <si>
    <t>-3.22亿</t>
  </si>
  <si>
    <t>1172.15万</t>
  </si>
  <si>
    <t>4134.33万</t>
  </si>
  <si>
    <t>382.86万</t>
  </si>
  <si>
    <t>54.59亿</t>
  </si>
  <si>
    <t>-10.43亿</t>
  </si>
  <si>
    <t>-1076096790亿</t>
  </si>
  <si>
    <t>8393961900亿</t>
  </si>
  <si>
    <t>36.97亿</t>
  </si>
  <si>
    <t>726.59万</t>
  </si>
  <si>
    <t>1878.03万</t>
  </si>
  <si>
    <t>937.78万</t>
  </si>
  <si>
    <t>-3284058200亿</t>
  </si>
  <si>
    <t>2003747100亿</t>
  </si>
  <si>
    <t>2149.48万</t>
  </si>
  <si>
    <t>5641.98万</t>
  </si>
  <si>
    <t>十月稻田</t>
  </si>
  <si>
    <t>27.24万</t>
  </si>
  <si>
    <t>-71102821亿</t>
  </si>
  <si>
    <t>5190299800亿</t>
  </si>
  <si>
    <t>209.73万</t>
  </si>
  <si>
    <t>514.26万</t>
  </si>
  <si>
    <t>311.84万</t>
  </si>
  <si>
    <t>-26.14亿</t>
  </si>
  <si>
    <t>20.77亿</t>
  </si>
  <si>
    <t>-2613716800亿</t>
  </si>
  <si>
    <t>8094500200亿</t>
  </si>
  <si>
    <t>15.86亿</t>
  </si>
  <si>
    <t>-15.48亿</t>
  </si>
  <si>
    <t>-8417.13万</t>
  </si>
  <si>
    <t>1864.65万</t>
  </si>
  <si>
    <t>途虎-W</t>
  </si>
  <si>
    <t>241.69万</t>
  </si>
  <si>
    <t>7345304100亿</t>
  </si>
  <si>
    <t>12896447700亿</t>
  </si>
  <si>
    <t>693.21万</t>
  </si>
  <si>
    <t>7156.79万</t>
  </si>
  <si>
    <t>277.26万</t>
  </si>
  <si>
    <t>184.69亿</t>
  </si>
  <si>
    <t>569.77亿</t>
  </si>
  <si>
    <t>443.39亿</t>
  </si>
  <si>
    <t>79.79亿</t>
  </si>
  <si>
    <t>405.88万</t>
  </si>
  <si>
    <t>3329.70万</t>
  </si>
  <si>
    <t>735.88万</t>
  </si>
  <si>
    <t>-895838050亿</t>
  </si>
  <si>
    <t>100.17亿</t>
  </si>
  <si>
    <t>75446422000亿</t>
  </si>
  <si>
    <t>114.49亿</t>
  </si>
  <si>
    <t>248.71亿</t>
  </si>
  <si>
    <t>-22.17亿</t>
  </si>
  <si>
    <t>-22.58亿</t>
  </si>
  <si>
    <t>-21.82亿</t>
  </si>
  <si>
    <t>41.04亿</t>
  </si>
  <si>
    <t>1579.35万</t>
  </si>
  <si>
    <t>4830.85万</t>
  </si>
  <si>
    <t>44.91万</t>
  </si>
  <si>
    <t>234179010亿</t>
  </si>
  <si>
    <t>3910700100亿</t>
  </si>
  <si>
    <t>6282.87万</t>
  </si>
  <si>
    <t>-3.25亿</t>
  </si>
  <si>
    <t>7458.80万</t>
  </si>
  <si>
    <t>5974.99万</t>
  </si>
  <si>
    <t>142.54万</t>
  </si>
  <si>
    <t>1398.89万</t>
  </si>
  <si>
    <t>216.00万</t>
  </si>
  <si>
    <t>204.92亿</t>
  </si>
  <si>
    <t>7108.42万</t>
  </si>
  <si>
    <t>-1592660200亿</t>
  </si>
  <si>
    <t>50644142000亿</t>
  </si>
  <si>
    <t>229.27亿</t>
  </si>
  <si>
    <t>-47.62亿</t>
  </si>
  <si>
    <t>786.10万</t>
  </si>
  <si>
    <t>287557380亿</t>
  </si>
  <si>
    <t>4991588400亿</t>
  </si>
  <si>
    <t>664.57万</t>
  </si>
  <si>
    <t>1554.22万</t>
  </si>
  <si>
    <t>193.59万</t>
  </si>
  <si>
    <t>183.58亿</t>
  </si>
  <si>
    <t>-46.22亿</t>
  </si>
  <si>
    <t>-4621879600亿</t>
  </si>
  <si>
    <t>31190636000亿</t>
  </si>
  <si>
    <t>152.96亿</t>
  </si>
  <si>
    <t>-53.28亿</t>
  </si>
  <si>
    <t>-34.85亿</t>
  </si>
  <si>
    <t>-13.11亿</t>
  </si>
  <si>
    <t>1390.16万</t>
  </si>
  <si>
    <t>1140.08万</t>
  </si>
  <si>
    <t>336.27亿</t>
  </si>
  <si>
    <t>-113.74亿</t>
  </si>
  <si>
    <t>57.84亿</t>
  </si>
  <si>
    <t>-11373924600亿</t>
  </si>
  <si>
    <t>92258977000亿</t>
  </si>
  <si>
    <t>243.47亿</t>
  </si>
  <si>
    <t>395.85亿</t>
  </si>
  <si>
    <t>10.48亿</t>
  </si>
  <si>
    <t>4993.92万</t>
  </si>
  <si>
    <t>126.80万</t>
  </si>
  <si>
    <t>197864100亿</t>
  </si>
  <si>
    <t>2373255500亿</t>
  </si>
  <si>
    <t>3367.20万</t>
  </si>
  <si>
    <t>693.65万</t>
  </si>
  <si>
    <t>7784.23万</t>
  </si>
  <si>
    <t>0198000000</t>
  </si>
  <si>
    <t>0594000000</t>
  </si>
  <si>
    <t>01188000000</t>
  </si>
  <si>
    <t>01980000000</t>
  </si>
  <si>
    <t>03960000000</t>
  </si>
  <si>
    <t>142.92万</t>
  </si>
  <si>
    <t>-415565040亿</t>
  </si>
  <si>
    <t>1454758300亿</t>
  </si>
  <si>
    <t>1790.31万</t>
  </si>
  <si>
    <t>6432.61万</t>
  </si>
  <si>
    <t>-2.44亿</t>
  </si>
  <si>
    <t>-6.13亿</t>
  </si>
  <si>
    <t>-3.57亿</t>
  </si>
  <si>
    <t>793.73万</t>
  </si>
  <si>
    <t>6977.88万</t>
  </si>
  <si>
    <t>28.89万</t>
  </si>
  <si>
    <t>903.63亿</t>
  </si>
  <si>
    <t>764379160亿</t>
  </si>
  <si>
    <t>31910459000亿</t>
  </si>
  <si>
    <t>170.09亿</t>
  </si>
  <si>
    <t>211.75亿</t>
  </si>
  <si>
    <t>926.24亿</t>
  </si>
  <si>
    <t>149.64万</t>
  </si>
  <si>
    <t>1243.82万</t>
  </si>
  <si>
    <t>优必选</t>
  </si>
  <si>
    <t>7.75万</t>
  </si>
  <si>
    <t>-1386243600亿</t>
  </si>
  <si>
    <t>5224089100亿</t>
  </si>
  <si>
    <t>38.77万</t>
  </si>
  <si>
    <t>471.13万</t>
  </si>
  <si>
    <t>8.48万</t>
  </si>
  <si>
    <t>-3514973000亿</t>
  </si>
  <si>
    <t>5713222300亿</t>
  </si>
  <si>
    <t>125.20万</t>
  </si>
  <si>
    <t>4083.48万</t>
  </si>
  <si>
    <t>839.60万</t>
  </si>
  <si>
    <t>-2.48亿</t>
  </si>
  <si>
    <t>7123.22万</t>
  </si>
  <si>
    <t>-253077500亿</t>
  </si>
  <si>
    <t>3359598700亿</t>
  </si>
  <si>
    <t>-574.08万</t>
  </si>
  <si>
    <t>6623.30万</t>
  </si>
  <si>
    <t>中旭未来</t>
  </si>
  <si>
    <t>112.02万</t>
  </si>
  <si>
    <t>299579400亿</t>
  </si>
  <si>
    <t>7967411800亿</t>
  </si>
  <si>
    <t>804.53万</t>
  </si>
  <si>
    <t>9315.55万</t>
  </si>
  <si>
    <t>320.83万</t>
  </si>
  <si>
    <t>92.56亿</t>
  </si>
  <si>
    <t>123.73亿</t>
  </si>
  <si>
    <t>17.01亿</t>
  </si>
  <si>
    <t>23.71亿</t>
  </si>
  <si>
    <t>-6216.27万</t>
  </si>
  <si>
    <t>1545.34万</t>
  </si>
  <si>
    <t>1376911600亿</t>
  </si>
  <si>
    <t>15878796000亿</t>
  </si>
  <si>
    <t>76.25万</t>
  </si>
  <si>
    <t>41.90亿</t>
  </si>
  <si>
    <t>46.17亿</t>
  </si>
  <si>
    <t>686.33万</t>
  </si>
  <si>
    <t>-2.87亿</t>
  </si>
  <si>
    <t>7.46亿</t>
  </si>
  <si>
    <t>1465.15万</t>
  </si>
  <si>
    <t>9918.38万</t>
  </si>
  <si>
    <t>01907000000</t>
  </si>
  <si>
    <t>05721000000</t>
  </si>
  <si>
    <t>011442000000</t>
  </si>
  <si>
    <t>019070000000</t>
  </si>
  <si>
    <t>038140000000</t>
  </si>
  <si>
    <t>945.90万</t>
  </si>
  <si>
    <t>65.62亿</t>
  </si>
  <si>
    <t>433.66万</t>
  </si>
  <si>
    <t>526173810亿</t>
  </si>
  <si>
    <t>7148187600亿</t>
  </si>
  <si>
    <t>7337.23万</t>
  </si>
  <si>
    <t>52.45万</t>
  </si>
  <si>
    <t>43.31亿</t>
  </si>
  <si>
    <t>1274.55万</t>
  </si>
  <si>
    <t>11085871亿</t>
  </si>
  <si>
    <t>9230399700亿</t>
  </si>
  <si>
    <t>57.99亿</t>
  </si>
  <si>
    <t>-3.52亿</t>
  </si>
  <si>
    <t>278.12万</t>
  </si>
  <si>
    <t>2058.39万</t>
  </si>
  <si>
    <t>411.68万</t>
  </si>
  <si>
    <t>49.62亿</t>
  </si>
  <si>
    <t>2129205200亿</t>
  </si>
  <si>
    <t>10064310900亿</t>
  </si>
  <si>
    <t>3718.18万</t>
  </si>
  <si>
    <t>1983.10万</t>
  </si>
  <si>
    <t>-485943270亿</t>
  </si>
  <si>
    <t>10666598200亿</t>
  </si>
  <si>
    <t>5.89亿</t>
  </si>
  <si>
    <t>6574.70万</t>
  </si>
  <si>
    <t>186.00万</t>
  </si>
  <si>
    <t>-230852050亿</t>
  </si>
  <si>
    <t>2342703300亿</t>
  </si>
  <si>
    <t>2977.61万</t>
  </si>
  <si>
    <t>-2.22亿</t>
  </si>
  <si>
    <t>-1984.89万</t>
  </si>
  <si>
    <t>2229.50万</t>
  </si>
  <si>
    <t>195.60万</t>
  </si>
  <si>
    <t>-6.92亿</t>
  </si>
  <si>
    <t>-707741800亿</t>
  </si>
  <si>
    <t>10873349200亿</t>
  </si>
  <si>
    <t>22.95亿</t>
  </si>
  <si>
    <t>-7.36亿</t>
  </si>
  <si>
    <t>1506.10万</t>
  </si>
  <si>
    <t>9409.45万</t>
  </si>
  <si>
    <t>618.57万</t>
  </si>
  <si>
    <t>3484.27万</t>
  </si>
  <si>
    <t>1075040050亿</t>
  </si>
  <si>
    <t>7380332000亿</t>
  </si>
  <si>
    <t>3735.08万</t>
  </si>
  <si>
    <t>10.47亿</t>
  </si>
  <si>
    <t>-6731.33万</t>
  </si>
  <si>
    <t>3842.32万</t>
  </si>
  <si>
    <t>25.05万</t>
  </si>
  <si>
    <t>59.53亿</t>
  </si>
  <si>
    <t>-8.59亿</t>
  </si>
  <si>
    <t>9956.49万</t>
  </si>
  <si>
    <t>6766.29万</t>
  </si>
  <si>
    <t>379.11万</t>
  </si>
  <si>
    <t>166749230亿</t>
  </si>
  <si>
    <t>24.00亿</t>
  </si>
  <si>
    <t>20358543000亿</t>
  </si>
  <si>
    <t>21.50亿</t>
  </si>
  <si>
    <t>49.76亿</t>
  </si>
  <si>
    <t>197.95万</t>
  </si>
  <si>
    <t>1480.15万</t>
  </si>
  <si>
    <t>403.97万</t>
  </si>
  <si>
    <t>69.07亿</t>
  </si>
  <si>
    <t>1193510770亿</t>
  </si>
  <si>
    <t>10927867600亿</t>
  </si>
  <si>
    <t>19.00亿</t>
  </si>
  <si>
    <t>21.82亿</t>
  </si>
  <si>
    <t>2968.45万</t>
  </si>
  <si>
    <t>429.40万</t>
  </si>
  <si>
    <t>375.43亿</t>
  </si>
  <si>
    <t>-6.37亿</t>
  </si>
  <si>
    <t>-475688320亿</t>
  </si>
  <si>
    <t>142262630000亿</t>
  </si>
  <si>
    <t>121.17亿</t>
  </si>
  <si>
    <t>833.13亿</t>
  </si>
  <si>
    <t>88.83亿</t>
  </si>
  <si>
    <t>21.30亿</t>
  </si>
  <si>
    <t>2534.20万</t>
  </si>
  <si>
    <t>18.20万</t>
  </si>
  <si>
    <t>25.89亿</t>
  </si>
  <si>
    <t>11.80亿</t>
  </si>
  <si>
    <t>8020.43万</t>
  </si>
  <si>
    <t>1155.36万</t>
  </si>
  <si>
    <t>1265.49万</t>
  </si>
  <si>
    <t>-376346940亿</t>
  </si>
  <si>
    <t>5909279300亿</t>
  </si>
  <si>
    <t>23.68亿</t>
  </si>
  <si>
    <t>12.47亿</t>
  </si>
  <si>
    <t>-16.46亿</t>
  </si>
  <si>
    <t>-8.96亿</t>
  </si>
  <si>
    <t>-8775.76万</t>
  </si>
  <si>
    <t>217.18万</t>
  </si>
  <si>
    <t>4251.89万</t>
  </si>
  <si>
    <t>924.76万</t>
  </si>
  <si>
    <t>-430316600亿</t>
  </si>
  <si>
    <t>2929006900亿</t>
  </si>
  <si>
    <t>2160.39万</t>
  </si>
  <si>
    <t>8605.10万</t>
  </si>
  <si>
    <t>55.75万</t>
  </si>
  <si>
    <t>495805780亿</t>
  </si>
  <si>
    <t>4673997300亿</t>
  </si>
  <si>
    <t>3743.08万</t>
  </si>
  <si>
    <t>-4.29亿</t>
  </si>
  <si>
    <t>285.59万</t>
  </si>
  <si>
    <t>3637.64万</t>
  </si>
</sst>
</file>

<file path=xl/styles.xml><?xml version="1.0" encoding="utf-8"?>
<styleSheet xmlns="http://schemas.openxmlformats.org/spreadsheetml/2006/main" xmlns:mc="http://schemas.openxmlformats.org/markup-compatibility/2006" xmlns:x14ac="http://schemas.microsoft.com/office/spreadsheetml/2009/9/ac" mc:Ignorable="x14ac">
  <fonts count="7" x14ac:knownFonts="1">
    <font>
      <sz val="11"/>
      <color theme="1"/>
      <name val="宋体"/>
      <family val="2"/>
      <charset val="134"/>
      <scheme val="minor"/>
    </font>
    <font>
      <sz val="9"/>
      <name val="宋体"/>
      <family val="2"/>
      <charset val="134"/>
      <scheme val="minor"/>
    </font>
    <font>
      <sz val="11"/>
      <color indexed="8"/>
      <name val="Calibri"/>
      <family val="2"/>
    </font>
    <font>
      <sz val="11"/>
      <color rgb="FF000000"/>
      <name val="宋体"/>
      <family val="3"/>
      <charset val="134"/>
    </font>
    <font>
      <sz val="9"/>
      <color theme="1"/>
      <name val="宋体"/>
      <family val="2"/>
      <charset val="134"/>
      <scheme val="minor"/>
    </font>
    <font>
      <sz val="9"/>
      <color rgb="FFFF0000"/>
      <name val="宋体"/>
      <family val="3"/>
      <charset val="134"/>
      <scheme val="minor"/>
    </font>
    <font>
      <b/>
      <sz val="9"/>
      <color rgb="FFFF0000"/>
      <name val="宋体"/>
      <family val="3"/>
      <charset val="134"/>
      <scheme val="minor"/>
    </font>
  </fonts>
  <fills count="6">
    <fill>
      <patternFill patternType="none"/>
    </fill>
    <fill>
      <patternFill patternType="gray125"/>
    </fill>
    <fill>
      <patternFill patternType="solid">
        <fgColor rgb="FFFFFF00"/>
        <bgColor indexed="64"/>
      </patternFill>
    </fill>
    <fill>
      <patternFill patternType="solid">
        <fgColor rgb="FFFF0000"/>
        <bgColor indexed="64"/>
      </patternFill>
    </fill>
    <fill>
      <patternFill patternType="solid">
        <fgColor theme="9" tint="0.79998168889431442"/>
        <bgColor indexed="64"/>
      </patternFill>
    </fill>
    <fill>
      <patternFill patternType="solid">
        <fgColor theme="5" tint="0.7999816888943144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3">
    <xf numFmtId="0" fontId="0" fillId="0" borderId="0">
      <alignment vertical="center"/>
    </xf>
    <xf numFmtId="0" fontId="2" fillId="0" borderId="0" applyFill="0" applyProtection="0"/>
    <xf numFmtId="0" fontId="2" fillId="0" borderId="0" applyFill="0" applyProtection="0"/>
  </cellStyleXfs>
  <cellXfs count="13">
    <xf numFmtId="0" fontId="0" fillId="0" borderId="0" xfId="0">
      <alignment vertical="center"/>
    </xf>
    <xf numFmtId="0" fontId="0" fillId="0" borderId="0" xfId="0" applyFill="1">
      <alignment vertical="center"/>
    </xf>
    <xf numFmtId="0" fontId="0" fillId="2" borderId="0" xfId="0" applyFill="1">
      <alignment vertical="center"/>
    </xf>
    <xf numFmtId="0" fontId="0" fillId="0" borderId="1" xfId="0" applyNumberFormat="1" applyFill="1" applyBorder="1" applyAlignment="1">
      <alignment vertical="center" wrapText="1"/>
    </xf>
    <xf numFmtId="0" fontId="0" fillId="3" borderId="1" xfId="0" applyNumberFormat="1" applyFill="1" applyBorder="1" applyAlignment="1">
      <alignment vertical="center" wrapText="1"/>
    </xf>
    <xf numFmtId="10" fontId="0" fillId="0" borderId="0" xfId="0" applyNumberFormat="1">
      <alignment vertical="center"/>
    </xf>
    <xf numFmtId="9" fontId="0" fillId="0" borderId="0" xfId="0" applyNumberFormat="1">
      <alignment vertical="center"/>
    </xf>
    <xf numFmtId="0" fontId="4" fillId="0" borderId="0" xfId="0" applyFont="1" applyAlignment="1">
      <alignment vertical="center" wrapText="1"/>
    </xf>
    <xf numFmtId="0" fontId="0" fillId="4" borderId="0" xfId="0" applyFill="1">
      <alignment vertical="center"/>
    </xf>
    <xf numFmtId="0" fontId="0" fillId="5" borderId="0" xfId="0" applyFill="1">
      <alignment vertical="center"/>
    </xf>
    <xf numFmtId="10" fontId="0" fillId="5" borderId="0" xfId="0" applyNumberFormat="1" applyFill="1">
      <alignment vertical="center"/>
    </xf>
    <xf numFmtId="0" fontId="0" fillId="0" borderId="0" xfId="0" applyNumberFormat="1">
      <alignment vertical="center"/>
    </xf>
    <xf numFmtId="0" fontId="0" fillId="0" borderId="0" xfId="0" applyAlignment="1">
      <alignment vertical="center" wrapText="1"/>
    </xf>
  </cellXfs>
  <cellStyles count="3">
    <cellStyle name="Normal 2" xfId="2"/>
    <cellStyle name="常规" xfId="0" builtinId="0"/>
    <cellStyle name="常规 2" xfId="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147</xdr:col>
          <xdr:colOff>368300</xdr:colOff>
          <xdr:row>0</xdr:row>
          <xdr:rowOff>139700</xdr:rowOff>
        </xdr:from>
        <xdr:to>
          <xdr:col>147</xdr:col>
          <xdr:colOff>1663700</xdr:colOff>
          <xdr:row>0</xdr:row>
          <xdr:rowOff>444500</xdr:rowOff>
        </xdr:to>
        <xdr:sp macro="" textlink="">
          <xdr:nvSpPr>
            <xdr:cNvPr id="2050" name="Button 2" descr="更新基本面按钮&#10;" hidden="1">
              <a:extLst>
                <a:ext uri="{63B3BB69-23CF-44E3-9099-C40C66FF867C}">
                  <a14:compatExt spid="_x0000_s205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更新基本面</a:t>
              </a:r>
            </a:p>
          </xdr:txBody>
        </xdr:sp>
        <xdr:clientData fPrintsWithSheet="0"/>
      </xdr:twoCellAnchor>
    </mc:Choice>
    <mc:Fallback/>
  </mc:AlternateContent>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EP549"/>
  <sheetViews>
    <sheetView tabSelected="1" zoomScale="85" zoomScaleNormal="85" workbookViewId="0">
      <pane xSplit="5" ySplit="1" topLeftCell="F2" activePane="bottomRight" state="frozen"/>
      <selection pane="topRight" activeCell="F1" sqref="F1"/>
      <selection pane="bottomLeft" activeCell="A2" sqref="A2"/>
      <selection pane="bottomRight" activeCell="C111" sqref="C111:C112"/>
    </sheetView>
  </sheetViews>
  <sheetFormatPr defaultRowHeight="14" x14ac:dyDescent="0.25"/>
  <cols>
    <col min="1" max="1" width="32.36328125" style="12" customWidth="1"/>
    <col min="2" max="2" width="29.81640625" style="12" customWidth="1"/>
    <col min="3" max="3" width="42" customWidth="1"/>
    <col min="4" max="4" width="10" style="11" bestFit="1" customWidth="1"/>
    <col min="148" max="148" width="27.81640625" customWidth="1"/>
  </cols>
  <sheetData>
    <row r="1" spans="1:146" ht="54.5" customHeight="1" x14ac:dyDescent="0.25">
      <c r="A1" s="3" t="s">
        <v>10</v>
      </c>
      <c r="B1" s="4" t="s">
        <v>11</v>
      </c>
      <c r="C1" s="3" t="s">
        <v>12</v>
      </c>
      <c r="D1" s="11" t="s">
        <v>5</v>
      </c>
      <c r="E1" t="s">
        <v>255</v>
      </c>
      <c r="F1" t="s">
        <v>3</v>
      </c>
      <c r="G1" t="s">
        <v>124</v>
      </c>
      <c r="H1" t="s">
        <v>256</v>
      </c>
      <c r="I1" t="s">
        <v>6</v>
      </c>
      <c r="J1" t="s">
        <v>7</v>
      </c>
      <c r="K1" t="s">
        <v>4</v>
      </c>
      <c r="L1" t="s">
        <v>8</v>
      </c>
      <c r="M1" t="s">
        <v>257</v>
      </c>
      <c r="N1" t="s">
        <v>258</v>
      </c>
      <c r="O1" t="s">
        <v>259</v>
      </c>
      <c r="P1" t="s">
        <v>260</v>
      </c>
      <c r="Q1" t="s">
        <v>261</v>
      </c>
      <c r="R1" t="s">
        <v>104</v>
      </c>
      <c r="S1" t="s">
        <v>13</v>
      </c>
      <c r="T1" t="s">
        <v>262</v>
      </c>
      <c r="U1" t="s">
        <v>90</v>
      </c>
      <c r="V1" t="s">
        <v>14</v>
      </c>
      <c r="W1" t="s">
        <v>263</v>
      </c>
      <c r="X1" t="s">
        <v>264</v>
      </c>
      <c r="Y1" t="s">
        <v>265</v>
      </c>
      <c r="Z1" t="s">
        <v>266</v>
      </c>
      <c r="AA1" t="s">
        <v>267</v>
      </c>
      <c r="AB1" t="s">
        <v>268</v>
      </c>
      <c r="AC1" t="s">
        <v>269</v>
      </c>
      <c r="AD1" t="s">
        <v>270</v>
      </c>
      <c r="AE1" t="s">
        <v>271</v>
      </c>
      <c r="AF1" t="s">
        <v>272</v>
      </c>
      <c r="AG1" t="s">
        <v>273</v>
      </c>
      <c r="AH1" t="s">
        <v>274</v>
      </c>
      <c r="AI1" t="s">
        <v>275</v>
      </c>
      <c r="AJ1" t="s">
        <v>276</v>
      </c>
      <c r="AK1" t="s">
        <v>277</v>
      </c>
      <c r="AL1" t="s">
        <v>29</v>
      </c>
      <c r="AM1" t="s">
        <v>278</v>
      </c>
      <c r="AN1" t="s">
        <v>279</v>
      </c>
      <c r="AO1" t="s">
        <v>280</v>
      </c>
      <c r="AP1" t="s">
        <v>281</v>
      </c>
      <c r="AQ1" t="s">
        <v>282</v>
      </c>
      <c r="AR1" t="s">
        <v>283</v>
      </c>
      <c r="AS1" t="s">
        <v>284</v>
      </c>
      <c r="AT1" t="s">
        <v>285</v>
      </c>
      <c r="AU1" t="s">
        <v>286</v>
      </c>
      <c r="AV1" t="s">
        <v>287</v>
      </c>
      <c r="AW1" t="s">
        <v>288</v>
      </c>
      <c r="AX1" t="s">
        <v>289</v>
      </c>
      <c r="AY1" t="s">
        <v>290</v>
      </c>
      <c r="AZ1" t="s">
        <v>291</v>
      </c>
      <c r="BA1" t="s">
        <v>292</v>
      </c>
      <c r="BB1" t="s">
        <v>293</v>
      </c>
      <c r="BC1" t="s">
        <v>294</v>
      </c>
      <c r="BD1" t="s">
        <v>295</v>
      </c>
      <c r="BE1" t="s">
        <v>296</v>
      </c>
      <c r="BF1" t="s">
        <v>297</v>
      </c>
      <c r="BG1" t="s">
        <v>298</v>
      </c>
      <c r="BH1" t="s">
        <v>299</v>
      </c>
      <c r="BI1" t="s">
        <v>300</v>
      </c>
      <c r="BJ1" t="s">
        <v>301</v>
      </c>
      <c r="BK1" t="s">
        <v>302</v>
      </c>
      <c r="BL1" t="s">
        <v>303</v>
      </c>
      <c r="BM1" t="s">
        <v>304</v>
      </c>
      <c r="BN1" t="s">
        <v>305</v>
      </c>
      <c r="BO1" t="s">
        <v>306</v>
      </c>
      <c r="BP1" t="s">
        <v>307</v>
      </c>
      <c r="BQ1" t="s">
        <v>308</v>
      </c>
      <c r="BR1" t="s">
        <v>309</v>
      </c>
      <c r="BS1" t="s">
        <v>310</v>
      </c>
      <c r="BT1" t="s">
        <v>311</v>
      </c>
      <c r="BU1" t="s">
        <v>312</v>
      </c>
      <c r="BV1" t="s">
        <v>313</v>
      </c>
      <c r="BW1" t="s">
        <v>314</v>
      </c>
      <c r="BX1" t="s">
        <v>315</v>
      </c>
      <c r="BY1" t="s">
        <v>316</v>
      </c>
      <c r="BZ1" t="s">
        <v>317</v>
      </c>
      <c r="CA1" t="s">
        <v>318</v>
      </c>
      <c r="CB1" t="s">
        <v>319</v>
      </c>
      <c r="CC1" t="s">
        <v>320</v>
      </c>
      <c r="CD1" t="s">
        <v>321</v>
      </c>
      <c r="CE1" t="s">
        <v>322</v>
      </c>
      <c r="CF1" t="s">
        <v>105</v>
      </c>
      <c r="CG1" t="s">
        <v>106</v>
      </c>
      <c r="CH1" t="s">
        <v>51</v>
      </c>
      <c r="CI1" t="s">
        <v>52</v>
      </c>
      <c r="CJ1" t="s">
        <v>53</v>
      </c>
      <c r="CK1" t="s">
        <v>54</v>
      </c>
      <c r="CL1" t="s">
        <v>55</v>
      </c>
      <c r="CM1" t="s">
        <v>56</v>
      </c>
      <c r="CN1" t="s">
        <v>57</v>
      </c>
      <c r="CO1" t="s">
        <v>58</v>
      </c>
      <c r="CP1" t="s">
        <v>59</v>
      </c>
      <c r="CQ1" t="s">
        <v>60</v>
      </c>
      <c r="CR1" t="s">
        <v>323</v>
      </c>
      <c r="CS1" t="s">
        <v>324</v>
      </c>
      <c r="CT1" t="s">
        <v>325</v>
      </c>
      <c r="CU1" t="s">
        <v>326</v>
      </c>
      <c r="CV1" t="s">
        <v>327</v>
      </c>
      <c r="CW1" t="s">
        <v>328</v>
      </c>
      <c r="CX1">
        <v>1</v>
      </c>
      <c r="CY1" t="s">
        <v>329</v>
      </c>
      <c r="CZ1" t="s">
        <v>330</v>
      </c>
      <c r="DA1">
        <v>3</v>
      </c>
      <c r="DB1" t="s">
        <v>331</v>
      </c>
      <c r="DC1" t="s">
        <v>332</v>
      </c>
      <c r="DD1">
        <v>6</v>
      </c>
      <c r="DE1" t="s">
        <v>333</v>
      </c>
      <c r="DF1" t="s">
        <v>334</v>
      </c>
      <c r="DG1">
        <v>10</v>
      </c>
      <c r="DH1" t="s">
        <v>335</v>
      </c>
      <c r="DI1" t="s">
        <v>336</v>
      </c>
      <c r="DJ1">
        <v>20</v>
      </c>
      <c r="DK1" t="s">
        <v>337</v>
      </c>
      <c r="DL1" t="s">
        <v>61</v>
      </c>
      <c r="DM1" t="s">
        <v>62</v>
      </c>
      <c r="DN1" t="s">
        <v>63</v>
      </c>
      <c r="DO1" t="s">
        <v>338</v>
      </c>
      <c r="DP1" t="s">
        <v>339</v>
      </c>
      <c r="DQ1" t="s">
        <v>340</v>
      </c>
      <c r="DR1" t="s">
        <v>341</v>
      </c>
      <c r="DS1" t="s">
        <v>342</v>
      </c>
      <c r="DT1" t="s">
        <v>343</v>
      </c>
      <c r="DU1" t="s">
        <v>344</v>
      </c>
      <c r="DV1" t="s">
        <v>345</v>
      </c>
      <c r="DW1" t="s">
        <v>346</v>
      </c>
      <c r="DX1" t="s">
        <v>347</v>
      </c>
      <c r="DY1" t="s">
        <v>348</v>
      </c>
      <c r="DZ1" t="s">
        <v>349</v>
      </c>
      <c r="EA1" t="s">
        <v>350</v>
      </c>
      <c r="EB1" t="s">
        <v>351</v>
      </c>
      <c r="EC1" t="s">
        <v>352</v>
      </c>
      <c r="ED1" t="s">
        <v>353</v>
      </c>
      <c r="EE1" t="s">
        <v>354</v>
      </c>
      <c r="EF1" t="s">
        <v>355</v>
      </c>
      <c r="EG1" t="s">
        <v>356</v>
      </c>
      <c r="EH1" t="s">
        <v>357</v>
      </c>
      <c r="EI1" t="s">
        <v>358</v>
      </c>
      <c r="EK1" t="s">
        <v>359</v>
      </c>
      <c r="EL1" t="s">
        <v>360</v>
      </c>
      <c r="EM1" t="s">
        <v>361</v>
      </c>
      <c r="EN1" t="s">
        <v>362</v>
      </c>
      <c r="EO1" t="s">
        <v>363</v>
      </c>
      <c r="EP1" t="s">
        <v>364</v>
      </c>
    </row>
    <row r="2" spans="1:146" ht="96" x14ac:dyDescent="0.25">
      <c r="A2" s="7"/>
      <c r="B2" s="7"/>
      <c r="C2" s="7" t="str">
        <f>""&amp;CHAR(10)&amp;Basic_Fundamental_Information_Constructure(F2)&amp;CHAR(10)&amp;Basic_Fundamental_Information_Concatenate("")</f>
        <v xml:space="preserve">
市值1411.3714亿, 利润235.00亿; PE6.01; 平均PE4.52; 平均PEG.6, PB.259; ROIC3.77%; ROE5.9533%; 毛利61.9167%; 净利14%; 上一年度营收增4.98%, 利润增-29.82%, 利润增-35.93%; 过往5年营收增7.51%, 利润增13.83%
Income profile:
</v>
      </c>
      <c r="D2" s="11">
        <v>1</v>
      </c>
      <c r="E2" t="s">
        <v>365</v>
      </c>
      <c r="F2">
        <v>36.85</v>
      </c>
      <c r="G2" s="5">
        <v>-1.47E-2</v>
      </c>
      <c r="H2" t="s">
        <v>6529</v>
      </c>
      <c r="I2">
        <v>141137140000</v>
      </c>
      <c r="J2">
        <v>6.01</v>
      </c>
      <c r="K2">
        <v>0.25900000000000001</v>
      </c>
      <c r="L2" t="s">
        <v>6350</v>
      </c>
      <c r="M2" t="s">
        <v>9</v>
      </c>
      <c r="N2" t="s">
        <v>9</v>
      </c>
      <c r="O2" t="s">
        <v>9</v>
      </c>
      <c r="P2" t="s">
        <v>9</v>
      </c>
      <c r="Q2" t="s">
        <v>6530</v>
      </c>
      <c r="R2">
        <v>23500000000</v>
      </c>
      <c r="S2" s="5">
        <v>-0.35930000000000001</v>
      </c>
      <c r="T2" t="s">
        <v>6531</v>
      </c>
      <c r="U2">
        <v>3830044500</v>
      </c>
      <c r="V2">
        <v>3830044500</v>
      </c>
      <c r="W2" t="s">
        <v>9</v>
      </c>
      <c r="X2" t="s">
        <v>9</v>
      </c>
      <c r="Y2" t="s">
        <v>9</v>
      </c>
      <c r="Z2" t="s">
        <v>9</v>
      </c>
      <c r="AA2" t="s">
        <v>9</v>
      </c>
      <c r="AB2" t="s">
        <v>9</v>
      </c>
      <c r="AC2" t="s">
        <v>9</v>
      </c>
      <c r="AD2" t="s">
        <v>9</v>
      </c>
      <c r="AE2" t="s">
        <v>9</v>
      </c>
      <c r="AF2" t="s">
        <v>9</v>
      </c>
      <c r="AG2" t="s">
        <v>9</v>
      </c>
      <c r="AH2" t="s">
        <v>6532</v>
      </c>
      <c r="AI2" t="s">
        <v>9</v>
      </c>
      <c r="AJ2" t="s">
        <v>9</v>
      </c>
      <c r="AK2" t="s">
        <v>6533</v>
      </c>
      <c r="AL2" t="s">
        <v>9</v>
      </c>
      <c r="AM2" t="s">
        <v>9</v>
      </c>
      <c r="AN2" s="5">
        <v>0.4214</v>
      </c>
      <c r="AO2" t="s">
        <v>9</v>
      </c>
      <c r="AP2" t="s">
        <v>6534</v>
      </c>
      <c r="AQ2" t="s">
        <v>9</v>
      </c>
      <c r="AR2" t="s">
        <v>6535</v>
      </c>
      <c r="AS2" t="s">
        <v>9</v>
      </c>
      <c r="AT2" t="s">
        <v>9</v>
      </c>
      <c r="AU2" t="s">
        <v>6536</v>
      </c>
      <c r="AV2" t="s">
        <v>6537</v>
      </c>
      <c r="AW2" t="s">
        <v>9</v>
      </c>
      <c r="AX2" t="s">
        <v>366</v>
      </c>
      <c r="AY2" t="s">
        <v>368</v>
      </c>
      <c r="AZ2" t="s">
        <v>369</v>
      </c>
      <c r="BA2" t="s">
        <v>370</v>
      </c>
      <c r="BB2" t="s">
        <v>371</v>
      </c>
      <c r="BC2" t="s">
        <v>372</v>
      </c>
      <c r="BD2" t="s">
        <v>373</v>
      </c>
      <c r="BE2" t="s">
        <v>374</v>
      </c>
      <c r="BF2" t="s">
        <v>375</v>
      </c>
      <c r="BG2" t="s">
        <v>376</v>
      </c>
      <c r="BH2" t="s">
        <v>366</v>
      </c>
      <c r="BI2" t="s">
        <v>9</v>
      </c>
      <c r="BJ2" t="s">
        <v>368</v>
      </c>
      <c r="BK2" t="s">
        <v>367</v>
      </c>
      <c r="BL2" t="s">
        <v>9</v>
      </c>
      <c r="BM2" t="s">
        <v>372</v>
      </c>
      <c r="BN2">
        <v>2.88</v>
      </c>
      <c r="BO2">
        <v>4.45</v>
      </c>
      <c r="BP2">
        <v>3.98</v>
      </c>
      <c r="BQ2">
        <v>4.32</v>
      </c>
      <c r="BR2">
        <v>7.01</v>
      </c>
      <c r="BS2">
        <v>6.53</v>
      </c>
      <c r="BT2" t="s">
        <v>6538</v>
      </c>
      <c r="BU2" t="s">
        <v>377</v>
      </c>
      <c r="BV2">
        <v>61.63</v>
      </c>
      <c r="BW2">
        <v>61.25</v>
      </c>
      <c r="BX2">
        <v>62.87</v>
      </c>
      <c r="BY2">
        <v>10.96</v>
      </c>
      <c r="BZ2">
        <v>16.63</v>
      </c>
      <c r="CA2">
        <v>14.41</v>
      </c>
      <c r="CB2">
        <v>-1.07</v>
      </c>
      <c r="CC2">
        <v>-7.12</v>
      </c>
      <c r="CD2" t="s">
        <v>6539</v>
      </c>
      <c r="CE2" t="s">
        <v>140</v>
      </c>
      <c r="CF2" s="8" t="s">
        <v>9</v>
      </c>
      <c r="CG2" s="9">
        <v>-0.35930000000000001</v>
      </c>
      <c r="CH2" s="8">
        <v>4.9821600317955017E-2</v>
      </c>
      <c r="CI2" s="8">
        <v>-6.5338060259819031E-2</v>
      </c>
      <c r="CJ2" s="8">
        <v>5.4246310144662857E-2</v>
      </c>
      <c r="CK2" s="8">
        <v>-3.8729295134544373E-2</v>
      </c>
      <c r="CL2" s="8">
        <v>0.11513993144035339</v>
      </c>
      <c r="CM2" s="9">
        <v>-0.29817226529121399</v>
      </c>
      <c r="CN2" s="9">
        <v>0.14895516633987427</v>
      </c>
      <c r="CO2" s="9">
        <v>-0.26831534504890442</v>
      </c>
      <c r="CP2" s="9">
        <v>2.1282082423567772E-2</v>
      </c>
      <c r="CQ2" s="9">
        <v>0.11111105978488922</v>
      </c>
      <c r="CR2">
        <v>4.5213800836123079</v>
      </c>
      <c r="CS2">
        <v>0.60169750784522169</v>
      </c>
      <c r="CT2" t="e">
        <v>#VALUE!</v>
      </c>
      <c r="CU2" s="8">
        <v>7.5143739581108093E-2</v>
      </c>
      <c r="CV2" s="9">
        <v>0.13828486762940884</v>
      </c>
      <c r="CW2">
        <v>0.06</v>
      </c>
      <c r="CX2">
        <v>5.9212416488999526</v>
      </c>
      <c r="CY2">
        <v>23835733849.203812</v>
      </c>
      <c r="CZ2">
        <v>7.5143739581108093E-2</v>
      </c>
      <c r="DA2">
        <v>1.9595439894041435</v>
      </c>
      <c r="DB2">
        <v>72025502240.915176</v>
      </c>
      <c r="DC2">
        <v>7.1386552602052691E-2</v>
      </c>
      <c r="DD2">
        <v>0.98093701309856307</v>
      </c>
      <c r="DE2">
        <v>143879921050.36285</v>
      </c>
      <c r="DF2">
        <v>6.6126490831375118E-2</v>
      </c>
      <c r="DG2">
        <v>0.60022533052737936</v>
      </c>
      <c r="DH2">
        <v>235140259535.51791</v>
      </c>
      <c r="DI2">
        <v>6.0114991664886479E-2</v>
      </c>
      <c r="DJ2">
        <v>0.32294813947197953</v>
      </c>
      <c r="DK2">
        <v>437027258403.65375</v>
      </c>
      <c r="DL2">
        <v>5.2600617706775661E-2</v>
      </c>
      <c r="DM2">
        <v>23500000000</v>
      </c>
      <c r="DN2">
        <v>7.5143739581108093E-2</v>
      </c>
      <c r="DO2">
        <v>141137140000</v>
      </c>
      <c r="DP2" t="e">
        <v>#VALUE!</v>
      </c>
      <c r="DQ2">
        <v>1</v>
      </c>
      <c r="DR2" t="e">
        <v>#VALUE!</v>
      </c>
      <c r="DS2">
        <v>-0.49758486762940884</v>
      </c>
      <c r="DT2" t="e">
        <v>#VALUE!</v>
      </c>
      <c r="DU2" t="e">
        <v>#VALUE!</v>
      </c>
      <c r="DV2" t="e">
        <v>#VALUE!</v>
      </c>
      <c r="DW2">
        <v>-2.0712000000000002</v>
      </c>
      <c r="DX2">
        <v>0.34595251396648019</v>
      </c>
      <c r="DY2">
        <v>-2.0139518189944132</v>
      </c>
      <c r="DZ2">
        <v>0</v>
      </c>
      <c r="EA2">
        <v>-2.0139518189944132</v>
      </c>
      <c r="EB2">
        <v>2</v>
      </c>
      <c r="EC2">
        <v>9.1579875899614228E-3</v>
      </c>
      <c r="ED2">
        <v>4.6735749414921944E-2</v>
      </c>
      <c r="EE2">
        <v>0</v>
      </c>
      <c r="EF2">
        <v>0</v>
      </c>
      <c r="EG2">
        <v>15.19595251396648</v>
      </c>
      <c r="EH2" t="s">
        <v>110</v>
      </c>
      <c r="EI2">
        <v>0</v>
      </c>
      <c r="EJ2">
        <v>0</v>
      </c>
      <c r="EK2">
        <v>0</v>
      </c>
      <c r="EL2">
        <v>0</v>
      </c>
      <c r="EM2">
        <v>0</v>
      </c>
      <c r="EN2">
        <v>0</v>
      </c>
      <c r="EO2">
        <v>0</v>
      </c>
      <c r="EP2">
        <v>0</v>
      </c>
    </row>
    <row r="3" spans="1:146" ht="96" x14ac:dyDescent="0.25">
      <c r="A3" s="7"/>
      <c r="B3" s="7"/>
      <c r="C3" s="7" t="str">
        <f>""&amp;CHAR(10)&amp;Basic_Fundamental_Information_Constructure(F3)&amp;CHAR(10)&amp;Basic_Fundamental_Information_Concatenate("")</f>
        <v xml:space="preserve">
市值1570.189亿, 利润66.55亿; PE23.59; 平均PE5.67; 平均PEG.58, PB1.53; ROIC3.21%; ROE4.9633%; 毛利63.3167%; 净利7.1867%; 上一年度营收增-13.4%, 利润增-21.62%, 利润增620.2%; 过往5年营收增9.85%, 利润增-13.9%
Income profile:
</v>
      </c>
      <c r="D3" s="11">
        <v>2</v>
      </c>
      <c r="E3" t="s">
        <v>379</v>
      </c>
      <c r="F3">
        <v>62.15</v>
      </c>
      <c r="G3" s="5">
        <v>-1.7399999999999999E-2</v>
      </c>
      <c r="H3" t="s">
        <v>6540</v>
      </c>
      <c r="I3">
        <v>157018900000</v>
      </c>
      <c r="J3">
        <v>23.59</v>
      </c>
      <c r="K3">
        <v>1.53</v>
      </c>
      <c r="L3" t="s">
        <v>6350</v>
      </c>
      <c r="M3" t="s">
        <v>9</v>
      </c>
      <c r="N3" t="s">
        <v>9</v>
      </c>
      <c r="O3" t="s">
        <v>9</v>
      </c>
      <c r="P3" t="s">
        <v>9</v>
      </c>
      <c r="Q3" t="s">
        <v>6541</v>
      </c>
      <c r="R3">
        <v>6655000000</v>
      </c>
      <c r="S3" s="5">
        <v>6.202</v>
      </c>
      <c r="T3" t="s">
        <v>6542</v>
      </c>
      <c r="U3">
        <v>2526450600</v>
      </c>
      <c r="V3">
        <v>2526450600</v>
      </c>
      <c r="W3" t="s">
        <v>9</v>
      </c>
      <c r="X3" t="s">
        <v>9</v>
      </c>
      <c r="Y3" t="s">
        <v>9</v>
      </c>
      <c r="Z3" t="s">
        <v>9</v>
      </c>
      <c r="AA3" t="s">
        <v>9</v>
      </c>
      <c r="AB3" t="s">
        <v>9</v>
      </c>
      <c r="AC3" t="s">
        <v>9</v>
      </c>
      <c r="AD3" t="s">
        <v>9</v>
      </c>
      <c r="AE3" t="s">
        <v>9</v>
      </c>
      <c r="AF3" t="s">
        <v>9</v>
      </c>
      <c r="AG3" t="s">
        <v>9</v>
      </c>
      <c r="AH3" t="s">
        <v>6543</v>
      </c>
      <c r="AI3" t="s">
        <v>9</v>
      </c>
      <c r="AJ3" t="s">
        <v>9</v>
      </c>
      <c r="AK3" t="s">
        <v>6544</v>
      </c>
      <c r="AL3" t="s">
        <v>9</v>
      </c>
      <c r="AM3" t="s">
        <v>9</v>
      </c>
      <c r="AN3" s="5">
        <v>0.50939999999999996</v>
      </c>
      <c r="AO3" t="s">
        <v>9</v>
      </c>
      <c r="AP3" t="s">
        <v>6545</v>
      </c>
      <c r="AQ3" t="s">
        <v>9</v>
      </c>
      <c r="AR3" t="s">
        <v>6546</v>
      </c>
      <c r="AS3" t="s">
        <v>9</v>
      </c>
      <c r="AT3" t="s">
        <v>9</v>
      </c>
      <c r="AU3" t="s">
        <v>6547</v>
      </c>
      <c r="AV3" t="s">
        <v>6548</v>
      </c>
      <c r="AW3" t="s">
        <v>9</v>
      </c>
      <c r="AX3" t="s">
        <v>380</v>
      </c>
      <c r="AY3" t="s">
        <v>383</v>
      </c>
      <c r="AZ3" t="s">
        <v>384</v>
      </c>
      <c r="BA3" t="s">
        <v>385</v>
      </c>
      <c r="BB3" t="s">
        <v>386</v>
      </c>
      <c r="BC3" t="s">
        <v>387</v>
      </c>
      <c r="BD3" t="s">
        <v>388</v>
      </c>
      <c r="BE3" t="s">
        <v>389</v>
      </c>
      <c r="BF3" t="s">
        <v>390</v>
      </c>
      <c r="BG3" t="s">
        <v>391</v>
      </c>
      <c r="BH3" t="s">
        <v>380</v>
      </c>
      <c r="BI3" t="s">
        <v>9</v>
      </c>
      <c r="BJ3" t="s">
        <v>383</v>
      </c>
      <c r="BK3" t="s">
        <v>381</v>
      </c>
      <c r="BL3" t="s">
        <v>9</v>
      </c>
      <c r="BM3" t="s">
        <v>387</v>
      </c>
      <c r="BN3">
        <v>4.0599999999999996</v>
      </c>
      <c r="BO3">
        <v>0.54</v>
      </c>
      <c r="BP3">
        <v>5.03</v>
      </c>
      <c r="BQ3">
        <v>6.5</v>
      </c>
      <c r="BR3">
        <v>0.88</v>
      </c>
      <c r="BS3">
        <v>7.51</v>
      </c>
      <c r="BT3" t="s">
        <v>6549</v>
      </c>
      <c r="BU3" t="s">
        <v>392</v>
      </c>
      <c r="BV3">
        <v>64.64</v>
      </c>
      <c r="BW3">
        <v>59.56</v>
      </c>
      <c r="BX3">
        <v>65.75</v>
      </c>
      <c r="BY3">
        <v>8.8000000000000007</v>
      </c>
      <c r="BZ3">
        <v>1.48</v>
      </c>
      <c r="CA3">
        <v>11.28</v>
      </c>
      <c r="CB3">
        <v>-4.09</v>
      </c>
      <c r="CC3">
        <v>-4.93</v>
      </c>
      <c r="CD3" t="s">
        <v>6550</v>
      </c>
      <c r="CE3" t="s">
        <v>26</v>
      </c>
      <c r="CF3" s="8" t="s">
        <v>9</v>
      </c>
      <c r="CG3" s="9">
        <v>6.202</v>
      </c>
      <c r="CH3" s="8">
        <v>-0.1340426504611969</v>
      </c>
      <c r="CI3" s="8">
        <v>0.1989424079656601</v>
      </c>
      <c r="CJ3" s="8">
        <v>5.4893810302019119E-2</v>
      </c>
      <c r="CK3" s="8">
        <v>-0.12945036590099335</v>
      </c>
      <c r="CL3" s="8">
        <v>-7.0379325188696384E-3</v>
      </c>
      <c r="CM3" s="9">
        <v>-0.2162289172410965</v>
      </c>
      <c r="CN3" s="9">
        <v>-0.25881636142730713</v>
      </c>
      <c r="CO3" s="9">
        <v>1.4599528312683105</v>
      </c>
      <c r="CP3" s="9">
        <v>-0.65630996227264404</v>
      </c>
      <c r="CQ3" s="9">
        <v>-4.9056060612201691E-2</v>
      </c>
      <c r="CR3">
        <v>5.6743906185064059</v>
      </c>
      <c r="CS3">
        <v>0.57599509846997121</v>
      </c>
      <c r="CT3" t="e">
        <v>#VALUE!</v>
      </c>
      <c r="CU3" s="8">
        <v>9.8514564335346222E-2</v>
      </c>
      <c r="CV3" s="9">
        <v>-0.13901304807513953</v>
      </c>
      <c r="CW3">
        <v>0.06</v>
      </c>
      <c r="CX3">
        <v>22.766900879902742</v>
      </c>
      <c r="CY3">
        <v>6896806061.9355927</v>
      </c>
      <c r="CZ3">
        <v>9.8514564335346222E-2</v>
      </c>
      <c r="DA3">
        <v>7.3866128814637966</v>
      </c>
      <c r="DB3">
        <v>21257226081.798367</v>
      </c>
      <c r="DC3">
        <v>9.3588836118578905E-2</v>
      </c>
      <c r="DD3">
        <v>3.6012867187001154</v>
      </c>
      <c r="DE3">
        <v>43600777240.162643</v>
      </c>
      <c r="DF3">
        <v>8.6692816615104681E-2</v>
      </c>
      <c r="DG3">
        <v>2.139099315385379</v>
      </c>
      <c r="DH3">
        <v>73404212170.350571</v>
      </c>
      <c r="DI3">
        <v>7.8811651468276983E-2</v>
      </c>
      <c r="DJ3">
        <v>1.0786434267935545</v>
      </c>
      <c r="DK3">
        <v>145570719757.46848</v>
      </c>
      <c r="DL3">
        <v>6.896019503474235E-2</v>
      </c>
      <c r="DM3">
        <v>6655000000</v>
      </c>
      <c r="DN3">
        <v>9.8514564335346222E-2</v>
      </c>
      <c r="DO3">
        <v>157018900000</v>
      </c>
      <c r="DP3" t="e">
        <v>#VALUE!</v>
      </c>
      <c r="DQ3">
        <v>2</v>
      </c>
      <c r="DR3" t="e">
        <v>#VALUE!</v>
      </c>
      <c r="DS3">
        <v>6.3410130480751397</v>
      </c>
      <c r="DT3" t="e">
        <v>#VALUE!</v>
      </c>
      <c r="DU3" t="e">
        <v>#VALUE!</v>
      </c>
      <c r="DV3" t="e">
        <v>#VALUE!</v>
      </c>
      <c r="DW3">
        <v>-8.8296146044624741</v>
      </c>
      <c r="DX3">
        <v>0.3843371428571426</v>
      </c>
      <c r="DY3">
        <v>-8.2110018081715452</v>
      </c>
      <c r="DZ3">
        <v>0</v>
      </c>
      <c r="EA3">
        <v>-8.2110018081715452</v>
      </c>
      <c r="EB3">
        <v>8</v>
      </c>
      <c r="EC3">
        <v>1.0570323441115373E-2</v>
      </c>
      <c r="ED3">
        <v>4.1560282239439E-2</v>
      </c>
      <c r="EE3">
        <v>0</v>
      </c>
      <c r="EF3">
        <v>0</v>
      </c>
      <c r="EG3">
        <v>13.254337142857143</v>
      </c>
      <c r="EH3" t="s">
        <v>110</v>
      </c>
      <c r="EI3">
        <v>0</v>
      </c>
      <c r="EJ3">
        <v>0</v>
      </c>
      <c r="EK3">
        <v>0</v>
      </c>
      <c r="EL3">
        <v>0</v>
      </c>
      <c r="EM3">
        <v>0</v>
      </c>
      <c r="EN3">
        <v>0</v>
      </c>
      <c r="EO3">
        <v>0</v>
      </c>
      <c r="EP3">
        <v>0</v>
      </c>
    </row>
    <row r="4" spans="1:146" ht="96" x14ac:dyDescent="0.25">
      <c r="A4" s="7"/>
      <c r="B4" s="7"/>
      <c r="C4" s="7" t="str">
        <f>""&amp;CHAR(10)&amp;Basic_Fundamental_Information_Constructure(F4)&amp;CHAR(10)&amp;Basic_Fundamental_Information_Concatenate("")</f>
        <v xml:space="preserve">
市值1082.27247亿, 利润60.70亿; PE17.83; 平均PE129.52; 平均PEG10.38, PB1.81; ROIC4.5867%; ROE8.7167%; 毛利14.8233%; 净利11.53%; 上一年度营收增-6.53%, 利润增20.99%, 利润增15.67%; 过往5年营收增12.47%, 利润增298.94%
Income profile:
</v>
      </c>
      <c r="D4" s="11">
        <v>3</v>
      </c>
      <c r="E4" t="s">
        <v>393</v>
      </c>
      <c r="F4">
        <v>5.8</v>
      </c>
      <c r="G4" s="5">
        <v>-1.1900000000000001E-2</v>
      </c>
      <c r="H4" t="s">
        <v>6551</v>
      </c>
      <c r="I4">
        <v>108227247000</v>
      </c>
      <c r="J4">
        <v>17.829999999999998</v>
      </c>
      <c r="K4">
        <v>1.81</v>
      </c>
      <c r="L4" t="s">
        <v>6350</v>
      </c>
      <c r="M4" t="s">
        <v>9</v>
      </c>
      <c r="N4" t="s">
        <v>9</v>
      </c>
      <c r="O4" t="s">
        <v>9</v>
      </c>
      <c r="P4" t="s">
        <v>9</v>
      </c>
      <c r="Q4" t="s">
        <v>6552</v>
      </c>
      <c r="R4">
        <v>6070100000</v>
      </c>
      <c r="S4" s="5">
        <v>0.15670000000000001</v>
      </c>
      <c r="T4" t="s">
        <v>6553</v>
      </c>
      <c r="U4">
        <v>18659870000</v>
      </c>
      <c r="V4">
        <v>18659870000</v>
      </c>
      <c r="W4" t="s">
        <v>9</v>
      </c>
      <c r="X4" t="s">
        <v>9</v>
      </c>
      <c r="Y4" t="s">
        <v>9</v>
      </c>
      <c r="Z4" t="s">
        <v>9</v>
      </c>
      <c r="AA4" t="s">
        <v>9</v>
      </c>
      <c r="AB4" t="s">
        <v>9</v>
      </c>
      <c r="AC4" t="s">
        <v>9</v>
      </c>
      <c r="AD4" t="s">
        <v>9</v>
      </c>
      <c r="AE4" t="s">
        <v>9</v>
      </c>
      <c r="AF4" t="s">
        <v>9</v>
      </c>
      <c r="AG4" t="s">
        <v>9</v>
      </c>
      <c r="AH4" t="s">
        <v>6554</v>
      </c>
      <c r="AI4" t="s">
        <v>9</v>
      </c>
      <c r="AJ4" t="s">
        <v>9</v>
      </c>
      <c r="AK4" t="s">
        <v>6555</v>
      </c>
      <c r="AL4" t="s">
        <v>9</v>
      </c>
      <c r="AM4" t="s">
        <v>9</v>
      </c>
      <c r="AN4" s="5">
        <v>0.56159999999999999</v>
      </c>
      <c r="AO4" t="s">
        <v>9</v>
      </c>
      <c r="AP4" t="s">
        <v>6556</v>
      </c>
      <c r="AQ4" t="s">
        <v>9</v>
      </c>
      <c r="AR4" t="s">
        <v>6557</v>
      </c>
      <c r="AS4" t="s">
        <v>9</v>
      </c>
      <c r="AT4" t="s">
        <v>9</v>
      </c>
      <c r="AU4" t="s">
        <v>6558</v>
      </c>
      <c r="AV4" t="s">
        <v>6559</v>
      </c>
      <c r="AW4" t="s">
        <v>9</v>
      </c>
      <c r="AX4" t="s">
        <v>394</v>
      </c>
      <c r="AY4" t="s">
        <v>397</v>
      </c>
      <c r="AZ4" t="s">
        <v>398</v>
      </c>
      <c r="BA4" t="s">
        <v>399</v>
      </c>
      <c r="BB4" t="s">
        <v>400</v>
      </c>
      <c r="BC4" t="s">
        <v>401</v>
      </c>
      <c r="BD4" t="s">
        <v>402</v>
      </c>
      <c r="BE4" t="s">
        <v>403</v>
      </c>
      <c r="BF4" t="s">
        <v>404</v>
      </c>
      <c r="BG4" t="s">
        <v>405</v>
      </c>
      <c r="BH4" t="s">
        <v>394</v>
      </c>
      <c r="BI4" t="s">
        <v>9</v>
      </c>
      <c r="BJ4" t="s">
        <v>397</v>
      </c>
      <c r="BK4" t="s">
        <v>395</v>
      </c>
      <c r="BL4" t="s">
        <v>9</v>
      </c>
      <c r="BM4" t="s">
        <v>401</v>
      </c>
      <c r="BN4">
        <v>5.14</v>
      </c>
      <c r="BO4">
        <v>4.3099999999999996</v>
      </c>
      <c r="BP4">
        <v>4.3099999999999996</v>
      </c>
      <c r="BQ4">
        <v>10.14</v>
      </c>
      <c r="BR4">
        <v>8.57</v>
      </c>
      <c r="BS4">
        <v>7.44</v>
      </c>
      <c r="BT4" t="s">
        <v>6560</v>
      </c>
      <c r="BU4" t="s">
        <v>392</v>
      </c>
      <c r="BV4">
        <v>14.28</v>
      </c>
      <c r="BW4">
        <v>13.72</v>
      </c>
      <c r="BX4">
        <v>16.47</v>
      </c>
      <c r="BY4">
        <v>12.59</v>
      </c>
      <c r="BZ4">
        <v>10.38</v>
      </c>
      <c r="CA4">
        <v>11.62</v>
      </c>
      <c r="CB4">
        <v>-1.53</v>
      </c>
      <c r="CC4">
        <v>-5.38</v>
      </c>
      <c r="CD4" t="s">
        <v>2049</v>
      </c>
      <c r="CE4" t="s">
        <v>3359</v>
      </c>
      <c r="CF4" s="8" t="s">
        <v>9</v>
      </c>
      <c r="CG4" s="9">
        <v>0.15670000000000001</v>
      </c>
      <c r="CH4" s="8">
        <v>-6.5329022705554962E-2</v>
      </c>
      <c r="CI4" s="8">
        <v>0.1379472017288208</v>
      </c>
      <c r="CJ4" s="8">
        <v>0.30876928567886353</v>
      </c>
      <c r="CK4" s="8">
        <v>4.7449570149183273E-2</v>
      </c>
      <c r="CL4" s="8">
        <v>0.20313465595245361</v>
      </c>
      <c r="CM4" s="9">
        <v>0.20988643169403076</v>
      </c>
      <c r="CN4" s="9">
        <v>-0.16480773687362671</v>
      </c>
      <c r="CO4" s="9">
        <v>-0.13766868412494659</v>
      </c>
      <c r="CP4" s="9">
        <v>-0.25201332569122314</v>
      </c>
      <c r="CQ4" s="9">
        <v>0.13227969408035278</v>
      </c>
      <c r="CR4">
        <v>129.52423217720437</v>
      </c>
      <c r="CS4">
        <v>10.382830021913888</v>
      </c>
      <c r="CT4" t="e">
        <v>#VALUE!</v>
      </c>
      <c r="CU4" s="8">
        <v>0.12474848562851548</v>
      </c>
      <c r="CV4" s="9">
        <v>2.9894242100417614</v>
      </c>
      <c r="CW4">
        <v>0.06</v>
      </c>
      <c r="CX4">
        <v>16.803446532870797</v>
      </c>
      <c r="CY4">
        <v>6440776705.4387636</v>
      </c>
      <c r="CZ4">
        <v>0.12474848562851548</v>
      </c>
      <c r="DA4">
        <v>5.3326123541740333</v>
      </c>
      <c r="DB4">
        <v>20295352411.147327</v>
      </c>
      <c r="DC4">
        <v>0.11851106134708971</v>
      </c>
      <c r="DD4">
        <v>2.5229398900636006</v>
      </c>
      <c r="DE4">
        <v>42897275288.342957</v>
      </c>
      <c r="DF4">
        <v>0.10977866735309362</v>
      </c>
      <c r="DG4">
        <v>1.4476926916797996</v>
      </c>
      <c r="DH4">
        <v>74758439841.552841</v>
      </c>
      <c r="DI4">
        <v>9.9798788502812388E-2</v>
      </c>
      <c r="DJ4">
        <v>0.67514003654353449</v>
      </c>
      <c r="DK4">
        <v>160303405429.90634</v>
      </c>
      <c r="DL4">
        <v>8.7323939939960835E-2</v>
      </c>
      <c r="DM4">
        <v>6070000000</v>
      </c>
      <c r="DN4">
        <v>0.12474848562851548</v>
      </c>
      <c r="DO4">
        <v>108227247000</v>
      </c>
      <c r="DP4" t="e">
        <v>#VALUE!</v>
      </c>
      <c r="DQ4">
        <v>3</v>
      </c>
      <c r="DR4" t="e">
        <v>#VALUE!</v>
      </c>
      <c r="DS4">
        <v>-2.8327242100417616</v>
      </c>
      <c r="DT4" t="e">
        <v>#VALUE!</v>
      </c>
      <c r="DU4" t="e">
        <v>#VALUE!</v>
      </c>
      <c r="DV4" t="e">
        <v>#VALUE!</v>
      </c>
      <c r="DW4">
        <v>-1.0538000000000001</v>
      </c>
      <c r="DX4">
        <v>0.33720767888307124</v>
      </c>
      <c r="DY4">
        <v>-1.0106097731239092</v>
      </c>
      <c r="DZ4">
        <v>0</v>
      </c>
      <c r="EA4">
        <v>-1.0106097731239092</v>
      </c>
      <c r="EB4">
        <v>1</v>
      </c>
      <c r="EC4">
        <v>6.0557763800069336E-3</v>
      </c>
      <c r="ED4">
        <v>3.0707609431362599E-2</v>
      </c>
      <c r="EE4">
        <v>0</v>
      </c>
      <c r="EF4">
        <v>0</v>
      </c>
      <c r="EG4">
        <v>14.197207678883071</v>
      </c>
      <c r="EH4" t="s">
        <v>110</v>
      </c>
      <c r="EI4">
        <v>0</v>
      </c>
      <c r="EJ4">
        <v>0</v>
      </c>
      <c r="EK4">
        <v>0</v>
      </c>
      <c r="EL4">
        <v>0</v>
      </c>
      <c r="EM4">
        <v>0</v>
      </c>
      <c r="EN4">
        <v>0</v>
      </c>
      <c r="EO4">
        <v>0</v>
      </c>
      <c r="EP4">
        <v>0</v>
      </c>
    </row>
    <row r="5" spans="1:146" ht="84" x14ac:dyDescent="0.25">
      <c r="C5" s="7" t="str">
        <f>""&amp;CHAR(10)&amp;Basic_Fundamental_Information_Constructure(F5)&amp;CHAR(10)&amp;Basic_Fundamental_Information_Concatenate("")</f>
        <v xml:space="preserve">
市值684.55012亿, 利润9.45亿; PE72.44; 平均PE92.36; 平均PEG16.38, PB.479; ROIC.8833%; ROE1.0833%; 毛利49.0933%; 净利8.74%; 上一年度营收增4.9%, 利润增-84.3%, 利润增155.4%; 过往5年营收增5.64%, 利润增-70.28%
Income profile:
</v>
      </c>
      <c r="D5" s="11">
        <v>4</v>
      </c>
      <c r="E5" t="s">
        <v>6355</v>
      </c>
      <c r="F5">
        <v>22.4</v>
      </c>
      <c r="G5">
        <v>-1.54E-2</v>
      </c>
      <c r="H5" t="s">
        <v>6561</v>
      </c>
      <c r="I5">
        <v>68455012000</v>
      </c>
      <c r="J5">
        <v>72.44</v>
      </c>
      <c r="K5">
        <v>0.47899999999999998</v>
      </c>
      <c r="L5" t="s">
        <v>6350</v>
      </c>
      <c r="M5" t="s">
        <v>9</v>
      </c>
      <c r="N5" t="s">
        <v>9</v>
      </c>
      <c r="O5" t="s">
        <v>9</v>
      </c>
      <c r="P5" s="5" t="s">
        <v>9</v>
      </c>
      <c r="Q5" t="s">
        <v>6562</v>
      </c>
      <c r="R5">
        <v>945000000</v>
      </c>
      <c r="S5">
        <v>1.554</v>
      </c>
      <c r="T5" t="s">
        <v>118</v>
      </c>
      <c r="U5">
        <v>3056027300</v>
      </c>
      <c r="V5">
        <v>3056027300</v>
      </c>
      <c r="W5" t="s">
        <v>9</v>
      </c>
      <c r="X5" t="s">
        <v>9</v>
      </c>
      <c r="Y5" t="s">
        <v>9</v>
      </c>
      <c r="Z5" t="s">
        <v>9</v>
      </c>
      <c r="AA5" t="s">
        <v>9</v>
      </c>
      <c r="AB5" t="s">
        <v>9</v>
      </c>
      <c r="AC5" t="s">
        <v>9</v>
      </c>
      <c r="AD5" t="s">
        <v>9</v>
      </c>
      <c r="AE5" t="s">
        <v>9</v>
      </c>
      <c r="AF5" t="s">
        <v>9</v>
      </c>
      <c r="AG5" t="s">
        <v>9</v>
      </c>
      <c r="AH5" t="s">
        <v>6563</v>
      </c>
      <c r="AI5" t="s">
        <v>9</v>
      </c>
      <c r="AJ5" t="s">
        <v>9</v>
      </c>
      <c r="AK5" s="5" t="s">
        <v>6564</v>
      </c>
      <c r="AL5" t="s">
        <v>9</v>
      </c>
      <c r="AM5" t="s">
        <v>9</v>
      </c>
      <c r="AN5">
        <v>0.27660000000000001</v>
      </c>
      <c r="AO5" t="s">
        <v>9</v>
      </c>
      <c r="AP5" t="s">
        <v>6565</v>
      </c>
      <c r="AQ5" t="s">
        <v>9</v>
      </c>
      <c r="AR5" t="s">
        <v>6566</v>
      </c>
      <c r="AS5" t="s">
        <v>9</v>
      </c>
      <c r="AT5" t="s">
        <v>9</v>
      </c>
      <c r="AU5" t="s">
        <v>6422</v>
      </c>
      <c r="AV5" t="s">
        <v>6567</v>
      </c>
      <c r="AW5" t="s">
        <v>9</v>
      </c>
      <c r="AX5" t="s">
        <v>6356</v>
      </c>
      <c r="AY5" t="s">
        <v>6568</v>
      </c>
      <c r="AZ5" t="s">
        <v>6569</v>
      </c>
      <c r="BA5" t="s">
        <v>6570</v>
      </c>
      <c r="BB5" t="s">
        <v>6571</v>
      </c>
      <c r="BC5" t="s">
        <v>6572</v>
      </c>
      <c r="BD5" t="s">
        <v>6573</v>
      </c>
      <c r="BE5" t="s">
        <v>408</v>
      </c>
      <c r="BF5" t="s">
        <v>409</v>
      </c>
      <c r="BG5" t="s">
        <v>6574</v>
      </c>
      <c r="BH5" t="s">
        <v>6356</v>
      </c>
      <c r="BI5" t="s">
        <v>9</v>
      </c>
      <c r="BJ5" t="s">
        <v>6568</v>
      </c>
      <c r="BK5" t="s">
        <v>6575</v>
      </c>
      <c r="BL5" t="s">
        <v>9</v>
      </c>
      <c r="BM5" t="s">
        <v>6572</v>
      </c>
      <c r="BN5">
        <v>0.56000000000000005</v>
      </c>
      <c r="BO5">
        <v>-0.92</v>
      </c>
      <c r="BP5">
        <v>3.01</v>
      </c>
      <c r="BQ5">
        <v>0.66</v>
      </c>
      <c r="BR5">
        <v>-1.1200000000000001</v>
      </c>
      <c r="BS5">
        <v>3.71</v>
      </c>
      <c r="BT5" t="s">
        <v>6576</v>
      </c>
      <c r="BU5" t="s">
        <v>410</v>
      </c>
      <c r="BV5">
        <v>47.77</v>
      </c>
      <c r="BW5">
        <v>48.95</v>
      </c>
      <c r="BX5">
        <v>50.56</v>
      </c>
      <c r="BY5">
        <v>5.83</v>
      </c>
      <c r="BZ5">
        <v>-7.94</v>
      </c>
      <c r="CA5">
        <v>28.33</v>
      </c>
      <c r="CB5">
        <v>1.59</v>
      </c>
      <c r="CC5" s="8">
        <v>-13.68</v>
      </c>
      <c r="CD5" s="10" t="s">
        <v>6577</v>
      </c>
      <c r="CE5" s="8" t="s">
        <v>6578</v>
      </c>
      <c r="CF5" s="8" t="s">
        <v>9</v>
      </c>
      <c r="CG5" s="8">
        <v>1.554</v>
      </c>
      <c r="CH5" s="8">
        <v>4.904792457818985E-2</v>
      </c>
      <c r="CI5" s="8">
        <v>-0.19277867674827576</v>
      </c>
      <c r="CJ5" s="9">
        <v>6.577136367559433E-2</v>
      </c>
      <c r="CK5" s="9">
        <v>-2.754756947979331E-3</v>
      </c>
      <c r="CL5" s="9">
        <v>-0.51343792676925659</v>
      </c>
      <c r="CM5" s="9">
        <v>-0.84299719333648682</v>
      </c>
      <c r="CN5" s="9">
        <v>0.5577121376991272</v>
      </c>
      <c r="CO5">
        <v>0.14116956293582916</v>
      </c>
      <c r="CP5">
        <v>-0.48875135183334351</v>
      </c>
      <c r="CQ5">
        <v>-0.69724810123443604</v>
      </c>
      <c r="CR5" s="8">
        <v>92.361158533843039</v>
      </c>
      <c r="CS5" s="9">
        <v>16.380642149013909</v>
      </c>
      <c r="CT5" t="e">
        <v>#VALUE!</v>
      </c>
      <c r="CU5">
        <v>5.6384333223104474E-2</v>
      </c>
      <c r="CV5">
        <v>-0.70280627310276034</v>
      </c>
      <c r="CW5">
        <v>0.06</v>
      </c>
      <c r="CX5">
        <v>72.687102308249877</v>
      </c>
      <c r="CY5">
        <v>941776598.95833349</v>
      </c>
      <c r="CZ5">
        <v>5.6384333223104474E-2</v>
      </c>
      <c r="DA5">
        <v>24.441946277894001</v>
      </c>
      <c r="DB5">
        <v>2800718536.1467175</v>
      </c>
      <c r="DC5">
        <v>5.3565116561949247E-2</v>
      </c>
      <c r="DD5">
        <v>12.494578638509058</v>
      </c>
      <c r="DE5">
        <v>5478777154.5186367</v>
      </c>
      <c r="DF5">
        <v>4.9618213236331934E-2</v>
      </c>
      <c r="DG5">
        <v>7.8236944982713803</v>
      </c>
      <c r="DH5">
        <v>8749704121.8985367</v>
      </c>
      <c r="DI5">
        <v>4.5107466578483579E-2</v>
      </c>
      <c r="DJ5">
        <v>4.4195205305114094</v>
      </c>
      <c r="DK5">
        <v>15489239506.277088</v>
      </c>
      <c r="DL5">
        <v>3.9469033256173132E-2</v>
      </c>
      <c r="DM5">
        <v>944999999.99999988</v>
      </c>
      <c r="DN5">
        <v>5.6384333223104474E-2</v>
      </c>
      <c r="DO5">
        <v>68455012000</v>
      </c>
      <c r="DP5" t="e">
        <v>#VALUE!</v>
      </c>
      <c r="DQ5">
        <v>4</v>
      </c>
      <c r="DR5" t="e">
        <v>#VALUE!</v>
      </c>
      <c r="DS5">
        <v>2.2568062731027605</v>
      </c>
      <c r="DT5" t="e">
        <v>#VALUE!</v>
      </c>
      <c r="DU5" t="e">
        <v>#VALUE!</v>
      </c>
      <c r="DV5" t="e">
        <v>#VALUE!</v>
      </c>
      <c r="DW5">
        <v>-2.1368</v>
      </c>
      <c r="DX5">
        <v>0.27673842290727457</v>
      </c>
      <c r="DY5">
        <v>-2.0200738162537153</v>
      </c>
      <c r="DZ5">
        <v>0</v>
      </c>
      <c r="EA5">
        <v>-2.0200738162537153</v>
      </c>
      <c r="EB5">
        <v>2</v>
      </c>
      <c r="EC5">
        <v>2.1760931258696546E-3</v>
      </c>
      <c r="ED5">
        <v>1.4829743176705261E-2</v>
      </c>
      <c r="EE5">
        <v>0</v>
      </c>
      <c r="EF5">
        <v>0</v>
      </c>
      <c r="EG5">
        <v>13.146738422907275</v>
      </c>
      <c r="EH5" t="s">
        <v>110</v>
      </c>
      <c r="EI5">
        <v>0</v>
      </c>
      <c r="EJ5">
        <v>0</v>
      </c>
      <c r="EK5">
        <v>0</v>
      </c>
      <c r="EL5">
        <v>0</v>
      </c>
      <c r="EM5">
        <v>0</v>
      </c>
      <c r="EN5">
        <v>0</v>
      </c>
      <c r="EO5">
        <v>0</v>
      </c>
      <c r="EP5">
        <v>0</v>
      </c>
    </row>
    <row r="6" spans="1:146" ht="96" x14ac:dyDescent="0.25">
      <c r="A6" s="7"/>
      <c r="B6" s="7"/>
      <c r="C6" s="7" t="str">
        <f>""&amp;CHAR(10)&amp;Basic_Fundamental_Information_Constructure(F6)&amp;CHAR(10)&amp;Basic_Fundamental_Information_Concatenate("")</f>
        <v xml:space="preserve">
市值12723.6826亿, 利润1752.16亿; PE7.32; 平均PE43.64; 平均PEG.68, PB.851; ROIC0%; ROE8.79%; 毛利0%; 净利29.1433%; 上一年度营收增30.55%, 利润增78.23%; 当季营收增41.26%, 利润增-1.73%; 过往5年营收增64.52%, 利润增50.43%
Income profile:
</v>
      </c>
      <c r="D6" s="11">
        <v>5</v>
      </c>
      <c r="E6" t="s">
        <v>411</v>
      </c>
      <c r="F6">
        <v>68.3</v>
      </c>
      <c r="G6" s="5">
        <v>0</v>
      </c>
      <c r="H6" t="s">
        <v>6579</v>
      </c>
      <c r="I6">
        <v>1272368260000</v>
      </c>
      <c r="J6">
        <v>7.32</v>
      </c>
      <c r="K6">
        <v>0.85099999999999998</v>
      </c>
      <c r="L6" t="s">
        <v>6350</v>
      </c>
      <c r="M6" t="s">
        <v>6580</v>
      </c>
      <c r="N6" t="s">
        <v>6581</v>
      </c>
      <c r="O6" t="s">
        <v>6582</v>
      </c>
      <c r="P6" t="s">
        <v>9</v>
      </c>
      <c r="Q6" t="s">
        <v>6583</v>
      </c>
      <c r="R6">
        <v>175216350000</v>
      </c>
      <c r="S6" s="5">
        <v>-1.7299999999999999E-2</v>
      </c>
      <c r="T6" t="s">
        <v>6584</v>
      </c>
      <c r="U6">
        <v>18829385000</v>
      </c>
      <c r="V6">
        <v>18829385000</v>
      </c>
      <c r="W6">
        <v>15.69</v>
      </c>
      <c r="X6">
        <v>0.01</v>
      </c>
      <c r="Y6">
        <v>68.540000000000006</v>
      </c>
      <c r="Z6" t="s">
        <v>9</v>
      </c>
      <c r="AA6" t="s">
        <v>9</v>
      </c>
      <c r="AB6" t="s">
        <v>9</v>
      </c>
      <c r="AC6" t="s">
        <v>9</v>
      </c>
      <c r="AD6" t="s">
        <v>9</v>
      </c>
      <c r="AE6" t="s">
        <v>9</v>
      </c>
      <c r="AF6" t="s">
        <v>9</v>
      </c>
      <c r="AG6" t="s">
        <v>6585</v>
      </c>
      <c r="AH6" t="s">
        <v>6586</v>
      </c>
      <c r="AI6" t="s">
        <v>9</v>
      </c>
      <c r="AJ6" t="s">
        <v>9</v>
      </c>
      <c r="AK6" t="s">
        <v>6587</v>
      </c>
      <c r="AL6" t="s">
        <v>9</v>
      </c>
      <c r="AM6" t="s">
        <v>9</v>
      </c>
      <c r="AN6" s="5">
        <v>0.93389999999999995</v>
      </c>
      <c r="AO6" t="s">
        <v>9</v>
      </c>
      <c r="AP6" t="s">
        <v>9</v>
      </c>
      <c r="AQ6" t="s">
        <v>9</v>
      </c>
      <c r="AR6" t="s">
        <v>9</v>
      </c>
      <c r="AS6" t="s">
        <v>9</v>
      </c>
      <c r="AT6" t="s">
        <v>9</v>
      </c>
      <c r="AU6" t="s">
        <v>6588</v>
      </c>
      <c r="AV6" t="s">
        <v>6589</v>
      </c>
      <c r="AW6" t="s">
        <v>9</v>
      </c>
      <c r="AX6" t="s">
        <v>6590</v>
      </c>
      <c r="AY6" t="s">
        <v>6591</v>
      </c>
      <c r="AZ6" t="s">
        <v>413</v>
      </c>
      <c r="BA6" t="s">
        <v>414</v>
      </c>
      <c r="BB6" t="s">
        <v>415</v>
      </c>
      <c r="BC6" t="s">
        <v>416</v>
      </c>
      <c r="BD6" t="s">
        <v>417</v>
      </c>
      <c r="BE6" t="s">
        <v>418</v>
      </c>
      <c r="BF6" t="s">
        <v>419</v>
      </c>
      <c r="BG6" t="s">
        <v>420</v>
      </c>
      <c r="BH6" t="s">
        <v>6590</v>
      </c>
      <c r="BI6" t="s">
        <v>421</v>
      </c>
      <c r="BJ6" t="s">
        <v>6591</v>
      </c>
      <c r="BK6" t="s">
        <v>412</v>
      </c>
      <c r="BL6" t="s">
        <v>6592</v>
      </c>
      <c r="BM6" t="s">
        <v>416</v>
      </c>
      <c r="BN6" t="s">
        <v>9</v>
      </c>
      <c r="BO6" t="s">
        <v>9</v>
      </c>
      <c r="BP6" t="s">
        <v>9</v>
      </c>
      <c r="BQ6">
        <v>12.1</v>
      </c>
      <c r="BR6">
        <v>7.91</v>
      </c>
      <c r="BS6">
        <v>6.36</v>
      </c>
      <c r="BT6" t="s">
        <v>6593</v>
      </c>
      <c r="BU6" t="s">
        <v>422</v>
      </c>
      <c r="BV6" t="s">
        <v>9</v>
      </c>
      <c r="BW6" t="s">
        <v>9</v>
      </c>
      <c r="BX6" t="s">
        <v>9</v>
      </c>
      <c r="BY6">
        <v>37.18</v>
      </c>
      <c r="BZ6">
        <v>27.06</v>
      </c>
      <c r="CA6">
        <v>23.19</v>
      </c>
      <c r="CB6">
        <v>-0.28999999999999998</v>
      </c>
      <c r="CC6">
        <v>-0.94</v>
      </c>
      <c r="CD6" t="s">
        <v>6594</v>
      </c>
      <c r="CE6" t="s">
        <v>6073</v>
      </c>
      <c r="CF6" s="8">
        <v>0.41262601016412565</v>
      </c>
      <c r="CG6" s="9">
        <v>-1.7299999999999999E-2</v>
      </c>
      <c r="CH6" s="8">
        <v>0.30547940731048584</v>
      </c>
      <c r="CI6" s="8">
        <v>-0.20730482041835785</v>
      </c>
      <c r="CJ6" s="8">
        <v>3.0280014500021935E-2</v>
      </c>
      <c r="CK6" s="8">
        <v>-2.5145391002297401E-2</v>
      </c>
      <c r="CL6" s="8">
        <v>1.6175029799342155E-2</v>
      </c>
      <c r="CM6" s="9">
        <v>0.782298743724823</v>
      </c>
      <c r="CN6" s="9">
        <v>2.2530026435852051</v>
      </c>
      <c r="CO6" s="9">
        <v>-0.34982031583786011</v>
      </c>
      <c r="CP6" s="9">
        <v>-0.52940642833709717</v>
      </c>
      <c r="CQ6" s="9">
        <v>0.30540689826011658</v>
      </c>
      <c r="CR6">
        <v>43.635545114329894</v>
      </c>
      <c r="CS6">
        <v>0.67629083066290652</v>
      </c>
      <c r="CT6" t="e">
        <v>#VALUE!</v>
      </c>
      <c r="CU6" s="8">
        <v>0.64521864168345933</v>
      </c>
      <c r="CV6" s="9">
        <v>0.50426824092864986</v>
      </c>
      <c r="CW6">
        <v>0.06</v>
      </c>
      <c r="CX6">
        <v>79.59805440401486</v>
      </c>
      <c r="CY6">
        <v>271951537284.15945</v>
      </c>
      <c r="CZ6">
        <v>0.64521864168345933</v>
      </c>
      <c r="DA6">
        <v>16.784865019744807</v>
      </c>
      <c r="DB6">
        <v>1289662635626.5518</v>
      </c>
      <c r="DC6">
        <v>0.6129577095992863</v>
      </c>
      <c r="DD6">
        <v>4.2259440979845619</v>
      </c>
      <c r="DE6">
        <v>5122361479018.0977</v>
      </c>
      <c r="DF6">
        <v>0.56779240468144421</v>
      </c>
      <c r="DG6">
        <v>1.0667332612221545</v>
      </c>
      <c r="DH6">
        <v>20292620514334.84</v>
      </c>
      <c r="DI6">
        <v>0.51617491334676746</v>
      </c>
      <c r="DJ6">
        <v>6.2019306799562052E-2</v>
      </c>
      <c r="DK6">
        <v>349033460337755</v>
      </c>
      <c r="DL6">
        <v>0.45165304917842147</v>
      </c>
      <c r="DM6">
        <v>175216000000</v>
      </c>
      <c r="DN6">
        <v>0.64521864168345933</v>
      </c>
      <c r="DO6">
        <v>21646813260000</v>
      </c>
      <c r="DP6" t="e">
        <v>#VALUE!</v>
      </c>
      <c r="DQ6">
        <v>5</v>
      </c>
      <c r="DR6">
        <v>-0.23259263151933368</v>
      </c>
      <c r="DS6">
        <v>-0.52156824092864984</v>
      </c>
      <c r="DT6">
        <v>0.12500000000000008</v>
      </c>
      <c r="DU6">
        <v>-1.1102230246251565E-16</v>
      </c>
      <c r="DV6">
        <v>0.12499999999999997</v>
      </c>
      <c r="DW6">
        <v>-9.3999999999999986E-3</v>
      </c>
      <c r="DX6">
        <v>0.38261766213592208</v>
      </c>
      <c r="DY6">
        <v>-1.5286060240776696E-3</v>
      </c>
      <c r="DZ6">
        <v>0</v>
      </c>
      <c r="EA6">
        <v>-1.5286060240776696E-3</v>
      </c>
      <c r="EB6">
        <v>0</v>
      </c>
      <c r="EC6">
        <v>4.4477342196784439E-3</v>
      </c>
      <c r="ED6">
        <v>2.7350866743656263E-2</v>
      </c>
      <c r="EE6">
        <v>0</v>
      </c>
      <c r="EF6">
        <v>0</v>
      </c>
      <c r="EG6">
        <v>22.162617662135922</v>
      </c>
      <c r="EH6" t="s">
        <v>110</v>
      </c>
      <c r="EI6">
        <v>0</v>
      </c>
      <c r="EJ6">
        <v>0</v>
      </c>
      <c r="EK6">
        <v>0</v>
      </c>
      <c r="EL6">
        <v>0</v>
      </c>
      <c r="EM6">
        <v>0</v>
      </c>
      <c r="EN6">
        <v>0</v>
      </c>
      <c r="EO6">
        <v>0</v>
      </c>
      <c r="EP6">
        <v>0</v>
      </c>
    </row>
    <row r="7" spans="1:146" ht="96" x14ac:dyDescent="0.25">
      <c r="A7" s="7"/>
      <c r="B7" s="7"/>
      <c r="C7" s="7" t="str">
        <f>""&amp;CHAR(10)&amp;Basic_Fundamental_Information_Constructure(F7)&amp;CHAR(10)&amp;Basic_Fundamental_Information_Concatenate("")</f>
        <v xml:space="preserve">
市值886.53974亿, 利润60.03亿; PE14.77; 平均PE146.62; 平均PEG32.86, PB.999; ROIC6.5767%; ROE6.78%; 毛利100%; 净利464.1267%; 上一年度营收增2.13%, 利润增-2.23%, 利润增6.27%; 过往5年营收增4.46%, 利润增-57.39%
Income profile:
</v>
      </c>
      <c r="D7" s="11">
        <v>6</v>
      </c>
      <c r="E7" t="s">
        <v>423</v>
      </c>
      <c r="F7">
        <v>41.6</v>
      </c>
      <c r="G7" s="5">
        <v>-3.5999999999999999E-3</v>
      </c>
      <c r="H7" t="s">
        <v>6595</v>
      </c>
      <c r="I7">
        <v>88653974000</v>
      </c>
      <c r="J7">
        <v>14.77</v>
      </c>
      <c r="K7">
        <v>0.999</v>
      </c>
      <c r="L7" t="s">
        <v>6350</v>
      </c>
      <c r="M7" t="s">
        <v>9</v>
      </c>
      <c r="N7" t="s">
        <v>9</v>
      </c>
      <c r="O7" t="s">
        <v>9</v>
      </c>
      <c r="P7" t="s">
        <v>9</v>
      </c>
      <c r="Q7" t="s">
        <v>6596</v>
      </c>
      <c r="R7">
        <v>6003000000</v>
      </c>
      <c r="S7" s="5">
        <v>6.2700000000000006E-2</v>
      </c>
      <c r="T7" t="s">
        <v>6597</v>
      </c>
      <c r="U7">
        <v>2131105200</v>
      </c>
      <c r="V7">
        <v>2131105200</v>
      </c>
      <c r="W7" t="s">
        <v>9</v>
      </c>
      <c r="X7" t="s">
        <v>9</v>
      </c>
      <c r="Y7" t="s">
        <v>9</v>
      </c>
      <c r="Z7" t="s">
        <v>9</v>
      </c>
      <c r="AA7" t="s">
        <v>9</v>
      </c>
      <c r="AB7" t="s">
        <v>9</v>
      </c>
      <c r="AC7" t="s">
        <v>9</v>
      </c>
      <c r="AD7" t="s">
        <v>9</v>
      </c>
      <c r="AE7" t="s">
        <v>9</v>
      </c>
      <c r="AF7" t="s">
        <v>9</v>
      </c>
      <c r="AG7" t="s">
        <v>9</v>
      </c>
      <c r="AH7" t="s">
        <v>6598</v>
      </c>
      <c r="AI7" t="s">
        <v>9</v>
      </c>
      <c r="AJ7" t="s">
        <v>9</v>
      </c>
      <c r="AK7" t="s">
        <v>6599</v>
      </c>
      <c r="AL7" t="s">
        <v>9</v>
      </c>
      <c r="AM7" t="s">
        <v>9</v>
      </c>
      <c r="AN7" s="5">
        <v>7.2599999999999998E-2</v>
      </c>
      <c r="AO7" t="s">
        <v>9</v>
      </c>
      <c r="AP7" t="s">
        <v>1902</v>
      </c>
      <c r="AQ7" t="s">
        <v>9</v>
      </c>
      <c r="AR7" t="s">
        <v>6600</v>
      </c>
      <c r="AS7" t="s">
        <v>9</v>
      </c>
      <c r="AT7" t="s">
        <v>9</v>
      </c>
      <c r="AU7" t="s">
        <v>1341</v>
      </c>
      <c r="AV7" t="s">
        <v>6601</v>
      </c>
      <c r="AW7" t="s">
        <v>9</v>
      </c>
      <c r="AX7" t="s">
        <v>424</v>
      </c>
      <c r="AY7" t="s">
        <v>428</v>
      </c>
      <c r="AZ7" t="s">
        <v>429</v>
      </c>
      <c r="BA7" t="s">
        <v>430</v>
      </c>
      <c r="BB7" t="s">
        <v>431</v>
      </c>
      <c r="BC7" t="s">
        <v>432</v>
      </c>
      <c r="BD7" t="s">
        <v>433</v>
      </c>
      <c r="BE7" t="s">
        <v>434</v>
      </c>
      <c r="BF7" t="s">
        <v>435</v>
      </c>
      <c r="BG7" t="s">
        <v>436</v>
      </c>
      <c r="BH7" t="s">
        <v>424</v>
      </c>
      <c r="BI7" t="s">
        <v>9</v>
      </c>
      <c r="BJ7" t="s">
        <v>428</v>
      </c>
      <c r="BK7" t="s">
        <v>425</v>
      </c>
      <c r="BL7" t="s">
        <v>9</v>
      </c>
      <c r="BM7" t="s">
        <v>432</v>
      </c>
      <c r="BN7">
        <v>6.59</v>
      </c>
      <c r="BO7">
        <v>6.27</v>
      </c>
      <c r="BP7">
        <v>6.87</v>
      </c>
      <c r="BQ7">
        <v>6.76</v>
      </c>
      <c r="BR7">
        <v>6.5</v>
      </c>
      <c r="BS7">
        <v>7.08</v>
      </c>
      <c r="BT7" t="s">
        <v>6602</v>
      </c>
      <c r="BU7" t="s">
        <v>392</v>
      </c>
      <c r="BV7">
        <v>100</v>
      </c>
      <c r="BW7">
        <v>100</v>
      </c>
      <c r="BX7">
        <v>100</v>
      </c>
      <c r="BY7">
        <v>464.63</v>
      </c>
      <c r="BZ7">
        <v>446.56</v>
      </c>
      <c r="CA7">
        <v>481.19</v>
      </c>
      <c r="CB7">
        <v>-1.19</v>
      </c>
      <c r="CC7">
        <v>-10.83</v>
      </c>
      <c r="CD7" t="s">
        <v>6603</v>
      </c>
      <c r="CE7" t="s">
        <v>6604</v>
      </c>
      <c r="CF7" s="8" t="s">
        <v>9</v>
      </c>
      <c r="CG7" s="9">
        <v>6.2700000000000006E-2</v>
      </c>
      <c r="CH7" s="8">
        <v>2.1343925967812538E-2</v>
      </c>
      <c r="CI7" s="8">
        <v>-8.6207399144768715E-3</v>
      </c>
      <c r="CJ7" s="8">
        <v>4.724409431219101E-3</v>
      </c>
      <c r="CK7" s="8">
        <v>-0.18327978253364563</v>
      </c>
      <c r="CL7" s="8">
        <v>9.507046639919281E-2</v>
      </c>
      <c r="CM7" s="9">
        <v>-2.2312775254249573E-2</v>
      </c>
      <c r="CN7" s="9">
        <v>1.3047149404883385E-3</v>
      </c>
      <c r="CO7" s="9">
        <v>-0.14009256660938263</v>
      </c>
      <c r="CP7" s="9">
        <v>-6.6134095191955566E-2</v>
      </c>
      <c r="CQ7" s="9">
        <v>-8.2101248204708099E-2</v>
      </c>
      <c r="CR7">
        <v>146.61627453142228</v>
      </c>
      <c r="CS7">
        <v>32.855809154257472</v>
      </c>
      <c r="CT7" t="e">
        <v>#VALUE!</v>
      </c>
      <c r="CU7" s="8">
        <v>4.46241557598114E-2</v>
      </c>
      <c r="CV7" s="9">
        <v>-0.57388349138200279</v>
      </c>
      <c r="CW7">
        <v>0.06</v>
      </c>
      <c r="CX7">
        <v>14.985652781984653</v>
      </c>
      <c r="CY7">
        <v>5915923402.8548565</v>
      </c>
      <c r="CZ7">
        <v>4.46241557598114E-2</v>
      </c>
      <c r="DA7">
        <v>5.0899884516666241</v>
      </c>
      <c r="DB7">
        <v>17417323210.42337</v>
      </c>
      <c r="DC7">
        <v>4.2392947971820825E-2</v>
      </c>
      <c r="DD7">
        <v>2.6360510657138683</v>
      </c>
      <c r="DE7">
        <v>33631356825.021004</v>
      </c>
      <c r="DF7">
        <v>3.9269257068634031E-2</v>
      </c>
      <c r="DG7">
        <v>1.6740316776743398</v>
      </c>
      <c r="DH7">
        <v>52958361052.738953</v>
      </c>
      <c r="DI7">
        <v>3.5699324607849123E-2</v>
      </c>
      <c r="DJ7">
        <v>0.97341338409321121</v>
      </c>
      <c r="DK7">
        <v>91075359604.374161</v>
      </c>
      <c r="DL7">
        <v>3.1236909031867977E-2</v>
      </c>
      <c r="DM7">
        <v>6003000000</v>
      </c>
      <c r="DN7">
        <v>4.46241557598114E-2</v>
      </c>
      <c r="DO7">
        <v>88653974000</v>
      </c>
      <c r="DP7" t="e">
        <v>#VALUE!</v>
      </c>
      <c r="DQ7">
        <v>6</v>
      </c>
      <c r="DR7" t="e">
        <v>#VALUE!</v>
      </c>
      <c r="DS7">
        <v>0.63658349138200276</v>
      </c>
      <c r="DT7" t="e">
        <v>#VALUE!</v>
      </c>
      <c r="DU7" t="e">
        <v>#VALUE!</v>
      </c>
      <c r="DV7" t="e">
        <v>#VALUE!</v>
      </c>
      <c r="DW7">
        <v>-2.1082999999999998</v>
      </c>
      <c r="DX7">
        <v>0.439574469332495</v>
      </c>
      <c r="DY7">
        <v>-2.0205309150287092</v>
      </c>
      <c r="DZ7">
        <v>0</v>
      </c>
      <c r="EA7">
        <v>-2.0205309150287092</v>
      </c>
      <c r="EB7">
        <v>2</v>
      </c>
      <c r="EC7">
        <v>7.0403375675682257E-3</v>
      </c>
      <c r="ED7">
        <v>3.7137584761184006E-2</v>
      </c>
      <c r="EE7">
        <v>0</v>
      </c>
      <c r="EF7">
        <v>0</v>
      </c>
      <c r="EG7">
        <v>25.189574469332495</v>
      </c>
      <c r="EH7" t="s">
        <v>110</v>
      </c>
      <c r="EI7">
        <v>0</v>
      </c>
      <c r="EJ7">
        <v>0</v>
      </c>
      <c r="EK7">
        <v>0</v>
      </c>
      <c r="EL7">
        <v>0</v>
      </c>
      <c r="EM7">
        <v>0</v>
      </c>
      <c r="EN7">
        <v>0</v>
      </c>
      <c r="EO7">
        <v>0</v>
      </c>
      <c r="EP7">
        <v>0</v>
      </c>
    </row>
    <row r="8" spans="1:146" ht="96" x14ac:dyDescent="0.25">
      <c r="A8" s="7"/>
      <c r="B8" s="7"/>
      <c r="C8" s="7" t="str">
        <f>""&amp;CHAR(10)&amp;Basic_Fundamental_Information_Constructure(F8)&amp;CHAR(10)&amp;Basic_Fundamental_Information_Concatenate("")</f>
        <v xml:space="preserve">
市值297.97607亿, 利润-4.71亿; PE; 平均PE61.67; 平均PEG2.29, PB12.01; ROIC.38%; ROE-1.2933%; 毛利47.8233%; 净利6.7767%; 上一年度营收增-5.41%, 利润增-145.33%, 利润增-398.1%; 过往5年营收增26.91%, 利润增38.82%
Income profile:
</v>
      </c>
      <c r="D8" s="11">
        <v>8</v>
      </c>
      <c r="E8" t="s">
        <v>437</v>
      </c>
      <c r="F8">
        <v>3.85</v>
      </c>
      <c r="G8" s="5">
        <v>-7.7000000000000002E-3</v>
      </c>
      <c r="H8" t="s">
        <v>6605</v>
      </c>
      <c r="I8">
        <v>29797607000</v>
      </c>
      <c r="K8">
        <v>12.01</v>
      </c>
      <c r="L8" t="s">
        <v>6350</v>
      </c>
      <c r="M8" t="s">
        <v>9</v>
      </c>
      <c r="N8" t="s">
        <v>9</v>
      </c>
      <c r="O8" t="s">
        <v>9</v>
      </c>
      <c r="P8" t="s">
        <v>9</v>
      </c>
      <c r="Q8" t="s">
        <v>6606</v>
      </c>
      <c r="R8">
        <v>-471000000</v>
      </c>
      <c r="S8" s="5">
        <v>-3.9809999999999999</v>
      </c>
      <c r="T8" t="s">
        <v>6607</v>
      </c>
      <c r="U8">
        <v>7739638200</v>
      </c>
      <c r="V8">
        <v>7739638200</v>
      </c>
      <c r="W8" t="s">
        <v>9</v>
      </c>
      <c r="X8" t="s">
        <v>9</v>
      </c>
      <c r="Y8" t="s">
        <v>9</v>
      </c>
      <c r="Z8" t="s">
        <v>9</v>
      </c>
      <c r="AA8" t="s">
        <v>9</v>
      </c>
      <c r="AB8" t="s">
        <v>9</v>
      </c>
      <c r="AC8" t="s">
        <v>9</v>
      </c>
      <c r="AD8" t="s">
        <v>9</v>
      </c>
      <c r="AE8" t="s">
        <v>9</v>
      </c>
      <c r="AF8" t="s">
        <v>9</v>
      </c>
      <c r="AG8" t="s">
        <v>9</v>
      </c>
      <c r="AH8" t="s">
        <v>6608</v>
      </c>
      <c r="AI8" t="s">
        <v>9</v>
      </c>
      <c r="AJ8" t="s">
        <v>9</v>
      </c>
      <c r="AK8" t="s">
        <v>6609</v>
      </c>
      <c r="AL8" t="s">
        <v>9</v>
      </c>
      <c r="AM8" t="s">
        <v>9</v>
      </c>
      <c r="AN8" s="5">
        <v>0.89739999999999998</v>
      </c>
      <c r="AO8" t="s">
        <v>9</v>
      </c>
      <c r="AP8" t="s">
        <v>6610</v>
      </c>
      <c r="AQ8" t="s">
        <v>9</v>
      </c>
      <c r="AR8" t="s">
        <v>6611</v>
      </c>
      <c r="AS8" t="s">
        <v>9</v>
      </c>
      <c r="AT8" t="s">
        <v>9</v>
      </c>
      <c r="AU8" t="s">
        <v>6612</v>
      </c>
      <c r="AV8" t="s">
        <v>6613</v>
      </c>
      <c r="AW8" t="s">
        <v>9</v>
      </c>
      <c r="AX8" t="s">
        <v>438</v>
      </c>
      <c r="AY8" t="s">
        <v>440</v>
      </c>
      <c r="AZ8" t="s">
        <v>441</v>
      </c>
      <c r="BA8" t="s">
        <v>442</v>
      </c>
      <c r="BB8" t="s">
        <v>443</v>
      </c>
      <c r="BC8" t="s">
        <v>444</v>
      </c>
      <c r="BD8" t="s">
        <v>445</v>
      </c>
      <c r="BE8" t="s">
        <v>446</v>
      </c>
      <c r="BF8" t="s">
        <v>447</v>
      </c>
      <c r="BG8" t="s">
        <v>448</v>
      </c>
      <c r="BH8" t="s">
        <v>438</v>
      </c>
      <c r="BI8" t="s">
        <v>9</v>
      </c>
      <c r="BJ8" t="s">
        <v>440</v>
      </c>
      <c r="BK8" t="s">
        <v>439</v>
      </c>
      <c r="BL8" t="s">
        <v>9</v>
      </c>
      <c r="BM8" t="s">
        <v>444</v>
      </c>
      <c r="BN8">
        <v>-0.85</v>
      </c>
      <c r="BO8">
        <v>0.28999999999999998</v>
      </c>
      <c r="BP8">
        <v>1.7</v>
      </c>
      <c r="BQ8">
        <v>-18.98</v>
      </c>
      <c r="BR8">
        <v>2.84</v>
      </c>
      <c r="BS8">
        <v>12.26</v>
      </c>
      <c r="BT8" t="s">
        <v>6614</v>
      </c>
      <c r="BU8" t="s">
        <v>449</v>
      </c>
      <c r="BV8">
        <v>50.16</v>
      </c>
      <c r="BW8">
        <v>47.89</v>
      </c>
      <c r="BX8">
        <v>45.42</v>
      </c>
      <c r="BY8">
        <v>5.75</v>
      </c>
      <c r="BZ8">
        <v>7.19</v>
      </c>
      <c r="CA8">
        <v>7.39</v>
      </c>
      <c r="CB8">
        <v>-0.77</v>
      </c>
      <c r="CC8">
        <v>0.65</v>
      </c>
      <c r="CD8" t="s">
        <v>6615</v>
      </c>
      <c r="CE8" t="s">
        <v>122</v>
      </c>
      <c r="CF8" s="8" t="s">
        <v>9</v>
      </c>
      <c r="CG8" s="9">
        <v>-3.9809999999999999</v>
      </c>
      <c r="CH8" s="8">
        <v>-5.4104059934616089E-2</v>
      </c>
      <c r="CI8" s="8">
        <v>-6.280333548784256E-2</v>
      </c>
      <c r="CJ8" s="8">
        <v>6.5569959580898285E-2</v>
      </c>
      <c r="CK8" s="8">
        <v>-9.5752570778131485E-3</v>
      </c>
      <c r="CL8" s="8">
        <v>5.4789222776889801E-2</v>
      </c>
      <c r="CM8" s="9">
        <v>-1.4533205032348633</v>
      </c>
      <c r="CN8" s="9">
        <v>2.018627405166626</v>
      </c>
      <c r="CO8" s="9">
        <v>-2.4977972507476807</v>
      </c>
      <c r="CP8" s="9">
        <v>-0.24080267548561096</v>
      </c>
      <c r="CQ8" s="9">
        <v>-0.55986255407333374</v>
      </c>
      <c r="CR8">
        <v>61.67148740945153</v>
      </c>
      <c r="CS8">
        <v>2.2914711689592044</v>
      </c>
      <c r="CT8" t="e">
        <v>#VALUE!</v>
      </c>
      <c r="CU8" s="8">
        <v>0.26913490444421767</v>
      </c>
      <c r="CV8" s="9">
        <v>0.38820833563804624</v>
      </c>
      <c r="CW8">
        <v>0.06</v>
      </c>
      <c r="CX8" t="e">
        <v>#VALUE!</v>
      </c>
      <c r="CY8" t="s">
        <v>109</v>
      </c>
      <c r="CZ8">
        <v>0.26913490444421767</v>
      </c>
      <c r="DA8" t="e">
        <v>#VALUE!</v>
      </c>
      <c r="DB8" t="s">
        <v>108</v>
      </c>
      <c r="DC8">
        <v>0.25567815922200676</v>
      </c>
      <c r="DD8" t="e">
        <v>#VALUE!</v>
      </c>
      <c r="DE8" t="s">
        <v>108</v>
      </c>
      <c r="DF8">
        <v>0.23683871591091155</v>
      </c>
      <c r="DG8" t="e">
        <v>#VALUE!</v>
      </c>
      <c r="DH8" t="s">
        <v>108</v>
      </c>
      <c r="DI8">
        <v>0.21530792355537415</v>
      </c>
      <c r="DJ8" t="e">
        <v>#VALUE!</v>
      </c>
      <c r="DK8" t="s">
        <v>108</v>
      </c>
      <c r="DL8">
        <v>0.18839443311095236</v>
      </c>
      <c r="DM8">
        <v>-471000000</v>
      </c>
      <c r="DN8">
        <v>0.26913490444421767</v>
      </c>
      <c r="DO8">
        <v>29797607000</v>
      </c>
      <c r="DP8" t="e">
        <v>#VALUE!</v>
      </c>
      <c r="DQ8">
        <v>7</v>
      </c>
      <c r="DR8" t="e">
        <v>#VALUE!</v>
      </c>
      <c r="DS8">
        <v>-4.3692083356380458</v>
      </c>
      <c r="DT8" t="e">
        <v>#VALUE!</v>
      </c>
      <c r="DU8" t="e">
        <v>#VALUE!</v>
      </c>
      <c r="DV8" t="e">
        <v>#VALUE!</v>
      </c>
      <c r="DW8">
        <v>6.5000000000000006E-3</v>
      </c>
      <c r="DX8">
        <v>0.40777219512195217</v>
      </c>
      <c r="DY8">
        <v>9.6051926829268306E-4</v>
      </c>
      <c r="DZ8">
        <v>0</v>
      </c>
      <c r="EA8">
        <v>9.6051926829268306E-4</v>
      </c>
      <c r="EB8">
        <v>0</v>
      </c>
      <c r="EC8">
        <v>3.9140460079903992E-3</v>
      </c>
      <c r="ED8">
        <v>2.6487026228176915E-2</v>
      </c>
      <c r="EE8">
        <v>0</v>
      </c>
      <c r="EF8">
        <v>0</v>
      </c>
      <c r="EG8">
        <v>26.147772195121952</v>
      </c>
      <c r="EH8" t="s">
        <v>110</v>
      </c>
      <c r="EI8">
        <v>0</v>
      </c>
      <c r="EJ8">
        <v>0</v>
      </c>
      <c r="EK8">
        <v>0</v>
      </c>
      <c r="EL8">
        <v>0</v>
      </c>
      <c r="EM8">
        <v>0</v>
      </c>
      <c r="EN8">
        <v>0</v>
      </c>
      <c r="EO8">
        <v>0</v>
      </c>
      <c r="EP8">
        <v>0</v>
      </c>
    </row>
    <row r="9" spans="1:146" ht="84" x14ac:dyDescent="0.25">
      <c r="A9" s="7"/>
      <c r="B9" s="7"/>
      <c r="C9" s="7" t="str">
        <f>""&amp;CHAR(10)&amp;Basic_Fundamental_Information_Constructure(F9)&amp;CHAR(10)&amp;Basic_Fundamental_Information_Concatenate("")</f>
        <v xml:space="preserve">
市值1909.4271亿, 利润171.40亿; PE11.14; 平均PE71.69; 平均PEG1.08, PB1.14; ROIC0%; ROE7.5067%; 毛利0%; 净利30.3567%; 上一年度营收增18.97%, 利润增29.29%, 利润增62.07%; 过往5年营收增66.43%, 利润增-465.4%
Income profile:
</v>
      </c>
      <c r="D9" s="11">
        <v>11</v>
      </c>
      <c r="E9" t="s">
        <v>451</v>
      </c>
      <c r="F9">
        <v>100.7</v>
      </c>
      <c r="G9" s="5">
        <v>-1.37E-2</v>
      </c>
      <c r="H9" t="s">
        <v>6616</v>
      </c>
      <c r="I9">
        <v>190942710000</v>
      </c>
      <c r="J9">
        <v>11.14</v>
      </c>
      <c r="K9">
        <v>1.1399999999999999</v>
      </c>
      <c r="L9" t="s">
        <v>6350</v>
      </c>
      <c r="M9" t="s">
        <v>9</v>
      </c>
      <c r="N9" t="s">
        <v>9</v>
      </c>
      <c r="O9" t="s">
        <v>9</v>
      </c>
      <c r="P9" t="s">
        <v>9</v>
      </c>
      <c r="Q9" t="s">
        <v>6617</v>
      </c>
      <c r="R9">
        <v>17140000000</v>
      </c>
      <c r="S9" s="5">
        <v>0.62070000000000003</v>
      </c>
      <c r="T9" t="s">
        <v>6618</v>
      </c>
      <c r="U9">
        <v>1909708700</v>
      </c>
      <c r="V9">
        <v>1909708700</v>
      </c>
      <c r="W9" t="s">
        <v>9</v>
      </c>
      <c r="X9" t="s">
        <v>9</v>
      </c>
      <c r="Y9" t="s">
        <v>9</v>
      </c>
      <c r="Z9" t="s">
        <v>9</v>
      </c>
      <c r="AA9" t="s">
        <v>9</v>
      </c>
      <c r="AB9" t="s">
        <v>9</v>
      </c>
      <c r="AC9" t="s">
        <v>9</v>
      </c>
      <c r="AD9" t="s">
        <v>4979</v>
      </c>
      <c r="AE9" t="s">
        <v>9</v>
      </c>
      <c r="AF9" t="s">
        <v>9</v>
      </c>
      <c r="AG9" t="s">
        <v>9</v>
      </c>
      <c r="AH9" t="s">
        <v>6619</v>
      </c>
      <c r="AI9" t="s">
        <v>9</v>
      </c>
      <c r="AJ9" t="s">
        <v>9</v>
      </c>
      <c r="AK9" t="s">
        <v>6620</v>
      </c>
      <c r="AL9" t="s">
        <v>9</v>
      </c>
      <c r="AM9" t="s">
        <v>9</v>
      </c>
      <c r="AN9" s="5">
        <v>0.90059999999999996</v>
      </c>
      <c r="AO9" t="s">
        <v>9</v>
      </c>
      <c r="AP9" t="s">
        <v>9</v>
      </c>
      <c r="AQ9" t="s">
        <v>9</v>
      </c>
      <c r="AR9" t="s">
        <v>9</v>
      </c>
      <c r="AS9" t="s">
        <v>9</v>
      </c>
      <c r="AT9" t="s">
        <v>9</v>
      </c>
      <c r="AU9" t="s">
        <v>6621</v>
      </c>
      <c r="AV9" t="s">
        <v>6622</v>
      </c>
      <c r="AW9" t="s">
        <v>9</v>
      </c>
      <c r="AX9" t="s">
        <v>6623</v>
      </c>
      <c r="AY9" t="s">
        <v>455</v>
      </c>
      <c r="AZ9" t="s">
        <v>456</v>
      </c>
      <c r="BA9" t="s">
        <v>457</v>
      </c>
      <c r="BB9" t="s">
        <v>458</v>
      </c>
      <c r="BC9" t="s">
        <v>459</v>
      </c>
      <c r="BD9" t="s">
        <v>460</v>
      </c>
      <c r="BE9" t="s">
        <v>461</v>
      </c>
      <c r="BF9" t="s">
        <v>462</v>
      </c>
      <c r="BG9" t="s">
        <v>463</v>
      </c>
      <c r="BH9" t="s">
        <v>6623</v>
      </c>
      <c r="BI9" t="s">
        <v>9</v>
      </c>
      <c r="BJ9" t="s">
        <v>455</v>
      </c>
      <c r="BK9" t="s">
        <v>453</v>
      </c>
      <c r="BL9" t="s">
        <v>9</v>
      </c>
      <c r="BM9" t="s">
        <v>459</v>
      </c>
      <c r="BN9" t="s">
        <v>9</v>
      </c>
      <c r="BO9" t="s">
        <v>9</v>
      </c>
      <c r="BP9" t="s">
        <v>9</v>
      </c>
      <c r="BQ9">
        <v>10.19</v>
      </c>
      <c r="BR9">
        <v>5.14</v>
      </c>
      <c r="BS9">
        <v>7.19</v>
      </c>
      <c r="BT9" t="s">
        <v>6624</v>
      </c>
      <c r="BU9" t="s">
        <v>422</v>
      </c>
      <c r="BV9" t="s">
        <v>9</v>
      </c>
      <c r="BW9" t="s">
        <v>9</v>
      </c>
      <c r="BX9" t="s">
        <v>9</v>
      </c>
      <c r="BY9">
        <v>43.69</v>
      </c>
      <c r="BZ9">
        <v>19.11</v>
      </c>
      <c r="CA9">
        <v>28.27</v>
      </c>
      <c r="CB9">
        <v>-6.24</v>
      </c>
      <c r="CC9">
        <v>-6.59</v>
      </c>
      <c r="CD9" t="s">
        <v>6625</v>
      </c>
      <c r="CE9" t="s">
        <v>6626</v>
      </c>
      <c r="CF9" s="8" t="s">
        <v>9</v>
      </c>
      <c r="CG9" s="9">
        <v>0.62070000000000003</v>
      </c>
      <c r="CH9" s="8">
        <v>0.18974761664867401</v>
      </c>
      <c r="CI9" s="8">
        <v>-0.30434250831604004</v>
      </c>
      <c r="CJ9" s="8">
        <v>-9.2137232422828674E-2</v>
      </c>
      <c r="CK9" s="8">
        <v>-1.8835239112377167E-2</v>
      </c>
      <c r="CL9" s="8">
        <v>0.10581914335489273</v>
      </c>
      <c r="CM9" s="9">
        <v>0.29290184378623962</v>
      </c>
      <c r="CN9" s="9">
        <v>-0.17076376080513</v>
      </c>
      <c r="CO9" s="9">
        <v>-0.35640093684196472</v>
      </c>
      <c r="CP9" s="9">
        <v>2.5979934260249138E-2</v>
      </c>
      <c r="CQ9" s="9">
        <v>0.20946145057678223</v>
      </c>
      <c r="CR9">
        <v>71.685178661434009</v>
      </c>
      <c r="CS9">
        <v>1.0791273804630579</v>
      </c>
      <c r="CT9" t="e">
        <v>#VALUE!</v>
      </c>
      <c r="CU9" s="8">
        <v>0.66428838670253754</v>
      </c>
      <c r="CV9" s="9">
        <v>-4.6540172725915907</v>
      </c>
      <c r="CW9">
        <v>0.06</v>
      </c>
      <c r="CX9">
        <v>7.0952801377883246</v>
      </c>
      <c r="CY9">
        <v>26911229196.303291</v>
      </c>
      <c r="CZ9">
        <v>0.66428838670253754</v>
      </c>
      <c r="DA9">
        <v>1.4755464434017955</v>
      </c>
      <c r="DB9">
        <v>129404744156.87758</v>
      </c>
      <c r="DC9">
        <v>0.63107396736741062</v>
      </c>
      <c r="DD9">
        <v>0.36301091605809582</v>
      </c>
      <c r="DE9">
        <v>525997157532.97559</v>
      </c>
      <c r="DF9">
        <v>0.58457378029823304</v>
      </c>
      <c r="DG9">
        <v>8.879737145899011E-2</v>
      </c>
      <c r="DH9">
        <v>2150319394174.6841</v>
      </c>
      <c r="DI9">
        <v>0.53143070936203007</v>
      </c>
      <c r="DJ9">
        <v>4.7702044909490333E-3</v>
      </c>
      <c r="DK9">
        <v>40028202221161.359</v>
      </c>
      <c r="DL9">
        <v>0.46500187069177623</v>
      </c>
      <c r="DM9">
        <v>17140000000</v>
      </c>
      <c r="DN9">
        <v>0.66428838670253754</v>
      </c>
      <c r="DO9">
        <v>190942710000</v>
      </c>
      <c r="DP9" t="e">
        <v>#VALUE!</v>
      </c>
      <c r="DQ9">
        <v>8</v>
      </c>
      <c r="DR9" t="e">
        <v>#VALUE!</v>
      </c>
      <c r="DS9">
        <v>5.274717272591591</v>
      </c>
      <c r="DT9" t="e">
        <v>#VALUE!</v>
      </c>
      <c r="DU9" t="e">
        <v>#VALUE!</v>
      </c>
      <c r="DV9" t="e">
        <v>#VALUE!</v>
      </c>
      <c r="DW9">
        <v>-9.9468892261001525</v>
      </c>
      <c r="DX9">
        <v>0.50215120811944858</v>
      </c>
      <c r="DY9">
        <v>-9.2292903700554429</v>
      </c>
      <c r="DZ9">
        <v>0</v>
      </c>
      <c r="EA9">
        <v>-9.2292903700554429</v>
      </c>
      <c r="EB9">
        <v>9</v>
      </c>
      <c r="EC9">
        <v>9.4068796984587231E-3</v>
      </c>
      <c r="ED9">
        <v>3.8847128884106776E-2</v>
      </c>
      <c r="EE9">
        <v>0</v>
      </c>
      <c r="EF9">
        <v>0</v>
      </c>
      <c r="EG9">
        <v>26.242151208119449</v>
      </c>
      <c r="EH9" t="s">
        <v>110</v>
      </c>
      <c r="EI9">
        <v>0</v>
      </c>
      <c r="EJ9">
        <v>0</v>
      </c>
      <c r="EK9">
        <v>0</v>
      </c>
      <c r="EL9">
        <v>0</v>
      </c>
      <c r="EM9">
        <v>0</v>
      </c>
      <c r="EN9">
        <v>0</v>
      </c>
      <c r="EO9">
        <v>0</v>
      </c>
      <c r="EP9">
        <v>0</v>
      </c>
    </row>
    <row r="10" spans="1:146" ht="96" x14ac:dyDescent="0.25">
      <c r="A10" s="7"/>
      <c r="B10" s="7"/>
      <c r="C10" s="7" t="str">
        <f>""&amp;CHAR(10)&amp;Basic_Fundamental_Information_Constructure(F10)&amp;CHAR(10)&amp;Basic_Fundamental_Information_Concatenate("")</f>
        <v xml:space="preserve">
市值1023.95335亿, 利润92.61亿; PE11.06; 平均PE46.76; 平均PEG58.98, PB.314; ROIC2.26%; ROE3.2%; 毛利42.7733%; 净利43.15%; 上一年度营收增7.9%, 利润增-29.81%, 利润增.24%; 过往5年营收增-.79%, 利润增-3.61%
Income profile:
</v>
      </c>
      <c r="D10" s="11">
        <v>12</v>
      </c>
      <c r="E10" t="s">
        <v>464</v>
      </c>
      <c r="F10">
        <v>21.15</v>
      </c>
      <c r="G10" s="5">
        <v>-9.4000000000000004E-3</v>
      </c>
      <c r="H10" t="s">
        <v>6627</v>
      </c>
      <c r="I10">
        <v>102395335000</v>
      </c>
      <c r="J10">
        <v>11.06</v>
      </c>
      <c r="K10">
        <v>0.314</v>
      </c>
      <c r="L10" t="s">
        <v>6350</v>
      </c>
      <c r="M10" t="s">
        <v>9</v>
      </c>
      <c r="N10" t="s">
        <v>9</v>
      </c>
      <c r="O10" t="s">
        <v>9</v>
      </c>
      <c r="P10" t="s">
        <v>9</v>
      </c>
      <c r="Q10" t="s">
        <v>6628</v>
      </c>
      <c r="R10">
        <v>9261000000</v>
      </c>
      <c r="S10" s="5">
        <v>2.3800000000000002E-3</v>
      </c>
      <c r="T10" t="s">
        <v>6629</v>
      </c>
      <c r="U10">
        <v>4841387000</v>
      </c>
      <c r="V10">
        <v>4841387000</v>
      </c>
      <c r="W10" t="s">
        <v>9</v>
      </c>
      <c r="X10" t="s">
        <v>9</v>
      </c>
      <c r="Y10" t="s">
        <v>9</v>
      </c>
      <c r="Z10" t="s">
        <v>9</v>
      </c>
      <c r="AA10" t="s">
        <v>9</v>
      </c>
      <c r="AB10" t="s">
        <v>9</v>
      </c>
      <c r="AC10" t="s">
        <v>9</v>
      </c>
      <c r="AD10" t="s">
        <v>9</v>
      </c>
      <c r="AE10" t="s">
        <v>9</v>
      </c>
      <c r="AF10" t="s">
        <v>9</v>
      </c>
      <c r="AG10" t="s">
        <v>9</v>
      </c>
      <c r="AH10" t="s">
        <v>6630</v>
      </c>
      <c r="AI10" t="s">
        <v>9</v>
      </c>
      <c r="AJ10" t="s">
        <v>9</v>
      </c>
      <c r="AK10" t="s">
        <v>6631</v>
      </c>
      <c r="AL10" t="s">
        <v>9</v>
      </c>
      <c r="AM10" t="s">
        <v>9</v>
      </c>
      <c r="AN10" s="5">
        <v>0.36580000000000001</v>
      </c>
      <c r="AO10" t="s">
        <v>9</v>
      </c>
      <c r="AP10" t="s">
        <v>6632</v>
      </c>
      <c r="AQ10" t="s">
        <v>9</v>
      </c>
      <c r="AR10" t="s">
        <v>6633</v>
      </c>
      <c r="AS10" t="s">
        <v>9</v>
      </c>
      <c r="AT10" t="s">
        <v>9</v>
      </c>
      <c r="AU10" t="s">
        <v>6634</v>
      </c>
      <c r="AV10" t="s">
        <v>6635</v>
      </c>
      <c r="AW10" t="s">
        <v>9</v>
      </c>
      <c r="AX10" t="s">
        <v>465</v>
      </c>
      <c r="AY10" t="s">
        <v>467</v>
      </c>
      <c r="AZ10" t="s">
        <v>468</v>
      </c>
      <c r="BA10" t="s">
        <v>469</v>
      </c>
      <c r="BB10" t="s">
        <v>470</v>
      </c>
      <c r="BC10" t="s">
        <v>471</v>
      </c>
      <c r="BD10" t="s">
        <v>472</v>
      </c>
      <c r="BE10" t="s">
        <v>473</v>
      </c>
      <c r="BF10" t="s">
        <v>474</v>
      </c>
      <c r="BG10" t="s">
        <v>475</v>
      </c>
      <c r="BH10" t="s">
        <v>465</v>
      </c>
      <c r="BI10" t="s">
        <v>9</v>
      </c>
      <c r="BJ10" t="s">
        <v>467</v>
      </c>
      <c r="BK10" t="s">
        <v>466</v>
      </c>
      <c r="BL10" t="s">
        <v>9</v>
      </c>
      <c r="BM10" t="s">
        <v>471</v>
      </c>
      <c r="BN10">
        <v>1.96</v>
      </c>
      <c r="BO10">
        <v>1.93</v>
      </c>
      <c r="BP10">
        <v>2.89</v>
      </c>
      <c r="BQ10">
        <v>2.84</v>
      </c>
      <c r="BR10">
        <v>2.82</v>
      </c>
      <c r="BS10">
        <v>3.94</v>
      </c>
      <c r="BT10" t="s">
        <v>6636</v>
      </c>
      <c r="BU10" t="s">
        <v>410</v>
      </c>
      <c r="BV10">
        <v>36.380000000000003</v>
      </c>
      <c r="BW10">
        <v>40.590000000000003</v>
      </c>
      <c r="BX10">
        <v>51.35</v>
      </c>
      <c r="BY10">
        <v>35.47</v>
      </c>
      <c r="BZ10">
        <v>37.19</v>
      </c>
      <c r="CA10">
        <v>56.79</v>
      </c>
      <c r="CB10">
        <v>-2.31</v>
      </c>
      <c r="CC10">
        <v>-10.38</v>
      </c>
      <c r="CD10" t="s">
        <v>6637</v>
      </c>
      <c r="CE10" t="s">
        <v>30</v>
      </c>
      <c r="CF10" s="8" t="s">
        <v>9</v>
      </c>
      <c r="CG10" s="9">
        <v>2.3800000000000002E-3</v>
      </c>
      <c r="CH10" s="8">
        <v>7.9018451273441315E-2</v>
      </c>
      <c r="CI10" s="8">
        <v>8.6028799414634705E-2</v>
      </c>
      <c r="CJ10" s="8">
        <v>-5.9672269970178604E-2</v>
      </c>
      <c r="CK10" s="8">
        <v>0.13820403814315796</v>
      </c>
      <c r="CL10" s="8">
        <v>-0.21380548179149628</v>
      </c>
      <c r="CM10" s="9">
        <v>-0.29814323782920837</v>
      </c>
      <c r="CN10" s="9">
        <v>0.29464283585548401</v>
      </c>
      <c r="CO10" s="9">
        <v>-0.40025889873504639</v>
      </c>
      <c r="CP10" s="9">
        <v>-0.45456880331039429</v>
      </c>
      <c r="CQ10" s="9">
        <v>1.1295408941805363E-2</v>
      </c>
      <c r="CR10">
        <v>46.762978383315577</v>
      </c>
      <c r="CS10">
        <v>58.982741028070279</v>
      </c>
      <c r="CT10" t="e">
        <v>#VALUE!</v>
      </c>
      <c r="CU10" s="8">
        <v>-7.9282477498054497E-3</v>
      </c>
      <c r="CV10" s="9">
        <v>-3.609839789569378E-2</v>
      </c>
      <c r="CW10">
        <v>0.06</v>
      </c>
      <c r="CX10">
        <v>11.05661753590325</v>
      </c>
      <c r="CY10" t="s">
        <v>6638</v>
      </c>
      <c r="CZ10">
        <v>-7.9282477498054497E-3</v>
      </c>
      <c r="DA10">
        <v>3.6855391786344169</v>
      </c>
      <c r="DB10" t="s">
        <v>6639</v>
      </c>
      <c r="DC10">
        <v>-7.5318353623151767E-3</v>
      </c>
      <c r="DD10">
        <v>1.8427695893172085</v>
      </c>
      <c r="DE10" t="s">
        <v>6640</v>
      </c>
      <c r="DF10">
        <v>-6.9768580198287956E-3</v>
      </c>
      <c r="DG10">
        <v>1.105661753590325</v>
      </c>
      <c r="DH10" t="s">
        <v>6641</v>
      </c>
      <c r="DI10">
        <v>-6.3425981998443603E-3</v>
      </c>
      <c r="DJ10">
        <v>0.55283087679516252</v>
      </c>
      <c r="DK10" t="s">
        <v>6642</v>
      </c>
      <c r="DL10">
        <v>-5.5497734248638143E-3</v>
      </c>
      <c r="DM10">
        <v>9261000000</v>
      </c>
      <c r="DN10">
        <v>-7.9282477498054497E-3</v>
      </c>
      <c r="DO10">
        <v>102395335000</v>
      </c>
      <c r="DP10" t="e">
        <v>#VALUE!</v>
      </c>
      <c r="DQ10">
        <v>9</v>
      </c>
      <c r="DR10" t="e">
        <v>#VALUE!</v>
      </c>
      <c r="DS10">
        <v>3.8478397895693781E-2</v>
      </c>
      <c r="DT10" t="e">
        <v>#VALUE!</v>
      </c>
      <c r="DU10" t="e">
        <v>#VALUE!</v>
      </c>
      <c r="DV10" t="e">
        <v>#VALUE!</v>
      </c>
      <c r="DW10">
        <v>-2.1038000000000001</v>
      </c>
      <c r="DX10">
        <v>0.34810983606557411</v>
      </c>
      <c r="DY10">
        <v>-2.0143358009836065</v>
      </c>
      <c r="DZ10">
        <v>0</v>
      </c>
      <c r="EA10">
        <v>-2.0143358009836065</v>
      </c>
      <c r="EB10">
        <v>2</v>
      </c>
      <c r="EC10">
        <v>3.4802836459882263E-3</v>
      </c>
      <c r="ED10">
        <v>2.5199390174757769E-2</v>
      </c>
      <c r="EE10">
        <v>0</v>
      </c>
      <c r="EF10">
        <v>0</v>
      </c>
      <c r="EG10">
        <v>21.138109836065574</v>
      </c>
      <c r="EH10" t="s">
        <v>110</v>
      </c>
      <c r="EI10">
        <v>0</v>
      </c>
      <c r="EJ10">
        <v>0</v>
      </c>
      <c r="EK10">
        <v>0</v>
      </c>
      <c r="EL10">
        <v>0</v>
      </c>
      <c r="EM10">
        <v>0</v>
      </c>
      <c r="EN10">
        <v>0</v>
      </c>
      <c r="EO10">
        <v>0</v>
      </c>
      <c r="EP10">
        <v>0</v>
      </c>
    </row>
    <row r="11" spans="1:146" ht="96" x14ac:dyDescent="0.25">
      <c r="A11" s="7"/>
      <c r="B11" s="7"/>
      <c r="C11" s="7" t="str">
        <f>""&amp;CHAR(10)&amp;Basic_Fundamental_Information_Constructure(F11)&amp;CHAR(10)&amp;Basic_Fundamental_Information_Concatenate("")</f>
        <v xml:space="preserve">
市值241.34036亿, 利润7.87亿; PE30.66; 平均PE23.67; 平均PEG1.99, PB4.23; ROIC-18.4867%; ROE-21.68%; 毛利36.2167%; 净利-39.7867%; 上一年度营收增96.64%, 利润增151.84%, 利润增127.9%; 过往5年营收增11.92%, 利润增34.87%
Income profile:
</v>
      </c>
      <c r="D11" s="11">
        <v>13</v>
      </c>
      <c r="E11" t="s">
        <v>476</v>
      </c>
      <c r="F11">
        <v>27.7</v>
      </c>
      <c r="G11" s="5">
        <v>-2.46E-2</v>
      </c>
      <c r="H11" t="s">
        <v>6643</v>
      </c>
      <c r="I11">
        <v>24134036000</v>
      </c>
      <c r="J11">
        <v>30.66</v>
      </c>
      <c r="K11">
        <v>4.2300000000000004</v>
      </c>
      <c r="L11" t="s">
        <v>6350</v>
      </c>
      <c r="M11" t="s">
        <v>9</v>
      </c>
      <c r="N11" t="s">
        <v>9</v>
      </c>
      <c r="O11" t="s">
        <v>9</v>
      </c>
      <c r="P11" t="s">
        <v>9</v>
      </c>
      <c r="Q11" t="s">
        <v>6644</v>
      </c>
      <c r="R11">
        <v>787192580</v>
      </c>
      <c r="S11" s="5">
        <v>1.2789999999999999</v>
      </c>
      <c r="T11" t="s">
        <v>6645</v>
      </c>
      <c r="U11">
        <v>871256270</v>
      </c>
      <c r="V11">
        <v>871256270</v>
      </c>
      <c r="W11" t="s">
        <v>9</v>
      </c>
      <c r="X11" t="s">
        <v>9</v>
      </c>
      <c r="Y11" t="s">
        <v>9</v>
      </c>
      <c r="Z11" t="s">
        <v>9</v>
      </c>
      <c r="AA11" t="s">
        <v>9</v>
      </c>
      <c r="AB11" t="s">
        <v>9</v>
      </c>
      <c r="AC11" t="s">
        <v>9</v>
      </c>
      <c r="AD11" t="s">
        <v>6646</v>
      </c>
      <c r="AE11" t="s">
        <v>9</v>
      </c>
      <c r="AF11" t="s">
        <v>9</v>
      </c>
      <c r="AG11" t="s">
        <v>9</v>
      </c>
      <c r="AH11" t="s">
        <v>6647</v>
      </c>
      <c r="AI11" t="s">
        <v>9</v>
      </c>
      <c r="AJ11" t="s">
        <v>9</v>
      </c>
      <c r="AK11" t="s">
        <v>6648</v>
      </c>
      <c r="AL11" t="s">
        <v>9</v>
      </c>
      <c r="AM11" t="s">
        <v>9</v>
      </c>
      <c r="AN11" s="5">
        <v>0.41909999999999997</v>
      </c>
      <c r="AO11" t="s">
        <v>9</v>
      </c>
      <c r="AP11" t="s">
        <v>6233</v>
      </c>
      <c r="AQ11" t="s">
        <v>9</v>
      </c>
      <c r="AR11" t="s">
        <v>6649</v>
      </c>
      <c r="AS11" t="s">
        <v>9</v>
      </c>
      <c r="AT11" t="s">
        <v>9</v>
      </c>
      <c r="AU11" t="s">
        <v>3439</v>
      </c>
      <c r="AV11" t="s">
        <v>6650</v>
      </c>
      <c r="AW11" t="s">
        <v>9</v>
      </c>
      <c r="AX11" t="s">
        <v>477</v>
      </c>
      <c r="AY11" t="s">
        <v>481</v>
      </c>
      <c r="AZ11" t="s">
        <v>482</v>
      </c>
      <c r="BA11" t="s">
        <v>484</v>
      </c>
      <c r="BB11" t="s">
        <v>485</v>
      </c>
      <c r="BC11" t="s">
        <v>486</v>
      </c>
      <c r="BD11" t="s">
        <v>487</v>
      </c>
      <c r="BE11" t="s">
        <v>9</v>
      </c>
      <c r="BF11" t="s">
        <v>9</v>
      </c>
      <c r="BG11" t="s">
        <v>9</v>
      </c>
      <c r="BH11" t="s">
        <v>477</v>
      </c>
      <c r="BI11" t="s">
        <v>9</v>
      </c>
      <c r="BJ11" t="s">
        <v>481</v>
      </c>
      <c r="BK11" t="s">
        <v>478</v>
      </c>
      <c r="BL11" t="s">
        <v>9</v>
      </c>
      <c r="BM11" t="s">
        <v>486</v>
      </c>
      <c r="BN11">
        <v>14.01</v>
      </c>
      <c r="BO11">
        <v>-43.94</v>
      </c>
      <c r="BP11">
        <v>-25.53</v>
      </c>
      <c r="BQ11">
        <v>13.8</v>
      </c>
      <c r="BR11">
        <v>-59.12</v>
      </c>
      <c r="BS11">
        <v>-19.72</v>
      </c>
      <c r="BT11" t="s">
        <v>488</v>
      </c>
      <c r="BU11" t="s">
        <v>489</v>
      </c>
      <c r="BV11">
        <v>54.12</v>
      </c>
      <c r="BW11">
        <v>27.04</v>
      </c>
      <c r="BX11">
        <v>27.49</v>
      </c>
      <c r="BY11">
        <v>12.06</v>
      </c>
      <c r="BZ11">
        <v>-84.52</v>
      </c>
      <c r="CA11">
        <v>-46.9</v>
      </c>
      <c r="CB11">
        <v>0.36</v>
      </c>
      <c r="CC11">
        <v>-19.59</v>
      </c>
      <c r="CD11" t="s">
        <v>6651</v>
      </c>
      <c r="CE11" t="s">
        <v>6652</v>
      </c>
      <c r="CF11" s="8" t="s">
        <v>9</v>
      </c>
      <c r="CG11" s="9">
        <v>1.2789999999999999</v>
      </c>
      <c r="CH11" s="8">
        <v>0.96635627746582031</v>
      </c>
      <c r="CI11" s="8">
        <v>0.19877566397190094</v>
      </c>
      <c r="CJ11" s="8">
        <v>0.57159018516540527</v>
      </c>
      <c r="CK11" s="8">
        <v>5.36673404276371E-2</v>
      </c>
      <c r="CL11" s="8">
        <v>-0.11034489423036575</v>
      </c>
      <c r="CM11" s="9">
        <v>1.5184452533721924</v>
      </c>
      <c r="CN11" s="9">
        <v>-0.55692309141159058</v>
      </c>
      <c r="CO11" s="9" t="s">
        <v>9</v>
      </c>
      <c r="CP11" s="9" t="s">
        <v>9</v>
      </c>
      <c r="CQ11" s="9" t="s">
        <v>9</v>
      </c>
      <c r="CR11">
        <v>23.668554429552142</v>
      </c>
      <c r="CS11">
        <v>1.9855094527466459</v>
      </c>
      <c r="CT11" t="e">
        <v>#VALUE!</v>
      </c>
      <c r="CU11" s="8">
        <v>0.1192064555361867</v>
      </c>
      <c r="CV11" s="9">
        <v>0.3486650913953781</v>
      </c>
      <c r="CW11">
        <v>0.06</v>
      </c>
      <c r="CX11">
        <v>29.043629143842359</v>
      </c>
      <c r="CY11">
        <v>830958000.47828186</v>
      </c>
      <c r="CZ11">
        <v>0.1192064555361867</v>
      </c>
      <c r="DA11">
        <v>9.2600991871963156</v>
      </c>
      <c r="DB11">
        <v>2606239470.2390952</v>
      </c>
      <c r="DC11">
        <v>0.11324613275937735</v>
      </c>
      <c r="DD11">
        <v>4.4091232542199696</v>
      </c>
      <c r="DE11">
        <v>5473658731.7901182</v>
      </c>
      <c r="DF11">
        <v>0.10490168087184429</v>
      </c>
      <c r="DG11">
        <v>2.5487990227353352</v>
      </c>
      <c r="DH11">
        <v>9468787371.9049416</v>
      </c>
      <c r="DI11">
        <v>9.5365164428949364E-2</v>
      </c>
      <c r="DJ11">
        <v>1.2089735868154803</v>
      </c>
      <c r="DK11">
        <v>19962417924.754429</v>
      </c>
      <c r="DL11">
        <v>8.3444518875330678E-2</v>
      </c>
      <c r="DM11">
        <v>787000000</v>
      </c>
      <c r="DN11">
        <v>0.1192064555361867</v>
      </c>
      <c r="DO11">
        <v>24134036000</v>
      </c>
      <c r="DP11" t="e">
        <v>#VALUE!</v>
      </c>
      <c r="DQ11">
        <v>10</v>
      </c>
      <c r="DR11" t="e">
        <v>#VALUE!</v>
      </c>
      <c r="DS11">
        <v>0.93033490860462176</v>
      </c>
      <c r="DT11" t="e">
        <v>#VALUE!</v>
      </c>
      <c r="DU11" t="e">
        <v>#VALUE!</v>
      </c>
      <c r="DV11" t="e">
        <v>#VALUE!</v>
      </c>
      <c r="DW11">
        <v>-3.0406011904761905</v>
      </c>
      <c r="DX11">
        <v>0.32743582775806274</v>
      </c>
      <c r="DY11">
        <v>-3.0059860701258199</v>
      </c>
      <c r="DZ11">
        <v>0</v>
      </c>
      <c r="EA11">
        <v>-3.0059860701258199</v>
      </c>
      <c r="EB11">
        <v>3</v>
      </c>
      <c r="EC11">
        <v>1.245454451650603E-2</v>
      </c>
      <c r="ED11">
        <v>8.4474341860403479E-2</v>
      </c>
      <c r="EE11">
        <v>0</v>
      </c>
      <c r="EF11">
        <v>0</v>
      </c>
      <c r="EG11">
        <v>18.147435827758063</v>
      </c>
      <c r="EH11" t="s">
        <v>110</v>
      </c>
      <c r="EI11">
        <v>0</v>
      </c>
      <c r="EJ11">
        <v>0</v>
      </c>
      <c r="EK11">
        <v>0</v>
      </c>
      <c r="EL11">
        <v>0</v>
      </c>
      <c r="EM11">
        <v>0</v>
      </c>
      <c r="EN11">
        <v>0</v>
      </c>
      <c r="EO11">
        <v>0</v>
      </c>
      <c r="EP11">
        <v>0</v>
      </c>
    </row>
    <row r="12" spans="1:146" ht="96" x14ac:dyDescent="0.25">
      <c r="A12" s="7"/>
      <c r="B12" s="7"/>
      <c r="C12" s="7" t="str">
        <f>""&amp;CHAR(10)&amp;Basic_Fundamental_Information_Constructure(F12)&amp;CHAR(10)&amp;Basic_Fundamental_Information_Concatenate("")</f>
        <v xml:space="preserve">
市值115.230323亿, 利润-8.72亿; PE; 平均PE-166.15; 平均PEG-4.43, PB.172; ROIC-.2167%; ROE-.36%; 股利率0%; 毛利83.4767%; 净利-2.2167%; 上一年度营收增-7.23%, 利润增-163.05%, 利润增24.63%; 过往5年营收增37.48%, 利润增251.51%
Income profile:
</v>
      </c>
      <c r="D12" s="11">
        <v>14</v>
      </c>
      <c r="E12" t="s">
        <v>490</v>
      </c>
      <c r="F12">
        <v>11.22</v>
      </c>
      <c r="G12" s="5">
        <v>-2.2599999999999999E-2</v>
      </c>
      <c r="H12" t="s">
        <v>6653</v>
      </c>
      <c r="I12">
        <v>11523032300</v>
      </c>
      <c r="K12">
        <v>0.17199999999999999</v>
      </c>
      <c r="L12" t="s">
        <v>6350</v>
      </c>
      <c r="M12" t="s">
        <v>9</v>
      </c>
      <c r="N12" t="s">
        <v>9</v>
      </c>
      <c r="O12" t="s">
        <v>9</v>
      </c>
      <c r="P12" t="s">
        <v>9</v>
      </c>
      <c r="Q12" t="s">
        <v>5855</v>
      </c>
      <c r="R12">
        <v>-872000000</v>
      </c>
      <c r="S12" s="5">
        <v>0.24629999999999999</v>
      </c>
      <c r="T12" t="s">
        <v>6654</v>
      </c>
      <c r="U12">
        <v>1027008220</v>
      </c>
      <c r="V12">
        <v>1027008220</v>
      </c>
      <c r="W12" t="s">
        <v>9</v>
      </c>
      <c r="X12" t="s">
        <v>9</v>
      </c>
      <c r="Y12" t="s">
        <v>9</v>
      </c>
      <c r="Z12" t="s">
        <v>9</v>
      </c>
      <c r="AA12" t="s">
        <v>9</v>
      </c>
      <c r="AB12" t="s">
        <v>9</v>
      </c>
      <c r="AC12" t="s">
        <v>9</v>
      </c>
      <c r="AD12" t="s">
        <v>9</v>
      </c>
      <c r="AE12" t="s">
        <v>9</v>
      </c>
      <c r="AF12" t="s">
        <v>9</v>
      </c>
      <c r="AG12" t="s">
        <v>9</v>
      </c>
      <c r="AH12" t="s">
        <v>6655</v>
      </c>
      <c r="AI12" t="s">
        <v>9</v>
      </c>
      <c r="AJ12" t="s">
        <v>9</v>
      </c>
      <c r="AK12" t="s">
        <v>6656</v>
      </c>
      <c r="AL12" t="s">
        <v>9</v>
      </c>
      <c r="AM12" t="s">
        <v>9</v>
      </c>
      <c r="AN12" s="5">
        <v>0.30420000000000003</v>
      </c>
      <c r="AO12" t="s">
        <v>9</v>
      </c>
      <c r="AP12" t="s">
        <v>6394</v>
      </c>
      <c r="AQ12" t="s">
        <v>9</v>
      </c>
      <c r="AR12" t="s">
        <v>3875</v>
      </c>
      <c r="AS12" t="s">
        <v>9</v>
      </c>
      <c r="AT12" t="s">
        <v>9</v>
      </c>
      <c r="AU12" t="s">
        <v>1207</v>
      </c>
      <c r="AV12" t="s">
        <v>6657</v>
      </c>
      <c r="AW12" t="s">
        <v>9</v>
      </c>
      <c r="AX12" t="s">
        <v>491</v>
      </c>
      <c r="AY12" t="s">
        <v>494</v>
      </c>
      <c r="AZ12" t="s">
        <v>495</v>
      </c>
      <c r="BA12" t="s">
        <v>496</v>
      </c>
      <c r="BB12" t="s">
        <v>497</v>
      </c>
      <c r="BC12" t="s">
        <v>498</v>
      </c>
      <c r="BD12" t="s">
        <v>499</v>
      </c>
      <c r="BE12" t="s">
        <v>500</v>
      </c>
      <c r="BF12" t="s">
        <v>501</v>
      </c>
      <c r="BG12" t="s">
        <v>502</v>
      </c>
      <c r="BH12" t="s">
        <v>491</v>
      </c>
      <c r="BI12" t="s">
        <v>9</v>
      </c>
      <c r="BJ12" t="s">
        <v>494</v>
      </c>
      <c r="BK12" t="s">
        <v>492</v>
      </c>
      <c r="BL12" t="s">
        <v>9</v>
      </c>
      <c r="BM12" t="s">
        <v>498</v>
      </c>
      <c r="BN12">
        <v>-0.92</v>
      </c>
      <c r="BO12">
        <v>-1.22</v>
      </c>
      <c r="BP12">
        <v>1.49</v>
      </c>
      <c r="BQ12">
        <v>-1.3</v>
      </c>
      <c r="BR12">
        <v>-1.65</v>
      </c>
      <c r="BS12">
        <v>1.87</v>
      </c>
      <c r="BT12" t="s">
        <v>4846</v>
      </c>
      <c r="BU12" t="s">
        <v>410</v>
      </c>
      <c r="BV12">
        <v>80.650000000000006</v>
      </c>
      <c r="BW12">
        <v>83.61</v>
      </c>
      <c r="BX12">
        <v>86.17</v>
      </c>
      <c r="BY12">
        <v>-31.96</v>
      </c>
      <c r="BZ12">
        <v>-27.43</v>
      </c>
      <c r="CA12">
        <v>52.74</v>
      </c>
      <c r="CB12">
        <v>-1.06</v>
      </c>
      <c r="CC12">
        <v>-11.23</v>
      </c>
      <c r="CD12" t="s">
        <v>6658</v>
      </c>
      <c r="CE12" t="s">
        <v>6659</v>
      </c>
      <c r="CF12" s="8" t="s">
        <v>9</v>
      </c>
      <c r="CG12" s="9">
        <v>0.24629999999999999</v>
      </c>
      <c r="CH12" s="8">
        <v>-7.2254374623298645E-2</v>
      </c>
      <c r="CI12" s="8">
        <v>-4.1019957512617111E-2</v>
      </c>
      <c r="CJ12" s="8">
        <v>-2.7493294328451157E-2</v>
      </c>
      <c r="CK12" s="8">
        <v>-4.6272430568933487E-2</v>
      </c>
      <c r="CL12" s="8">
        <v>9.6392296254634857E-2</v>
      </c>
      <c r="CM12" s="9">
        <v>-1.6305133104324341</v>
      </c>
      <c r="CN12" s="9">
        <v>1.5429917573928833</v>
      </c>
      <c r="CO12" s="9">
        <v>-1.5256965160369873</v>
      </c>
      <c r="CP12" s="9">
        <v>-0.19691692292690277</v>
      </c>
      <c r="CQ12" s="9">
        <v>0.65924090147018433</v>
      </c>
      <c r="CR12">
        <v>-166.15085132306533</v>
      </c>
      <c r="CS12">
        <v>-4.4331977382688867</v>
      </c>
      <c r="CT12">
        <v>0</v>
      </c>
      <c r="CU12" s="8">
        <v>0.37478781938552858</v>
      </c>
      <c r="CV12" s="9">
        <v>2.5151182055473327</v>
      </c>
      <c r="CW12">
        <v>0.06</v>
      </c>
      <c r="CX12" t="e">
        <v>#VALUE!</v>
      </c>
      <c r="CY12" t="s">
        <v>109</v>
      </c>
      <c r="CZ12">
        <v>0.37478781938552858</v>
      </c>
      <c r="DA12" t="e">
        <v>#VALUE!</v>
      </c>
      <c r="DB12" t="s">
        <v>108</v>
      </c>
      <c r="DC12">
        <v>0.35604842841625212</v>
      </c>
      <c r="DD12" t="e">
        <v>#VALUE!</v>
      </c>
      <c r="DE12" t="s">
        <v>108</v>
      </c>
      <c r="DF12">
        <v>0.32981328105926516</v>
      </c>
      <c r="DG12" t="e">
        <v>#VALUE!</v>
      </c>
      <c r="DH12" t="s">
        <v>108</v>
      </c>
      <c r="DI12">
        <v>0.2998302555084229</v>
      </c>
      <c r="DJ12" t="e">
        <v>#VALUE!</v>
      </c>
      <c r="DK12" t="s">
        <v>108</v>
      </c>
      <c r="DL12">
        <v>0.26235147356986999</v>
      </c>
      <c r="DM12">
        <v>-872000000.00000012</v>
      </c>
      <c r="DN12">
        <v>0.37478781938552858</v>
      </c>
      <c r="DO12">
        <v>11523032300</v>
      </c>
      <c r="DP12" t="e">
        <v>#VALUE!</v>
      </c>
      <c r="DQ12">
        <v>11</v>
      </c>
      <c r="DR12" t="e">
        <v>#VALUE!</v>
      </c>
      <c r="DS12">
        <v>-2.2688182055473325</v>
      </c>
      <c r="DT12" t="e">
        <v>#VALUE!</v>
      </c>
      <c r="DU12" t="e">
        <v>#VALUE!</v>
      </c>
      <c r="DV12" t="e">
        <v>#VALUE!</v>
      </c>
      <c r="DW12">
        <v>-2.1122999999999998</v>
      </c>
      <c r="DX12">
        <v>0.30372240920839688</v>
      </c>
      <c r="DY12">
        <v>-2.0183860265541029</v>
      </c>
      <c r="DZ12">
        <v>0</v>
      </c>
      <c r="EA12">
        <v>-2.0183860265541029</v>
      </c>
      <c r="EB12">
        <v>2</v>
      </c>
      <c r="EC12">
        <v>5.1437757723107611E-3</v>
      </c>
      <c r="ED12">
        <v>3.1417664797269103E-2</v>
      </c>
      <c r="EE12">
        <v>0</v>
      </c>
      <c r="EF12">
        <v>0</v>
      </c>
      <c r="EG12">
        <v>14.163722409208397</v>
      </c>
      <c r="EH12" t="s">
        <v>110</v>
      </c>
      <c r="EI12">
        <v>0</v>
      </c>
      <c r="EJ12">
        <v>0</v>
      </c>
      <c r="EK12">
        <v>0</v>
      </c>
      <c r="EL12">
        <v>0</v>
      </c>
      <c r="EM12">
        <v>0</v>
      </c>
      <c r="EN12">
        <v>0</v>
      </c>
      <c r="EO12">
        <v>0</v>
      </c>
      <c r="EP12">
        <v>0</v>
      </c>
    </row>
    <row r="13" spans="1:146" ht="96" x14ac:dyDescent="0.25">
      <c r="A13" s="7"/>
      <c r="B13" s="7"/>
      <c r="C13" s="7" t="str">
        <f>""&amp;CHAR(10)&amp;Basic_Fundamental_Information_Constructure(F13)&amp;CHAR(10)&amp;Basic_Fundamental_Information_Concatenate("")</f>
        <v xml:space="preserve">
市值1957.4506亿, 利润239.07亿; PE7.94; 平均PE48.05; 平均PEG3.38, PB.325; ROIC3.56%; ROE4.2367%; 毛利50.7167%; 净利33.44%; 上一年度营收增-8.43%, 利润增-10.41%, 利润增8.74%; 过往5年营收增-14.21%, 利润增-28.65%
Income profile:
</v>
      </c>
      <c r="D13" s="11">
        <v>16</v>
      </c>
      <c r="E13" t="s">
        <v>503</v>
      </c>
      <c r="F13">
        <v>67.55</v>
      </c>
      <c r="G13" s="5">
        <v>-2.7400000000000001E-2</v>
      </c>
      <c r="H13" t="s">
        <v>6660</v>
      </c>
      <c r="I13">
        <v>195745060000</v>
      </c>
      <c r="J13">
        <v>7.94</v>
      </c>
      <c r="K13">
        <v>0.32500000000000001</v>
      </c>
      <c r="L13" t="s">
        <v>6350</v>
      </c>
      <c r="M13" t="s">
        <v>9</v>
      </c>
      <c r="N13" t="s">
        <v>9</v>
      </c>
      <c r="O13" t="s">
        <v>9</v>
      </c>
      <c r="P13" t="s">
        <v>9</v>
      </c>
      <c r="Q13" t="s">
        <v>6661</v>
      </c>
      <c r="R13">
        <v>9145000000</v>
      </c>
      <c r="S13" s="5">
        <v>8.7400000000000005E-2</v>
      </c>
      <c r="T13" t="s">
        <v>6662</v>
      </c>
      <c r="U13">
        <v>2897780300</v>
      </c>
      <c r="V13">
        <v>2897780300</v>
      </c>
      <c r="W13" t="s">
        <v>9</v>
      </c>
      <c r="X13" t="s">
        <v>9</v>
      </c>
      <c r="Y13" t="s">
        <v>9</v>
      </c>
      <c r="Z13" t="s">
        <v>9</v>
      </c>
      <c r="AA13" t="s">
        <v>9</v>
      </c>
      <c r="AB13" t="s">
        <v>9</v>
      </c>
      <c r="AC13" t="s">
        <v>9</v>
      </c>
      <c r="AD13" t="s">
        <v>9</v>
      </c>
      <c r="AE13" t="s">
        <v>9</v>
      </c>
      <c r="AF13" t="s">
        <v>9</v>
      </c>
      <c r="AG13" t="s">
        <v>9</v>
      </c>
      <c r="AH13" t="s">
        <v>6663</v>
      </c>
      <c r="AI13" t="s">
        <v>9</v>
      </c>
      <c r="AJ13" t="s">
        <v>9</v>
      </c>
      <c r="AK13" t="s">
        <v>6664</v>
      </c>
      <c r="AL13" t="s">
        <v>9</v>
      </c>
      <c r="AM13" t="s">
        <v>9</v>
      </c>
      <c r="AN13" s="5">
        <v>0.25640000000000002</v>
      </c>
      <c r="AO13" t="s">
        <v>9</v>
      </c>
      <c r="AP13" t="s">
        <v>6665</v>
      </c>
      <c r="AQ13" t="s">
        <v>9</v>
      </c>
      <c r="AR13" t="s">
        <v>6666</v>
      </c>
      <c r="AS13" t="s">
        <v>9</v>
      </c>
      <c r="AT13" t="s">
        <v>9</v>
      </c>
      <c r="AU13" t="s">
        <v>6667</v>
      </c>
      <c r="AV13" t="s">
        <v>6668</v>
      </c>
      <c r="AW13" t="s">
        <v>9</v>
      </c>
      <c r="AX13" t="s">
        <v>504</v>
      </c>
      <c r="AY13" t="s">
        <v>506</v>
      </c>
      <c r="AZ13" t="s">
        <v>507</v>
      </c>
      <c r="BA13" t="s">
        <v>508</v>
      </c>
      <c r="BB13" t="s">
        <v>509</v>
      </c>
      <c r="BC13" t="s">
        <v>510</v>
      </c>
      <c r="BD13" t="s">
        <v>511</v>
      </c>
      <c r="BE13" t="s">
        <v>512</v>
      </c>
      <c r="BF13" t="s">
        <v>513</v>
      </c>
      <c r="BG13" t="s">
        <v>514</v>
      </c>
      <c r="BH13" t="s">
        <v>504</v>
      </c>
      <c r="BI13" t="s">
        <v>9</v>
      </c>
      <c r="BJ13" t="s">
        <v>506</v>
      </c>
      <c r="BK13" t="s">
        <v>505</v>
      </c>
      <c r="BL13" t="s">
        <v>9</v>
      </c>
      <c r="BM13" t="s">
        <v>510</v>
      </c>
      <c r="BN13">
        <v>3.29</v>
      </c>
      <c r="BO13">
        <v>3.56</v>
      </c>
      <c r="BP13">
        <v>3.83</v>
      </c>
      <c r="BQ13">
        <v>3.97</v>
      </c>
      <c r="BR13">
        <v>4.25</v>
      </c>
      <c r="BS13">
        <v>4.49</v>
      </c>
      <c r="BT13" t="s">
        <v>6669</v>
      </c>
      <c r="BU13" t="s">
        <v>410</v>
      </c>
      <c r="BV13">
        <v>48.4</v>
      </c>
      <c r="BW13">
        <v>51.24</v>
      </c>
      <c r="BX13">
        <v>52.51</v>
      </c>
      <c r="BY13">
        <v>34.520000000000003</v>
      </c>
      <c r="BZ13">
        <v>33.61</v>
      </c>
      <c r="CA13">
        <v>32.19</v>
      </c>
      <c r="CB13">
        <v>-4.93</v>
      </c>
      <c r="CC13">
        <v>-13.23</v>
      </c>
      <c r="CD13" t="s">
        <v>6670</v>
      </c>
      <c r="CE13" t="s">
        <v>2049</v>
      </c>
      <c r="CF13" s="8" t="s">
        <v>9</v>
      </c>
      <c r="CG13" s="9">
        <v>8.7400000000000005E-2</v>
      </c>
      <c r="CH13" s="8">
        <v>-8.4273375570774078E-2</v>
      </c>
      <c r="CI13" s="8">
        <v>-8.8140048086643219E-2</v>
      </c>
      <c r="CJ13" s="8">
        <v>3.1565655022859573E-2</v>
      </c>
      <c r="CK13" s="8">
        <v>-3.4923609346151352E-2</v>
      </c>
      <c r="CL13" s="8">
        <v>9.5093794167041779E-2</v>
      </c>
      <c r="CM13" s="9">
        <v>-0.10413695871829987</v>
      </c>
      <c r="CN13" s="9">
        <v>0.13456059992313385</v>
      </c>
      <c r="CO13" s="9">
        <v>-0.47628697752952576</v>
      </c>
      <c r="CP13" s="9">
        <v>-0.10087881237268448</v>
      </c>
      <c r="CQ13" s="9">
        <v>0.1955147385597229</v>
      </c>
      <c r="CR13">
        <v>48.049354007282247</v>
      </c>
      <c r="CS13">
        <v>3.3813789278936941</v>
      </c>
      <c r="CT13" t="e">
        <v>#VALUE!</v>
      </c>
      <c r="CU13" s="8">
        <v>-0.14209988005459309</v>
      </c>
      <c r="CV13" s="9">
        <v>-0.28651617765426635</v>
      </c>
      <c r="CW13">
        <v>0.06</v>
      </c>
      <c r="CX13">
        <v>8.1877717823231695</v>
      </c>
      <c r="CY13" t="s">
        <v>6671</v>
      </c>
      <c r="CZ13">
        <v>-0.14209988005459309</v>
      </c>
      <c r="DA13">
        <v>2.7292572607743897</v>
      </c>
      <c r="DB13" t="s">
        <v>6672</v>
      </c>
      <c r="DC13">
        <v>-0.13499488605186344</v>
      </c>
      <c r="DD13">
        <v>1.3646286303871948</v>
      </c>
      <c r="DE13" t="s">
        <v>6673</v>
      </c>
      <c r="DF13">
        <v>-0.12504789444804193</v>
      </c>
      <c r="DG13">
        <v>0.81877717823231688</v>
      </c>
      <c r="DH13" t="s">
        <v>6674</v>
      </c>
      <c r="DI13">
        <v>-0.11367990404367448</v>
      </c>
      <c r="DJ13">
        <v>0.40938858911615844</v>
      </c>
      <c r="DK13" t="s">
        <v>6675</v>
      </c>
      <c r="DL13">
        <v>-9.9469916038215159E-2</v>
      </c>
      <c r="DM13">
        <v>23907000000</v>
      </c>
      <c r="DN13">
        <v>-0.14209988005459309</v>
      </c>
      <c r="DO13">
        <v>195745060000</v>
      </c>
      <c r="DP13" t="e">
        <v>#VALUE!</v>
      </c>
      <c r="DQ13">
        <v>12</v>
      </c>
      <c r="DR13" t="e">
        <v>#VALUE!</v>
      </c>
      <c r="DS13">
        <v>0.37391617765426632</v>
      </c>
      <c r="DT13" t="e">
        <v>#VALUE!</v>
      </c>
      <c r="DU13" t="e">
        <v>#VALUE!</v>
      </c>
      <c r="DV13" t="e">
        <v>#VALUE!</v>
      </c>
      <c r="DW13">
        <v>-8.3726379440665148</v>
      </c>
      <c r="DX13">
        <v>0.70898938053097083</v>
      </c>
      <c r="DY13">
        <v>-8.0816037525334625</v>
      </c>
      <c r="DZ13">
        <v>0</v>
      </c>
      <c r="EA13">
        <v>-8.0816037525334625</v>
      </c>
      <c r="EB13">
        <v>8</v>
      </c>
      <c r="EC13">
        <v>8.5395707880269595E-3</v>
      </c>
      <c r="ED13">
        <v>3.8995364831488424E-2</v>
      </c>
      <c r="EE13">
        <v>0</v>
      </c>
      <c r="EF13">
        <v>0</v>
      </c>
      <c r="EG13">
        <v>49.218989380530971</v>
      </c>
      <c r="EH13" t="s">
        <v>110</v>
      </c>
      <c r="EI13">
        <v>0</v>
      </c>
      <c r="EJ13">
        <v>0</v>
      </c>
      <c r="EK13">
        <v>0</v>
      </c>
      <c r="EL13">
        <v>0</v>
      </c>
      <c r="EM13">
        <v>0</v>
      </c>
      <c r="EN13">
        <v>0</v>
      </c>
      <c r="EO13">
        <v>0</v>
      </c>
      <c r="EP13">
        <v>0</v>
      </c>
    </row>
    <row r="14" spans="1:146" ht="96" x14ac:dyDescent="0.25">
      <c r="A14" s="7"/>
      <c r="B14" s="7"/>
      <c r="C14" s="7" t="str">
        <f>""&amp;CHAR(10)&amp;Basic_Fundamental_Information_Constructure(F14)&amp;CHAR(10)&amp;Basic_Fundamental_Information_Concatenate("")</f>
        <v xml:space="preserve">
市值182.70757亿, 利润9.76亿; PE; 平均PE114.03; 平均PEG2.23, PB.095; ROIC.2833%; ROE.5367%; 毛利25.7833%; 净利5.83%; 上一年度营收增39.58%, 利润增-15.28%, 利润增-822.3%; 过往5年营收增51.15%, 利润增-59.91%
Income profile:
</v>
      </c>
      <c r="D14" s="11">
        <v>17</v>
      </c>
      <c r="E14" t="s">
        <v>515</v>
      </c>
      <c r="F14">
        <v>7.26</v>
      </c>
      <c r="G14" s="5">
        <v>4.1000000000000003E-3</v>
      </c>
      <c r="H14" t="s">
        <v>6676</v>
      </c>
      <c r="I14">
        <v>18270757000</v>
      </c>
      <c r="K14">
        <v>9.5000000000000001E-2</v>
      </c>
      <c r="L14" t="s">
        <v>6350</v>
      </c>
      <c r="M14" t="s">
        <v>9</v>
      </c>
      <c r="N14" t="s">
        <v>9</v>
      </c>
      <c r="O14" t="s">
        <v>9</v>
      </c>
      <c r="P14" t="s">
        <v>9</v>
      </c>
      <c r="Q14" t="s">
        <v>6677</v>
      </c>
      <c r="R14">
        <v>-7374400000</v>
      </c>
      <c r="S14" s="5">
        <v>-8.2230000000000008</v>
      </c>
      <c r="T14" t="s">
        <v>3614</v>
      </c>
      <c r="U14">
        <v>2516633200</v>
      </c>
      <c r="V14">
        <v>2516633200</v>
      </c>
      <c r="W14" t="s">
        <v>9</v>
      </c>
      <c r="X14" t="s">
        <v>9</v>
      </c>
      <c r="Y14" t="s">
        <v>9</v>
      </c>
      <c r="Z14" t="s">
        <v>9</v>
      </c>
      <c r="AA14" t="s">
        <v>9</v>
      </c>
      <c r="AB14" t="s">
        <v>9</v>
      </c>
      <c r="AC14" t="s">
        <v>9</v>
      </c>
      <c r="AD14" t="s">
        <v>9</v>
      </c>
      <c r="AE14" t="s">
        <v>9</v>
      </c>
      <c r="AF14" t="s">
        <v>9</v>
      </c>
      <c r="AG14" t="s">
        <v>9</v>
      </c>
      <c r="AH14" t="s">
        <v>6678</v>
      </c>
      <c r="AI14" t="s">
        <v>9</v>
      </c>
      <c r="AJ14" t="s">
        <v>9</v>
      </c>
      <c r="AK14" t="s">
        <v>6679</v>
      </c>
      <c r="AL14" t="s">
        <v>9</v>
      </c>
      <c r="AM14" t="s">
        <v>9</v>
      </c>
      <c r="AN14" s="5">
        <v>0.49330000000000002</v>
      </c>
      <c r="AO14" t="s">
        <v>9</v>
      </c>
      <c r="AP14" t="s">
        <v>6680</v>
      </c>
      <c r="AQ14" t="s">
        <v>9</v>
      </c>
      <c r="AR14" t="s">
        <v>6681</v>
      </c>
      <c r="AS14" t="s">
        <v>9</v>
      </c>
      <c r="AT14" t="s">
        <v>9</v>
      </c>
      <c r="AU14" t="s">
        <v>6682</v>
      </c>
      <c r="AV14" t="s">
        <v>1690</v>
      </c>
      <c r="AW14" t="s">
        <v>9</v>
      </c>
      <c r="AX14" t="s">
        <v>516</v>
      </c>
      <c r="AY14" t="s">
        <v>518</v>
      </c>
      <c r="AZ14" t="s">
        <v>519</v>
      </c>
      <c r="BA14" t="s">
        <v>520</v>
      </c>
      <c r="BB14" t="s">
        <v>521</v>
      </c>
      <c r="BC14" t="s">
        <v>6683</v>
      </c>
      <c r="BD14" t="s">
        <v>523</v>
      </c>
      <c r="BE14" t="s">
        <v>524</v>
      </c>
      <c r="BF14" t="s">
        <v>525</v>
      </c>
      <c r="BG14" t="s">
        <v>526</v>
      </c>
      <c r="BH14" t="s">
        <v>516</v>
      </c>
      <c r="BI14" t="s">
        <v>9</v>
      </c>
      <c r="BJ14" t="s">
        <v>518</v>
      </c>
      <c r="BK14" t="s">
        <v>517</v>
      </c>
      <c r="BL14" t="s">
        <v>9</v>
      </c>
      <c r="BM14" t="s">
        <v>6683</v>
      </c>
      <c r="BN14">
        <v>0.25</v>
      </c>
      <c r="BO14">
        <v>0.31</v>
      </c>
      <c r="BP14">
        <v>0.28999999999999998</v>
      </c>
      <c r="BQ14">
        <v>0.5</v>
      </c>
      <c r="BR14">
        <v>0.59</v>
      </c>
      <c r="BS14">
        <v>0.52</v>
      </c>
      <c r="BT14" t="s">
        <v>6684</v>
      </c>
      <c r="BU14" t="s">
        <v>410</v>
      </c>
      <c r="BV14">
        <v>22.53</v>
      </c>
      <c r="BW14">
        <v>26.75</v>
      </c>
      <c r="BX14">
        <v>28.07</v>
      </c>
      <c r="BY14">
        <v>4.29</v>
      </c>
      <c r="BZ14">
        <v>6.31</v>
      </c>
      <c r="CA14">
        <v>6.89</v>
      </c>
      <c r="CB14">
        <v>-3.2</v>
      </c>
      <c r="CC14">
        <v>-20.39</v>
      </c>
      <c r="CD14" t="s">
        <v>6685</v>
      </c>
      <c r="CE14" t="s">
        <v>67</v>
      </c>
      <c r="CF14" s="8" t="s">
        <v>9</v>
      </c>
      <c r="CG14" s="9">
        <v>-8.2230000000000008</v>
      </c>
      <c r="CH14" s="8">
        <v>0.39583370089530945</v>
      </c>
      <c r="CI14" s="8">
        <v>-2.9312455444596708E-4</v>
      </c>
      <c r="CJ14" s="8">
        <v>0.15633471310138702</v>
      </c>
      <c r="CK14" s="8">
        <v>-2.7698568999767303E-2</v>
      </c>
      <c r="CL14" s="8">
        <v>7.1694724261760712E-2</v>
      </c>
      <c r="CM14" s="9">
        <v>-0.1527777761220932</v>
      </c>
      <c r="CN14" s="9">
        <v>5.1094889640808105E-2</v>
      </c>
      <c r="CO14" s="9">
        <v>-0.9396476149559021</v>
      </c>
      <c r="CP14" s="9">
        <v>-0.22186988592147827</v>
      </c>
      <c r="CQ14" s="9">
        <v>2.0403854846954346</v>
      </c>
      <c r="CR14">
        <v>114.02549272220476</v>
      </c>
      <c r="CS14">
        <v>2.2293509159560347</v>
      </c>
      <c r="CT14" t="e">
        <v>#VALUE!</v>
      </c>
      <c r="CU14" s="8">
        <v>0.51147395372390747</v>
      </c>
      <c r="CV14" s="9">
        <v>-0.59913003444671631</v>
      </c>
      <c r="CW14">
        <v>0.06</v>
      </c>
      <c r="CX14">
        <v>13.128403658916696</v>
      </c>
      <c r="CY14">
        <v>1391696772.485409</v>
      </c>
      <c r="CZ14">
        <v>0.51147395372390747</v>
      </c>
      <c r="DA14">
        <v>3.058145139636351</v>
      </c>
      <c r="DB14">
        <v>5974457118.8575459</v>
      </c>
      <c r="DC14">
        <v>0.48590025603771209</v>
      </c>
      <c r="DD14">
        <v>0.90662622777305502</v>
      </c>
      <c r="DE14">
        <v>20152469055.388393</v>
      </c>
      <c r="DF14">
        <v>0.45009707927703857</v>
      </c>
      <c r="DG14">
        <v>0.28558310753956728</v>
      </c>
      <c r="DH14">
        <v>63977022861.790253</v>
      </c>
      <c r="DI14">
        <v>0.40917916297912599</v>
      </c>
      <c r="DJ14">
        <v>2.9150685647274559E-2</v>
      </c>
      <c r="DK14">
        <v>626769374177.93542</v>
      </c>
      <c r="DL14">
        <v>0.35803176760673522</v>
      </c>
      <c r="DM14">
        <v>976000000</v>
      </c>
      <c r="DN14">
        <v>0.51147395372390747</v>
      </c>
      <c r="DO14">
        <v>18270757000</v>
      </c>
      <c r="DP14" t="e">
        <v>#VALUE!</v>
      </c>
      <c r="DQ14">
        <v>13</v>
      </c>
      <c r="DR14" t="e">
        <v>#VALUE!</v>
      </c>
      <c r="DS14">
        <v>-7.6238699655532844</v>
      </c>
      <c r="DT14" t="e">
        <v>#VALUE!</v>
      </c>
      <c r="DU14" t="e">
        <v>#VALUE!</v>
      </c>
      <c r="DV14" t="e">
        <v>#VALUE!</v>
      </c>
      <c r="DW14">
        <v>-8.156939676311918</v>
      </c>
      <c r="DX14">
        <v>0.37765733333333401</v>
      </c>
      <c r="DY14">
        <v>-8.0294508811508916</v>
      </c>
      <c r="DZ14">
        <v>0</v>
      </c>
      <c r="EA14">
        <v>-8.0294508811508916</v>
      </c>
      <c r="EB14">
        <v>8</v>
      </c>
      <c r="EC14">
        <v>1.6777534366152366E-2</v>
      </c>
      <c r="ED14">
        <v>8.9405162420967826E-2</v>
      </c>
      <c r="EE14">
        <v>0</v>
      </c>
      <c r="EF14">
        <v>0</v>
      </c>
      <c r="EG14">
        <v>19.187657333333334</v>
      </c>
      <c r="EH14" t="s">
        <v>110</v>
      </c>
      <c r="EI14">
        <v>0</v>
      </c>
      <c r="EJ14">
        <v>0</v>
      </c>
      <c r="EK14">
        <v>0</v>
      </c>
      <c r="EL14">
        <v>0</v>
      </c>
      <c r="EM14">
        <v>0</v>
      </c>
      <c r="EN14">
        <v>0</v>
      </c>
      <c r="EO14">
        <v>0</v>
      </c>
      <c r="EP14">
        <v>0</v>
      </c>
    </row>
    <row r="15" spans="1:146" ht="96" x14ac:dyDescent="0.25">
      <c r="A15" s="7"/>
      <c r="B15" s="7"/>
      <c r="C15" s="7" t="str">
        <f>""&amp;CHAR(10)&amp;Basic_Fundamental_Information_Constructure(F15)&amp;CHAR(10)&amp;Basic_Fundamental_Information_Concatenate("")</f>
        <v xml:space="preserve">
市值973.03061亿, 利润288.53亿; PE3.37; 平均PE18.97; 平均PEG1.98, PB.363; ROIC3.66%; ROE4.5467%; 毛利37.6%; 净利14.62%; 上一年度营收增3.41%, 利润增759.49%, 利润增587.8%; 过往5年营收增-9.6%, 利润增3.23%
Income profile:
</v>
      </c>
      <c r="D15" s="11">
        <v>19</v>
      </c>
      <c r="E15" t="s">
        <v>528</v>
      </c>
      <c r="F15">
        <v>69.099999999999994</v>
      </c>
      <c r="G15" s="5">
        <v>4.4000000000000003E-3</v>
      </c>
      <c r="H15" t="s">
        <v>6686</v>
      </c>
      <c r="I15">
        <v>97303061000</v>
      </c>
      <c r="J15">
        <v>3.37</v>
      </c>
      <c r="K15">
        <v>0.36299999999999999</v>
      </c>
      <c r="L15" t="s">
        <v>6350</v>
      </c>
      <c r="M15" t="s">
        <v>9</v>
      </c>
      <c r="N15" t="s">
        <v>9</v>
      </c>
      <c r="O15" t="s">
        <v>9</v>
      </c>
      <c r="P15" t="s">
        <v>9</v>
      </c>
      <c r="Q15" t="s">
        <v>6687</v>
      </c>
      <c r="R15">
        <v>28853000000</v>
      </c>
      <c r="S15" s="5">
        <v>5.8780000000000001</v>
      </c>
      <c r="T15" t="s">
        <v>6688</v>
      </c>
      <c r="U15">
        <v>841371000</v>
      </c>
      <c r="V15">
        <v>1422459500</v>
      </c>
      <c r="W15" t="s">
        <v>9</v>
      </c>
      <c r="X15" t="s">
        <v>9</v>
      </c>
      <c r="Y15" t="s">
        <v>9</v>
      </c>
      <c r="Z15" t="s">
        <v>9</v>
      </c>
      <c r="AA15" t="s">
        <v>9</v>
      </c>
      <c r="AB15" t="s">
        <v>9</v>
      </c>
      <c r="AC15" t="s">
        <v>9</v>
      </c>
      <c r="AD15" t="s">
        <v>9</v>
      </c>
      <c r="AE15" t="s">
        <v>9</v>
      </c>
      <c r="AF15" t="s">
        <v>9</v>
      </c>
      <c r="AG15" t="s">
        <v>9</v>
      </c>
      <c r="AH15" t="s">
        <v>6689</v>
      </c>
      <c r="AI15" t="s">
        <v>9</v>
      </c>
      <c r="AJ15" t="s">
        <v>9</v>
      </c>
      <c r="AK15" t="s">
        <v>6690</v>
      </c>
      <c r="AL15" t="s">
        <v>9</v>
      </c>
      <c r="AM15" t="s">
        <v>9</v>
      </c>
      <c r="AN15" s="5">
        <v>0.2747</v>
      </c>
      <c r="AO15" t="s">
        <v>9</v>
      </c>
      <c r="AP15" t="s">
        <v>6691</v>
      </c>
      <c r="AQ15" t="s">
        <v>9</v>
      </c>
      <c r="AR15" t="s">
        <v>6692</v>
      </c>
      <c r="AS15" t="s">
        <v>9</v>
      </c>
      <c r="AT15" t="s">
        <v>9</v>
      </c>
      <c r="AU15" t="s">
        <v>6693</v>
      </c>
      <c r="AV15" t="s">
        <v>6694</v>
      </c>
      <c r="AW15" t="s">
        <v>9</v>
      </c>
      <c r="AX15" t="s">
        <v>529</v>
      </c>
      <c r="AY15" t="s">
        <v>531</v>
      </c>
      <c r="AZ15" t="s">
        <v>532</v>
      </c>
      <c r="BA15" t="s">
        <v>533</v>
      </c>
      <c r="BB15" t="s">
        <v>534</v>
      </c>
      <c r="BC15" t="s">
        <v>6695</v>
      </c>
      <c r="BD15" t="s">
        <v>535</v>
      </c>
      <c r="BE15" t="s">
        <v>536</v>
      </c>
      <c r="BF15" t="s">
        <v>537</v>
      </c>
      <c r="BG15" t="s">
        <v>538</v>
      </c>
      <c r="BH15" t="s">
        <v>529</v>
      </c>
      <c r="BI15" t="s">
        <v>9</v>
      </c>
      <c r="BJ15" t="s">
        <v>531</v>
      </c>
      <c r="BK15" t="s">
        <v>530</v>
      </c>
      <c r="BL15" t="s">
        <v>9</v>
      </c>
      <c r="BM15" t="s">
        <v>6695</v>
      </c>
      <c r="BN15">
        <v>8.68</v>
      </c>
      <c r="BO15">
        <v>1.28</v>
      </c>
      <c r="BP15">
        <v>1.02</v>
      </c>
      <c r="BQ15">
        <v>10.76</v>
      </c>
      <c r="BR15">
        <v>1.62</v>
      </c>
      <c r="BS15">
        <v>1.26</v>
      </c>
      <c r="BT15" t="s">
        <v>6696</v>
      </c>
      <c r="BU15" t="s">
        <v>377</v>
      </c>
      <c r="BV15">
        <v>37.07</v>
      </c>
      <c r="BW15">
        <v>37.450000000000003</v>
      </c>
      <c r="BX15">
        <v>38.28</v>
      </c>
      <c r="BY15">
        <v>31.47</v>
      </c>
      <c r="BZ15">
        <v>6.84</v>
      </c>
      <c r="CA15">
        <v>5.55</v>
      </c>
      <c r="CB15">
        <v>0.22</v>
      </c>
      <c r="CC15">
        <v>-0.28999999999999998</v>
      </c>
      <c r="CD15" t="s">
        <v>6697</v>
      </c>
      <c r="CE15" t="s">
        <v>6698</v>
      </c>
      <c r="CF15" s="8" t="s">
        <v>9</v>
      </c>
      <c r="CG15" s="9">
        <v>5.8780000000000001</v>
      </c>
      <c r="CH15" s="8">
        <v>3.4135643392801285E-2</v>
      </c>
      <c r="CI15" s="8">
        <v>-1.2301369570195675E-2</v>
      </c>
      <c r="CJ15" s="8">
        <v>0.15995900332927704</v>
      </c>
      <c r="CK15" s="8">
        <v>-5.4050583392381668E-2</v>
      </c>
      <c r="CL15" s="8">
        <v>5.3768310695886612E-2</v>
      </c>
      <c r="CM15" s="9">
        <v>7.594876766204834</v>
      </c>
      <c r="CN15" s="9">
        <v>1.3052095174789429</v>
      </c>
      <c r="CO15" s="9">
        <v>-2.2211613655090332</v>
      </c>
      <c r="CP15" s="9">
        <v>-0.61881589889526367</v>
      </c>
      <c r="CQ15" s="9">
        <v>-9.3632489442825317E-2</v>
      </c>
      <c r="CR15">
        <v>18.967458284600394</v>
      </c>
      <c r="CS15">
        <v>1.976540104670427</v>
      </c>
      <c r="CT15" t="e">
        <v>#VALUE!</v>
      </c>
      <c r="CU15" s="8">
        <v>-9.5962931588292125E-2</v>
      </c>
      <c r="CV15" s="9">
        <v>3.2334022596478461E-2</v>
      </c>
      <c r="CW15">
        <v>0.06</v>
      </c>
      <c r="CX15">
        <v>3.3723724049492252</v>
      </c>
      <c r="CY15" t="s">
        <v>6699</v>
      </c>
      <c r="CZ15">
        <v>-9.5962931588292125E-2</v>
      </c>
      <c r="DA15">
        <v>1.1241241349830751</v>
      </c>
      <c r="DB15" t="s">
        <v>6700</v>
      </c>
      <c r="DC15">
        <v>-9.1164785008877508E-2</v>
      </c>
      <c r="DD15">
        <v>0.56206206749153753</v>
      </c>
      <c r="DE15" t="s">
        <v>6701</v>
      </c>
      <c r="DF15">
        <v>-8.4447379797697064E-2</v>
      </c>
      <c r="DG15">
        <v>0.33723724049492254</v>
      </c>
      <c r="DH15" t="s">
        <v>6702</v>
      </c>
      <c r="DI15">
        <v>-7.67703452706337E-2</v>
      </c>
      <c r="DJ15">
        <v>0.16861862024746127</v>
      </c>
      <c r="DK15" t="s">
        <v>6703</v>
      </c>
      <c r="DL15">
        <v>-6.717405211180448E-2</v>
      </c>
      <c r="DM15">
        <v>28852999999.999996</v>
      </c>
      <c r="DN15">
        <v>-9.5962931588292125E-2</v>
      </c>
      <c r="DO15">
        <v>97303061000</v>
      </c>
      <c r="DP15" t="e">
        <v>#VALUE!</v>
      </c>
      <c r="DQ15">
        <v>14</v>
      </c>
      <c r="DR15" t="e">
        <v>#VALUE!</v>
      </c>
      <c r="DS15">
        <v>5.845665977403522</v>
      </c>
      <c r="DT15" t="e">
        <v>#VALUE!</v>
      </c>
      <c r="DU15" t="e">
        <v>#VALUE!</v>
      </c>
      <c r="DV15" t="e">
        <v>#VALUE!</v>
      </c>
      <c r="DW15">
        <v>-2.8999999999999998E-3</v>
      </c>
      <c r="DX15">
        <v>0.48442563103317116</v>
      </c>
      <c r="DY15">
        <v>-5.9283432999619246E-4</v>
      </c>
      <c r="DZ15">
        <v>0</v>
      </c>
      <c r="EA15">
        <v>-5.9283432999619246E-4</v>
      </c>
      <c r="EB15">
        <v>0</v>
      </c>
      <c r="EC15">
        <v>6.4166326000845717E-3</v>
      </c>
      <c r="ED15">
        <v>3.1388591379930324E-2</v>
      </c>
      <c r="EE15">
        <v>0</v>
      </c>
      <c r="EF15">
        <v>0</v>
      </c>
      <c r="EG15">
        <v>28.204425631033171</v>
      </c>
      <c r="EH15" t="s">
        <v>110</v>
      </c>
      <c r="EI15">
        <v>0</v>
      </c>
      <c r="EJ15">
        <v>0</v>
      </c>
      <c r="EK15">
        <v>0</v>
      </c>
      <c r="EL15">
        <v>0</v>
      </c>
      <c r="EM15">
        <v>0</v>
      </c>
      <c r="EN15">
        <v>0</v>
      </c>
      <c r="EO15">
        <v>0</v>
      </c>
      <c r="EP15">
        <v>0</v>
      </c>
    </row>
    <row r="16" spans="1:146" ht="96" x14ac:dyDescent="0.25">
      <c r="A16" s="7"/>
      <c r="B16" s="7"/>
      <c r="C16" s="7" t="str">
        <f>""&amp;CHAR(10)&amp;Basic_Fundamental_Information_Constructure(F16)&amp;CHAR(10)&amp;Basic_Fundamental_Information_Concatenate("")</f>
        <v xml:space="preserve">
市值448.4836亿, 利润-70.60亿; PE; 平均PE-38.29; 平均PEG-11.93, PB1.77; ROIC-107.24%; ROE-34.14%; 股利率0%; 毛利60.1833%; 净利-238.7067%; 上一年度营收增-13.11%, 利润增66.36%, 利润增-3.53%; 过往5年营收增3.21%, 利润增33.72%
Income profile:
</v>
      </c>
      <c r="D16" s="11">
        <v>20</v>
      </c>
      <c r="E16" t="s">
        <v>539</v>
      </c>
      <c r="F16">
        <v>1.34</v>
      </c>
      <c r="G16" s="5">
        <v>-4.2900000000000001E-2</v>
      </c>
      <c r="H16" t="s">
        <v>1968</v>
      </c>
      <c r="I16">
        <v>44848360000</v>
      </c>
      <c r="K16">
        <v>1.77</v>
      </c>
      <c r="L16" t="s">
        <v>6350</v>
      </c>
      <c r="M16" t="s">
        <v>9</v>
      </c>
      <c r="N16" t="s">
        <v>9</v>
      </c>
      <c r="O16" t="s">
        <v>9</v>
      </c>
      <c r="P16" t="s">
        <v>9</v>
      </c>
      <c r="Q16" t="s">
        <v>6704</v>
      </c>
      <c r="R16">
        <v>-7059702300</v>
      </c>
      <c r="S16" s="5">
        <v>-3.5299999999999998E-2</v>
      </c>
      <c r="T16" t="s">
        <v>6705</v>
      </c>
      <c r="U16">
        <v>33468925000</v>
      </c>
      <c r="V16">
        <v>33468925000</v>
      </c>
      <c r="W16" t="s">
        <v>9</v>
      </c>
      <c r="X16" t="s">
        <v>9</v>
      </c>
      <c r="Y16" t="s">
        <v>9</v>
      </c>
      <c r="Z16" t="s">
        <v>9</v>
      </c>
      <c r="AA16" t="s">
        <v>9</v>
      </c>
      <c r="AB16" t="s">
        <v>9</v>
      </c>
      <c r="AC16" t="s">
        <v>9</v>
      </c>
      <c r="AD16" t="s">
        <v>6706</v>
      </c>
      <c r="AE16" t="s">
        <v>9</v>
      </c>
      <c r="AF16" t="s">
        <v>9</v>
      </c>
      <c r="AG16" t="s">
        <v>9</v>
      </c>
      <c r="AH16" t="s">
        <v>6707</v>
      </c>
      <c r="AI16" t="s">
        <v>9</v>
      </c>
      <c r="AJ16" t="s">
        <v>9</v>
      </c>
      <c r="AK16" t="s">
        <v>6708</v>
      </c>
      <c r="AL16" t="s">
        <v>9</v>
      </c>
      <c r="AM16" t="s">
        <v>9</v>
      </c>
      <c r="AN16" s="5">
        <v>0.2959</v>
      </c>
      <c r="AO16" t="s">
        <v>9</v>
      </c>
      <c r="AP16" t="s">
        <v>3615</v>
      </c>
      <c r="AQ16" t="s">
        <v>9</v>
      </c>
      <c r="AR16" t="s">
        <v>1713</v>
      </c>
      <c r="AS16" t="s">
        <v>9</v>
      </c>
      <c r="AT16" t="s">
        <v>9</v>
      </c>
      <c r="AU16" t="s">
        <v>6709</v>
      </c>
      <c r="AV16" t="s">
        <v>6710</v>
      </c>
      <c r="AW16" t="s">
        <v>9</v>
      </c>
      <c r="AX16" t="s">
        <v>540</v>
      </c>
      <c r="AY16" t="s">
        <v>544</v>
      </c>
      <c r="AZ16" t="s">
        <v>545</v>
      </c>
      <c r="BA16" t="s">
        <v>546</v>
      </c>
      <c r="BB16" t="s">
        <v>547</v>
      </c>
      <c r="BC16" t="s">
        <v>548</v>
      </c>
      <c r="BD16" t="s">
        <v>549</v>
      </c>
      <c r="BE16" t="s">
        <v>9</v>
      </c>
      <c r="BF16" t="s">
        <v>9</v>
      </c>
      <c r="BG16" t="s">
        <v>9</v>
      </c>
      <c r="BH16" t="s">
        <v>540</v>
      </c>
      <c r="BI16" t="s">
        <v>9</v>
      </c>
      <c r="BJ16" t="s">
        <v>544</v>
      </c>
      <c r="BK16" t="s">
        <v>541</v>
      </c>
      <c r="BL16" t="s">
        <v>9</v>
      </c>
      <c r="BM16" t="s">
        <v>548</v>
      </c>
      <c r="BN16">
        <v>-21.53</v>
      </c>
      <c r="BO16">
        <v>-18.760000000000002</v>
      </c>
      <c r="BP16">
        <v>-281.43</v>
      </c>
      <c r="BQ16">
        <v>-27.81</v>
      </c>
      <c r="BR16">
        <v>-20.87</v>
      </c>
      <c r="BS16">
        <v>-53.74</v>
      </c>
      <c r="BT16" t="s">
        <v>550</v>
      </c>
      <c r="BU16" t="s">
        <v>551</v>
      </c>
      <c r="BV16">
        <v>44.07</v>
      </c>
      <c r="BW16">
        <v>66.75</v>
      </c>
      <c r="BX16">
        <v>69.73</v>
      </c>
      <c r="BY16">
        <v>-190.69</v>
      </c>
      <c r="BZ16">
        <v>-159.97999999999999</v>
      </c>
      <c r="CA16">
        <v>-365.45</v>
      </c>
      <c r="CB16">
        <v>1.52</v>
      </c>
      <c r="CC16">
        <v>-7.59</v>
      </c>
      <c r="CD16" t="s">
        <v>4299</v>
      </c>
      <c r="CE16" t="s">
        <v>6711</v>
      </c>
      <c r="CF16" s="8" t="s">
        <v>9</v>
      </c>
      <c r="CG16" s="9">
        <v>-3.5299999999999998E-2</v>
      </c>
      <c r="CH16" s="8">
        <v>-0.13105215132236481</v>
      </c>
      <c r="CI16" s="8">
        <v>-0.25351864099502563</v>
      </c>
      <c r="CJ16" s="8">
        <v>0.40126606822013855</v>
      </c>
      <c r="CK16" s="8">
        <v>0.9464455246925354</v>
      </c>
      <c r="CL16" s="8">
        <v>-0.97026205062866211</v>
      </c>
      <c r="CM16" s="9">
        <v>0.66361731290817261</v>
      </c>
      <c r="CN16" s="9">
        <v>-0.4483473002910614</v>
      </c>
      <c r="CO16" s="9" t="s">
        <v>9</v>
      </c>
      <c r="CP16" s="9" t="s">
        <v>9</v>
      </c>
      <c r="CQ16" s="9" t="s">
        <v>9</v>
      </c>
      <c r="CR16">
        <v>-38.293283227778197</v>
      </c>
      <c r="CS16">
        <v>-11.926145943285681</v>
      </c>
      <c r="CT16">
        <v>0</v>
      </c>
      <c r="CU16" s="8">
        <v>3.2108682394027713E-2</v>
      </c>
      <c r="CV16" s="9">
        <v>0.33721802681684493</v>
      </c>
      <c r="CW16">
        <v>0.06</v>
      </c>
      <c r="CX16" t="e">
        <v>#VALUE!</v>
      </c>
      <c r="CY16" t="s">
        <v>109</v>
      </c>
      <c r="CZ16">
        <v>3.2108682394027713E-2</v>
      </c>
      <c r="DA16" t="e">
        <v>#VALUE!</v>
      </c>
      <c r="DB16" t="s">
        <v>108</v>
      </c>
      <c r="DC16">
        <v>3.0503248274326326E-2</v>
      </c>
      <c r="DD16" t="e">
        <v>#VALUE!</v>
      </c>
      <c r="DE16" t="s">
        <v>108</v>
      </c>
      <c r="DF16">
        <v>2.8255640506744388E-2</v>
      </c>
      <c r="DG16" t="e">
        <v>#VALUE!</v>
      </c>
      <c r="DH16" t="s">
        <v>108</v>
      </c>
      <c r="DI16">
        <v>2.5686945915222172E-2</v>
      </c>
      <c r="DJ16" t="e">
        <v>#VALUE!</v>
      </c>
      <c r="DK16" t="s">
        <v>108</v>
      </c>
      <c r="DL16">
        <v>2.2476077675819398E-2</v>
      </c>
      <c r="DM16">
        <v>-7059999999.999999</v>
      </c>
      <c r="DN16">
        <v>3.2108682394027713E-2</v>
      </c>
      <c r="DO16">
        <v>44848360000</v>
      </c>
      <c r="DP16" t="e">
        <v>#VALUE!</v>
      </c>
      <c r="DQ16">
        <v>15</v>
      </c>
      <c r="DR16" t="e">
        <v>#VALUE!</v>
      </c>
      <c r="DS16">
        <v>-0.37251802681684493</v>
      </c>
      <c r="DT16" t="e">
        <v>#VALUE!</v>
      </c>
      <c r="DU16" t="e">
        <v>#VALUE!</v>
      </c>
      <c r="DV16" t="e">
        <v>#VALUE!</v>
      </c>
      <c r="DW16">
        <v>-2.0758999999999999</v>
      </c>
      <c r="DX16">
        <v>0.31808240034832053</v>
      </c>
      <c r="DY16">
        <v>-2.0104804541864376</v>
      </c>
      <c r="DZ16">
        <v>0</v>
      </c>
      <c r="EA16">
        <v>-2.0104804541864376</v>
      </c>
      <c r="EB16">
        <v>2</v>
      </c>
      <c r="EC16">
        <v>7.8012663986070666E-2</v>
      </c>
      <c r="ED16">
        <v>0.5649718358148641</v>
      </c>
      <c r="EE16">
        <v>0</v>
      </c>
      <c r="EF16">
        <v>0</v>
      </c>
      <c r="EG16">
        <v>18.138082400348321</v>
      </c>
      <c r="EH16" t="s">
        <v>110</v>
      </c>
      <c r="EI16">
        <v>0</v>
      </c>
      <c r="EJ16">
        <v>0</v>
      </c>
      <c r="EK16">
        <v>0</v>
      </c>
      <c r="EL16">
        <v>0</v>
      </c>
      <c r="EM16">
        <v>0</v>
      </c>
      <c r="EN16">
        <v>0</v>
      </c>
      <c r="EO16">
        <v>0</v>
      </c>
      <c r="EP16">
        <v>0</v>
      </c>
    </row>
    <row r="17" spans="1:146" ht="96" x14ac:dyDescent="0.25">
      <c r="A17" s="7"/>
      <c r="B17" s="7"/>
      <c r="C17" s="7" t="str">
        <f>""&amp;CHAR(10)&amp;Basic_Fundamental_Information_Constructure(F17)&amp;CHAR(10)&amp;Basic_Fundamental_Information_Concatenate("")</f>
        <v xml:space="preserve">
市值1602.9196亿, 利润68.28亿; PE23.48; 平均PE95.73; 平均PEG59.38, PB2.27; ROIC2.1867%; ROE2.0733%; 股利率0%; 毛利90.1167%; 净利-1.2967%; 上一年度营收增173.8%, 利润增414.93%, 利润增298.8%; 过往5年营收增-1.61%, 利润增15.6%
Income profile:
</v>
      </c>
      <c r="D17" s="11">
        <v>27</v>
      </c>
      <c r="E17" t="s">
        <v>555</v>
      </c>
      <c r="F17">
        <v>36.65</v>
      </c>
      <c r="G17" s="5">
        <v>-1.7399999999999999E-2</v>
      </c>
      <c r="H17" t="s">
        <v>6712</v>
      </c>
      <c r="I17">
        <v>160291960000</v>
      </c>
      <c r="J17">
        <v>23.48</v>
      </c>
      <c r="K17">
        <v>2.27</v>
      </c>
      <c r="L17" t="s">
        <v>6350</v>
      </c>
      <c r="M17" t="s">
        <v>9</v>
      </c>
      <c r="N17" t="s">
        <v>9</v>
      </c>
      <c r="O17" t="s">
        <v>9</v>
      </c>
      <c r="P17" t="s">
        <v>9</v>
      </c>
      <c r="Q17" t="s">
        <v>6713</v>
      </c>
      <c r="R17">
        <v>6827956000</v>
      </c>
      <c r="S17" s="5">
        <v>2.988</v>
      </c>
      <c r="T17" t="s">
        <v>6714</v>
      </c>
      <c r="U17">
        <v>4373587000</v>
      </c>
      <c r="V17">
        <v>4373587000</v>
      </c>
      <c r="W17" t="s">
        <v>9</v>
      </c>
      <c r="X17" t="s">
        <v>9</v>
      </c>
      <c r="Y17" t="s">
        <v>9</v>
      </c>
      <c r="Z17" t="s">
        <v>9</v>
      </c>
      <c r="AA17" t="s">
        <v>9</v>
      </c>
      <c r="AB17" t="s">
        <v>9</v>
      </c>
      <c r="AC17" t="s">
        <v>9</v>
      </c>
      <c r="AD17" t="s">
        <v>9</v>
      </c>
      <c r="AE17" t="s">
        <v>9</v>
      </c>
      <c r="AF17" t="s">
        <v>9</v>
      </c>
      <c r="AG17" t="s">
        <v>9</v>
      </c>
      <c r="AH17" t="s">
        <v>6715</v>
      </c>
      <c r="AI17" t="s">
        <v>9</v>
      </c>
      <c r="AJ17" t="s">
        <v>9</v>
      </c>
      <c r="AK17" t="s">
        <v>6716</v>
      </c>
      <c r="AL17" t="s">
        <v>9</v>
      </c>
      <c r="AM17" t="s">
        <v>9</v>
      </c>
      <c r="AN17" s="5">
        <v>0.18340000000000001</v>
      </c>
      <c r="AO17" t="s">
        <v>9</v>
      </c>
      <c r="AP17" t="s">
        <v>6717</v>
      </c>
      <c r="AQ17" t="s">
        <v>9</v>
      </c>
      <c r="AR17" t="s">
        <v>6718</v>
      </c>
      <c r="AS17" t="s">
        <v>9</v>
      </c>
      <c r="AT17" t="s">
        <v>9</v>
      </c>
      <c r="AU17" t="s">
        <v>6719</v>
      </c>
      <c r="AV17" t="s">
        <v>6720</v>
      </c>
      <c r="AW17" t="s">
        <v>9</v>
      </c>
      <c r="AX17" t="s">
        <v>556</v>
      </c>
      <c r="AY17" t="s">
        <v>558</v>
      </c>
      <c r="AZ17" t="s">
        <v>559</v>
      </c>
      <c r="BA17" t="s">
        <v>560</v>
      </c>
      <c r="BB17" t="s">
        <v>561</v>
      </c>
      <c r="BC17" t="s">
        <v>562</v>
      </c>
      <c r="BD17" t="s">
        <v>563</v>
      </c>
      <c r="BE17" t="s">
        <v>564</v>
      </c>
      <c r="BF17" t="s">
        <v>565</v>
      </c>
      <c r="BG17" t="s">
        <v>566</v>
      </c>
      <c r="BH17" t="s">
        <v>556</v>
      </c>
      <c r="BI17" t="s">
        <v>9</v>
      </c>
      <c r="BJ17" t="s">
        <v>558</v>
      </c>
      <c r="BK17" t="s">
        <v>557</v>
      </c>
      <c r="BL17" t="s">
        <v>9</v>
      </c>
      <c r="BM17" t="s">
        <v>562</v>
      </c>
      <c r="BN17">
        <v>9.51</v>
      </c>
      <c r="BO17">
        <v>-4.7</v>
      </c>
      <c r="BP17">
        <v>1.75</v>
      </c>
      <c r="BQ17">
        <v>9.65</v>
      </c>
      <c r="BR17">
        <v>-5.37</v>
      </c>
      <c r="BS17">
        <v>1.94</v>
      </c>
      <c r="BT17" t="s">
        <v>6721</v>
      </c>
      <c r="BU17" t="s">
        <v>567</v>
      </c>
      <c r="BV17">
        <v>94.12</v>
      </c>
      <c r="BW17">
        <v>83.79</v>
      </c>
      <c r="BX17">
        <v>92.44</v>
      </c>
      <c r="BY17">
        <v>29.88</v>
      </c>
      <c r="BZ17">
        <v>-41.04</v>
      </c>
      <c r="CA17">
        <v>7.27</v>
      </c>
      <c r="CB17">
        <v>-5.78</v>
      </c>
      <c r="CC17">
        <v>-0.41</v>
      </c>
      <c r="CD17" t="s">
        <v>6722</v>
      </c>
      <c r="CE17" t="s">
        <v>818</v>
      </c>
      <c r="CF17" s="8" t="s">
        <v>9</v>
      </c>
      <c r="CG17" s="9">
        <v>2.988</v>
      </c>
      <c r="CH17" s="8">
        <v>1.7380073070526123</v>
      </c>
      <c r="CI17" s="8">
        <v>-0.35142439603805542</v>
      </c>
      <c r="CJ17" s="8">
        <v>0.54367774724960327</v>
      </c>
      <c r="CK17" s="8">
        <v>-0.7164340615272522</v>
      </c>
      <c r="CL17" s="8">
        <v>0.11073152720928192</v>
      </c>
      <c r="CM17" s="9">
        <v>4.1493215560913086</v>
      </c>
      <c r="CN17" s="9">
        <v>1.3337527513504028</v>
      </c>
      <c r="CO17" s="9">
        <v>-1.304631233215332</v>
      </c>
      <c r="CP17" s="9">
        <v>-3.4426625818014145E-2</v>
      </c>
      <c r="CQ17" s="9">
        <v>0.28589117527008057</v>
      </c>
      <c r="CR17">
        <v>95.734795938682069</v>
      </c>
      <c r="CS17">
        <v>59.377877591856105</v>
      </c>
      <c r="CT17">
        <v>0</v>
      </c>
      <c r="CU17" s="8">
        <v>-1.6122973710298538E-2</v>
      </c>
      <c r="CV17" s="9">
        <v>0.15604573786258696</v>
      </c>
      <c r="CW17">
        <v>0.06</v>
      </c>
      <c r="CX17">
        <v>23.475682483889866</v>
      </c>
      <c r="CY17" t="s">
        <v>6723</v>
      </c>
      <c r="CZ17">
        <v>-1.6122973710298538E-2</v>
      </c>
      <c r="DA17">
        <v>7.8252274946299547</v>
      </c>
      <c r="DB17" t="s">
        <v>6724</v>
      </c>
      <c r="DC17">
        <v>-1.531682502478361E-2</v>
      </c>
      <c r="DD17">
        <v>3.9126137473149774</v>
      </c>
      <c r="DE17" t="s">
        <v>6725</v>
      </c>
      <c r="DF17">
        <v>-1.4188216865062712E-2</v>
      </c>
      <c r="DG17">
        <v>2.3475682483889866</v>
      </c>
      <c r="DH17" t="s">
        <v>6726</v>
      </c>
      <c r="DI17">
        <v>-1.2898378968238831E-2</v>
      </c>
      <c r="DJ17">
        <v>1.1737841241944933</v>
      </c>
      <c r="DK17" t="s">
        <v>6727</v>
      </c>
      <c r="DL17">
        <v>-1.1286081597208975E-2</v>
      </c>
      <c r="DM17">
        <v>6828000000</v>
      </c>
      <c r="DN17">
        <v>-1.6122973710298538E-2</v>
      </c>
      <c r="DO17">
        <v>160291960000</v>
      </c>
      <c r="DP17" t="e">
        <v>#VALUE!</v>
      </c>
      <c r="DQ17">
        <v>16</v>
      </c>
      <c r="DR17" t="e">
        <v>#VALUE!</v>
      </c>
      <c r="DS17">
        <v>2.8319542621374132</v>
      </c>
      <c r="DT17" t="e">
        <v>#VALUE!</v>
      </c>
      <c r="DU17" t="e">
        <v>#VALUE!</v>
      </c>
      <c r="DV17" t="e">
        <v>#VALUE!</v>
      </c>
      <c r="DW17">
        <v>-4.070934256055363</v>
      </c>
      <c r="DX17">
        <v>0.41099060606060517</v>
      </c>
      <c r="DY17">
        <v>-4.0085823786305967</v>
      </c>
      <c r="DZ17">
        <v>0</v>
      </c>
      <c r="EA17">
        <v>-4.0085823786305967</v>
      </c>
      <c r="EB17">
        <v>4</v>
      </c>
      <c r="EC17">
        <v>9.1290970089311137E-3</v>
      </c>
      <c r="ED17">
        <v>7.5452940572578064E-2</v>
      </c>
      <c r="EE17">
        <v>0</v>
      </c>
      <c r="EF17">
        <v>0</v>
      </c>
      <c r="EG17">
        <v>29.120990606060605</v>
      </c>
      <c r="EH17" t="s">
        <v>110</v>
      </c>
      <c r="EI17">
        <v>0</v>
      </c>
      <c r="EJ17">
        <v>0</v>
      </c>
      <c r="EK17">
        <v>0</v>
      </c>
      <c r="EL17">
        <v>0</v>
      </c>
      <c r="EM17">
        <v>0</v>
      </c>
      <c r="EN17">
        <v>0</v>
      </c>
      <c r="EO17">
        <v>0</v>
      </c>
      <c r="EP17">
        <v>0</v>
      </c>
    </row>
    <row r="18" spans="1:146" ht="96" x14ac:dyDescent="0.25">
      <c r="A18" s="7"/>
      <c r="B18" s="7"/>
      <c r="C18" s="7" t="str">
        <f>""&amp;CHAR(10)&amp;Basic_Fundamental_Information_Constructure(F18)&amp;CHAR(10)&amp;Basic_Fundamental_Information_Concatenate("")</f>
        <v xml:space="preserve">
市值80.115908亿, 利润10.93亿; PE6.76; 平均PE57.35; 平均PEG2.17, PB1.02; ROIC11.4533%; ROE11.48%; 股利率0%; 毛利16.2233%; 净利6.1333%; 上一年度营收增-10.82%, 利润增103.54%; 当季营收增-4.15%, 利润增16.45%; 过往5年营收增-26.48%, 利润增-191.86%
Income profile:
</v>
      </c>
      <c r="D18" s="11">
        <v>38</v>
      </c>
      <c r="E18" t="s">
        <v>569</v>
      </c>
      <c r="F18">
        <v>7.13</v>
      </c>
      <c r="G18" s="5">
        <v>-5.5599999999999997E-2</v>
      </c>
      <c r="H18" t="s">
        <v>6728</v>
      </c>
      <c r="I18">
        <v>8011590800</v>
      </c>
      <c r="J18">
        <v>6.76</v>
      </c>
      <c r="K18">
        <v>1.02</v>
      </c>
      <c r="L18" t="s">
        <v>6350</v>
      </c>
      <c r="M18" t="s">
        <v>6729</v>
      </c>
      <c r="N18" t="s">
        <v>623</v>
      </c>
      <c r="O18" t="s">
        <v>6730</v>
      </c>
      <c r="P18">
        <v>11</v>
      </c>
      <c r="Q18" t="s">
        <v>6731</v>
      </c>
      <c r="R18">
        <v>1092936280</v>
      </c>
      <c r="S18" s="5">
        <v>0.16450000000000001</v>
      </c>
      <c r="T18" t="s">
        <v>1163</v>
      </c>
      <c r="U18">
        <v>391940000</v>
      </c>
      <c r="V18">
        <v>1123645280</v>
      </c>
      <c r="W18">
        <v>2.11</v>
      </c>
      <c r="X18">
        <v>0.32</v>
      </c>
      <c r="Y18">
        <v>15.09</v>
      </c>
      <c r="Z18" t="s">
        <v>2564</v>
      </c>
      <c r="AA18" t="s">
        <v>6732</v>
      </c>
      <c r="AB18" t="s">
        <v>6733</v>
      </c>
      <c r="AC18" t="s">
        <v>142</v>
      </c>
      <c r="AD18" t="s">
        <v>6421</v>
      </c>
      <c r="AE18" t="s">
        <v>6734</v>
      </c>
      <c r="AF18" t="s">
        <v>9</v>
      </c>
      <c r="AG18" t="s">
        <v>6735</v>
      </c>
      <c r="AH18" t="s">
        <v>6736</v>
      </c>
      <c r="AI18" t="s">
        <v>3273</v>
      </c>
      <c r="AJ18" t="s">
        <v>4200</v>
      </c>
      <c r="AK18" t="s">
        <v>6737</v>
      </c>
      <c r="AL18" t="s">
        <v>9</v>
      </c>
      <c r="AM18" t="s">
        <v>5993</v>
      </c>
      <c r="AN18" s="5">
        <v>0.49030000000000001</v>
      </c>
      <c r="AO18" t="s">
        <v>9</v>
      </c>
      <c r="AP18" t="s">
        <v>2227</v>
      </c>
      <c r="AQ18" t="s">
        <v>6738</v>
      </c>
      <c r="AR18" t="s">
        <v>6739</v>
      </c>
      <c r="AS18" t="s">
        <v>6740</v>
      </c>
      <c r="AT18" t="s">
        <v>2595</v>
      </c>
      <c r="AU18" t="s">
        <v>1493</v>
      </c>
      <c r="AV18" t="s">
        <v>6741</v>
      </c>
      <c r="AW18" t="s">
        <v>6742</v>
      </c>
      <c r="AX18" t="s">
        <v>570</v>
      </c>
      <c r="AY18" t="s">
        <v>577</v>
      </c>
      <c r="AZ18" t="s">
        <v>578</v>
      </c>
      <c r="BA18" t="s">
        <v>580</v>
      </c>
      <c r="BB18" t="s">
        <v>581</v>
      </c>
      <c r="BC18" t="s">
        <v>582</v>
      </c>
      <c r="BD18" t="s">
        <v>25</v>
      </c>
      <c r="BE18" t="s">
        <v>583</v>
      </c>
      <c r="BF18" t="s">
        <v>584</v>
      </c>
      <c r="BG18" t="s">
        <v>585</v>
      </c>
      <c r="BH18" t="s">
        <v>570</v>
      </c>
      <c r="BI18" t="s">
        <v>586</v>
      </c>
      <c r="BJ18" t="s">
        <v>577</v>
      </c>
      <c r="BK18" t="s">
        <v>571</v>
      </c>
      <c r="BL18" t="s">
        <v>587</v>
      </c>
      <c r="BM18" t="s">
        <v>582</v>
      </c>
      <c r="BN18">
        <v>15.14</v>
      </c>
      <c r="BO18">
        <v>11.29</v>
      </c>
      <c r="BP18">
        <v>7.93</v>
      </c>
      <c r="BQ18">
        <v>14.9</v>
      </c>
      <c r="BR18">
        <v>11.43</v>
      </c>
      <c r="BS18">
        <v>8.11</v>
      </c>
      <c r="BT18" t="s">
        <v>588</v>
      </c>
      <c r="BU18" t="s">
        <v>589</v>
      </c>
      <c r="BV18">
        <v>15.57</v>
      </c>
      <c r="BW18">
        <v>16.12</v>
      </c>
      <c r="BX18">
        <v>16.98</v>
      </c>
      <c r="BY18">
        <v>8.61</v>
      </c>
      <c r="BZ18">
        <v>5.13</v>
      </c>
      <c r="CA18">
        <v>4.66</v>
      </c>
      <c r="CB18">
        <v>-13.26</v>
      </c>
      <c r="CC18">
        <v>-18.399999999999999</v>
      </c>
      <c r="CD18" t="s">
        <v>6743</v>
      </c>
      <c r="CE18" t="s">
        <v>6744</v>
      </c>
      <c r="CF18" s="8">
        <v>-4.1531100478468898E-2</v>
      </c>
      <c r="CG18" s="9">
        <v>0.16450000000000001</v>
      </c>
      <c r="CH18" s="8">
        <v>-0.1082305908203125</v>
      </c>
      <c r="CI18" s="8">
        <v>0.24092459678649902</v>
      </c>
      <c r="CJ18" s="8">
        <v>0.2662215530872345</v>
      </c>
      <c r="CK18" s="8">
        <v>0.38893178105354309</v>
      </c>
      <c r="CL18" s="8">
        <v>-0.2666364312171936</v>
      </c>
      <c r="CM18" s="9">
        <v>1.0353816747665405</v>
      </c>
      <c r="CN18" s="9">
        <v>0.6077844500541687</v>
      </c>
      <c r="CO18" s="9">
        <v>3.8618025779724121</v>
      </c>
      <c r="CP18" s="9">
        <v>1.0464180707931519</v>
      </c>
      <c r="CQ18" s="9">
        <v>-22.843439102172852</v>
      </c>
      <c r="CR18">
        <v>57.351514663430997</v>
      </c>
      <c r="CS18">
        <v>2.1659016090488072</v>
      </c>
      <c r="CT18">
        <v>0</v>
      </c>
      <c r="CU18" s="8">
        <v>-0.26479279771447184</v>
      </c>
      <c r="CV18" s="9">
        <v>-1.9186394393444062</v>
      </c>
      <c r="CW18">
        <v>0.06</v>
      </c>
      <c r="CX18">
        <v>7.035307227813357</v>
      </c>
      <c r="CY18" t="s">
        <v>6745</v>
      </c>
      <c r="CZ18">
        <v>-0.26479279771447184</v>
      </c>
      <c r="DA18">
        <v>2.345102409271119</v>
      </c>
      <c r="DB18" t="s">
        <v>6746</v>
      </c>
      <c r="DC18">
        <v>-0.25155315782874821</v>
      </c>
      <c r="DD18">
        <v>1.1725512046355595</v>
      </c>
      <c r="DE18" t="s">
        <v>6747</v>
      </c>
      <c r="DF18">
        <v>-0.23301766198873522</v>
      </c>
      <c r="DG18">
        <v>0.70353072278133566</v>
      </c>
      <c r="DH18" t="s">
        <v>6748</v>
      </c>
      <c r="DI18">
        <v>-0.21183423817157748</v>
      </c>
      <c r="DJ18">
        <v>0.35176536139066783</v>
      </c>
      <c r="DK18" t="s">
        <v>6749</v>
      </c>
      <c r="DL18">
        <v>-0.18535495840013028</v>
      </c>
      <c r="DM18">
        <v>1093000000</v>
      </c>
      <c r="DN18">
        <v>-0.26479279771447184</v>
      </c>
      <c r="DO18">
        <v>7689590799.999999</v>
      </c>
      <c r="DP18" t="e">
        <v>#VALUE!</v>
      </c>
      <c r="DQ18">
        <v>17</v>
      </c>
      <c r="DR18">
        <v>0.22326169723600295</v>
      </c>
      <c r="DS18">
        <v>2.0831394393444063</v>
      </c>
      <c r="DT18">
        <v>-1.04</v>
      </c>
      <c r="DU18">
        <v>-1.0833333333333337</v>
      </c>
      <c r="DV18">
        <v>-2.123333333333334</v>
      </c>
      <c r="DW18">
        <v>-9.7206521739130434</v>
      </c>
      <c r="DX18">
        <v>0.60005034385715705</v>
      </c>
      <c r="DY18">
        <v>-9.1441667151927142</v>
      </c>
      <c r="DZ18">
        <v>0</v>
      </c>
      <c r="EA18">
        <v>-9.1441667151927142</v>
      </c>
      <c r="EB18">
        <v>9</v>
      </c>
      <c r="EC18">
        <v>1.5209426234585349E-2</v>
      </c>
      <c r="ED18">
        <v>7.6027997020554391E-2</v>
      </c>
      <c r="EE18">
        <v>0</v>
      </c>
      <c r="EF18">
        <v>0</v>
      </c>
      <c r="EG18">
        <v>40.200050343857157</v>
      </c>
      <c r="EH18" t="s">
        <v>110</v>
      </c>
      <c r="EI18">
        <v>0</v>
      </c>
      <c r="EJ18">
        <v>0</v>
      </c>
      <c r="EK18">
        <v>0</v>
      </c>
      <c r="EL18">
        <v>0</v>
      </c>
      <c r="EM18">
        <v>0</v>
      </c>
      <c r="EN18">
        <v>0</v>
      </c>
      <c r="EO18">
        <v>0</v>
      </c>
      <c r="EP18">
        <v>0</v>
      </c>
    </row>
    <row r="19" spans="1:146" ht="96" x14ac:dyDescent="0.25">
      <c r="A19" s="7"/>
      <c r="B19" s="7"/>
      <c r="C19" s="7" t="str">
        <f>""&amp;CHAR(10)&amp;Basic_Fundamental_Information_Constructure(F19)&amp;CHAR(10)&amp;Basic_Fundamental_Information_Concatenate("")</f>
        <v xml:space="preserve">
市值1513.8875亿, 利润77.84亿; PE19.45; 平均PE108.61; 平均PEG2.5, PB.849; ROIC5%; ROE5.0533%; 毛利100%; 净利18.6367%; 上一年度营收增19.18%, 利润增-18.51%, 利润增-20.79%; 过往5年营收增43.45%, 利润增42.31%
Income profile:
</v>
      </c>
      <c r="D19" s="11">
        <v>66</v>
      </c>
      <c r="E19" t="s">
        <v>590</v>
      </c>
      <c r="F19">
        <v>24.35</v>
      </c>
      <c r="G19" s="5">
        <v>-1.2200000000000001E-2</v>
      </c>
      <c r="H19" t="s">
        <v>6750</v>
      </c>
      <c r="I19">
        <v>151388750000</v>
      </c>
      <c r="J19">
        <v>19.45</v>
      </c>
      <c r="K19">
        <v>0.84899999999999998</v>
      </c>
      <c r="L19" t="s">
        <v>6350</v>
      </c>
      <c r="M19" t="s">
        <v>9</v>
      </c>
      <c r="N19" t="s">
        <v>9</v>
      </c>
      <c r="O19" t="s">
        <v>9</v>
      </c>
      <c r="P19" t="s">
        <v>9</v>
      </c>
      <c r="Q19" t="s">
        <v>6751</v>
      </c>
      <c r="R19">
        <v>7784000000</v>
      </c>
      <c r="S19" s="5">
        <v>-0.2079</v>
      </c>
      <c r="T19" t="s">
        <v>2677</v>
      </c>
      <c r="U19">
        <v>6217197300</v>
      </c>
      <c r="V19">
        <v>6217197300</v>
      </c>
      <c r="W19" t="s">
        <v>9</v>
      </c>
      <c r="X19" t="s">
        <v>9</v>
      </c>
      <c r="Y19" t="s">
        <v>9</v>
      </c>
      <c r="Z19" t="s">
        <v>9</v>
      </c>
      <c r="AA19" t="s">
        <v>9</v>
      </c>
      <c r="AB19" t="s">
        <v>9</v>
      </c>
      <c r="AC19" t="s">
        <v>9</v>
      </c>
      <c r="AD19" t="s">
        <v>1524</v>
      </c>
      <c r="AE19" t="s">
        <v>9</v>
      </c>
      <c r="AF19" t="s">
        <v>9</v>
      </c>
      <c r="AG19" t="s">
        <v>9</v>
      </c>
      <c r="AH19" t="s">
        <v>6752</v>
      </c>
      <c r="AI19" t="s">
        <v>9</v>
      </c>
      <c r="AJ19" t="s">
        <v>9</v>
      </c>
      <c r="AK19" t="s">
        <v>6753</v>
      </c>
      <c r="AL19" t="s">
        <v>9</v>
      </c>
      <c r="AM19" t="s">
        <v>9</v>
      </c>
      <c r="AN19" s="5">
        <v>0.48370000000000002</v>
      </c>
      <c r="AO19" t="s">
        <v>9</v>
      </c>
      <c r="AP19" t="s">
        <v>6754</v>
      </c>
      <c r="AQ19" t="s">
        <v>9</v>
      </c>
      <c r="AR19" t="s">
        <v>6755</v>
      </c>
      <c r="AS19" t="s">
        <v>9</v>
      </c>
      <c r="AT19" t="s">
        <v>9</v>
      </c>
      <c r="AU19" t="s">
        <v>6756</v>
      </c>
      <c r="AV19" t="s">
        <v>6757</v>
      </c>
      <c r="AW19" t="s">
        <v>9</v>
      </c>
      <c r="AX19" t="s">
        <v>591</v>
      </c>
      <c r="AY19" t="s">
        <v>594</v>
      </c>
      <c r="AZ19" t="s">
        <v>595</v>
      </c>
      <c r="BA19" t="s">
        <v>596</v>
      </c>
      <c r="BB19" t="s">
        <v>597</v>
      </c>
      <c r="BC19" t="s">
        <v>598</v>
      </c>
      <c r="BD19" t="s">
        <v>599</v>
      </c>
      <c r="BE19" t="s">
        <v>600</v>
      </c>
      <c r="BF19" t="s">
        <v>601</v>
      </c>
      <c r="BG19" t="s">
        <v>602</v>
      </c>
      <c r="BH19" t="s">
        <v>591</v>
      </c>
      <c r="BI19" t="s">
        <v>9</v>
      </c>
      <c r="BJ19" t="s">
        <v>594</v>
      </c>
      <c r="BK19" t="s">
        <v>592</v>
      </c>
      <c r="BL19" t="s">
        <v>9</v>
      </c>
      <c r="BM19" t="s">
        <v>598</v>
      </c>
      <c r="BN19">
        <v>4.29</v>
      </c>
      <c r="BO19">
        <v>5.43</v>
      </c>
      <c r="BP19">
        <v>5.28</v>
      </c>
      <c r="BQ19">
        <v>4.3600000000000003</v>
      </c>
      <c r="BR19">
        <v>5.48</v>
      </c>
      <c r="BS19">
        <v>5.32</v>
      </c>
      <c r="BT19" t="s">
        <v>6758</v>
      </c>
      <c r="BU19" t="s">
        <v>567</v>
      </c>
      <c r="BV19">
        <v>100</v>
      </c>
      <c r="BW19">
        <v>100</v>
      </c>
      <c r="BX19">
        <v>100</v>
      </c>
      <c r="BY19">
        <v>14.19</v>
      </c>
      <c r="BZ19">
        <v>21.21</v>
      </c>
      <c r="CA19">
        <v>20.51</v>
      </c>
      <c r="CB19">
        <v>-2.6</v>
      </c>
      <c r="CC19">
        <v>-14.71</v>
      </c>
      <c r="CD19" t="s">
        <v>6759</v>
      </c>
      <c r="CE19" t="s">
        <v>6760</v>
      </c>
      <c r="CF19" s="8" t="s">
        <v>9</v>
      </c>
      <c r="CG19" s="9">
        <v>-0.2079</v>
      </c>
      <c r="CH19" s="8">
        <v>0.1917928010225296</v>
      </c>
      <c r="CI19" s="8">
        <v>1.2923199683427811E-2</v>
      </c>
      <c r="CJ19" s="8">
        <v>0.10956494510173798</v>
      </c>
      <c r="CK19" s="8">
        <v>-0.21118119359016418</v>
      </c>
      <c r="CL19" s="8">
        <v>-2.7236627414822578E-2</v>
      </c>
      <c r="CM19" s="9">
        <v>-0.18509212136268616</v>
      </c>
      <c r="CN19" s="9">
        <v>2.9862756729125977</v>
      </c>
      <c r="CO19" s="9">
        <v>-1.4030338525772095</v>
      </c>
      <c r="CP19" s="9">
        <v>-0.2546226978302002</v>
      </c>
      <c r="CQ19" s="9">
        <v>-4.8784788697957993E-2</v>
      </c>
      <c r="CR19">
        <v>108.61214594998688</v>
      </c>
      <c r="CS19">
        <v>2.499498899601313</v>
      </c>
      <c r="CT19" t="e">
        <v>#VALUE!</v>
      </c>
      <c r="CU19" s="8">
        <v>0.4345356822013855</v>
      </c>
      <c r="CV19" s="9">
        <v>0.42309113144874572</v>
      </c>
      <c r="CW19">
        <v>0.06</v>
      </c>
      <c r="CX19">
        <v>14.370943629507142</v>
      </c>
      <c r="CY19">
        <v>10534363915.335457</v>
      </c>
      <c r="CZ19">
        <v>0.4345356822013855</v>
      </c>
      <c r="DA19">
        <v>3.5509590154217521</v>
      </c>
      <c r="DB19">
        <v>42633201155.665649</v>
      </c>
      <c r="DC19">
        <v>0.41280889809131621</v>
      </c>
      <c r="DD19">
        <v>1.1571106698509119</v>
      </c>
      <c r="DE19">
        <v>130833423236.43571</v>
      </c>
      <c r="DF19">
        <v>0.38239140033721924</v>
      </c>
      <c r="DG19">
        <v>0.41378715986934483</v>
      </c>
      <c r="DH19">
        <v>365861400938.10956</v>
      </c>
      <c r="DI19">
        <v>0.34762854576110841</v>
      </c>
      <c r="DJ19">
        <v>5.8557790700793318E-2</v>
      </c>
      <c r="DK19">
        <v>2585287938432.2305</v>
      </c>
      <c r="DL19">
        <v>0.30417497754096984</v>
      </c>
      <c r="DM19">
        <v>7784000000</v>
      </c>
      <c r="DN19">
        <v>0.4345356822013855</v>
      </c>
      <c r="DO19">
        <v>151388750000</v>
      </c>
      <c r="DP19" t="e">
        <v>#VALUE!</v>
      </c>
      <c r="DQ19">
        <v>18</v>
      </c>
      <c r="DR19" t="e">
        <v>#VALUE!</v>
      </c>
      <c r="DS19">
        <v>-0.63099113144874575</v>
      </c>
      <c r="DT19" t="e">
        <v>#VALUE!</v>
      </c>
      <c r="DU19" t="e">
        <v>#VALUE!</v>
      </c>
      <c r="DV19" t="e">
        <v>#VALUE!</v>
      </c>
      <c r="DW19">
        <v>-8.1767505098572393</v>
      </c>
      <c r="DX19">
        <v>0.30650274725274712</v>
      </c>
      <c r="DY19">
        <v>-8.0223594250752654</v>
      </c>
      <c r="DZ19">
        <v>0</v>
      </c>
      <c r="EA19">
        <v>-8.0223594250752654</v>
      </c>
      <c r="EB19">
        <v>8</v>
      </c>
      <c r="EC19">
        <v>3.7031959722429912E-3</v>
      </c>
      <c r="ED19">
        <v>2.9273640712672896E-2</v>
      </c>
      <c r="EE19">
        <v>0</v>
      </c>
      <c r="EF19">
        <v>0</v>
      </c>
      <c r="EG19">
        <v>18.126502747252747</v>
      </c>
      <c r="EH19" t="s">
        <v>110</v>
      </c>
      <c r="EI19">
        <v>0</v>
      </c>
      <c r="EJ19">
        <v>0</v>
      </c>
      <c r="EK19">
        <v>0</v>
      </c>
      <c r="EL19">
        <v>0</v>
      </c>
      <c r="EM19">
        <v>0</v>
      </c>
      <c r="EN19">
        <v>0</v>
      </c>
      <c r="EO19">
        <v>0</v>
      </c>
      <c r="EP19">
        <v>0</v>
      </c>
    </row>
    <row r="20" spans="1:146" ht="96" x14ac:dyDescent="0.25">
      <c r="A20" s="7"/>
      <c r="B20" s="7"/>
      <c r="C20" s="7" t="str">
        <f>""&amp;CHAR(10)&amp;Basic_Fundamental_Information_Constructure(F20)&amp;CHAR(10)&amp;Basic_Fundamental_Information_Concatenate("")</f>
        <v xml:space="preserve">
市值71.543432亿, 利润35.54亿; PE2.82; 平均PE8.99; 平均PEG1.42, PB.217; ROIC6.6367%; ROE14.05%; 毛利21.52%; 净利8.8467%; 上一年度营收增-1.61%, 利润增-42.53%; 当季营收增23.1%, 利润增-42.53%; 过往5年营收增6.35%, 利润增17.14%
Income profile:
</v>
      </c>
      <c r="D20" s="11">
        <v>81</v>
      </c>
      <c r="E20" t="s">
        <v>603</v>
      </c>
      <c r="F20">
        <v>2.0099999999999998</v>
      </c>
      <c r="G20" s="5">
        <v>-3.8300000000000001E-2</v>
      </c>
      <c r="H20" t="s">
        <v>6392</v>
      </c>
      <c r="I20">
        <v>7154343200</v>
      </c>
      <c r="J20">
        <v>2.82</v>
      </c>
      <c r="K20">
        <v>0.217</v>
      </c>
      <c r="L20" t="s">
        <v>6350</v>
      </c>
      <c r="M20" t="s">
        <v>9</v>
      </c>
      <c r="N20" t="s">
        <v>9</v>
      </c>
      <c r="O20" t="s">
        <v>604</v>
      </c>
      <c r="P20">
        <v>32.82</v>
      </c>
      <c r="Q20" t="s">
        <v>605</v>
      </c>
      <c r="R20">
        <v>3554011400</v>
      </c>
      <c r="S20" s="5">
        <v>-0.42530000000000001</v>
      </c>
      <c r="T20" t="s">
        <v>606</v>
      </c>
      <c r="U20">
        <v>3559374700</v>
      </c>
      <c r="V20">
        <v>3559374700</v>
      </c>
      <c r="W20" t="s">
        <v>9</v>
      </c>
      <c r="X20">
        <v>0.05</v>
      </c>
      <c r="Y20">
        <v>13.56</v>
      </c>
      <c r="Z20" t="s">
        <v>9</v>
      </c>
      <c r="AA20" t="s">
        <v>9</v>
      </c>
      <c r="AB20" t="s">
        <v>9</v>
      </c>
      <c r="AC20" t="s">
        <v>9</v>
      </c>
      <c r="AD20" t="s">
        <v>9</v>
      </c>
      <c r="AE20" t="s">
        <v>9</v>
      </c>
      <c r="AF20" t="s">
        <v>9</v>
      </c>
      <c r="AG20" t="s">
        <v>9</v>
      </c>
      <c r="AH20" t="s">
        <v>607</v>
      </c>
      <c r="AI20" t="s">
        <v>9</v>
      </c>
      <c r="AJ20" t="s">
        <v>9</v>
      </c>
      <c r="AK20" t="s">
        <v>608</v>
      </c>
      <c r="AL20" t="s">
        <v>9</v>
      </c>
      <c r="AM20" t="s">
        <v>9</v>
      </c>
      <c r="AN20" s="5">
        <v>0.79310000000000003</v>
      </c>
      <c r="AO20" t="s">
        <v>9</v>
      </c>
      <c r="AP20" t="s">
        <v>609</v>
      </c>
      <c r="AQ20" t="s">
        <v>9</v>
      </c>
      <c r="AR20" t="s">
        <v>610</v>
      </c>
      <c r="AS20" t="s">
        <v>9</v>
      </c>
      <c r="AT20" t="s">
        <v>9</v>
      </c>
      <c r="AU20" t="s">
        <v>611</v>
      </c>
      <c r="AV20" t="s">
        <v>612</v>
      </c>
      <c r="AW20" t="s">
        <v>9</v>
      </c>
      <c r="AX20" t="s">
        <v>613</v>
      </c>
      <c r="AY20" t="s">
        <v>614</v>
      </c>
      <c r="AZ20" t="s">
        <v>615</v>
      </c>
      <c r="BA20" t="s">
        <v>616</v>
      </c>
      <c r="BB20" t="s">
        <v>617</v>
      </c>
      <c r="BC20" t="s">
        <v>618</v>
      </c>
      <c r="BD20" t="s">
        <v>619</v>
      </c>
      <c r="BE20" t="s">
        <v>620</v>
      </c>
      <c r="BF20" t="s">
        <v>621</v>
      </c>
      <c r="BG20" t="s">
        <v>622</v>
      </c>
      <c r="BH20" t="s">
        <v>605</v>
      </c>
      <c r="BI20" t="s">
        <v>623</v>
      </c>
      <c r="BJ20" t="s">
        <v>613</v>
      </c>
      <c r="BK20" t="s">
        <v>606</v>
      </c>
      <c r="BL20" t="s">
        <v>9</v>
      </c>
      <c r="BM20" t="s">
        <v>618</v>
      </c>
      <c r="BN20">
        <v>4.16</v>
      </c>
      <c r="BO20">
        <v>7.66</v>
      </c>
      <c r="BP20">
        <v>8.09</v>
      </c>
      <c r="BQ20">
        <v>10.52</v>
      </c>
      <c r="BR20">
        <v>17.579999999999998</v>
      </c>
      <c r="BS20" t="s">
        <v>9</v>
      </c>
      <c r="BT20" t="s">
        <v>624</v>
      </c>
      <c r="BU20" t="s">
        <v>410</v>
      </c>
      <c r="BV20">
        <v>14.4</v>
      </c>
      <c r="BW20">
        <v>23.03</v>
      </c>
      <c r="BX20">
        <v>27.13</v>
      </c>
      <c r="BY20">
        <v>5.32</v>
      </c>
      <c r="BZ20">
        <v>10.49</v>
      </c>
      <c r="CA20">
        <v>10.73</v>
      </c>
      <c r="CB20">
        <v>5.24</v>
      </c>
      <c r="CC20">
        <v>-3.37</v>
      </c>
      <c r="CD20" t="s">
        <v>6393</v>
      </c>
      <c r="CE20" t="s">
        <v>4249</v>
      </c>
      <c r="CF20" s="8">
        <v>0.23096055904299406</v>
      </c>
      <c r="CG20" s="9">
        <v>-0.42530000000000001</v>
      </c>
      <c r="CH20" s="8">
        <v>-1.6050927340984344E-2</v>
      </c>
      <c r="CI20" s="8">
        <v>0.28883716464042664</v>
      </c>
      <c r="CJ20" s="8">
        <v>0.6007198691368103</v>
      </c>
      <c r="CK20" s="8">
        <v>0.3036559522151947</v>
      </c>
      <c r="CL20" s="8">
        <v>0.2086004912853241</v>
      </c>
      <c r="CM20" s="9">
        <v>-0.42529109120368958</v>
      </c>
      <c r="CN20" s="9">
        <v>0.18603755533695221</v>
      </c>
      <c r="CO20" s="9">
        <v>0.40123629570007324</v>
      </c>
      <c r="CP20" s="9">
        <v>0.59974193572998047</v>
      </c>
      <c r="CQ20" s="9">
        <v>0.83005505800247192</v>
      </c>
      <c r="CR20">
        <v>8.987868341708543</v>
      </c>
      <c r="CS20">
        <v>1.4164426534359755</v>
      </c>
      <c r="CT20" t="e">
        <v>#VALUE!</v>
      </c>
      <c r="CU20" s="8">
        <v>6.3453810289502144E-2</v>
      </c>
      <c r="CV20" s="9">
        <v>0.17143642008304597</v>
      </c>
      <c r="CW20">
        <v>0.06</v>
      </c>
      <c r="CX20">
        <v>2.006501921408177</v>
      </c>
      <c r="CY20">
        <v>3565580039.4046135</v>
      </c>
      <c r="CZ20">
        <v>6.3453810289502144E-2</v>
      </c>
      <c r="DA20">
        <v>0.6706574538436062</v>
      </c>
      <c r="DB20">
        <v>10667656281.157736</v>
      </c>
      <c r="DC20">
        <v>6.0281119775027037E-2</v>
      </c>
      <c r="DD20">
        <v>0.34014913508781103</v>
      </c>
      <c r="DE20">
        <v>21032960140.125225</v>
      </c>
      <c r="DF20">
        <v>5.5839353054761884E-2</v>
      </c>
      <c r="DG20">
        <v>0.21116455847372595</v>
      </c>
      <c r="DH20">
        <v>33880416542.012547</v>
      </c>
      <c r="DI20">
        <v>5.0763048231601715E-2</v>
      </c>
      <c r="DJ20">
        <v>0.11715811504618708</v>
      </c>
      <c r="DK20">
        <v>61065707630.918724</v>
      </c>
      <c r="DL20">
        <v>4.4417667202651501E-2</v>
      </c>
      <c r="DM20">
        <v>3554000000</v>
      </c>
      <c r="DN20">
        <v>6.3453810289502144E-2</v>
      </c>
      <c r="DO20">
        <v>7154343200</v>
      </c>
      <c r="DP20" t="e">
        <v>#VALUE!</v>
      </c>
      <c r="DQ20">
        <v>20</v>
      </c>
      <c r="DR20">
        <v>0.16750674875349192</v>
      </c>
      <c r="DS20">
        <v>-0.59673642008304595</v>
      </c>
      <c r="DT20">
        <v>-0.45666666666666672</v>
      </c>
      <c r="DU20" t="e">
        <v>#VALUE!</v>
      </c>
      <c r="DV20" t="e">
        <v>#VALUE!</v>
      </c>
      <c r="DW20">
        <v>4.643129770992366</v>
      </c>
      <c r="DX20">
        <v>0.60749321266968459</v>
      </c>
      <c r="DY20">
        <v>4.1720328486062659</v>
      </c>
      <c r="DZ20">
        <v>0</v>
      </c>
      <c r="EA20">
        <v>4.1720328486062659</v>
      </c>
      <c r="EB20">
        <v>4</v>
      </c>
      <c r="EC20">
        <v>1.6608535201421755E-2</v>
      </c>
      <c r="ED20">
        <v>6.2089557471990797E-2</v>
      </c>
      <c r="EE20">
        <v>0</v>
      </c>
      <c r="EF20">
        <v>0</v>
      </c>
      <c r="EG20">
        <v>34.267493212669685</v>
      </c>
      <c r="EH20" t="s">
        <v>110</v>
      </c>
      <c r="EI20">
        <v>0</v>
      </c>
      <c r="EJ20">
        <v>0</v>
      </c>
      <c r="EK20">
        <v>0</v>
      </c>
      <c r="EL20">
        <v>0</v>
      </c>
      <c r="EM20">
        <v>0</v>
      </c>
      <c r="EN20">
        <v>0</v>
      </c>
      <c r="EO20">
        <v>0</v>
      </c>
      <c r="EP20">
        <v>0</v>
      </c>
    </row>
    <row r="21" spans="1:146" ht="96" x14ac:dyDescent="0.25">
      <c r="A21" s="7"/>
      <c r="B21" s="7"/>
      <c r="C21" s="7" t="str">
        <f>""&amp;CHAR(10)&amp;Basic_Fundamental_Information_Constructure(F21)&amp;CHAR(10)&amp;Basic_Fundamental_Information_Concatenate("")</f>
        <v xml:space="preserve">
市值697.16828亿, 利润58.49亿; PE11.61; 平均PE24.88; 平均PEG1.34, PB.424; ROIC4.46%; ROE4.4867%; 毛利51.1833%; 净利43.5033%; 上一年度营收增-23.61%, 利润增-39.36%, 利润增6.35%; 过往5年营收增18.53%, 利润增45.08%
Income profile:
</v>
      </c>
      <c r="D21" s="11">
        <v>83</v>
      </c>
      <c r="E21" t="s">
        <v>626</v>
      </c>
      <c r="F21">
        <v>8.06</v>
      </c>
      <c r="G21" s="5">
        <v>2.5000000000000001E-3</v>
      </c>
      <c r="H21" t="s">
        <v>6761</v>
      </c>
      <c r="I21">
        <v>69716828000</v>
      </c>
      <c r="J21">
        <v>11.61</v>
      </c>
      <c r="K21">
        <v>0.42399999999999999</v>
      </c>
      <c r="L21" t="s">
        <v>6350</v>
      </c>
      <c r="M21" t="s">
        <v>9</v>
      </c>
      <c r="N21" t="s">
        <v>9</v>
      </c>
      <c r="O21" t="s">
        <v>9</v>
      </c>
      <c r="P21" t="s">
        <v>9</v>
      </c>
      <c r="Q21" t="s">
        <v>6762</v>
      </c>
      <c r="R21">
        <v>2615953900</v>
      </c>
      <c r="S21" s="5">
        <v>6.3500000000000001E-2</v>
      </c>
      <c r="T21" t="s">
        <v>2289</v>
      </c>
      <c r="U21">
        <v>8649730600</v>
      </c>
      <c r="V21">
        <v>8649730600</v>
      </c>
      <c r="W21" t="s">
        <v>9</v>
      </c>
      <c r="X21" t="s">
        <v>9</v>
      </c>
      <c r="Y21" t="s">
        <v>9</v>
      </c>
      <c r="Z21" t="s">
        <v>9</v>
      </c>
      <c r="AA21" t="s">
        <v>9</v>
      </c>
      <c r="AB21" t="s">
        <v>9</v>
      </c>
      <c r="AC21" t="s">
        <v>9</v>
      </c>
      <c r="AD21" t="s">
        <v>9</v>
      </c>
      <c r="AE21" t="s">
        <v>9</v>
      </c>
      <c r="AF21" t="s">
        <v>9</v>
      </c>
      <c r="AG21" t="s">
        <v>9</v>
      </c>
      <c r="AH21" t="s">
        <v>6763</v>
      </c>
      <c r="AI21" t="s">
        <v>9</v>
      </c>
      <c r="AJ21" t="s">
        <v>9</v>
      </c>
      <c r="AK21" t="s">
        <v>6764</v>
      </c>
      <c r="AL21" t="s">
        <v>9</v>
      </c>
      <c r="AM21" t="s">
        <v>9</v>
      </c>
      <c r="AN21" s="5">
        <v>7.7299999999999994E-2</v>
      </c>
      <c r="AO21" t="s">
        <v>9</v>
      </c>
      <c r="AP21" t="s">
        <v>178</v>
      </c>
      <c r="AQ21" t="s">
        <v>9</v>
      </c>
      <c r="AR21" t="s">
        <v>6765</v>
      </c>
      <c r="AS21" t="s">
        <v>9</v>
      </c>
      <c r="AT21" t="s">
        <v>9</v>
      </c>
      <c r="AU21" t="s">
        <v>5549</v>
      </c>
      <c r="AV21" t="s">
        <v>3763</v>
      </c>
      <c r="AW21" t="s">
        <v>9</v>
      </c>
      <c r="AX21" t="s">
        <v>627</v>
      </c>
      <c r="AY21" t="s">
        <v>631</v>
      </c>
      <c r="AZ21" t="s">
        <v>632</v>
      </c>
      <c r="BA21" t="s">
        <v>633</v>
      </c>
      <c r="BB21" t="s">
        <v>634</v>
      </c>
      <c r="BC21" t="s">
        <v>635</v>
      </c>
      <c r="BD21" t="s">
        <v>636</v>
      </c>
      <c r="BE21" t="s">
        <v>637</v>
      </c>
      <c r="BF21" t="s">
        <v>638</v>
      </c>
      <c r="BG21" t="s">
        <v>639</v>
      </c>
      <c r="BH21" t="s">
        <v>627</v>
      </c>
      <c r="BI21" t="s">
        <v>9</v>
      </c>
      <c r="BJ21" t="s">
        <v>631</v>
      </c>
      <c r="BK21" t="s">
        <v>628</v>
      </c>
      <c r="BL21" t="s">
        <v>9</v>
      </c>
      <c r="BM21" t="s">
        <v>635</v>
      </c>
      <c r="BN21">
        <v>3.6</v>
      </c>
      <c r="BO21">
        <v>3.57</v>
      </c>
      <c r="BP21">
        <v>6.21</v>
      </c>
      <c r="BQ21">
        <v>3.6</v>
      </c>
      <c r="BR21">
        <v>3.64</v>
      </c>
      <c r="BS21">
        <v>6.22</v>
      </c>
      <c r="BT21" t="s">
        <v>6766</v>
      </c>
      <c r="BU21" t="s">
        <v>410</v>
      </c>
      <c r="BV21">
        <v>45.35</v>
      </c>
      <c r="BW21">
        <v>53.06</v>
      </c>
      <c r="BX21">
        <v>55.14</v>
      </c>
      <c r="BY21">
        <v>49.49</v>
      </c>
      <c r="BZ21">
        <v>38.35</v>
      </c>
      <c r="CA21">
        <v>42.67</v>
      </c>
      <c r="CB21">
        <v>-1.47</v>
      </c>
      <c r="CC21">
        <v>-7.99</v>
      </c>
      <c r="CD21" t="s">
        <v>6767</v>
      </c>
      <c r="CE21" t="s">
        <v>6760</v>
      </c>
      <c r="CF21" s="8" t="s">
        <v>9</v>
      </c>
      <c r="CG21" s="9">
        <v>6.3500000000000001E-2</v>
      </c>
      <c r="CH21" s="8">
        <v>-0.23614503443241119</v>
      </c>
      <c r="CI21" s="8">
        <v>-0.36630678176879883</v>
      </c>
      <c r="CJ21" s="8">
        <v>3.1693558692932129</v>
      </c>
      <c r="CK21" s="8">
        <v>-0.45135137438774109</v>
      </c>
      <c r="CL21" s="8">
        <v>-0.41474851965904236</v>
      </c>
      <c r="CM21" s="9">
        <v>-0.39363467693328857</v>
      </c>
      <c r="CN21" s="9">
        <v>4.7144551277160645</v>
      </c>
      <c r="CO21" s="9">
        <v>-0.75589299201965332</v>
      </c>
      <c r="CP21" s="9">
        <v>-0.50593030452728271</v>
      </c>
      <c r="CQ21" s="9">
        <v>0.88752532005310059</v>
      </c>
      <c r="CR21">
        <v>24.876655842997323</v>
      </c>
      <c r="CS21">
        <v>1.3425355791920419</v>
      </c>
      <c r="CT21" t="e">
        <v>#VALUE!</v>
      </c>
      <c r="CU21" s="8">
        <v>0.18529606387019157</v>
      </c>
      <c r="CV21" s="9">
        <v>0.4508147597312927</v>
      </c>
      <c r="CW21">
        <v>0.06</v>
      </c>
      <c r="CX21">
        <v>10.659455500695648</v>
      </c>
      <c r="CY21">
        <v>6540374224.1290092</v>
      </c>
      <c r="CZ21">
        <v>0.18529606387019157</v>
      </c>
      <c r="DA21">
        <v>3.2162372926248204</v>
      </c>
      <c r="DB21">
        <v>21676518756.830605</v>
      </c>
      <c r="DC21">
        <v>0.17603126067668198</v>
      </c>
      <c r="DD21">
        <v>1.4178455602931024</v>
      </c>
      <c r="DE21">
        <v>49170960471.595985</v>
      </c>
      <c r="DF21">
        <v>0.16306053620576857</v>
      </c>
      <c r="DG21">
        <v>0.74795004334693882</v>
      </c>
      <c r="DH21">
        <v>93210540757.548492</v>
      </c>
      <c r="DI21">
        <v>0.14823685109615325</v>
      </c>
      <c r="DJ21">
        <v>0.28568997458091255</v>
      </c>
      <c r="DK21">
        <v>244029662231.82935</v>
      </c>
      <c r="DL21">
        <v>0.12970724470913408</v>
      </c>
      <c r="DM21">
        <v>5849000000</v>
      </c>
      <c r="DN21">
        <v>0.18529606387019157</v>
      </c>
      <c r="DO21">
        <v>69716828000</v>
      </c>
      <c r="DP21" t="e">
        <v>#VALUE!</v>
      </c>
      <c r="DQ21">
        <v>20</v>
      </c>
      <c r="DR21" t="e">
        <v>#VALUE!</v>
      </c>
      <c r="DS21">
        <v>-0.3873147597312927</v>
      </c>
      <c r="DT21" t="e">
        <v>#VALUE!</v>
      </c>
      <c r="DU21" t="e">
        <v>#VALUE!</v>
      </c>
      <c r="DV21" t="e">
        <v>#VALUE!</v>
      </c>
      <c r="DW21">
        <v>-2.0798999999999999</v>
      </c>
      <c r="DX21">
        <v>0.46246648351648217</v>
      </c>
      <c r="DY21">
        <v>-2.0129810720329671</v>
      </c>
      <c r="DZ21">
        <v>0</v>
      </c>
      <c r="EA21">
        <v>-2.0129810720329671</v>
      </c>
      <c r="EB21">
        <v>2</v>
      </c>
      <c r="EC21">
        <v>3.4184764089646908E-3</v>
      </c>
      <c r="ED21">
        <v>2.1041117743019651E-2</v>
      </c>
      <c r="EE21">
        <v>0</v>
      </c>
      <c r="EF21">
        <v>0</v>
      </c>
      <c r="EG21">
        <v>30.162466483516482</v>
      </c>
      <c r="EH21" t="s">
        <v>110</v>
      </c>
      <c r="EI21">
        <v>0</v>
      </c>
      <c r="EJ21">
        <v>0</v>
      </c>
      <c r="EK21">
        <v>0</v>
      </c>
      <c r="EL21">
        <v>0</v>
      </c>
      <c r="EM21">
        <v>0</v>
      </c>
      <c r="EN21">
        <v>0</v>
      </c>
      <c r="EO21">
        <v>0</v>
      </c>
      <c r="EP21">
        <v>0</v>
      </c>
    </row>
    <row r="22" spans="1:146" ht="96" x14ac:dyDescent="0.25">
      <c r="A22" s="7"/>
      <c r="B22" s="7"/>
      <c r="C22" s="7" t="str">
        <f>""&amp;CHAR(10)&amp;Basic_Fundamental_Information_Constructure(F22)&amp;CHAR(10)&amp;Basic_Fundamental_Information_Concatenate("")</f>
        <v xml:space="preserve">
市值730.82907亿, 利润288.53亿; PE2.53; 平均PE12.33; 平均PEG1.02, PB.273; ROIC3.66%; ROE4.5467%; 毛利37.6%; 净利14.62%; 上一年度营收增3.41%, 利润增759.49%, 利润增587.8%; 过往5年营收增12.04%, 利润增5.88%
Income profile:
</v>
      </c>
      <c r="D22" s="11">
        <v>87</v>
      </c>
      <c r="E22" t="s">
        <v>641</v>
      </c>
      <c r="F22">
        <v>10.38</v>
      </c>
      <c r="G22" s="5">
        <v>-1.52E-2</v>
      </c>
      <c r="H22" t="s">
        <v>6768</v>
      </c>
      <c r="I22">
        <v>73082907000</v>
      </c>
      <c r="J22">
        <v>2.5299999999999998</v>
      </c>
      <c r="K22">
        <v>0.27300000000000002</v>
      </c>
      <c r="L22" t="s">
        <v>6350</v>
      </c>
      <c r="M22" t="s">
        <v>9</v>
      </c>
      <c r="N22" t="s">
        <v>9</v>
      </c>
      <c r="O22" t="s">
        <v>9</v>
      </c>
      <c r="P22" t="s">
        <v>9</v>
      </c>
      <c r="Q22" t="s">
        <v>6687</v>
      </c>
      <c r="R22">
        <v>28853000000</v>
      </c>
      <c r="S22" s="5">
        <v>5.8780000000000001</v>
      </c>
      <c r="T22" t="s">
        <v>6688</v>
      </c>
      <c r="U22">
        <v>2905442500</v>
      </c>
      <c r="V22">
        <v>7112297500</v>
      </c>
      <c r="W22" t="s">
        <v>9</v>
      </c>
      <c r="X22" t="s">
        <v>9</v>
      </c>
      <c r="Y22" t="s">
        <v>9</v>
      </c>
      <c r="Z22" t="s">
        <v>9</v>
      </c>
      <c r="AA22" t="s">
        <v>9</v>
      </c>
      <c r="AB22" t="s">
        <v>9</v>
      </c>
      <c r="AC22" t="s">
        <v>9</v>
      </c>
      <c r="AD22" t="s">
        <v>9</v>
      </c>
      <c r="AE22" t="s">
        <v>9</v>
      </c>
      <c r="AF22" t="s">
        <v>9</v>
      </c>
      <c r="AG22" t="s">
        <v>9</v>
      </c>
      <c r="AH22" t="s">
        <v>6689</v>
      </c>
      <c r="AI22" t="s">
        <v>9</v>
      </c>
      <c r="AJ22" t="s">
        <v>9</v>
      </c>
      <c r="AK22" t="s">
        <v>6690</v>
      </c>
      <c r="AL22" t="s">
        <v>9</v>
      </c>
      <c r="AM22" t="s">
        <v>9</v>
      </c>
      <c r="AN22" s="5">
        <v>0.2747</v>
      </c>
      <c r="AO22" t="s">
        <v>9</v>
      </c>
      <c r="AP22" t="s">
        <v>6691</v>
      </c>
      <c r="AQ22" t="s">
        <v>9</v>
      </c>
      <c r="AR22" t="s">
        <v>6692</v>
      </c>
      <c r="AS22" t="s">
        <v>9</v>
      </c>
      <c r="AT22" t="s">
        <v>9</v>
      </c>
      <c r="AU22" t="s">
        <v>6693</v>
      </c>
      <c r="AV22" t="s">
        <v>6694</v>
      </c>
      <c r="AW22" t="s">
        <v>9</v>
      </c>
      <c r="AX22" t="s">
        <v>529</v>
      </c>
      <c r="AY22" t="s">
        <v>531</v>
      </c>
      <c r="AZ22" t="s">
        <v>532</v>
      </c>
      <c r="BA22" t="s">
        <v>533</v>
      </c>
      <c r="BB22" t="s">
        <v>534</v>
      </c>
      <c r="BC22" t="s">
        <v>6695</v>
      </c>
      <c r="BD22" t="s">
        <v>535</v>
      </c>
      <c r="BE22" t="s">
        <v>536</v>
      </c>
      <c r="BF22" t="s">
        <v>537</v>
      </c>
      <c r="BG22" t="s">
        <v>538</v>
      </c>
      <c r="BH22" t="s">
        <v>529</v>
      </c>
      <c r="BI22" t="s">
        <v>9</v>
      </c>
      <c r="BJ22" t="s">
        <v>531</v>
      </c>
      <c r="BK22" t="s">
        <v>530</v>
      </c>
      <c r="BL22" t="s">
        <v>9</v>
      </c>
      <c r="BM22" t="s">
        <v>6695</v>
      </c>
      <c r="BN22">
        <v>8.68</v>
      </c>
      <c r="BO22">
        <v>1.28</v>
      </c>
      <c r="BP22">
        <v>1.02</v>
      </c>
      <c r="BQ22">
        <v>10.76</v>
      </c>
      <c r="BR22">
        <v>1.62</v>
      </c>
      <c r="BS22">
        <v>1.26</v>
      </c>
      <c r="BT22" t="s">
        <v>6769</v>
      </c>
      <c r="BU22" t="s">
        <v>377</v>
      </c>
      <c r="BV22">
        <v>37.07</v>
      </c>
      <c r="BW22">
        <v>37.450000000000003</v>
      </c>
      <c r="BX22">
        <v>38.28</v>
      </c>
      <c r="BY22">
        <v>31.47</v>
      </c>
      <c r="BZ22">
        <v>6.84</v>
      </c>
      <c r="CA22">
        <v>5.55</v>
      </c>
      <c r="CB22">
        <v>0.78</v>
      </c>
      <c r="CC22">
        <v>-2.44</v>
      </c>
      <c r="CD22" t="s">
        <v>6770</v>
      </c>
      <c r="CE22" t="s">
        <v>6771</v>
      </c>
      <c r="CF22" s="8" t="s">
        <v>9</v>
      </c>
      <c r="CG22" s="9">
        <v>5.8780000000000001</v>
      </c>
      <c r="CH22" s="8">
        <v>3.4135643392801285E-2</v>
      </c>
      <c r="CI22" s="8">
        <v>-1.2301369570195675E-2</v>
      </c>
      <c r="CJ22" s="8">
        <v>0.15995900332927704</v>
      </c>
      <c r="CK22" s="8">
        <v>-5.4050583392381668E-2</v>
      </c>
      <c r="CL22" s="8">
        <v>5.3768310695886612E-2</v>
      </c>
      <c r="CM22" s="9">
        <v>7.594876766204834</v>
      </c>
      <c r="CN22" s="9">
        <v>1.3052095174789429</v>
      </c>
      <c r="CO22" s="9">
        <v>-2.2211613655090332</v>
      </c>
      <c r="CP22" s="9">
        <v>-0.61881589889526367</v>
      </c>
      <c r="CQ22" s="9">
        <v>-9.3632489442825317E-2</v>
      </c>
      <c r="CR22">
        <v>12.332239559017914</v>
      </c>
      <c r="CS22">
        <v>1.0239109427186723</v>
      </c>
      <c r="CT22" t="e">
        <v>#VALUE!</v>
      </c>
      <c r="CU22" s="8">
        <v>0.12044250182807445</v>
      </c>
      <c r="CV22" s="9">
        <v>5.8802907168865201E-2</v>
      </c>
      <c r="CW22">
        <v>0.06</v>
      </c>
      <c r="CX22">
        <v>2.3962996745614293</v>
      </c>
      <c r="CY22">
        <v>30498233495.514549</v>
      </c>
      <c r="CZ22">
        <v>0.12044250182807445</v>
      </c>
      <c r="DA22">
        <v>0.7632282549257029</v>
      </c>
      <c r="DB22">
        <v>95754980935.702286</v>
      </c>
      <c r="DC22">
        <v>0.11442037673667073</v>
      </c>
      <c r="DD22">
        <v>0.36288910493325743</v>
      </c>
      <c r="DE22">
        <v>201391846728.05597</v>
      </c>
      <c r="DF22">
        <v>0.10598940160870551</v>
      </c>
      <c r="DG22">
        <v>0.20943173867280954</v>
      </c>
      <c r="DH22">
        <v>348958125750.8241</v>
      </c>
      <c r="DI22">
        <v>9.6354001462459565E-2</v>
      </c>
      <c r="DJ22">
        <v>9.8966973110337961E-2</v>
      </c>
      <c r="DK22">
        <v>738457534904.29687</v>
      </c>
      <c r="DL22">
        <v>8.4309751279652109E-2</v>
      </c>
      <c r="DM22">
        <v>28852999999.999996</v>
      </c>
      <c r="DN22">
        <v>0.12044250182807445</v>
      </c>
      <c r="DO22">
        <v>73082907000</v>
      </c>
      <c r="DP22" t="e">
        <v>#VALUE!</v>
      </c>
      <c r="DQ22">
        <v>21</v>
      </c>
      <c r="DR22" t="e">
        <v>#VALUE!</v>
      </c>
      <c r="DS22">
        <v>5.8191970928311347</v>
      </c>
      <c r="DT22" t="e">
        <v>#VALUE!</v>
      </c>
      <c r="DU22" t="e">
        <v>#VALUE!</v>
      </c>
      <c r="DV22" t="e">
        <v>#VALUE!</v>
      </c>
      <c r="DW22">
        <v>-2.4399999999999998E-2</v>
      </c>
      <c r="DX22">
        <v>0.2359607497745701</v>
      </c>
      <c r="DY22">
        <v>-4.537442294499516E-3</v>
      </c>
      <c r="DZ22">
        <v>0</v>
      </c>
      <c r="EA22">
        <v>-4.537442294499516E-3</v>
      </c>
      <c r="EB22">
        <v>0</v>
      </c>
      <c r="EC22">
        <v>8.7278407575048708E-4</v>
      </c>
      <c r="ED22">
        <v>4.6933779133957769E-3</v>
      </c>
      <c r="EE22">
        <v>0</v>
      </c>
      <c r="EF22">
        <v>0</v>
      </c>
      <c r="EG22">
        <v>5.1859607497745701</v>
      </c>
      <c r="EH22" t="s">
        <v>110</v>
      </c>
      <c r="EI22">
        <v>0</v>
      </c>
      <c r="EJ22">
        <v>0</v>
      </c>
      <c r="EK22">
        <v>0</v>
      </c>
      <c r="EL22">
        <v>0</v>
      </c>
      <c r="EM22">
        <v>0</v>
      </c>
      <c r="EN22">
        <v>0</v>
      </c>
      <c r="EO22">
        <v>0</v>
      </c>
      <c r="EP22">
        <v>0</v>
      </c>
    </row>
    <row r="23" spans="1:146" ht="96" x14ac:dyDescent="0.25">
      <c r="A23" s="7"/>
      <c r="B23" s="7"/>
      <c r="C23" s="7" t="str">
        <f>""&amp;CHAR(10)&amp;Basic_Fundamental_Information_Constructure(F23)&amp;CHAR(10)&amp;Basic_Fundamental_Information_Concatenate("")</f>
        <v xml:space="preserve">
市值32.115535亿, 利润-23.31亿; PE; 平均PE-31.54; 平均PEG-1.49, PB.126; ROIC-.9433%; ROE-2.5567%; 毛利39.9567%; 净利-5.68%; 上一年度营收增153.92%, 利润增-265.2%, 利润增-183%; 过往5年营收增-21.18%, 利润增-70.96%
Income profile:
</v>
      </c>
      <c r="D23" s="11">
        <v>95</v>
      </c>
      <c r="E23" t="s">
        <v>642</v>
      </c>
      <c r="F23">
        <v>0.63</v>
      </c>
      <c r="G23" s="5">
        <v>-3.0800000000000001E-2</v>
      </c>
      <c r="H23" t="s">
        <v>6772</v>
      </c>
      <c r="I23">
        <v>3211553500</v>
      </c>
      <c r="K23">
        <v>0.126</v>
      </c>
      <c r="L23" t="s">
        <v>6350</v>
      </c>
      <c r="M23" t="s">
        <v>9</v>
      </c>
      <c r="N23" t="s">
        <v>9</v>
      </c>
      <c r="O23" t="s">
        <v>9</v>
      </c>
      <c r="P23" t="s">
        <v>9</v>
      </c>
      <c r="Q23" t="s">
        <v>4167</v>
      </c>
      <c r="R23">
        <v>-2331041900</v>
      </c>
      <c r="S23" s="5">
        <v>-1.83</v>
      </c>
      <c r="T23" t="s">
        <v>6773</v>
      </c>
      <c r="U23">
        <v>5097704000</v>
      </c>
      <c r="V23">
        <v>5097704000</v>
      </c>
      <c r="W23" t="s">
        <v>9</v>
      </c>
      <c r="X23" t="s">
        <v>9</v>
      </c>
      <c r="Y23" t="s">
        <v>9</v>
      </c>
      <c r="Z23" t="s">
        <v>9</v>
      </c>
      <c r="AA23" t="s">
        <v>9</v>
      </c>
      <c r="AB23" t="s">
        <v>9</v>
      </c>
      <c r="AC23" t="s">
        <v>9</v>
      </c>
      <c r="AD23" t="s">
        <v>9</v>
      </c>
      <c r="AE23" t="s">
        <v>9</v>
      </c>
      <c r="AF23" t="s">
        <v>9</v>
      </c>
      <c r="AG23" t="s">
        <v>9</v>
      </c>
      <c r="AH23" t="s">
        <v>6774</v>
      </c>
      <c r="AI23" t="s">
        <v>9</v>
      </c>
      <c r="AJ23" t="s">
        <v>9</v>
      </c>
      <c r="AK23" t="s">
        <v>6775</v>
      </c>
      <c r="AL23" t="s">
        <v>9</v>
      </c>
      <c r="AM23" t="s">
        <v>9</v>
      </c>
      <c r="AN23" s="5">
        <v>0.72150000000000003</v>
      </c>
      <c r="AO23" t="s">
        <v>9</v>
      </c>
      <c r="AP23" t="s">
        <v>835</v>
      </c>
      <c r="AQ23" t="s">
        <v>9</v>
      </c>
      <c r="AR23" t="s">
        <v>6776</v>
      </c>
      <c r="AS23" t="s">
        <v>9</v>
      </c>
      <c r="AT23" t="s">
        <v>9</v>
      </c>
      <c r="AU23" t="s">
        <v>6777</v>
      </c>
      <c r="AV23" t="s">
        <v>6778</v>
      </c>
      <c r="AW23" t="s">
        <v>9</v>
      </c>
      <c r="AX23" t="s">
        <v>643</v>
      </c>
      <c r="AY23" t="s">
        <v>646</v>
      </c>
      <c r="AZ23" t="s">
        <v>630</v>
      </c>
      <c r="BA23" t="s">
        <v>647</v>
      </c>
      <c r="BB23" t="s">
        <v>648</v>
      </c>
      <c r="BC23" t="s">
        <v>649</v>
      </c>
      <c r="BD23" t="s">
        <v>650</v>
      </c>
      <c r="BE23" t="s">
        <v>651</v>
      </c>
      <c r="BF23" t="s">
        <v>652</v>
      </c>
      <c r="BG23" t="s">
        <v>653</v>
      </c>
      <c r="BH23" t="s">
        <v>643</v>
      </c>
      <c r="BI23" t="s">
        <v>9</v>
      </c>
      <c r="BJ23" t="s">
        <v>646</v>
      </c>
      <c r="BK23" t="s">
        <v>644</v>
      </c>
      <c r="BL23" t="s">
        <v>9</v>
      </c>
      <c r="BM23" t="s">
        <v>649</v>
      </c>
      <c r="BN23">
        <v>-3.62</v>
      </c>
      <c r="BO23">
        <v>-1.26</v>
      </c>
      <c r="BP23">
        <v>2.0499999999999998</v>
      </c>
      <c r="BQ23">
        <v>-9.17</v>
      </c>
      <c r="BR23">
        <v>-2.95</v>
      </c>
      <c r="BS23">
        <v>4.45</v>
      </c>
      <c r="BT23" t="s">
        <v>654</v>
      </c>
      <c r="BU23" t="s">
        <v>410</v>
      </c>
      <c r="BV23">
        <v>25.77</v>
      </c>
      <c r="BW23">
        <v>44.11</v>
      </c>
      <c r="BX23">
        <v>49.99</v>
      </c>
      <c r="BY23">
        <v>-34.86</v>
      </c>
      <c r="BZ23">
        <v>-12.67</v>
      </c>
      <c r="CA23">
        <v>30.49</v>
      </c>
      <c r="CB23">
        <v>-7.35</v>
      </c>
      <c r="CC23">
        <v>-21.25</v>
      </c>
      <c r="CD23" t="s">
        <v>6779</v>
      </c>
      <c r="CE23" t="s">
        <v>3752</v>
      </c>
      <c r="CF23" s="8" t="s">
        <v>9</v>
      </c>
      <c r="CG23" s="9">
        <v>-1.83</v>
      </c>
      <c r="CH23" s="8">
        <v>1.5391896963119507</v>
      </c>
      <c r="CI23" s="8">
        <v>-0.50736802816390991</v>
      </c>
      <c r="CJ23" s="8">
        <v>-0.17089389264583588</v>
      </c>
      <c r="CK23" s="8">
        <v>0.25748729705810547</v>
      </c>
      <c r="CL23" s="8">
        <v>0.44519391655921936</v>
      </c>
      <c r="CM23" s="9">
        <v>-2.652019739151001</v>
      </c>
      <c r="CN23" s="9">
        <v>-0.65719145536422729</v>
      </c>
      <c r="CO23" s="9">
        <v>1.1053707599639893</v>
      </c>
      <c r="CP23" s="9">
        <v>0.38750898838043213</v>
      </c>
      <c r="CQ23" s="9">
        <v>0.13537470996379852</v>
      </c>
      <c r="CR23">
        <v>-31.537350245499184</v>
      </c>
      <c r="CS23">
        <v>-1.4889752395603284</v>
      </c>
      <c r="CT23" t="e">
        <v>#VALUE!</v>
      </c>
      <c r="CU23" s="8">
        <v>-0.21180573999881744</v>
      </c>
      <c r="CV23" s="9">
        <v>-0.70963816344738007</v>
      </c>
      <c r="CW23">
        <v>0.06</v>
      </c>
      <c r="CX23" t="e">
        <v>#VALUE!</v>
      </c>
      <c r="CY23" t="s">
        <v>109</v>
      </c>
      <c r="CZ23">
        <v>-0.21180573999881744</v>
      </c>
      <c r="DA23" t="e">
        <v>#VALUE!</v>
      </c>
      <c r="DB23" t="s">
        <v>108</v>
      </c>
      <c r="DC23">
        <v>-0.20121545299887655</v>
      </c>
      <c r="DD23" t="e">
        <v>#VALUE!</v>
      </c>
      <c r="DE23" t="s">
        <v>108</v>
      </c>
      <c r="DF23">
        <v>-0.18638905119895935</v>
      </c>
      <c r="DG23" t="e">
        <v>#VALUE!</v>
      </c>
      <c r="DH23" t="s">
        <v>108</v>
      </c>
      <c r="DI23">
        <v>-0.16944459199905396</v>
      </c>
      <c r="DJ23" t="e">
        <v>#VALUE!</v>
      </c>
      <c r="DK23" t="s">
        <v>108</v>
      </c>
      <c r="DL23">
        <v>-0.14826401799917219</v>
      </c>
      <c r="DM23">
        <v>-2331000000</v>
      </c>
      <c r="DN23">
        <v>-0.21180573999881744</v>
      </c>
      <c r="DO23">
        <v>3211553500</v>
      </c>
      <c r="DP23" t="e">
        <v>#VALUE!</v>
      </c>
      <c r="DQ23">
        <v>22</v>
      </c>
      <c r="DR23" t="e">
        <v>#VALUE!</v>
      </c>
      <c r="DS23">
        <v>-1.12036183655262</v>
      </c>
      <c r="DT23" t="e">
        <v>#VALUE!</v>
      </c>
      <c r="DU23" t="e">
        <v>#VALUE!</v>
      </c>
      <c r="DV23" t="e">
        <v>#VALUE!</v>
      </c>
      <c r="DW23">
        <v>-9.3458823529411763</v>
      </c>
      <c r="DX23">
        <v>0.14203554006968661</v>
      </c>
      <c r="DY23">
        <v>-9.0214569985652791</v>
      </c>
      <c r="DZ23">
        <v>0</v>
      </c>
      <c r="EA23">
        <v>-9.0214569985652791</v>
      </c>
      <c r="EB23">
        <v>9</v>
      </c>
      <c r="EC23">
        <v>1.0477775877139984E-2</v>
      </c>
      <c r="ED23">
        <v>0.16889956733462752</v>
      </c>
      <c r="EE23">
        <v>0</v>
      </c>
      <c r="EF23">
        <v>0</v>
      </c>
      <c r="EG23">
        <v>8.0620355400696866</v>
      </c>
      <c r="EH23" t="s">
        <v>110</v>
      </c>
      <c r="EI23">
        <v>0</v>
      </c>
      <c r="EJ23">
        <v>0</v>
      </c>
      <c r="EK23">
        <v>0</v>
      </c>
      <c r="EL23">
        <v>0</v>
      </c>
      <c r="EM23">
        <v>0</v>
      </c>
      <c r="EN23">
        <v>0</v>
      </c>
      <c r="EO23">
        <v>0</v>
      </c>
      <c r="EP23">
        <v>0</v>
      </c>
    </row>
    <row r="24" spans="1:146" ht="96" x14ac:dyDescent="0.25">
      <c r="A24" s="7"/>
      <c r="B24" s="7"/>
      <c r="C24" s="7" t="str">
        <f>""&amp;CHAR(10)&amp;Basic_Fundamental_Information_Constructure(F24)&amp;CHAR(10)&amp;Basic_Fundamental_Information_Concatenate("")</f>
        <v xml:space="preserve">
市值313.85234亿, 利润39.70亿; PE7.91; 平均PE23.58; 平均PEG1.51, PB.237; ROIC2.1367%; ROE2.87%; 毛利71.05%; 净利44.5367%; 上一年度营收增-.3%, 利润增2.64%, 利润增3.49%; 过往5年营收增15.61%, 利润增-4.88%
Income profile:
</v>
      </c>
      <c r="D24" s="11">
        <v>101</v>
      </c>
      <c r="E24" t="s">
        <v>655</v>
      </c>
      <c r="F24">
        <v>6.66</v>
      </c>
      <c r="G24" s="5">
        <v>-1.4800000000000001E-2</v>
      </c>
      <c r="H24" t="s">
        <v>6780</v>
      </c>
      <c r="I24">
        <v>31385234000</v>
      </c>
      <c r="J24">
        <v>7.91</v>
      </c>
      <c r="K24">
        <v>0.23699999999999999</v>
      </c>
      <c r="L24" t="s">
        <v>6350</v>
      </c>
      <c r="M24" t="s">
        <v>9</v>
      </c>
      <c r="N24" t="s">
        <v>9</v>
      </c>
      <c r="O24" t="s">
        <v>9</v>
      </c>
      <c r="P24" t="s">
        <v>9</v>
      </c>
      <c r="Q24" t="s">
        <v>6781</v>
      </c>
      <c r="R24">
        <v>3970000000</v>
      </c>
      <c r="S24" s="5">
        <v>3.49E-2</v>
      </c>
      <c r="T24" t="s">
        <v>4280</v>
      </c>
      <c r="U24">
        <v>4499260700</v>
      </c>
      <c r="V24">
        <v>4499260700</v>
      </c>
      <c r="W24" t="s">
        <v>9</v>
      </c>
      <c r="X24" t="s">
        <v>9</v>
      </c>
      <c r="Y24" t="s">
        <v>9</v>
      </c>
      <c r="Z24" t="s">
        <v>9</v>
      </c>
      <c r="AA24" t="s">
        <v>9</v>
      </c>
      <c r="AB24" t="s">
        <v>9</v>
      </c>
      <c r="AC24" t="s">
        <v>9</v>
      </c>
      <c r="AD24" t="s">
        <v>9</v>
      </c>
      <c r="AE24" t="s">
        <v>9</v>
      </c>
      <c r="AF24" t="s">
        <v>9</v>
      </c>
      <c r="AG24" t="s">
        <v>9</v>
      </c>
      <c r="AH24" t="s">
        <v>6782</v>
      </c>
      <c r="AI24" t="s">
        <v>9</v>
      </c>
      <c r="AJ24" t="s">
        <v>9</v>
      </c>
      <c r="AK24" t="s">
        <v>6783</v>
      </c>
      <c r="AL24" t="s">
        <v>9</v>
      </c>
      <c r="AM24" t="s">
        <v>9</v>
      </c>
      <c r="AN24" s="5">
        <v>0.34599999999999997</v>
      </c>
      <c r="AO24" t="s">
        <v>9</v>
      </c>
      <c r="AP24" t="s">
        <v>1768</v>
      </c>
      <c r="AQ24" t="s">
        <v>9</v>
      </c>
      <c r="AR24" t="s">
        <v>6784</v>
      </c>
      <c r="AS24" t="s">
        <v>9</v>
      </c>
      <c r="AT24" t="s">
        <v>9</v>
      </c>
      <c r="AU24" t="s">
        <v>4466</v>
      </c>
      <c r="AV24" t="s">
        <v>6785</v>
      </c>
      <c r="AW24" t="s">
        <v>9</v>
      </c>
      <c r="AX24" t="s">
        <v>656</v>
      </c>
      <c r="AY24" t="s">
        <v>658</v>
      </c>
      <c r="AZ24" t="s">
        <v>659</v>
      </c>
      <c r="BA24" t="s">
        <v>660</v>
      </c>
      <c r="BB24" t="s">
        <v>661</v>
      </c>
      <c r="BC24" t="s">
        <v>662</v>
      </c>
      <c r="BD24" t="s">
        <v>663</v>
      </c>
      <c r="BE24" t="s">
        <v>664</v>
      </c>
      <c r="BF24" t="s">
        <v>665</v>
      </c>
      <c r="BG24" t="s">
        <v>666</v>
      </c>
      <c r="BH24" t="s">
        <v>656</v>
      </c>
      <c r="BI24" t="s">
        <v>9</v>
      </c>
      <c r="BJ24" t="s">
        <v>658</v>
      </c>
      <c r="BK24" t="s">
        <v>657</v>
      </c>
      <c r="BL24" t="s">
        <v>9</v>
      </c>
      <c r="BM24" t="s">
        <v>662</v>
      </c>
      <c r="BN24">
        <v>2.19</v>
      </c>
      <c r="BO24">
        <v>2.09</v>
      </c>
      <c r="BP24">
        <v>2.13</v>
      </c>
      <c r="BQ24">
        <v>3</v>
      </c>
      <c r="BR24">
        <v>2.88</v>
      </c>
      <c r="BS24">
        <v>2.73</v>
      </c>
      <c r="BT24" t="s">
        <v>6786</v>
      </c>
      <c r="BU24" t="s">
        <v>410</v>
      </c>
      <c r="BV24">
        <v>71.63</v>
      </c>
      <c r="BW24">
        <v>70.099999999999994</v>
      </c>
      <c r="BX24">
        <v>71.42</v>
      </c>
      <c r="BY24">
        <v>44.55</v>
      </c>
      <c r="BZ24">
        <v>42.5</v>
      </c>
      <c r="CA24">
        <v>46.56</v>
      </c>
      <c r="CB24">
        <v>-4.3099999999999996</v>
      </c>
      <c r="CC24">
        <v>-16.54</v>
      </c>
      <c r="CD24" t="s">
        <v>6787</v>
      </c>
      <c r="CE24" t="s">
        <v>5777</v>
      </c>
      <c r="CF24" s="8" t="s">
        <v>9</v>
      </c>
      <c r="CG24" s="9">
        <v>3.49E-2</v>
      </c>
      <c r="CH24" s="8">
        <v>-2.9959941748529673E-3</v>
      </c>
      <c r="CI24" s="8">
        <v>2.5190736632794142E-3</v>
      </c>
      <c r="CJ24" s="8">
        <v>0.15022855997085571</v>
      </c>
      <c r="CK24" s="8">
        <v>-4.62372787296772E-2</v>
      </c>
      <c r="CL24" s="8">
        <v>-0.1599249541759491</v>
      </c>
      <c r="CM24" s="9">
        <v>2.6370249688625336E-2</v>
      </c>
      <c r="CN24" s="9">
        <v>2.5044729709625244</v>
      </c>
      <c r="CO24" s="9">
        <v>-1.4165586233139038</v>
      </c>
      <c r="CP24" s="9">
        <v>-0.23594947159290314</v>
      </c>
      <c r="CQ24" s="9">
        <v>-5.6621883995831013E-3</v>
      </c>
      <c r="CR24">
        <v>23.580190833959428</v>
      </c>
      <c r="CS24">
        <v>1.5108680331350113</v>
      </c>
      <c r="CT24" t="e">
        <v>#VALUE!</v>
      </c>
      <c r="CU24" s="8">
        <v>0.15607048608362675</v>
      </c>
      <c r="CV24" s="9">
        <v>-4.8771413601934911E-2</v>
      </c>
      <c r="CW24">
        <v>0.06</v>
      </c>
      <c r="CX24">
        <v>7.2486380673841166</v>
      </c>
      <c r="CY24">
        <v>4329811160.1433954</v>
      </c>
      <c r="CZ24">
        <v>0.15607048608362675</v>
      </c>
      <c r="DA24">
        <v>2.2408560002892024</v>
      </c>
      <c r="DB24">
        <v>14005912917.184084</v>
      </c>
      <c r="DC24">
        <v>0.1482669617794454</v>
      </c>
      <c r="DD24">
        <v>1.0223484050857718</v>
      </c>
      <c r="DE24">
        <v>30699156807.866177</v>
      </c>
      <c r="DF24">
        <v>0.13734202775359156</v>
      </c>
      <c r="DG24">
        <v>0.56206143061983049</v>
      </c>
      <c r="DH24">
        <v>55839508441.966866</v>
      </c>
      <c r="DI24">
        <v>0.12485638886690141</v>
      </c>
      <c r="DJ24">
        <v>0.23714825296355546</v>
      </c>
      <c r="DK24">
        <v>132344360996.92975</v>
      </c>
      <c r="DL24">
        <v>0.10924934025853872</v>
      </c>
      <c r="DM24">
        <v>3970000000.0000005</v>
      </c>
      <c r="DN24">
        <v>0.15607048608362675</v>
      </c>
      <c r="DO24">
        <v>31385234000</v>
      </c>
      <c r="DP24" t="e">
        <v>#VALUE!</v>
      </c>
      <c r="DQ24">
        <v>23</v>
      </c>
      <c r="DR24" t="e">
        <v>#VALUE!</v>
      </c>
      <c r="DS24">
        <v>8.3671413601934919E-2</v>
      </c>
      <c r="DT24" t="e">
        <v>#VALUE!</v>
      </c>
      <c r="DU24" t="e">
        <v>#VALUE!</v>
      </c>
      <c r="DV24" t="e">
        <v>#VALUE!</v>
      </c>
      <c r="DW24">
        <v>-8.2605804111245469</v>
      </c>
      <c r="DX24">
        <v>0.29103015971394669</v>
      </c>
      <c r="DY24">
        <v>-8.0263264805542391</v>
      </c>
      <c r="DZ24">
        <v>0</v>
      </c>
      <c r="EA24">
        <v>-8.0263264805542391</v>
      </c>
      <c r="EB24">
        <v>8</v>
      </c>
      <c r="EC24">
        <v>1.883960624908888E-2</v>
      </c>
      <c r="ED24">
        <v>0.1864750802281806</v>
      </c>
      <c r="EE24">
        <v>0</v>
      </c>
      <c r="EF24">
        <v>0</v>
      </c>
      <c r="EG24">
        <v>19.101030159713947</v>
      </c>
      <c r="EH24" t="s">
        <v>110</v>
      </c>
      <c r="EI24">
        <v>0</v>
      </c>
      <c r="EJ24">
        <v>0</v>
      </c>
      <c r="EK24">
        <v>0</v>
      </c>
      <c r="EL24">
        <v>0</v>
      </c>
      <c r="EM24">
        <v>0</v>
      </c>
      <c r="EN24">
        <v>0</v>
      </c>
      <c r="EO24">
        <v>0</v>
      </c>
      <c r="EP24">
        <v>0</v>
      </c>
    </row>
    <row r="25" spans="1:146" ht="96" x14ac:dyDescent="0.25">
      <c r="A25" s="7"/>
      <c r="B25" s="7"/>
      <c r="C25" s="7" t="str">
        <f>""&amp;CHAR(10)&amp;Basic_Fundamental_Information_Constructure(F25)&amp;CHAR(10)&amp;Basic_Fundamental_Information_Concatenate("")</f>
        <v xml:space="preserve">
市值103.362428亿, 利润13.05亿; PE8.53; 平均PE27.5; 平均PEG2.19, PB.596; ROIC3.1767%; ROE7.5567%; 股利率0%; 毛利21.8133%; 净利13.8%; 上一年度营收增8.01%, 利润增-43.04%; 当季营收增-12.9%, 利润增-18.08%; 过往5年营收增12.57%, 利润增-542.38%
Income profile:
</v>
      </c>
      <c r="D25" s="11">
        <v>107</v>
      </c>
      <c r="E25" t="s">
        <v>667</v>
      </c>
      <c r="F25">
        <v>3.38</v>
      </c>
      <c r="G25" s="5">
        <v>-3.15E-2</v>
      </c>
      <c r="H25" t="s">
        <v>6788</v>
      </c>
      <c r="I25">
        <v>10336242800</v>
      </c>
      <c r="J25">
        <v>8.5299999999999994</v>
      </c>
      <c r="K25">
        <v>0.59599999999999997</v>
      </c>
      <c r="L25" t="s">
        <v>6350</v>
      </c>
      <c r="M25" t="s">
        <v>6789</v>
      </c>
      <c r="N25" t="s">
        <v>6790</v>
      </c>
      <c r="O25" t="s">
        <v>3754</v>
      </c>
      <c r="P25">
        <v>-8.52</v>
      </c>
      <c r="Q25" t="s">
        <v>6791</v>
      </c>
      <c r="R25">
        <v>1305370310</v>
      </c>
      <c r="S25" s="5">
        <v>-0.18079999999999999</v>
      </c>
      <c r="T25" t="s">
        <v>5061</v>
      </c>
      <c r="U25">
        <v>895320000</v>
      </c>
      <c r="V25">
        <v>3058060000</v>
      </c>
      <c r="W25">
        <v>3.67</v>
      </c>
      <c r="X25">
        <v>0.03</v>
      </c>
      <c r="Y25">
        <v>24.41</v>
      </c>
      <c r="Z25" t="s">
        <v>2444</v>
      </c>
      <c r="AA25" t="s">
        <v>2305</v>
      </c>
      <c r="AB25" t="s">
        <v>6792</v>
      </c>
      <c r="AC25" t="s">
        <v>1133</v>
      </c>
      <c r="AD25" t="s">
        <v>9</v>
      </c>
      <c r="AE25" t="s">
        <v>67</v>
      </c>
      <c r="AF25" t="s">
        <v>9</v>
      </c>
      <c r="AG25" t="s">
        <v>6793</v>
      </c>
      <c r="AH25" t="s">
        <v>6794</v>
      </c>
      <c r="AI25" t="s">
        <v>6795</v>
      </c>
      <c r="AJ25" t="s">
        <v>2283</v>
      </c>
      <c r="AK25" t="s">
        <v>6796</v>
      </c>
      <c r="AL25" t="s">
        <v>9</v>
      </c>
      <c r="AM25" t="s">
        <v>6797</v>
      </c>
      <c r="AN25" s="5">
        <v>0.71020000000000005</v>
      </c>
      <c r="AO25" t="s">
        <v>3634</v>
      </c>
      <c r="AP25" t="s">
        <v>64</v>
      </c>
      <c r="AQ25" t="s">
        <v>6798</v>
      </c>
      <c r="AR25" t="s">
        <v>5202</v>
      </c>
      <c r="AS25" t="s">
        <v>6799</v>
      </c>
      <c r="AT25" t="s">
        <v>6800</v>
      </c>
      <c r="AU25" t="s">
        <v>1050</v>
      </c>
      <c r="AV25" t="s">
        <v>6801</v>
      </c>
      <c r="AW25" t="s">
        <v>6802</v>
      </c>
      <c r="AX25" t="s">
        <v>6803</v>
      </c>
      <c r="AY25" t="s">
        <v>675</v>
      </c>
      <c r="AZ25" t="s">
        <v>676</v>
      </c>
      <c r="BA25" t="s">
        <v>678</v>
      </c>
      <c r="BB25" t="s">
        <v>679</v>
      </c>
      <c r="BC25" t="s">
        <v>680</v>
      </c>
      <c r="BD25" t="s">
        <v>681</v>
      </c>
      <c r="BE25" t="s">
        <v>682</v>
      </c>
      <c r="BF25" t="s">
        <v>683</v>
      </c>
      <c r="BG25" t="s">
        <v>684</v>
      </c>
      <c r="BH25" t="s">
        <v>6803</v>
      </c>
      <c r="BI25" t="s">
        <v>685</v>
      </c>
      <c r="BJ25" t="s">
        <v>675</v>
      </c>
      <c r="BK25" t="s">
        <v>668</v>
      </c>
      <c r="BL25" t="s">
        <v>213</v>
      </c>
      <c r="BM25" t="s">
        <v>680</v>
      </c>
      <c r="BN25">
        <v>2.2400000000000002</v>
      </c>
      <c r="BO25">
        <v>2.0499999999999998</v>
      </c>
      <c r="BP25">
        <v>5.24</v>
      </c>
      <c r="BQ25">
        <v>7.6</v>
      </c>
      <c r="BR25">
        <v>4.3</v>
      </c>
      <c r="BS25">
        <v>10.77</v>
      </c>
      <c r="BT25" t="s">
        <v>686</v>
      </c>
      <c r="BU25" t="s">
        <v>687</v>
      </c>
      <c r="BV25">
        <v>24.6</v>
      </c>
      <c r="BW25">
        <v>16.68</v>
      </c>
      <c r="BX25">
        <v>24.16</v>
      </c>
      <c r="BY25">
        <v>10.94</v>
      </c>
      <c r="BZ25">
        <v>8.3699999999999992</v>
      </c>
      <c r="CA25">
        <v>22.09</v>
      </c>
      <c r="CB25">
        <v>-5.32</v>
      </c>
      <c r="CC25">
        <v>1.9</v>
      </c>
      <c r="CD25" t="s">
        <v>6804</v>
      </c>
      <c r="CE25" t="s">
        <v>6805</v>
      </c>
      <c r="CF25" s="8">
        <v>-0.12903225806451613</v>
      </c>
      <c r="CG25" s="9">
        <v>-0.18079999999999999</v>
      </c>
      <c r="CH25" s="8">
        <v>8.0057822167873383E-2</v>
      </c>
      <c r="CI25" s="8">
        <v>8.702494204044342E-2</v>
      </c>
      <c r="CJ25" s="8">
        <v>0.10652879625558853</v>
      </c>
      <c r="CK25" s="8">
        <v>0.25830546021461487</v>
      </c>
      <c r="CL25" s="8">
        <v>-0.26921993494033813</v>
      </c>
      <c r="CM25" s="9">
        <v>-0.43037977814674377</v>
      </c>
      <c r="CN25" s="9">
        <v>1.8495025634765625</v>
      </c>
      <c r="CO25" s="9">
        <v>-0.33772653341293335</v>
      </c>
      <c r="CP25" s="9">
        <v>0.25542914867401123</v>
      </c>
      <c r="CQ25" s="9">
        <v>-9.7947761416435242E-2</v>
      </c>
      <c r="CR25">
        <v>27.502198137472284</v>
      </c>
      <c r="CS25">
        <v>2.1875866131567179</v>
      </c>
      <c r="CT25">
        <v>0</v>
      </c>
      <c r="CU25" s="8">
        <v>0.12571935653686522</v>
      </c>
      <c r="CV25" s="9">
        <v>-5.4238370138220491</v>
      </c>
      <c r="CW25">
        <v>0.06</v>
      </c>
      <c r="CX25">
        <v>26.748680643033545</v>
      </c>
      <c r="CY25">
        <v>1385909207.8118954</v>
      </c>
      <c r="CZ25">
        <v>0.12571935653686522</v>
      </c>
      <c r="DA25">
        <v>8.4818359448906619</v>
      </c>
      <c r="DB25">
        <v>4370662559.4817352</v>
      </c>
      <c r="DC25">
        <v>0.11943338871002196</v>
      </c>
      <c r="DD25">
        <v>4.0083978170846608</v>
      </c>
      <c r="DE25">
        <v>9248394119.4644718</v>
      </c>
      <c r="DF25">
        <v>0.11063303375244139</v>
      </c>
      <c r="DG25">
        <v>2.2970735564761062</v>
      </c>
      <c r="DH25">
        <v>16138465699.317978</v>
      </c>
      <c r="DI25">
        <v>0.10057548522949218</v>
      </c>
      <c r="DJ25">
        <v>1.0680506400125895</v>
      </c>
      <c r="DK25">
        <v>34709255733.008156</v>
      </c>
      <c r="DL25">
        <v>8.8003549575805654E-2</v>
      </c>
      <c r="DM25">
        <v>1305000000</v>
      </c>
      <c r="DN25">
        <v>0.12571935653686522</v>
      </c>
      <c r="DO25">
        <v>37071242800</v>
      </c>
      <c r="DP25" t="e">
        <v>#VALUE!</v>
      </c>
      <c r="DQ25">
        <v>24</v>
      </c>
      <c r="DR25">
        <v>-0.25475161460138135</v>
      </c>
      <c r="DS25">
        <v>5.2430370138220495</v>
      </c>
      <c r="DT25">
        <v>-0.34</v>
      </c>
      <c r="DU25">
        <v>-0.33333333333333331</v>
      </c>
      <c r="DV25">
        <v>-0.67333333333333334</v>
      </c>
      <c r="DW25">
        <v>-4.3571428571428568</v>
      </c>
      <c r="DX25">
        <v>0.37214970695669281</v>
      </c>
      <c r="DY25">
        <v>-4.0400534667702477</v>
      </c>
      <c r="DZ25">
        <v>0</v>
      </c>
      <c r="EA25">
        <v>-4.0400534667702477</v>
      </c>
      <c r="EB25">
        <v>4</v>
      </c>
      <c r="EC25">
        <v>3.0527850990497243E-3</v>
      </c>
      <c r="ED25">
        <v>2.7220623532566397E-2</v>
      </c>
      <c r="EE25">
        <v>0</v>
      </c>
      <c r="EF25">
        <v>0</v>
      </c>
      <c r="EG25">
        <v>26.112149706956693</v>
      </c>
      <c r="EH25" t="s">
        <v>110</v>
      </c>
      <c r="EI25">
        <v>0</v>
      </c>
      <c r="EJ25">
        <v>0</v>
      </c>
      <c r="EK25">
        <v>0</v>
      </c>
      <c r="EL25">
        <v>0</v>
      </c>
      <c r="EM25">
        <v>0</v>
      </c>
      <c r="EN25">
        <v>0</v>
      </c>
      <c r="EO25">
        <v>0</v>
      </c>
      <c r="EP25">
        <v>0</v>
      </c>
    </row>
    <row r="26" spans="1:146" ht="96" x14ac:dyDescent="0.25">
      <c r="A26" s="7"/>
      <c r="B26" s="7"/>
      <c r="C26" s="7" t="str">
        <f>""&amp;CHAR(10)&amp;Basic_Fundamental_Information_Constructure(F26)&amp;CHAR(10)&amp;Basic_Fundamental_Information_Concatenate("")</f>
        <v xml:space="preserve">
市值56.55351亿, 利润15.84亿; PE3.57; 平均PE14.96; 平均PEG.04, PB.151; ROIC1.3767%; ROE4.3933%; 股利率0%; 毛利27.0733%; 净利4.5267%; 上一年度营收增-3.29%, 利润增-37.17%, 利润增72%; 过往5年营收增418.62%, 利润增66.76%
Income profile:
</v>
      </c>
      <c r="D26" s="11">
        <v>119</v>
      </c>
      <c r="E26" t="s">
        <v>688</v>
      </c>
      <c r="F26">
        <v>1.48</v>
      </c>
      <c r="G26" s="5">
        <v>-1.9900000000000001E-2</v>
      </c>
      <c r="H26" t="s">
        <v>6806</v>
      </c>
      <c r="I26">
        <v>5655351000</v>
      </c>
      <c r="J26">
        <v>3.57</v>
      </c>
      <c r="K26">
        <v>0.151</v>
      </c>
      <c r="L26" t="s">
        <v>6350</v>
      </c>
      <c r="M26" t="s">
        <v>9</v>
      </c>
      <c r="N26" t="s">
        <v>9</v>
      </c>
      <c r="O26" t="s">
        <v>9</v>
      </c>
      <c r="P26" t="s">
        <v>9</v>
      </c>
      <c r="Q26" t="s">
        <v>6807</v>
      </c>
      <c r="R26">
        <v>1583599000</v>
      </c>
      <c r="S26" s="5">
        <v>0.72</v>
      </c>
      <c r="T26" t="s">
        <v>1583</v>
      </c>
      <c r="U26">
        <v>3821183100</v>
      </c>
      <c r="V26">
        <v>3821183100</v>
      </c>
      <c r="W26" t="s">
        <v>9</v>
      </c>
      <c r="X26" t="s">
        <v>9</v>
      </c>
      <c r="Y26" t="s">
        <v>9</v>
      </c>
      <c r="Z26" t="s">
        <v>9</v>
      </c>
      <c r="AA26" t="s">
        <v>9</v>
      </c>
      <c r="AB26" t="s">
        <v>9</v>
      </c>
      <c r="AC26" t="s">
        <v>9</v>
      </c>
      <c r="AD26" t="s">
        <v>9</v>
      </c>
      <c r="AE26" t="s">
        <v>9</v>
      </c>
      <c r="AF26" t="s">
        <v>9</v>
      </c>
      <c r="AG26" t="s">
        <v>9</v>
      </c>
      <c r="AH26" t="s">
        <v>6808</v>
      </c>
      <c r="AI26" t="s">
        <v>9</v>
      </c>
      <c r="AJ26" t="s">
        <v>9</v>
      </c>
      <c r="AK26" t="s">
        <v>6809</v>
      </c>
      <c r="AL26" t="s">
        <v>9</v>
      </c>
      <c r="AM26" t="s">
        <v>9</v>
      </c>
      <c r="AN26" s="5">
        <v>0.78059999999999996</v>
      </c>
      <c r="AO26" t="s">
        <v>9</v>
      </c>
      <c r="AP26" t="s">
        <v>6810</v>
      </c>
      <c r="AQ26" t="s">
        <v>9</v>
      </c>
      <c r="AR26" t="s">
        <v>2526</v>
      </c>
      <c r="AS26" t="s">
        <v>9</v>
      </c>
      <c r="AT26" t="s">
        <v>9</v>
      </c>
      <c r="AU26" t="s">
        <v>1625</v>
      </c>
      <c r="AV26" t="s">
        <v>6811</v>
      </c>
      <c r="AW26" t="s">
        <v>9</v>
      </c>
      <c r="AX26" t="s">
        <v>689</v>
      </c>
      <c r="AY26" t="s">
        <v>692</v>
      </c>
      <c r="AZ26" t="s">
        <v>693</v>
      </c>
      <c r="BA26" t="s">
        <v>694</v>
      </c>
      <c r="BB26" t="s">
        <v>695</v>
      </c>
      <c r="BC26" t="s">
        <v>6812</v>
      </c>
      <c r="BD26" t="s">
        <v>696</v>
      </c>
      <c r="BE26" t="s">
        <v>697</v>
      </c>
      <c r="BF26" t="s">
        <v>698</v>
      </c>
      <c r="BG26" t="s">
        <v>699</v>
      </c>
      <c r="BH26" t="s">
        <v>689</v>
      </c>
      <c r="BI26" t="s">
        <v>9</v>
      </c>
      <c r="BJ26" t="s">
        <v>692</v>
      </c>
      <c r="BK26" t="s">
        <v>690</v>
      </c>
      <c r="BL26" t="s">
        <v>9</v>
      </c>
      <c r="BM26" t="s">
        <v>6812</v>
      </c>
      <c r="BN26">
        <v>1.31</v>
      </c>
      <c r="BO26">
        <v>0.76</v>
      </c>
      <c r="BP26">
        <v>2.06</v>
      </c>
      <c r="BQ26">
        <v>4.24</v>
      </c>
      <c r="BR26">
        <v>2.48</v>
      </c>
      <c r="BS26">
        <v>6.46</v>
      </c>
      <c r="BT26" t="s">
        <v>700</v>
      </c>
      <c r="BU26" t="s">
        <v>410</v>
      </c>
      <c r="BV26">
        <v>20.420000000000002</v>
      </c>
      <c r="BW26">
        <v>26.94</v>
      </c>
      <c r="BX26">
        <v>33.86</v>
      </c>
      <c r="BY26">
        <v>3.99</v>
      </c>
      <c r="BZ26">
        <v>2.4500000000000002</v>
      </c>
      <c r="CA26">
        <v>7.14</v>
      </c>
      <c r="CB26">
        <v>0.68</v>
      </c>
      <c r="CC26">
        <v>-1.33</v>
      </c>
      <c r="CD26" t="s">
        <v>6813</v>
      </c>
      <c r="CE26" t="s">
        <v>2935</v>
      </c>
      <c r="CF26" s="8" t="s">
        <v>9</v>
      </c>
      <c r="CG26" s="9">
        <v>0.72</v>
      </c>
      <c r="CH26" s="8">
        <v>-3.2890714704990387E-2</v>
      </c>
      <c r="CI26" s="8">
        <v>0.25026276707649231</v>
      </c>
      <c r="CJ26" s="8">
        <v>0.18631109595298767</v>
      </c>
      <c r="CK26" s="8">
        <v>0.34634584188461304</v>
      </c>
      <c r="CL26" s="8">
        <v>-0.26713556051254272</v>
      </c>
      <c r="CM26" s="9">
        <v>-0.37167787551879883</v>
      </c>
      <c r="CN26" s="9">
        <v>0.3409574031829834</v>
      </c>
      <c r="CO26" s="9">
        <v>-0.50952255725860596</v>
      </c>
      <c r="CP26" s="9">
        <v>0.70963430404663086</v>
      </c>
      <c r="CQ26" s="9">
        <v>-8.9358344674110413E-2</v>
      </c>
      <c r="CR26">
        <v>14.961246031746033</v>
      </c>
      <c r="CS26">
        <v>3.5739057629057824E-2</v>
      </c>
      <c r="CT26">
        <v>0</v>
      </c>
      <c r="CU26" s="8">
        <v>4.1862452521920206</v>
      </c>
      <c r="CV26" s="9">
        <v>0.66762028932571416</v>
      </c>
      <c r="CW26">
        <v>0.06</v>
      </c>
      <c r="CX26">
        <v>0.72972160115150253</v>
      </c>
      <c r="CY26">
        <v>7750011773.0869446</v>
      </c>
      <c r="CZ26">
        <v>4.1862452521920206</v>
      </c>
      <c r="DA26">
        <v>2.7411775622097841E-2</v>
      </c>
      <c r="DB26">
        <v>206311005823.38681</v>
      </c>
      <c r="DC26">
        <v>3.9769329895824193</v>
      </c>
      <c r="DD26">
        <v>3.7112741720395141E-4</v>
      </c>
      <c r="DE26">
        <v>15238300211304.861</v>
      </c>
      <c r="DF26">
        <v>3.6838958219289784</v>
      </c>
      <c r="DG26">
        <v>1.9977788968942244E-6</v>
      </c>
      <c r="DH26">
        <v>2830819270737061.5</v>
      </c>
      <c r="DI26">
        <v>3.3489962017536166</v>
      </c>
      <c r="DJ26">
        <v>1.0805721686387681E-11</v>
      </c>
      <c r="DK26">
        <v>5.2336633906870184E+20</v>
      </c>
      <c r="DL26">
        <v>2.9303716765344143</v>
      </c>
      <c r="DM26">
        <v>1584000000</v>
      </c>
      <c r="DN26">
        <v>4.1862452521920206</v>
      </c>
      <c r="DO26">
        <v>5655351000</v>
      </c>
      <c r="DP26" t="e">
        <v>#VALUE!</v>
      </c>
      <c r="DQ26">
        <v>25</v>
      </c>
      <c r="DR26" t="e">
        <v>#VALUE!</v>
      </c>
      <c r="DS26">
        <v>5.2379710674285818E-2</v>
      </c>
      <c r="DT26" t="e">
        <v>#VALUE!</v>
      </c>
      <c r="DU26" t="e">
        <v>#VALUE!</v>
      </c>
      <c r="DV26" t="e">
        <v>#VALUE!</v>
      </c>
      <c r="DW26">
        <v>-1.3300000000000001E-2</v>
      </c>
      <c r="DX26">
        <v>0.26507899686520264</v>
      </c>
      <c r="DY26">
        <v>-1.3975506583072102E-3</v>
      </c>
      <c r="DZ26">
        <v>0</v>
      </c>
      <c r="EA26">
        <v>-1.3975506583072102E-3</v>
      </c>
      <c r="EB26">
        <v>0</v>
      </c>
      <c r="EC26">
        <v>8.7722046085674348E-3</v>
      </c>
      <c r="ED26">
        <v>8.3481998023073017E-2</v>
      </c>
      <c r="EE26">
        <v>0</v>
      </c>
      <c r="EF26">
        <v>0</v>
      </c>
      <c r="EG26">
        <v>16.105078996865203</v>
      </c>
      <c r="EH26" t="s">
        <v>110</v>
      </c>
      <c r="EI26">
        <v>0</v>
      </c>
      <c r="EJ26">
        <v>0</v>
      </c>
      <c r="EK26">
        <v>0</v>
      </c>
      <c r="EL26">
        <v>0</v>
      </c>
      <c r="EM26">
        <v>0</v>
      </c>
      <c r="EN26">
        <v>0</v>
      </c>
      <c r="EO26">
        <v>0</v>
      </c>
      <c r="EP26">
        <v>0</v>
      </c>
    </row>
    <row r="27" spans="1:146" x14ac:dyDescent="0.25">
      <c r="D27" s="11">
        <v>120</v>
      </c>
      <c r="E27" t="s">
        <v>6357</v>
      </c>
      <c r="F27">
        <v>0.38500000000000001</v>
      </c>
      <c r="G27">
        <v>-4.9399999999999999E-2</v>
      </c>
      <c r="H27" t="s">
        <v>6814</v>
      </c>
      <c r="I27">
        <v>477253910</v>
      </c>
      <c r="K27">
        <v>0.40200000000000002</v>
      </c>
      <c r="L27" t="s">
        <v>6350</v>
      </c>
      <c r="M27" t="s">
        <v>9</v>
      </c>
      <c r="N27" t="s">
        <v>9</v>
      </c>
      <c r="O27" t="s">
        <v>9</v>
      </c>
      <c r="P27" s="5" t="s">
        <v>9</v>
      </c>
      <c r="Q27" t="s">
        <v>6815</v>
      </c>
      <c r="R27">
        <v>-372300000</v>
      </c>
      <c r="S27">
        <v>-94.07</v>
      </c>
      <c r="T27" t="s">
        <v>5934</v>
      </c>
      <c r="U27">
        <v>1239620550</v>
      </c>
      <c r="V27">
        <v>1239620550</v>
      </c>
      <c r="W27" t="s">
        <v>9</v>
      </c>
      <c r="X27" t="s">
        <v>9</v>
      </c>
      <c r="Y27" t="s">
        <v>9</v>
      </c>
      <c r="Z27" t="s">
        <v>9</v>
      </c>
      <c r="AA27" t="s">
        <v>9</v>
      </c>
      <c r="AB27" t="s">
        <v>9</v>
      </c>
      <c r="AC27" t="s">
        <v>9</v>
      </c>
      <c r="AD27" t="s">
        <v>9</v>
      </c>
      <c r="AE27" t="s">
        <v>9</v>
      </c>
      <c r="AF27" t="s">
        <v>9</v>
      </c>
      <c r="AG27" t="s">
        <v>9</v>
      </c>
      <c r="AH27" t="s">
        <v>6816</v>
      </c>
      <c r="AI27" t="s">
        <v>9</v>
      </c>
      <c r="AJ27" t="s">
        <v>9</v>
      </c>
      <c r="AK27" s="5" t="s">
        <v>6817</v>
      </c>
      <c r="AL27" t="s">
        <v>9</v>
      </c>
      <c r="AM27" t="s">
        <v>9</v>
      </c>
      <c r="AN27">
        <v>0.70250000000000001</v>
      </c>
      <c r="AO27" t="s">
        <v>9</v>
      </c>
      <c r="AP27" t="s">
        <v>2505</v>
      </c>
      <c r="AQ27" t="s">
        <v>9</v>
      </c>
      <c r="AR27" t="s">
        <v>1636</v>
      </c>
      <c r="AS27" t="s">
        <v>9</v>
      </c>
      <c r="AT27" t="s">
        <v>9</v>
      </c>
      <c r="AU27" t="s">
        <v>6818</v>
      </c>
      <c r="AV27" t="s">
        <v>6819</v>
      </c>
      <c r="AW27" t="s">
        <v>9</v>
      </c>
      <c r="AX27" t="s">
        <v>6412</v>
      </c>
      <c r="AY27" t="s">
        <v>2391</v>
      </c>
      <c r="AZ27" t="s">
        <v>6820</v>
      </c>
      <c r="BA27" t="s">
        <v>6821</v>
      </c>
      <c r="BB27" t="s">
        <v>5141</v>
      </c>
      <c r="BC27" t="s">
        <v>6822</v>
      </c>
      <c r="BD27" t="s">
        <v>5962</v>
      </c>
      <c r="BE27" t="s">
        <v>3212</v>
      </c>
      <c r="BF27" t="s">
        <v>2064</v>
      </c>
      <c r="BG27" t="s">
        <v>6823</v>
      </c>
      <c r="BH27" t="s">
        <v>6412</v>
      </c>
      <c r="BI27" t="s">
        <v>9</v>
      </c>
      <c r="BJ27" t="s">
        <v>2391</v>
      </c>
      <c r="BK27" t="s">
        <v>6824</v>
      </c>
      <c r="BL27" t="s">
        <v>9</v>
      </c>
      <c r="BM27" t="s">
        <v>6822</v>
      </c>
      <c r="BN27">
        <v>-17.82</v>
      </c>
      <c r="BO27">
        <v>0.19</v>
      </c>
      <c r="BP27">
        <v>1.47</v>
      </c>
      <c r="BQ27">
        <v>-31.38</v>
      </c>
      <c r="BR27">
        <v>0.28000000000000003</v>
      </c>
      <c r="BS27">
        <v>2.06</v>
      </c>
      <c r="BT27" t="s">
        <v>6825</v>
      </c>
      <c r="BU27" t="s">
        <v>410</v>
      </c>
      <c r="BV27">
        <v>14.1</v>
      </c>
      <c r="BW27">
        <v>34.380000000000003</v>
      </c>
      <c r="BX27">
        <v>39.799999999999997</v>
      </c>
      <c r="BY27">
        <v>-481.63</v>
      </c>
      <c r="BZ27">
        <v>0.39</v>
      </c>
      <c r="CA27">
        <v>2.0499999999999998</v>
      </c>
      <c r="CB27">
        <v>-16.3</v>
      </c>
      <c r="CC27" s="8">
        <v>-51.27</v>
      </c>
      <c r="CD27" s="10" t="s">
        <v>6826</v>
      </c>
      <c r="CE27" s="8" t="s">
        <v>4560</v>
      </c>
      <c r="CF27" s="8" t="s">
        <v>9</v>
      </c>
      <c r="CG27" s="8">
        <v>-94.07</v>
      </c>
      <c r="CH27" s="8">
        <v>-0.92391735315322876</v>
      </c>
      <c r="CI27" s="8">
        <v>-0.38010984659194946</v>
      </c>
      <c r="CJ27" s="9">
        <v>22.548851013183594</v>
      </c>
      <c r="CK27" s="9">
        <v>-0.96758270263671875</v>
      </c>
      <c r="CL27" s="9">
        <v>1.5867470502853394</v>
      </c>
      <c r="CM27" s="9">
        <v>-12.071428298950195</v>
      </c>
      <c r="CN27" s="9">
        <v>1.2709677219390869</v>
      </c>
      <c r="CO27">
        <v>0.27058824896812439</v>
      </c>
      <c r="CP27">
        <v>-1.8415842056274414</v>
      </c>
      <c r="CQ27">
        <v>13.744525909423828</v>
      </c>
      <c r="CR27" s="8">
        <v>1.0535406401766005</v>
      </c>
      <c r="CS27" s="9">
        <v>0.12263764669083231</v>
      </c>
      <c r="CT27" t="e">
        <v>#VALUE!</v>
      </c>
      <c r="CU27">
        <v>8.590678870677948E-2</v>
      </c>
      <c r="CV27">
        <v>0.57155904620885845</v>
      </c>
      <c r="CW27">
        <v>0.06</v>
      </c>
      <c r="CX27" t="e">
        <v>#VALUE!</v>
      </c>
      <c r="CY27" t="s">
        <v>109</v>
      </c>
      <c r="CZ27">
        <v>8.590678870677948E-2</v>
      </c>
      <c r="DA27" t="e">
        <v>#VALUE!</v>
      </c>
      <c r="DB27" t="s">
        <v>108</v>
      </c>
      <c r="DC27">
        <v>8.1611449271440498E-2</v>
      </c>
      <c r="DD27" t="e">
        <v>#VALUE!</v>
      </c>
      <c r="DE27" t="s">
        <v>108</v>
      </c>
      <c r="DF27">
        <v>7.5597974061965945E-2</v>
      </c>
      <c r="DG27" t="e">
        <v>#VALUE!</v>
      </c>
      <c r="DH27" t="s">
        <v>108</v>
      </c>
      <c r="DI27">
        <v>6.8725430965423592E-2</v>
      </c>
      <c r="DJ27" t="e">
        <v>#VALUE!</v>
      </c>
      <c r="DK27" t="s">
        <v>108</v>
      </c>
      <c r="DL27">
        <v>6.0134752094745635E-2</v>
      </c>
      <c r="DM27">
        <v>-372000000</v>
      </c>
      <c r="DN27">
        <v>8.590678870677948E-2</v>
      </c>
      <c r="DO27">
        <v>477253910</v>
      </c>
      <c r="DP27" t="e">
        <v>#VALUE!</v>
      </c>
      <c r="DQ27">
        <v>26</v>
      </c>
      <c r="DR27" t="e">
        <v>#VALUE!</v>
      </c>
      <c r="DS27">
        <v>-94.641559046208855</v>
      </c>
      <c r="DT27" t="e">
        <v>#VALUE!</v>
      </c>
      <c r="DU27" t="e">
        <v>#VALUE!</v>
      </c>
      <c r="DV27" t="e">
        <v>#VALUE!</v>
      </c>
      <c r="DW27">
        <v>-9.3179247123073914</v>
      </c>
      <c r="DX27">
        <v>0.17787157414448643</v>
      </c>
      <c r="DY27">
        <v>-9.027936544929883</v>
      </c>
      <c r="DZ27">
        <v>0</v>
      </c>
      <c r="EA27">
        <v>-9.027936544929883</v>
      </c>
      <c r="EB27">
        <v>9</v>
      </c>
      <c r="EC27">
        <v>7.4571932515962239E-2</v>
      </c>
      <c r="ED27">
        <v>0.84864678953571715</v>
      </c>
      <c r="EE27">
        <v>0</v>
      </c>
      <c r="EF27">
        <v>0</v>
      </c>
      <c r="EG27">
        <v>9.0878715741444864</v>
      </c>
      <c r="EH27" t="s">
        <v>110</v>
      </c>
      <c r="EI27">
        <v>0</v>
      </c>
      <c r="EJ27">
        <v>0</v>
      </c>
      <c r="EK27">
        <v>0</v>
      </c>
      <c r="EL27">
        <v>0</v>
      </c>
      <c r="EM27">
        <v>0</v>
      </c>
      <c r="EN27">
        <v>0</v>
      </c>
      <c r="EO27">
        <v>0</v>
      </c>
      <c r="EP27">
        <v>0</v>
      </c>
    </row>
    <row r="28" spans="1:146" ht="96" x14ac:dyDescent="0.25">
      <c r="A28" s="7"/>
      <c r="B28" s="7"/>
      <c r="C28" s="7" t="str">
        <f>""&amp;CHAR(10)&amp;Basic_Fundamental_Information_Constructure(F28)&amp;CHAR(10)&amp;Basic_Fundamental_Information_Concatenate("")</f>
        <v xml:space="preserve">
市值208.51535亿, 利润34.91亿; PE5.97; 平均PE21.11; 平均PEG.13, PB.342; ROIC2.7633%; ROE7.2767%; 股利率0%; 毛利19.16%; 净利7.79%; 上一年度营收增7.65%, 利润增-20.57%, 利润增-21.71%; 过往5年营收增166.02%, 利润增64.83%
Income profile:
</v>
      </c>
      <c r="D28" s="11">
        <v>123</v>
      </c>
      <c r="E28" t="s">
        <v>702</v>
      </c>
      <c r="F28">
        <v>5.18</v>
      </c>
      <c r="G28" s="5">
        <v>-4.7800000000000002E-2</v>
      </c>
      <c r="H28" t="s">
        <v>6827</v>
      </c>
      <c r="I28">
        <v>20851535000</v>
      </c>
      <c r="J28">
        <v>5.97</v>
      </c>
      <c r="K28">
        <v>0.34200000000000003</v>
      </c>
      <c r="L28" t="s">
        <v>6350</v>
      </c>
      <c r="M28" t="s">
        <v>9</v>
      </c>
      <c r="N28" t="s">
        <v>9</v>
      </c>
      <c r="O28" t="s">
        <v>9</v>
      </c>
      <c r="P28" t="s">
        <v>9</v>
      </c>
      <c r="Q28" t="s">
        <v>6828</v>
      </c>
      <c r="R28">
        <v>3491490200</v>
      </c>
      <c r="S28" s="5">
        <v>-0.21709999999999999</v>
      </c>
      <c r="T28" t="s">
        <v>6829</v>
      </c>
      <c r="U28">
        <v>4025392900</v>
      </c>
      <c r="V28">
        <v>4025392900</v>
      </c>
      <c r="W28" t="s">
        <v>9</v>
      </c>
      <c r="X28" t="s">
        <v>9</v>
      </c>
      <c r="Y28" t="s">
        <v>9</v>
      </c>
      <c r="Z28" t="s">
        <v>9</v>
      </c>
      <c r="AA28" t="s">
        <v>9</v>
      </c>
      <c r="AB28" t="s">
        <v>9</v>
      </c>
      <c r="AC28" t="s">
        <v>9</v>
      </c>
      <c r="AD28" t="s">
        <v>9</v>
      </c>
      <c r="AE28" t="s">
        <v>9</v>
      </c>
      <c r="AF28" t="s">
        <v>9</v>
      </c>
      <c r="AG28" t="s">
        <v>9</v>
      </c>
      <c r="AH28" t="s">
        <v>6830</v>
      </c>
      <c r="AI28" t="s">
        <v>9</v>
      </c>
      <c r="AJ28" t="s">
        <v>9</v>
      </c>
      <c r="AK28" t="s">
        <v>6831</v>
      </c>
      <c r="AL28" t="s">
        <v>9</v>
      </c>
      <c r="AM28" t="s">
        <v>9</v>
      </c>
      <c r="AN28" s="5">
        <v>0.74519999999999997</v>
      </c>
      <c r="AO28" t="s">
        <v>9</v>
      </c>
      <c r="AP28" t="s">
        <v>1028</v>
      </c>
      <c r="AQ28" t="s">
        <v>9</v>
      </c>
      <c r="AR28" t="s">
        <v>6832</v>
      </c>
      <c r="AS28" t="s">
        <v>9</v>
      </c>
      <c r="AT28" t="s">
        <v>9</v>
      </c>
      <c r="AU28" t="s">
        <v>6833</v>
      </c>
      <c r="AV28" t="s">
        <v>1838</v>
      </c>
      <c r="AW28" t="s">
        <v>9</v>
      </c>
      <c r="AX28" t="s">
        <v>703</v>
      </c>
      <c r="AY28" t="s">
        <v>707</v>
      </c>
      <c r="AZ28" t="s">
        <v>708</v>
      </c>
      <c r="BA28" t="s">
        <v>709</v>
      </c>
      <c r="BB28" t="s">
        <v>710</v>
      </c>
      <c r="BC28" t="s">
        <v>711</v>
      </c>
      <c r="BD28" t="s">
        <v>712</v>
      </c>
      <c r="BE28" t="s">
        <v>713</v>
      </c>
      <c r="BF28" t="s">
        <v>714</v>
      </c>
      <c r="BG28" t="s">
        <v>715</v>
      </c>
      <c r="BH28" t="s">
        <v>703</v>
      </c>
      <c r="BI28" t="s">
        <v>9</v>
      </c>
      <c r="BJ28" t="s">
        <v>707</v>
      </c>
      <c r="BK28" t="s">
        <v>704</v>
      </c>
      <c r="BL28" t="s">
        <v>9</v>
      </c>
      <c r="BM28" t="s">
        <v>711</v>
      </c>
      <c r="BN28">
        <v>2.15</v>
      </c>
      <c r="BO28">
        <v>3.07</v>
      </c>
      <c r="BP28">
        <v>3.07</v>
      </c>
      <c r="BQ28">
        <v>5.73</v>
      </c>
      <c r="BR28">
        <v>8.34</v>
      </c>
      <c r="BS28">
        <v>7.76</v>
      </c>
      <c r="BT28" t="s">
        <v>6834</v>
      </c>
      <c r="BU28" t="s">
        <v>410</v>
      </c>
      <c r="BV28">
        <v>15.28</v>
      </c>
      <c r="BW28">
        <v>20.45</v>
      </c>
      <c r="BX28">
        <v>21.75</v>
      </c>
      <c r="BY28">
        <v>5.7</v>
      </c>
      <c r="BZ28">
        <v>8.48</v>
      </c>
      <c r="CA28">
        <v>9.19</v>
      </c>
      <c r="CB28">
        <v>-6.5</v>
      </c>
      <c r="CC28">
        <v>-2.81</v>
      </c>
      <c r="CD28" t="s">
        <v>6835</v>
      </c>
      <c r="CE28" t="s">
        <v>6429</v>
      </c>
      <c r="CF28" s="8" t="s">
        <v>9</v>
      </c>
      <c r="CG28" s="9">
        <v>-0.21709999999999999</v>
      </c>
      <c r="CH28" s="8">
        <v>7.6470129191875458E-2</v>
      </c>
      <c r="CI28" s="8">
        <v>0.16270996630191803</v>
      </c>
      <c r="CJ28" s="8">
        <v>0.27497416734695435</v>
      </c>
      <c r="CK28" s="8">
        <v>0.83097976446151733</v>
      </c>
      <c r="CL28" s="8">
        <v>5.5035613477230072E-2</v>
      </c>
      <c r="CM28" s="9">
        <v>-0.2056882381439209</v>
      </c>
      <c r="CN28" s="9">
        <v>-0.13193763792514801</v>
      </c>
      <c r="CO28" s="9">
        <v>0.30053946375846863</v>
      </c>
      <c r="CP28" s="9">
        <v>0.25338059663772583</v>
      </c>
      <c r="CQ28" s="9">
        <v>0.14612536132335663</v>
      </c>
      <c r="CR28">
        <v>21.111915288558894</v>
      </c>
      <c r="CS28">
        <v>0.12716423735145743</v>
      </c>
      <c r="CT28">
        <v>0</v>
      </c>
      <c r="CU28" s="8">
        <v>1.6602085404098035</v>
      </c>
      <c r="CV28" s="9">
        <v>0.64828352481126783</v>
      </c>
      <c r="CW28">
        <v>0.06</v>
      </c>
      <c r="CX28">
        <v>2.3800077126043804</v>
      </c>
      <c r="CY28">
        <v>8761120768.4628506</v>
      </c>
      <c r="CZ28">
        <v>1.6602085404098035</v>
      </c>
      <c r="DA28">
        <v>0.26295234613894519</v>
      </c>
      <c r="DB28">
        <v>79297771273.666275</v>
      </c>
      <c r="DC28">
        <v>1.5771981133893131</v>
      </c>
      <c r="DD28">
        <v>2.1851309547149513E-2</v>
      </c>
      <c r="DE28">
        <v>954246469988.80066</v>
      </c>
      <c r="DF28">
        <v>1.460983515560627</v>
      </c>
      <c r="DG28">
        <v>1.245760074676924E-3</v>
      </c>
      <c r="DH28">
        <v>16738002303860.674</v>
      </c>
      <c r="DI28">
        <v>1.3281668323278428</v>
      </c>
      <c r="DJ28">
        <v>1.9586626026684886E-6</v>
      </c>
      <c r="DK28">
        <v>1.0645802381477952E+16</v>
      </c>
      <c r="DL28">
        <v>1.1621459782868624</v>
      </c>
      <c r="DM28">
        <v>3490999999.9999995</v>
      </c>
      <c r="DN28">
        <v>1.6602085404098035</v>
      </c>
      <c r="DO28">
        <v>20851535000</v>
      </c>
      <c r="DP28" t="e">
        <v>#VALUE!</v>
      </c>
      <c r="DQ28">
        <v>27</v>
      </c>
      <c r="DR28" t="e">
        <v>#VALUE!</v>
      </c>
      <c r="DS28">
        <v>-0.86538352481126779</v>
      </c>
      <c r="DT28" t="e">
        <v>#VALUE!</v>
      </c>
      <c r="DU28" t="e">
        <v>#VALUE!</v>
      </c>
      <c r="DV28" t="e">
        <v>#VALUE!</v>
      </c>
      <c r="DW28">
        <v>-5.4323076923076927</v>
      </c>
      <c r="DX28">
        <v>0.49383912556053927</v>
      </c>
      <c r="DY28">
        <v>-5.0319212219730938</v>
      </c>
      <c r="DZ28">
        <v>0</v>
      </c>
      <c r="EA28">
        <v>-5.0319212219730938</v>
      </c>
      <c r="EB28">
        <v>5</v>
      </c>
      <c r="EC28">
        <v>1.6362253731803424E-2</v>
      </c>
      <c r="ED28">
        <v>0.22159327602530426</v>
      </c>
      <c r="EE28">
        <v>0</v>
      </c>
      <c r="EF28">
        <v>0</v>
      </c>
      <c r="EG28">
        <v>42.073839125560539</v>
      </c>
      <c r="EH28" t="s">
        <v>110</v>
      </c>
      <c r="EI28">
        <v>0</v>
      </c>
      <c r="EJ28">
        <v>0</v>
      </c>
      <c r="EK28">
        <v>0</v>
      </c>
      <c r="EL28">
        <v>0</v>
      </c>
      <c r="EM28">
        <v>0</v>
      </c>
      <c r="EN28">
        <v>0</v>
      </c>
      <c r="EO28">
        <v>0</v>
      </c>
      <c r="EP28">
        <v>0</v>
      </c>
    </row>
    <row r="29" spans="1:146" ht="96" x14ac:dyDescent="0.25">
      <c r="A29" s="7"/>
      <c r="B29" s="7"/>
      <c r="C29" s="7" t="str">
        <f>""&amp;CHAR(10)&amp;Basic_Fundamental_Information_Constructure(F29)&amp;CHAR(10)&amp;Basic_Fundamental_Information_Concatenate("")</f>
        <v xml:space="preserve">
市值690.97238亿, 利润62.29亿; PE11.09; 平均PE44.06; 平均PEG2.17, PB.994; ROIC13.7667%; ROE19.53%; 毛利15.78%; 净利9.5333%; 上一年度营收增.23%, 利润增-77.9%, 利润增5.61%; 过往5年营收增-20.28%, 利润增-29.69%
Income profile:
</v>
      </c>
      <c r="D29" s="11">
        <v>135</v>
      </c>
      <c r="E29" t="s">
        <v>717</v>
      </c>
      <c r="F29">
        <v>7.98</v>
      </c>
      <c r="G29" s="5">
        <v>-3.1600000000000003E-2</v>
      </c>
      <c r="H29" t="s">
        <v>6836</v>
      </c>
      <c r="I29">
        <v>69097238000</v>
      </c>
      <c r="J29">
        <v>11.09</v>
      </c>
      <c r="K29">
        <v>0.99399999999999999</v>
      </c>
      <c r="L29" t="s">
        <v>6350</v>
      </c>
      <c r="M29" t="s">
        <v>9</v>
      </c>
      <c r="N29" t="s">
        <v>9</v>
      </c>
      <c r="O29" t="s">
        <v>9</v>
      </c>
      <c r="P29" t="s">
        <v>9</v>
      </c>
      <c r="Q29" t="s">
        <v>6837</v>
      </c>
      <c r="R29">
        <v>6228608400</v>
      </c>
      <c r="S29" s="5">
        <v>5.6099999999999997E-2</v>
      </c>
      <c r="T29" t="s">
        <v>6838</v>
      </c>
      <c r="U29">
        <v>8658801700</v>
      </c>
      <c r="V29">
        <v>8658801700</v>
      </c>
      <c r="W29" t="s">
        <v>9</v>
      </c>
      <c r="X29" t="s">
        <v>9</v>
      </c>
      <c r="Y29" t="s">
        <v>9</v>
      </c>
      <c r="Z29" t="s">
        <v>9</v>
      </c>
      <c r="AA29" t="s">
        <v>9</v>
      </c>
      <c r="AB29" t="s">
        <v>9</v>
      </c>
      <c r="AC29" t="s">
        <v>9</v>
      </c>
      <c r="AD29" t="s">
        <v>9</v>
      </c>
      <c r="AE29" t="s">
        <v>9</v>
      </c>
      <c r="AF29" t="s">
        <v>9</v>
      </c>
      <c r="AG29" t="s">
        <v>9</v>
      </c>
      <c r="AH29" t="s">
        <v>6839</v>
      </c>
      <c r="AI29" t="s">
        <v>9</v>
      </c>
      <c r="AJ29" t="s">
        <v>9</v>
      </c>
      <c r="AK29" t="s">
        <v>6840</v>
      </c>
      <c r="AL29" t="s">
        <v>9</v>
      </c>
      <c r="AM29" t="s">
        <v>9</v>
      </c>
      <c r="AN29" s="5">
        <v>0.40229999999999999</v>
      </c>
      <c r="AO29" t="s">
        <v>9</v>
      </c>
      <c r="AP29" t="s">
        <v>747</v>
      </c>
      <c r="AQ29" t="s">
        <v>9</v>
      </c>
      <c r="AR29" t="s">
        <v>6841</v>
      </c>
      <c r="AS29" t="s">
        <v>9</v>
      </c>
      <c r="AT29" t="s">
        <v>9</v>
      </c>
      <c r="AU29" t="s">
        <v>6842</v>
      </c>
      <c r="AV29" t="s">
        <v>6843</v>
      </c>
      <c r="AW29" t="s">
        <v>9</v>
      </c>
      <c r="AX29" t="s">
        <v>718</v>
      </c>
      <c r="AY29" t="s">
        <v>721</v>
      </c>
      <c r="AZ29" t="s">
        <v>722</v>
      </c>
      <c r="BA29" t="s">
        <v>723</v>
      </c>
      <c r="BB29" t="s">
        <v>724</v>
      </c>
      <c r="BC29" t="s">
        <v>725</v>
      </c>
      <c r="BD29" t="s">
        <v>726</v>
      </c>
      <c r="BE29" t="s">
        <v>727</v>
      </c>
      <c r="BF29" t="s">
        <v>728</v>
      </c>
      <c r="BG29" t="s">
        <v>729</v>
      </c>
      <c r="BH29" t="s">
        <v>718</v>
      </c>
      <c r="BI29" t="s">
        <v>9</v>
      </c>
      <c r="BJ29" t="s">
        <v>721</v>
      </c>
      <c r="BK29" t="s">
        <v>719</v>
      </c>
      <c r="BL29" t="s">
        <v>9</v>
      </c>
      <c r="BM29" t="s">
        <v>725</v>
      </c>
      <c r="BN29">
        <v>6.57</v>
      </c>
      <c r="BO29">
        <v>6.31</v>
      </c>
      <c r="BP29">
        <v>28.42</v>
      </c>
      <c r="BQ29">
        <v>8.9600000000000009</v>
      </c>
      <c r="BR29">
        <v>8.73</v>
      </c>
      <c r="BS29">
        <v>40.9</v>
      </c>
      <c r="BT29" t="s">
        <v>730</v>
      </c>
      <c r="BU29" t="s">
        <v>392</v>
      </c>
      <c r="BV29">
        <v>14.81</v>
      </c>
      <c r="BW29">
        <v>15.04</v>
      </c>
      <c r="BX29">
        <v>17.489999999999998</v>
      </c>
      <c r="BY29">
        <v>5.22</v>
      </c>
      <c r="BZ29">
        <v>4.7699999999999996</v>
      </c>
      <c r="CA29">
        <v>18.61</v>
      </c>
      <c r="CB29">
        <v>0</v>
      </c>
      <c r="CC29">
        <v>0.31</v>
      </c>
      <c r="CD29" t="s">
        <v>6844</v>
      </c>
      <c r="CE29" t="s">
        <v>188</v>
      </c>
      <c r="CF29" s="8" t="s">
        <v>9</v>
      </c>
      <c r="CG29" s="9">
        <v>5.6099999999999997E-2</v>
      </c>
      <c r="CH29" s="8">
        <v>2.2941993083804846E-3</v>
      </c>
      <c r="CI29" s="8">
        <v>0.14334723353385925</v>
      </c>
      <c r="CJ29" s="8">
        <v>0.19282689690589905</v>
      </c>
      <c r="CK29" s="8">
        <v>0.18434810638427734</v>
      </c>
      <c r="CL29" s="8">
        <v>0.12917724251747131</v>
      </c>
      <c r="CM29" s="9">
        <v>-0.77898019552230835</v>
      </c>
      <c r="CN29" s="9">
        <v>2.9002213478088379</v>
      </c>
      <c r="CO29" s="9">
        <v>0.16492021083831787</v>
      </c>
      <c r="CP29" s="9">
        <v>0.17570120096206665</v>
      </c>
      <c r="CQ29" s="9">
        <v>-7.5521215796470642E-2</v>
      </c>
      <c r="CR29">
        <v>44.062432564565839</v>
      </c>
      <c r="CS29">
        <v>2.1728741718911952</v>
      </c>
      <c r="CT29" t="e">
        <v>#VALUE!</v>
      </c>
      <c r="CU29" s="8">
        <v>-0.20278409644961357</v>
      </c>
      <c r="CV29" s="9">
        <v>-0.29685668349266053</v>
      </c>
      <c r="CW29">
        <v>0.06</v>
      </c>
      <c r="CX29">
        <v>11.092829988762242</v>
      </c>
      <c r="CY29" t="s">
        <v>6845</v>
      </c>
      <c r="CZ29">
        <v>-0.20278409644961357</v>
      </c>
      <c r="DA29">
        <v>3.6976099962540805</v>
      </c>
      <c r="DB29" t="s">
        <v>6846</v>
      </c>
      <c r="DC29">
        <v>-0.19264489162713289</v>
      </c>
      <c r="DD29">
        <v>1.8488049981270402</v>
      </c>
      <c r="DE29" t="s">
        <v>6847</v>
      </c>
      <c r="DF29">
        <v>-0.17845000487565993</v>
      </c>
      <c r="DG29">
        <v>1.1092829988762241</v>
      </c>
      <c r="DH29" t="s">
        <v>6848</v>
      </c>
      <c r="DI29">
        <v>-0.16222727715969087</v>
      </c>
      <c r="DJ29">
        <v>0.55464149943811203</v>
      </c>
      <c r="DK29" t="s">
        <v>6849</v>
      </c>
      <c r="DL29">
        <v>-0.14194886751472949</v>
      </c>
      <c r="DM29">
        <v>6229000000</v>
      </c>
      <c r="DN29">
        <v>-0.20278409644961357</v>
      </c>
      <c r="DO29">
        <v>69097238000</v>
      </c>
      <c r="DP29" t="e">
        <v>#VALUE!</v>
      </c>
      <c r="DQ29">
        <v>28</v>
      </c>
      <c r="DR29" t="e">
        <v>#VALUE!</v>
      </c>
      <c r="DS29">
        <v>0.35295668349266052</v>
      </c>
      <c r="DT29" t="e">
        <v>#VALUE!</v>
      </c>
      <c r="DU29" t="e">
        <v>#VALUE!</v>
      </c>
      <c r="DV29" t="e">
        <v>#VALUE!</v>
      </c>
      <c r="DW29">
        <v>3.0999999999999999E-3</v>
      </c>
      <c r="DX29">
        <v>0.50417098445595698</v>
      </c>
      <c r="DY29">
        <v>7.8793005181347143E-4</v>
      </c>
      <c r="DZ29">
        <v>0</v>
      </c>
      <c r="EA29">
        <v>7.8793005181347143E-4</v>
      </c>
      <c r="EB29">
        <v>0</v>
      </c>
      <c r="EC29">
        <v>1.133066715224579E-2</v>
      </c>
      <c r="ED29">
        <v>4.4578916733940217E-2</v>
      </c>
      <c r="EE29">
        <v>0</v>
      </c>
      <c r="EF29">
        <v>0</v>
      </c>
      <c r="EG29">
        <v>25.254170984455957</v>
      </c>
      <c r="EH29" t="s">
        <v>110</v>
      </c>
      <c r="EI29">
        <v>0</v>
      </c>
      <c r="EJ29">
        <v>0</v>
      </c>
      <c r="EK29">
        <v>0</v>
      </c>
      <c r="EL29">
        <v>0</v>
      </c>
      <c r="EM29">
        <v>0</v>
      </c>
      <c r="EN29">
        <v>0</v>
      </c>
      <c r="EO29">
        <v>0</v>
      </c>
      <c r="EP29">
        <v>0</v>
      </c>
    </row>
    <row r="30" spans="1:146" ht="96" x14ac:dyDescent="0.25">
      <c r="A30" s="7"/>
      <c r="B30" s="7"/>
      <c r="C30" s="7" t="str">
        <f>""&amp;CHAR(10)&amp;Basic_Fundamental_Information_Constructure(F30)&amp;CHAR(10)&amp;Basic_Fundamental_Information_Concatenate("")</f>
        <v xml:space="preserve">
市值255.09481亿, 利润7.56亿; PE33.74; 平均PE577.18; 平均PEG28.56, PB2.11; ROIC14.58%; ROE12.3633%; 毛利32.12%; 净利43.04%; 上一年度营收增167.02%, 利润增-47.46%, 利润增-15.11%; 过往5年营收增-20.21%, 利润增-86.62%
Income profile:
</v>
      </c>
      <c r="D30" s="11">
        <v>136</v>
      </c>
      <c r="E30" t="s">
        <v>731</v>
      </c>
      <c r="F30">
        <v>2.04</v>
      </c>
      <c r="G30" s="5">
        <v>-1.4500000000000001E-2</v>
      </c>
      <c r="H30" t="s">
        <v>6850</v>
      </c>
      <c r="I30">
        <v>25509481000</v>
      </c>
      <c r="J30">
        <v>33.74</v>
      </c>
      <c r="K30">
        <v>2.11</v>
      </c>
      <c r="L30" t="s">
        <v>6350</v>
      </c>
      <c r="M30" t="s">
        <v>9</v>
      </c>
      <c r="N30" t="s">
        <v>9</v>
      </c>
      <c r="O30" t="s">
        <v>9</v>
      </c>
      <c r="P30" t="s">
        <v>9</v>
      </c>
      <c r="Q30" t="s">
        <v>6851</v>
      </c>
      <c r="R30">
        <v>756112720</v>
      </c>
      <c r="S30" s="5">
        <v>-0.15110000000000001</v>
      </c>
      <c r="T30" t="s">
        <v>3992</v>
      </c>
      <c r="U30">
        <v>11585897500</v>
      </c>
      <c r="V30">
        <v>11585897500</v>
      </c>
      <c r="W30" t="s">
        <v>9</v>
      </c>
      <c r="X30" t="s">
        <v>9</v>
      </c>
      <c r="Y30" t="s">
        <v>9</v>
      </c>
      <c r="Z30" t="s">
        <v>9</v>
      </c>
      <c r="AA30" t="s">
        <v>9</v>
      </c>
      <c r="AB30" t="s">
        <v>9</v>
      </c>
      <c r="AC30" t="s">
        <v>9</v>
      </c>
      <c r="AD30" t="s">
        <v>6852</v>
      </c>
      <c r="AE30" t="s">
        <v>9</v>
      </c>
      <c r="AF30" t="s">
        <v>9</v>
      </c>
      <c r="AG30" t="s">
        <v>9</v>
      </c>
      <c r="AH30" t="s">
        <v>6853</v>
      </c>
      <c r="AI30" t="s">
        <v>9</v>
      </c>
      <c r="AJ30" t="s">
        <v>9</v>
      </c>
      <c r="AK30" t="s">
        <v>6854</v>
      </c>
      <c r="AL30" t="s">
        <v>9</v>
      </c>
      <c r="AM30" t="s">
        <v>9</v>
      </c>
      <c r="AN30" s="5">
        <v>0.33839999999999998</v>
      </c>
      <c r="AO30" t="s">
        <v>9</v>
      </c>
      <c r="AP30" t="s">
        <v>5778</v>
      </c>
      <c r="AQ30" t="s">
        <v>9</v>
      </c>
      <c r="AR30" t="s">
        <v>2004</v>
      </c>
      <c r="AS30" t="s">
        <v>9</v>
      </c>
      <c r="AT30" t="s">
        <v>9</v>
      </c>
      <c r="AU30" t="s">
        <v>1932</v>
      </c>
      <c r="AV30" t="s">
        <v>6855</v>
      </c>
      <c r="AW30" t="s">
        <v>9</v>
      </c>
      <c r="AX30" t="s">
        <v>732</v>
      </c>
      <c r="AY30" t="s">
        <v>735</v>
      </c>
      <c r="AZ30" t="s">
        <v>736</v>
      </c>
      <c r="BA30" t="s">
        <v>737</v>
      </c>
      <c r="BB30" t="s">
        <v>738</v>
      </c>
      <c r="BC30" t="s">
        <v>739</v>
      </c>
      <c r="BD30" t="s">
        <v>740</v>
      </c>
      <c r="BE30" t="s">
        <v>18</v>
      </c>
      <c r="BF30" t="s">
        <v>741</v>
      </c>
      <c r="BG30" t="s">
        <v>212</v>
      </c>
      <c r="BH30" t="s">
        <v>732</v>
      </c>
      <c r="BI30" t="s">
        <v>9</v>
      </c>
      <c r="BJ30" t="s">
        <v>735</v>
      </c>
      <c r="BK30" t="s">
        <v>733</v>
      </c>
      <c r="BL30" t="s">
        <v>9</v>
      </c>
      <c r="BM30" t="s">
        <v>739</v>
      </c>
      <c r="BN30">
        <v>6.12</v>
      </c>
      <c r="BO30">
        <v>9.36</v>
      </c>
      <c r="BP30">
        <v>28.26</v>
      </c>
      <c r="BQ30">
        <v>6.25</v>
      </c>
      <c r="BR30">
        <v>9.9</v>
      </c>
      <c r="BS30">
        <v>20.94</v>
      </c>
      <c r="BT30" t="s">
        <v>742</v>
      </c>
      <c r="BU30" t="s">
        <v>743</v>
      </c>
      <c r="BV30">
        <v>32.01</v>
      </c>
      <c r="BW30">
        <v>19.82</v>
      </c>
      <c r="BX30">
        <v>44.53</v>
      </c>
      <c r="BY30">
        <v>18.82</v>
      </c>
      <c r="BZ30">
        <v>59.67</v>
      </c>
      <c r="CA30">
        <v>50.63</v>
      </c>
      <c r="CB30">
        <v>-0.97</v>
      </c>
      <c r="CC30">
        <v>-3.32</v>
      </c>
      <c r="CD30" t="s">
        <v>129</v>
      </c>
      <c r="CE30" t="s">
        <v>5824</v>
      </c>
      <c r="CF30" s="8" t="s">
        <v>9</v>
      </c>
      <c r="CG30" s="9">
        <v>-0.15110000000000001</v>
      </c>
      <c r="CH30" s="8">
        <v>1.6702486276626587</v>
      </c>
      <c r="CI30" s="8">
        <v>-0.47551959753036499</v>
      </c>
      <c r="CJ30" s="8">
        <v>9.3613147735595703</v>
      </c>
      <c r="CK30" s="8">
        <v>-0.51845341920852661</v>
      </c>
      <c r="CL30" s="8">
        <v>0.81210190057754517</v>
      </c>
      <c r="CM30" s="9">
        <v>-0.47463518381118774</v>
      </c>
      <c r="CN30" s="9">
        <v>99.42572021484375</v>
      </c>
      <c r="CO30" s="9">
        <v>-0.85812872648239136</v>
      </c>
      <c r="CP30" s="9">
        <v>-0.2887323796749115</v>
      </c>
      <c r="CQ30" s="9">
        <v>0.23478260636329651</v>
      </c>
      <c r="CR30">
        <v>577.18306608627904</v>
      </c>
      <c r="CS30">
        <v>28.563567726483928</v>
      </c>
      <c r="CT30" t="e">
        <v>#VALUE!</v>
      </c>
      <c r="CU30" s="8">
        <v>-0.20206966847181321</v>
      </c>
      <c r="CV30" s="9">
        <v>-0.86615735292434692</v>
      </c>
      <c r="CW30">
        <v>0.06</v>
      </c>
      <c r="CX30">
        <v>33.742699735449733</v>
      </c>
      <c r="CY30" t="s">
        <v>6856</v>
      </c>
      <c r="CZ30">
        <v>-0.20206966847181321</v>
      </c>
      <c r="DA30">
        <v>11.247566578483244</v>
      </c>
      <c r="DB30" t="s">
        <v>6857</v>
      </c>
      <c r="DC30">
        <v>-0.19196618504822255</v>
      </c>
      <c r="DD30">
        <v>5.6237832892416222</v>
      </c>
      <c r="DE30" t="s">
        <v>6858</v>
      </c>
      <c r="DF30">
        <v>-0.17782130825519563</v>
      </c>
      <c r="DG30">
        <v>3.3742699735449735</v>
      </c>
      <c r="DH30" t="s">
        <v>6859</v>
      </c>
      <c r="DI30">
        <v>-0.16165573477745057</v>
      </c>
      <c r="DJ30">
        <v>1.6871349867724867</v>
      </c>
      <c r="DK30" t="s">
        <v>6860</v>
      </c>
      <c r="DL30">
        <v>-0.14144876793026923</v>
      </c>
      <c r="DM30">
        <v>756000000</v>
      </c>
      <c r="DN30">
        <v>-0.20206966847181321</v>
      </c>
      <c r="DO30">
        <v>25509481000</v>
      </c>
      <c r="DP30" t="e">
        <v>#VALUE!</v>
      </c>
      <c r="DQ30">
        <v>29</v>
      </c>
      <c r="DR30" t="e">
        <v>#VALUE!</v>
      </c>
      <c r="DS30">
        <v>0.71505735292434691</v>
      </c>
      <c r="DT30" t="e">
        <v>#VALUE!</v>
      </c>
      <c r="DU30" t="e">
        <v>#VALUE!</v>
      </c>
      <c r="DV30" t="e">
        <v>#VALUE!</v>
      </c>
      <c r="DW30">
        <v>-1.0331999999999999</v>
      </c>
      <c r="DX30">
        <v>0.22249070631970333</v>
      </c>
      <c r="DY30">
        <v>-1.0024066914498142</v>
      </c>
      <c r="DZ30">
        <v>0</v>
      </c>
      <c r="EA30">
        <v>-1.0024066914498142</v>
      </c>
      <c r="EB30">
        <v>1</v>
      </c>
      <c r="EC30">
        <v>1.0098483954307381E-2</v>
      </c>
      <c r="ED30">
        <v>0.13930729147224027</v>
      </c>
      <c r="EE30">
        <v>0</v>
      </c>
      <c r="EF30">
        <v>0</v>
      </c>
      <c r="EG30">
        <v>15.072490706319703</v>
      </c>
      <c r="EH30" t="s">
        <v>110</v>
      </c>
      <c r="EI30">
        <v>0</v>
      </c>
      <c r="EJ30">
        <v>0</v>
      </c>
      <c r="EK30">
        <v>0</v>
      </c>
      <c r="EL30">
        <v>0</v>
      </c>
      <c r="EM30">
        <v>0</v>
      </c>
      <c r="EN30">
        <v>0</v>
      </c>
      <c r="EO30">
        <v>0</v>
      </c>
      <c r="EP30">
        <v>0</v>
      </c>
    </row>
    <row r="31" spans="1:146" ht="96" x14ac:dyDescent="0.25">
      <c r="A31" s="7"/>
      <c r="B31" s="7"/>
      <c r="C31" s="7" t="str">
        <f>""&amp;CHAR(10)&amp;Basic_Fundamental_Information_Constructure(F31)&amp;CHAR(10)&amp;Basic_Fundamental_Information_Concatenate("")</f>
        <v xml:space="preserve">
市值154.03036亿, 利润39.15亿; PE3.93; 平均PE3.84; 平均PEG.37, PB.535; ROIC2.81%; ROE11.8567%; 股利率0%; 毛利30.95%; 净利10.8933%; 上一年度营收增2.04%, 利润增50.63%, 利润增28.04%; 过往5年营收增10.42%, 利润增15.71%
Income profile:
</v>
      </c>
      <c r="D31" s="11">
        <v>142</v>
      </c>
      <c r="E31" t="s">
        <v>745</v>
      </c>
      <c r="F31">
        <v>3.63</v>
      </c>
      <c r="G31" s="5">
        <v>5.4999999999999997E-3</v>
      </c>
      <c r="H31" t="s">
        <v>6861</v>
      </c>
      <c r="I31">
        <v>15403036000</v>
      </c>
      <c r="J31">
        <v>3.93</v>
      </c>
      <c r="K31">
        <v>0.53500000000000003</v>
      </c>
      <c r="L31" t="s">
        <v>6350</v>
      </c>
      <c r="M31" t="s">
        <v>9</v>
      </c>
      <c r="N31" t="s">
        <v>9</v>
      </c>
      <c r="O31" t="s">
        <v>9</v>
      </c>
      <c r="P31" t="s">
        <v>9</v>
      </c>
      <c r="Q31" t="s">
        <v>6862</v>
      </c>
      <c r="R31">
        <v>3914873200</v>
      </c>
      <c r="S31" s="5">
        <v>0.28039999999999998</v>
      </c>
      <c r="T31" t="s">
        <v>426</v>
      </c>
      <c r="U31">
        <v>4243260600</v>
      </c>
      <c r="V31">
        <v>4243260600</v>
      </c>
      <c r="W31" t="s">
        <v>9</v>
      </c>
      <c r="X31" t="s">
        <v>9</v>
      </c>
      <c r="Y31" t="s">
        <v>9</v>
      </c>
      <c r="Z31" t="s">
        <v>9</v>
      </c>
      <c r="AA31" t="s">
        <v>9</v>
      </c>
      <c r="AB31" t="s">
        <v>9</v>
      </c>
      <c r="AC31" t="s">
        <v>9</v>
      </c>
      <c r="AD31" t="s">
        <v>9</v>
      </c>
      <c r="AE31" t="s">
        <v>9</v>
      </c>
      <c r="AF31" t="s">
        <v>9</v>
      </c>
      <c r="AG31" t="s">
        <v>9</v>
      </c>
      <c r="AH31" t="s">
        <v>6863</v>
      </c>
      <c r="AI31" t="s">
        <v>9</v>
      </c>
      <c r="AJ31" t="s">
        <v>9</v>
      </c>
      <c r="AK31" t="s">
        <v>6864</v>
      </c>
      <c r="AL31" t="s">
        <v>9</v>
      </c>
      <c r="AM31" t="s">
        <v>9</v>
      </c>
      <c r="AN31" s="5">
        <v>0.57720000000000005</v>
      </c>
      <c r="AO31" t="s">
        <v>9</v>
      </c>
      <c r="AP31" t="s">
        <v>6865</v>
      </c>
      <c r="AQ31" t="s">
        <v>9</v>
      </c>
      <c r="AR31" t="s">
        <v>6866</v>
      </c>
      <c r="AS31" t="s">
        <v>9</v>
      </c>
      <c r="AT31" t="s">
        <v>9</v>
      </c>
      <c r="AU31" t="s">
        <v>6867</v>
      </c>
      <c r="AV31" t="s">
        <v>6868</v>
      </c>
      <c r="AW31" t="s">
        <v>9</v>
      </c>
      <c r="AX31" t="s">
        <v>746</v>
      </c>
      <c r="AY31" t="s">
        <v>750</v>
      </c>
      <c r="AZ31" t="s">
        <v>751</v>
      </c>
      <c r="BA31" t="s">
        <v>752</v>
      </c>
      <c r="BB31" t="s">
        <v>753</v>
      </c>
      <c r="BC31" t="s">
        <v>754</v>
      </c>
      <c r="BD31" t="s">
        <v>755</v>
      </c>
      <c r="BE31" t="s">
        <v>756</v>
      </c>
      <c r="BF31" t="s">
        <v>757</v>
      </c>
      <c r="BG31" t="s">
        <v>118</v>
      </c>
      <c r="BH31" t="s">
        <v>746</v>
      </c>
      <c r="BI31" t="s">
        <v>9</v>
      </c>
      <c r="BJ31" t="s">
        <v>750</v>
      </c>
      <c r="BK31" t="s">
        <v>747</v>
      </c>
      <c r="BL31" t="s">
        <v>9</v>
      </c>
      <c r="BM31" t="s">
        <v>754</v>
      </c>
      <c r="BN31">
        <v>3.36</v>
      </c>
      <c r="BO31">
        <v>2.71</v>
      </c>
      <c r="BP31">
        <v>2.36</v>
      </c>
      <c r="BQ31">
        <v>13.59</v>
      </c>
      <c r="BR31">
        <v>11.88</v>
      </c>
      <c r="BS31">
        <v>10.1</v>
      </c>
      <c r="BT31" t="s">
        <v>6869</v>
      </c>
      <c r="BU31" t="s">
        <v>759</v>
      </c>
      <c r="BV31">
        <v>32.11</v>
      </c>
      <c r="BW31">
        <v>29.66</v>
      </c>
      <c r="BX31">
        <v>31.08</v>
      </c>
      <c r="BY31">
        <v>12.76</v>
      </c>
      <c r="BZ31">
        <v>10.19</v>
      </c>
      <c r="CA31">
        <v>9.73</v>
      </c>
      <c r="CB31">
        <v>2.25</v>
      </c>
      <c r="CC31">
        <v>-0.95</v>
      </c>
      <c r="CD31" t="s">
        <v>6870</v>
      </c>
      <c r="CE31" t="s">
        <v>669</v>
      </c>
      <c r="CF31" s="8" t="s">
        <v>9</v>
      </c>
      <c r="CG31" s="9">
        <v>0.28039999999999998</v>
      </c>
      <c r="CH31" s="8">
        <v>2.0357774570584297E-2</v>
      </c>
      <c r="CI31" s="8">
        <v>0.12097015231847763</v>
      </c>
      <c r="CJ31" s="8">
        <v>0.22523602843284607</v>
      </c>
      <c r="CK31" s="8">
        <v>-3.4144476056098938E-2</v>
      </c>
      <c r="CL31" s="8">
        <v>6.3787959516048431E-2</v>
      </c>
      <c r="CM31" s="9">
        <v>0.50634860992431641</v>
      </c>
      <c r="CN31" s="9">
        <v>0.66282784938812256</v>
      </c>
      <c r="CO31" s="9">
        <v>1.790591835975647</v>
      </c>
      <c r="CP31" s="9">
        <v>-2.9138431549072266</v>
      </c>
      <c r="CQ31" s="9">
        <v>9.3121692538261414E-2</v>
      </c>
      <c r="CR31">
        <v>3.839400772714054</v>
      </c>
      <c r="CS31">
        <v>0.36831351766846621</v>
      </c>
      <c r="CT31">
        <v>0</v>
      </c>
      <c r="CU31" s="8">
        <v>0.10424273312091828</v>
      </c>
      <c r="CV31" s="9">
        <v>0.15705683231353759</v>
      </c>
      <c r="CW31">
        <v>0.06</v>
      </c>
      <c r="CX31">
        <v>3.776729490192285</v>
      </c>
      <c r="CY31">
        <v>4078405943.55509</v>
      </c>
      <c r="CZ31">
        <v>0.10424273312091828</v>
      </c>
      <c r="DA31">
        <v>1.2194281371082101</v>
      </c>
      <c r="DB31">
        <v>12631360168.978256</v>
      </c>
      <c r="DC31">
        <v>9.9030596464872361E-2</v>
      </c>
      <c r="DD31">
        <v>0.59065586411052096</v>
      </c>
      <c r="DE31">
        <v>26077851649.19289</v>
      </c>
      <c r="DF31">
        <v>9.173360514640809E-2</v>
      </c>
      <c r="DG31">
        <v>0.34823922882317182</v>
      </c>
      <c r="DH31">
        <v>44231191448.627174</v>
      </c>
      <c r="DI31">
        <v>8.3394186496734635E-2</v>
      </c>
      <c r="DJ31">
        <v>0.17271083720236241</v>
      </c>
      <c r="DK31">
        <v>89183957703.548843</v>
      </c>
      <c r="DL31">
        <v>7.2969913184642785E-2</v>
      </c>
      <c r="DM31">
        <v>3915000000</v>
      </c>
      <c r="DN31">
        <v>0.10424273312091828</v>
      </c>
      <c r="DO31">
        <v>15403036000</v>
      </c>
      <c r="DP31" t="e">
        <v>#VALUE!</v>
      </c>
      <c r="DQ31">
        <v>30</v>
      </c>
      <c r="DR31" t="e">
        <v>#VALUE!</v>
      </c>
      <c r="DS31">
        <v>0.12334316768646239</v>
      </c>
      <c r="DT31" t="e">
        <v>#VALUE!</v>
      </c>
      <c r="DU31" t="e">
        <v>#VALUE!</v>
      </c>
      <c r="DV31" t="e">
        <v>#VALUE!</v>
      </c>
      <c r="DW31">
        <v>-9.4999999999999998E-3</v>
      </c>
      <c r="DX31">
        <v>0.30927499999999919</v>
      </c>
      <c r="DY31">
        <v>-1.5131125E-3</v>
      </c>
      <c r="DZ31">
        <v>0</v>
      </c>
      <c r="EA31">
        <v>-1.5131125E-3</v>
      </c>
      <c r="EB31">
        <v>0</v>
      </c>
      <c r="EC31">
        <v>4.8046070986071422E-3</v>
      </c>
      <c r="ED31">
        <v>3.0165481705271648E-2</v>
      </c>
      <c r="EE31">
        <v>0</v>
      </c>
      <c r="EF31">
        <v>0</v>
      </c>
      <c r="EG31">
        <v>15.159274999999999</v>
      </c>
      <c r="EH31" t="s">
        <v>110</v>
      </c>
      <c r="EI31">
        <v>0</v>
      </c>
      <c r="EJ31">
        <v>0</v>
      </c>
      <c r="EK31">
        <v>0</v>
      </c>
      <c r="EL31">
        <v>0</v>
      </c>
      <c r="EM31">
        <v>0</v>
      </c>
      <c r="EN31">
        <v>0</v>
      </c>
      <c r="EO31">
        <v>0</v>
      </c>
      <c r="EP31">
        <v>0</v>
      </c>
    </row>
    <row r="32" spans="1:146" ht="96" x14ac:dyDescent="0.25">
      <c r="A32" s="7"/>
      <c r="B32" s="7"/>
      <c r="C32" s="7" t="str">
        <f>""&amp;CHAR(10)&amp;Basic_Fundamental_Information_Constructure(F32)&amp;CHAR(10)&amp;Basic_Fundamental_Information_Concatenate("")</f>
        <v xml:space="preserve">
市值475.21464亿, 利润62.33亿; PE7.62; 平均PE63.73; 平均PEG3.16, PB.465; ROIC5.5567%; ROE7.47%; 毛利44.83%; 净利71.83%; 上一年度营收增-8.47%, 利润增-23.47%, 利润增-19.89%; 过往5年营收增-20.14%, 利润增-25.61%
Income profile:
</v>
      </c>
      <c r="D32" s="11">
        <v>144</v>
      </c>
      <c r="E32" t="s">
        <v>761</v>
      </c>
      <c r="F32">
        <v>11.32</v>
      </c>
      <c r="G32" s="5">
        <v>-5.3E-3</v>
      </c>
      <c r="H32" t="s">
        <v>6871</v>
      </c>
      <c r="I32">
        <v>47521464000</v>
      </c>
      <c r="J32">
        <v>7.62</v>
      </c>
      <c r="K32">
        <v>0.46500000000000002</v>
      </c>
      <c r="L32" t="s">
        <v>6350</v>
      </c>
      <c r="M32" t="s">
        <v>9</v>
      </c>
      <c r="N32" t="s">
        <v>9</v>
      </c>
      <c r="O32" t="s">
        <v>9</v>
      </c>
      <c r="P32" t="s">
        <v>9</v>
      </c>
      <c r="Q32" t="s">
        <v>2731</v>
      </c>
      <c r="R32">
        <v>6233000000</v>
      </c>
      <c r="S32" s="5">
        <v>-0.19889999999999999</v>
      </c>
      <c r="T32" t="s">
        <v>3636</v>
      </c>
      <c r="U32">
        <v>4198009200</v>
      </c>
      <c r="V32">
        <v>4198009200</v>
      </c>
      <c r="W32" t="s">
        <v>9</v>
      </c>
      <c r="X32" t="s">
        <v>9</v>
      </c>
      <c r="Y32" t="s">
        <v>9</v>
      </c>
      <c r="Z32" t="s">
        <v>9</v>
      </c>
      <c r="AA32" t="s">
        <v>9</v>
      </c>
      <c r="AB32" t="s">
        <v>9</v>
      </c>
      <c r="AC32" t="s">
        <v>9</v>
      </c>
      <c r="AD32" t="s">
        <v>9</v>
      </c>
      <c r="AE32" t="s">
        <v>9</v>
      </c>
      <c r="AF32" t="s">
        <v>9</v>
      </c>
      <c r="AG32" t="s">
        <v>9</v>
      </c>
      <c r="AH32" t="s">
        <v>6872</v>
      </c>
      <c r="AI32" t="s">
        <v>9</v>
      </c>
      <c r="AJ32" t="s">
        <v>9</v>
      </c>
      <c r="AK32" t="s">
        <v>6873</v>
      </c>
      <c r="AL32" t="s">
        <v>9</v>
      </c>
      <c r="AM32" t="s">
        <v>9</v>
      </c>
      <c r="AN32" s="5">
        <v>0.29870000000000002</v>
      </c>
      <c r="AO32" t="s">
        <v>9</v>
      </c>
      <c r="AP32" t="s">
        <v>172</v>
      </c>
      <c r="AQ32" t="s">
        <v>9</v>
      </c>
      <c r="AR32" t="s">
        <v>6874</v>
      </c>
      <c r="AS32" t="s">
        <v>9</v>
      </c>
      <c r="AT32" t="s">
        <v>9</v>
      </c>
      <c r="AU32" t="s">
        <v>6875</v>
      </c>
      <c r="AV32" t="s">
        <v>6876</v>
      </c>
      <c r="AW32" t="s">
        <v>9</v>
      </c>
      <c r="AX32" t="s">
        <v>762</v>
      </c>
      <c r="AY32" t="s">
        <v>765</v>
      </c>
      <c r="AZ32" t="s">
        <v>766</v>
      </c>
      <c r="BA32" t="s">
        <v>767</v>
      </c>
      <c r="BB32" t="s">
        <v>768</v>
      </c>
      <c r="BC32" t="s">
        <v>769</v>
      </c>
      <c r="BD32" t="s">
        <v>770</v>
      </c>
      <c r="BE32" t="s">
        <v>771</v>
      </c>
      <c r="BF32" t="s">
        <v>772</v>
      </c>
      <c r="BG32" t="s">
        <v>773</v>
      </c>
      <c r="BH32" t="s">
        <v>762</v>
      </c>
      <c r="BI32" t="s">
        <v>9</v>
      </c>
      <c r="BJ32" t="s">
        <v>765</v>
      </c>
      <c r="BK32" t="s">
        <v>763</v>
      </c>
      <c r="BL32" t="s">
        <v>9</v>
      </c>
      <c r="BM32" t="s">
        <v>769</v>
      </c>
      <c r="BN32">
        <v>4.62</v>
      </c>
      <c r="BO32">
        <v>5.84</v>
      </c>
      <c r="BP32">
        <v>6.21</v>
      </c>
      <c r="BQ32">
        <v>6.1</v>
      </c>
      <c r="BR32">
        <v>8.02</v>
      </c>
      <c r="BS32">
        <v>8.2899999999999991</v>
      </c>
      <c r="BT32" t="s">
        <v>6877</v>
      </c>
      <c r="BU32" t="s">
        <v>687</v>
      </c>
      <c r="BV32">
        <v>44.9</v>
      </c>
      <c r="BW32">
        <v>44.38</v>
      </c>
      <c r="BX32">
        <v>45.21</v>
      </c>
      <c r="BY32">
        <v>64.319999999999993</v>
      </c>
      <c r="BZ32">
        <v>71.97</v>
      </c>
      <c r="CA32">
        <v>79.2</v>
      </c>
      <c r="CB32">
        <v>-3.74</v>
      </c>
      <c r="CC32">
        <v>0.89</v>
      </c>
      <c r="CD32" t="s">
        <v>6878</v>
      </c>
      <c r="CE32" t="s">
        <v>219</v>
      </c>
      <c r="CF32" s="8" t="s">
        <v>9</v>
      </c>
      <c r="CG32" s="9">
        <v>-0.19889999999999999</v>
      </c>
      <c r="CH32" s="8">
        <v>-8.4734953939914703E-2</v>
      </c>
      <c r="CI32" s="8">
        <v>5.8649793267250061E-2</v>
      </c>
      <c r="CJ32" s="8">
        <v>0.32476240396499634</v>
      </c>
      <c r="CK32" s="8">
        <v>-0.11958657205104828</v>
      </c>
      <c r="CL32" s="8">
        <v>0.16889096796512604</v>
      </c>
      <c r="CM32" s="9">
        <v>-0.23465128242969513</v>
      </c>
      <c r="CN32" s="9">
        <v>0.58105218410491943</v>
      </c>
      <c r="CO32" s="9">
        <v>-0.38399901986122131</v>
      </c>
      <c r="CP32" s="9">
        <v>0.15417525172233582</v>
      </c>
      <c r="CQ32" s="9">
        <v>0.20189115405082703</v>
      </c>
      <c r="CR32">
        <v>63.730170764416634</v>
      </c>
      <c r="CS32">
        <v>3.1647625530243588</v>
      </c>
      <c r="CT32" t="e">
        <v>#VALUE!</v>
      </c>
      <c r="CU32" s="8">
        <v>-0.20137425698339939</v>
      </c>
      <c r="CV32" s="9">
        <v>-0.25611555203795433</v>
      </c>
      <c r="CW32">
        <v>0.06</v>
      </c>
      <c r="CX32">
        <v>7.624171987806835</v>
      </c>
      <c r="CY32" t="s">
        <v>6879</v>
      </c>
      <c r="CZ32">
        <v>-0.20137425698339939</v>
      </c>
      <c r="DA32">
        <v>2.5413906626022782</v>
      </c>
      <c r="DB32" t="s">
        <v>6880</v>
      </c>
      <c r="DC32">
        <v>-0.1913055441342294</v>
      </c>
      <c r="DD32">
        <v>1.2706953313011391</v>
      </c>
      <c r="DE32" t="s">
        <v>6881</v>
      </c>
      <c r="DF32">
        <v>-0.17720934614539147</v>
      </c>
      <c r="DG32">
        <v>0.76241719878068348</v>
      </c>
      <c r="DH32" t="s">
        <v>6882</v>
      </c>
      <c r="DI32">
        <v>-0.16109940558671954</v>
      </c>
      <c r="DJ32">
        <v>0.38120859939034174</v>
      </c>
      <c r="DK32" t="s">
        <v>6883</v>
      </c>
      <c r="DL32">
        <v>-0.14096197988837955</v>
      </c>
      <c r="DM32">
        <v>6233000000</v>
      </c>
      <c r="DN32">
        <v>-0.20137425698339939</v>
      </c>
      <c r="DO32">
        <v>47521464000</v>
      </c>
      <c r="DP32" t="e">
        <v>#VALUE!</v>
      </c>
      <c r="DQ32">
        <v>31</v>
      </c>
      <c r="DR32" t="e">
        <v>#VALUE!</v>
      </c>
      <c r="DS32">
        <v>5.7215552037954337E-2</v>
      </c>
      <c r="DT32" t="e">
        <v>#VALUE!</v>
      </c>
      <c r="DU32" t="e">
        <v>#VALUE!</v>
      </c>
      <c r="DV32" t="e">
        <v>#VALUE!</v>
      </c>
      <c r="DW32">
        <v>-4.237967914438503</v>
      </c>
      <c r="DX32">
        <v>0.4099455999999988</v>
      </c>
      <c r="DY32">
        <v>-4.0356822417112301</v>
      </c>
      <c r="DZ32">
        <v>0</v>
      </c>
      <c r="EA32">
        <v>-4.0356822417112301</v>
      </c>
      <c r="EB32">
        <v>4</v>
      </c>
      <c r="EC32">
        <v>4.4647829737962464E-3</v>
      </c>
      <c r="ED32">
        <v>2.9776018594718658E-2</v>
      </c>
      <c r="EE32">
        <v>0</v>
      </c>
      <c r="EF32">
        <v>0</v>
      </c>
      <c r="EG32">
        <v>26.149945599999999</v>
      </c>
      <c r="EH32" t="s">
        <v>110</v>
      </c>
      <c r="EI32">
        <v>0</v>
      </c>
      <c r="EJ32">
        <v>0</v>
      </c>
      <c r="EK32">
        <v>0</v>
      </c>
      <c r="EL32">
        <v>0</v>
      </c>
      <c r="EM32">
        <v>0</v>
      </c>
      <c r="EN32">
        <v>0</v>
      </c>
      <c r="EO32">
        <v>0</v>
      </c>
      <c r="EP32">
        <v>0</v>
      </c>
    </row>
    <row r="33" spans="1:146" ht="96" x14ac:dyDescent="0.25">
      <c r="A33" s="7"/>
      <c r="B33" s="7"/>
      <c r="C33" s="7" t="str">
        <f>""&amp;CHAR(10)&amp;Basic_Fundamental_Information_Constructure(F33)&amp;CHAR(10)&amp;Basic_Fundamental_Information_Concatenate("")</f>
        <v xml:space="preserve">
市值199.71777亿, 利润20.63亿; PE9.68; 平均PE31.01; 平均PEG16.38, PB.334; ROIC7.0067%; ROE8.88%; 股利率0%; 毛利25.78%; 净利12.1667%; 上一年度营收增-19.57%, 利润增-80.86%, 利润增-43.56%; 过往5年营收增1.89%, 利润增-497.83%
Income profile:
</v>
      </c>
      <c r="D33" s="11">
        <v>148</v>
      </c>
      <c r="E33" t="s">
        <v>774</v>
      </c>
      <c r="F33">
        <v>18.02</v>
      </c>
      <c r="G33" s="5">
        <v>-2.4899999999999999E-2</v>
      </c>
      <c r="H33" t="s">
        <v>6884</v>
      </c>
      <c r="I33">
        <v>19971777000</v>
      </c>
      <c r="J33">
        <v>9.68</v>
      </c>
      <c r="K33">
        <v>0.33400000000000002</v>
      </c>
      <c r="L33" t="s">
        <v>6350</v>
      </c>
      <c r="M33" t="s">
        <v>9</v>
      </c>
      <c r="N33" t="s">
        <v>9</v>
      </c>
      <c r="O33" t="s">
        <v>9</v>
      </c>
      <c r="P33" t="s">
        <v>9</v>
      </c>
      <c r="Q33" t="s">
        <v>6885</v>
      </c>
      <c r="R33">
        <v>2062971000</v>
      </c>
      <c r="S33" s="5">
        <v>-0.43559999999999999</v>
      </c>
      <c r="T33" t="s">
        <v>3747</v>
      </c>
      <c r="U33">
        <v>1108311740</v>
      </c>
      <c r="V33">
        <v>1108311740</v>
      </c>
      <c r="W33" t="s">
        <v>9</v>
      </c>
      <c r="X33" t="s">
        <v>9</v>
      </c>
      <c r="Y33" t="s">
        <v>9</v>
      </c>
      <c r="Z33" t="s">
        <v>9</v>
      </c>
      <c r="AA33" t="s">
        <v>9</v>
      </c>
      <c r="AB33" t="s">
        <v>9</v>
      </c>
      <c r="AC33" t="s">
        <v>9</v>
      </c>
      <c r="AD33" t="s">
        <v>9</v>
      </c>
      <c r="AE33" t="s">
        <v>9</v>
      </c>
      <c r="AF33" t="s">
        <v>9</v>
      </c>
      <c r="AG33" t="s">
        <v>9</v>
      </c>
      <c r="AH33" t="s">
        <v>6886</v>
      </c>
      <c r="AI33" t="s">
        <v>9</v>
      </c>
      <c r="AJ33" t="s">
        <v>9</v>
      </c>
      <c r="AK33" t="s">
        <v>6887</v>
      </c>
      <c r="AL33" t="s">
        <v>9</v>
      </c>
      <c r="AM33" t="s">
        <v>9</v>
      </c>
      <c r="AN33" s="5">
        <v>0.34889999999999999</v>
      </c>
      <c r="AO33" t="s">
        <v>9</v>
      </c>
      <c r="AP33" t="s">
        <v>6888</v>
      </c>
      <c r="AQ33" t="s">
        <v>9</v>
      </c>
      <c r="AR33" t="s">
        <v>6889</v>
      </c>
      <c r="AS33" t="s">
        <v>9</v>
      </c>
      <c r="AT33" t="s">
        <v>9</v>
      </c>
      <c r="AU33" t="s">
        <v>6890</v>
      </c>
      <c r="AV33" t="s">
        <v>6891</v>
      </c>
      <c r="AW33" t="s">
        <v>9</v>
      </c>
      <c r="AX33" t="s">
        <v>775</v>
      </c>
      <c r="AY33" t="s">
        <v>778</v>
      </c>
      <c r="AZ33" t="s">
        <v>779</v>
      </c>
      <c r="BA33" t="s">
        <v>780</v>
      </c>
      <c r="BB33" t="s">
        <v>781</v>
      </c>
      <c r="BC33" t="s">
        <v>782</v>
      </c>
      <c r="BD33" t="s">
        <v>783</v>
      </c>
      <c r="BE33" t="s">
        <v>784</v>
      </c>
      <c r="BF33" t="s">
        <v>785</v>
      </c>
      <c r="BG33" t="s">
        <v>786</v>
      </c>
      <c r="BH33" t="s">
        <v>775</v>
      </c>
      <c r="BI33" t="s">
        <v>9</v>
      </c>
      <c r="BJ33" t="s">
        <v>778</v>
      </c>
      <c r="BK33" t="s">
        <v>776</v>
      </c>
      <c r="BL33" t="s">
        <v>9</v>
      </c>
      <c r="BM33" t="s">
        <v>782</v>
      </c>
      <c r="BN33">
        <v>2.54</v>
      </c>
      <c r="BO33">
        <v>4.53</v>
      </c>
      <c r="BP33">
        <v>13.95</v>
      </c>
      <c r="BQ33">
        <v>3.45</v>
      </c>
      <c r="BR33">
        <v>6.09</v>
      </c>
      <c r="BS33">
        <v>17.100000000000001</v>
      </c>
      <c r="BT33" t="s">
        <v>6892</v>
      </c>
      <c r="BU33" t="s">
        <v>589</v>
      </c>
      <c r="BV33">
        <v>19.12</v>
      </c>
      <c r="BW33">
        <v>25.06</v>
      </c>
      <c r="BX33">
        <v>33.159999999999997</v>
      </c>
      <c r="BY33">
        <v>5.9</v>
      </c>
      <c r="BZ33">
        <v>8.48</v>
      </c>
      <c r="CA33">
        <v>22.12</v>
      </c>
      <c r="CB33">
        <v>-10.57</v>
      </c>
      <c r="CC33">
        <v>-6.83</v>
      </c>
      <c r="CD33" t="s">
        <v>6893</v>
      </c>
      <c r="CE33" t="s">
        <v>1206</v>
      </c>
      <c r="CF33" s="8" t="s">
        <v>9</v>
      </c>
      <c r="CG33" s="9">
        <v>-0.43559999999999999</v>
      </c>
      <c r="CH33" s="8">
        <v>-0.19572269916534424</v>
      </c>
      <c r="CI33" s="8">
        <v>-0.13001492619514465</v>
      </c>
      <c r="CJ33" s="8">
        <v>0.30441272258758545</v>
      </c>
      <c r="CK33" s="8">
        <v>-5.4007016122341156E-2</v>
      </c>
      <c r="CL33" s="8">
        <v>6.0478214174509048E-2</v>
      </c>
      <c r="CM33" s="9">
        <v>-0.80859154462814331</v>
      </c>
      <c r="CN33" s="9">
        <v>1.2917287349700928</v>
      </c>
      <c r="CO33" s="9">
        <v>0.52003872394561768</v>
      </c>
      <c r="CP33" s="9">
        <v>-0.49078342318534851</v>
      </c>
      <c r="CQ33" s="9">
        <v>8.6358003318309784E-2</v>
      </c>
      <c r="CR33">
        <v>31.013937404783686</v>
      </c>
      <c r="CS33">
        <v>16.384978664930596</v>
      </c>
      <c r="CT33">
        <v>0</v>
      </c>
      <c r="CU33" s="8">
        <v>1.8928274512290955E-2</v>
      </c>
      <c r="CV33" s="9">
        <v>-4.9783097565174099</v>
      </c>
      <c r="CW33">
        <v>0.06</v>
      </c>
      <c r="CX33">
        <v>10.071165474569709</v>
      </c>
      <c r="CY33">
        <v>1983065122.9423172</v>
      </c>
      <c r="CZ33">
        <v>1.8928274512290955E-2</v>
      </c>
      <c r="DA33">
        <v>3.4969633618573281</v>
      </c>
      <c r="DB33">
        <v>5711177079.4740238</v>
      </c>
      <c r="DC33">
        <v>1.7981860786676407E-2</v>
      </c>
      <c r="DD33">
        <v>1.8626146454861261</v>
      </c>
      <c r="DE33">
        <v>10722441729.103628</v>
      </c>
      <c r="DF33">
        <v>1.6656881570816039E-2</v>
      </c>
      <c r="DG33">
        <v>1.2185874210053993</v>
      </c>
      <c r="DH33">
        <v>16389285377.262653</v>
      </c>
      <c r="DI33">
        <v>1.5142619609832764E-2</v>
      </c>
      <c r="DJ33">
        <v>0.75159578999706012</v>
      </c>
      <c r="DK33">
        <v>26572497166.433197</v>
      </c>
      <c r="DL33">
        <v>1.3249792158603668E-2</v>
      </c>
      <c r="DM33">
        <v>2063000000</v>
      </c>
      <c r="DN33">
        <v>1.8928274512290955E-2</v>
      </c>
      <c r="DO33">
        <v>19971777000</v>
      </c>
      <c r="DP33" t="e">
        <v>#VALUE!</v>
      </c>
      <c r="DQ33">
        <v>32</v>
      </c>
      <c r="DR33" t="e">
        <v>#VALUE!</v>
      </c>
      <c r="DS33">
        <v>4.5427097565174099</v>
      </c>
      <c r="DT33" t="e">
        <v>#VALUE!</v>
      </c>
      <c r="DU33" t="e">
        <v>#VALUE!</v>
      </c>
      <c r="DV33" t="e">
        <v>#VALUE!</v>
      </c>
      <c r="DW33">
        <v>-5.6461684011352888</v>
      </c>
      <c r="DX33">
        <v>0.28152666666666676</v>
      </c>
      <c r="DY33">
        <v>-5.0591416398612425</v>
      </c>
      <c r="DZ33">
        <v>0</v>
      </c>
      <c r="EA33">
        <v>-5.0591416398612425</v>
      </c>
      <c r="EB33">
        <v>5</v>
      </c>
      <c r="EC33">
        <v>1.7342232610474739E-2</v>
      </c>
      <c r="ED33">
        <v>0.18947737574267687</v>
      </c>
      <c r="EE33">
        <v>0</v>
      </c>
      <c r="EF33">
        <v>0</v>
      </c>
      <c r="EG33">
        <v>19.091526666666667</v>
      </c>
      <c r="EH33" t="s">
        <v>110</v>
      </c>
      <c r="EI33">
        <v>0</v>
      </c>
      <c r="EJ33">
        <v>0</v>
      </c>
      <c r="EK33">
        <v>0</v>
      </c>
      <c r="EL33">
        <v>0</v>
      </c>
      <c r="EM33">
        <v>0</v>
      </c>
      <c r="EN33">
        <v>0</v>
      </c>
      <c r="EO33">
        <v>0</v>
      </c>
      <c r="EP33">
        <v>0</v>
      </c>
    </row>
    <row r="34" spans="1:146" ht="96" x14ac:dyDescent="0.25">
      <c r="A34" s="7"/>
      <c r="B34" s="7"/>
      <c r="C34" s="7" t="str">
        <f>""&amp;CHAR(10)&amp;Basic_Fundamental_Information_Constructure(F34)&amp;CHAR(10)&amp;Basic_Fundamental_Information_Concatenate("")</f>
        <v xml:space="preserve">
市值566.97337亿, 利润38.54亿; PE13.17; 平均PE84.69; 平均PEG3.91, PB3.21; ROIC16.6367%; ROE25.3967%; 毛利45.6467%; 净利16.9967%; 上一年度营收增-11.4%, 利润增-21.73%, 利润增5.32%; 过往5年营收增21.64%, 利润增72.84%
Income profile:
</v>
      </c>
      <c r="D34" s="11">
        <v>151</v>
      </c>
      <c r="E34" t="s">
        <v>787</v>
      </c>
      <c r="F34">
        <v>4.8</v>
      </c>
      <c r="G34" s="5">
        <v>-2.0400000000000001E-2</v>
      </c>
      <c r="H34" t="s">
        <v>6894</v>
      </c>
      <c r="I34">
        <v>56697337000</v>
      </c>
      <c r="J34">
        <v>13.17</v>
      </c>
      <c r="K34">
        <v>3.21</v>
      </c>
      <c r="L34" t="s">
        <v>6350</v>
      </c>
      <c r="M34" t="s">
        <v>9</v>
      </c>
      <c r="N34" t="s">
        <v>9</v>
      </c>
      <c r="O34" t="s">
        <v>9</v>
      </c>
      <c r="P34" t="s">
        <v>9</v>
      </c>
      <c r="Q34" t="s">
        <v>6895</v>
      </c>
      <c r="R34">
        <v>1860257900</v>
      </c>
      <c r="S34" s="5">
        <v>5.3199999999999997E-2</v>
      </c>
      <c r="T34" t="s">
        <v>6896</v>
      </c>
      <c r="U34">
        <v>11811945100</v>
      </c>
      <c r="V34">
        <v>11811945100</v>
      </c>
      <c r="W34" t="s">
        <v>9</v>
      </c>
      <c r="X34" t="s">
        <v>9</v>
      </c>
      <c r="Y34" t="s">
        <v>9</v>
      </c>
      <c r="Z34" t="s">
        <v>9</v>
      </c>
      <c r="AA34" t="s">
        <v>9</v>
      </c>
      <c r="AB34" t="s">
        <v>9</v>
      </c>
      <c r="AC34" t="s">
        <v>9</v>
      </c>
      <c r="AD34" t="s">
        <v>9</v>
      </c>
      <c r="AE34" t="s">
        <v>9</v>
      </c>
      <c r="AF34" t="s">
        <v>9</v>
      </c>
      <c r="AG34" t="s">
        <v>9</v>
      </c>
      <c r="AH34" t="s">
        <v>6897</v>
      </c>
      <c r="AI34" t="s">
        <v>9</v>
      </c>
      <c r="AJ34" t="s">
        <v>9</v>
      </c>
      <c r="AK34" t="s">
        <v>6898</v>
      </c>
      <c r="AL34" t="s">
        <v>9</v>
      </c>
      <c r="AM34" t="s">
        <v>9</v>
      </c>
      <c r="AN34" s="5">
        <v>0.47160000000000002</v>
      </c>
      <c r="AO34" t="s">
        <v>9</v>
      </c>
      <c r="AP34" t="s">
        <v>2946</v>
      </c>
      <c r="AQ34" t="s">
        <v>9</v>
      </c>
      <c r="AR34" t="s">
        <v>6899</v>
      </c>
      <c r="AS34" t="s">
        <v>9</v>
      </c>
      <c r="AT34" t="s">
        <v>9</v>
      </c>
      <c r="AU34" t="s">
        <v>5312</v>
      </c>
      <c r="AV34" t="s">
        <v>6900</v>
      </c>
      <c r="AW34" t="s">
        <v>9</v>
      </c>
      <c r="AX34" t="s">
        <v>788</v>
      </c>
      <c r="AY34" t="s">
        <v>791</v>
      </c>
      <c r="AZ34" t="s">
        <v>792</v>
      </c>
      <c r="BA34" t="s">
        <v>793</v>
      </c>
      <c r="BB34" t="s">
        <v>794</v>
      </c>
      <c r="BC34" t="s">
        <v>795</v>
      </c>
      <c r="BD34" t="s">
        <v>796</v>
      </c>
      <c r="BE34" t="s">
        <v>797</v>
      </c>
      <c r="BF34" t="s">
        <v>798</v>
      </c>
      <c r="BG34" t="s">
        <v>799</v>
      </c>
      <c r="BH34" t="s">
        <v>788</v>
      </c>
      <c r="BI34" t="s">
        <v>9</v>
      </c>
      <c r="BJ34" t="s">
        <v>791</v>
      </c>
      <c r="BK34" t="s">
        <v>789</v>
      </c>
      <c r="BL34" t="s">
        <v>9</v>
      </c>
      <c r="BM34" t="s">
        <v>795</v>
      </c>
      <c r="BN34">
        <v>15.49</v>
      </c>
      <c r="BO34">
        <v>17.41</v>
      </c>
      <c r="BP34">
        <v>17.010000000000002</v>
      </c>
      <c r="BQ34">
        <v>23.01</v>
      </c>
      <c r="BR34">
        <v>25.27</v>
      </c>
      <c r="BS34">
        <v>27.91</v>
      </c>
      <c r="BT34" t="s">
        <v>6901</v>
      </c>
      <c r="BU34" t="s">
        <v>759</v>
      </c>
      <c r="BV34">
        <v>43.92</v>
      </c>
      <c r="BW34">
        <v>44.81</v>
      </c>
      <c r="BX34">
        <v>48.21</v>
      </c>
      <c r="BY34">
        <v>14.67</v>
      </c>
      <c r="BZ34">
        <v>17.47</v>
      </c>
      <c r="CA34">
        <v>18.850000000000001</v>
      </c>
      <c r="CB34">
        <v>12.68</v>
      </c>
      <c r="CC34">
        <v>1.05</v>
      </c>
      <c r="CD34" t="s">
        <v>6902</v>
      </c>
      <c r="CE34" t="s">
        <v>2111</v>
      </c>
      <c r="CF34" s="8" t="s">
        <v>9</v>
      </c>
      <c r="CG34" s="9">
        <v>5.3199999999999997E-2</v>
      </c>
      <c r="CH34" s="8">
        <v>-0.11403363198041916</v>
      </c>
      <c r="CI34" s="8">
        <v>0.13538308441638947</v>
      </c>
      <c r="CJ34" s="8">
        <v>0.18763668835163116</v>
      </c>
      <c r="CK34" s="8">
        <v>-0.1288323700428009</v>
      </c>
      <c r="CL34" s="8">
        <v>0.17290851473808289</v>
      </c>
      <c r="CM34" s="9">
        <v>-0.21730302274227142</v>
      </c>
      <c r="CN34" s="9">
        <v>0.23594383895397186</v>
      </c>
      <c r="CO34" s="9">
        <v>-1.8235553056001663E-2</v>
      </c>
      <c r="CP34" s="9">
        <v>4.2116008698940277E-2</v>
      </c>
      <c r="CQ34" s="9">
        <v>3.3713847398757935E-2</v>
      </c>
      <c r="CR34">
        <v>84.685878800401298</v>
      </c>
      <c r="CS34">
        <v>3.9136820661255385</v>
      </c>
      <c r="CT34" t="e">
        <v>#VALUE!</v>
      </c>
      <c r="CU34" s="8">
        <v>0.21638415530323982</v>
      </c>
      <c r="CV34" s="9">
        <v>0.72843950241804123</v>
      </c>
      <c r="CW34">
        <v>0.06</v>
      </c>
      <c r="CX34">
        <v>12.819942040102234</v>
      </c>
      <c r="CY34">
        <v>4422589183.5270624</v>
      </c>
      <c r="CZ34">
        <v>0.21638415530323982</v>
      </c>
      <c r="DA34">
        <v>3.7702177216225721</v>
      </c>
      <c r="DB34">
        <v>15038212959.11776</v>
      </c>
      <c r="DC34">
        <v>0.20556494753807783</v>
      </c>
      <c r="DD34">
        <v>1.6018784049267492</v>
      </c>
      <c r="DE34">
        <v>35394282628.207764</v>
      </c>
      <c r="DF34">
        <v>0.19041805666685105</v>
      </c>
      <c r="DG34">
        <v>0.80763898882625929</v>
      </c>
      <c r="DH34">
        <v>70201337211.813126</v>
      </c>
      <c r="DI34">
        <v>0.17310732424259187</v>
      </c>
      <c r="DJ34">
        <v>0.27593453141197571</v>
      </c>
      <c r="DK34">
        <v>205473873494.10703</v>
      </c>
      <c r="DL34">
        <v>0.15146890871226787</v>
      </c>
      <c r="DM34">
        <v>3854000000</v>
      </c>
      <c r="DN34">
        <v>0.21638415530323982</v>
      </c>
      <c r="DO34">
        <v>56697337000</v>
      </c>
      <c r="DP34" t="e">
        <v>#VALUE!</v>
      </c>
      <c r="DQ34">
        <v>33</v>
      </c>
      <c r="DR34" t="e">
        <v>#VALUE!</v>
      </c>
      <c r="DS34">
        <v>-0.6752395024180412</v>
      </c>
      <c r="DT34" t="e">
        <v>#VALUE!</v>
      </c>
      <c r="DU34" t="e">
        <v>#VALUE!</v>
      </c>
      <c r="DV34" t="e">
        <v>#VALUE!</v>
      </c>
      <c r="DW34">
        <v>5.0828075709779181</v>
      </c>
      <c r="DX34">
        <v>0.33629820895522367</v>
      </c>
      <c r="DY34">
        <v>5.0154269021611189</v>
      </c>
      <c r="DZ34">
        <v>0</v>
      </c>
      <c r="EA34">
        <v>5.0154269021611189</v>
      </c>
      <c r="EB34">
        <v>5</v>
      </c>
      <c r="EC34">
        <v>5.2836259796026309E-3</v>
      </c>
      <c r="ED34">
        <v>2.8361120642187883E-2</v>
      </c>
      <c r="EE34">
        <v>0</v>
      </c>
      <c r="EF34">
        <v>0</v>
      </c>
      <c r="EG34">
        <v>15.186298208955224</v>
      </c>
      <c r="EH34" t="s">
        <v>110</v>
      </c>
      <c r="EI34">
        <v>1</v>
      </c>
      <c r="EJ34">
        <v>0</v>
      </c>
      <c r="EK34">
        <v>0</v>
      </c>
      <c r="EL34">
        <v>0</v>
      </c>
      <c r="EM34">
        <v>0</v>
      </c>
      <c r="EN34">
        <v>0</v>
      </c>
      <c r="EO34">
        <v>0</v>
      </c>
      <c r="EP34">
        <v>0</v>
      </c>
    </row>
    <row r="35" spans="1:146" ht="96" x14ac:dyDescent="0.25">
      <c r="A35" s="7"/>
      <c r="B35" s="7"/>
      <c r="C35" s="7" t="str">
        <f>""&amp;CHAR(10)&amp;Basic_Fundamental_Information_Constructure(F35)&amp;CHAR(10)&amp;Basic_Fundamental_Information_Concatenate("")</f>
        <v xml:space="preserve">
市值150.12051亿, 利润19.02亿; PE7.89; 平均PE16.47; 平均PEG.42, PB.475; ROIC2.8767%; ROE6.48%; 股利率0%; 毛利31.16%; 净利19.82%; 上一年度营收增32.17%, 利润增-46.77%, 利润增51.66%; 过往5年营收增39.65%, 利润增60.03%
Income profile:
</v>
      </c>
      <c r="D35" s="11">
        <v>152</v>
      </c>
      <c r="E35" t="s">
        <v>801</v>
      </c>
      <c r="F35">
        <v>6.23</v>
      </c>
      <c r="G35" s="5">
        <v>-1.5800000000000002E-2</v>
      </c>
      <c r="H35" t="s">
        <v>6903</v>
      </c>
      <c r="I35">
        <v>15012051000</v>
      </c>
      <c r="J35">
        <v>7.89</v>
      </c>
      <c r="K35">
        <v>0.47499999999999998</v>
      </c>
      <c r="L35" t="s">
        <v>6350</v>
      </c>
      <c r="M35" t="s">
        <v>9</v>
      </c>
      <c r="N35" t="s">
        <v>9</v>
      </c>
      <c r="O35" t="s">
        <v>9</v>
      </c>
      <c r="P35" t="s">
        <v>9</v>
      </c>
      <c r="Q35" t="s">
        <v>6904</v>
      </c>
      <c r="R35">
        <v>1901643000</v>
      </c>
      <c r="S35" s="5">
        <v>0.51659999999999995</v>
      </c>
      <c r="T35" t="s">
        <v>5531</v>
      </c>
      <c r="U35">
        <v>2393148900</v>
      </c>
      <c r="V35">
        <v>2393148900</v>
      </c>
      <c r="W35" t="s">
        <v>9</v>
      </c>
      <c r="X35" t="s">
        <v>9</v>
      </c>
      <c r="Y35" t="s">
        <v>9</v>
      </c>
      <c r="Z35" t="s">
        <v>9</v>
      </c>
      <c r="AA35" t="s">
        <v>9</v>
      </c>
      <c r="AB35" t="s">
        <v>9</v>
      </c>
      <c r="AC35" t="s">
        <v>9</v>
      </c>
      <c r="AD35" t="s">
        <v>9</v>
      </c>
      <c r="AE35" t="s">
        <v>9</v>
      </c>
      <c r="AF35" t="s">
        <v>9</v>
      </c>
      <c r="AG35" t="s">
        <v>9</v>
      </c>
      <c r="AH35" t="s">
        <v>6905</v>
      </c>
      <c r="AI35" t="s">
        <v>9</v>
      </c>
      <c r="AJ35" t="s">
        <v>9</v>
      </c>
      <c r="AK35" t="s">
        <v>6906</v>
      </c>
      <c r="AL35" t="s">
        <v>9</v>
      </c>
      <c r="AM35" t="s">
        <v>9</v>
      </c>
      <c r="AN35" s="5">
        <v>0.57869999999999999</v>
      </c>
      <c r="AO35" t="s">
        <v>9</v>
      </c>
      <c r="AP35" t="s">
        <v>6907</v>
      </c>
      <c r="AQ35" t="s">
        <v>9</v>
      </c>
      <c r="AR35" t="s">
        <v>6908</v>
      </c>
      <c r="AS35" t="s">
        <v>9</v>
      </c>
      <c r="AT35" t="s">
        <v>9</v>
      </c>
      <c r="AU35" t="s">
        <v>3376</v>
      </c>
      <c r="AV35" t="s">
        <v>6909</v>
      </c>
      <c r="AW35" t="s">
        <v>9</v>
      </c>
      <c r="AX35" t="s">
        <v>802</v>
      </c>
      <c r="AY35" t="s">
        <v>805</v>
      </c>
      <c r="AZ35" t="s">
        <v>806</v>
      </c>
      <c r="BA35" t="s">
        <v>807</v>
      </c>
      <c r="BB35" t="s">
        <v>808</v>
      </c>
      <c r="BC35" t="s">
        <v>6079</v>
      </c>
      <c r="BD35" t="s">
        <v>809</v>
      </c>
      <c r="BE35" t="s">
        <v>810</v>
      </c>
      <c r="BF35" t="s">
        <v>811</v>
      </c>
      <c r="BG35" t="s">
        <v>812</v>
      </c>
      <c r="BH35" t="s">
        <v>802</v>
      </c>
      <c r="BI35" t="s">
        <v>9</v>
      </c>
      <c r="BJ35" t="s">
        <v>805</v>
      </c>
      <c r="BK35" t="s">
        <v>803</v>
      </c>
      <c r="BL35" t="s">
        <v>9</v>
      </c>
      <c r="BM35" t="s">
        <v>6079</v>
      </c>
      <c r="BN35">
        <v>2.21</v>
      </c>
      <c r="BO35">
        <v>1.49</v>
      </c>
      <c r="BP35">
        <v>4.93</v>
      </c>
      <c r="BQ35">
        <v>6.02</v>
      </c>
      <c r="BR35">
        <v>4.01</v>
      </c>
      <c r="BS35">
        <v>9.41</v>
      </c>
      <c r="BT35" t="s">
        <v>813</v>
      </c>
      <c r="BU35" t="s">
        <v>687</v>
      </c>
      <c r="BV35">
        <v>36.76</v>
      </c>
      <c r="BW35">
        <v>26.7</v>
      </c>
      <c r="BX35">
        <v>30.02</v>
      </c>
      <c r="BY35">
        <v>14.15</v>
      </c>
      <c r="BZ35">
        <v>12.47</v>
      </c>
      <c r="CA35">
        <v>32.840000000000003</v>
      </c>
      <c r="CB35">
        <v>-5.61</v>
      </c>
      <c r="CC35">
        <v>-7.43</v>
      </c>
      <c r="CD35" t="s">
        <v>6910</v>
      </c>
      <c r="CE35" t="s">
        <v>2841</v>
      </c>
      <c r="CF35" s="8" t="s">
        <v>9</v>
      </c>
      <c r="CG35" s="9">
        <v>0.51659999999999995</v>
      </c>
      <c r="CH35" s="8">
        <v>0.32165619730949402</v>
      </c>
      <c r="CI35" s="8">
        <v>-0.16249597072601318</v>
      </c>
      <c r="CJ35" s="8">
        <v>-4.6781826764345169E-2</v>
      </c>
      <c r="CK35" s="8">
        <v>0.67964774370193481</v>
      </c>
      <c r="CL35" s="8">
        <v>0.14222308993339539</v>
      </c>
      <c r="CM35" s="9">
        <v>-0.46767422556877136</v>
      </c>
      <c r="CN35" s="9">
        <v>-0.10831048339605331</v>
      </c>
      <c r="CO35" s="9">
        <v>-0.20195181667804718</v>
      </c>
      <c r="CP35" s="9">
        <v>0.19178739190101624</v>
      </c>
      <c r="CQ35" s="9">
        <v>0.10374639928340912</v>
      </c>
      <c r="CR35">
        <v>16.469611629182666</v>
      </c>
      <c r="CS35">
        <v>0.41539018134321631</v>
      </c>
      <c r="CT35">
        <v>0</v>
      </c>
      <c r="CU35" s="8">
        <v>0.39648533761501314</v>
      </c>
      <c r="CV35" s="9">
        <v>0.6002938032150269</v>
      </c>
      <c r="CW35">
        <v>0.06</v>
      </c>
      <c r="CX35">
        <v>5.9909956414339192</v>
      </c>
      <c r="CY35">
        <v>2505768973.7205234</v>
      </c>
      <c r="CZ35">
        <v>0.39648533761501314</v>
      </c>
      <c r="DA35">
        <v>1.5248619230621112</v>
      </c>
      <c r="DB35">
        <v>9844859244.6022568</v>
      </c>
      <c r="DC35">
        <v>0.37666107073426247</v>
      </c>
      <c r="DD35">
        <v>0.52066259821575145</v>
      </c>
      <c r="DE35">
        <v>28832589572.295967</v>
      </c>
      <c r="DF35">
        <v>0.34890709710121159</v>
      </c>
      <c r="DG35">
        <v>0.19812416076641942</v>
      </c>
      <c r="DH35">
        <v>75770925372.89592</v>
      </c>
      <c r="DI35">
        <v>0.31718827009201056</v>
      </c>
      <c r="DJ35">
        <v>3.292562338879023E-2</v>
      </c>
      <c r="DK35">
        <v>455938246718.54083</v>
      </c>
      <c r="DL35">
        <v>0.27753973633050916</v>
      </c>
      <c r="DM35">
        <v>1902000000</v>
      </c>
      <c r="DN35">
        <v>0.39648533761501314</v>
      </c>
      <c r="DO35">
        <v>15012051000</v>
      </c>
      <c r="DP35" t="e">
        <v>#VALUE!</v>
      </c>
      <c r="DQ35">
        <v>34</v>
      </c>
      <c r="DR35" t="e">
        <v>#VALUE!</v>
      </c>
      <c r="DS35">
        <v>-8.3693803215026952E-2</v>
      </c>
      <c r="DT35" t="e">
        <v>#VALUE!</v>
      </c>
      <c r="DU35" t="e">
        <v>#VALUE!</v>
      </c>
      <c r="DV35" t="e">
        <v>#VALUE!</v>
      </c>
      <c r="DW35">
        <v>-8.7550471063257067</v>
      </c>
      <c r="DX35">
        <v>0.46880733944954101</v>
      </c>
      <c r="DY35">
        <v>-8.0821546667983757</v>
      </c>
      <c r="DZ35">
        <v>0</v>
      </c>
      <c r="EA35">
        <v>-8.0821546667983757</v>
      </c>
      <c r="EB35">
        <v>8</v>
      </c>
      <c r="EC35">
        <v>9.9116273124501362E-3</v>
      </c>
      <c r="ED35">
        <v>9.1093370746801433E-2</v>
      </c>
      <c r="EE35">
        <v>0</v>
      </c>
      <c r="EF35">
        <v>0</v>
      </c>
      <c r="EG35">
        <v>36.108807339449541</v>
      </c>
      <c r="EH35" t="s">
        <v>110</v>
      </c>
      <c r="EI35">
        <v>0</v>
      </c>
      <c r="EJ35">
        <v>0</v>
      </c>
      <c r="EK35">
        <v>0</v>
      </c>
      <c r="EL35">
        <v>0</v>
      </c>
      <c r="EM35">
        <v>0</v>
      </c>
      <c r="EN35">
        <v>0</v>
      </c>
      <c r="EO35">
        <v>0</v>
      </c>
      <c r="EP35">
        <v>0</v>
      </c>
    </row>
    <row r="36" spans="1:146" ht="96" x14ac:dyDescent="0.25">
      <c r="A36" s="7"/>
      <c r="B36" s="7"/>
      <c r="C36" s="7" t="str">
        <f>""&amp;CHAR(10)&amp;Basic_Fundamental_Information_Constructure(F36)&amp;CHAR(10)&amp;Basic_Fundamental_Information_Concatenate("")</f>
        <v xml:space="preserve">
市值66.398996亿, 利润-19.23亿; PE; 平均PE30.41; 平均PEG8.72, PB.214; ROIC3.24%; ROE-7.4333%; 股利率0%; 毛利100%; 净利-225.2233%; 上一年度营收增146.61%, 利润增-174.74%, 利润增74.17%; 过往5年营收增3.49%, 利润增10.22%
Income profile:
</v>
      </c>
      <c r="D36" s="11">
        <v>165</v>
      </c>
      <c r="E36" t="s">
        <v>815</v>
      </c>
      <c r="F36">
        <v>3.94</v>
      </c>
      <c r="G36" s="5">
        <v>-2.4799999999999999E-2</v>
      </c>
      <c r="H36" t="s">
        <v>6911</v>
      </c>
      <c r="I36">
        <v>6639899600</v>
      </c>
      <c r="K36">
        <v>0.214</v>
      </c>
      <c r="L36" t="s">
        <v>6350</v>
      </c>
      <c r="M36" t="s">
        <v>9</v>
      </c>
      <c r="N36" t="s">
        <v>9</v>
      </c>
      <c r="O36" t="s">
        <v>9</v>
      </c>
      <c r="P36" t="s">
        <v>9</v>
      </c>
      <c r="Q36" t="s">
        <v>2385</v>
      </c>
      <c r="R36">
        <v>-1922639000</v>
      </c>
      <c r="S36" s="5">
        <v>0.74170000000000003</v>
      </c>
      <c r="T36" t="s">
        <v>6912</v>
      </c>
      <c r="U36">
        <v>1685253700</v>
      </c>
      <c r="V36">
        <v>1685253700</v>
      </c>
      <c r="W36" t="s">
        <v>9</v>
      </c>
      <c r="X36" t="s">
        <v>9</v>
      </c>
      <c r="Y36" t="s">
        <v>9</v>
      </c>
      <c r="Z36" t="s">
        <v>9</v>
      </c>
      <c r="AA36" t="s">
        <v>9</v>
      </c>
      <c r="AB36" t="s">
        <v>9</v>
      </c>
      <c r="AC36" t="s">
        <v>9</v>
      </c>
      <c r="AD36" t="s">
        <v>9</v>
      </c>
      <c r="AE36" t="s">
        <v>9</v>
      </c>
      <c r="AF36" t="s">
        <v>9</v>
      </c>
      <c r="AG36" t="s">
        <v>9</v>
      </c>
      <c r="AH36" t="s">
        <v>6913</v>
      </c>
      <c r="AI36" t="s">
        <v>9</v>
      </c>
      <c r="AJ36" t="s">
        <v>9</v>
      </c>
      <c r="AK36" t="s">
        <v>6914</v>
      </c>
      <c r="AL36" t="s">
        <v>9</v>
      </c>
      <c r="AM36" t="s">
        <v>9</v>
      </c>
      <c r="AN36" s="5">
        <v>0.57150000000000001</v>
      </c>
      <c r="AO36" t="s">
        <v>9</v>
      </c>
      <c r="AP36" t="s">
        <v>9</v>
      </c>
      <c r="AQ36" t="s">
        <v>9</v>
      </c>
      <c r="AR36" t="s">
        <v>6915</v>
      </c>
      <c r="AS36" t="s">
        <v>9</v>
      </c>
      <c r="AT36" t="s">
        <v>9</v>
      </c>
      <c r="AU36" t="s">
        <v>2094</v>
      </c>
      <c r="AV36" t="s">
        <v>2136</v>
      </c>
      <c r="AW36" t="s">
        <v>9</v>
      </c>
      <c r="AX36" t="s">
        <v>571</v>
      </c>
      <c r="AY36" t="s">
        <v>247</v>
      </c>
      <c r="AZ36" t="s">
        <v>819</v>
      </c>
      <c r="BA36" t="s">
        <v>820</v>
      </c>
      <c r="BB36" t="s">
        <v>821</v>
      </c>
      <c r="BC36" t="s">
        <v>575</v>
      </c>
      <c r="BD36" t="s">
        <v>822</v>
      </c>
      <c r="BE36" t="s">
        <v>823</v>
      </c>
      <c r="BF36" t="s">
        <v>824</v>
      </c>
      <c r="BG36" t="s">
        <v>825</v>
      </c>
      <c r="BH36" t="s">
        <v>571</v>
      </c>
      <c r="BI36" t="s">
        <v>9</v>
      </c>
      <c r="BJ36" t="s">
        <v>247</v>
      </c>
      <c r="BK36" t="s">
        <v>816</v>
      </c>
      <c r="BL36" t="s">
        <v>9</v>
      </c>
      <c r="BM36" t="s">
        <v>575</v>
      </c>
      <c r="BN36" t="s">
        <v>9</v>
      </c>
      <c r="BO36" t="s">
        <v>9</v>
      </c>
      <c r="BP36">
        <v>3.24</v>
      </c>
      <c r="BQ36">
        <v>-6.2</v>
      </c>
      <c r="BR36">
        <v>-21.58</v>
      </c>
      <c r="BS36">
        <v>5.48</v>
      </c>
      <c r="BT36" t="s">
        <v>6916</v>
      </c>
      <c r="BU36" t="s">
        <v>826</v>
      </c>
      <c r="BV36" t="s">
        <v>9</v>
      </c>
      <c r="BW36" t="s">
        <v>9</v>
      </c>
      <c r="BX36">
        <v>100</v>
      </c>
      <c r="BY36">
        <v>-93.03</v>
      </c>
      <c r="BZ36">
        <v>-1003.08</v>
      </c>
      <c r="CA36">
        <v>420.44</v>
      </c>
      <c r="CB36">
        <v>-4.37</v>
      </c>
      <c r="CC36">
        <v>-11.06</v>
      </c>
      <c r="CD36" t="s">
        <v>6917</v>
      </c>
      <c r="CE36" t="s">
        <v>6918</v>
      </c>
      <c r="CF36" s="8" t="s">
        <v>9</v>
      </c>
      <c r="CG36" s="9">
        <v>0.74170000000000003</v>
      </c>
      <c r="CH36" s="8">
        <v>1.4661458730697632</v>
      </c>
      <c r="CI36" s="8">
        <v>1.005221962928772</v>
      </c>
      <c r="CJ36" s="8">
        <v>-0.40986132621765137</v>
      </c>
      <c r="CK36" s="8">
        <v>-0.24004684388637543</v>
      </c>
      <c r="CL36" s="8">
        <v>-0.84554165601730347</v>
      </c>
      <c r="CM36" s="9">
        <v>-1.7473766803741455</v>
      </c>
      <c r="CN36" s="9">
        <v>0.13648407161235809</v>
      </c>
      <c r="CO36" s="9">
        <v>1.2069765478372574E-2</v>
      </c>
      <c r="CP36" s="9">
        <v>-0.27931702136993408</v>
      </c>
      <c r="CQ36" s="9">
        <v>-0.25168755650520325</v>
      </c>
      <c r="CR36">
        <v>30.41175389312977</v>
      </c>
      <c r="CS36">
        <v>8.7166203534637265</v>
      </c>
      <c r="CT36">
        <v>0</v>
      </c>
      <c r="CU36" s="8">
        <v>3.4889386780560014E-2</v>
      </c>
      <c r="CV36" s="9">
        <v>0.10224943310022354</v>
      </c>
      <c r="CW36">
        <v>0.06</v>
      </c>
      <c r="CX36" t="e">
        <v>#VALUE!</v>
      </c>
      <c r="CY36" t="s">
        <v>109</v>
      </c>
      <c r="CZ36">
        <v>3.4889386780560014E-2</v>
      </c>
      <c r="DA36" t="e">
        <v>#VALUE!</v>
      </c>
      <c r="DB36" t="s">
        <v>108</v>
      </c>
      <c r="DC36">
        <v>3.3144917441532008E-2</v>
      </c>
      <c r="DD36" t="e">
        <v>#VALUE!</v>
      </c>
      <c r="DE36" t="s">
        <v>108</v>
      </c>
      <c r="DF36">
        <v>3.0702660366892811E-2</v>
      </c>
      <c r="DG36" t="e">
        <v>#VALUE!</v>
      </c>
      <c r="DH36" t="s">
        <v>108</v>
      </c>
      <c r="DI36">
        <v>2.7911509424448012E-2</v>
      </c>
      <c r="DJ36" t="e">
        <v>#VALUE!</v>
      </c>
      <c r="DK36" t="s">
        <v>108</v>
      </c>
      <c r="DL36">
        <v>2.4422570746392008E-2</v>
      </c>
      <c r="DM36">
        <v>-1923000000</v>
      </c>
      <c r="DN36">
        <v>3.4889386780560014E-2</v>
      </c>
      <c r="DO36">
        <v>6639899600</v>
      </c>
      <c r="DP36" t="e">
        <v>#VALUE!</v>
      </c>
      <c r="DQ36">
        <v>35</v>
      </c>
      <c r="DR36" t="e">
        <v>#VALUE!</v>
      </c>
      <c r="DS36">
        <v>0.63945056689977653</v>
      </c>
      <c r="DT36" t="e">
        <v>#VALUE!</v>
      </c>
      <c r="DU36" t="e">
        <v>#VALUE!</v>
      </c>
      <c r="DV36" t="e">
        <v>#VALUE!</v>
      </c>
      <c r="DW36">
        <v>-8.3951175406871617</v>
      </c>
      <c r="DX36">
        <v>0.40441350567616041</v>
      </c>
      <c r="DY36">
        <v>-8.0610114846116474</v>
      </c>
      <c r="DZ36">
        <v>0</v>
      </c>
      <c r="EA36">
        <v>-8.0610114846116474</v>
      </c>
      <c r="EB36">
        <v>8</v>
      </c>
      <c r="EC36">
        <v>3.5989240077028166E-3</v>
      </c>
      <c r="ED36">
        <v>2.3307054599553765E-2</v>
      </c>
      <c r="EE36">
        <v>0</v>
      </c>
      <c r="EF36">
        <v>0</v>
      </c>
      <c r="EG36">
        <v>25.15441350567616</v>
      </c>
      <c r="EH36" t="s">
        <v>110</v>
      </c>
      <c r="EI36">
        <v>0</v>
      </c>
      <c r="EJ36">
        <v>0</v>
      </c>
      <c r="EK36">
        <v>0</v>
      </c>
      <c r="EL36">
        <v>0</v>
      </c>
      <c r="EM36">
        <v>0</v>
      </c>
      <c r="EN36">
        <v>0</v>
      </c>
      <c r="EO36">
        <v>0</v>
      </c>
      <c r="EP36">
        <v>0</v>
      </c>
    </row>
    <row r="37" spans="1:146" ht="108" x14ac:dyDescent="0.25">
      <c r="A37" s="7"/>
      <c r="B37" s="7"/>
      <c r="C37" s="7" t="str">
        <f>""&amp;CHAR(10)&amp;Basic_Fundamental_Information_Constructure(F37)&amp;CHAR(10)&amp;Basic_Fundamental_Information_Concatenate("")</f>
        <v xml:space="preserve">
市值716.20331亿, 利润46.70亿; PE15.13; 平均PE53.87; 平均PEG21.49, PB2.28; ROIC15.0833%; ROE14.57%; 股利率0%; 毛利32.4167%; 净利12.75%; 上一年度营收增2.94%, 利润增21.24%; 当季营收增2.71%, 利润增3.86%; 过往5年营收增2.51%, 利润增-316.48%
Income profile:
</v>
      </c>
      <c r="D37" s="11">
        <v>168</v>
      </c>
      <c r="E37" t="s">
        <v>827</v>
      </c>
      <c r="F37">
        <v>52.5</v>
      </c>
      <c r="G37" s="5">
        <v>-1.78E-2</v>
      </c>
      <c r="H37" t="s">
        <v>6919</v>
      </c>
      <c r="I37">
        <v>71620331000</v>
      </c>
      <c r="J37">
        <v>15.13</v>
      </c>
      <c r="K37">
        <v>2.2799999999999998</v>
      </c>
      <c r="L37" t="s">
        <v>6350</v>
      </c>
      <c r="M37" t="s">
        <v>9</v>
      </c>
      <c r="N37" t="s">
        <v>9</v>
      </c>
      <c r="O37" t="s">
        <v>6920</v>
      </c>
      <c r="P37">
        <v>-5.19</v>
      </c>
      <c r="Q37" t="s">
        <v>6921</v>
      </c>
      <c r="R37">
        <v>4669679200</v>
      </c>
      <c r="S37" s="5">
        <v>3.8600000000000002E-2</v>
      </c>
      <c r="T37" t="s">
        <v>6922</v>
      </c>
      <c r="U37">
        <v>655069180</v>
      </c>
      <c r="V37">
        <v>1364196800</v>
      </c>
      <c r="W37">
        <v>1.74</v>
      </c>
      <c r="X37">
        <v>0.2</v>
      </c>
      <c r="Y37" t="s">
        <v>9</v>
      </c>
      <c r="Z37" t="s">
        <v>9</v>
      </c>
      <c r="AA37" t="s">
        <v>9</v>
      </c>
      <c r="AB37" t="s">
        <v>9</v>
      </c>
      <c r="AC37" t="s">
        <v>9</v>
      </c>
      <c r="AD37" t="s">
        <v>89</v>
      </c>
      <c r="AE37" t="s">
        <v>9</v>
      </c>
      <c r="AF37" t="s">
        <v>9</v>
      </c>
      <c r="AG37" t="s">
        <v>9</v>
      </c>
      <c r="AH37" t="s">
        <v>17</v>
      </c>
      <c r="AI37" t="s">
        <v>9</v>
      </c>
      <c r="AJ37" t="s">
        <v>9</v>
      </c>
      <c r="AK37" t="s">
        <v>6923</v>
      </c>
      <c r="AL37" t="s">
        <v>9</v>
      </c>
      <c r="AM37" t="s">
        <v>9</v>
      </c>
      <c r="AN37" s="5">
        <v>0</v>
      </c>
      <c r="AO37" t="s">
        <v>9</v>
      </c>
      <c r="AP37" t="s">
        <v>9</v>
      </c>
      <c r="AQ37" t="s">
        <v>9</v>
      </c>
      <c r="AR37" t="s">
        <v>9</v>
      </c>
      <c r="AS37" t="s">
        <v>9</v>
      </c>
      <c r="AT37" t="s">
        <v>9</v>
      </c>
      <c r="AU37" t="s">
        <v>5950</v>
      </c>
      <c r="AV37" t="s">
        <v>6924</v>
      </c>
      <c r="AW37" t="s">
        <v>9</v>
      </c>
      <c r="AX37" t="s">
        <v>828</v>
      </c>
      <c r="AY37" t="s">
        <v>836</v>
      </c>
      <c r="AZ37" t="s">
        <v>837</v>
      </c>
      <c r="BA37" t="s">
        <v>838</v>
      </c>
      <c r="BB37" t="s">
        <v>839</v>
      </c>
      <c r="BC37" t="s">
        <v>840</v>
      </c>
      <c r="BD37" t="s">
        <v>841</v>
      </c>
      <c r="BE37" t="s">
        <v>842</v>
      </c>
      <c r="BF37" t="s">
        <v>843</v>
      </c>
      <c r="BG37" t="s">
        <v>844</v>
      </c>
      <c r="BH37" t="s">
        <v>828</v>
      </c>
      <c r="BI37" t="s">
        <v>845</v>
      </c>
      <c r="BJ37" t="s">
        <v>836</v>
      </c>
      <c r="BK37" t="s">
        <v>829</v>
      </c>
      <c r="BL37" t="s">
        <v>846</v>
      </c>
      <c r="BM37" t="s">
        <v>840</v>
      </c>
      <c r="BN37">
        <v>16.02</v>
      </c>
      <c r="BO37">
        <v>15.12</v>
      </c>
      <c r="BP37">
        <v>14.11</v>
      </c>
      <c r="BQ37">
        <v>15.52</v>
      </c>
      <c r="BR37">
        <v>14.52</v>
      </c>
      <c r="BS37">
        <v>13.67</v>
      </c>
      <c r="BT37" t="s">
        <v>6925</v>
      </c>
      <c r="BU37" t="s">
        <v>759</v>
      </c>
      <c r="BV37">
        <v>34.020000000000003</v>
      </c>
      <c r="BW37">
        <v>31.78</v>
      </c>
      <c r="BX37">
        <v>31.45</v>
      </c>
      <c r="BY37">
        <v>13.78</v>
      </c>
      <c r="BZ37">
        <v>12.78</v>
      </c>
      <c r="CA37">
        <v>11.69</v>
      </c>
      <c r="CB37">
        <v>-1.04</v>
      </c>
      <c r="CC37">
        <v>-14.22</v>
      </c>
      <c r="CD37" t="s">
        <v>6926</v>
      </c>
      <c r="CE37" t="s">
        <v>89</v>
      </c>
      <c r="CF37" s="8">
        <v>2.7113237639553429E-2</v>
      </c>
      <c r="CG37" s="9">
        <v>3.8600000000000002E-2</v>
      </c>
      <c r="CH37" s="8">
        <v>2.943808026611805E-2</v>
      </c>
      <c r="CI37" s="8">
        <v>-1.4780073426663876E-2</v>
      </c>
      <c r="CJ37" s="8">
        <v>0.12016294151544571</v>
      </c>
      <c r="CK37" s="8">
        <v>6.047823466360569E-3</v>
      </c>
      <c r="CL37" s="8">
        <v>-3.9518844336271286E-2</v>
      </c>
      <c r="CM37" s="9">
        <v>0.21235725283622742</v>
      </c>
      <c r="CN37" s="9">
        <v>0.46798780560493469</v>
      </c>
      <c r="CO37" s="9">
        <v>0.26763284206390381</v>
      </c>
      <c r="CP37" s="9">
        <v>0.27856695652008057</v>
      </c>
      <c r="CQ37" s="9">
        <v>6.9352753460407257E-2</v>
      </c>
      <c r="CR37">
        <v>53.86600235747283</v>
      </c>
      <c r="CS37">
        <v>21.489181306756475</v>
      </c>
      <c r="CT37">
        <v>0</v>
      </c>
      <c r="CU37" s="8">
        <v>2.5066567957401274E-2</v>
      </c>
      <c r="CV37" s="9">
        <v>-3.1648295223712921</v>
      </c>
      <c r="CW37">
        <v>0.06</v>
      </c>
      <c r="CX37">
        <v>15.858906515754438</v>
      </c>
      <c r="CY37">
        <v>4516095162.6047773</v>
      </c>
      <c r="CZ37">
        <v>2.5066567957401274E-2</v>
      </c>
      <c r="DA37">
        <v>5.4776438858757217</v>
      </c>
      <c r="DB37">
        <v>13075025045.836823</v>
      </c>
      <c r="DC37">
        <v>2.3813239559531209E-2</v>
      </c>
      <c r="DD37">
        <v>2.8982265913650131</v>
      </c>
      <c r="DE37">
        <v>24711777613.726227</v>
      </c>
      <c r="DF37">
        <v>2.205857980251312E-2</v>
      </c>
      <c r="DG37">
        <v>1.882936904637903</v>
      </c>
      <c r="DH37">
        <v>38036500757.720772</v>
      </c>
      <c r="DI37">
        <v>2.0053254365921022E-2</v>
      </c>
      <c r="DJ37">
        <v>1.1457360949207327</v>
      </c>
      <c r="DK37">
        <v>62510320934.730637</v>
      </c>
      <c r="DL37">
        <v>1.7546597570180889E-2</v>
      </c>
      <c r="DM37">
        <v>4670000000</v>
      </c>
      <c r="DN37">
        <v>2.5066567957401274E-2</v>
      </c>
      <c r="DO37">
        <v>71620331000</v>
      </c>
      <c r="DP37" t="e">
        <v>#VALUE!</v>
      </c>
      <c r="DQ37">
        <v>36</v>
      </c>
      <c r="DR37">
        <v>2.0466696821521552E-3</v>
      </c>
      <c r="DS37">
        <v>3.2034295223712923</v>
      </c>
      <c r="DT37">
        <v>-0.3066666666666667</v>
      </c>
      <c r="DU37">
        <v>0.13333333333333319</v>
      </c>
      <c r="DV37">
        <v>-0.17333333333333351</v>
      </c>
      <c r="DW37">
        <v>-2.1421999999999999</v>
      </c>
      <c r="DX37">
        <v>0.27615363636363555</v>
      </c>
      <c r="DY37">
        <v>-2.0207830470909092</v>
      </c>
      <c r="DZ37">
        <v>0</v>
      </c>
      <c r="EA37">
        <v>-2.0207830470909092</v>
      </c>
      <c r="EB37">
        <v>2</v>
      </c>
      <c r="EC37">
        <v>1.1784883236788123E-2</v>
      </c>
      <c r="ED37">
        <v>8.0633527362034579E-2</v>
      </c>
      <c r="EE37">
        <v>0</v>
      </c>
      <c r="EF37">
        <v>0</v>
      </c>
      <c r="EG37">
        <v>13.146153636363636</v>
      </c>
      <c r="EH37" t="s">
        <v>110</v>
      </c>
      <c r="EI37">
        <v>0</v>
      </c>
      <c r="EJ37">
        <v>0</v>
      </c>
      <c r="EK37">
        <v>0</v>
      </c>
      <c r="EL37">
        <v>0</v>
      </c>
      <c r="EM37">
        <v>0</v>
      </c>
      <c r="EN37">
        <v>0</v>
      </c>
      <c r="EO37">
        <v>0</v>
      </c>
      <c r="EP37">
        <v>0</v>
      </c>
    </row>
    <row r="38" spans="1:146" ht="96" x14ac:dyDescent="0.25">
      <c r="A38" s="7"/>
      <c r="B38" s="7"/>
      <c r="C38" s="7" t="str">
        <f>""&amp;CHAR(10)&amp;Basic_Fundamental_Information_Constructure(F38)&amp;CHAR(10)&amp;Basic_Fundamental_Information_Concatenate("")</f>
        <v xml:space="preserve">
市值895.64103亿, 利润56.63亿; PE15.82; 平均PE58.72; 平均PEG8, PB1.01; ROIC6.4867%; ROE6.7067%; 股利率0%; 毛利15.52%; 净利3.39%; 上一年度营收增17.69%, 利润增-2.02%, 利润增-2.01%; 过往5年营收增7.34%, 利润增-18.34%
Income profile:
</v>
      </c>
      <c r="D38" s="11">
        <v>175</v>
      </c>
      <c r="E38" t="s">
        <v>847</v>
      </c>
      <c r="F38">
        <v>8.9</v>
      </c>
      <c r="G38" s="5">
        <v>-2.7300000000000001E-2</v>
      </c>
      <c r="H38" t="s">
        <v>6927</v>
      </c>
      <c r="I38">
        <v>89564103000</v>
      </c>
      <c r="J38">
        <v>15.82</v>
      </c>
      <c r="K38">
        <v>1.01</v>
      </c>
      <c r="L38" t="s">
        <v>6350</v>
      </c>
      <c r="M38" t="s">
        <v>9</v>
      </c>
      <c r="N38" t="s">
        <v>9</v>
      </c>
      <c r="O38" t="s">
        <v>9</v>
      </c>
      <c r="P38" t="s">
        <v>9</v>
      </c>
      <c r="Q38" t="s">
        <v>6928</v>
      </c>
      <c r="R38">
        <v>5662937400</v>
      </c>
      <c r="S38" s="5">
        <v>-2.01E-2</v>
      </c>
      <c r="T38" t="s">
        <v>6929</v>
      </c>
      <c r="U38">
        <v>10063382400</v>
      </c>
      <c r="V38">
        <v>10063382400</v>
      </c>
      <c r="W38" t="s">
        <v>9</v>
      </c>
      <c r="X38" t="s">
        <v>9</v>
      </c>
      <c r="Y38" t="s">
        <v>9</v>
      </c>
      <c r="Z38" t="s">
        <v>9</v>
      </c>
      <c r="AA38" t="s">
        <v>9</v>
      </c>
      <c r="AB38" t="s">
        <v>9</v>
      </c>
      <c r="AC38" t="s">
        <v>9</v>
      </c>
      <c r="AD38" t="s">
        <v>6930</v>
      </c>
      <c r="AE38" t="s">
        <v>9</v>
      </c>
      <c r="AF38" t="s">
        <v>9</v>
      </c>
      <c r="AG38" t="s">
        <v>9</v>
      </c>
      <c r="AH38" t="s">
        <v>6931</v>
      </c>
      <c r="AI38" t="s">
        <v>9</v>
      </c>
      <c r="AJ38" t="s">
        <v>9</v>
      </c>
      <c r="AK38" t="s">
        <v>6932</v>
      </c>
      <c r="AL38" t="s">
        <v>9</v>
      </c>
      <c r="AM38" t="s">
        <v>9</v>
      </c>
      <c r="AN38" s="5">
        <v>0.55789999999999995</v>
      </c>
      <c r="AO38" t="s">
        <v>9</v>
      </c>
      <c r="AP38" t="s">
        <v>6933</v>
      </c>
      <c r="AQ38" t="s">
        <v>9</v>
      </c>
      <c r="AR38" t="s">
        <v>6934</v>
      </c>
      <c r="AS38" t="s">
        <v>9</v>
      </c>
      <c r="AT38" t="s">
        <v>9</v>
      </c>
      <c r="AU38" t="s">
        <v>6935</v>
      </c>
      <c r="AV38" t="s">
        <v>6936</v>
      </c>
      <c r="AW38" t="s">
        <v>9</v>
      </c>
      <c r="AX38" t="s">
        <v>848</v>
      </c>
      <c r="AY38" t="s">
        <v>851</v>
      </c>
      <c r="AZ38" t="s">
        <v>852</v>
      </c>
      <c r="BA38" t="s">
        <v>853</v>
      </c>
      <c r="BB38" t="s">
        <v>854</v>
      </c>
      <c r="BC38" t="s">
        <v>855</v>
      </c>
      <c r="BD38" t="s">
        <v>856</v>
      </c>
      <c r="BE38" t="s">
        <v>857</v>
      </c>
      <c r="BF38" t="s">
        <v>858</v>
      </c>
      <c r="BG38" t="s">
        <v>859</v>
      </c>
      <c r="BH38" t="s">
        <v>848</v>
      </c>
      <c r="BI38" t="s">
        <v>9</v>
      </c>
      <c r="BJ38" t="s">
        <v>851</v>
      </c>
      <c r="BK38" t="s">
        <v>849</v>
      </c>
      <c r="BL38" t="s">
        <v>9</v>
      </c>
      <c r="BM38" t="s">
        <v>855</v>
      </c>
      <c r="BN38">
        <v>5.99</v>
      </c>
      <c r="BO38">
        <v>6.72</v>
      </c>
      <c r="BP38">
        <v>6.75</v>
      </c>
      <c r="BQ38">
        <v>6.42</v>
      </c>
      <c r="BR38">
        <v>6.82</v>
      </c>
      <c r="BS38">
        <v>6.88</v>
      </c>
      <c r="BT38" t="s">
        <v>860</v>
      </c>
      <c r="BU38" t="s">
        <v>861</v>
      </c>
      <c r="BV38">
        <v>15.3</v>
      </c>
      <c r="BW38">
        <v>14.12</v>
      </c>
      <c r="BX38">
        <v>17.14</v>
      </c>
      <c r="BY38">
        <v>2.75</v>
      </c>
      <c r="BZ38">
        <v>3.14</v>
      </c>
      <c r="CA38">
        <v>4.28</v>
      </c>
      <c r="CB38">
        <v>-2.66</v>
      </c>
      <c r="CC38">
        <v>-10.94</v>
      </c>
      <c r="CD38" t="s">
        <v>1316</v>
      </c>
      <c r="CE38" t="s">
        <v>1811</v>
      </c>
      <c r="CF38" s="8" t="s">
        <v>9</v>
      </c>
      <c r="CG38" s="9">
        <v>-2.01E-2</v>
      </c>
      <c r="CH38" s="8">
        <v>0.17687621712684631</v>
      </c>
      <c r="CI38" s="8">
        <v>0.34154456853866577</v>
      </c>
      <c r="CJ38" s="8">
        <v>0.13327133655548096</v>
      </c>
      <c r="CK38" s="8">
        <v>-9.5395028591156006E-2</v>
      </c>
      <c r="CL38" s="8">
        <v>9.1339863836765289E-2</v>
      </c>
      <c r="CM38" s="9">
        <v>-2.0242160186171532E-2</v>
      </c>
      <c r="CN38" s="9">
        <v>-0.10136819630861282</v>
      </c>
      <c r="CO38" s="9">
        <v>-0.29720279574394226</v>
      </c>
      <c r="CP38" s="9">
        <v>-0.35968658328056335</v>
      </c>
      <c r="CQ38" s="9">
        <v>0.12110757827758789</v>
      </c>
      <c r="CR38">
        <v>58.724141405310895</v>
      </c>
      <c r="CS38">
        <v>8.0049048149495565</v>
      </c>
      <c r="CT38">
        <v>0</v>
      </c>
      <c r="CU38" s="8">
        <v>7.3360199481248861E-2</v>
      </c>
      <c r="CV38" s="9">
        <v>-0.18342173099517822</v>
      </c>
      <c r="CW38">
        <v>0.06</v>
      </c>
      <c r="CX38">
        <v>15.618804787355304</v>
      </c>
      <c r="CY38">
        <v>5734376235.5304832</v>
      </c>
      <c r="CZ38">
        <v>7.3360199481248861E-2</v>
      </c>
      <c r="DA38">
        <v>5.1766434369798358</v>
      </c>
      <c r="DB38">
        <v>17301578540.293209</v>
      </c>
      <c r="DC38">
        <v>6.9692189507186419E-2</v>
      </c>
      <c r="DD38">
        <v>2.5965928503798268</v>
      </c>
      <c r="DE38">
        <v>34492932916.648315</v>
      </c>
      <c r="DF38">
        <v>6.4556975543498998E-2</v>
      </c>
      <c r="DG38">
        <v>1.5923649995815825</v>
      </c>
      <c r="DH38">
        <v>56245963094.85218</v>
      </c>
      <c r="DI38">
        <v>5.8688159584999094E-2</v>
      </c>
      <c r="DJ38">
        <v>0.86085195976520623</v>
      </c>
      <c r="DK38">
        <v>104041237269.67902</v>
      </c>
      <c r="DL38">
        <v>5.1352139636874197E-2</v>
      </c>
      <c r="DM38">
        <v>5663000000</v>
      </c>
      <c r="DN38">
        <v>7.3360199481248861E-2</v>
      </c>
      <c r="DO38">
        <v>89564103000</v>
      </c>
      <c r="DP38" t="e">
        <v>#VALUE!</v>
      </c>
      <c r="DQ38">
        <v>37</v>
      </c>
      <c r="DR38" t="e">
        <v>#VALUE!</v>
      </c>
      <c r="DS38">
        <v>0.16332173099517822</v>
      </c>
      <c r="DT38" t="e">
        <v>#VALUE!</v>
      </c>
      <c r="DU38" t="e">
        <v>#VALUE!</v>
      </c>
      <c r="DV38" t="e">
        <v>#VALUE!</v>
      </c>
      <c r="DW38">
        <v>-8.2431444241316267</v>
      </c>
      <c r="DX38">
        <v>0.42700268514556017</v>
      </c>
      <c r="DY38">
        <v>-8.0381743274668356</v>
      </c>
      <c r="DZ38">
        <v>0</v>
      </c>
      <c r="EA38">
        <v>-8.0381743274668356</v>
      </c>
      <c r="EB38">
        <v>8</v>
      </c>
      <c r="EC38">
        <v>1.7489149572612883E-2</v>
      </c>
      <c r="ED38">
        <v>0.11139395835738092</v>
      </c>
      <c r="EE38">
        <v>0</v>
      </c>
      <c r="EF38">
        <v>0</v>
      </c>
      <c r="EG38">
        <v>27.15700268514556</v>
      </c>
      <c r="EH38" t="s">
        <v>110</v>
      </c>
      <c r="EI38">
        <v>0</v>
      </c>
      <c r="EJ38">
        <v>0</v>
      </c>
      <c r="EK38">
        <v>0</v>
      </c>
      <c r="EL38">
        <v>0</v>
      </c>
      <c r="EM38">
        <v>0</v>
      </c>
      <c r="EN38">
        <v>0</v>
      </c>
      <c r="EO38">
        <v>0</v>
      </c>
      <c r="EP38">
        <v>0</v>
      </c>
    </row>
    <row r="39" spans="1:146" ht="96" x14ac:dyDescent="0.25">
      <c r="A39" s="7"/>
      <c r="B39" s="7"/>
      <c r="C39" s="7" t="str">
        <f>""&amp;CHAR(10)&amp;Basic_Fundamental_Information_Constructure(F39)&amp;CHAR(10)&amp;Basic_Fundamental_Information_Concatenate("")</f>
        <v xml:space="preserve">
市值418.13304亿, 利润48.38亿; PE8.75; 平均PE109; 平均PEG11.24, PB1.08; ROIC7.5333%; ROE12.8233%; 毛利34.7433%; 净利29.88%; 上一年度营收增12.41%, 利润增-7.69%; 当季营收增11.94%, 利润增-4.11%; 过往5年营收增9.7%, 利润增-204.72%
Income profile:
</v>
      </c>
      <c r="D39" s="11">
        <v>177</v>
      </c>
      <c r="E39" t="s">
        <v>863</v>
      </c>
      <c r="F39">
        <v>8.3000000000000007</v>
      </c>
      <c r="G39" s="5">
        <v>-2.3999999999999998E-3</v>
      </c>
      <c r="H39" t="s">
        <v>6937</v>
      </c>
      <c r="I39">
        <v>41813304000</v>
      </c>
      <c r="J39">
        <v>8.75</v>
      </c>
      <c r="K39">
        <v>1.08</v>
      </c>
      <c r="L39" t="s">
        <v>6350</v>
      </c>
      <c r="M39" t="s">
        <v>6938</v>
      </c>
      <c r="N39" t="s">
        <v>6939</v>
      </c>
      <c r="O39" t="s">
        <v>620</v>
      </c>
      <c r="P39">
        <v>-4.3</v>
      </c>
      <c r="Q39" t="s">
        <v>5974</v>
      </c>
      <c r="R39">
        <v>4837828300</v>
      </c>
      <c r="S39" s="5">
        <v>-4.1099999999999998E-2</v>
      </c>
      <c r="T39" t="s">
        <v>6940</v>
      </c>
      <c r="U39">
        <v>1222000000</v>
      </c>
      <c r="V39">
        <v>5037747500</v>
      </c>
      <c r="W39">
        <v>2.27</v>
      </c>
      <c r="X39">
        <v>0.04</v>
      </c>
      <c r="Y39">
        <v>47.91</v>
      </c>
      <c r="Z39" t="s">
        <v>6941</v>
      </c>
      <c r="AA39" t="s">
        <v>6942</v>
      </c>
      <c r="AB39" t="s">
        <v>6943</v>
      </c>
      <c r="AC39" t="s">
        <v>6944</v>
      </c>
      <c r="AD39" t="s">
        <v>9</v>
      </c>
      <c r="AE39" t="s">
        <v>94</v>
      </c>
      <c r="AF39" t="s">
        <v>9</v>
      </c>
      <c r="AG39" t="s">
        <v>6945</v>
      </c>
      <c r="AH39" t="s">
        <v>6946</v>
      </c>
      <c r="AI39" t="s">
        <v>3872</v>
      </c>
      <c r="AJ39" t="s">
        <v>6947</v>
      </c>
      <c r="AK39" t="s">
        <v>6948</v>
      </c>
      <c r="AL39" t="s">
        <v>9</v>
      </c>
      <c r="AM39" t="s">
        <v>3107</v>
      </c>
      <c r="AN39" s="5">
        <v>0.47349999999999998</v>
      </c>
      <c r="AO39" t="s">
        <v>2630</v>
      </c>
      <c r="AP39" t="s">
        <v>6949</v>
      </c>
      <c r="AQ39" t="s">
        <v>4307</v>
      </c>
      <c r="AR39" t="s">
        <v>6950</v>
      </c>
      <c r="AS39" t="s">
        <v>2897</v>
      </c>
      <c r="AT39" t="s">
        <v>6951</v>
      </c>
      <c r="AU39" t="s">
        <v>6952</v>
      </c>
      <c r="AV39" t="s">
        <v>6953</v>
      </c>
      <c r="AW39" t="s">
        <v>6954</v>
      </c>
      <c r="AX39" t="s">
        <v>864</v>
      </c>
      <c r="AY39" t="s">
        <v>872</v>
      </c>
      <c r="AZ39" t="s">
        <v>873</v>
      </c>
      <c r="BA39" t="s">
        <v>874</v>
      </c>
      <c r="BB39" t="s">
        <v>875</v>
      </c>
      <c r="BC39" t="s">
        <v>6955</v>
      </c>
      <c r="BD39" t="s">
        <v>877</v>
      </c>
      <c r="BE39" t="s">
        <v>878</v>
      </c>
      <c r="BF39" t="s">
        <v>879</v>
      </c>
      <c r="BG39" t="s">
        <v>880</v>
      </c>
      <c r="BH39" t="s">
        <v>864</v>
      </c>
      <c r="BI39" t="s">
        <v>881</v>
      </c>
      <c r="BJ39" t="s">
        <v>872</v>
      </c>
      <c r="BK39" t="s">
        <v>865</v>
      </c>
      <c r="BL39" t="s">
        <v>3963</v>
      </c>
      <c r="BM39" t="s">
        <v>6955</v>
      </c>
      <c r="BN39">
        <v>7.19</v>
      </c>
      <c r="BO39">
        <v>6.45</v>
      </c>
      <c r="BP39">
        <v>8.9600000000000009</v>
      </c>
      <c r="BQ39">
        <v>12.99</v>
      </c>
      <c r="BR39">
        <v>11.66</v>
      </c>
      <c r="BS39">
        <v>13.82</v>
      </c>
      <c r="BT39" t="s">
        <v>6956</v>
      </c>
      <c r="BU39" t="s">
        <v>687</v>
      </c>
      <c r="BV39">
        <v>36.71</v>
      </c>
      <c r="BW39">
        <v>32.44</v>
      </c>
      <c r="BX39">
        <v>35.08</v>
      </c>
      <c r="BY39">
        <v>30.45</v>
      </c>
      <c r="BZ39">
        <v>28.64</v>
      </c>
      <c r="CA39">
        <v>30.55</v>
      </c>
      <c r="CB39">
        <v>-1.78</v>
      </c>
      <c r="CC39">
        <v>-2.12</v>
      </c>
      <c r="CD39" t="s">
        <v>6957</v>
      </c>
      <c r="CE39" t="s">
        <v>6958</v>
      </c>
      <c r="CF39" s="8">
        <v>0.1194344163658243</v>
      </c>
      <c r="CG39" s="9">
        <v>-4.1099999999999998E-2</v>
      </c>
      <c r="CH39" s="8">
        <v>0.12409405410289764</v>
      </c>
      <c r="CI39" s="8">
        <v>-0.13843010365962982</v>
      </c>
      <c r="CJ39" s="8">
        <v>0.8182300329208374</v>
      </c>
      <c r="CK39" s="8">
        <v>-0.16976478695869446</v>
      </c>
      <c r="CL39" s="8">
        <v>1.3232689816504717E-3</v>
      </c>
      <c r="CM39" s="9">
        <v>-7.689368724822998E-2</v>
      </c>
      <c r="CN39" s="9">
        <v>0.7844739556312561</v>
      </c>
      <c r="CO39" s="9">
        <v>-0.3741743266582489</v>
      </c>
      <c r="CP39" s="9">
        <v>-5.819784477353096E-2</v>
      </c>
      <c r="CQ39" s="9">
        <v>0.15856774151325226</v>
      </c>
      <c r="CR39">
        <v>109.00222875129579</v>
      </c>
      <c r="CS39">
        <v>11.241933950833479</v>
      </c>
      <c r="CT39" t="e">
        <v>#VALUE!</v>
      </c>
      <c r="CU39" s="8">
        <v>9.6960388869047162E-2</v>
      </c>
      <c r="CV39" s="9">
        <v>-2.0472442187368869</v>
      </c>
      <c r="CW39">
        <v>0.06</v>
      </c>
      <c r="CX39">
        <v>7.4215266506006579</v>
      </c>
      <c r="CY39">
        <v>5006692793.7249527</v>
      </c>
      <c r="CZ39">
        <v>9.6960388869047162E-2</v>
      </c>
      <c r="DA39">
        <v>2.411044469370029</v>
      </c>
      <c r="DB39">
        <v>15411289369.419497</v>
      </c>
      <c r="DC39">
        <v>9.2112369425594795E-2</v>
      </c>
      <c r="DD39">
        <v>1.1775655138086421</v>
      </c>
      <c r="DE39">
        <v>31554341193.145855</v>
      </c>
      <c r="DF39">
        <v>8.5325142204761506E-2</v>
      </c>
      <c r="DG39">
        <v>0.70085821630861211</v>
      </c>
      <c r="DH39">
        <v>53016862947.980843</v>
      </c>
      <c r="DI39">
        <v>7.7568311095237735E-2</v>
      </c>
      <c r="DJ39">
        <v>0.35498658848938069</v>
      </c>
      <c r="DK39">
        <v>104672416380.91223</v>
      </c>
      <c r="DL39">
        <v>6.7872272208333015E-2</v>
      </c>
      <c r="DM39">
        <v>4838000000</v>
      </c>
      <c r="DN39">
        <v>9.6960388869047162E-2</v>
      </c>
      <c r="DO39">
        <v>37157304000</v>
      </c>
      <c r="DP39" t="e">
        <v>#VALUE!</v>
      </c>
      <c r="DQ39">
        <v>38</v>
      </c>
      <c r="DR39">
        <v>2.2474027496777141E-2</v>
      </c>
      <c r="DS39">
        <v>2.0061442187368868</v>
      </c>
      <c r="DT39">
        <v>-0.22333333333333336</v>
      </c>
      <c r="DU39">
        <v>-1.25</v>
      </c>
      <c r="DV39">
        <v>-1.4733333333333334</v>
      </c>
      <c r="DW39">
        <v>-2.12E-2</v>
      </c>
      <c r="DX39">
        <v>0.25953416855566613</v>
      </c>
      <c r="DY39">
        <v>-3.3821243733801317E-3</v>
      </c>
      <c r="DZ39">
        <v>0</v>
      </c>
      <c r="EA39">
        <v>-3.3821243733801317E-3</v>
      </c>
      <c r="EB39">
        <v>0</v>
      </c>
      <c r="EC39">
        <v>3.1181594551930201E-3</v>
      </c>
      <c r="ED39">
        <v>1.9545401987693906E-2</v>
      </c>
      <c r="EE39">
        <v>0</v>
      </c>
      <c r="EF39">
        <v>0</v>
      </c>
      <c r="EG39">
        <v>10.159534168555666</v>
      </c>
      <c r="EH39" t="s">
        <v>110</v>
      </c>
      <c r="EI39">
        <v>0</v>
      </c>
      <c r="EJ39">
        <v>0</v>
      </c>
      <c r="EK39">
        <v>0</v>
      </c>
      <c r="EL39">
        <v>0</v>
      </c>
      <c r="EM39">
        <v>0</v>
      </c>
      <c r="EN39">
        <v>0</v>
      </c>
      <c r="EO39">
        <v>0</v>
      </c>
      <c r="EP39">
        <v>0</v>
      </c>
    </row>
    <row r="40" spans="1:146" ht="96" x14ac:dyDescent="0.25">
      <c r="A40" s="7"/>
      <c r="B40" s="7"/>
      <c r="C40" s="7" t="str">
        <f>""&amp;CHAR(10)&amp;Basic_Fundamental_Information_Constructure(F40)&amp;CHAR(10)&amp;Basic_Fundamental_Information_Concatenate("")</f>
        <v xml:space="preserve">
市值109.886855亿, 利润12.39亿; PE6.13; 平均PE46; 平均PEG8.41, PB.55; ROIC6.45%; ROE7.3467%; 股利率0%; 毛利20.9733%; 净利5.26%; 上一年度营收增6.09%, 利润增-24.86%, 利润增114.4%; 过往5年营收增5.47%, 利润增120.21%
Income profile:
</v>
      </c>
      <c r="D40" s="11">
        <v>179</v>
      </c>
      <c r="E40" t="s">
        <v>884</v>
      </c>
      <c r="F40">
        <v>11.76</v>
      </c>
      <c r="G40" s="5">
        <v>-2.3300000000000001E-2</v>
      </c>
      <c r="H40" t="s">
        <v>6959</v>
      </c>
      <c r="I40">
        <v>10988685500</v>
      </c>
      <c r="J40">
        <v>6.13</v>
      </c>
      <c r="K40">
        <v>0.55000000000000004</v>
      </c>
      <c r="L40" t="s">
        <v>6350</v>
      </c>
      <c r="M40" t="s">
        <v>9</v>
      </c>
      <c r="N40" t="s">
        <v>9</v>
      </c>
      <c r="O40" t="s">
        <v>9</v>
      </c>
      <c r="P40" t="s">
        <v>9</v>
      </c>
      <c r="Q40" t="s">
        <v>6960</v>
      </c>
      <c r="R40">
        <v>940766670</v>
      </c>
      <c r="S40" s="5">
        <v>1.1439999999999999</v>
      </c>
      <c r="T40" t="s">
        <v>6961</v>
      </c>
      <c r="U40">
        <v>934412030</v>
      </c>
      <c r="V40">
        <v>934412030</v>
      </c>
      <c r="W40" t="s">
        <v>9</v>
      </c>
      <c r="X40" t="s">
        <v>9</v>
      </c>
      <c r="Y40" t="s">
        <v>9</v>
      </c>
      <c r="Z40" t="s">
        <v>9</v>
      </c>
      <c r="AA40" t="s">
        <v>9</v>
      </c>
      <c r="AB40" t="s">
        <v>9</v>
      </c>
      <c r="AC40" t="s">
        <v>9</v>
      </c>
      <c r="AD40" t="s">
        <v>9</v>
      </c>
      <c r="AE40" t="s">
        <v>9</v>
      </c>
      <c r="AF40" t="s">
        <v>9</v>
      </c>
      <c r="AG40" t="s">
        <v>9</v>
      </c>
      <c r="AH40" t="s">
        <v>6962</v>
      </c>
      <c r="AI40" t="s">
        <v>9</v>
      </c>
      <c r="AJ40" t="s">
        <v>9</v>
      </c>
      <c r="AK40" t="s">
        <v>6963</v>
      </c>
      <c r="AL40" t="s">
        <v>9</v>
      </c>
      <c r="AM40" t="s">
        <v>9</v>
      </c>
      <c r="AN40" s="5">
        <v>0.37590000000000001</v>
      </c>
      <c r="AO40" t="s">
        <v>9</v>
      </c>
      <c r="AP40" t="s">
        <v>5502</v>
      </c>
      <c r="AQ40" t="s">
        <v>9</v>
      </c>
      <c r="AR40" t="s">
        <v>6964</v>
      </c>
      <c r="AS40" t="s">
        <v>9</v>
      </c>
      <c r="AT40" t="s">
        <v>9</v>
      </c>
      <c r="AU40" t="s">
        <v>6965</v>
      </c>
      <c r="AV40" t="s">
        <v>6966</v>
      </c>
      <c r="AW40" t="s">
        <v>9</v>
      </c>
      <c r="AX40" t="s">
        <v>885</v>
      </c>
      <c r="AY40" t="s">
        <v>888</v>
      </c>
      <c r="AZ40" t="s">
        <v>889</v>
      </c>
      <c r="BA40" t="s">
        <v>890</v>
      </c>
      <c r="BB40" t="s">
        <v>891</v>
      </c>
      <c r="BC40" t="s">
        <v>92</v>
      </c>
      <c r="BD40" t="s">
        <v>892</v>
      </c>
      <c r="BE40" t="s">
        <v>893</v>
      </c>
      <c r="BF40" t="s">
        <v>894</v>
      </c>
      <c r="BG40" t="s">
        <v>895</v>
      </c>
      <c r="BH40" t="s">
        <v>885</v>
      </c>
      <c r="BI40" t="s">
        <v>9</v>
      </c>
      <c r="BJ40" t="s">
        <v>888</v>
      </c>
      <c r="BK40" t="s">
        <v>886</v>
      </c>
      <c r="BL40" t="s">
        <v>9</v>
      </c>
      <c r="BM40" t="s">
        <v>92</v>
      </c>
      <c r="BN40">
        <v>5.42</v>
      </c>
      <c r="BO40">
        <v>5.27</v>
      </c>
      <c r="BP40">
        <v>8.66</v>
      </c>
      <c r="BQ40">
        <v>6.45</v>
      </c>
      <c r="BR40">
        <v>6.06</v>
      </c>
      <c r="BS40">
        <v>9.5299999999999994</v>
      </c>
      <c r="BT40" t="s">
        <v>6967</v>
      </c>
      <c r="BU40" t="s">
        <v>861</v>
      </c>
      <c r="BV40">
        <v>19.63</v>
      </c>
      <c r="BW40">
        <v>20.37</v>
      </c>
      <c r="BX40">
        <v>22.92</v>
      </c>
      <c r="BY40">
        <v>4.42</v>
      </c>
      <c r="BZ40">
        <v>4.42</v>
      </c>
      <c r="CA40">
        <v>6.94</v>
      </c>
      <c r="CB40">
        <v>-0.84</v>
      </c>
      <c r="CC40">
        <v>-1.01</v>
      </c>
      <c r="CD40" t="s">
        <v>6968</v>
      </c>
      <c r="CE40" t="s">
        <v>6969</v>
      </c>
      <c r="CF40" s="8" t="s">
        <v>9</v>
      </c>
      <c r="CG40" s="9">
        <v>1.1439999999999999</v>
      </c>
      <c r="CH40" s="8">
        <v>6.0883414000272751E-2</v>
      </c>
      <c r="CI40" s="8">
        <v>9.9718794226646423E-2</v>
      </c>
      <c r="CJ40" s="8">
        <v>3.0530869960784912E-2</v>
      </c>
      <c r="CK40" s="8">
        <v>-6.2667317688465118E-2</v>
      </c>
      <c r="CL40" s="8">
        <v>0.17774683237075806</v>
      </c>
      <c r="CM40" s="9">
        <v>-0.24863547086715698</v>
      </c>
      <c r="CN40" s="9">
        <v>1.4307732582092285</v>
      </c>
      <c r="CO40" s="9">
        <v>-2.7336955070495605</v>
      </c>
      <c r="CP40" s="9">
        <v>6.5123043954372406E-2</v>
      </c>
      <c r="CQ40" s="9">
        <v>0.12114656716585159</v>
      </c>
      <c r="CR40">
        <v>45.997525854727407</v>
      </c>
      <c r="CS40">
        <v>8.413080678103416</v>
      </c>
      <c r="CT40">
        <v>0</v>
      </c>
      <c r="CU40" s="8">
        <v>5.4673819988965991E-2</v>
      </c>
      <c r="CV40" s="9">
        <v>1.2021250367164611</v>
      </c>
      <c r="CW40">
        <v>0.06</v>
      </c>
      <c r="CX40">
        <v>8.9137846378805232</v>
      </c>
      <c r="CY40">
        <v>1232774399.0248384</v>
      </c>
      <c r="CZ40">
        <v>5.4673819988965991E-2</v>
      </c>
      <c r="DA40">
        <v>3.0017494117811716</v>
      </c>
      <c r="DB40">
        <v>3660760440.852242</v>
      </c>
      <c r="DC40">
        <v>5.1940128989517692E-2</v>
      </c>
      <c r="DD40">
        <v>1.5373928139125941</v>
      </c>
      <c r="DE40">
        <v>7147610812.6421509</v>
      </c>
      <c r="DF40">
        <v>4.811296159029007E-2</v>
      </c>
      <c r="DG40">
        <v>0.96465716400576662</v>
      </c>
      <c r="DH40">
        <v>11391285847.470585</v>
      </c>
      <c r="DI40">
        <v>4.3739055991172796E-2</v>
      </c>
      <c r="DJ40">
        <v>0.54726505322276964</v>
      </c>
      <c r="DK40">
        <v>20079274997.168415</v>
      </c>
      <c r="DL40">
        <v>3.8271673992276191E-2</v>
      </c>
      <c r="DM40">
        <v>1239000000</v>
      </c>
      <c r="DN40">
        <v>5.4673819988965991E-2</v>
      </c>
      <c r="DO40">
        <v>10988685500</v>
      </c>
      <c r="DP40" t="e">
        <v>#VALUE!</v>
      </c>
      <c r="DQ40">
        <v>39</v>
      </c>
      <c r="DR40" t="e">
        <v>#VALUE!</v>
      </c>
      <c r="DS40">
        <v>-5.8125036716461187E-2</v>
      </c>
      <c r="DT40" t="e">
        <v>#VALUE!</v>
      </c>
      <c r="DU40" t="e">
        <v>#VALUE!</v>
      </c>
      <c r="DV40" t="e">
        <v>#VALUE!</v>
      </c>
      <c r="DW40">
        <v>-1.01E-2</v>
      </c>
      <c r="DX40">
        <v>0.23698077657305794</v>
      </c>
      <c r="DY40">
        <v>-1.2825058433878923E-3</v>
      </c>
      <c r="DZ40">
        <v>0</v>
      </c>
      <c r="EA40">
        <v>-1.2825058433878923E-3</v>
      </c>
      <c r="EB40">
        <v>0</v>
      </c>
      <c r="EC40">
        <v>4.3779402112363646E-3</v>
      </c>
      <c r="ED40">
        <v>3.447718882643238E-2</v>
      </c>
      <c r="EE40">
        <v>0</v>
      </c>
      <c r="EF40">
        <v>0</v>
      </c>
      <c r="EG40">
        <v>11.126980776573058</v>
      </c>
      <c r="EH40" t="s">
        <v>110</v>
      </c>
      <c r="EI40">
        <v>0</v>
      </c>
      <c r="EJ40">
        <v>0</v>
      </c>
      <c r="EK40">
        <v>0</v>
      </c>
      <c r="EL40">
        <v>0</v>
      </c>
      <c r="EM40">
        <v>0</v>
      </c>
      <c r="EN40">
        <v>0</v>
      </c>
      <c r="EO40">
        <v>0</v>
      </c>
      <c r="EP40">
        <v>0</v>
      </c>
    </row>
    <row r="41" spans="1:146" ht="96" x14ac:dyDescent="0.25">
      <c r="A41" s="7"/>
      <c r="B41" s="7"/>
      <c r="C41" s="7" t="str">
        <f>""&amp;CHAR(10)&amp;Basic_Fundamental_Information_Constructure(F41)&amp;CHAR(10)&amp;Basic_Fundamental_Information_Concatenate("")</f>
        <v xml:space="preserve">
市值11.2271528亿, 利润-5664.63万; PE; 平均PE1.74; 平均PEG.27, PB.98; ROIC-1.73%; ROE-2.1933%; 股利率0%; 毛利12.8033%; 净利-2.6433%; 上一年度营收增-.52%, 利润增-98.7%; 当季营收增.29%, 利润增60.93%; 过往5年营收增6.35%, 利润增-4.08%
Income profile:
</v>
      </c>
      <c r="D41" s="11">
        <v>187</v>
      </c>
      <c r="E41" t="s">
        <v>902</v>
      </c>
      <c r="F41">
        <v>2.0499999999999998</v>
      </c>
      <c r="G41" s="5">
        <v>-3.3000000000000002E-2</v>
      </c>
      <c r="H41" t="s">
        <v>6970</v>
      </c>
      <c r="I41">
        <v>1122715280</v>
      </c>
      <c r="K41">
        <v>0.98</v>
      </c>
      <c r="L41" t="s">
        <v>6350</v>
      </c>
      <c r="M41" t="s">
        <v>2990</v>
      </c>
      <c r="N41" t="s">
        <v>6971</v>
      </c>
      <c r="O41" t="s">
        <v>50</v>
      </c>
      <c r="P41">
        <v>16.68</v>
      </c>
      <c r="Q41" t="s">
        <v>3635</v>
      </c>
      <c r="R41">
        <v>-56646292</v>
      </c>
      <c r="S41" s="6">
        <v>0.60929999999999995</v>
      </c>
      <c r="T41" t="s">
        <v>6972</v>
      </c>
      <c r="U41">
        <v>100000000</v>
      </c>
      <c r="V41">
        <v>547665990</v>
      </c>
      <c r="W41">
        <v>2.73</v>
      </c>
      <c r="X41">
        <v>0.11</v>
      </c>
      <c r="Y41">
        <v>0.26</v>
      </c>
      <c r="Z41" t="s">
        <v>6973</v>
      </c>
      <c r="AA41" t="s">
        <v>2279</v>
      </c>
      <c r="AB41" t="s">
        <v>6974</v>
      </c>
      <c r="AC41" t="s">
        <v>6975</v>
      </c>
      <c r="AD41" t="s">
        <v>6976</v>
      </c>
      <c r="AE41" t="s">
        <v>6977</v>
      </c>
      <c r="AF41" t="s">
        <v>9</v>
      </c>
      <c r="AG41" t="s">
        <v>6978</v>
      </c>
      <c r="AH41" t="s">
        <v>6979</v>
      </c>
      <c r="AI41" t="s">
        <v>189</v>
      </c>
      <c r="AJ41" t="s">
        <v>3573</v>
      </c>
      <c r="AK41" t="s">
        <v>6980</v>
      </c>
      <c r="AL41" t="s">
        <v>9</v>
      </c>
      <c r="AM41" t="s">
        <v>5635</v>
      </c>
      <c r="AN41" s="5">
        <v>0.52549999999999997</v>
      </c>
      <c r="AO41" t="s">
        <v>1710</v>
      </c>
      <c r="AP41" t="s">
        <v>3248</v>
      </c>
      <c r="AQ41" t="s">
        <v>6981</v>
      </c>
      <c r="AR41" t="s">
        <v>6283</v>
      </c>
      <c r="AS41" t="s">
        <v>3677</v>
      </c>
      <c r="AT41" t="s">
        <v>6982</v>
      </c>
      <c r="AU41" t="s">
        <v>6983</v>
      </c>
      <c r="AV41" t="s">
        <v>6984</v>
      </c>
      <c r="AW41" t="s">
        <v>6985</v>
      </c>
      <c r="AX41" t="s">
        <v>904</v>
      </c>
      <c r="AY41" t="s">
        <v>910</v>
      </c>
      <c r="AZ41" t="s">
        <v>911</v>
      </c>
      <c r="BA41" t="s">
        <v>424</v>
      </c>
      <c r="BB41" t="s">
        <v>913</v>
      </c>
      <c r="BC41" t="s">
        <v>914</v>
      </c>
      <c r="BD41" t="s">
        <v>915</v>
      </c>
      <c r="BE41" t="s">
        <v>916</v>
      </c>
      <c r="BF41" t="s">
        <v>917</v>
      </c>
      <c r="BG41" t="s">
        <v>918</v>
      </c>
      <c r="BH41" t="s">
        <v>904</v>
      </c>
      <c r="BI41" t="s">
        <v>919</v>
      </c>
      <c r="BJ41" t="s">
        <v>910</v>
      </c>
      <c r="BK41" t="s">
        <v>905</v>
      </c>
      <c r="BL41" t="s">
        <v>920</v>
      </c>
      <c r="BM41" t="s">
        <v>914</v>
      </c>
      <c r="BN41">
        <v>-4.22</v>
      </c>
      <c r="BO41">
        <v>1.89</v>
      </c>
      <c r="BP41">
        <v>-2.86</v>
      </c>
      <c r="BQ41">
        <v>-4.8499999999999996</v>
      </c>
      <c r="BR41">
        <v>1.71</v>
      </c>
      <c r="BS41">
        <v>-3.44</v>
      </c>
      <c r="BT41" t="s">
        <v>153</v>
      </c>
      <c r="BU41" t="s">
        <v>589</v>
      </c>
      <c r="BV41">
        <v>14.83</v>
      </c>
      <c r="BW41">
        <v>13.06</v>
      </c>
      <c r="BX41">
        <v>10.52</v>
      </c>
      <c r="BY41">
        <v>-5.46</v>
      </c>
      <c r="BZ41">
        <v>1.03</v>
      </c>
      <c r="CA41">
        <v>-3.5</v>
      </c>
      <c r="CB41">
        <v>-5.09</v>
      </c>
      <c r="CC41">
        <v>-14.94</v>
      </c>
      <c r="CD41" t="s">
        <v>6986</v>
      </c>
      <c r="CE41" t="s">
        <v>6987</v>
      </c>
      <c r="CF41" s="8">
        <v>2.9154518950437317E-3</v>
      </c>
      <c r="CG41" s="9">
        <v>0.60929999999999995</v>
      </c>
      <c r="CH41" s="8">
        <v>-5.194805096834898E-3</v>
      </c>
      <c r="CI41" s="8">
        <v>6.8702340126037598E-2</v>
      </c>
      <c r="CJ41" s="8">
        <v>0.12314876168966293</v>
      </c>
      <c r="CK41" s="8">
        <v>1.4229350723326206E-2</v>
      </c>
      <c r="CL41" s="8">
        <v>-0.12335420399904251</v>
      </c>
      <c r="CM41" s="9">
        <v>-0.98695504665374756</v>
      </c>
      <c r="CN41" s="9">
        <v>-1.1532747745513916</v>
      </c>
      <c r="CO41" s="9">
        <v>2.2827587127685547</v>
      </c>
      <c r="CP41" s="9">
        <v>-0.35514017939567566</v>
      </c>
      <c r="CQ41" s="9">
        <v>-5.2767329216003418</v>
      </c>
      <c r="CR41">
        <v>1.7382391909156574</v>
      </c>
      <c r="CS41">
        <v>0.27364078081160248</v>
      </c>
      <c r="CT41">
        <v>0</v>
      </c>
      <c r="CU41" s="8">
        <v>6.3522665947675708E-2</v>
      </c>
      <c r="CV41" s="9">
        <v>-4.0767684578895569E-2</v>
      </c>
      <c r="CW41">
        <v>0.06</v>
      </c>
      <c r="CX41" t="e">
        <v>#VALUE!</v>
      </c>
      <c r="CY41" t="s">
        <v>109</v>
      </c>
      <c r="CZ41">
        <v>6.3522665947675708E-2</v>
      </c>
      <c r="DA41" t="e">
        <v>#VALUE!</v>
      </c>
      <c r="DB41" t="s">
        <v>108</v>
      </c>
      <c r="DC41">
        <v>6.0346532650291919E-2</v>
      </c>
      <c r="DD41" t="e">
        <v>#VALUE!</v>
      </c>
      <c r="DE41" t="s">
        <v>108</v>
      </c>
      <c r="DF41">
        <v>5.5899946033954623E-2</v>
      </c>
      <c r="DG41" t="e">
        <v>#VALUE!</v>
      </c>
      <c r="DH41" t="s">
        <v>108</v>
      </c>
      <c r="DI41">
        <v>5.0818132758140566E-2</v>
      </c>
      <c r="DJ41" t="e">
        <v>#VALUE!</v>
      </c>
      <c r="DK41" t="s">
        <v>108</v>
      </c>
      <c r="DL41">
        <v>4.4465866163372995E-2</v>
      </c>
      <c r="DM41">
        <v>-56646300</v>
      </c>
      <c r="DN41">
        <v>6.3522665947675708E-2</v>
      </c>
      <c r="DO41">
        <v>1282715280</v>
      </c>
      <c r="DP41" t="e">
        <v>#VALUE!</v>
      </c>
      <c r="DQ41">
        <v>40</v>
      </c>
      <c r="DR41">
        <v>-6.0607214052631975E-2</v>
      </c>
      <c r="DS41">
        <v>0.65006768457889552</v>
      </c>
      <c r="DT41">
        <v>-0.27333333333333337</v>
      </c>
      <c r="DU41">
        <v>-1.7216666666666667</v>
      </c>
      <c r="DV41">
        <v>-1.9950000000000001</v>
      </c>
      <c r="DW41">
        <v>-8.3406961178045513</v>
      </c>
      <c r="DX41">
        <v>0.27089425792280974</v>
      </c>
      <c r="DY41">
        <v>-8.0173394760928449</v>
      </c>
      <c r="DZ41">
        <v>0</v>
      </c>
      <c r="EA41">
        <v>-8.0173394760928449</v>
      </c>
      <c r="EB41">
        <v>8</v>
      </c>
      <c r="EC41">
        <v>2.961659167479069E-3</v>
      </c>
      <c r="ED41">
        <v>5.8192403000960492E-2</v>
      </c>
      <c r="EE41">
        <v>0</v>
      </c>
      <c r="EF41">
        <v>0</v>
      </c>
      <c r="EG41">
        <v>22.05089425792281</v>
      </c>
      <c r="EH41" t="s">
        <v>110</v>
      </c>
      <c r="EI41">
        <v>0</v>
      </c>
      <c r="EJ41">
        <v>0</v>
      </c>
      <c r="EK41">
        <v>0</v>
      </c>
      <c r="EL41">
        <v>0</v>
      </c>
      <c r="EM41">
        <v>0</v>
      </c>
      <c r="EN41">
        <v>0</v>
      </c>
      <c r="EO41">
        <v>0</v>
      </c>
      <c r="EP41">
        <v>0</v>
      </c>
    </row>
    <row r="42" spans="1:146" ht="96" x14ac:dyDescent="0.25">
      <c r="A42" s="7"/>
      <c r="B42" s="7"/>
      <c r="C42" s="7" t="str">
        <f>""&amp;CHAR(10)&amp;Basic_Fundamental_Information_Constructure(F42)&amp;CHAR(10)&amp;Basic_Fundamental_Information_Concatenate("")</f>
        <v xml:space="preserve">
市值145.02796亿, 利润7.76亿; PE18.69; 平均PE14.68; 平均PEG.54, PB.894; ROIC15.86%; ROE14.8533%; 股利率0%; 毛利27.4233%; 净利13.9967%; 上一年度营收增-29.68%, 利润增-69.46%, 利润增-82.16%; 过往5年营收增27.37%, 利润增-2.53%
Income profile:
</v>
      </c>
      <c r="D42" s="11">
        <v>189</v>
      </c>
      <c r="E42" t="s">
        <v>921</v>
      </c>
      <c r="F42">
        <v>8.3699999999999992</v>
      </c>
      <c r="G42" s="5">
        <v>-3.4599999999999999E-2</v>
      </c>
      <c r="H42" t="s">
        <v>6988</v>
      </c>
      <c r="I42">
        <v>14502796000</v>
      </c>
      <c r="J42">
        <v>18.690000000000001</v>
      </c>
      <c r="K42">
        <v>0.89400000000000002</v>
      </c>
      <c r="L42" t="s">
        <v>6350</v>
      </c>
      <c r="M42" t="s">
        <v>9</v>
      </c>
      <c r="N42" t="s">
        <v>9</v>
      </c>
      <c r="O42" t="s">
        <v>9</v>
      </c>
      <c r="P42" t="s">
        <v>9</v>
      </c>
      <c r="Q42" t="s">
        <v>6989</v>
      </c>
      <c r="R42">
        <v>775882690</v>
      </c>
      <c r="S42" s="5">
        <v>-0.8216</v>
      </c>
      <c r="T42" t="s">
        <v>3743</v>
      </c>
      <c r="U42">
        <v>1732711600</v>
      </c>
      <c r="V42">
        <v>1732711600</v>
      </c>
      <c r="W42" t="s">
        <v>9</v>
      </c>
      <c r="X42" t="s">
        <v>9</v>
      </c>
      <c r="Y42" t="s">
        <v>9</v>
      </c>
      <c r="Z42" t="s">
        <v>9</v>
      </c>
      <c r="AA42" t="s">
        <v>9</v>
      </c>
      <c r="AB42" t="s">
        <v>9</v>
      </c>
      <c r="AC42" t="s">
        <v>9</v>
      </c>
      <c r="AD42" t="s">
        <v>3724</v>
      </c>
      <c r="AE42" t="s">
        <v>9</v>
      </c>
      <c r="AF42" t="s">
        <v>9</v>
      </c>
      <c r="AG42" t="s">
        <v>9</v>
      </c>
      <c r="AH42" t="s">
        <v>6990</v>
      </c>
      <c r="AI42" t="s">
        <v>9</v>
      </c>
      <c r="AJ42" t="s">
        <v>9</v>
      </c>
      <c r="AK42" t="s">
        <v>6991</v>
      </c>
      <c r="AL42" t="s">
        <v>9</v>
      </c>
      <c r="AM42" t="s">
        <v>9</v>
      </c>
      <c r="AN42" s="5">
        <v>0.2283</v>
      </c>
      <c r="AO42" t="s">
        <v>9</v>
      </c>
      <c r="AP42" t="s">
        <v>1763</v>
      </c>
      <c r="AQ42" t="s">
        <v>9</v>
      </c>
      <c r="AR42" t="s">
        <v>6992</v>
      </c>
      <c r="AS42" t="s">
        <v>9</v>
      </c>
      <c r="AT42" t="s">
        <v>9</v>
      </c>
      <c r="AU42" t="s">
        <v>6993</v>
      </c>
      <c r="AV42" t="s">
        <v>6994</v>
      </c>
      <c r="AW42" t="s">
        <v>9</v>
      </c>
      <c r="AX42" t="s">
        <v>922</v>
      </c>
      <c r="AY42" t="s">
        <v>927</v>
      </c>
      <c r="AZ42" t="s">
        <v>928</v>
      </c>
      <c r="BA42" t="s">
        <v>930</v>
      </c>
      <c r="BB42" t="s">
        <v>931</v>
      </c>
      <c r="BC42" t="s">
        <v>932</v>
      </c>
      <c r="BD42" t="s">
        <v>933</v>
      </c>
      <c r="BE42" t="s">
        <v>934</v>
      </c>
      <c r="BF42" t="s">
        <v>935</v>
      </c>
      <c r="BG42" t="s">
        <v>936</v>
      </c>
      <c r="BH42" t="s">
        <v>922</v>
      </c>
      <c r="BI42" t="s">
        <v>9</v>
      </c>
      <c r="BJ42" t="s">
        <v>927</v>
      </c>
      <c r="BK42" t="s">
        <v>923</v>
      </c>
      <c r="BL42" t="s">
        <v>9</v>
      </c>
      <c r="BM42" t="s">
        <v>932</v>
      </c>
      <c r="BN42">
        <v>4.58</v>
      </c>
      <c r="BO42">
        <v>25.85</v>
      </c>
      <c r="BP42">
        <v>17.149999999999999</v>
      </c>
      <c r="BQ42">
        <v>4.78</v>
      </c>
      <c r="BR42">
        <v>23.97</v>
      </c>
      <c r="BS42">
        <v>15.81</v>
      </c>
      <c r="BT42" t="s">
        <v>6995</v>
      </c>
      <c r="BU42" t="s">
        <v>937</v>
      </c>
      <c r="BV42">
        <v>16.809999999999999</v>
      </c>
      <c r="BW42">
        <v>32.53</v>
      </c>
      <c r="BX42">
        <v>32.93</v>
      </c>
      <c r="BY42">
        <v>4.22</v>
      </c>
      <c r="BZ42">
        <v>20.85</v>
      </c>
      <c r="CA42">
        <v>16.920000000000002</v>
      </c>
      <c r="CB42">
        <v>-3.9</v>
      </c>
      <c r="CC42">
        <v>-1.65</v>
      </c>
      <c r="CD42" t="s">
        <v>6996</v>
      </c>
      <c r="CE42" t="s">
        <v>1411</v>
      </c>
      <c r="CF42" s="8" t="s">
        <v>9</v>
      </c>
      <c r="CG42" s="9">
        <v>-0.8216</v>
      </c>
      <c r="CH42" s="8">
        <v>-0.29680448770523071</v>
      </c>
      <c r="CI42" s="8">
        <v>0.16457913815975189</v>
      </c>
      <c r="CJ42" s="8">
        <v>0.62053138017654419</v>
      </c>
      <c r="CK42" s="8">
        <v>-0.2605312168598175</v>
      </c>
      <c r="CL42" s="8">
        <v>0.33218136429786682</v>
      </c>
      <c r="CM42" s="9">
        <v>-0.69460839033126831</v>
      </c>
      <c r="CN42" s="9">
        <v>1.7619564533233643</v>
      </c>
      <c r="CO42" s="9">
        <v>-0.43730887770652771</v>
      </c>
      <c r="CP42" s="9">
        <v>-0.32549503445625305</v>
      </c>
      <c r="CQ42" s="9">
        <v>0.26249998807907104</v>
      </c>
      <c r="CR42">
        <v>14.681419942635397</v>
      </c>
      <c r="CS42">
        <v>0.53632322342504446</v>
      </c>
      <c r="CT42">
        <v>0</v>
      </c>
      <c r="CU42" s="8">
        <v>0.27374201416969302</v>
      </c>
      <c r="CV42" s="9">
        <v>-2.5279353559017181E-2</v>
      </c>
      <c r="CW42">
        <v>0.06</v>
      </c>
      <c r="CX42">
        <v>15.553008449825004</v>
      </c>
      <c r="CY42">
        <v>932475285.84498262</v>
      </c>
      <c r="CZ42">
        <v>0.27374201416969302</v>
      </c>
      <c r="DA42">
        <v>4.3650105899005904</v>
      </c>
      <c r="DB42">
        <v>3322511068.714335</v>
      </c>
      <c r="DC42">
        <v>0.26005491346120835</v>
      </c>
      <c r="DD42">
        <v>1.7311490020710296</v>
      </c>
      <c r="DE42">
        <v>8377555012.6822329</v>
      </c>
      <c r="DF42">
        <v>0.24089297246932986</v>
      </c>
      <c r="DG42">
        <v>0.80044530027574878</v>
      </c>
      <c r="DH42">
        <v>18118409833.881054</v>
      </c>
      <c r="DI42">
        <v>0.21899361133575443</v>
      </c>
      <c r="DJ42">
        <v>0.21982966700666307</v>
      </c>
      <c r="DK42">
        <v>65972878899.73658</v>
      </c>
      <c r="DL42">
        <v>0.19161940991878509</v>
      </c>
      <c r="DM42">
        <v>776000000</v>
      </c>
      <c r="DN42">
        <v>0.27374201416969302</v>
      </c>
      <c r="DO42">
        <v>14502796000</v>
      </c>
      <c r="DP42" t="e">
        <v>#VALUE!</v>
      </c>
      <c r="DQ42">
        <v>41</v>
      </c>
      <c r="DR42" t="e">
        <v>#VALUE!</v>
      </c>
      <c r="DS42">
        <v>-0.79632064644098277</v>
      </c>
      <c r="DT42" t="e">
        <v>#VALUE!</v>
      </c>
      <c r="DU42" t="e">
        <v>#VALUE!</v>
      </c>
      <c r="DV42" t="e">
        <v>#VALUE!</v>
      </c>
      <c r="DW42">
        <v>-4.4230769230769234</v>
      </c>
      <c r="DX42">
        <v>0.22941274509803894</v>
      </c>
      <c r="DY42">
        <v>-4.0674438536953241</v>
      </c>
      <c r="DZ42">
        <v>0</v>
      </c>
      <c r="EA42">
        <v>-4.0674438536953241</v>
      </c>
      <c r="EB42">
        <v>4</v>
      </c>
      <c r="EC42">
        <v>5.6305157765435404E-2</v>
      </c>
      <c r="ED42">
        <v>0.35320361449649207</v>
      </c>
      <c r="EE42">
        <v>0</v>
      </c>
      <c r="EF42">
        <v>0</v>
      </c>
      <c r="EG42">
        <v>7.1594127450980389</v>
      </c>
      <c r="EH42" t="s">
        <v>110</v>
      </c>
      <c r="EI42">
        <v>0</v>
      </c>
      <c r="EJ42">
        <v>0</v>
      </c>
      <c r="EK42">
        <v>0</v>
      </c>
      <c r="EL42">
        <v>0</v>
      </c>
      <c r="EM42">
        <v>0</v>
      </c>
      <c r="EN42">
        <v>0</v>
      </c>
      <c r="EO42">
        <v>0</v>
      </c>
      <c r="EP42">
        <v>0</v>
      </c>
    </row>
    <row r="43" spans="1:146" ht="96" x14ac:dyDescent="0.25">
      <c r="A43" s="7"/>
      <c r="B43" s="7"/>
      <c r="C43" s="7" t="str">
        <f>""&amp;CHAR(10)&amp;Basic_Fundamental_Information_Constructure(F43)&amp;CHAR(10)&amp;Basic_Fundamental_Information_Concatenate("")</f>
        <v xml:space="preserve">
市值80.990913亿, 利润-17.44亿; PE; 平均PE-97.14; 平均PEG-5.03, PB12.18; ROIC-5.31%; ROE-201.0633%; 股利率0%; 毛利100%; 净利-72.8967%; 上一年度营收增165.43%, 利润增54.21%, 利润增65.89%; 过往5年营收增19.32%, 利润增144.3%
Income profile:
</v>
      </c>
      <c r="D43" s="11">
        <v>200</v>
      </c>
      <c r="E43" t="s">
        <v>939</v>
      </c>
      <c r="F43">
        <v>5.34</v>
      </c>
      <c r="G43" s="5">
        <v>-2.1999999999999999E-2</v>
      </c>
      <c r="H43" t="s">
        <v>6997</v>
      </c>
      <c r="I43">
        <v>8099091300</v>
      </c>
      <c r="K43">
        <v>12.18</v>
      </c>
      <c r="L43" t="s">
        <v>6350</v>
      </c>
      <c r="M43" t="s">
        <v>9</v>
      </c>
      <c r="N43" t="s">
        <v>9</v>
      </c>
      <c r="O43" t="s">
        <v>9</v>
      </c>
      <c r="P43" t="s">
        <v>9</v>
      </c>
      <c r="Q43" t="s">
        <v>6998</v>
      </c>
      <c r="R43">
        <v>-1743932000</v>
      </c>
      <c r="S43" s="5">
        <v>0.65890000000000004</v>
      </c>
      <c r="T43" t="s">
        <v>3868</v>
      </c>
      <c r="U43">
        <v>1516683800</v>
      </c>
      <c r="V43">
        <v>1516683800</v>
      </c>
      <c r="W43" t="s">
        <v>9</v>
      </c>
      <c r="X43" t="s">
        <v>9</v>
      </c>
      <c r="Y43" t="s">
        <v>9</v>
      </c>
      <c r="Z43" t="s">
        <v>9</v>
      </c>
      <c r="AA43" t="s">
        <v>9</v>
      </c>
      <c r="AB43" t="s">
        <v>9</v>
      </c>
      <c r="AC43" t="s">
        <v>9</v>
      </c>
      <c r="AD43" t="s">
        <v>6999</v>
      </c>
      <c r="AE43" t="s">
        <v>9</v>
      </c>
      <c r="AF43" t="s">
        <v>9</v>
      </c>
      <c r="AG43" t="s">
        <v>9</v>
      </c>
      <c r="AH43" t="s">
        <v>7000</v>
      </c>
      <c r="AI43" t="s">
        <v>9</v>
      </c>
      <c r="AJ43" t="s">
        <v>9</v>
      </c>
      <c r="AK43" t="s">
        <v>7001</v>
      </c>
      <c r="AL43" t="s">
        <v>9</v>
      </c>
      <c r="AM43" t="s">
        <v>9</v>
      </c>
      <c r="AN43" s="5">
        <v>0.88400000000000001</v>
      </c>
      <c r="AO43" t="s">
        <v>9</v>
      </c>
      <c r="AP43" t="s">
        <v>7002</v>
      </c>
      <c r="AQ43" t="s">
        <v>9</v>
      </c>
      <c r="AR43" t="s">
        <v>7003</v>
      </c>
      <c r="AS43" t="s">
        <v>9</v>
      </c>
      <c r="AT43" t="s">
        <v>9</v>
      </c>
      <c r="AU43" t="s">
        <v>7004</v>
      </c>
      <c r="AV43" t="s">
        <v>7005</v>
      </c>
      <c r="AW43" t="s">
        <v>9</v>
      </c>
      <c r="AX43" t="s">
        <v>940</v>
      </c>
      <c r="AY43" t="s">
        <v>943</v>
      </c>
      <c r="AZ43" t="s">
        <v>944</v>
      </c>
      <c r="BA43" t="s">
        <v>945</v>
      </c>
      <c r="BB43" t="s">
        <v>946</v>
      </c>
      <c r="BC43" t="s">
        <v>947</v>
      </c>
      <c r="BD43" t="s">
        <v>948</v>
      </c>
      <c r="BE43" t="s">
        <v>949</v>
      </c>
      <c r="BF43" t="s">
        <v>950</v>
      </c>
      <c r="BG43" t="s">
        <v>951</v>
      </c>
      <c r="BH43" t="s">
        <v>940</v>
      </c>
      <c r="BI43" t="s">
        <v>9</v>
      </c>
      <c r="BJ43" t="s">
        <v>943</v>
      </c>
      <c r="BK43" t="s">
        <v>941</v>
      </c>
      <c r="BL43" t="s">
        <v>9</v>
      </c>
      <c r="BM43" t="s">
        <v>947</v>
      </c>
      <c r="BN43">
        <v>-2.52</v>
      </c>
      <c r="BO43">
        <v>-7.37</v>
      </c>
      <c r="BP43">
        <v>-6.04</v>
      </c>
      <c r="BQ43">
        <v>-262.25</v>
      </c>
      <c r="BR43">
        <v>-285.44</v>
      </c>
      <c r="BS43">
        <v>-55.5</v>
      </c>
      <c r="BT43" t="s">
        <v>952</v>
      </c>
      <c r="BU43" t="s">
        <v>567</v>
      </c>
      <c r="BV43">
        <v>100</v>
      </c>
      <c r="BW43">
        <v>100</v>
      </c>
      <c r="BX43">
        <v>100</v>
      </c>
      <c r="BY43">
        <v>-19.55</v>
      </c>
      <c r="BZ43">
        <v>-148.35</v>
      </c>
      <c r="CA43">
        <v>-50.79</v>
      </c>
      <c r="CB43">
        <v>-5.82</v>
      </c>
      <c r="CC43">
        <v>-17.079999999999998</v>
      </c>
      <c r="CD43" t="s">
        <v>7006</v>
      </c>
      <c r="CE43" t="s">
        <v>212</v>
      </c>
      <c r="CF43" s="8" t="s">
        <v>9</v>
      </c>
      <c r="CG43" s="9">
        <v>0.65890000000000004</v>
      </c>
      <c r="CH43" s="8">
        <v>1.6543377637863159</v>
      </c>
      <c r="CI43" s="8">
        <v>-0.25899836421012878</v>
      </c>
      <c r="CJ43" s="8">
        <v>0.20044921338558197</v>
      </c>
      <c r="CK43" s="8">
        <v>-0.65802079439163208</v>
      </c>
      <c r="CL43" s="8">
        <v>-7.3166616261005402E-2</v>
      </c>
      <c r="CM43" s="9">
        <v>0.5421370267868042</v>
      </c>
      <c r="CN43" s="9">
        <v>0.3992113471031189</v>
      </c>
      <c r="CO43" s="9">
        <v>-10.18840503692627</v>
      </c>
      <c r="CP43" s="9">
        <v>0.31931164860725403</v>
      </c>
      <c r="CQ43" s="9">
        <v>0.10337552428245544</v>
      </c>
      <c r="CR43">
        <v>-97.143845996534765</v>
      </c>
      <c r="CS43">
        <v>-5.0279830612861529</v>
      </c>
      <c r="CT43">
        <v>0</v>
      </c>
      <c r="CU43" s="8">
        <v>0.19320639073848725</v>
      </c>
      <c r="CV43" s="9">
        <v>1.4429744303226471</v>
      </c>
      <c r="CW43">
        <v>0.06</v>
      </c>
      <c r="CX43" t="e">
        <v>#VALUE!</v>
      </c>
      <c r="CY43" t="s">
        <v>109</v>
      </c>
      <c r="CZ43">
        <v>0.19320639073848725</v>
      </c>
      <c r="DA43" t="e">
        <v>#VALUE!</v>
      </c>
      <c r="DB43" t="s">
        <v>108</v>
      </c>
      <c r="DC43">
        <v>0.18354607120156288</v>
      </c>
      <c r="DD43" t="e">
        <v>#VALUE!</v>
      </c>
      <c r="DE43" t="s">
        <v>108</v>
      </c>
      <c r="DF43">
        <v>0.17002162384986877</v>
      </c>
      <c r="DG43" t="e">
        <v>#VALUE!</v>
      </c>
      <c r="DH43" t="s">
        <v>108</v>
      </c>
      <c r="DI43">
        <v>0.15456511259078981</v>
      </c>
      <c r="DJ43" t="e">
        <v>#VALUE!</v>
      </c>
      <c r="DK43" t="s">
        <v>108</v>
      </c>
      <c r="DL43">
        <v>0.13524447351694108</v>
      </c>
      <c r="DM43">
        <v>-1744000000.0000002</v>
      </c>
      <c r="DN43">
        <v>0.19320639073848725</v>
      </c>
      <c r="DO43">
        <v>8099091300</v>
      </c>
      <c r="DP43" t="e">
        <v>#VALUE!</v>
      </c>
      <c r="DQ43">
        <v>42</v>
      </c>
      <c r="DR43" t="e">
        <v>#VALUE!</v>
      </c>
      <c r="DS43">
        <v>-0.78407443032264701</v>
      </c>
      <c r="DT43" t="e">
        <v>#VALUE!</v>
      </c>
      <c r="DU43" t="e">
        <v>#VALUE!</v>
      </c>
      <c r="DV43" t="e">
        <v>#VALUE!</v>
      </c>
      <c r="DW43">
        <v>-8.340749414519907</v>
      </c>
      <c r="DX43">
        <v>0.48871913043478232</v>
      </c>
      <c r="DY43">
        <v>-8.0302309917523669</v>
      </c>
      <c r="DZ43">
        <v>0</v>
      </c>
      <c r="EA43">
        <v>-8.0302309917523669</v>
      </c>
      <c r="EB43">
        <v>8</v>
      </c>
      <c r="EC43">
        <v>6.7269789523696369E-3</v>
      </c>
      <c r="ED43">
        <v>7.5823319270635042E-2</v>
      </c>
      <c r="EE43">
        <v>0</v>
      </c>
      <c r="EF43">
        <v>0</v>
      </c>
      <c r="EG43">
        <v>40.088719130434782</v>
      </c>
      <c r="EH43" t="s">
        <v>110</v>
      </c>
      <c r="EI43">
        <v>0</v>
      </c>
      <c r="EJ43">
        <v>0</v>
      </c>
      <c r="EK43">
        <v>0</v>
      </c>
      <c r="EL43">
        <v>0</v>
      </c>
      <c r="EM43">
        <v>0</v>
      </c>
      <c r="EN43">
        <v>0</v>
      </c>
      <c r="EO43">
        <v>0</v>
      </c>
      <c r="EP43">
        <v>0</v>
      </c>
    </row>
    <row r="44" spans="1:146" ht="96" x14ac:dyDescent="0.25">
      <c r="A44" s="7"/>
      <c r="B44" s="7"/>
      <c r="C44" s="7" t="str">
        <f>""&amp;CHAR(10)&amp;Basic_Fundamental_Information_Constructure(F44)&amp;CHAR(10)&amp;Basic_Fundamental_Information_Concatenate("")</f>
        <v xml:space="preserve">
市值203.0087亿, 利润13.79亿; PE12.65; 平均PE8.02; 平均PEG2.39, PB1.5; ROIC10.1833%; ROE10.6267%; 股利率0%; 毛利32.3333%; 净利5.8067%; 上一年度营收增3.18%, 利润增-24.97%, 利润增-24.97%; 过往5年营收增3.35%, 利润增-3.58%
Income profile:
</v>
      </c>
      <c r="D44" s="11">
        <v>220</v>
      </c>
      <c r="E44" t="s">
        <v>955</v>
      </c>
      <c r="F44">
        <v>4.7</v>
      </c>
      <c r="G44" s="5">
        <v>-4.1999999999999997E-3</v>
      </c>
      <c r="H44" t="s">
        <v>254</v>
      </c>
      <c r="I44">
        <v>20300870000</v>
      </c>
      <c r="J44">
        <v>12.65</v>
      </c>
      <c r="K44">
        <v>1.5</v>
      </c>
      <c r="L44" t="s">
        <v>6350</v>
      </c>
      <c r="M44" t="s">
        <v>9</v>
      </c>
      <c r="N44" t="s">
        <v>9</v>
      </c>
      <c r="O44" t="s">
        <v>9</v>
      </c>
      <c r="P44" t="s">
        <v>9</v>
      </c>
      <c r="Q44" t="s">
        <v>956</v>
      </c>
      <c r="R44">
        <v>1378715300</v>
      </c>
      <c r="S44" s="5">
        <v>-0.24970000000000001</v>
      </c>
      <c r="T44" t="s">
        <v>957</v>
      </c>
      <c r="U44">
        <v>4319334000</v>
      </c>
      <c r="V44">
        <v>4319334000</v>
      </c>
      <c r="W44" t="s">
        <v>9</v>
      </c>
      <c r="X44" t="s">
        <v>9</v>
      </c>
      <c r="Y44" t="s">
        <v>9</v>
      </c>
      <c r="Z44" t="s">
        <v>9</v>
      </c>
      <c r="AA44" t="s">
        <v>9</v>
      </c>
      <c r="AB44" t="s">
        <v>9</v>
      </c>
      <c r="AC44" t="s">
        <v>9</v>
      </c>
      <c r="AD44" t="s">
        <v>9</v>
      </c>
      <c r="AE44" t="s">
        <v>9</v>
      </c>
      <c r="AF44" t="s">
        <v>9</v>
      </c>
      <c r="AG44" t="s">
        <v>9</v>
      </c>
      <c r="AH44" t="s">
        <v>958</v>
      </c>
      <c r="AI44" t="s">
        <v>9</v>
      </c>
      <c r="AJ44" t="s">
        <v>9</v>
      </c>
      <c r="AK44" t="s">
        <v>959</v>
      </c>
      <c r="AL44" t="s">
        <v>9</v>
      </c>
      <c r="AM44" t="s">
        <v>9</v>
      </c>
      <c r="AN44" s="5">
        <v>0.39489999999999997</v>
      </c>
      <c r="AO44" t="s">
        <v>9</v>
      </c>
      <c r="AP44" t="s">
        <v>960</v>
      </c>
      <c r="AQ44" t="s">
        <v>9</v>
      </c>
      <c r="AR44" t="s">
        <v>961</v>
      </c>
      <c r="AS44" t="s">
        <v>9</v>
      </c>
      <c r="AT44" t="s">
        <v>9</v>
      </c>
      <c r="AU44" t="s">
        <v>962</v>
      </c>
      <c r="AV44" t="s">
        <v>963</v>
      </c>
      <c r="AW44" t="s">
        <v>9</v>
      </c>
      <c r="AX44" t="s">
        <v>964</v>
      </c>
      <c r="AY44" t="s">
        <v>965</v>
      </c>
      <c r="AZ44" t="s">
        <v>966</v>
      </c>
      <c r="BA44" t="s">
        <v>967</v>
      </c>
      <c r="BB44" t="s">
        <v>968</v>
      </c>
      <c r="BC44" t="s">
        <v>969</v>
      </c>
      <c r="BD44" t="s">
        <v>970</v>
      </c>
      <c r="BE44" t="s">
        <v>971</v>
      </c>
      <c r="BF44" t="s">
        <v>522</v>
      </c>
      <c r="BG44" t="s">
        <v>972</v>
      </c>
      <c r="BH44" t="s">
        <v>956</v>
      </c>
      <c r="BI44" t="s">
        <v>9</v>
      </c>
      <c r="BJ44" t="s">
        <v>964</v>
      </c>
      <c r="BK44" t="s">
        <v>957</v>
      </c>
      <c r="BL44" t="s">
        <v>9</v>
      </c>
      <c r="BM44" t="s">
        <v>969</v>
      </c>
      <c r="BN44">
        <v>8.7799999999999994</v>
      </c>
      <c r="BO44">
        <v>10.62</v>
      </c>
      <c r="BP44">
        <v>11.15</v>
      </c>
      <c r="BQ44">
        <v>9.27</v>
      </c>
      <c r="BR44">
        <v>10.9</v>
      </c>
      <c r="BS44">
        <v>11.71</v>
      </c>
      <c r="BT44" t="s">
        <v>973</v>
      </c>
      <c r="BU44" t="s">
        <v>759</v>
      </c>
      <c r="BV44">
        <v>28.98</v>
      </c>
      <c r="BW44">
        <v>32.58</v>
      </c>
      <c r="BX44">
        <v>35.44</v>
      </c>
      <c r="BY44">
        <v>4.33</v>
      </c>
      <c r="BZ44">
        <v>5.95</v>
      </c>
      <c r="CA44">
        <v>7.14</v>
      </c>
      <c r="CB44">
        <v>-2.4900000000000002</v>
      </c>
      <c r="CC44">
        <v>-8.1999999999999993</v>
      </c>
      <c r="CD44" t="s">
        <v>179</v>
      </c>
      <c r="CE44" t="s">
        <v>160</v>
      </c>
      <c r="CF44" s="8" t="s">
        <v>9</v>
      </c>
      <c r="CG44" s="9">
        <v>-0.24970000000000001</v>
      </c>
      <c r="CH44" s="8">
        <v>3.1785067170858383E-2</v>
      </c>
      <c r="CI44" s="8">
        <v>0.1387762725353241</v>
      </c>
      <c r="CJ44" s="8">
        <v>0.10253174602985382</v>
      </c>
      <c r="CK44" s="8">
        <v>-7.3819700628519058E-3</v>
      </c>
      <c r="CL44" s="8">
        <v>-6.9302846677601337E-3</v>
      </c>
      <c r="CM44" s="9">
        <v>-0.24972793459892273</v>
      </c>
      <c r="CN44" s="9">
        <v>-5.1599588245153427E-2</v>
      </c>
      <c r="CO44" s="9">
        <v>0.26915514469146729</v>
      </c>
      <c r="CP44" s="9">
        <v>0.30290108919143677</v>
      </c>
      <c r="CQ44" s="9">
        <v>0.11301044374704361</v>
      </c>
      <c r="CR44">
        <v>8.0219454689146481</v>
      </c>
      <c r="CS44">
        <v>2.3947157161275756</v>
      </c>
      <c r="CT44">
        <v>0</v>
      </c>
      <c r="CU44" s="8">
        <v>3.3498529344797134E-2</v>
      </c>
      <c r="CV44" s="9">
        <v>-3.5802733898162839E-2</v>
      </c>
      <c r="CW44">
        <v>0.06</v>
      </c>
      <c r="CX44">
        <v>15.0989374596074</v>
      </c>
      <c r="CY44">
        <v>1344523086.7608256</v>
      </c>
      <c r="CZ44">
        <v>3.3498529344797134E-2</v>
      </c>
      <c r="DA44">
        <v>5.1775568437003328</v>
      </c>
      <c r="DB44">
        <v>3920936189.1797657</v>
      </c>
      <c r="DC44">
        <v>3.1823602877557276E-2</v>
      </c>
      <c r="DD44">
        <v>2.7143659302365277</v>
      </c>
      <c r="DE44">
        <v>7479046864.6322117</v>
      </c>
      <c r="DF44">
        <v>2.9478705823421478E-2</v>
      </c>
      <c r="DG44">
        <v>1.7464271915331246</v>
      </c>
      <c r="DH44">
        <v>11624229225.484406</v>
      </c>
      <c r="DI44">
        <v>2.6798823475837709E-2</v>
      </c>
      <c r="DJ44">
        <v>1.0425159118758287</v>
      </c>
      <c r="DK44">
        <v>19472959375.240677</v>
      </c>
      <c r="DL44">
        <v>2.3448970541357993E-2</v>
      </c>
      <c r="DM44">
        <v>1379000000</v>
      </c>
      <c r="DN44">
        <v>3.3498529344797134E-2</v>
      </c>
      <c r="DO44">
        <v>20300870000</v>
      </c>
      <c r="DP44" t="e">
        <v>#VALUE!</v>
      </c>
      <c r="DQ44">
        <v>45</v>
      </c>
      <c r="DR44" t="e">
        <v>#VALUE!</v>
      </c>
      <c r="DS44">
        <v>-0.21389726610183718</v>
      </c>
      <c r="DT44" t="e">
        <v>#VALUE!</v>
      </c>
      <c r="DU44" t="e">
        <v>#VALUE!</v>
      </c>
      <c r="DV44" t="e">
        <v>#VALUE!</v>
      </c>
      <c r="DW44">
        <v>-2.0819999999999999</v>
      </c>
      <c r="DX44">
        <v>3.9182338902147853</v>
      </c>
      <c r="DY44">
        <v>-2.0375751789976135</v>
      </c>
      <c r="DZ44">
        <v>0</v>
      </c>
      <c r="EA44">
        <v>-2.0375751789976135</v>
      </c>
      <c r="EB44">
        <v>2</v>
      </c>
      <c r="EC44">
        <v>4.4451297352786336E-2</v>
      </c>
      <c r="ED44">
        <v>9.700569578550769E-2</v>
      </c>
      <c r="EE44">
        <v>0</v>
      </c>
      <c r="EF44">
        <v>0</v>
      </c>
      <c r="EG44">
        <v>346.45823389021479</v>
      </c>
      <c r="EH44" t="s">
        <v>110</v>
      </c>
      <c r="EI44">
        <v>0</v>
      </c>
      <c r="EJ44">
        <v>0</v>
      </c>
      <c r="EK44">
        <v>0</v>
      </c>
      <c r="EL44">
        <v>0</v>
      </c>
      <c r="EM44">
        <v>0</v>
      </c>
      <c r="EN44">
        <v>0</v>
      </c>
      <c r="EO44">
        <v>0</v>
      </c>
      <c r="EP44">
        <v>0</v>
      </c>
    </row>
    <row r="45" spans="1:146" ht="96" x14ac:dyDescent="0.25">
      <c r="A45" s="7"/>
      <c r="B45" s="7"/>
      <c r="C45" s="7" t="str">
        <f>""&amp;CHAR(10)&amp;Basic_Fundamental_Information_Constructure(F45)&amp;CHAR(10)&amp;Basic_Fundamental_Information_Concatenate("")</f>
        <v xml:space="preserve">
市值511.71721亿, 利润6.10亿; PE53.7; 平均PE17.13; 平均PEG2.18, PB3.26; ROIC1.7767%; ROE1.36%; 股利率0%; 毛利21.5233%; 净利.9733%; 上一年度营收增20.54%, 利润增47.7%, 利润增166.8%; 过往5年营收增7.84%, 利润增50.08%
Income profile:
</v>
      </c>
      <c r="D45" s="11">
        <v>241</v>
      </c>
      <c r="E45" t="s">
        <v>974</v>
      </c>
      <c r="F45">
        <v>3.18</v>
      </c>
      <c r="G45" s="5">
        <v>-5.0700000000000002E-2</v>
      </c>
      <c r="H45" t="s">
        <v>7007</v>
      </c>
      <c r="I45">
        <v>51171721000</v>
      </c>
      <c r="J45">
        <v>53.7</v>
      </c>
      <c r="K45">
        <v>3.26</v>
      </c>
      <c r="L45" t="s">
        <v>6350</v>
      </c>
      <c r="M45" t="s">
        <v>9</v>
      </c>
      <c r="N45" t="s">
        <v>9</v>
      </c>
      <c r="O45" t="s">
        <v>9</v>
      </c>
      <c r="P45" t="s">
        <v>9</v>
      </c>
      <c r="Q45" t="s">
        <v>7008</v>
      </c>
      <c r="R45">
        <v>478842340</v>
      </c>
      <c r="S45" s="5">
        <v>1.6679999999999999</v>
      </c>
      <c r="T45" t="s">
        <v>6348</v>
      </c>
      <c r="U45">
        <v>16091736000</v>
      </c>
      <c r="V45">
        <v>16091736000</v>
      </c>
      <c r="W45" t="s">
        <v>9</v>
      </c>
      <c r="X45" t="s">
        <v>9</v>
      </c>
      <c r="Y45" t="s">
        <v>9</v>
      </c>
      <c r="Z45" t="s">
        <v>9</v>
      </c>
      <c r="AA45" t="s">
        <v>9</v>
      </c>
      <c r="AB45" t="s">
        <v>9</v>
      </c>
      <c r="AC45" t="s">
        <v>9</v>
      </c>
      <c r="AD45" t="s">
        <v>7009</v>
      </c>
      <c r="AE45" t="s">
        <v>9</v>
      </c>
      <c r="AF45" t="s">
        <v>9</v>
      </c>
      <c r="AG45" t="s">
        <v>9</v>
      </c>
      <c r="AH45" t="s">
        <v>7010</v>
      </c>
      <c r="AI45" t="s">
        <v>9</v>
      </c>
      <c r="AJ45" t="s">
        <v>9</v>
      </c>
      <c r="AK45" t="s">
        <v>7011</v>
      </c>
      <c r="AL45" t="s">
        <v>9</v>
      </c>
      <c r="AM45" t="s">
        <v>9</v>
      </c>
      <c r="AN45" s="5">
        <v>0.25080000000000002</v>
      </c>
      <c r="AO45" t="s">
        <v>9</v>
      </c>
      <c r="AP45" t="s">
        <v>7012</v>
      </c>
      <c r="AQ45" t="s">
        <v>9</v>
      </c>
      <c r="AR45" t="s">
        <v>4917</v>
      </c>
      <c r="AS45" t="s">
        <v>9</v>
      </c>
      <c r="AT45" t="s">
        <v>9</v>
      </c>
      <c r="AU45" t="s">
        <v>1157</v>
      </c>
      <c r="AV45" t="s">
        <v>7013</v>
      </c>
      <c r="AW45" t="s">
        <v>9</v>
      </c>
      <c r="AX45" t="s">
        <v>975</v>
      </c>
      <c r="AY45" t="s">
        <v>978</v>
      </c>
      <c r="AZ45" t="s">
        <v>979</v>
      </c>
      <c r="BA45" t="s">
        <v>980</v>
      </c>
      <c r="BB45" t="s">
        <v>981</v>
      </c>
      <c r="BC45" t="s">
        <v>982</v>
      </c>
      <c r="BD45" t="s">
        <v>983</v>
      </c>
      <c r="BE45" t="s">
        <v>984</v>
      </c>
      <c r="BF45" t="s">
        <v>985</v>
      </c>
      <c r="BG45" t="s">
        <v>986</v>
      </c>
      <c r="BH45" t="s">
        <v>975</v>
      </c>
      <c r="BI45" t="s">
        <v>9</v>
      </c>
      <c r="BJ45" t="s">
        <v>978</v>
      </c>
      <c r="BK45" t="s">
        <v>976</v>
      </c>
      <c r="BL45" t="s">
        <v>9</v>
      </c>
      <c r="BM45" t="s">
        <v>982</v>
      </c>
      <c r="BN45">
        <v>3.64</v>
      </c>
      <c r="BO45">
        <v>-1.87</v>
      </c>
      <c r="BP45">
        <v>3.56</v>
      </c>
      <c r="BQ45">
        <v>3.52</v>
      </c>
      <c r="BR45">
        <v>-1.88</v>
      </c>
      <c r="BS45">
        <v>2.44</v>
      </c>
      <c r="BT45" t="s">
        <v>9</v>
      </c>
      <c r="BU45" t="s">
        <v>489</v>
      </c>
      <c r="BV45">
        <v>21.3</v>
      </c>
      <c r="BW45">
        <v>19.96</v>
      </c>
      <c r="BX45">
        <v>23.31</v>
      </c>
      <c r="BY45">
        <v>2</v>
      </c>
      <c r="BZ45">
        <v>-1.29</v>
      </c>
      <c r="CA45">
        <v>2.21</v>
      </c>
      <c r="CB45">
        <v>-8.8800000000000008</v>
      </c>
      <c r="CC45">
        <v>-0.63</v>
      </c>
      <c r="CD45" t="s">
        <v>117</v>
      </c>
      <c r="CE45" t="s">
        <v>1636</v>
      </c>
      <c r="CF45" s="8" t="s">
        <v>9</v>
      </c>
      <c r="CG45" s="9">
        <v>1.6679999999999999</v>
      </c>
      <c r="CH45" s="8">
        <v>0.20538283884525299</v>
      </c>
      <c r="CI45" s="8">
        <v>0.38083571195602417</v>
      </c>
      <c r="CJ45" s="8">
        <v>0.75429552793502808</v>
      </c>
      <c r="CK45" s="8">
        <v>2.4325032234191895</v>
      </c>
      <c r="CL45" s="8">
        <v>4.6940298080444336</v>
      </c>
      <c r="CM45" s="9">
        <v>0.47699758410453796</v>
      </c>
      <c r="CN45" s="9">
        <v>58.444084167480469</v>
      </c>
      <c r="CO45" s="9">
        <v>0.9248349666595459</v>
      </c>
      <c r="CP45" s="9">
        <v>0.28618735074996948</v>
      </c>
      <c r="CQ45" s="9">
        <v>0.42735043168067932</v>
      </c>
      <c r="CR45">
        <v>17.126698611033635</v>
      </c>
      <c r="CS45">
        <v>2.1834999645254132</v>
      </c>
      <c r="CT45">
        <v>0</v>
      </c>
      <c r="CU45" s="8">
        <v>7.8436908125877378E-2</v>
      </c>
      <c r="CV45" s="9">
        <v>0.50081816613674168</v>
      </c>
      <c r="CW45">
        <v>0.06</v>
      </c>
      <c r="CX45">
        <v>82.453920647458574</v>
      </c>
      <c r="CY45">
        <v>620609918.82715571</v>
      </c>
      <c r="CZ45">
        <v>7.8436908125877378E-2</v>
      </c>
      <c r="DA45">
        <v>27.210647164496127</v>
      </c>
      <c r="DB45">
        <v>1880577139.1857145</v>
      </c>
      <c r="DC45">
        <v>7.4515062719583511E-2</v>
      </c>
      <c r="DD45">
        <v>13.571166338242138</v>
      </c>
      <c r="DE45">
        <v>3770620720.7705798</v>
      </c>
      <c r="DF45">
        <v>6.9024479150772089E-2</v>
      </c>
      <c r="DG45">
        <v>8.2699020225267024</v>
      </c>
      <c r="DH45">
        <v>6187705835.0402937</v>
      </c>
      <c r="DI45">
        <v>6.274952650070191E-2</v>
      </c>
      <c r="DJ45">
        <v>4.4103233819493131</v>
      </c>
      <c r="DK45">
        <v>11602714034.403227</v>
      </c>
      <c r="DL45">
        <v>5.4905835688114163E-2</v>
      </c>
      <c r="DM45">
        <v>610000000</v>
      </c>
      <c r="DN45">
        <v>7.8436908125877378E-2</v>
      </c>
      <c r="DO45">
        <v>51171721000</v>
      </c>
      <c r="DP45" t="e">
        <v>#VALUE!</v>
      </c>
      <c r="DQ45">
        <v>44</v>
      </c>
      <c r="DR45" t="e">
        <v>#VALUE!</v>
      </c>
      <c r="DS45">
        <v>1.1671818338632582</v>
      </c>
      <c r="DT45" t="e">
        <v>#VALUE!</v>
      </c>
      <c r="DU45" t="e">
        <v>#VALUE!</v>
      </c>
      <c r="DV45" t="e">
        <v>#VALUE!</v>
      </c>
      <c r="DW45">
        <v>-5.0709459459459456</v>
      </c>
      <c r="DX45">
        <v>0.46424559476834049</v>
      </c>
      <c r="DY45">
        <v>-5.005976883412619</v>
      </c>
      <c r="DZ45">
        <v>0</v>
      </c>
      <c r="EA45">
        <v>-5.005976883412619</v>
      </c>
      <c r="EB45">
        <v>5</v>
      </c>
      <c r="EC45">
        <v>1.0999434740912976E-2</v>
      </c>
      <c r="ED45">
        <v>0.13056391181162805</v>
      </c>
      <c r="EE45">
        <v>0</v>
      </c>
      <c r="EF45">
        <v>0</v>
      </c>
      <c r="EG45">
        <v>38.08424559476834</v>
      </c>
      <c r="EH45" t="s">
        <v>110</v>
      </c>
      <c r="EI45">
        <v>0</v>
      </c>
      <c r="EJ45">
        <v>0</v>
      </c>
      <c r="EK45">
        <v>0</v>
      </c>
      <c r="EL45">
        <v>0</v>
      </c>
      <c r="EM45">
        <v>0</v>
      </c>
      <c r="EN45">
        <v>0</v>
      </c>
      <c r="EO45">
        <v>0</v>
      </c>
      <c r="EP45">
        <v>0</v>
      </c>
    </row>
    <row r="46" spans="1:146" ht="96" x14ac:dyDescent="0.25">
      <c r="A46" s="7"/>
      <c r="B46" s="7"/>
      <c r="C46" s="7" t="str">
        <f>""&amp;CHAR(10)&amp;Basic_Fundamental_Information_Constructure(F46)&amp;CHAR(10)&amp;Basic_Fundamental_Information_Concatenate("")</f>
        <v xml:space="preserve">
市值42.648504亿, 利润4510.00万; PE94.56; 平均PE7.64; 平均PEG.42, PB1.02; ROIC0%; ROE-1.3333%; 股利率0%; 毛利0%; 净利-3.0033%; 上一年度营收增5.18%, 利润增144.65%, 利润增140.6%; 过往5年营收增18.29%, 利润增11.12%
Income profile:
</v>
      </c>
      <c r="D46" s="11">
        <v>256</v>
      </c>
      <c r="E46" t="s">
        <v>988</v>
      </c>
      <c r="F46">
        <v>0.98</v>
      </c>
      <c r="G46" s="5">
        <v>0</v>
      </c>
      <c r="H46" t="s">
        <v>7014</v>
      </c>
      <c r="I46">
        <v>4264850400</v>
      </c>
      <c r="J46">
        <v>94.56</v>
      </c>
      <c r="K46">
        <v>1.02</v>
      </c>
      <c r="L46" t="s">
        <v>6350</v>
      </c>
      <c r="M46" t="s">
        <v>9</v>
      </c>
      <c r="N46" t="s">
        <v>9</v>
      </c>
      <c r="O46" t="s">
        <v>9</v>
      </c>
      <c r="P46" t="s">
        <v>9</v>
      </c>
      <c r="Q46" t="s">
        <v>7015</v>
      </c>
      <c r="R46">
        <v>45100000</v>
      </c>
      <c r="S46" s="5">
        <v>1.4059999999999999</v>
      </c>
      <c r="T46" t="s">
        <v>7016</v>
      </c>
      <c r="U46">
        <v>4351888200</v>
      </c>
      <c r="V46">
        <v>4351888200</v>
      </c>
      <c r="W46" t="s">
        <v>9</v>
      </c>
      <c r="X46" t="s">
        <v>9</v>
      </c>
      <c r="Y46" t="s">
        <v>9</v>
      </c>
      <c r="Z46" t="s">
        <v>9</v>
      </c>
      <c r="AA46" t="s">
        <v>9</v>
      </c>
      <c r="AB46" t="s">
        <v>9</v>
      </c>
      <c r="AC46" t="s">
        <v>9</v>
      </c>
      <c r="AD46" t="s">
        <v>7017</v>
      </c>
      <c r="AE46" t="s">
        <v>9</v>
      </c>
      <c r="AF46" t="s">
        <v>9</v>
      </c>
      <c r="AG46" t="s">
        <v>9</v>
      </c>
      <c r="AH46" t="s">
        <v>7018</v>
      </c>
      <c r="AI46" t="s">
        <v>9</v>
      </c>
      <c r="AJ46" t="s">
        <v>9</v>
      </c>
      <c r="AK46" t="s">
        <v>7019</v>
      </c>
      <c r="AL46" t="s">
        <v>9</v>
      </c>
      <c r="AM46" t="s">
        <v>9</v>
      </c>
      <c r="AN46" s="5">
        <v>0.7359</v>
      </c>
      <c r="AO46" t="s">
        <v>9</v>
      </c>
      <c r="AP46" t="s">
        <v>9</v>
      </c>
      <c r="AQ46" t="s">
        <v>9</v>
      </c>
      <c r="AR46" t="s">
        <v>9</v>
      </c>
      <c r="AS46" t="s">
        <v>9</v>
      </c>
      <c r="AT46" t="s">
        <v>9</v>
      </c>
      <c r="AU46" t="s">
        <v>3678</v>
      </c>
      <c r="AV46" t="s">
        <v>7020</v>
      </c>
      <c r="AW46" t="s">
        <v>9</v>
      </c>
      <c r="AX46" t="s">
        <v>989</v>
      </c>
      <c r="AY46" t="s">
        <v>993</v>
      </c>
      <c r="AZ46" t="s">
        <v>994</v>
      </c>
      <c r="BA46" t="s">
        <v>996</v>
      </c>
      <c r="BB46" t="s">
        <v>997</v>
      </c>
      <c r="BC46" t="s">
        <v>998</v>
      </c>
      <c r="BD46" t="s">
        <v>999</v>
      </c>
      <c r="BE46" t="s">
        <v>1000</v>
      </c>
      <c r="BF46" t="s">
        <v>1001</v>
      </c>
      <c r="BG46" t="s">
        <v>1002</v>
      </c>
      <c r="BH46" t="s">
        <v>989</v>
      </c>
      <c r="BI46" t="s">
        <v>9</v>
      </c>
      <c r="BJ46" t="s">
        <v>993</v>
      </c>
      <c r="BK46" t="s">
        <v>990</v>
      </c>
      <c r="BL46" t="s">
        <v>9</v>
      </c>
      <c r="BM46" t="s">
        <v>998</v>
      </c>
      <c r="BN46" t="s">
        <v>9</v>
      </c>
      <c r="BO46" t="s">
        <v>9</v>
      </c>
      <c r="BP46" t="s">
        <v>9</v>
      </c>
      <c r="BQ46">
        <v>1.08</v>
      </c>
      <c r="BR46">
        <v>-2.77</v>
      </c>
      <c r="BS46">
        <v>-2.31</v>
      </c>
      <c r="BT46" t="s">
        <v>1003</v>
      </c>
      <c r="BU46" t="s">
        <v>1004</v>
      </c>
      <c r="BV46" t="s">
        <v>9</v>
      </c>
      <c r="BW46" t="s">
        <v>9</v>
      </c>
      <c r="BX46" t="s">
        <v>9</v>
      </c>
      <c r="BY46">
        <v>3.71</v>
      </c>
      <c r="BZ46">
        <v>-7.36</v>
      </c>
      <c r="CA46">
        <v>-5.36</v>
      </c>
      <c r="CB46">
        <v>-2</v>
      </c>
      <c r="CC46">
        <v>-7.55</v>
      </c>
      <c r="CD46" t="s">
        <v>7021</v>
      </c>
      <c r="CE46" t="s">
        <v>7022</v>
      </c>
      <c r="CF46" s="8" t="s">
        <v>9</v>
      </c>
      <c r="CG46" s="9">
        <v>1.4059999999999999</v>
      </c>
      <c r="CH46" s="8">
        <v>5.1787916570901871E-2</v>
      </c>
      <c r="CI46" s="8">
        <v>-0.17497456073760986</v>
      </c>
      <c r="CJ46" s="8">
        <v>5.5853921920061111E-2</v>
      </c>
      <c r="CK46" s="8">
        <v>-0.38221636414527893</v>
      </c>
      <c r="CL46" s="8">
        <v>-0.29480576515197754</v>
      </c>
      <c r="CM46" s="9">
        <v>1.4465346336364746</v>
      </c>
      <c r="CN46" s="9">
        <v>0.40236687660217285</v>
      </c>
      <c r="CO46" s="9">
        <v>-4.819554328918457</v>
      </c>
      <c r="CP46" s="9">
        <v>-0.77987062931060791</v>
      </c>
      <c r="CQ46" s="9">
        <v>-0.82820510864257813</v>
      </c>
      <c r="CR46">
        <v>7.6360306764942862</v>
      </c>
      <c r="CS46">
        <v>0.41748984876160072</v>
      </c>
      <c r="CT46">
        <v>0</v>
      </c>
      <c r="CU46" s="8">
        <v>0.18290338553488256</v>
      </c>
      <c r="CV46" s="9">
        <v>0.11118005849421024</v>
      </c>
      <c r="CW46">
        <v>0.06</v>
      </c>
      <c r="CX46">
        <v>84.739100650420184</v>
      </c>
      <c r="CY46">
        <v>50329191.214738868</v>
      </c>
      <c r="CZ46">
        <v>0.18290338553488256</v>
      </c>
      <c r="DA46">
        <v>25.618714256613647</v>
      </c>
      <c r="DB46">
        <v>166474021.9700526</v>
      </c>
      <c r="DC46">
        <v>0.17375821625813842</v>
      </c>
      <c r="DD46">
        <v>11.325679870553355</v>
      </c>
      <c r="DE46">
        <v>376564625.58937103</v>
      </c>
      <c r="DF46">
        <v>0.16095497927069666</v>
      </c>
      <c r="DG46">
        <v>5.9951099425734329</v>
      </c>
      <c r="DH46">
        <v>711388188.18213201</v>
      </c>
      <c r="DI46">
        <v>0.14632270842790604</v>
      </c>
      <c r="DJ46">
        <v>2.309118218651848</v>
      </c>
      <c r="DK46">
        <v>1846960612.7355332</v>
      </c>
      <c r="DL46">
        <v>0.1280323698744178</v>
      </c>
      <c r="DM46">
        <v>45100000</v>
      </c>
      <c r="DN46">
        <v>0.18290338553488256</v>
      </c>
      <c r="DO46">
        <v>4264850400</v>
      </c>
      <c r="DP46" t="e">
        <v>#VALUE!</v>
      </c>
      <c r="DQ46">
        <v>45</v>
      </c>
      <c r="DR46" t="e">
        <v>#VALUE!</v>
      </c>
      <c r="DS46">
        <v>1.2948199415057897</v>
      </c>
      <c r="DT46" t="e">
        <v>#VALUE!</v>
      </c>
      <c r="DU46" t="e">
        <v>#VALUE!</v>
      </c>
      <c r="DV46" t="e">
        <v>#VALUE!</v>
      </c>
      <c r="DW46">
        <v>-2.0754999999999999</v>
      </c>
      <c r="DX46">
        <v>0.18115521033546672</v>
      </c>
      <c r="DY46">
        <v>-2.0076372183803279</v>
      </c>
      <c r="DZ46">
        <v>0</v>
      </c>
      <c r="EA46">
        <v>-2.0076372183803279</v>
      </c>
      <c r="EB46">
        <v>2</v>
      </c>
      <c r="EC46">
        <v>1.407664838448745E-3</v>
      </c>
      <c r="ED46">
        <v>1.3915890578255204E-2</v>
      </c>
      <c r="EE46">
        <v>0</v>
      </c>
      <c r="EF46">
        <v>0</v>
      </c>
      <c r="EG46">
        <v>8.1011552103354667</v>
      </c>
      <c r="EH46" t="s">
        <v>110</v>
      </c>
      <c r="EI46">
        <v>0</v>
      </c>
      <c r="EJ46">
        <v>0</v>
      </c>
      <c r="EK46">
        <v>0</v>
      </c>
      <c r="EL46">
        <v>0</v>
      </c>
      <c r="EM46">
        <v>0</v>
      </c>
      <c r="EN46">
        <v>0</v>
      </c>
      <c r="EO46">
        <v>0</v>
      </c>
      <c r="EP46">
        <v>0</v>
      </c>
    </row>
    <row r="47" spans="1:146" ht="96" x14ac:dyDescent="0.25">
      <c r="A47" s="7"/>
      <c r="B47" s="7"/>
      <c r="C47" s="7" t="str">
        <f>""&amp;CHAR(10)&amp;Basic_Fundamental_Information_Constructure(F47)&amp;CHAR(10)&amp;Basic_Fundamental_Information_Concatenate("")</f>
        <v xml:space="preserve">
市值235.27595亿, 利润44.29亿; PE5.31; 平均PE16.98; 平均PEG2.16, PB.489; ROIC3.7567%; ROE10.6833%; 股利率0%; 毛利38.1767%; 净利15.8533%; 上一年度营收增-14.02%, 利润增-34.91%, 利润增-3.75%; 过往5年营收增7.85%, 利润增-205.32%
Income profile:
</v>
      </c>
      <c r="D47" s="11">
        <v>257</v>
      </c>
      <c r="E47" t="s">
        <v>1005</v>
      </c>
      <c r="F47">
        <v>3.83</v>
      </c>
      <c r="G47" s="5">
        <v>-1.54E-2</v>
      </c>
      <c r="H47" t="s">
        <v>7023</v>
      </c>
      <c r="I47">
        <v>23527595000</v>
      </c>
      <c r="J47">
        <v>5.31</v>
      </c>
      <c r="K47">
        <v>0.48899999999999999</v>
      </c>
      <c r="L47" t="s">
        <v>6350</v>
      </c>
      <c r="M47" t="s">
        <v>9</v>
      </c>
      <c r="N47" t="s">
        <v>9</v>
      </c>
      <c r="O47" t="s">
        <v>9</v>
      </c>
      <c r="P47" t="s">
        <v>9</v>
      </c>
      <c r="Q47" t="s">
        <v>7024</v>
      </c>
      <c r="R47">
        <v>4429160000</v>
      </c>
      <c r="S47" s="5">
        <v>-3.7499999999999999E-2</v>
      </c>
      <c r="T47" t="s">
        <v>7025</v>
      </c>
      <c r="U47">
        <v>6142975300</v>
      </c>
      <c r="V47">
        <v>6142975300</v>
      </c>
      <c r="W47" t="s">
        <v>9</v>
      </c>
      <c r="X47" t="s">
        <v>9</v>
      </c>
      <c r="Y47" t="s">
        <v>9</v>
      </c>
      <c r="Z47" t="s">
        <v>9</v>
      </c>
      <c r="AA47" t="s">
        <v>9</v>
      </c>
      <c r="AB47" t="s">
        <v>9</v>
      </c>
      <c r="AC47" t="s">
        <v>9</v>
      </c>
      <c r="AD47" t="s">
        <v>7026</v>
      </c>
      <c r="AE47" t="s">
        <v>9</v>
      </c>
      <c r="AF47" t="s">
        <v>9</v>
      </c>
      <c r="AG47" t="s">
        <v>9</v>
      </c>
      <c r="AH47" t="s">
        <v>7027</v>
      </c>
      <c r="AI47" t="s">
        <v>9</v>
      </c>
      <c r="AJ47" t="s">
        <v>9</v>
      </c>
      <c r="AK47" t="s">
        <v>7028</v>
      </c>
      <c r="AL47" t="s">
        <v>9</v>
      </c>
      <c r="AM47" t="s">
        <v>9</v>
      </c>
      <c r="AN47" s="5">
        <v>0.65369999999999995</v>
      </c>
      <c r="AO47" t="s">
        <v>9</v>
      </c>
      <c r="AP47" t="s">
        <v>7029</v>
      </c>
      <c r="AQ47" t="s">
        <v>9</v>
      </c>
      <c r="AR47" t="s">
        <v>7030</v>
      </c>
      <c r="AS47" t="s">
        <v>9</v>
      </c>
      <c r="AT47" t="s">
        <v>9</v>
      </c>
      <c r="AU47" t="s">
        <v>7031</v>
      </c>
      <c r="AV47" t="s">
        <v>7032</v>
      </c>
      <c r="AW47" t="s">
        <v>9</v>
      </c>
      <c r="AX47" t="s">
        <v>1006</v>
      </c>
      <c r="AY47" t="s">
        <v>1009</v>
      </c>
      <c r="AZ47" t="s">
        <v>1010</v>
      </c>
      <c r="BA47" t="s">
        <v>1011</v>
      </c>
      <c r="BB47" t="s">
        <v>1012</v>
      </c>
      <c r="BC47" t="s">
        <v>1013</v>
      </c>
      <c r="BD47" t="s">
        <v>1014</v>
      </c>
      <c r="BE47" t="s">
        <v>1015</v>
      </c>
      <c r="BF47" t="s">
        <v>1016</v>
      </c>
      <c r="BG47" t="s">
        <v>1017</v>
      </c>
      <c r="BH47" t="s">
        <v>1006</v>
      </c>
      <c r="BI47" t="s">
        <v>9</v>
      </c>
      <c r="BJ47" t="s">
        <v>1009</v>
      </c>
      <c r="BK47" t="s">
        <v>1007</v>
      </c>
      <c r="BL47" t="s">
        <v>9</v>
      </c>
      <c r="BM47" t="s">
        <v>1013</v>
      </c>
      <c r="BN47">
        <v>3.11</v>
      </c>
      <c r="BO47">
        <v>3.14</v>
      </c>
      <c r="BP47">
        <v>5.0199999999999996</v>
      </c>
      <c r="BQ47">
        <v>9.1999999999999993</v>
      </c>
      <c r="BR47">
        <v>9.7100000000000009</v>
      </c>
      <c r="BS47">
        <v>13.14</v>
      </c>
      <c r="BT47" t="s">
        <v>7033</v>
      </c>
      <c r="BU47" t="s">
        <v>392</v>
      </c>
      <c r="BV47">
        <v>43.04</v>
      </c>
      <c r="BW47">
        <v>38.49</v>
      </c>
      <c r="BX47">
        <v>33</v>
      </c>
      <c r="BY47">
        <v>16.510000000000002</v>
      </c>
      <c r="BZ47">
        <v>14.78</v>
      </c>
      <c r="CA47">
        <v>16.27</v>
      </c>
      <c r="CB47">
        <v>4.08</v>
      </c>
      <c r="CC47">
        <v>4.93</v>
      </c>
      <c r="CD47" t="s">
        <v>27</v>
      </c>
      <c r="CE47" t="s">
        <v>3885</v>
      </c>
      <c r="CF47" s="8" t="s">
        <v>9</v>
      </c>
      <c r="CG47" s="9">
        <v>-3.7499999999999999E-2</v>
      </c>
      <c r="CH47" s="8">
        <v>-0.14016236364841461</v>
      </c>
      <c r="CI47" s="8">
        <v>-0.25200921297073364</v>
      </c>
      <c r="CJ47" s="8">
        <v>0.1623491644859314</v>
      </c>
      <c r="CK47" s="8">
        <v>0.5765388011932373</v>
      </c>
      <c r="CL47" s="8">
        <v>0.35847929120063782</v>
      </c>
      <c r="CM47" s="9">
        <v>-0.34905937314033508</v>
      </c>
      <c r="CN47" s="9">
        <v>0.13098408281803131</v>
      </c>
      <c r="CO47" s="9">
        <v>0.1562560498714447</v>
      </c>
      <c r="CP47" s="9">
        <v>0.20467694103717804</v>
      </c>
      <c r="CQ47" s="9">
        <v>0.23048430681228638</v>
      </c>
      <c r="CR47">
        <v>16.979260283858551</v>
      </c>
      <c r="CS47">
        <v>2.16419861255154</v>
      </c>
      <c r="CT47">
        <v>0</v>
      </c>
      <c r="CU47" s="8">
        <v>7.8455185145139689E-2</v>
      </c>
      <c r="CV47" s="9">
        <v>-2.0532145245000719</v>
      </c>
      <c r="CW47">
        <v>0.06</v>
      </c>
      <c r="CX47">
        <v>5.2212635799097571</v>
      </c>
      <c r="CY47">
        <v>4506111334.9130411</v>
      </c>
      <c r="CZ47">
        <v>7.8455185145139689E-2</v>
      </c>
      <c r="DA47">
        <v>1.723044281888338</v>
      </c>
      <c r="DB47">
        <v>13654666480.315512</v>
      </c>
      <c r="DC47">
        <v>7.4532425887882697E-2</v>
      </c>
      <c r="DD47">
        <v>0.85934154792483919</v>
      </c>
      <c r="DE47">
        <v>27378630832.891838</v>
      </c>
      <c r="DF47">
        <v>6.9040562927722926E-2</v>
      </c>
      <c r="DG47">
        <v>0.52364750695039075</v>
      </c>
      <c r="DH47">
        <v>44930214863.467216</v>
      </c>
      <c r="DI47">
        <v>6.2764148116111751E-2</v>
      </c>
      <c r="DJ47">
        <v>0.27924643654904807</v>
      </c>
      <c r="DK47">
        <v>84253877294.751114</v>
      </c>
      <c r="DL47">
        <v>5.4918629601597775E-2</v>
      </c>
      <c r="DM47">
        <v>4429000000</v>
      </c>
      <c r="DN47">
        <v>7.8455185145139689E-2</v>
      </c>
      <c r="DO47">
        <v>23527595000</v>
      </c>
      <c r="DP47" t="e">
        <v>#VALUE!</v>
      </c>
      <c r="DQ47">
        <v>46</v>
      </c>
      <c r="DR47" t="e">
        <v>#VALUE!</v>
      </c>
      <c r="DS47">
        <v>2.0157145245000718</v>
      </c>
      <c r="DT47" t="e">
        <v>#VALUE!</v>
      </c>
      <c r="DU47" t="e">
        <v>#VALUE!</v>
      </c>
      <c r="DV47" t="e">
        <v>#VALUE!</v>
      </c>
      <c r="DW47">
        <v>8.8275862068965516</v>
      </c>
      <c r="DX47">
        <v>0.39107391910739225</v>
      </c>
      <c r="DY47">
        <v>8.1581301399509449</v>
      </c>
      <c r="DZ47">
        <v>0</v>
      </c>
      <c r="EA47">
        <v>8.1581301399509449</v>
      </c>
      <c r="EB47">
        <v>8</v>
      </c>
      <c r="EC47">
        <v>2.2301896607007356E-2</v>
      </c>
      <c r="ED47">
        <v>0.11671868516222099</v>
      </c>
      <c r="EE47">
        <v>0</v>
      </c>
      <c r="EF47">
        <v>0</v>
      </c>
      <c r="EG47">
        <v>20.191073919107392</v>
      </c>
      <c r="EH47" t="s">
        <v>110</v>
      </c>
      <c r="EI47">
        <v>0</v>
      </c>
      <c r="EJ47">
        <v>0</v>
      </c>
      <c r="EK47">
        <v>0</v>
      </c>
      <c r="EL47">
        <v>0</v>
      </c>
      <c r="EM47">
        <v>0</v>
      </c>
      <c r="EN47">
        <v>0</v>
      </c>
      <c r="EO47">
        <v>0</v>
      </c>
      <c r="EP47">
        <v>0</v>
      </c>
    </row>
    <row r="48" spans="1:146" ht="96" x14ac:dyDescent="0.25">
      <c r="A48" s="7"/>
      <c r="B48" s="7"/>
      <c r="C48" s="7" t="str">
        <f>""&amp;CHAR(10)&amp;Basic_Fundamental_Information_Constructure(F48)&amp;CHAR(10)&amp;Basic_Fundamental_Information_Concatenate("")</f>
        <v xml:space="preserve">
市值2021.7733亿, 利润630.30亿; PE3.21; 平均PE19.43; 平均PEG.3, PB.262; ROIC0%; ROE9.2533%; 毛利0%; 净利15.1833%; 上一年度营收增-.28%, 利润增-10.24%, 利润增-13.8%; 过往5年营收增64.25%, 利润增-488.43%
Income profile:
</v>
      </c>
      <c r="D48" s="11">
        <v>267</v>
      </c>
      <c r="E48" t="s">
        <v>1018</v>
      </c>
      <c r="F48">
        <v>6.95</v>
      </c>
      <c r="G48" s="5">
        <v>-3.3799999999999997E-2</v>
      </c>
      <c r="H48" t="s">
        <v>7034</v>
      </c>
      <c r="I48">
        <v>202177330000</v>
      </c>
      <c r="J48">
        <v>3.21</v>
      </c>
      <c r="K48">
        <v>0.26200000000000001</v>
      </c>
      <c r="L48" t="s">
        <v>6350</v>
      </c>
      <c r="M48" t="s">
        <v>9</v>
      </c>
      <c r="N48" t="s">
        <v>9</v>
      </c>
      <c r="O48" t="s">
        <v>9</v>
      </c>
      <c r="P48" t="s">
        <v>9</v>
      </c>
      <c r="Q48" t="s">
        <v>7035</v>
      </c>
      <c r="R48">
        <v>63134543000</v>
      </c>
      <c r="S48" s="5">
        <v>-0.13800000000000001</v>
      </c>
      <c r="T48" t="s">
        <v>7036</v>
      </c>
      <c r="U48">
        <v>29090263000</v>
      </c>
      <c r="V48">
        <v>29090263000</v>
      </c>
      <c r="W48" t="s">
        <v>9</v>
      </c>
      <c r="X48" t="s">
        <v>9</v>
      </c>
      <c r="Y48" t="s">
        <v>9</v>
      </c>
      <c r="Z48" t="s">
        <v>9</v>
      </c>
      <c r="AA48" t="s">
        <v>9</v>
      </c>
      <c r="AB48" t="s">
        <v>9</v>
      </c>
      <c r="AC48" t="s">
        <v>9</v>
      </c>
      <c r="AD48" t="s">
        <v>9</v>
      </c>
      <c r="AE48" t="s">
        <v>9</v>
      </c>
      <c r="AF48" t="s">
        <v>9</v>
      </c>
      <c r="AG48" t="s">
        <v>9</v>
      </c>
      <c r="AH48" t="s">
        <v>7037</v>
      </c>
      <c r="AI48" t="s">
        <v>9</v>
      </c>
      <c r="AJ48" t="s">
        <v>9</v>
      </c>
      <c r="AK48" t="s">
        <v>7038</v>
      </c>
      <c r="AL48" t="s">
        <v>9</v>
      </c>
      <c r="AM48" t="s">
        <v>9</v>
      </c>
      <c r="AN48" s="5">
        <v>0.88200000000000001</v>
      </c>
      <c r="AO48" t="s">
        <v>9</v>
      </c>
      <c r="AP48" t="s">
        <v>9</v>
      </c>
      <c r="AQ48" t="s">
        <v>9</v>
      </c>
      <c r="AR48" t="s">
        <v>9</v>
      </c>
      <c r="AS48" t="s">
        <v>9</v>
      </c>
      <c r="AT48" t="s">
        <v>9</v>
      </c>
      <c r="AU48" t="s">
        <v>7039</v>
      </c>
      <c r="AV48" t="s">
        <v>7040</v>
      </c>
      <c r="AW48" t="s">
        <v>9</v>
      </c>
      <c r="AX48" t="s">
        <v>7041</v>
      </c>
      <c r="AY48" t="s">
        <v>1019</v>
      </c>
      <c r="AZ48" t="s">
        <v>1020</v>
      </c>
      <c r="BA48" t="s">
        <v>1021</v>
      </c>
      <c r="BB48" t="s">
        <v>1022</v>
      </c>
      <c r="BC48" t="s">
        <v>1023</v>
      </c>
      <c r="BD48" t="s">
        <v>1024</v>
      </c>
      <c r="BE48" t="s">
        <v>1025</v>
      </c>
      <c r="BF48" t="s">
        <v>1026</v>
      </c>
      <c r="BG48" t="s">
        <v>1027</v>
      </c>
      <c r="BH48" t="s">
        <v>7041</v>
      </c>
      <c r="BI48" t="s">
        <v>9</v>
      </c>
      <c r="BJ48" t="s">
        <v>1019</v>
      </c>
      <c r="BK48" t="s">
        <v>7042</v>
      </c>
      <c r="BL48" t="s">
        <v>9</v>
      </c>
      <c r="BM48" t="s">
        <v>1023</v>
      </c>
      <c r="BN48" t="s">
        <v>9</v>
      </c>
      <c r="BO48" t="s">
        <v>9</v>
      </c>
      <c r="BP48" t="s">
        <v>9</v>
      </c>
      <c r="BQ48">
        <v>8.18</v>
      </c>
      <c r="BR48">
        <v>10.23</v>
      </c>
      <c r="BS48">
        <v>9.35</v>
      </c>
      <c r="BT48" t="s">
        <v>7043</v>
      </c>
      <c r="BU48" t="s">
        <v>377</v>
      </c>
      <c r="BV48" t="s">
        <v>9</v>
      </c>
      <c r="BW48" t="s">
        <v>9</v>
      </c>
      <c r="BX48" t="s">
        <v>9</v>
      </c>
      <c r="BY48">
        <v>15.46</v>
      </c>
      <c r="BZ48">
        <v>15.95</v>
      </c>
      <c r="CA48">
        <v>14.14</v>
      </c>
      <c r="CB48">
        <v>-4.3099999999999996</v>
      </c>
      <c r="CC48">
        <v>-11.95</v>
      </c>
      <c r="CD48" t="s">
        <v>237</v>
      </c>
      <c r="CE48" t="s">
        <v>6073</v>
      </c>
      <c r="CF48" s="8" t="s">
        <v>9</v>
      </c>
      <c r="CG48" s="9">
        <v>-0.13800000000000001</v>
      </c>
      <c r="CH48" s="8">
        <v>-2.8005146887153387E-3</v>
      </c>
      <c r="CI48" s="8">
        <v>5.5700365453958511E-2</v>
      </c>
      <c r="CJ48" s="8">
        <v>0.28210020065307617</v>
      </c>
      <c r="CK48" s="8">
        <v>3.687329962849617E-2</v>
      </c>
      <c r="CL48" s="8">
        <v>0.18366788327693939</v>
      </c>
      <c r="CM48" s="9">
        <v>-0.1024179682135582</v>
      </c>
      <c r="CN48" s="9">
        <v>0.24005788564682007</v>
      </c>
      <c r="CO48" s="9">
        <v>5.0553757697343826E-2</v>
      </c>
      <c r="CP48" s="9">
        <v>7.2931364178657532E-2</v>
      </c>
      <c r="CQ48" s="9">
        <v>0.14434421062469482</v>
      </c>
      <c r="CR48">
        <v>19.43319605735314</v>
      </c>
      <c r="CS48">
        <v>0.30244769308877767</v>
      </c>
      <c r="CT48" t="e">
        <v>#VALUE!</v>
      </c>
      <c r="CU48" s="8">
        <v>0.64253080785274508</v>
      </c>
      <c r="CV48" s="9">
        <v>-4.8842611610889435</v>
      </c>
      <c r="CW48">
        <v>0.06</v>
      </c>
      <c r="CX48">
        <v>2.0700340580359176</v>
      </c>
      <c r="CY48">
        <v>97668600772.602356</v>
      </c>
      <c r="CZ48">
        <v>0.64253080785274508</v>
      </c>
      <c r="DA48">
        <v>0.43736670172517184</v>
      </c>
      <c r="DB48">
        <v>462260453762.30353</v>
      </c>
      <c r="DC48">
        <v>0.61040426746010779</v>
      </c>
      <c r="DD48">
        <v>0.11047615265928706</v>
      </c>
      <c r="DE48">
        <v>1830054044545.9128</v>
      </c>
      <c r="DF48">
        <v>0.56542711091041564</v>
      </c>
      <c r="DG48">
        <v>2.8010893815785604E-2</v>
      </c>
      <c r="DH48">
        <v>7217810732125.3164</v>
      </c>
      <c r="DI48">
        <v>0.51402464628219613</v>
      </c>
      <c r="DJ48">
        <v>1.6468348108400041E-3</v>
      </c>
      <c r="DK48">
        <v>122767219073341.69</v>
      </c>
      <c r="DL48">
        <v>0.44977156549692154</v>
      </c>
      <c r="DM48">
        <v>63029999999.999992</v>
      </c>
      <c r="DN48">
        <v>0.64253080785274508</v>
      </c>
      <c r="DO48">
        <v>202177330000</v>
      </c>
      <c r="DP48" t="e">
        <v>#VALUE!</v>
      </c>
      <c r="DQ48">
        <v>47</v>
      </c>
      <c r="DR48" t="e">
        <v>#VALUE!</v>
      </c>
      <c r="DS48">
        <v>4.7462611610889436</v>
      </c>
      <c r="DT48" t="e">
        <v>#VALUE!</v>
      </c>
      <c r="DU48" t="e">
        <v>#VALUE!</v>
      </c>
      <c r="DV48" t="e">
        <v>#VALUE!</v>
      </c>
      <c r="DW48">
        <v>-8.3606694560669457</v>
      </c>
      <c r="DX48">
        <v>0.55582524271844702</v>
      </c>
      <c r="DY48">
        <v>-8.0742348783361084</v>
      </c>
      <c r="DZ48">
        <v>0</v>
      </c>
      <c r="EA48">
        <v>-8.0742348783361084</v>
      </c>
      <c r="EB48">
        <v>8</v>
      </c>
      <c r="EC48">
        <v>3.643830927207499E-3</v>
      </c>
      <c r="ED48">
        <v>1.7703518184074171E-2</v>
      </c>
      <c r="EE48">
        <v>0</v>
      </c>
      <c r="EF48">
        <v>0</v>
      </c>
      <c r="EG48">
        <v>35.205825242718447</v>
      </c>
      <c r="EH48" t="s">
        <v>110</v>
      </c>
      <c r="EI48">
        <v>0</v>
      </c>
      <c r="EJ48">
        <v>0</v>
      </c>
      <c r="EK48">
        <v>0</v>
      </c>
      <c r="EL48">
        <v>0</v>
      </c>
      <c r="EM48">
        <v>0</v>
      </c>
      <c r="EN48">
        <v>0</v>
      </c>
      <c r="EO48">
        <v>0</v>
      </c>
      <c r="EP48">
        <v>0</v>
      </c>
    </row>
    <row r="49" spans="1:146" ht="96" x14ac:dyDescent="0.25">
      <c r="A49" s="7"/>
      <c r="B49" s="7"/>
      <c r="C49" s="7" t="str">
        <f>""&amp;CHAR(10)&amp;Basic_Fundamental_Information_Constructure(F49)&amp;CHAR(10)&amp;Basic_Fundamental_Information_Concatenate("")</f>
        <v xml:space="preserve">
市值262.74774亿, 利润-2.30亿; PE; 平均PE5.58; 平均PEG.83, PB2.79; ROIC-3.81%; ROE-3.9267%; 毛利62.9567%; 净利-7.3867%; 上一年度营收增13.41%, 利润增37.84%, 利润增47.59%; 过往5年营收增6.76%, 利润增-79.43%
Income profile:
</v>
      </c>
      <c r="D49" s="11">
        <v>268</v>
      </c>
      <c r="E49" t="s">
        <v>1029</v>
      </c>
      <c r="F49">
        <v>7.31</v>
      </c>
      <c r="G49" s="5">
        <v>-2.2700000000000001E-2</v>
      </c>
      <c r="H49" t="s">
        <v>7044</v>
      </c>
      <c r="I49">
        <v>26274774000</v>
      </c>
      <c r="K49">
        <v>2.79</v>
      </c>
      <c r="L49" t="s">
        <v>6350</v>
      </c>
      <c r="M49" t="s">
        <v>9</v>
      </c>
      <c r="N49" t="s">
        <v>9</v>
      </c>
      <c r="O49" t="s">
        <v>9</v>
      </c>
      <c r="P49" t="s">
        <v>9</v>
      </c>
      <c r="Q49" t="s">
        <v>1049</v>
      </c>
      <c r="R49">
        <v>-230081420</v>
      </c>
      <c r="S49" s="5">
        <v>0.47589999999999999</v>
      </c>
      <c r="T49" t="s">
        <v>7045</v>
      </c>
      <c r="U49">
        <v>3593755300</v>
      </c>
      <c r="V49">
        <v>3593755300</v>
      </c>
      <c r="W49" t="s">
        <v>9</v>
      </c>
      <c r="X49" t="s">
        <v>9</v>
      </c>
      <c r="Y49" t="s">
        <v>9</v>
      </c>
      <c r="Z49" t="s">
        <v>9</v>
      </c>
      <c r="AA49" t="s">
        <v>9</v>
      </c>
      <c r="AB49" t="s">
        <v>9</v>
      </c>
      <c r="AC49" t="s">
        <v>9</v>
      </c>
      <c r="AD49" t="s">
        <v>7046</v>
      </c>
      <c r="AE49" t="s">
        <v>9</v>
      </c>
      <c r="AF49" t="s">
        <v>9</v>
      </c>
      <c r="AG49" t="s">
        <v>9</v>
      </c>
      <c r="AH49" t="s">
        <v>7047</v>
      </c>
      <c r="AI49" t="s">
        <v>9</v>
      </c>
      <c r="AJ49" t="s">
        <v>9</v>
      </c>
      <c r="AK49" t="s">
        <v>7048</v>
      </c>
      <c r="AL49" t="s">
        <v>9</v>
      </c>
      <c r="AM49" t="s">
        <v>9</v>
      </c>
      <c r="AN49" s="5">
        <v>0.38450000000000001</v>
      </c>
      <c r="AO49" t="s">
        <v>9</v>
      </c>
      <c r="AP49" t="s">
        <v>7049</v>
      </c>
      <c r="AQ49" t="s">
        <v>9</v>
      </c>
      <c r="AR49" t="s">
        <v>7050</v>
      </c>
      <c r="AS49" t="s">
        <v>9</v>
      </c>
      <c r="AT49" t="s">
        <v>9</v>
      </c>
      <c r="AU49" t="s">
        <v>2369</v>
      </c>
      <c r="AV49" t="s">
        <v>7051</v>
      </c>
      <c r="AW49" t="s">
        <v>9</v>
      </c>
      <c r="AX49" t="s">
        <v>1030</v>
      </c>
      <c r="AY49" t="s">
        <v>1034</v>
      </c>
      <c r="AZ49" t="s">
        <v>1035</v>
      </c>
      <c r="BA49" t="s">
        <v>1037</v>
      </c>
      <c r="BB49" t="s">
        <v>1038</v>
      </c>
      <c r="BC49" t="s">
        <v>1039</v>
      </c>
      <c r="BD49" t="s">
        <v>1040</v>
      </c>
      <c r="BE49" t="s">
        <v>1041</v>
      </c>
      <c r="BF49" t="s">
        <v>1042</v>
      </c>
      <c r="BG49" t="s">
        <v>1043</v>
      </c>
      <c r="BH49" t="s">
        <v>1030</v>
      </c>
      <c r="BI49" t="s">
        <v>9</v>
      </c>
      <c r="BJ49" t="s">
        <v>1034</v>
      </c>
      <c r="BK49" t="s">
        <v>1031</v>
      </c>
      <c r="BL49" t="s">
        <v>9</v>
      </c>
      <c r="BM49" t="s">
        <v>1039</v>
      </c>
      <c r="BN49">
        <v>-2.4500000000000002</v>
      </c>
      <c r="BO49">
        <v>-5.08</v>
      </c>
      <c r="BP49">
        <v>-3.9</v>
      </c>
      <c r="BQ49">
        <v>-2.44</v>
      </c>
      <c r="BR49">
        <v>-5.36</v>
      </c>
      <c r="BS49">
        <v>-3.98</v>
      </c>
      <c r="BT49" t="s">
        <v>1044</v>
      </c>
      <c r="BU49" t="s">
        <v>551</v>
      </c>
      <c r="BV49">
        <v>64.17</v>
      </c>
      <c r="BW49">
        <v>61.61</v>
      </c>
      <c r="BX49">
        <v>63.09</v>
      </c>
      <c r="BY49">
        <v>-4.75</v>
      </c>
      <c r="BZ49">
        <v>-9.3000000000000007</v>
      </c>
      <c r="CA49">
        <v>-8.11</v>
      </c>
      <c r="CB49">
        <v>-3.31</v>
      </c>
      <c r="CC49">
        <v>-20.2</v>
      </c>
      <c r="CD49" t="s">
        <v>7052</v>
      </c>
      <c r="CE49" t="s">
        <v>181</v>
      </c>
      <c r="CF49" s="8" t="s">
        <v>9</v>
      </c>
      <c r="CG49" s="9">
        <v>0.47589999999999999</v>
      </c>
      <c r="CH49" s="8">
        <v>0.13408635556697845</v>
      </c>
      <c r="CI49" s="8">
        <v>7.3958106338977814E-2</v>
      </c>
      <c r="CJ49" s="8">
        <v>0.27743068337440491</v>
      </c>
      <c r="CK49" s="8">
        <v>0.25109437108039856</v>
      </c>
      <c r="CL49" s="8">
        <v>0.15785673260688782</v>
      </c>
      <c r="CM49" s="9">
        <v>0.37837839126586914</v>
      </c>
      <c r="CN49" s="9">
        <v>7.5000002980232239E-2</v>
      </c>
      <c r="CO49" s="9">
        <v>-1.9615384340286255</v>
      </c>
      <c r="CP49" s="9">
        <v>-0.11300639808177948</v>
      </c>
      <c r="CQ49" s="9">
        <v>0.26075267791748047</v>
      </c>
      <c r="CR49">
        <v>5.5775214576331154</v>
      </c>
      <c r="CS49">
        <v>0.82523408964802503</v>
      </c>
      <c r="CT49" t="e">
        <v>#VALUE!</v>
      </c>
      <c r="CU49" s="8">
        <v>6.7587143182754522E-2</v>
      </c>
      <c r="CV49" s="9">
        <v>-0.79428189471364019</v>
      </c>
      <c r="CW49">
        <v>0.06</v>
      </c>
      <c r="CX49" t="e">
        <v>#VALUE!</v>
      </c>
      <c r="CY49" t="s">
        <v>109</v>
      </c>
      <c r="CZ49">
        <v>6.7587143182754522E-2</v>
      </c>
      <c r="DA49" t="e">
        <v>#VALUE!</v>
      </c>
      <c r="DB49" t="s">
        <v>108</v>
      </c>
      <c r="DC49">
        <v>6.4207786023616792E-2</v>
      </c>
      <c r="DD49" t="e">
        <v>#VALUE!</v>
      </c>
      <c r="DE49" t="s">
        <v>108</v>
      </c>
      <c r="DF49">
        <v>5.9476686000823981E-2</v>
      </c>
      <c r="DG49" t="e">
        <v>#VALUE!</v>
      </c>
      <c r="DH49" t="s">
        <v>108</v>
      </c>
      <c r="DI49">
        <v>5.4069714546203622E-2</v>
      </c>
      <c r="DJ49" t="e">
        <v>#VALUE!</v>
      </c>
      <c r="DK49" t="s">
        <v>108</v>
      </c>
      <c r="DL49">
        <v>4.7311000227928161E-2</v>
      </c>
      <c r="DM49">
        <v>-229999999.99999997</v>
      </c>
      <c r="DN49">
        <v>6.7587143182754522E-2</v>
      </c>
      <c r="DO49">
        <v>26274774000</v>
      </c>
      <c r="DP49" t="e">
        <v>#VALUE!</v>
      </c>
      <c r="DQ49">
        <v>48</v>
      </c>
      <c r="DR49" t="e">
        <v>#VALUE!</v>
      </c>
      <c r="DS49">
        <v>1.2701818947136401</v>
      </c>
      <c r="DT49" t="e">
        <v>#VALUE!</v>
      </c>
      <c r="DU49" t="e">
        <v>#VALUE!</v>
      </c>
      <c r="DV49" t="e">
        <v>#VALUE!</v>
      </c>
      <c r="DW49">
        <v>-8.1638613861386133</v>
      </c>
      <c r="DX49">
        <v>0.37418663697104604</v>
      </c>
      <c r="DY49">
        <v>-8.0236266221967405</v>
      </c>
      <c r="DZ49">
        <v>0</v>
      </c>
      <c r="EA49">
        <v>-8.0236266221967405</v>
      </c>
      <c r="EB49">
        <v>8</v>
      </c>
      <c r="EC49">
        <v>1.8014526475967907E-2</v>
      </c>
      <c r="ED49">
        <v>0.12493894617699763</v>
      </c>
      <c r="EE49">
        <v>0</v>
      </c>
      <c r="EF49">
        <v>0</v>
      </c>
      <c r="EG49">
        <v>23.144186636971046</v>
      </c>
      <c r="EH49" t="s">
        <v>110</v>
      </c>
      <c r="EI49">
        <v>0</v>
      </c>
      <c r="EJ49">
        <v>0</v>
      </c>
      <c r="EK49">
        <v>0</v>
      </c>
      <c r="EL49">
        <v>0</v>
      </c>
      <c r="EM49">
        <v>0</v>
      </c>
      <c r="EN49">
        <v>0</v>
      </c>
      <c r="EO49">
        <v>0</v>
      </c>
      <c r="EP49">
        <v>0</v>
      </c>
    </row>
    <row r="50" spans="1:146" ht="96" x14ac:dyDescent="0.25">
      <c r="A50" s="7"/>
      <c r="B50" s="7"/>
      <c r="C50" s="7" t="str">
        <f>""&amp;CHAR(10)&amp;Basic_Fundamental_Information_Constructure(F50)&amp;CHAR(10)&amp;Basic_Fundamental_Information_Concatenate("")</f>
        <v xml:space="preserve">
市值281.7801亿, 利润31.22亿; PE9.06; 平均PE53.9; 平均PEG30.84, PB.655; ROIC5.6333%; ROE9.54%; 毛利41.0467%; 净利17.9733%; 上一年度营收增4.33%, 利润增-33.53%; 当季营收增16.02%, 利润增-.95%; 过往5年营收增-1.75%, 利润增-1520.26%
Income profile:
</v>
      </c>
      <c r="D50" s="11">
        <v>270</v>
      </c>
      <c r="E50" t="s">
        <v>1046</v>
      </c>
      <c r="F50">
        <v>4.3099999999999996</v>
      </c>
      <c r="G50" s="5">
        <v>-4.0099999999999997E-2</v>
      </c>
      <c r="H50" t="s">
        <v>7053</v>
      </c>
      <c r="I50">
        <v>28178010000</v>
      </c>
      <c r="J50">
        <v>9.06</v>
      </c>
      <c r="K50">
        <v>0.65500000000000003</v>
      </c>
      <c r="L50" t="s">
        <v>6350</v>
      </c>
      <c r="M50" t="s">
        <v>9</v>
      </c>
      <c r="N50" t="s">
        <v>9</v>
      </c>
      <c r="O50" t="s">
        <v>3775</v>
      </c>
      <c r="P50">
        <v>19.809999999999999</v>
      </c>
      <c r="Q50" t="s">
        <v>7054</v>
      </c>
      <c r="R50">
        <v>3122069000</v>
      </c>
      <c r="S50" s="5">
        <v>-9.4699999999999993E-3</v>
      </c>
      <c r="T50" t="s">
        <v>7055</v>
      </c>
      <c r="U50">
        <v>6537821400</v>
      </c>
      <c r="V50">
        <v>6537821400</v>
      </c>
      <c r="W50">
        <v>3.22</v>
      </c>
      <c r="X50">
        <v>0.05</v>
      </c>
      <c r="Y50" t="s">
        <v>9</v>
      </c>
      <c r="Z50" t="s">
        <v>9</v>
      </c>
      <c r="AA50" t="s">
        <v>9</v>
      </c>
      <c r="AB50" t="s">
        <v>9</v>
      </c>
      <c r="AC50" t="s">
        <v>9</v>
      </c>
      <c r="AD50" t="s">
        <v>9</v>
      </c>
      <c r="AE50" t="s">
        <v>9</v>
      </c>
      <c r="AF50" t="s">
        <v>9</v>
      </c>
      <c r="AG50" t="s">
        <v>9</v>
      </c>
      <c r="AH50" t="s">
        <v>17</v>
      </c>
      <c r="AI50" t="s">
        <v>9</v>
      </c>
      <c r="AJ50" t="s">
        <v>9</v>
      </c>
      <c r="AK50" t="s">
        <v>7056</v>
      </c>
      <c r="AL50" t="s">
        <v>9</v>
      </c>
      <c r="AM50" t="s">
        <v>9</v>
      </c>
      <c r="AN50" s="5">
        <v>0</v>
      </c>
      <c r="AO50" t="s">
        <v>9</v>
      </c>
      <c r="AP50" t="s">
        <v>9</v>
      </c>
      <c r="AQ50" t="s">
        <v>9</v>
      </c>
      <c r="AR50" t="s">
        <v>9</v>
      </c>
      <c r="AS50" t="s">
        <v>9</v>
      </c>
      <c r="AT50" t="s">
        <v>9</v>
      </c>
      <c r="AU50" t="s">
        <v>7057</v>
      </c>
      <c r="AV50" t="s">
        <v>7058</v>
      </c>
      <c r="AW50" t="s">
        <v>9</v>
      </c>
      <c r="AX50" t="s">
        <v>1047</v>
      </c>
      <c r="AY50" t="s">
        <v>1051</v>
      </c>
      <c r="AZ50" t="s">
        <v>1052</v>
      </c>
      <c r="BA50" t="s">
        <v>1053</v>
      </c>
      <c r="BB50" t="s">
        <v>1054</v>
      </c>
      <c r="BC50" t="s">
        <v>1055</v>
      </c>
      <c r="BD50" t="s">
        <v>1056</v>
      </c>
      <c r="BE50" t="s">
        <v>1057</v>
      </c>
      <c r="BF50" t="s">
        <v>1058</v>
      </c>
      <c r="BG50" t="s">
        <v>1059</v>
      </c>
      <c r="BH50" t="s">
        <v>1047</v>
      </c>
      <c r="BI50" t="s">
        <v>1060</v>
      </c>
      <c r="BJ50" t="s">
        <v>1051</v>
      </c>
      <c r="BK50" t="s">
        <v>1048</v>
      </c>
      <c r="BL50" t="s">
        <v>1061</v>
      </c>
      <c r="BM50" t="s">
        <v>1055</v>
      </c>
      <c r="BN50">
        <v>3.71</v>
      </c>
      <c r="BO50">
        <v>5.99</v>
      </c>
      <c r="BP50">
        <v>7.2</v>
      </c>
      <c r="BQ50">
        <v>7.47</v>
      </c>
      <c r="BR50">
        <v>10.99</v>
      </c>
      <c r="BS50">
        <v>10.16</v>
      </c>
      <c r="BT50" t="s">
        <v>7059</v>
      </c>
      <c r="BU50" t="s">
        <v>392</v>
      </c>
      <c r="BV50">
        <v>41.63</v>
      </c>
      <c r="BW50">
        <v>42.35</v>
      </c>
      <c r="BX50">
        <v>39.159999999999997</v>
      </c>
      <c r="BY50">
        <v>11.63</v>
      </c>
      <c r="BZ50">
        <v>23.82</v>
      </c>
      <c r="CA50">
        <v>18.47</v>
      </c>
      <c r="CB50">
        <v>-2.42</v>
      </c>
      <c r="CC50">
        <v>-5.42</v>
      </c>
      <c r="CD50" t="s">
        <v>7060</v>
      </c>
      <c r="CE50" t="s">
        <v>2223</v>
      </c>
      <c r="CF50" s="8">
        <v>0.16015979662248048</v>
      </c>
      <c r="CG50" s="9">
        <v>-9.4699999999999993E-3</v>
      </c>
      <c r="CH50" s="8">
        <v>4.3283291161060333E-2</v>
      </c>
      <c r="CI50" s="8">
        <v>-0.21938411891460419</v>
      </c>
      <c r="CJ50" s="8">
        <v>0.28231132030487061</v>
      </c>
      <c r="CK50" s="8">
        <v>0.73398679494857788</v>
      </c>
      <c r="CL50" s="8">
        <v>9.8200328648090363E-2</v>
      </c>
      <c r="CM50" s="9">
        <v>-0.33532044291496277</v>
      </c>
      <c r="CN50" s="9">
        <v>4.1463371366262436E-2</v>
      </c>
      <c r="CO50" s="9">
        <v>-0.10586828738451004</v>
      </c>
      <c r="CP50" s="9">
        <v>5.7825883850455284E-3</v>
      </c>
      <c r="CQ50" s="9">
        <v>-0.11785402148962021</v>
      </c>
      <c r="CR50">
        <v>53.898353876863787</v>
      </c>
      <c r="CS50">
        <v>30.835270951561853</v>
      </c>
      <c r="CT50" t="e">
        <v>#VALUE!</v>
      </c>
      <c r="CU50" s="8">
        <v>-1.747944876551628E-2</v>
      </c>
      <c r="CV50" s="9">
        <v>-15.202635204792022</v>
      </c>
      <c r="CW50">
        <v>0.06</v>
      </c>
      <c r="CX50">
        <v>9.0256278026905825</v>
      </c>
      <c r="CY50" t="s">
        <v>7061</v>
      </c>
      <c r="CZ50">
        <v>-1.747944876551628E-2</v>
      </c>
      <c r="DA50">
        <v>3.008542600896861</v>
      </c>
      <c r="DB50" t="s">
        <v>7062</v>
      </c>
      <c r="DC50">
        <v>-1.6605476327240465E-2</v>
      </c>
      <c r="DD50">
        <v>1.5042713004484305</v>
      </c>
      <c r="DE50" t="s">
        <v>7063</v>
      </c>
      <c r="DF50">
        <v>-1.5381914913654328E-2</v>
      </c>
      <c r="DG50">
        <v>0.90256278026905834</v>
      </c>
      <c r="DH50" t="s">
        <v>7064</v>
      </c>
      <c r="DI50">
        <v>-1.3983559012413025E-2</v>
      </c>
      <c r="DJ50">
        <v>0.45128139013452917</v>
      </c>
      <c r="DK50" t="s">
        <v>7065</v>
      </c>
      <c r="DL50">
        <v>-1.2235614135861396E-2</v>
      </c>
      <c r="DM50">
        <v>3122000000</v>
      </c>
      <c r="DN50">
        <v>-1.747944876551628E-2</v>
      </c>
      <c r="DO50">
        <v>28178010000</v>
      </c>
      <c r="DP50" t="e">
        <v>#VALUE!</v>
      </c>
      <c r="DQ50">
        <v>49</v>
      </c>
      <c r="DR50">
        <v>0.17763924538799675</v>
      </c>
      <c r="DS50">
        <v>15.193165204792022</v>
      </c>
      <c r="DT50">
        <v>-0.37333333333333335</v>
      </c>
      <c r="DU50">
        <v>-0.25000000000000011</v>
      </c>
      <c r="DV50">
        <v>-0.62333333333333352</v>
      </c>
      <c r="DW50">
        <v>-1.0542</v>
      </c>
      <c r="DX50">
        <v>0.5285649395973141</v>
      </c>
      <c r="DY50">
        <v>-1.0080522197261745</v>
      </c>
      <c r="DZ50">
        <v>0</v>
      </c>
      <c r="EA50">
        <v>-1.0080522197261745</v>
      </c>
      <c r="EB50">
        <v>1</v>
      </c>
      <c r="EC50">
        <v>1.3543456540431037E-2</v>
      </c>
      <c r="ED50">
        <v>9.1161866244923728E-2</v>
      </c>
      <c r="EE50">
        <v>0</v>
      </c>
      <c r="EF50">
        <v>0</v>
      </c>
      <c r="EG50">
        <v>38.148564939597314</v>
      </c>
      <c r="EH50" t="s">
        <v>110</v>
      </c>
      <c r="EI50">
        <v>0</v>
      </c>
      <c r="EJ50">
        <v>0</v>
      </c>
      <c r="EK50">
        <v>0</v>
      </c>
      <c r="EL50">
        <v>0</v>
      </c>
      <c r="EM50">
        <v>0</v>
      </c>
      <c r="EN50">
        <v>0</v>
      </c>
      <c r="EO50">
        <v>0</v>
      </c>
      <c r="EP50">
        <v>0</v>
      </c>
    </row>
    <row r="51" spans="1:146" ht="96" x14ac:dyDescent="0.25">
      <c r="A51" s="7"/>
      <c r="B51" s="7"/>
      <c r="C51" s="7" t="str">
        <f>""&amp;CHAR(10)&amp;Basic_Fundamental_Information_Constructure(F51)&amp;CHAR(10)&amp;Basic_Fundamental_Information_Concatenate("")</f>
        <v xml:space="preserve">
市值53.782678亿, 利润8.88亿; PE6.06; 平均PE101.07; 平均PEG113.76, PB.126; ROIC1.5467%; ROE2.83%; 股利率0%; 毛利45.1033%; 净利12.13%; 上一年度营收增-39.12%, 利润增-55.67%, 利润增-13.12%; 过往5年营收增-.89%, 利润增-285.48%
Income profile:
</v>
      </c>
      <c r="D51" s="11">
        <v>272</v>
      </c>
      <c r="E51" t="s">
        <v>1062</v>
      </c>
      <c r="F51">
        <v>0.67</v>
      </c>
      <c r="G51" s="5">
        <v>-1.47E-2</v>
      </c>
      <c r="H51" t="s">
        <v>7066</v>
      </c>
      <c r="I51">
        <v>5378267800</v>
      </c>
      <c r="J51">
        <v>6.06</v>
      </c>
      <c r="K51">
        <v>0.126</v>
      </c>
      <c r="L51" t="s">
        <v>6350</v>
      </c>
      <c r="M51" t="s">
        <v>9</v>
      </c>
      <c r="N51" t="s">
        <v>9</v>
      </c>
      <c r="O51" t="s">
        <v>9</v>
      </c>
      <c r="P51" t="s">
        <v>9</v>
      </c>
      <c r="Q51" t="s">
        <v>7067</v>
      </c>
      <c r="R51">
        <v>887922000</v>
      </c>
      <c r="S51" s="5">
        <v>-0.13120000000000001</v>
      </c>
      <c r="T51" t="s">
        <v>2904</v>
      </c>
      <c r="U51">
        <v>8027265300</v>
      </c>
      <c r="V51">
        <v>8027265300</v>
      </c>
      <c r="W51" t="s">
        <v>9</v>
      </c>
      <c r="X51" t="s">
        <v>9</v>
      </c>
      <c r="Y51" t="s">
        <v>9</v>
      </c>
      <c r="Z51" t="s">
        <v>9</v>
      </c>
      <c r="AA51" t="s">
        <v>9</v>
      </c>
      <c r="AB51" t="s">
        <v>9</v>
      </c>
      <c r="AC51" t="s">
        <v>9</v>
      </c>
      <c r="AD51" t="s">
        <v>9</v>
      </c>
      <c r="AE51" t="s">
        <v>9</v>
      </c>
      <c r="AF51" t="s">
        <v>9</v>
      </c>
      <c r="AG51" t="s">
        <v>9</v>
      </c>
      <c r="AH51" t="s">
        <v>7068</v>
      </c>
      <c r="AI51" t="s">
        <v>9</v>
      </c>
      <c r="AJ51" t="s">
        <v>9</v>
      </c>
      <c r="AK51" t="s">
        <v>7069</v>
      </c>
      <c r="AL51" t="s">
        <v>9</v>
      </c>
      <c r="AM51" t="s">
        <v>9</v>
      </c>
      <c r="AN51" s="5">
        <v>0.56289999999999996</v>
      </c>
      <c r="AO51" t="s">
        <v>9</v>
      </c>
      <c r="AP51" t="s">
        <v>7070</v>
      </c>
      <c r="AQ51" t="s">
        <v>9</v>
      </c>
      <c r="AR51" t="s">
        <v>7071</v>
      </c>
      <c r="AS51" t="s">
        <v>9</v>
      </c>
      <c r="AT51" t="s">
        <v>9</v>
      </c>
      <c r="AU51" t="s">
        <v>952</v>
      </c>
      <c r="AV51" t="s">
        <v>2380</v>
      </c>
      <c r="AW51" t="s">
        <v>9</v>
      </c>
      <c r="AX51" t="s">
        <v>1063</v>
      </c>
      <c r="AY51" t="s">
        <v>1066</v>
      </c>
      <c r="AZ51" t="s">
        <v>1067</v>
      </c>
      <c r="BA51" t="s">
        <v>1068</v>
      </c>
      <c r="BB51" t="s">
        <v>1069</v>
      </c>
      <c r="BC51" t="s">
        <v>1070</v>
      </c>
      <c r="BD51" t="s">
        <v>1071</v>
      </c>
      <c r="BE51" t="s">
        <v>1072</v>
      </c>
      <c r="BF51" t="s">
        <v>1073</v>
      </c>
      <c r="BG51" t="s">
        <v>1074</v>
      </c>
      <c r="BH51" t="s">
        <v>1063</v>
      </c>
      <c r="BI51" t="s">
        <v>9</v>
      </c>
      <c r="BJ51" t="s">
        <v>1066</v>
      </c>
      <c r="BK51" t="s">
        <v>1064</v>
      </c>
      <c r="BL51" t="s">
        <v>9</v>
      </c>
      <c r="BM51" t="s">
        <v>1070</v>
      </c>
      <c r="BN51">
        <v>1.1599999999999999</v>
      </c>
      <c r="BO51">
        <v>1.25</v>
      </c>
      <c r="BP51">
        <v>2.23</v>
      </c>
      <c r="BQ51">
        <v>2.08</v>
      </c>
      <c r="BR51">
        <v>2.31</v>
      </c>
      <c r="BS51">
        <v>4.0999999999999996</v>
      </c>
      <c r="BT51" t="s">
        <v>7072</v>
      </c>
      <c r="BU51" t="s">
        <v>410</v>
      </c>
      <c r="BV51">
        <v>51.73</v>
      </c>
      <c r="BW51">
        <v>42.72</v>
      </c>
      <c r="BX51">
        <v>40.86</v>
      </c>
      <c r="BY51">
        <v>14.33</v>
      </c>
      <c r="BZ51">
        <v>9.48</v>
      </c>
      <c r="CA51">
        <v>12.58</v>
      </c>
      <c r="CB51">
        <v>-1.47</v>
      </c>
      <c r="CC51">
        <v>-7.2</v>
      </c>
      <c r="CD51" t="s">
        <v>7073</v>
      </c>
      <c r="CE51" t="s">
        <v>6352</v>
      </c>
      <c r="CF51" s="8" t="s">
        <v>9</v>
      </c>
      <c r="CG51" s="9">
        <v>-0.13120000000000001</v>
      </c>
      <c r="CH51" s="8">
        <v>-0.3911953866481781</v>
      </c>
      <c r="CI51" s="8">
        <v>-0.18315041065216064</v>
      </c>
      <c r="CJ51" s="8">
        <v>2.9233436584472656</v>
      </c>
      <c r="CK51" s="8">
        <v>-0.80628621578216553</v>
      </c>
      <c r="CL51" s="8">
        <v>0.27860400080680847</v>
      </c>
      <c r="CM51" s="9">
        <v>-0.55666500329971313</v>
      </c>
      <c r="CN51" s="9">
        <v>3.2709753513336182</v>
      </c>
      <c r="CO51" s="9">
        <v>-1.408522367477417</v>
      </c>
      <c r="CP51" s="9">
        <v>-5.0690360367298126E-3</v>
      </c>
      <c r="CQ51" s="9">
        <v>8.4457673132419586E-2</v>
      </c>
      <c r="CR51">
        <v>101.06508551801417</v>
      </c>
      <c r="CS51">
        <v>113.76397108561798</v>
      </c>
      <c r="CT51">
        <v>0</v>
      </c>
      <c r="CU51" s="8">
        <v>-8.8837515562772747E-3</v>
      </c>
      <c r="CV51" s="9">
        <v>-2.8547794580459596</v>
      </c>
      <c r="CW51">
        <v>0.06</v>
      </c>
      <c r="CX51">
        <v>6.0566078828828829</v>
      </c>
      <c r="CY51" t="s">
        <v>7074</v>
      </c>
      <c r="CZ51">
        <v>-8.8837515562772747E-3</v>
      </c>
      <c r="DA51">
        <v>2.0188692942942943</v>
      </c>
      <c r="DB51" t="s">
        <v>7075</v>
      </c>
      <c r="DC51">
        <v>-8.4395639784634099E-3</v>
      </c>
      <c r="DD51">
        <v>1.0094346471471471</v>
      </c>
      <c r="DE51" t="s">
        <v>7076</v>
      </c>
      <c r="DF51">
        <v>-7.8177013695240015E-3</v>
      </c>
      <c r="DG51">
        <v>0.60566078828828829</v>
      </c>
      <c r="DH51" t="s">
        <v>7077</v>
      </c>
      <c r="DI51">
        <v>-7.1070012450218205E-3</v>
      </c>
      <c r="DJ51">
        <v>0.30283039414414414</v>
      </c>
      <c r="DK51" t="s">
        <v>7078</v>
      </c>
      <c r="DL51">
        <v>-6.2186260893940916E-3</v>
      </c>
      <c r="DM51">
        <v>888000000.00000012</v>
      </c>
      <c r="DN51">
        <v>-8.8837515562772747E-3</v>
      </c>
      <c r="DO51">
        <v>5378267800</v>
      </c>
      <c r="DP51" t="e">
        <v>#VALUE!</v>
      </c>
      <c r="DQ51">
        <v>50</v>
      </c>
      <c r="DR51" t="e">
        <v>#VALUE!</v>
      </c>
      <c r="DS51">
        <v>2.7235794580459594</v>
      </c>
      <c r="DT51" t="e">
        <v>#VALUE!</v>
      </c>
      <c r="DU51" t="e">
        <v>#VALUE!</v>
      </c>
      <c r="DV51" t="e">
        <v>#VALUE!</v>
      </c>
      <c r="DW51">
        <v>-2.0720000000000001</v>
      </c>
      <c r="DX51">
        <v>0.17208973214285755</v>
      </c>
      <c r="DY51">
        <v>-2.0080704607142859</v>
      </c>
      <c r="DZ51">
        <v>0</v>
      </c>
      <c r="EA51">
        <v>-2.0080704607142859</v>
      </c>
      <c r="EB51">
        <v>2</v>
      </c>
      <c r="EC51">
        <v>3.1278522711838115E-3</v>
      </c>
      <c r="ED51">
        <v>2.7904895581313358E-2</v>
      </c>
      <c r="EE51">
        <v>0</v>
      </c>
      <c r="EF51">
        <v>0</v>
      </c>
      <c r="EG51">
        <v>6.1120897321428576</v>
      </c>
      <c r="EH51" t="s">
        <v>110</v>
      </c>
      <c r="EI51">
        <v>0</v>
      </c>
      <c r="EJ51">
        <v>0</v>
      </c>
      <c r="EK51">
        <v>0</v>
      </c>
      <c r="EL51">
        <v>0</v>
      </c>
      <c r="EM51">
        <v>0</v>
      </c>
      <c r="EN51">
        <v>0</v>
      </c>
      <c r="EO51">
        <v>0</v>
      </c>
      <c r="EP51">
        <v>0</v>
      </c>
    </row>
    <row r="52" spans="1:146" ht="96" x14ac:dyDescent="0.25">
      <c r="A52" s="7"/>
      <c r="B52" s="7"/>
      <c r="C52" s="7" t="str">
        <f>""&amp;CHAR(10)&amp;Basic_Fundamental_Information_Constructure(F52)&amp;CHAR(10)&amp;Basic_Fundamental_Information_Concatenate("")</f>
        <v xml:space="preserve">
市值850.5847亿, 利润44.30亿; PE18.64; 平均PE77.76; 平均PEG4.15, PB2.63; ROIC9.3467%; ROE10.2133%; 股利率0%; 毛利6.9067%; 净利2.4767%; 上一年度营收增17.82%, 利润增56.65%; 当季营收增52.42%, 利润增25.52%; 过往5年营收增18.73%, 利润增28.78%
Income profile:
</v>
      </c>
      <c r="D52" s="11">
        <v>285</v>
      </c>
      <c r="E52" t="s">
        <v>1076</v>
      </c>
      <c r="F52">
        <v>37.75</v>
      </c>
      <c r="G52" s="5">
        <v>-2.5999999999999999E-3</v>
      </c>
      <c r="H52" t="s">
        <v>7079</v>
      </c>
      <c r="I52">
        <v>85058470000</v>
      </c>
      <c r="J52">
        <v>18.64</v>
      </c>
      <c r="K52">
        <v>2.63</v>
      </c>
      <c r="L52" t="s">
        <v>6350</v>
      </c>
      <c r="M52" t="s">
        <v>7080</v>
      </c>
      <c r="N52" t="s">
        <v>7081</v>
      </c>
      <c r="O52" t="s">
        <v>7082</v>
      </c>
      <c r="P52">
        <v>38.31</v>
      </c>
      <c r="Q52" t="s">
        <v>7083</v>
      </c>
      <c r="R52">
        <v>4430154200</v>
      </c>
      <c r="S52" s="5">
        <v>0.25519999999999998</v>
      </c>
      <c r="T52" t="s">
        <v>7084</v>
      </c>
      <c r="U52">
        <v>2253204500</v>
      </c>
      <c r="V52">
        <v>2253204500</v>
      </c>
      <c r="W52" t="s">
        <v>9</v>
      </c>
      <c r="X52">
        <v>0.44</v>
      </c>
      <c r="Y52" t="s">
        <v>9</v>
      </c>
      <c r="Z52" t="s">
        <v>7085</v>
      </c>
      <c r="AA52" t="s">
        <v>9</v>
      </c>
      <c r="AB52" t="s">
        <v>9</v>
      </c>
      <c r="AC52" t="s">
        <v>9</v>
      </c>
      <c r="AD52" t="s">
        <v>7086</v>
      </c>
      <c r="AE52" t="s">
        <v>9</v>
      </c>
      <c r="AF52" t="s">
        <v>9</v>
      </c>
      <c r="AG52" t="s">
        <v>9</v>
      </c>
      <c r="AH52" t="s">
        <v>17</v>
      </c>
      <c r="AI52" t="s">
        <v>9</v>
      </c>
      <c r="AJ52" t="s">
        <v>9</v>
      </c>
      <c r="AK52" t="s">
        <v>7087</v>
      </c>
      <c r="AL52" t="s">
        <v>9</v>
      </c>
      <c r="AM52" t="s">
        <v>9</v>
      </c>
      <c r="AN52" s="5">
        <v>0.61339999999999995</v>
      </c>
      <c r="AO52" t="s">
        <v>9</v>
      </c>
      <c r="AP52" t="s">
        <v>9</v>
      </c>
      <c r="AQ52" t="s">
        <v>9</v>
      </c>
      <c r="AR52" t="s">
        <v>9</v>
      </c>
      <c r="AS52" t="s">
        <v>9</v>
      </c>
      <c r="AT52" t="s">
        <v>9</v>
      </c>
      <c r="AU52" t="s">
        <v>7088</v>
      </c>
      <c r="AV52" t="s">
        <v>7089</v>
      </c>
      <c r="AW52" t="s">
        <v>9</v>
      </c>
      <c r="AX52" t="s">
        <v>1077</v>
      </c>
      <c r="AY52" t="s">
        <v>1082</v>
      </c>
      <c r="AZ52" t="s">
        <v>1083</v>
      </c>
      <c r="BA52" t="s">
        <v>1084</v>
      </c>
      <c r="BB52" t="s">
        <v>1085</v>
      </c>
      <c r="BC52" t="s">
        <v>1086</v>
      </c>
      <c r="BD52" t="s">
        <v>1087</v>
      </c>
      <c r="BE52" t="s">
        <v>1088</v>
      </c>
      <c r="BF52" t="s">
        <v>1089</v>
      </c>
      <c r="BG52" t="s">
        <v>1090</v>
      </c>
      <c r="BH52" t="s">
        <v>1077</v>
      </c>
      <c r="BI52" t="s">
        <v>1091</v>
      </c>
      <c r="BJ52" t="s">
        <v>1082</v>
      </c>
      <c r="BK52" t="s">
        <v>1078</v>
      </c>
      <c r="BL52" t="s">
        <v>1092</v>
      </c>
      <c r="BM52" t="s">
        <v>1086</v>
      </c>
      <c r="BN52">
        <v>11.29</v>
      </c>
      <c r="BO52">
        <v>7.19</v>
      </c>
      <c r="BP52">
        <v>9.56</v>
      </c>
      <c r="BQ52">
        <v>13.78</v>
      </c>
      <c r="BR52">
        <v>7.25</v>
      </c>
      <c r="BS52">
        <v>9.61</v>
      </c>
      <c r="BT52" t="s">
        <v>6710</v>
      </c>
      <c r="BU52" t="s">
        <v>1093</v>
      </c>
      <c r="BV52">
        <v>8.0299999999999994</v>
      </c>
      <c r="BW52">
        <v>5.92</v>
      </c>
      <c r="BX52">
        <v>6.77</v>
      </c>
      <c r="BY52">
        <v>3.11</v>
      </c>
      <c r="BZ52">
        <v>1.73</v>
      </c>
      <c r="CA52">
        <v>2.59</v>
      </c>
      <c r="CB52">
        <v>-4.43</v>
      </c>
      <c r="CC52">
        <v>13.5</v>
      </c>
      <c r="CD52" t="s">
        <v>7090</v>
      </c>
      <c r="CE52" t="s">
        <v>25</v>
      </c>
      <c r="CF52" s="8">
        <v>0.52423009877977944</v>
      </c>
      <c r="CG52" s="9">
        <v>0.25519999999999998</v>
      </c>
      <c r="CH52" s="8">
        <v>0.17815521359443665</v>
      </c>
      <c r="CI52" s="8">
        <v>0.10882160812616348</v>
      </c>
      <c r="CJ52" s="8">
        <v>0.25124785304069519</v>
      </c>
      <c r="CK52" s="8">
        <v>0.86479377746582031</v>
      </c>
      <c r="CL52" s="8">
        <v>5.3563350811600685E-3</v>
      </c>
      <c r="CM52" s="9">
        <v>0.56647813320159912</v>
      </c>
      <c r="CN52" s="9">
        <v>-0.5639839768409729</v>
      </c>
      <c r="CO52" s="9">
        <v>2.6336133480072021</v>
      </c>
      <c r="CP52" s="9">
        <v>-0.28370782732963562</v>
      </c>
      <c r="CQ52" s="9">
        <v>-0.19586965441703796</v>
      </c>
      <c r="CR52">
        <v>77.761819289958865</v>
      </c>
      <c r="CS52">
        <v>4.1519546219746131</v>
      </c>
      <c r="CT52">
        <v>0</v>
      </c>
      <c r="CU52" s="8">
        <v>0.18728966563940047</v>
      </c>
      <c r="CV52" s="9">
        <v>0.28776316232979299</v>
      </c>
      <c r="CW52">
        <v>0.06</v>
      </c>
      <c r="CX52">
        <v>20.959693581808843</v>
      </c>
      <c r="CY52">
        <v>4961974734.7005138</v>
      </c>
      <c r="CZ52">
        <v>0.18728966563940047</v>
      </c>
      <c r="DA52">
        <v>6.3136641310446162</v>
      </c>
      <c r="DB52">
        <v>16472442600.901011</v>
      </c>
      <c r="DC52">
        <v>0.17792518235743043</v>
      </c>
      <c r="DD52">
        <v>2.7767702572257087</v>
      </c>
      <c r="DE52">
        <v>37454114084.291809</v>
      </c>
      <c r="DF52">
        <v>0.16481490576267241</v>
      </c>
      <c r="DG52">
        <v>1.4606296787326754</v>
      </c>
      <c r="DH52">
        <v>71203174572.104782</v>
      </c>
      <c r="DI52">
        <v>0.14983173251152038</v>
      </c>
      <c r="DJ52">
        <v>0.5540248730900541</v>
      </c>
      <c r="DK52">
        <v>187719857088.60956</v>
      </c>
      <c r="DL52">
        <v>0.13110276594758033</v>
      </c>
      <c r="DM52">
        <v>4430000000</v>
      </c>
      <c r="DN52">
        <v>0.18728966563940047</v>
      </c>
      <c r="DO52">
        <v>104001470000</v>
      </c>
      <c r="DP52" t="e">
        <v>#VALUE!</v>
      </c>
      <c r="DQ52">
        <v>51</v>
      </c>
      <c r="DR52">
        <v>0.33694043314037897</v>
      </c>
      <c r="DS52">
        <v>-3.2563162329793005E-2</v>
      </c>
      <c r="DT52">
        <v>-5.6666666666666719E-2</v>
      </c>
      <c r="DU52">
        <v>0.58666666666666667</v>
      </c>
      <c r="DV52">
        <v>0.52999999999999992</v>
      </c>
      <c r="DW52">
        <v>-6.2470719464584494</v>
      </c>
      <c r="DX52">
        <v>0.46970059880239207</v>
      </c>
      <c r="DY52">
        <v>-6.0345160988675186</v>
      </c>
      <c r="DZ52">
        <v>0</v>
      </c>
      <c r="EA52">
        <v>-6.0345160988675186</v>
      </c>
      <c r="EB52">
        <v>6</v>
      </c>
      <c r="EC52">
        <v>2.0708284578696695E-2</v>
      </c>
      <c r="ED52">
        <v>0.14823332724570717</v>
      </c>
      <c r="EE52">
        <v>0</v>
      </c>
      <c r="EF52">
        <v>0</v>
      </c>
      <c r="EG52">
        <v>33.139700598802392</v>
      </c>
      <c r="EH52" t="s">
        <v>110</v>
      </c>
      <c r="EI52">
        <v>0</v>
      </c>
      <c r="EJ52">
        <v>0</v>
      </c>
      <c r="EK52">
        <v>0</v>
      </c>
      <c r="EL52">
        <v>0</v>
      </c>
      <c r="EM52">
        <v>0</v>
      </c>
      <c r="EN52">
        <v>0</v>
      </c>
      <c r="EO52">
        <v>0</v>
      </c>
      <c r="EP52">
        <v>0</v>
      </c>
    </row>
    <row r="53" spans="1:146" ht="108" x14ac:dyDescent="0.25">
      <c r="A53" s="7"/>
      <c r="B53" s="7"/>
      <c r="C53" s="7" t="str">
        <f>""&amp;CHAR(10)&amp;Basic_Fundamental_Information_Constructure(F53)&amp;CHAR(10)&amp;Basic_Fundamental_Information_Concatenate("")</f>
        <v xml:space="preserve">
市值651.77515亿, 利润49.13亿; PE9.27; 平均PE77.52; 平均PEG12.29, PB.852; ROIC7.9567%; ROE10.96%; 股利率0%; 毛利18.7467%; 净利4.6333%; 上一年度营收增-6.72%, 利润增-41.01%; 当季营收增-5.78%, 利润增138.9%; 过往5年营收增6.31%, 利润增-671.49%
Income profile:
</v>
      </c>
      <c r="D53" s="11">
        <v>288</v>
      </c>
      <c r="E53" t="s">
        <v>1094</v>
      </c>
      <c r="F53">
        <v>5.08</v>
      </c>
      <c r="G53" s="5">
        <v>-1.3599999999999999E-2</v>
      </c>
      <c r="H53" t="s">
        <v>7091</v>
      </c>
      <c r="I53">
        <v>65177515000</v>
      </c>
      <c r="J53">
        <v>9.27</v>
      </c>
      <c r="K53">
        <v>0.85199999999999998</v>
      </c>
      <c r="L53" t="s">
        <v>6350</v>
      </c>
      <c r="M53" t="s">
        <v>9</v>
      </c>
      <c r="N53" t="s">
        <v>9</v>
      </c>
      <c r="O53" t="s">
        <v>7092</v>
      </c>
      <c r="P53">
        <v>-8.33</v>
      </c>
      <c r="Q53" t="s">
        <v>7093</v>
      </c>
      <c r="R53">
        <v>4913119000</v>
      </c>
      <c r="S53" s="5">
        <v>1.389</v>
      </c>
      <c r="T53" t="s">
        <v>6194</v>
      </c>
      <c r="U53">
        <v>12830219600</v>
      </c>
      <c r="V53">
        <v>12830219600</v>
      </c>
      <c r="W53">
        <v>2.0299999999999998</v>
      </c>
      <c r="X53">
        <v>0.32</v>
      </c>
      <c r="Y53" t="s">
        <v>9</v>
      </c>
      <c r="Z53" t="s">
        <v>9</v>
      </c>
      <c r="AA53" t="s">
        <v>9</v>
      </c>
      <c r="AB53" t="s">
        <v>9</v>
      </c>
      <c r="AC53" t="s">
        <v>9</v>
      </c>
      <c r="AD53" t="s">
        <v>2355</v>
      </c>
      <c r="AE53" t="s">
        <v>9</v>
      </c>
      <c r="AF53" t="s">
        <v>9</v>
      </c>
      <c r="AG53" t="s">
        <v>9</v>
      </c>
      <c r="AH53" t="s">
        <v>17</v>
      </c>
      <c r="AI53" t="s">
        <v>9</v>
      </c>
      <c r="AJ53" t="s">
        <v>9</v>
      </c>
      <c r="AK53" t="s">
        <v>7094</v>
      </c>
      <c r="AL53" t="s">
        <v>9</v>
      </c>
      <c r="AM53" t="s">
        <v>9</v>
      </c>
      <c r="AN53" s="5">
        <v>0</v>
      </c>
      <c r="AO53" t="s">
        <v>9</v>
      </c>
      <c r="AP53" t="s">
        <v>4133</v>
      </c>
      <c r="AQ53" t="s">
        <v>9</v>
      </c>
      <c r="AR53" t="s">
        <v>7095</v>
      </c>
      <c r="AS53" t="s">
        <v>9</v>
      </c>
      <c r="AT53" t="s">
        <v>9</v>
      </c>
      <c r="AU53" t="s">
        <v>7096</v>
      </c>
      <c r="AV53" t="s">
        <v>3149</v>
      </c>
      <c r="AW53" t="s">
        <v>9</v>
      </c>
      <c r="AX53" t="s">
        <v>1095</v>
      </c>
      <c r="AY53" t="s">
        <v>1097</v>
      </c>
      <c r="AZ53" t="s">
        <v>1098</v>
      </c>
      <c r="BA53" t="s">
        <v>1099</v>
      </c>
      <c r="BB53" t="s">
        <v>1100</v>
      </c>
      <c r="BC53" t="s">
        <v>1101</v>
      </c>
      <c r="BD53" t="s">
        <v>1102</v>
      </c>
      <c r="BE53" t="s">
        <v>1103</v>
      </c>
      <c r="BF53" t="s">
        <v>1104</v>
      </c>
      <c r="BG53" t="s">
        <v>1105</v>
      </c>
      <c r="BH53" t="s">
        <v>1095</v>
      </c>
      <c r="BI53" t="s">
        <v>1106</v>
      </c>
      <c r="BJ53" t="s">
        <v>1097</v>
      </c>
      <c r="BK53" t="s">
        <v>1096</v>
      </c>
      <c r="BL53" t="s">
        <v>1107</v>
      </c>
      <c r="BM53" t="s">
        <v>1101</v>
      </c>
      <c r="BN53">
        <v>4.83</v>
      </c>
      <c r="BO53">
        <v>10.65</v>
      </c>
      <c r="BP53">
        <v>8.39</v>
      </c>
      <c r="BQ53">
        <v>6.4</v>
      </c>
      <c r="BR53">
        <v>14.27</v>
      </c>
      <c r="BS53">
        <v>12.21</v>
      </c>
      <c r="BT53" t="s">
        <v>5645</v>
      </c>
      <c r="BU53" t="s">
        <v>759</v>
      </c>
      <c r="BV53">
        <v>19.53</v>
      </c>
      <c r="BW53">
        <v>18.399999999999999</v>
      </c>
      <c r="BX53">
        <v>18.309999999999999</v>
      </c>
      <c r="BY53">
        <v>3.28</v>
      </c>
      <c r="BZ53">
        <v>5.86</v>
      </c>
      <c r="CA53">
        <v>4.76</v>
      </c>
      <c r="CB53">
        <v>-2.31</v>
      </c>
      <c r="CC53">
        <v>-10.72</v>
      </c>
      <c r="CD53" t="s">
        <v>70</v>
      </c>
      <c r="CE53" t="s">
        <v>1516</v>
      </c>
      <c r="CF53" s="8">
        <v>-5.7780721577183961E-2</v>
      </c>
      <c r="CG53" s="9">
        <v>1.389</v>
      </c>
      <c r="CH53" s="8">
        <v>-6.7173086106777191E-2</v>
      </c>
      <c r="CI53" s="8">
        <v>3.2208655029535294E-2</v>
      </c>
      <c r="CJ53" s="8">
        <v>7.2780102491378784E-2</v>
      </c>
      <c r="CK53" s="8">
        <v>0.12030176818370819</v>
      </c>
      <c r="CL53" s="8">
        <v>1.268371008336544E-2</v>
      </c>
      <c r="CM53" s="9">
        <v>-0.41006246209144592</v>
      </c>
      <c r="CN53" s="9">
        <v>0.29739838838577271</v>
      </c>
      <c r="CO53" s="9">
        <v>-0.43732470273971558</v>
      </c>
      <c r="CP53" s="9">
        <v>0.54433470964431763</v>
      </c>
      <c r="CQ53" s="9">
        <v>-0.16559362411499023</v>
      </c>
      <c r="CR53">
        <v>77.521014262820657</v>
      </c>
      <c r="CS53">
        <v>12.289435546373564</v>
      </c>
      <c r="CT53">
        <v>0</v>
      </c>
      <c r="CU53" s="8">
        <v>6.3079393655061725E-2</v>
      </c>
      <c r="CV53" s="9">
        <v>-6.7148869499564174</v>
      </c>
      <c r="CW53">
        <v>0.06</v>
      </c>
      <c r="CX53">
        <v>13.227909024020175</v>
      </c>
      <c r="CY53">
        <v>4927272699.0823755</v>
      </c>
      <c r="CZ53">
        <v>6.3079393655061725E-2</v>
      </c>
      <c r="DA53">
        <v>4.4227347143648066</v>
      </c>
      <c r="DB53">
        <v>14736926180.154306</v>
      </c>
      <c r="DC53">
        <v>5.9925423972308635E-2</v>
      </c>
      <c r="DD53">
        <v>2.2440930416148905</v>
      </c>
      <c r="DE53">
        <v>29044034178.323135</v>
      </c>
      <c r="DF53">
        <v>5.550986641645432E-2</v>
      </c>
      <c r="DG53">
        <v>1.3937716768840249</v>
      </c>
      <c r="DH53">
        <v>46763409015.25106</v>
      </c>
      <c r="DI53">
        <v>5.046351492404938E-2</v>
      </c>
      <c r="DJ53">
        <v>0.77403659578207462</v>
      </c>
      <c r="DK53">
        <v>84204694397.098434</v>
      </c>
      <c r="DL53">
        <v>4.4155575558543207E-2</v>
      </c>
      <c r="DM53">
        <v>4913000000</v>
      </c>
      <c r="DN53">
        <v>6.3079393655061725E-2</v>
      </c>
      <c r="DO53">
        <v>65177515000</v>
      </c>
      <c r="DP53" t="e">
        <v>#VALUE!</v>
      </c>
      <c r="DQ53">
        <v>52</v>
      </c>
      <c r="DR53">
        <v>-0.12086011523224569</v>
      </c>
      <c r="DS53">
        <v>8.1038869499564168</v>
      </c>
      <c r="DT53">
        <v>-0.54</v>
      </c>
      <c r="DU53">
        <v>-0.70000000000000018</v>
      </c>
      <c r="DV53">
        <v>-1.2400000000000002</v>
      </c>
      <c r="DW53">
        <v>-2.1072000000000002</v>
      </c>
      <c r="DX53">
        <v>0.3813344316309708</v>
      </c>
      <c r="DY53">
        <v>-2.01836705107084</v>
      </c>
      <c r="DZ53">
        <v>0</v>
      </c>
      <c r="EA53">
        <v>-2.01836705107084</v>
      </c>
      <c r="EB53">
        <v>2</v>
      </c>
      <c r="EC53">
        <v>8.1058628178117854E-3</v>
      </c>
      <c r="ED53">
        <v>4.7310180100113015E-2</v>
      </c>
      <c r="EE53">
        <v>0</v>
      </c>
      <c r="EF53">
        <v>0</v>
      </c>
      <c r="EG53">
        <v>21.171334431630971</v>
      </c>
      <c r="EH53" t="s">
        <v>110</v>
      </c>
      <c r="EI53">
        <v>0</v>
      </c>
      <c r="EJ53">
        <v>0</v>
      </c>
      <c r="EK53">
        <v>0</v>
      </c>
      <c r="EL53">
        <v>0</v>
      </c>
      <c r="EM53">
        <v>0</v>
      </c>
      <c r="EN53">
        <v>0</v>
      </c>
      <c r="EO53">
        <v>0</v>
      </c>
      <c r="EP53">
        <v>0</v>
      </c>
    </row>
    <row r="54" spans="1:146" ht="96" x14ac:dyDescent="0.25">
      <c r="A54" s="7"/>
      <c r="B54" s="7"/>
      <c r="C54" s="7" t="str">
        <f>""&amp;CHAR(10)&amp;Basic_Fundamental_Information_Constructure(F54)&amp;CHAR(10)&amp;Basic_Fundamental_Information_Concatenate("")</f>
        <v xml:space="preserve">
市值882.41612亿, 利润56.49亿; PE15.62; 平均PE40.61; 平均PEG1.81, PB2.66; ROIC17.6167%; ROE17.2833%; 毛利39.66%; 净利13.16%; 上一年度营收增7.28%, 利润增.57%, 利润增15.27%; 过往5年营收增22.41%, 利润增17.41%
Income profile:
</v>
      </c>
      <c r="D54" s="11">
        <v>291</v>
      </c>
      <c r="E54" t="s">
        <v>1109</v>
      </c>
      <c r="F54">
        <v>27.2</v>
      </c>
      <c r="G54" s="5">
        <v>-3.3700000000000001E-2</v>
      </c>
      <c r="H54" t="s">
        <v>7097</v>
      </c>
      <c r="I54">
        <v>88241612000</v>
      </c>
      <c r="J54">
        <v>15.62</v>
      </c>
      <c r="K54">
        <v>2.66</v>
      </c>
      <c r="L54" t="s">
        <v>6350</v>
      </c>
      <c r="M54" t="s">
        <v>9</v>
      </c>
      <c r="N54" t="s">
        <v>9</v>
      </c>
      <c r="O54" t="s">
        <v>9</v>
      </c>
      <c r="P54" t="s">
        <v>9</v>
      </c>
      <c r="Q54" t="s">
        <v>7098</v>
      </c>
      <c r="R54">
        <v>5648718600</v>
      </c>
      <c r="S54" s="5">
        <v>0.1527</v>
      </c>
      <c r="T54" t="s">
        <v>425</v>
      </c>
      <c r="U54">
        <v>3244176900</v>
      </c>
      <c r="V54">
        <v>3244176900</v>
      </c>
      <c r="W54" t="s">
        <v>9</v>
      </c>
      <c r="X54" t="s">
        <v>9</v>
      </c>
      <c r="Y54" t="s">
        <v>9</v>
      </c>
      <c r="Z54" t="s">
        <v>9</v>
      </c>
      <c r="AA54" t="s">
        <v>9</v>
      </c>
      <c r="AB54" t="s">
        <v>9</v>
      </c>
      <c r="AC54" t="s">
        <v>9</v>
      </c>
      <c r="AD54" t="s">
        <v>9</v>
      </c>
      <c r="AE54" t="s">
        <v>9</v>
      </c>
      <c r="AF54" t="s">
        <v>9</v>
      </c>
      <c r="AG54" t="s">
        <v>9</v>
      </c>
      <c r="AH54" t="s">
        <v>7099</v>
      </c>
      <c r="AI54" t="s">
        <v>9</v>
      </c>
      <c r="AJ54" t="s">
        <v>9</v>
      </c>
      <c r="AK54" t="s">
        <v>7100</v>
      </c>
      <c r="AL54" t="s">
        <v>9</v>
      </c>
      <c r="AM54" t="s">
        <v>9</v>
      </c>
      <c r="AN54" s="5">
        <v>0.5222</v>
      </c>
      <c r="AO54" t="s">
        <v>9</v>
      </c>
      <c r="AP54" t="s">
        <v>7101</v>
      </c>
      <c r="AQ54" t="s">
        <v>9</v>
      </c>
      <c r="AR54" t="s">
        <v>7102</v>
      </c>
      <c r="AS54" t="s">
        <v>9</v>
      </c>
      <c r="AT54" t="s">
        <v>9</v>
      </c>
      <c r="AU54" t="s">
        <v>1744</v>
      </c>
      <c r="AV54" t="s">
        <v>7103</v>
      </c>
      <c r="AW54" t="s">
        <v>9</v>
      </c>
      <c r="AX54" t="s">
        <v>1110</v>
      </c>
      <c r="AY54" t="s">
        <v>800</v>
      </c>
      <c r="AZ54" t="s">
        <v>1112</v>
      </c>
      <c r="BA54" t="s">
        <v>1113</v>
      </c>
      <c r="BB54" t="s">
        <v>1114</v>
      </c>
      <c r="BC54" t="s">
        <v>1115</v>
      </c>
      <c r="BD54" t="s">
        <v>1116</v>
      </c>
      <c r="BE54" t="s">
        <v>1117</v>
      </c>
      <c r="BF54" t="s">
        <v>1118</v>
      </c>
      <c r="BG54" t="s">
        <v>652</v>
      </c>
      <c r="BH54" t="s">
        <v>1110</v>
      </c>
      <c r="BI54" t="s">
        <v>9</v>
      </c>
      <c r="BJ54" t="s">
        <v>800</v>
      </c>
      <c r="BK54" t="s">
        <v>1111</v>
      </c>
      <c r="BL54" t="s">
        <v>9</v>
      </c>
      <c r="BM54" t="s">
        <v>1115</v>
      </c>
      <c r="BN54">
        <v>16.22</v>
      </c>
      <c r="BO54">
        <v>16.53</v>
      </c>
      <c r="BP54">
        <v>20.100000000000001</v>
      </c>
      <c r="BQ54">
        <v>17.010000000000002</v>
      </c>
      <c r="BR54">
        <v>16.07</v>
      </c>
      <c r="BS54">
        <v>18.77</v>
      </c>
      <c r="BT54" t="s">
        <v>7104</v>
      </c>
      <c r="BU54" t="s">
        <v>759</v>
      </c>
      <c r="BV54">
        <v>41.36</v>
      </c>
      <c r="BW54">
        <v>38.46</v>
      </c>
      <c r="BX54">
        <v>39.159999999999997</v>
      </c>
      <c r="BY54">
        <v>13.39</v>
      </c>
      <c r="BZ54">
        <v>12.34</v>
      </c>
      <c r="CA54">
        <v>13.75</v>
      </c>
      <c r="CB54">
        <v>-3.03</v>
      </c>
      <c r="CC54">
        <v>-27.95</v>
      </c>
      <c r="CD54" t="s">
        <v>7105</v>
      </c>
      <c r="CE54" t="s">
        <v>152</v>
      </c>
      <c r="CF54" s="8" t="s">
        <v>9</v>
      </c>
      <c r="CG54" s="9">
        <v>0.1527</v>
      </c>
      <c r="CH54" s="8">
        <v>7.2825498878955841E-2</v>
      </c>
      <c r="CI54" s="8">
        <v>-2.6955632492899895E-2</v>
      </c>
      <c r="CJ54" s="8">
        <v>9.0681113302707672E-2</v>
      </c>
      <c r="CK54" s="8">
        <v>3.3044915646314621E-2</v>
      </c>
      <c r="CL54" s="8">
        <v>1.7898138612508774E-2</v>
      </c>
      <c r="CM54" s="9">
        <v>5.6969914585351944E-3</v>
      </c>
      <c r="CN54" s="9">
        <v>1.2504006624221802</v>
      </c>
      <c r="CO54" s="9">
        <v>0.70259207487106323</v>
      </c>
      <c r="CP54" s="9">
        <v>0.3183453381061554</v>
      </c>
      <c r="CQ54" s="9">
        <v>-0.21078775823116302</v>
      </c>
      <c r="CR54">
        <v>40.608196962724342</v>
      </c>
      <c r="CS54">
        <v>1.8120232992291296</v>
      </c>
      <c r="CT54" t="e">
        <v>#VALUE!</v>
      </c>
      <c r="CU54" s="8">
        <v>0.22410416565835475</v>
      </c>
      <c r="CV54" s="9">
        <v>0.17412328757345677</v>
      </c>
      <c r="CW54">
        <v>0.06</v>
      </c>
      <c r="CX54">
        <v>13.526621813092589</v>
      </c>
      <c r="CY54">
        <v>6523551350.7585335</v>
      </c>
      <c r="CZ54">
        <v>0.22410416565835475</v>
      </c>
      <c r="DA54">
        <v>3.9529261110867133</v>
      </c>
      <c r="DB54">
        <v>22323111922.712154</v>
      </c>
      <c r="DC54">
        <v>0.21289895737543701</v>
      </c>
      <c r="DD54">
        <v>1.6641055989412397</v>
      </c>
      <c r="DE54">
        <v>53026449797.502213</v>
      </c>
      <c r="DF54">
        <v>0.19721166577935217</v>
      </c>
      <c r="DG54">
        <v>0.82947602487718719</v>
      </c>
      <c r="DH54">
        <v>106382353863.77216</v>
      </c>
      <c r="DI54">
        <v>0.17928333252668383</v>
      </c>
      <c r="DJ54">
        <v>0.27543061896383714</v>
      </c>
      <c r="DK54">
        <v>320376914999.36597</v>
      </c>
      <c r="DL54">
        <v>0.15687291596084832</v>
      </c>
      <c r="DM54">
        <v>5649000000</v>
      </c>
      <c r="DN54">
        <v>0.22410416565835475</v>
      </c>
      <c r="DO54">
        <v>88241612000</v>
      </c>
      <c r="DP54" t="e">
        <v>#VALUE!</v>
      </c>
      <c r="DQ54">
        <v>53</v>
      </c>
      <c r="DR54" t="e">
        <v>#VALUE!</v>
      </c>
      <c r="DS54">
        <v>-2.1423287573456767E-2</v>
      </c>
      <c r="DT54" t="e">
        <v>#VALUE!</v>
      </c>
      <c r="DU54" t="e">
        <v>#VALUE!</v>
      </c>
      <c r="DV54" t="e">
        <v>#VALUE!</v>
      </c>
      <c r="DW54">
        <v>-8.108407871198569</v>
      </c>
      <c r="DX54">
        <v>0.33458475935828946</v>
      </c>
      <c r="DY54">
        <v>-8.0189263621057467</v>
      </c>
      <c r="DZ54">
        <v>0</v>
      </c>
      <c r="EA54">
        <v>-8.0189263621057467</v>
      </c>
      <c r="EB54">
        <v>8</v>
      </c>
      <c r="EC54">
        <v>2.0126738464847586E-2</v>
      </c>
      <c r="ED54">
        <v>0.11528347914689856</v>
      </c>
      <c r="EE54">
        <v>0</v>
      </c>
      <c r="EF54">
        <v>0</v>
      </c>
      <c r="EG54">
        <v>16.174584759358289</v>
      </c>
      <c r="EH54" t="s">
        <v>110</v>
      </c>
      <c r="EI54">
        <v>0</v>
      </c>
      <c r="EJ54">
        <v>0</v>
      </c>
      <c r="EK54">
        <v>0</v>
      </c>
      <c r="EL54">
        <v>0</v>
      </c>
      <c r="EM54">
        <v>0</v>
      </c>
      <c r="EN54">
        <v>0</v>
      </c>
      <c r="EO54">
        <v>0</v>
      </c>
      <c r="EP54">
        <v>0</v>
      </c>
    </row>
    <row r="55" spans="1:146" ht="96" x14ac:dyDescent="0.25">
      <c r="A55" s="7"/>
      <c r="B55" s="7"/>
      <c r="C55" s="7" t="str">
        <f>""&amp;CHAR(10)&amp;Basic_Fundamental_Information_Constructure(F55)&amp;CHAR(10)&amp;Basic_Fundamental_Information_Concatenate("")</f>
        <v xml:space="preserve">
市值515.05173亿, 利润90.67亿; PE5.68; 平均PE32.35; 平均PEG2.84, PB.858; ROIC-3.41%; ROE-1.5267%; 股利率0%; 毛利100%; 净利-4.8633%; 上一年度营收增85.13%, 利润增248.08%, 利润增225.3%; 过往5年营收增11.37%, 利润增2.63%
Income profile:
</v>
      </c>
      <c r="D55" s="11">
        <v>293</v>
      </c>
      <c r="E55" t="s">
        <v>1120</v>
      </c>
      <c r="F55">
        <v>8</v>
      </c>
      <c r="G55" s="5">
        <v>-7.4000000000000003E-3</v>
      </c>
      <c r="H55" t="s">
        <v>7106</v>
      </c>
      <c r="I55">
        <v>51505173000</v>
      </c>
      <c r="J55">
        <v>5.68</v>
      </c>
      <c r="K55">
        <v>0.85799999999999998</v>
      </c>
      <c r="L55" t="s">
        <v>6350</v>
      </c>
      <c r="M55" t="s">
        <v>9</v>
      </c>
      <c r="N55" t="s">
        <v>9</v>
      </c>
      <c r="O55" t="s">
        <v>9</v>
      </c>
      <c r="P55" t="s">
        <v>9</v>
      </c>
      <c r="Q55" t="s">
        <v>7107</v>
      </c>
      <c r="R55">
        <v>9067000000</v>
      </c>
      <c r="S55" s="5">
        <v>2.2530000000000001</v>
      </c>
      <c r="T55" t="s">
        <v>3437</v>
      </c>
      <c r="U55">
        <v>6437900300</v>
      </c>
      <c r="V55">
        <v>6437900300</v>
      </c>
      <c r="W55" t="s">
        <v>9</v>
      </c>
      <c r="X55" t="s">
        <v>9</v>
      </c>
      <c r="Y55" t="s">
        <v>9</v>
      </c>
      <c r="Z55" t="s">
        <v>9</v>
      </c>
      <c r="AA55" t="s">
        <v>9</v>
      </c>
      <c r="AB55" t="s">
        <v>9</v>
      </c>
      <c r="AC55" t="s">
        <v>9</v>
      </c>
      <c r="AD55" t="s">
        <v>9</v>
      </c>
      <c r="AE55" t="s">
        <v>9</v>
      </c>
      <c r="AF55" t="s">
        <v>9</v>
      </c>
      <c r="AG55" t="s">
        <v>9</v>
      </c>
      <c r="AH55" t="s">
        <v>7108</v>
      </c>
      <c r="AI55" t="s">
        <v>9</v>
      </c>
      <c r="AJ55" t="s">
        <v>9</v>
      </c>
      <c r="AK55" t="s">
        <v>7109</v>
      </c>
      <c r="AL55" t="s">
        <v>9</v>
      </c>
      <c r="AM55" t="s">
        <v>9</v>
      </c>
      <c r="AN55" s="5">
        <v>0.6552</v>
      </c>
      <c r="AO55" t="s">
        <v>9</v>
      </c>
      <c r="AP55" t="s">
        <v>7110</v>
      </c>
      <c r="AQ55" t="s">
        <v>9</v>
      </c>
      <c r="AR55" t="s">
        <v>7111</v>
      </c>
      <c r="AS55" t="s">
        <v>9</v>
      </c>
      <c r="AT55" t="s">
        <v>9</v>
      </c>
      <c r="AU55" t="s">
        <v>7112</v>
      </c>
      <c r="AV55" t="s">
        <v>7113</v>
      </c>
      <c r="AW55" t="s">
        <v>9</v>
      </c>
      <c r="AX55" t="s">
        <v>1121</v>
      </c>
      <c r="AY55" t="s">
        <v>1123</v>
      </c>
      <c r="AZ55" t="s">
        <v>1124</v>
      </c>
      <c r="BA55" t="s">
        <v>1125</v>
      </c>
      <c r="BB55" t="s">
        <v>1126</v>
      </c>
      <c r="BC55" t="s">
        <v>1127</v>
      </c>
      <c r="BD55" t="s">
        <v>1128</v>
      </c>
      <c r="BE55" t="s">
        <v>1129</v>
      </c>
      <c r="BF55" t="s">
        <v>1130</v>
      </c>
      <c r="BG55" t="s">
        <v>1131</v>
      </c>
      <c r="BH55" t="s">
        <v>1121</v>
      </c>
      <c r="BI55" t="s">
        <v>9</v>
      </c>
      <c r="BJ55" t="s">
        <v>1123</v>
      </c>
      <c r="BK55" t="s">
        <v>1122</v>
      </c>
      <c r="BL55" t="s">
        <v>9</v>
      </c>
      <c r="BM55" t="s">
        <v>1127</v>
      </c>
      <c r="BN55">
        <v>8.7100000000000009</v>
      </c>
      <c r="BO55">
        <v>-10.52</v>
      </c>
      <c r="BP55">
        <v>-8.42</v>
      </c>
      <c r="BQ55">
        <v>15.11</v>
      </c>
      <c r="BR55">
        <v>-11.21</v>
      </c>
      <c r="BS55">
        <v>-8.48</v>
      </c>
      <c r="BT55" t="s">
        <v>7114</v>
      </c>
      <c r="BU55" t="s">
        <v>567</v>
      </c>
      <c r="BV55">
        <v>100</v>
      </c>
      <c r="BW55">
        <v>100</v>
      </c>
      <c r="BX55">
        <v>100</v>
      </c>
      <c r="BY55">
        <v>10.36</v>
      </c>
      <c r="BZ55">
        <v>-12.83</v>
      </c>
      <c r="CA55">
        <v>-12.12</v>
      </c>
      <c r="CB55">
        <v>-3.85</v>
      </c>
      <c r="CC55">
        <v>-8.7799999999999994</v>
      </c>
      <c r="CD55" t="s">
        <v>7115</v>
      </c>
      <c r="CE55" t="s">
        <v>2854</v>
      </c>
      <c r="CF55" s="8" t="s">
        <v>9</v>
      </c>
      <c r="CG55" s="9">
        <v>2.2530000000000001</v>
      </c>
      <c r="CH55" s="8">
        <v>0.85134011507034302</v>
      </c>
      <c r="CI55" s="8">
        <v>0.11952966451644897</v>
      </c>
      <c r="CJ55" s="8">
        <v>-2.8699839487671852E-2</v>
      </c>
      <c r="CK55" s="8">
        <v>-0.5773996114730835</v>
      </c>
      <c r="CL55" s="8">
        <v>0.14160604774951935</v>
      </c>
      <c r="CM55" s="9">
        <v>2.4808101654052734</v>
      </c>
      <c r="CN55" s="9">
        <v>0.72010421752929688</v>
      </c>
      <c r="CO55" s="9">
        <v>-13.936724662780762</v>
      </c>
      <c r="CP55" s="9">
        <v>-0.27889120578765869</v>
      </c>
      <c r="CQ55" s="9">
        <v>2.8625891208648682</v>
      </c>
      <c r="CR55">
        <v>32.349653493591724</v>
      </c>
      <c r="CS55">
        <v>2.8444124248999203</v>
      </c>
      <c r="CT55">
        <v>0</v>
      </c>
      <c r="CU55" s="8">
        <v>0.11373053081333637</v>
      </c>
      <c r="CV55" s="9">
        <v>2.6257790625095367E-2</v>
      </c>
      <c r="CW55">
        <v>0.06</v>
      </c>
      <c r="CX55">
        <v>5.4064597562449226</v>
      </c>
      <c r="CY55">
        <v>9526598795.1740742</v>
      </c>
      <c r="CZ55">
        <v>0.11373053081333637</v>
      </c>
      <c r="DA55">
        <v>1.7317264477336074</v>
      </c>
      <c r="DB55">
        <v>29742095275.733223</v>
      </c>
      <c r="DC55">
        <v>0.10804400427266954</v>
      </c>
      <c r="DD55">
        <v>0.8297465498002139</v>
      </c>
      <c r="DE55">
        <v>62073380133.248398</v>
      </c>
      <c r="DF55">
        <v>0.10008286711573601</v>
      </c>
      <c r="DG55">
        <v>0.48314935248156271</v>
      </c>
      <c r="DH55">
        <v>106603005334.59883</v>
      </c>
      <c r="DI55">
        <v>9.0984424650669096E-2</v>
      </c>
      <c r="DJ55">
        <v>0.23298976128595394</v>
      </c>
      <c r="DK55">
        <v>221061958756.14664</v>
      </c>
      <c r="DL55">
        <v>7.9611371569335454E-2</v>
      </c>
      <c r="DM55">
        <v>9067000000</v>
      </c>
      <c r="DN55">
        <v>0.11373053081333637</v>
      </c>
      <c r="DO55">
        <v>51505173000</v>
      </c>
      <c r="DP55" t="e">
        <v>#VALUE!</v>
      </c>
      <c r="DQ55">
        <v>54</v>
      </c>
      <c r="DR55" t="e">
        <v>#VALUE!</v>
      </c>
      <c r="DS55">
        <v>2.2267422093749047</v>
      </c>
      <c r="DT55" t="e">
        <v>#VALUE!</v>
      </c>
      <c r="DU55" t="e">
        <v>#VALUE!</v>
      </c>
      <c r="DV55" t="e">
        <v>#VALUE!</v>
      </c>
      <c r="DW55">
        <v>-8.4384965831435075</v>
      </c>
      <c r="DX55">
        <v>0.66959890109890208</v>
      </c>
      <c r="DY55">
        <v>-8.0875234361310664</v>
      </c>
      <c r="DZ55">
        <v>0</v>
      </c>
      <c r="EA55">
        <v>-8.0875234361310664</v>
      </c>
      <c r="EB55">
        <v>8</v>
      </c>
      <c r="EC55">
        <v>8.4640173753545087E-3</v>
      </c>
      <c r="ED55">
        <v>4.2405130132257565E-2</v>
      </c>
      <c r="EE55">
        <v>0</v>
      </c>
      <c r="EF55">
        <v>0</v>
      </c>
      <c r="EG55">
        <v>47.199598901098902</v>
      </c>
      <c r="EH55" t="s">
        <v>110</v>
      </c>
      <c r="EI55">
        <v>0</v>
      </c>
      <c r="EJ55">
        <v>0</v>
      </c>
      <c r="EK55">
        <v>0</v>
      </c>
      <c r="EL55">
        <v>0</v>
      </c>
      <c r="EM55">
        <v>0</v>
      </c>
      <c r="EN55">
        <v>0</v>
      </c>
      <c r="EO55">
        <v>0</v>
      </c>
      <c r="EP55">
        <v>0</v>
      </c>
    </row>
    <row r="56" spans="1:146" ht="96" x14ac:dyDescent="0.25">
      <c r="A56" s="7"/>
      <c r="B56" s="7"/>
      <c r="C56" s="7" t="str">
        <f>""&amp;CHAR(10)&amp;Basic_Fundamental_Information_Constructure(F56)&amp;CHAR(10)&amp;Basic_Fundamental_Information_Concatenate("")</f>
        <v xml:space="preserve">
市值64.624993亿, 利润6.86亿; PE9.42; 平均PE22.74; 平均PEG3.37, PB.607; ROIC8.34%; ROE9.37%; 股利率0%; 毛利10.0867%; 净利3.9767%; 上一年度营收增-8.21%, 利润增-35.34%, 利润增-45.59%; 过往5年营收增6.75%, 利润增11.78%
Income profile:
</v>
      </c>
      <c r="D56" s="11">
        <v>297</v>
      </c>
      <c r="E56" t="s">
        <v>1134</v>
      </c>
      <c r="F56">
        <v>0.92</v>
      </c>
      <c r="G56" s="5">
        <v>-2.1299999999999999E-2</v>
      </c>
      <c r="H56" t="s">
        <v>7116</v>
      </c>
      <c r="I56">
        <v>6462499300</v>
      </c>
      <c r="J56">
        <v>9.42</v>
      </c>
      <c r="K56">
        <v>0.60699999999999998</v>
      </c>
      <c r="L56" t="s">
        <v>6350</v>
      </c>
      <c r="M56" t="s">
        <v>9</v>
      </c>
      <c r="N56" t="s">
        <v>9</v>
      </c>
      <c r="O56" t="s">
        <v>9</v>
      </c>
      <c r="P56" t="s">
        <v>9</v>
      </c>
      <c r="Q56" t="s">
        <v>7117</v>
      </c>
      <c r="R56">
        <v>685726810</v>
      </c>
      <c r="S56" s="5">
        <v>-0.45590000000000003</v>
      </c>
      <c r="T56" t="s">
        <v>2222</v>
      </c>
      <c r="U56">
        <v>7024455700</v>
      </c>
      <c r="V56">
        <v>7024455700</v>
      </c>
      <c r="W56" t="s">
        <v>9</v>
      </c>
      <c r="X56" t="s">
        <v>9</v>
      </c>
      <c r="Y56" t="s">
        <v>9</v>
      </c>
      <c r="Z56" t="s">
        <v>9</v>
      </c>
      <c r="AA56" t="s">
        <v>9</v>
      </c>
      <c r="AB56" t="s">
        <v>9</v>
      </c>
      <c r="AC56" t="s">
        <v>9</v>
      </c>
      <c r="AD56" t="s">
        <v>9</v>
      </c>
      <c r="AE56" t="s">
        <v>9</v>
      </c>
      <c r="AF56" t="s">
        <v>9</v>
      </c>
      <c r="AG56" t="s">
        <v>9</v>
      </c>
      <c r="AH56" t="s">
        <v>7118</v>
      </c>
      <c r="AI56" t="s">
        <v>9</v>
      </c>
      <c r="AJ56" t="s">
        <v>9</v>
      </c>
      <c r="AK56" t="s">
        <v>7119</v>
      </c>
      <c r="AL56" t="s">
        <v>9</v>
      </c>
      <c r="AM56" t="s">
        <v>9</v>
      </c>
      <c r="AN56" s="5">
        <v>0.54879999999999995</v>
      </c>
      <c r="AO56" t="s">
        <v>9</v>
      </c>
      <c r="AP56" t="s">
        <v>7120</v>
      </c>
      <c r="AQ56" t="s">
        <v>9</v>
      </c>
      <c r="AR56" t="s">
        <v>7121</v>
      </c>
      <c r="AS56" t="s">
        <v>9</v>
      </c>
      <c r="AT56" t="s">
        <v>9</v>
      </c>
      <c r="AU56" t="s">
        <v>1356</v>
      </c>
      <c r="AV56" t="s">
        <v>7122</v>
      </c>
      <c r="AW56" t="s">
        <v>9</v>
      </c>
      <c r="AX56" t="s">
        <v>1135</v>
      </c>
      <c r="AY56" t="s">
        <v>1137</v>
      </c>
      <c r="AZ56" t="s">
        <v>1138</v>
      </c>
      <c r="BA56" t="s">
        <v>1139</v>
      </c>
      <c r="BB56" t="s">
        <v>1140</v>
      </c>
      <c r="BC56" t="s">
        <v>1141</v>
      </c>
      <c r="BD56" t="s">
        <v>571</v>
      </c>
      <c r="BE56" t="s">
        <v>1142</v>
      </c>
      <c r="BF56" t="s">
        <v>1143</v>
      </c>
      <c r="BG56" t="s">
        <v>1144</v>
      </c>
      <c r="BH56" t="s">
        <v>1135</v>
      </c>
      <c r="BI56" t="s">
        <v>9</v>
      </c>
      <c r="BJ56" t="s">
        <v>1137</v>
      </c>
      <c r="BK56" t="s">
        <v>1136</v>
      </c>
      <c r="BL56" t="s">
        <v>9</v>
      </c>
      <c r="BM56" t="s">
        <v>1141</v>
      </c>
      <c r="BN56">
        <v>5.5</v>
      </c>
      <c r="BO56">
        <v>10.63</v>
      </c>
      <c r="BP56">
        <v>8.89</v>
      </c>
      <c r="BQ56">
        <v>6.44</v>
      </c>
      <c r="BR56">
        <v>11.76</v>
      </c>
      <c r="BS56">
        <v>9.91</v>
      </c>
      <c r="BT56" t="s">
        <v>1374</v>
      </c>
      <c r="BU56" t="s">
        <v>937</v>
      </c>
      <c r="BV56">
        <v>10.4</v>
      </c>
      <c r="BW56">
        <v>11.2</v>
      </c>
      <c r="BX56">
        <v>8.66</v>
      </c>
      <c r="BY56">
        <v>3.15</v>
      </c>
      <c r="BZ56">
        <v>4.8899999999999997</v>
      </c>
      <c r="CA56">
        <v>3.89</v>
      </c>
      <c r="CB56">
        <v>2.2200000000000002</v>
      </c>
      <c r="CC56">
        <v>-3.26</v>
      </c>
      <c r="CD56" t="s">
        <v>7123</v>
      </c>
      <c r="CE56" t="s">
        <v>4710</v>
      </c>
      <c r="CF56" s="8" t="s">
        <v>9</v>
      </c>
      <c r="CG56" s="9">
        <v>-0.45590000000000003</v>
      </c>
      <c r="CH56" s="8">
        <v>-8.2122601568698883E-2</v>
      </c>
      <c r="CI56" s="8">
        <v>-6.4023934304714203E-2</v>
      </c>
      <c r="CJ56" s="8">
        <v>8.7898291647434235E-2</v>
      </c>
      <c r="CK56" s="8">
        <v>-2.6733893901109695E-2</v>
      </c>
      <c r="CL56" s="8">
        <v>0.23783861100673676</v>
      </c>
      <c r="CM56" s="9">
        <v>-0.35344016551971436</v>
      </c>
      <c r="CN56" s="9">
        <v>0.3815104067325592</v>
      </c>
      <c r="CO56" s="9">
        <v>0.11627907305955887</v>
      </c>
      <c r="CP56" s="9">
        <v>0.31297710537910461</v>
      </c>
      <c r="CQ56" s="9">
        <v>1.1979598999023437</v>
      </c>
      <c r="CR56">
        <v>22.741933020527856</v>
      </c>
      <c r="CS56">
        <v>3.3707215777236321</v>
      </c>
      <c r="CT56">
        <v>0</v>
      </c>
      <c r="CU56" s="8">
        <v>6.7469034437090153E-2</v>
      </c>
      <c r="CV56" s="9">
        <v>0.11777180582284927</v>
      </c>
      <c r="CW56">
        <v>0.06</v>
      </c>
      <c r="CX56">
        <v>9.35463771616085</v>
      </c>
      <c r="CY56">
        <v>690833733.60739982</v>
      </c>
      <c r="CZ56">
        <v>6.7469034437090153E-2</v>
      </c>
      <c r="DA56">
        <v>3.1160429536579906</v>
      </c>
      <c r="DB56">
        <v>2073944228.6613963</v>
      </c>
      <c r="DC56">
        <v>6.4095582715235647E-2</v>
      </c>
      <c r="DD56">
        <v>1.5733475125463268</v>
      </c>
      <c r="DE56">
        <v>4107483724.0127606</v>
      </c>
      <c r="DF56">
        <v>5.9372750304639337E-2</v>
      </c>
      <c r="DG56">
        <v>0.97192606964751271</v>
      </c>
      <c r="DH56">
        <v>6649167567.183116</v>
      </c>
      <c r="DI56">
        <v>5.3975227549672128E-2</v>
      </c>
      <c r="DJ56">
        <v>0.53365806601137722</v>
      </c>
      <c r="DK56">
        <v>12109812840.085928</v>
      </c>
      <c r="DL56">
        <v>4.7228324105963101E-2</v>
      </c>
      <c r="DM56">
        <v>686000000</v>
      </c>
      <c r="DN56">
        <v>6.7469034437090153E-2</v>
      </c>
      <c r="DO56">
        <v>6462499300</v>
      </c>
      <c r="DP56" t="e">
        <v>#VALUE!</v>
      </c>
      <c r="DQ56">
        <v>55</v>
      </c>
      <c r="DR56" t="e">
        <v>#VALUE!</v>
      </c>
      <c r="DS56">
        <v>-0.57367180582284927</v>
      </c>
      <c r="DT56" t="e">
        <v>#VALUE!</v>
      </c>
      <c r="DU56" t="e">
        <v>#VALUE!</v>
      </c>
      <c r="DV56" t="e">
        <v>#VALUE!</v>
      </c>
      <c r="DW56">
        <v>-1.0326</v>
      </c>
      <c r="DX56">
        <v>0.79673809523809436</v>
      </c>
      <c r="DY56">
        <v>-1.0067396619047619</v>
      </c>
      <c r="DZ56">
        <v>0</v>
      </c>
      <c r="EA56">
        <v>-1.0067396619047619</v>
      </c>
      <c r="EB56">
        <v>1</v>
      </c>
      <c r="EC56">
        <v>5.5624950414307544E-3</v>
      </c>
      <c r="ED56">
        <v>2.6905999279061579E-2</v>
      </c>
      <c r="EE56">
        <v>0</v>
      </c>
      <c r="EF56">
        <v>0</v>
      </c>
      <c r="EG56">
        <v>59.206738095238094</v>
      </c>
      <c r="EH56" t="s">
        <v>110</v>
      </c>
      <c r="EI56">
        <v>0</v>
      </c>
      <c r="EJ56">
        <v>0</v>
      </c>
      <c r="EK56">
        <v>0</v>
      </c>
      <c r="EL56">
        <v>0</v>
      </c>
      <c r="EM56">
        <v>0</v>
      </c>
      <c r="EN56">
        <v>0</v>
      </c>
      <c r="EO56">
        <v>0</v>
      </c>
      <c r="EP56">
        <v>0</v>
      </c>
    </row>
    <row r="57" spans="1:146" ht="96" x14ac:dyDescent="0.25">
      <c r="A57" s="7"/>
      <c r="B57" s="7"/>
      <c r="C57" s="7" t="str">
        <f>""&amp;CHAR(10)&amp;Basic_Fundamental_Information_Constructure(F57)&amp;CHAR(10)&amp;Basic_Fundamental_Information_Concatenate("")</f>
        <v xml:space="preserve">
市值25.324582亿, 利润-2201.06万; PE; 平均PE.73; 平均PEG.04, PB.406; ROIC2.2933%; ROE2.2%; 股利率0%; 毛利38.13%; 净利1.8533%; 上一年度营收增-6.69%, 利润增-102.94%, 利润增90.48%; 过往5年营收增17.67%, 利润增164.74%
Income profile:
</v>
      </c>
      <c r="D57" s="11">
        <v>302</v>
      </c>
      <c r="E57" t="s">
        <v>1145</v>
      </c>
      <c r="F57">
        <v>0.92</v>
      </c>
      <c r="G57" s="5">
        <v>-0.08</v>
      </c>
      <c r="H57" t="s">
        <v>7124</v>
      </c>
      <c r="I57">
        <v>2532458200</v>
      </c>
      <c r="K57">
        <v>0.40600000000000003</v>
      </c>
      <c r="L57" t="s">
        <v>6350</v>
      </c>
      <c r="M57" t="s">
        <v>9</v>
      </c>
      <c r="N57" t="s">
        <v>9</v>
      </c>
      <c r="O57" t="s">
        <v>9</v>
      </c>
      <c r="P57" t="s">
        <v>9</v>
      </c>
      <c r="Q57" t="s">
        <v>1502</v>
      </c>
      <c r="R57">
        <v>-22010600</v>
      </c>
      <c r="S57" s="5">
        <v>0.90480000000000005</v>
      </c>
      <c r="T57" t="s">
        <v>7125</v>
      </c>
      <c r="U57">
        <v>2752672000</v>
      </c>
      <c r="V57">
        <v>2752672000</v>
      </c>
      <c r="W57" t="s">
        <v>9</v>
      </c>
      <c r="X57" t="s">
        <v>9</v>
      </c>
      <c r="Y57" t="s">
        <v>9</v>
      </c>
      <c r="Z57" t="s">
        <v>9</v>
      </c>
      <c r="AA57" t="s">
        <v>9</v>
      </c>
      <c r="AB57" t="s">
        <v>9</v>
      </c>
      <c r="AC57" t="s">
        <v>9</v>
      </c>
      <c r="AD57" t="s">
        <v>7126</v>
      </c>
      <c r="AE57" t="s">
        <v>9</v>
      </c>
      <c r="AF57" t="s">
        <v>9</v>
      </c>
      <c r="AG57" t="s">
        <v>9</v>
      </c>
      <c r="AH57" t="s">
        <v>7127</v>
      </c>
      <c r="AI57" t="s">
        <v>9</v>
      </c>
      <c r="AJ57" t="s">
        <v>9</v>
      </c>
      <c r="AK57" t="s">
        <v>7128</v>
      </c>
      <c r="AL57" t="s">
        <v>9</v>
      </c>
      <c r="AM57" t="s">
        <v>9</v>
      </c>
      <c r="AN57" s="5">
        <v>0.19670000000000001</v>
      </c>
      <c r="AO57" t="s">
        <v>9</v>
      </c>
      <c r="AP57" t="s">
        <v>214</v>
      </c>
      <c r="AQ57" t="s">
        <v>9</v>
      </c>
      <c r="AR57" t="s">
        <v>431</v>
      </c>
      <c r="AS57" t="s">
        <v>9</v>
      </c>
      <c r="AT57" t="s">
        <v>9</v>
      </c>
      <c r="AU57" t="s">
        <v>7129</v>
      </c>
      <c r="AV57" t="s">
        <v>7130</v>
      </c>
      <c r="AW57" t="s">
        <v>9</v>
      </c>
      <c r="AX57" t="s">
        <v>1146</v>
      </c>
      <c r="AY57" t="s">
        <v>500</v>
      </c>
      <c r="AZ57" t="s">
        <v>1150</v>
      </c>
      <c r="BA57" t="s">
        <v>1151</v>
      </c>
      <c r="BB57" t="s">
        <v>682</v>
      </c>
      <c r="BC57" t="s">
        <v>1152</v>
      </c>
      <c r="BD57" t="s">
        <v>1153</v>
      </c>
      <c r="BE57" t="s">
        <v>1154</v>
      </c>
      <c r="BF57" t="s">
        <v>673</v>
      </c>
      <c r="BG57" t="s">
        <v>1155</v>
      </c>
      <c r="BH57" t="s">
        <v>1146</v>
      </c>
      <c r="BI57" t="s">
        <v>9</v>
      </c>
      <c r="BJ57" t="s">
        <v>500</v>
      </c>
      <c r="BK57" t="s">
        <v>1147</v>
      </c>
      <c r="BL57" t="s">
        <v>9</v>
      </c>
      <c r="BM57" t="s">
        <v>1152</v>
      </c>
      <c r="BN57">
        <v>-0.33</v>
      </c>
      <c r="BO57">
        <v>-3.23</v>
      </c>
      <c r="BP57">
        <v>10.44</v>
      </c>
      <c r="BQ57">
        <v>-0.35</v>
      </c>
      <c r="BR57">
        <v>-3.61</v>
      </c>
      <c r="BS57">
        <v>10.56</v>
      </c>
      <c r="BT57" t="s">
        <v>1156</v>
      </c>
      <c r="BU57" t="s">
        <v>551</v>
      </c>
      <c r="BV57">
        <v>36.19</v>
      </c>
      <c r="BW57">
        <v>40.96</v>
      </c>
      <c r="BX57">
        <v>37.24</v>
      </c>
      <c r="BY57">
        <v>-1.46</v>
      </c>
      <c r="BZ57">
        <v>-7.99</v>
      </c>
      <c r="CA57">
        <v>15.01</v>
      </c>
      <c r="CB57">
        <v>-12.38</v>
      </c>
      <c r="CC57">
        <v>-32.35</v>
      </c>
      <c r="CD57" t="s">
        <v>27</v>
      </c>
      <c r="CE57" t="s">
        <v>4601</v>
      </c>
      <c r="CF57" s="8" t="s">
        <v>9</v>
      </c>
      <c r="CG57" s="9">
        <v>0.90480000000000005</v>
      </c>
      <c r="CH57" s="8">
        <v>-6.6949762403964996E-2</v>
      </c>
      <c r="CI57" s="8">
        <v>-0.36800825595855713</v>
      </c>
      <c r="CJ57" s="8">
        <v>6.4133591949939728E-2</v>
      </c>
      <c r="CK57" s="8">
        <v>1.5057786703109741</v>
      </c>
      <c r="CL57" s="8">
        <v>0.49670517444610596</v>
      </c>
      <c r="CM57" s="9">
        <v>-1.0293866395950317</v>
      </c>
      <c r="CN57" s="9">
        <v>-0.10406698286533356</v>
      </c>
      <c r="CO57" s="9">
        <v>2.0071942806243896</v>
      </c>
      <c r="CP57" s="9">
        <v>-0.21468926966190338</v>
      </c>
      <c r="CQ57" s="9">
        <v>-4.0650404989719391E-2</v>
      </c>
      <c r="CR57">
        <v>0.73132583876661172</v>
      </c>
      <c r="CS57">
        <v>4.1398333330278668E-2</v>
      </c>
      <c r="CT57">
        <v>0</v>
      </c>
      <c r="CU57" s="8">
        <v>0.17665586508810521</v>
      </c>
      <c r="CV57" s="9">
        <v>1.647408589720726</v>
      </c>
      <c r="CW57">
        <v>0.06</v>
      </c>
      <c r="CX57" t="e">
        <v>#VALUE!</v>
      </c>
      <c r="CY57" t="s">
        <v>109</v>
      </c>
      <c r="CZ57">
        <v>0.17665586508810521</v>
      </c>
      <c r="DA57" t="e">
        <v>#VALUE!</v>
      </c>
      <c r="DB57" t="s">
        <v>108</v>
      </c>
      <c r="DC57">
        <v>0.16782307183369993</v>
      </c>
      <c r="DD57" t="e">
        <v>#VALUE!</v>
      </c>
      <c r="DE57" t="s">
        <v>108</v>
      </c>
      <c r="DF57">
        <v>0.15545716127753259</v>
      </c>
      <c r="DG57" t="e">
        <v>#VALUE!</v>
      </c>
      <c r="DH57" t="s">
        <v>108</v>
      </c>
      <c r="DI57">
        <v>0.14132469207048418</v>
      </c>
      <c r="DJ57" t="e">
        <v>#VALUE!</v>
      </c>
      <c r="DK57" t="s">
        <v>108</v>
      </c>
      <c r="DL57">
        <v>0.12365910556167364</v>
      </c>
      <c r="DM57">
        <v>-22010600</v>
      </c>
      <c r="DN57">
        <v>0.17665586508810521</v>
      </c>
      <c r="DO57">
        <v>2532458200</v>
      </c>
      <c r="DP57" t="e">
        <v>#VALUE!</v>
      </c>
      <c r="DQ57">
        <v>56</v>
      </c>
      <c r="DR57" t="e">
        <v>#VALUE!</v>
      </c>
      <c r="DS57">
        <v>-0.74260858972072596</v>
      </c>
      <c r="DT57" t="e">
        <v>#VALUE!</v>
      </c>
      <c r="DU57" t="e">
        <v>#VALUE!</v>
      </c>
      <c r="DV57" t="e">
        <v>#VALUE!</v>
      </c>
      <c r="DW57">
        <v>-9.3826893353941259</v>
      </c>
      <c r="DX57">
        <v>0.46051356828109447</v>
      </c>
      <c r="DY57">
        <v>-9.038465470643585</v>
      </c>
      <c r="DZ57">
        <v>0</v>
      </c>
      <c r="EA57">
        <v>-9.038465470643585</v>
      </c>
      <c r="EB57">
        <v>9</v>
      </c>
      <c r="EC57">
        <v>4.9769823647713929E-2</v>
      </c>
      <c r="ED57">
        <v>0.49515525278711015</v>
      </c>
      <c r="EE57">
        <v>0</v>
      </c>
      <c r="EF57">
        <v>0</v>
      </c>
      <c r="EG57">
        <v>36.100513568281094</v>
      </c>
      <c r="EH57" t="s">
        <v>110</v>
      </c>
      <c r="EI57">
        <v>0</v>
      </c>
      <c r="EJ57">
        <v>0</v>
      </c>
      <c r="EK57">
        <v>0</v>
      </c>
      <c r="EL57">
        <v>0</v>
      </c>
      <c r="EM57">
        <v>0</v>
      </c>
      <c r="EN57">
        <v>0</v>
      </c>
      <c r="EO57">
        <v>0</v>
      </c>
      <c r="EP57">
        <v>0</v>
      </c>
    </row>
    <row r="58" spans="1:146" ht="96" x14ac:dyDescent="0.25">
      <c r="A58" s="7"/>
      <c r="B58" s="7"/>
      <c r="C58" s="7" t="str">
        <f>""&amp;CHAR(10)&amp;Basic_Fundamental_Information_Constructure(F58)&amp;CHAR(10)&amp;Basic_Fundamental_Information_Concatenate("")</f>
        <v xml:space="preserve">
市值146.41895亿, 利润11.72亿; PE11.23; 平均PE132.28; 平均PEG4.97, PB2.9; ROIC27.29%; ROE26.8433%; 股利率0%; 毛利29.0433%; 净利7.8933%; 上一年度营收增-5.18%, 利润增-34.71%, 利润增13.84%; 过往5年营收增26.59%, 利润增-1496.79%
Income profile:
</v>
      </c>
      <c r="D58" s="11">
        <v>303</v>
      </c>
      <c r="E58" t="s">
        <v>1158</v>
      </c>
      <c r="F58">
        <v>57.9</v>
      </c>
      <c r="G58" s="5">
        <v>-5.1999999999999998E-3</v>
      </c>
      <c r="H58" t="s">
        <v>7131</v>
      </c>
      <c r="I58">
        <v>14641895000</v>
      </c>
      <c r="J58">
        <v>11.23</v>
      </c>
      <c r="K58">
        <v>2.9</v>
      </c>
      <c r="L58" t="s">
        <v>6350</v>
      </c>
      <c r="M58" t="s">
        <v>9</v>
      </c>
      <c r="N58" t="s">
        <v>9</v>
      </c>
      <c r="O58" t="s">
        <v>9</v>
      </c>
      <c r="P58" t="s">
        <v>9</v>
      </c>
      <c r="Q58" t="s">
        <v>7132</v>
      </c>
      <c r="R58">
        <v>732888000</v>
      </c>
      <c r="S58" s="5">
        <v>0.1384</v>
      </c>
      <c r="T58" t="s">
        <v>522</v>
      </c>
      <c r="U58">
        <v>252882470</v>
      </c>
      <c r="V58">
        <v>252882470</v>
      </c>
      <c r="W58" t="s">
        <v>9</v>
      </c>
      <c r="X58" t="s">
        <v>9</v>
      </c>
      <c r="Y58" t="s">
        <v>9</v>
      </c>
      <c r="Z58" t="s">
        <v>9</v>
      </c>
      <c r="AA58" t="s">
        <v>9</v>
      </c>
      <c r="AB58" t="s">
        <v>9</v>
      </c>
      <c r="AC58" t="s">
        <v>9</v>
      </c>
      <c r="AD58" t="s">
        <v>7133</v>
      </c>
      <c r="AE58" t="s">
        <v>9</v>
      </c>
      <c r="AF58" t="s">
        <v>9</v>
      </c>
      <c r="AG58" t="s">
        <v>9</v>
      </c>
      <c r="AH58" t="s">
        <v>7134</v>
      </c>
      <c r="AI58" t="s">
        <v>9</v>
      </c>
      <c r="AJ58" t="s">
        <v>9</v>
      </c>
      <c r="AK58" t="s">
        <v>7135</v>
      </c>
      <c r="AL58" t="s">
        <v>9</v>
      </c>
      <c r="AM58" t="s">
        <v>9</v>
      </c>
      <c r="AN58" s="5">
        <v>0.55010000000000003</v>
      </c>
      <c r="AO58" t="s">
        <v>9</v>
      </c>
      <c r="AP58" t="s">
        <v>7136</v>
      </c>
      <c r="AQ58" t="s">
        <v>9</v>
      </c>
      <c r="AR58" t="s">
        <v>1629</v>
      </c>
      <c r="AS58" t="s">
        <v>9</v>
      </c>
      <c r="AT58" t="s">
        <v>9</v>
      </c>
      <c r="AU58" t="s">
        <v>7137</v>
      </c>
      <c r="AV58" t="s">
        <v>7138</v>
      </c>
      <c r="AW58" t="s">
        <v>9</v>
      </c>
      <c r="AX58" t="s">
        <v>1159</v>
      </c>
      <c r="AY58" t="s">
        <v>1165</v>
      </c>
      <c r="AZ58" t="s">
        <v>1166</v>
      </c>
      <c r="BA58" t="s">
        <v>1167</v>
      </c>
      <c r="BB58" t="s">
        <v>1168</v>
      </c>
      <c r="BC58" t="s">
        <v>1169</v>
      </c>
      <c r="BD58" t="s">
        <v>1170</v>
      </c>
      <c r="BE58" t="s">
        <v>1171</v>
      </c>
      <c r="BF58" t="s">
        <v>843</v>
      </c>
      <c r="BG58" t="s">
        <v>1172</v>
      </c>
      <c r="BH58" t="s">
        <v>1159</v>
      </c>
      <c r="BI58" t="s">
        <v>9</v>
      </c>
      <c r="BJ58" t="s">
        <v>1165</v>
      </c>
      <c r="BK58" t="s">
        <v>1160</v>
      </c>
      <c r="BL58" t="s">
        <v>9</v>
      </c>
      <c r="BM58" t="s">
        <v>1169</v>
      </c>
      <c r="BN58">
        <v>22.72</v>
      </c>
      <c r="BO58">
        <v>24.5</v>
      </c>
      <c r="BP58">
        <v>34.65</v>
      </c>
      <c r="BQ58">
        <v>23.51</v>
      </c>
      <c r="BR58">
        <v>25.44</v>
      </c>
      <c r="BS58">
        <v>31.58</v>
      </c>
      <c r="BT58" t="s">
        <v>7139</v>
      </c>
      <c r="BU58" t="s">
        <v>1093</v>
      </c>
      <c r="BV58">
        <v>28.27</v>
      </c>
      <c r="BW58">
        <v>28.23</v>
      </c>
      <c r="BX58">
        <v>30.63</v>
      </c>
      <c r="BY58">
        <v>6.66</v>
      </c>
      <c r="BZ58">
        <v>7.29</v>
      </c>
      <c r="CA58">
        <v>9.73</v>
      </c>
      <c r="CB58">
        <v>2.66</v>
      </c>
      <c r="CC58">
        <v>12.98</v>
      </c>
      <c r="CD58" t="s">
        <v>7140</v>
      </c>
      <c r="CE58" t="s">
        <v>7141</v>
      </c>
      <c r="CF58" s="8" t="s">
        <v>9</v>
      </c>
      <c r="CG58" s="9">
        <v>0.1384</v>
      </c>
      <c r="CH58" s="8">
        <v>-5.1769617944955826E-2</v>
      </c>
      <c r="CI58" s="8">
        <v>6.3973767682909966E-3</v>
      </c>
      <c r="CJ58" s="8">
        <v>9.8374366760253906E-2</v>
      </c>
      <c r="CK58" s="8">
        <v>4.4261249713599682E-3</v>
      </c>
      <c r="CL58" s="8">
        <v>3.4847691655158997E-2</v>
      </c>
      <c r="CM58" s="9">
        <v>-0.34707522392272949</v>
      </c>
      <c r="CN58" s="9">
        <v>0.21365787088871002</v>
      </c>
      <c r="CO58" s="9">
        <v>9.9628351628780365E-2</v>
      </c>
      <c r="CP58" s="9">
        <v>-0.16924034059047699</v>
      </c>
      <c r="CQ58" s="9">
        <v>0.16391085088253021</v>
      </c>
      <c r="CR58">
        <v>132.27741416067488</v>
      </c>
      <c r="CS58">
        <v>4.9748023940420625</v>
      </c>
      <c r="CT58">
        <v>0</v>
      </c>
      <c r="CU58" s="8">
        <v>0.26589481085538863</v>
      </c>
      <c r="CV58" s="9">
        <v>-14.967907679080962</v>
      </c>
      <c r="CW58">
        <v>0.06</v>
      </c>
      <c r="CX58">
        <v>10.461113692614656</v>
      </c>
      <c r="CY58">
        <v>1399649734.2665241</v>
      </c>
      <c r="CZ58">
        <v>0.26589481085538863</v>
      </c>
      <c r="DA58">
        <v>2.9546740089255068</v>
      </c>
      <c r="DB58">
        <v>4955502690.2357512</v>
      </c>
      <c r="DC58">
        <v>0.25260007031261916</v>
      </c>
      <c r="DD58">
        <v>1.1829731266568875</v>
      </c>
      <c r="DE58">
        <v>12377200014.152792</v>
      </c>
      <c r="DF58">
        <v>0.23398743355274199</v>
      </c>
      <c r="DG58">
        <v>0.55361150347179178</v>
      </c>
      <c r="DH58">
        <v>26447960181.784863</v>
      </c>
      <c r="DI58">
        <v>0.21271584868431093</v>
      </c>
      <c r="DJ58">
        <v>0.15678024456368433</v>
      </c>
      <c r="DK58">
        <v>93391198876.797546</v>
      </c>
      <c r="DL58">
        <v>0.18612636759877202</v>
      </c>
      <c r="DM58">
        <v>1172000000</v>
      </c>
      <c r="DN58">
        <v>0.26589481085538863</v>
      </c>
      <c r="DO58">
        <v>14641895000</v>
      </c>
      <c r="DP58" t="e">
        <v>#VALUE!</v>
      </c>
      <c r="DQ58">
        <v>57</v>
      </c>
      <c r="DR58" t="e">
        <v>#VALUE!</v>
      </c>
      <c r="DS58">
        <v>15.106307679080963</v>
      </c>
      <c r="DT58" t="e">
        <v>#VALUE!</v>
      </c>
      <c r="DU58" t="e">
        <v>#VALUE!</v>
      </c>
      <c r="DV58" t="e">
        <v>#VALUE!</v>
      </c>
      <c r="DW58">
        <v>8.204930662557782</v>
      </c>
      <c r="DX58">
        <v>0.29458083333993856</v>
      </c>
      <c r="DY58">
        <v>8.0316783525950868</v>
      </c>
      <c r="DZ58">
        <v>0</v>
      </c>
      <c r="EA58">
        <v>8.0316783525950868</v>
      </c>
      <c r="EB58">
        <v>8</v>
      </c>
      <c r="EC58">
        <v>7.7122783560283955E-3</v>
      </c>
      <c r="ED58">
        <v>4.989155634235936E-2</v>
      </c>
      <c r="EE58">
        <v>0</v>
      </c>
      <c r="EF58">
        <v>0</v>
      </c>
      <c r="EG58">
        <v>14.154580833339939</v>
      </c>
      <c r="EH58" t="s">
        <v>110</v>
      </c>
      <c r="EI58">
        <v>0</v>
      </c>
      <c r="EJ58">
        <v>0</v>
      </c>
      <c r="EK58">
        <v>0</v>
      </c>
      <c r="EL58">
        <v>0</v>
      </c>
      <c r="EM58">
        <v>0</v>
      </c>
      <c r="EN58">
        <v>0</v>
      </c>
      <c r="EO58">
        <v>0</v>
      </c>
      <c r="EP58">
        <v>0</v>
      </c>
    </row>
    <row r="59" spans="1:146" ht="84" x14ac:dyDescent="0.25">
      <c r="A59" s="7"/>
      <c r="B59" s="7"/>
      <c r="C59" s="7" t="str">
        <f>""&amp;CHAR(10)&amp;Basic_Fundamental_Information_Constructure(F59)&amp;CHAR(10)&amp;Basic_Fundamental_Information_Concatenate("")</f>
        <v xml:space="preserve">
市值48.659857亿, 利润-15.46亿; PE; 平均PE12.86; 平均PEG.45, PB2.49; ROIC76.31%; ROE-2.86%; 股利率0%; 毛利8.19%; 净利-33.3%; 上一年度营收增9.24%, 利润增66.24%; 过往5年营收增28.3%, 利润增4.94%
Income profile:
</v>
      </c>
      <c r="D59" s="11">
        <v>314</v>
      </c>
      <c r="E59" t="s">
        <v>1177</v>
      </c>
      <c r="F59">
        <v>6.39</v>
      </c>
      <c r="G59" s="5">
        <v>-4.3400000000000001E-2</v>
      </c>
      <c r="H59" t="s">
        <v>6395</v>
      </c>
      <c r="I59">
        <v>4865985700</v>
      </c>
      <c r="K59">
        <v>2.4900000000000002</v>
      </c>
      <c r="L59" t="s">
        <v>6350</v>
      </c>
      <c r="M59" t="s">
        <v>9</v>
      </c>
      <c r="N59" t="s">
        <v>9</v>
      </c>
      <c r="O59" t="s">
        <v>9</v>
      </c>
      <c r="P59" t="s">
        <v>9</v>
      </c>
      <c r="Q59" t="s">
        <v>1178</v>
      </c>
      <c r="R59">
        <v>-1546142300</v>
      </c>
      <c r="S59" s="5">
        <v>0.66239999999999999</v>
      </c>
      <c r="T59" t="s">
        <v>1179</v>
      </c>
      <c r="U59">
        <v>763025310</v>
      </c>
      <c r="V59">
        <v>763025310</v>
      </c>
      <c r="W59" t="s">
        <v>9</v>
      </c>
      <c r="X59" t="s">
        <v>9</v>
      </c>
      <c r="Y59" t="s">
        <v>9</v>
      </c>
      <c r="Z59" t="s">
        <v>9</v>
      </c>
      <c r="AA59" t="s">
        <v>9</v>
      </c>
      <c r="AB59" t="s">
        <v>9</v>
      </c>
      <c r="AC59" t="s">
        <v>9</v>
      </c>
      <c r="AD59" t="s">
        <v>1180</v>
      </c>
      <c r="AE59" t="s">
        <v>9</v>
      </c>
      <c r="AF59" t="s">
        <v>9</v>
      </c>
      <c r="AG59" t="s">
        <v>9</v>
      </c>
      <c r="AH59" t="s">
        <v>1181</v>
      </c>
      <c r="AI59" t="s">
        <v>9</v>
      </c>
      <c r="AJ59" t="s">
        <v>9</v>
      </c>
      <c r="AK59" t="s">
        <v>1182</v>
      </c>
      <c r="AL59" t="s">
        <v>9</v>
      </c>
      <c r="AM59" t="s">
        <v>9</v>
      </c>
      <c r="AN59" s="5">
        <v>0.37390000000000001</v>
      </c>
      <c r="AO59" t="s">
        <v>9</v>
      </c>
      <c r="AP59" t="s">
        <v>1183</v>
      </c>
      <c r="AQ59" t="s">
        <v>9</v>
      </c>
      <c r="AR59" t="s">
        <v>1184</v>
      </c>
      <c r="AS59" t="s">
        <v>9</v>
      </c>
      <c r="AT59" t="s">
        <v>9</v>
      </c>
      <c r="AU59" t="s">
        <v>81</v>
      </c>
      <c r="AV59" t="s">
        <v>862</v>
      </c>
      <c r="AW59" t="s">
        <v>9</v>
      </c>
      <c r="AX59" t="s">
        <v>1185</v>
      </c>
      <c r="AY59" t="s">
        <v>1186</v>
      </c>
      <c r="AZ59" t="s">
        <v>1187</v>
      </c>
      <c r="BA59" t="s">
        <v>1188</v>
      </c>
      <c r="BB59" t="s">
        <v>9</v>
      </c>
      <c r="BC59" t="s">
        <v>9</v>
      </c>
      <c r="BD59" t="s">
        <v>9</v>
      </c>
      <c r="BE59" t="s">
        <v>9</v>
      </c>
      <c r="BF59" t="s">
        <v>9</v>
      </c>
      <c r="BG59" t="s">
        <v>9</v>
      </c>
      <c r="BH59" t="s">
        <v>1178</v>
      </c>
      <c r="BI59" t="s">
        <v>9</v>
      </c>
      <c r="BJ59" t="s">
        <v>1185</v>
      </c>
      <c r="BK59" t="s">
        <v>1179</v>
      </c>
      <c r="BL59" t="s">
        <v>9</v>
      </c>
      <c r="BM59" t="s">
        <v>9</v>
      </c>
      <c r="BN59">
        <v>76.31</v>
      </c>
      <c r="BO59" t="s">
        <v>9</v>
      </c>
      <c r="BP59" t="s">
        <v>9</v>
      </c>
      <c r="BQ59">
        <v>-74.61</v>
      </c>
      <c r="BR59">
        <v>68.89</v>
      </c>
      <c r="BS59" t="s">
        <v>9</v>
      </c>
      <c r="BT59" t="s">
        <v>9</v>
      </c>
      <c r="BU59" t="s">
        <v>489</v>
      </c>
      <c r="BV59">
        <v>8.19</v>
      </c>
      <c r="BW59" t="s">
        <v>9</v>
      </c>
      <c r="BX59" t="s">
        <v>9</v>
      </c>
      <c r="BY59">
        <v>-33.299999999999997</v>
      </c>
      <c r="BZ59" t="s">
        <v>9</v>
      </c>
      <c r="CA59" t="s">
        <v>9</v>
      </c>
      <c r="CB59">
        <v>-6.72</v>
      </c>
      <c r="CC59">
        <v>-3.18</v>
      </c>
      <c r="CD59" t="s">
        <v>6396</v>
      </c>
      <c r="CE59" t="s">
        <v>6397</v>
      </c>
      <c r="CF59" s="8" t="s">
        <v>9</v>
      </c>
      <c r="CG59" s="9">
        <v>0.66239999999999999</v>
      </c>
      <c r="CH59" s="8">
        <v>9.2383623123168945E-2</v>
      </c>
      <c r="CI59" s="8">
        <v>0.32193917036056519</v>
      </c>
      <c r="CJ59" s="8">
        <v>1.7717485427856445</v>
      </c>
      <c r="CK59" s="8">
        <v>6.6887412071228027</v>
      </c>
      <c r="CL59" s="8" t="s">
        <v>9</v>
      </c>
      <c r="CM59" s="9" t="s">
        <v>9</v>
      </c>
      <c r="CN59" s="9" t="s">
        <v>9</v>
      </c>
      <c r="CO59" s="9" t="s">
        <v>9</v>
      </c>
      <c r="CP59" s="9" t="s">
        <v>9</v>
      </c>
      <c r="CQ59" s="9" t="s">
        <v>9</v>
      </c>
      <c r="CR59">
        <v>12.855972787318361</v>
      </c>
      <c r="CS59">
        <v>0.45433767697588917</v>
      </c>
      <c r="CT59">
        <v>0</v>
      </c>
      <c r="CU59" s="8">
        <v>0.2829607456922531</v>
      </c>
      <c r="CV59" s="9">
        <v>4.9406877253204584E-2</v>
      </c>
      <c r="CW59">
        <v>0.06</v>
      </c>
      <c r="CX59" t="e">
        <v>#VALUE!</v>
      </c>
      <c r="CY59" t="s">
        <v>109</v>
      </c>
      <c r="CZ59">
        <v>0.2829607456922531</v>
      </c>
      <c r="DA59" t="e">
        <v>#VALUE!</v>
      </c>
      <c r="DB59" t="s">
        <v>108</v>
      </c>
      <c r="DC59">
        <v>0.26881270840764043</v>
      </c>
      <c r="DD59" t="e">
        <v>#VALUE!</v>
      </c>
      <c r="DE59" t="s">
        <v>108</v>
      </c>
      <c r="DF59">
        <v>0.24900545620918274</v>
      </c>
      <c r="DG59" t="e">
        <v>#VALUE!</v>
      </c>
      <c r="DH59" t="s">
        <v>108</v>
      </c>
      <c r="DI59">
        <v>0.22636859655380248</v>
      </c>
      <c r="DJ59" t="e">
        <v>#VALUE!</v>
      </c>
      <c r="DK59" t="s">
        <v>108</v>
      </c>
      <c r="DL59">
        <v>0.19807252198457717</v>
      </c>
      <c r="DM59">
        <v>-1546000000</v>
      </c>
      <c r="DN59">
        <v>0.2829607456922531</v>
      </c>
      <c r="DO59">
        <v>4865985700</v>
      </c>
      <c r="DP59" t="e">
        <v>#VALUE!</v>
      </c>
      <c r="DQ59">
        <v>61</v>
      </c>
      <c r="DR59" t="e">
        <v>#VALUE!</v>
      </c>
      <c r="DS59">
        <v>0.6129931227467954</v>
      </c>
      <c r="DT59" t="e">
        <v>#VALUE!</v>
      </c>
      <c r="DU59" t="e">
        <v>#VALUE!</v>
      </c>
      <c r="DV59" t="e">
        <v>#VALUE!</v>
      </c>
      <c r="DW59">
        <v>-5.4732142857142856</v>
      </c>
      <c r="DX59">
        <v>2.4825601852651946</v>
      </c>
      <c r="DY59">
        <v>-5.1053186590987085</v>
      </c>
      <c r="DZ59">
        <v>0</v>
      </c>
      <c r="EA59">
        <v>-5.1053186590987085</v>
      </c>
      <c r="EB59">
        <v>5</v>
      </c>
      <c r="EC59">
        <v>5.0632658568036219E-3</v>
      </c>
      <c r="ED59">
        <v>2.2750097241204227E-2</v>
      </c>
      <c r="EE59">
        <v>0</v>
      </c>
      <c r="EF59">
        <v>0</v>
      </c>
      <c r="EG59">
        <v>226.22256018526519</v>
      </c>
      <c r="EH59" t="s">
        <v>110</v>
      </c>
      <c r="EI59">
        <v>0</v>
      </c>
      <c r="EJ59">
        <v>0</v>
      </c>
      <c r="EK59">
        <v>0</v>
      </c>
      <c r="EL59">
        <v>0</v>
      </c>
      <c r="EM59">
        <v>0</v>
      </c>
      <c r="EN59">
        <v>0</v>
      </c>
      <c r="EO59">
        <v>0</v>
      </c>
      <c r="EP59">
        <v>0</v>
      </c>
    </row>
    <row r="60" spans="1:146" ht="96" x14ac:dyDescent="0.25">
      <c r="A60" s="7"/>
      <c r="B60" s="7"/>
      <c r="C60" s="7" t="str">
        <f>""&amp;CHAR(10)&amp;Basic_Fundamental_Information_Constructure(F60)&amp;CHAR(10)&amp;Basic_Fundamental_Information_Concatenate("")</f>
        <v xml:space="preserve">
市值820.84401亿, 利润106.84亿; PE7.68; 平均PE39.33; 平均PEG7.73, PB.938; ROIC60.7767%; ROE53.3667%; 毛利38.34%; 净利36.3467%; 上一年度营收增-57.89%, 利润增-80.78%, 利润增-86.27%; 过往5年营收增5.09%, 利润增28.45%
Income profile:
</v>
      </c>
      <c r="D60" s="11">
        <v>316</v>
      </c>
      <c r="E60" t="s">
        <v>1189</v>
      </c>
      <c r="F60">
        <v>124.3</v>
      </c>
      <c r="G60" s="5">
        <v>-2.81E-2</v>
      </c>
      <c r="H60" t="s">
        <v>7142</v>
      </c>
      <c r="I60">
        <v>82084401000</v>
      </c>
      <c r="J60">
        <v>7.68</v>
      </c>
      <c r="K60">
        <v>0.93799999999999994</v>
      </c>
      <c r="L60" t="s">
        <v>6350</v>
      </c>
      <c r="M60" t="s">
        <v>9</v>
      </c>
      <c r="N60" t="s">
        <v>9</v>
      </c>
      <c r="O60" t="s">
        <v>9</v>
      </c>
      <c r="P60" t="s">
        <v>9</v>
      </c>
      <c r="Q60" t="s">
        <v>7143</v>
      </c>
      <c r="R60">
        <v>10684292000</v>
      </c>
      <c r="S60" s="5">
        <v>-0.86270000000000002</v>
      </c>
      <c r="T60" t="s">
        <v>7144</v>
      </c>
      <c r="U60">
        <v>660373300</v>
      </c>
      <c r="V60">
        <v>660373300</v>
      </c>
      <c r="W60" t="s">
        <v>9</v>
      </c>
      <c r="X60" t="s">
        <v>9</v>
      </c>
      <c r="Y60" t="s">
        <v>9</v>
      </c>
      <c r="Z60" t="s">
        <v>9</v>
      </c>
      <c r="AA60" t="s">
        <v>9</v>
      </c>
      <c r="AB60" t="s">
        <v>9</v>
      </c>
      <c r="AC60" t="s">
        <v>9</v>
      </c>
      <c r="AD60" t="s">
        <v>381</v>
      </c>
      <c r="AE60" t="s">
        <v>9</v>
      </c>
      <c r="AF60" t="s">
        <v>9</v>
      </c>
      <c r="AG60" t="s">
        <v>9</v>
      </c>
      <c r="AH60" t="s">
        <v>7145</v>
      </c>
      <c r="AI60" t="s">
        <v>9</v>
      </c>
      <c r="AJ60" t="s">
        <v>9</v>
      </c>
      <c r="AK60" t="s">
        <v>7146</v>
      </c>
      <c r="AL60" t="s">
        <v>9</v>
      </c>
      <c r="AM60" t="s">
        <v>9</v>
      </c>
      <c r="AN60" s="5">
        <v>0.28179999999999999</v>
      </c>
      <c r="AO60" t="s">
        <v>9</v>
      </c>
      <c r="AP60" t="s">
        <v>7147</v>
      </c>
      <c r="AQ60" t="s">
        <v>9</v>
      </c>
      <c r="AR60" t="s">
        <v>7148</v>
      </c>
      <c r="AS60" t="s">
        <v>9</v>
      </c>
      <c r="AT60" t="s">
        <v>9</v>
      </c>
      <c r="AU60" t="s">
        <v>7149</v>
      </c>
      <c r="AV60" t="s">
        <v>7150</v>
      </c>
      <c r="AW60" t="s">
        <v>9</v>
      </c>
      <c r="AX60" t="s">
        <v>1190</v>
      </c>
      <c r="AY60" t="s">
        <v>1194</v>
      </c>
      <c r="AZ60" t="s">
        <v>1195</v>
      </c>
      <c r="BA60" t="s">
        <v>1196</v>
      </c>
      <c r="BB60" t="s">
        <v>1197</v>
      </c>
      <c r="BC60" t="s">
        <v>1198</v>
      </c>
      <c r="BD60" t="s">
        <v>1199</v>
      </c>
      <c r="BE60" t="s">
        <v>1200</v>
      </c>
      <c r="BF60" t="s">
        <v>1201</v>
      </c>
      <c r="BG60" t="s">
        <v>1202</v>
      </c>
      <c r="BH60" t="s">
        <v>1190</v>
      </c>
      <c r="BI60" t="s">
        <v>9</v>
      </c>
      <c r="BJ60" t="s">
        <v>1194</v>
      </c>
      <c r="BK60" t="s">
        <v>1191</v>
      </c>
      <c r="BL60" t="s">
        <v>9</v>
      </c>
      <c r="BM60" t="s">
        <v>1198</v>
      </c>
      <c r="BN60">
        <v>11.1</v>
      </c>
      <c r="BO60">
        <v>85.33</v>
      </c>
      <c r="BP60">
        <v>85.9</v>
      </c>
      <c r="BQ60">
        <v>12.21</v>
      </c>
      <c r="BR60">
        <v>74.17</v>
      </c>
      <c r="BS60">
        <v>73.72</v>
      </c>
      <c r="BT60" t="s">
        <v>7151</v>
      </c>
      <c r="BU60" t="s">
        <v>687</v>
      </c>
      <c r="BV60">
        <v>13.85</v>
      </c>
      <c r="BW60">
        <v>52.6</v>
      </c>
      <c r="BX60">
        <v>48.57</v>
      </c>
      <c r="BY60">
        <v>16.41</v>
      </c>
      <c r="BZ60">
        <v>50.28</v>
      </c>
      <c r="CA60">
        <v>42.35</v>
      </c>
      <c r="CB60">
        <v>-8.06</v>
      </c>
      <c r="CC60">
        <v>-10.45</v>
      </c>
      <c r="CD60" t="s">
        <v>7152</v>
      </c>
      <c r="CE60" t="s">
        <v>7153</v>
      </c>
      <c r="CF60" s="8" t="s">
        <v>9</v>
      </c>
      <c r="CG60" s="9">
        <v>-0.86270000000000002</v>
      </c>
      <c r="CH60" s="8">
        <v>-0.57885968685150146</v>
      </c>
      <c r="CI60" s="8">
        <v>0.17903049290180206</v>
      </c>
      <c r="CJ60" s="8">
        <v>1.0668114423751831</v>
      </c>
      <c r="CK60" s="8">
        <v>0.23338513076305389</v>
      </c>
      <c r="CL60" s="8">
        <v>0.1016024649143219</v>
      </c>
      <c r="CM60" s="9">
        <v>-0.80778986215591431</v>
      </c>
      <c r="CN60" s="9">
        <v>6.9418492317199707</v>
      </c>
      <c r="CO60" s="9">
        <v>-0.33361896872520447</v>
      </c>
      <c r="CP60" s="9">
        <v>11.400237083435059</v>
      </c>
      <c r="CQ60" s="9">
        <v>-0.21282528340816498</v>
      </c>
      <c r="CR60">
        <v>39.325008463749604</v>
      </c>
      <c r="CS60">
        <v>7.7250804026106676</v>
      </c>
      <c r="CT60" t="e">
        <v>#VALUE!</v>
      </c>
      <c r="CU60" s="8">
        <v>5.0905629992485046E-2</v>
      </c>
      <c r="CV60" s="9">
        <v>0.28450616002082824</v>
      </c>
      <c r="CW60">
        <v>0.06</v>
      </c>
      <c r="CX60">
        <v>7.7494146703122135</v>
      </c>
      <c r="CY60">
        <v>10592335613.999725</v>
      </c>
      <c r="CZ60">
        <v>5.0905629992485046E-2</v>
      </c>
      <c r="DA60">
        <v>2.6180528411670445</v>
      </c>
      <c r="DB60">
        <v>31353225461.793732</v>
      </c>
      <c r="DC60">
        <v>4.8360348492860791E-2</v>
      </c>
      <c r="DD60">
        <v>1.3464871723421235</v>
      </c>
      <c r="DE60">
        <v>60961888598.77494</v>
      </c>
      <c r="DF60">
        <v>4.4796954393386844E-2</v>
      </c>
      <c r="DG60">
        <v>0.84870946974951245</v>
      </c>
      <c r="DH60">
        <v>96716725717.961334</v>
      </c>
      <c r="DI60">
        <v>4.072450399398804E-2</v>
      </c>
      <c r="DJ60">
        <v>0.48600955973132814</v>
      </c>
      <c r="DK60">
        <v>168894622248.53607</v>
      </c>
      <c r="DL60">
        <v>3.563394099473953E-2</v>
      </c>
      <c r="DM60">
        <v>10684000000</v>
      </c>
      <c r="DN60">
        <v>5.0905629992485046E-2</v>
      </c>
      <c r="DO60">
        <v>82084401000</v>
      </c>
      <c r="DP60" t="e">
        <v>#VALUE!</v>
      </c>
      <c r="DQ60">
        <v>59</v>
      </c>
      <c r="DR60" t="e">
        <v>#VALUE!</v>
      </c>
      <c r="DS60">
        <v>-1.1472061600208283</v>
      </c>
      <c r="DT60" t="e">
        <v>#VALUE!</v>
      </c>
      <c r="DU60" t="e">
        <v>#VALUE!</v>
      </c>
      <c r="DV60" t="e">
        <v>#VALUE!</v>
      </c>
      <c r="DW60">
        <v>-9.771291866028708</v>
      </c>
      <c r="DX60">
        <v>0.35294397953874751</v>
      </c>
      <c r="DY60">
        <v>-9.1179644473762966</v>
      </c>
      <c r="DZ60">
        <v>0</v>
      </c>
      <c r="EA60">
        <v>-9.1179644473762966</v>
      </c>
      <c r="EB60">
        <v>9</v>
      </c>
      <c r="EC60">
        <v>9.5261271162840767E-3</v>
      </c>
      <c r="ED60">
        <v>6.2285074214841821E-2</v>
      </c>
      <c r="EE60">
        <v>0</v>
      </c>
      <c r="EF60">
        <v>0</v>
      </c>
      <c r="EG60">
        <v>20.152943979538747</v>
      </c>
      <c r="EH60" t="s">
        <v>110</v>
      </c>
      <c r="EI60">
        <v>0</v>
      </c>
      <c r="EJ60">
        <v>0</v>
      </c>
      <c r="EK60">
        <v>0</v>
      </c>
      <c r="EL60">
        <v>0</v>
      </c>
      <c r="EM60">
        <v>0</v>
      </c>
      <c r="EN60">
        <v>0</v>
      </c>
      <c r="EO60">
        <v>0</v>
      </c>
      <c r="EP60">
        <v>0</v>
      </c>
    </row>
    <row r="61" spans="1:146" ht="96" x14ac:dyDescent="0.25">
      <c r="A61" s="7"/>
      <c r="B61" s="7"/>
      <c r="C61" s="7" t="str">
        <f>""&amp;CHAR(10)&amp;Basic_Fundamental_Information_Constructure(F61)&amp;CHAR(10)&amp;Basic_Fundamental_Information_Concatenate("")</f>
        <v xml:space="preserve">
市值228.98803亿, 利润5269.17万; PE229.6; 平均PE34.16; 平均PEG1.24, PB1.2; ROIC1.32%; ROE1.74%; 股利率0%; 毛利7.76%; 净利2.3%; 上一年度营收增22.61%, 利润增-45.8%; 当季营收增117.64%, 利润增154.4%; 过往5年营收增27.57%, 利润增2.22%
Income profile:
</v>
      </c>
      <c r="D61" s="11">
        <v>317</v>
      </c>
      <c r="E61" t="s">
        <v>1203</v>
      </c>
      <c r="F61">
        <v>16.2</v>
      </c>
      <c r="G61" s="5">
        <v>3.0499999999999999E-2</v>
      </c>
      <c r="H61" t="s">
        <v>7154</v>
      </c>
      <c r="I61">
        <v>22898803000</v>
      </c>
      <c r="J61">
        <v>229.6</v>
      </c>
      <c r="K61">
        <v>1.2</v>
      </c>
      <c r="L61" t="s">
        <v>6350</v>
      </c>
      <c r="M61" t="s">
        <v>7155</v>
      </c>
      <c r="N61" t="s">
        <v>2622</v>
      </c>
      <c r="O61" t="s">
        <v>7156</v>
      </c>
      <c r="P61">
        <v>47.82</v>
      </c>
      <c r="Q61" t="s">
        <v>7157</v>
      </c>
      <c r="R61">
        <v>52691652</v>
      </c>
      <c r="S61" s="5">
        <v>1.544</v>
      </c>
      <c r="T61" t="s">
        <v>7158</v>
      </c>
      <c r="U61">
        <v>592071200</v>
      </c>
      <c r="V61">
        <v>1413506400</v>
      </c>
      <c r="W61">
        <v>2.88</v>
      </c>
      <c r="X61">
        <v>0.06</v>
      </c>
      <c r="Y61">
        <v>0.96</v>
      </c>
      <c r="Z61" t="s">
        <v>2854</v>
      </c>
      <c r="AA61" t="s">
        <v>1357</v>
      </c>
      <c r="AB61" t="s">
        <v>7159</v>
      </c>
      <c r="AC61" t="s">
        <v>2072</v>
      </c>
      <c r="AD61" t="s">
        <v>2144</v>
      </c>
      <c r="AE61" t="s">
        <v>7160</v>
      </c>
      <c r="AF61" t="s">
        <v>9</v>
      </c>
      <c r="AG61" t="s">
        <v>7161</v>
      </c>
      <c r="AH61" t="s">
        <v>7162</v>
      </c>
      <c r="AI61" t="s">
        <v>7163</v>
      </c>
      <c r="AJ61" t="s">
        <v>6411</v>
      </c>
      <c r="AK61" t="s">
        <v>7164</v>
      </c>
      <c r="AL61" t="s">
        <v>9</v>
      </c>
      <c r="AM61" t="s">
        <v>7165</v>
      </c>
      <c r="AN61" s="5">
        <v>0.58830000000000005</v>
      </c>
      <c r="AO61" t="s">
        <v>2164</v>
      </c>
      <c r="AP61" t="s">
        <v>7166</v>
      </c>
      <c r="AQ61" t="s">
        <v>7167</v>
      </c>
      <c r="AR61" t="s">
        <v>7168</v>
      </c>
      <c r="AS61" t="s">
        <v>7169</v>
      </c>
      <c r="AT61" t="s">
        <v>7170</v>
      </c>
      <c r="AU61" t="s">
        <v>7171</v>
      </c>
      <c r="AV61" t="s">
        <v>7172</v>
      </c>
      <c r="AW61" t="s">
        <v>7173</v>
      </c>
      <c r="AX61" t="s">
        <v>1204</v>
      </c>
      <c r="AY61" t="s">
        <v>1210</v>
      </c>
      <c r="AZ61" t="s">
        <v>1211</v>
      </c>
      <c r="BA61" t="s">
        <v>1212</v>
      </c>
      <c r="BB61" t="s">
        <v>1213</v>
      </c>
      <c r="BC61" t="s">
        <v>1214</v>
      </c>
      <c r="BD61" t="s">
        <v>1215</v>
      </c>
      <c r="BE61" t="s">
        <v>1216</v>
      </c>
      <c r="BF61" t="s">
        <v>1217</v>
      </c>
      <c r="BG61" t="s">
        <v>1218</v>
      </c>
      <c r="BH61" t="s">
        <v>1204</v>
      </c>
      <c r="BI61" t="s">
        <v>846</v>
      </c>
      <c r="BJ61" t="s">
        <v>1210</v>
      </c>
      <c r="BK61" t="s">
        <v>233</v>
      </c>
      <c r="BL61" t="s">
        <v>1219</v>
      </c>
      <c r="BM61" t="s">
        <v>1214</v>
      </c>
      <c r="BN61">
        <v>0.23</v>
      </c>
      <c r="BO61">
        <v>3.33</v>
      </c>
      <c r="BP61">
        <v>0.4</v>
      </c>
      <c r="BQ61">
        <v>0.28999999999999998</v>
      </c>
      <c r="BR61">
        <v>4.42</v>
      </c>
      <c r="BS61">
        <v>0.51</v>
      </c>
      <c r="BT61" t="s">
        <v>1220</v>
      </c>
      <c r="BU61" t="s">
        <v>589</v>
      </c>
      <c r="BV61">
        <v>6.47</v>
      </c>
      <c r="BW61">
        <v>6.72</v>
      </c>
      <c r="BX61">
        <v>10.09</v>
      </c>
      <c r="BY61">
        <v>0.45</v>
      </c>
      <c r="BZ61">
        <v>5.56</v>
      </c>
      <c r="CA61">
        <v>0.89</v>
      </c>
      <c r="CB61">
        <v>-1.22</v>
      </c>
      <c r="CC61">
        <v>11.82</v>
      </c>
      <c r="CD61" t="s">
        <v>7174</v>
      </c>
      <c r="CE61" t="s">
        <v>7175</v>
      </c>
      <c r="CF61" s="8">
        <v>1.1763858891288697</v>
      </c>
      <c r="CG61" s="9">
        <v>1.544</v>
      </c>
      <c r="CH61" s="8">
        <v>0.22614675760269165</v>
      </c>
      <c r="CI61" s="8">
        <v>9.8808463662862778E-3</v>
      </c>
      <c r="CJ61" s="8">
        <v>3.3608574420213699E-2</v>
      </c>
      <c r="CK61" s="8">
        <v>-0.36675533652305603</v>
      </c>
      <c r="CL61" s="8">
        <v>-0.2065940797328949</v>
      </c>
      <c r="CM61" s="9">
        <v>-0.45795956254005432</v>
      </c>
      <c r="CN61" s="9">
        <v>-0.9777296781539917</v>
      </c>
      <c r="CO61" s="9">
        <v>6.1207180023193359</v>
      </c>
      <c r="CP61" s="9">
        <v>1.2880638837814331</v>
      </c>
      <c r="CQ61" s="9">
        <v>-34.142478942871094</v>
      </c>
      <c r="CR61">
        <v>34.162941430841158</v>
      </c>
      <c r="CS61">
        <v>1.2393459254962111</v>
      </c>
      <c r="CT61">
        <v>0</v>
      </c>
      <c r="CU61" s="8">
        <v>0.27565299347043037</v>
      </c>
      <c r="CV61" s="9">
        <v>2.2241333127021791E-2</v>
      </c>
      <c r="CW61">
        <v>0.06</v>
      </c>
      <c r="CX61">
        <v>513.90895387775947</v>
      </c>
      <c r="CY61">
        <v>63411627.203816868</v>
      </c>
      <c r="CZ61">
        <v>0.27565299347043037</v>
      </c>
      <c r="DA61">
        <v>144.00767152735216</v>
      </c>
      <c r="DB61">
        <v>226292131.90083709</v>
      </c>
      <c r="DC61">
        <v>0.26187034379690882</v>
      </c>
      <c r="DD61">
        <v>56.9811747697333</v>
      </c>
      <c r="DE61">
        <v>571904723.47561479</v>
      </c>
      <c r="DF61">
        <v>0.24257463425397874</v>
      </c>
      <c r="DG61">
        <v>26.269408952663962</v>
      </c>
      <c r="DH61">
        <v>1240522885.7155271</v>
      </c>
      <c r="DI61">
        <v>0.2205223947763443</v>
      </c>
      <c r="DJ61">
        <v>7.1605001763074574</v>
      </c>
      <c r="DK61">
        <v>4551051211.1746016</v>
      </c>
      <c r="DL61">
        <v>0.19295709542930126</v>
      </c>
      <c r="DM61">
        <v>52691700</v>
      </c>
      <c r="DN61">
        <v>0.27565299347043037</v>
      </c>
      <c r="DO61">
        <v>32587803000</v>
      </c>
      <c r="DP61" t="e">
        <v>#VALUE!</v>
      </c>
      <c r="DQ61">
        <v>60</v>
      </c>
      <c r="DR61">
        <v>0.90073289565843928</v>
      </c>
      <c r="DS61">
        <v>1.5217586668729783</v>
      </c>
      <c r="DT61">
        <v>-0.24000000000000002</v>
      </c>
      <c r="DU61">
        <v>9.9999999999999992E-2</v>
      </c>
      <c r="DV61">
        <v>-0.14000000000000001</v>
      </c>
      <c r="DW61">
        <v>2.1181999999999999</v>
      </c>
      <c r="DX61">
        <v>0.34804926980887829</v>
      </c>
      <c r="DY61">
        <v>2.0245914236914095</v>
      </c>
      <c r="DZ61">
        <v>0</v>
      </c>
      <c r="EA61">
        <v>2.0245914236914095</v>
      </c>
      <c r="EB61">
        <v>2</v>
      </c>
      <c r="EC61">
        <v>1.226022039942656E-2</v>
      </c>
      <c r="ED61">
        <v>5.8929411285297321E-2</v>
      </c>
      <c r="EE61">
        <v>0</v>
      </c>
      <c r="EF61">
        <v>0</v>
      </c>
      <c r="EG61">
        <v>14.208049269808878</v>
      </c>
      <c r="EH61" t="s">
        <v>110</v>
      </c>
      <c r="EI61">
        <v>1</v>
      </c>
      <c r="EJ61">
        <v>0</v>
      </c>
      <c r="EK61">
        <v>0</v>
      </c>
      <c r="EL61">
        <v>0</v>
      </c>
      <c r="EM61">
        <v>0</v>
      </c>
      <c r="EN61">
        <v>0</v>
      </c>
      <c r="EO61">
        <v>0</v>
      </c>
      <c r="EP61">
        <v>0</v>
      </c>
    </row>
    <row r="62" spans="1:146" ht="96" x14ac:dyDescent="0.25">
      <c r="A62" s="7"/>
      <c r="B62" s="7"/>
      <c r="C62" s="7" t="str">
        <f>""&amp;CHAR(10)&amp;Basic_Fundamental_Information_Constructure(F62)&amp;CHAR(10)&amp;Basic_Fundamental_Information_Concatenate("")</f>
        <v xml:space="preserve">
市值529.06606亿, 利润34.17亿; PE15.48; 平均PE12.37; 平均PEG.78, PB3.47; ROIC10.09%; ROE20.8367%; 毛利29.9667%; 净利4.7333%; 上一年度营收增-.73%, 利润增-26.61%, 利润增15.08%; 过往5年营收增15.89%, 利润增31.58%
Income profile:
</v>
      </c>
      <c r="D62" s="11">
        <v>322</v>
      </c>
      <c r="E62" t="s">
        <v>1221</v>
      </c>
      <c r="F62">
        <v>9.39</v>
      </c>
      <c r="G62" s="5">
        <v>-6.4699999999999994E-2</v>
      </c>
      <c r="H62" t="s">
        <v>7176</v>
      </c>
      <c r="I62">
        <v>52906606000</v>
      </c>
      <c r="J62">
        <v>15.48</v>
      </c>
      <c r="K62">
        <v>3.47</v>
      </c>
      <c r="L62" t="s">
        <v>6350</v>
      </c>
      <c r="M62" t="s">
        <v>9</v>
      </c>
      <c r="N62" t="s">
        <v>9</v>
      </c>
      <c r="O62" t="s">
        <v>9</v>
      </c>
      <c r="P62" t="s">
        <v>9</v>
      </c>
      <c r="Q62" t="s">
        <v>7177</v>
      </c>
      <c r="R62">
        <v>3417360700</v>
      </c>
      <c r="S62" s="5">
        <v>0.15079999999999999</v>
      </c>
      <c r="T62" t="s">
        <v>166</v>
      </c>
      <c r="U62">
        <v>5634356400</v>
      </c>
      <c r="V62">
        <v>5634356400</v>
      </c>
      <c r="W62" t="s">
        <v>9</v>
      </c>
      <c r="X62" t="s">
        <v>9</v>
      </c>
      <c r="Y62" t="s">
        <v>9</v>
      </c>
      <c r="Z62" t="s">
        <v>9</v>
      </c>
      <c r="AA62" t="s">
        <v>9</v>
      </c>
      <c r="AB62" t="s">
        <v>9</v>
      </c>
      <c r="AC62" t="s">
        <v>9</v>
      </c>
      <c r="AD62" t="s">
        <v>9</v>
      </c>
      <c r="AE62" t="s">
        <v>9</v>
      </c>
      <c r="AF62" t="s">
        <v>9</v>
      </c>
      <c r="AG62" t="s">
        <v>9</v>
      </c>
      <c r="AH62" t="s">
        <v>7178</v>
      </c>
      <c r="AI62" t="s">
        <v>9</v>
      </c>
      <c r="AJ62" t="s">
        <v>9</v>
      </c>
      <c r="AK62" t="s">
        <v>7179</v>
      </c>
      <c r="AL62" t="s">
        <v>9</v>
      </c>
      <c r="AM62" t="s">
        <v>9</v>
      </c>
      <c r="AN62" s="5">
        <v>0.67600000000000005</v>
      </c>
      <c r="AO62" t="s">
        <v>9</v>
      </c>
      <c r="AP62" t="s">
        <v>7180</v>
      </c>
      <c r="AQ62" t="s">
        <v>9</v>
      </c>
      <c r="AR62" t="s">
        <v>7181</v>
      </c>
      <c r="AS62" t="s">
        <v>9</v>
      </c>
      <c r="AT62" t="s">
        <v>9</v>
      </c>
      <c r="AU62" t="s">
        <v>7182</v>
      </c>
      <c r="AV62" t="s">
        <v>7183</v>
      </c>
      <c r="AW62" t="s">
        <v>9</v>
      </c>
      <c r="AX62" t="s">
        <v>1222</v>
      </c>
      <c r="AY62" t="s">
        <v>1225</v>
      </c>
      <c r="AZ62" t="s">
        <v>1226</v>
      </c>
      <c r="BA62" t="s">
        <v>1227</v>
      </c>
      <c r="BB62" t="s">
        <v>1228</v>
      </c>
      <c r="BC62" t="s">
        <v>1229</v>
      </c>
      <c r="BD62" t="s">
        <v>1230</v>
      </c>
      <c r="BE62" t="s">
        <v>1231</v>
      </c>
      <c r="BF62" t="s">
        <v>1232</v>
      </c>
      <c r="BG62" t="s">
        <v>1233</v>
      </c>
      <c r="BH62" t="s">
        <v>1222</v>
      </c>
      <c r="BI62" t="s">
        <v>9</v>
      </c>
      <c r="BJ62" t="s">
        <v>1225</v>
      </c>
      <c r="BK62" t="s">
        <v>1223</v>
      </c>
      <c r="BL62" t="s">
        <v>9</v>
      </c>
      <c r="BM62" t="s">
        <v>1229</v>
      </c>
      <c r="BN62">
        <v>10.64</v>
      </c>
      <c r="BO62">
        <v>8.3000000000000007</v>
      </c>
      <c r="BP62">
        <v>11.33</v>
      </c>
      <c r="BQ62">
        <v>22.44</v>
      </c>
      <c r="BR62">
        <v>19.690000000000001</v>
      </c>
      <c r="BS62">
        <v>20.38</v>
      </c>
      <c r="BT62" t="s">
        <v>1234</v>
      </c>
      <c r="BU62" t="s">
        <v>759</v>
      </c>
      <c r="BV62">
        <v>30.42</v>
      </c>
      <c r="BW62">
        <v>29.09</v>
      </c>
      <c r="BX62">
        <v>30.39</v>
      </c>
      <c r="BY62">
        <v>4.37</v>
      </c>
      <c r="BZ62">
        <v>3.91</v>
      </c>
      <c r="CA62">
        <v>5.92</v>
      </c>
      <c r="CB62">
        <v>-2.8</v>
      </c>
      <c r="CC62">
        <v>-2.85</v>
      </c>
      <c r="CD62" t="s">
        <v>7184</v>
      </c>
      <c r="CE62" t="s">
        <v>919</v>
      </c>
      <c r="CF62" s="8" t="s">
        <v>9</v>
      </c>
      <c r="CG62" s="9">
        <v>0.15079999999999999</v>
      </c>
      <c r="CH62" s="8">
        <v>-7.2860005311667919E-3</v>
      </c>
      <c r="CI62" s="8">
        <v>-2.1088210865855217E-2</v>
      </c>
      <c r="CJ62" s="8">
        <v>0.12556760013103485</v>
      </c>
      <c r="CK62" s="8">
        <v>0.16638936102390289</v>
      </c>
      <c r="CL62" s="8">
        <v>-2.2396797314286232E-2</v>
      </c>
      <c r="CM62" s="9">
        <v>-0.26610827445983887</v>
      </c>
      <c r="CN62" s="9">
        <v>-3.8413852453231812E-2</v>
      </c>
      <c r="CO62" s="9">
        <v>0.3009134829044342</v>
      </c>
      <c r="CP62" s="9">
        <v>0.32691621780395508</v>
      </c>
      <c r="CQ62" s="9">
        <v>0.28610730171203613</v>
      </c>
      <c r="CR62">
        <v>12.368581180596143</v>
      </c>
      <c r="CS62">
        <v>0.77837728601545753</v>
      </c>
      <c r="CT62" t="e">
        <v>#VALUE!</v>
      </c>
      <c r="CU62" s="8">
        <v>0.15890213400125502</v>
      </c>
      <c r="CV62" s="9">
        <v>0.31578460335731506</v>
      </c>
      <c r="CW62">
        <v>0.06</v>
      </c>
      <c r="CX62">
        <v>14.16198160635993</v>
      </c>
      <c r="CY62">
        <v>3735819426.3040457</v>
      </c>
      <c r="CZ62">
        <v>0.15890213400125502</v>
      </c>
      <c r="DA62">
        <v>4.3677382861792564</v>
      </c>
      <c r="DB62">
        <v>12113043990.618961</v>
      </c>
      <c r="DC62">
        <v>0.15095702730119226</v>
      </c>
      <c r="DD62">
        <v>1.9861163334566299</v>
      </c>
      <c r="DE62">
        <v>26638221089.457298</v>
      </c>
      <c r="DF62">
        <v>0.13983387792110441</v>
      </c>
      <c r="DG62">
        <v>1.0876160969345139</v>
      </c>
      <c r="DH62">
        <v>48644559554.717171</v>
      </c>
      <c r="DI62">
        <v>0.12712170720100402</v>
      </c>
      <c r="DJ62">
        <v>0.45460229019735282</v>
      </c>
      <c r="DK62">
        <v>116379981229.37762</v>
      </c>
      <c r="DL62">
        <v>0.1112314938008785</v>
      </c>
      <c r="DM62">
        <v>3417000000</v>
      </c>
      <c r="DN62">
        <v>0.15890213400125502</v>
      </c>
      <c r="DO62">
        <v>52906606000</v>
      </c>
      <c r="DP62" t="e">
        <v>#VALUE!</v>
      </c>
      <c r="DQ62">
        <v>61</v>
      </c>
      <c r="DR62" t="e">
        <v>#VALUE!</v>
      </c>
      <c r="DS62">
        <v>-0.16498460335731507</v>
      </c>
      <c r="DT62" t="e">
        <v>#VALUE!</v>
      </c>
      <c r="DU62" t="e">
        <v>#VALUE!</v>
      </c>
      <c r="DV62" t="e">
        <v>#VALUE!</v>
      </c>
      <c r="DW62">
        <v>-8.9824561403508767</v>
      </c>
      <c r="DX62">
        <v>0.51370291545189273</v>
      </c>
      <c r="DY62">
        <v>-8.1608309344790548</v>
      </c>
      <c r="DZ62">
        <v>0</v>
      </c>
      <c r="EA62">
        <v>-8.1608309344790548</v>
      </c>
      <c r="EB62">
        <v>8</v>
      </c>
      <c r="EC62">
        <v>9.9656635139374564E-3</v>
      </c>
      <c r="ED62">
        <v>6.0876518212443928E-2</v>
      </c>
      <c r="EE62">
        <v>0</v>
      </c>
      <c r="EF62">
        <v>0</v>
      </c>
      <c r="EG62">
        <v>35.163702915451893</v>
      </c>
      <c r="EH62" t="s">
        <v>110</v>
      </c>
      <c r="EI62">
        <v>0</v>
      </c>
      <c r="EJ62">
        <v>0</v>
      </c>
      <c r="EK62">
        <v>0</v>
      </c>
      <c r="EL62">
        <v>0</v>
      </c>
      <c r="EM62">
        <v>0</v>
      </c>
      <c r="EN62">
        <v>0</v>
      </c>
      <c r="EO62">
        <v>0</v>
      </c>
      <c r="EP62">
        <v>0</v>
      </c>
    </row>
    <row r="63" spans="1:146" ht="96" x14ac:dyDescent="0.25">
      <c r="A63" s="7"/>
      <c r="B63" s="7"/>
      <c r="C63" s="7" t="str">
        <f>""&amp;CHAR(10)&amp;Basic_Fundamental_Information_Constructure(F63)&amp;CHAR(10)&amp;Basic_Fundamental_Information_Concatenate("")</f>
        <v xml:space="preserve">
市值87.540399亿, 利润-14.55亿; PE; 平均PE-45.91; 平均PEG-42.26, PB.296; ROIC2.2667%; ROE2.8233%; 股利率0%; 毛利5.55%; 净利.9433%; 上一年度营收增-5.81%, 利润增-122.29%; 当季营收增-33.1%, 利润增42.37%; 过往5年营收增-1.09%, 利润增-44.21%
Income profile:
</v>
      </c>
      <c r="D63" s="11">
        <v>323</v>
      </c>
      <c r="E63" t="s">
        <v>1235</v>
      </c>
      <c r="F63">
        <v>1.1299999999999999</v>
      </c>
      <c r="G63" s="5">
        <v>-1.7399999999999999E-2</v>
      </c>
      <c r="H63" t="s">
        <v>7185</v>
      </c>
      <c r="I63">
        <v>8754039900</v>
      </c>
      <c r="K63">
        <v>0.29599999999999999</v>
      </c>
      <c r="L63" t="s">
        <v>6350</v>
      </c>
      <c r="M63" t="s">
        <v>7186</v>
      </c>
      <c r="N63" t="s">
        <v>7187</v>
      </c>
      <c r="O63" t="s">
        <v>7188</v>
      </c>
      <c r="P63">
        <v>-10.31</v>
      </c>
      <c r="Q63" t="s">
        <v>7189</v>
      </c>
      <c r="R63">
        <v>-1454834400</v>
      </c>
      <c r="S63" s="5">
        <v>0.42370000000000002</v>
      </c>
      <c r="T63" t="s">
        <v>7190</v>
      </c>
      <c r="U63">
        <v>1732930000</v>
      </c>
      <c r="V63">
        <v>7746938000</v>
      </c>
      <c r="W63">
        <v>3.11</v>
      </c>
      <c r="X63">
        <v>0.24</v>
      </c>
      <c r="Y63">
        <v>-1.29</v>
      </c>
      <c r="Z63" t="s">
        <v>3770</v>
      </c>
      <c r="AA63" t="s">
        <v>7191</v>
      </c>
      <c r="AB63" t="s">
        <v>7192</v>
      </c>
      <c r="AC63" t="s">
        <v>3488</v>
      </c>
      <c r="AD63" t="s">
        <v>7193</v>
      </c>
      <c r="AE63" t="s">
        <v>205</v>
      </c>
      <c r="AF63" t="s">
        <v>9</v>
      </c>
      <c r="AG63" t="s">
        <v>7194</v>
      </c>
      <c r="AH63" t="s">
        <v>7195</v>
      </c>
      <c r="AI63" t="s">
        <v>7196</v>
      </c>
      <c r="AJ63" t="s">
        <v>7197</v>
      </c>
      <c r="AK63" t="s">
        <v>7198</v>
      </c>
      <c r="AL63" t="s">
        <v>9</v>
      </c>
      <c r="AM63" t="s">
        <v>7199</v>
      </c>
      <c r="AN63" s="5">
        <v>0.62560000000000004</v>
      </c>
      <c r="AO63" t="s">
        <v>7200</v>
      </c>
      <c r="AP63" t="s">
        <v>7201</v>
      </c>
      <c r="AQ63" t="s">
        <v>7202</v>
      </c>
      <c r="AR63" t="s">
        <v>7203</v>
      </c>
      <c r="AS63" t="s">
        <v>7204</v>
      </c>
      <c r="AT63" t="s">
        <v>7205</v>
      </c>
      <c r="AU63" t="s">
        <v>4220</v>
      </c>
      <c r="AV63" t="s">
        <v>4407</v>
      </c>
      <c r="AW63" t="s">
        <v>7206</v>
      </c>
      <c r="AX63" t="s">
        <v>1236</v>
      </c>
      <c r="AY63" t="s">
        <v>1242</v>
      </c>
      <c r="AZ63" t="s">
        <v>1243</v>
      </c>
      <c r="BA63" t="s">
        <v>1245</v>
      </c>
      <c r="BB63" t="s">
        <v>1246</v>
      </c>
      <c r="BC63" t="s">
        <v>1247</v>
      </c>
      <c r="BD63" t="s">
        <v>1248</v>
      </c>
      <c r="BE63" t="s">
        <v>1249</v>
      </c>
      <c r="BF63" t="s">
        <v>1250</v>
      </c>
      <c r="BG63" t="s">
        <v>1251</v>
      </c>
      <c r="BH63" t="s">
        <v>1236</v>
      </c>
      <c r="BI63" t="s">
        <v>1252</v>
      </c>
      <c r="BJ63" t="s">
        <v>1242</v>
      </c>
      <c r="BK63" t="s">
        <v>1237</v>
      </c>
      <c r="BL63" t="s">
        <v>1253</v>
      </c>
      <c r="BM63" t="s">
        <v>1247</v>
      </c>
      <c r="BN63">
        <v>-2.94</v>
      </c>
      <c r="BO63">
        <v>-1.89</v>
      </c>
      <c r="BP63">
        <v>11.63</v>
      </c>
      <c r="BQ63">
        <v>-4.78</v>
      </c>
      <c r="BR63">
        <v>-3.03</v>
      </c>
      <c r="BS63">
        <v>16.28</v>
      </c>
      <c r="BT63" t="s">
        <v>7207</v>
      </c>
      <c r="BU63" t="s">
        <v>1254</v>
      </c>
      <c r="BV63">
        <v>1.27</v>
      </c>
      <c r="BW63">
        <v>2.78</v>
      </c>
      <c r="BX63">
        <v>12.6</v>
      </c>
      <c r="BY63">
        <v>-1.66</v>
      </c>
      <c r="BZ63">
        <v>-0.81</v>
      </c>
      <c r="CA63">
        <v>5.3</v>
      </c>
      <c r="CB63">
        <v>-5.04</v>
      </c>
      <c r="CC63">
        <v>-5.83</v>
      </c>
      <c r="CD63" t="s">
        <v>7208</v>
      </c>
      <c r="CE63" t="s">
        <v>2432</v>
      </c>
      <c r="CF63" s="8">
        <v>-0.33095507854365069</v>
      </c>
      <c r="CG63" s="9">
        <v>0.42370000000000002</v>
      </c>
      <c r="CH63" s="8">
        <v>-5.8063987642526627E-2</v>
      </c>
      <c r="CI63" s="8">
        <v>-0.17243745923042297</v>
      </c>
      <c r="CJ63" s="8">
        <v>0.43425846099853516</v>
      </c>
      <c r="CK63" s="8">
        <v>3.5644635558128357E-2</v>
      </c>
      <c r="CL63" s="8">
        <v>6.2841005623340607E-2</v>
      </c>
      <c r="CM63" s="9">
        <v>-1.2228518724441528</v>
      </c>
      <c r="CN63" s="9">
        <v>1.7630130052566528</v>
      </c>
      <c r="CO63" s="9">
        <v>0.87390971183776855</v>
      </c>
      <c r="CP63" s="9">
        <v>-0.81365448236465454</v>
      </c>
      <c r="CQ63" s="9">
        <v>0.36707067489624023</v>
      </c>
      <c r="CR63">
        <v>-45.912796678321683</v>
      </c>
      <c r="CS63">
        <v>-42.25907189508569</v>
      </c>
      <c r="CT63">
        <v>0</v>
      </c>
      <c r="CU63" s="8">
        <v>-1.0864601284265519E-2</v>
      </c>
      <c r="CV63" s="9">
        <v>-0.4420637607574463</v>
      </c>
      <c r="CW63">
        <v>0.06</v>
      </c>
      <c r="CX63" t="e">
        <v>#VALUE!</v>
      </c>
      <c r="CY63" t="s">
        <v>109</v>
      </c>
      <c r="CZ63">
        <v>-1.0864601284265519E-2</v>
      </c>
      <c r="DA63" t="e">
        <v>#VALUE!</v>
      </c>
      <c r="DB63" t="s">
        <v>108</v>
      </c>
      <c r="DC63">
        <v>-1.0321371220052243E-2</v>
      </c>
      <c r="DD63" t="e">
        <v>#VALUE!</v>
      </c>
      <c r="DE63" t="s">
        <v>108</v>
      </c>
      <c r="DF63">
        <v>-9.5608491301536567E-3</v>
      </c>
      <c r="DG63" t="e">
        <v>#VALUE!</v>
      </c>
      <c r="DH63" t="s">
        <v>108</v>
      </c>
      <c r="DI63">
        <v>-8.6916810274124158E-3</v>
      </c>
      <c r="DJ63" t="e">
        <v>#VALUE!</v>
      </c>
      <c r="DK63" t="s">
        <v>108</v>
      </c>
      <c r="DL63">
        <v>-7.6052208989858625E-3</v>
      </c>
      <c r="DM63">
        <v>-1455000000</v>
      </c>
      <c r="DN63">
        <v>-1.0864601284265519E-2</v>
      </c>
      <c r="DO63">
        <v>31871039900</v>
      </c>
      <c r="DP63" t="e">
        <v>#VALUE!</v>
      </c>
      <c r="DQ63">
        <v>62</v>
      </c>
      <c r="DR63">
        <v>-0.32009047725938516</v>
      </c>
      <c r="DS63">
        <v>0.86576376075744632</v>
      </c>
      <c r="DT63">
        <v>-0.44</v>
      </c>
      <c r="DU63">
        <v>-1.8316666666666668</v>
      </c>
      <c r="DV63">
        <v>-2.2716666666666669</v>
      </c>
      <c r="DW63">
        <v>-8.8644939965694682</v>
      </c>
      <c r="DX63">
        <v>0.86045390070922456</v>
      </c>
      <c r="DY63">
        <v>-8.1560013138206635</v>
      </c>
      <c r="DZ63">
        <v>0</v>
      </c>
      <c r="EA63">
        <v>-8.1560013138206635</v>
      </c>
      <c r="EB63">
        <v>8</v>
      </c>
      <c r="EC63">
        <v>3.2843944278371662E-3</v>
      </c>
      <c r="ED63">
        <v>1.8200739440537669E-2</v>
      </c>
      <c r="EE63">
        <v>0</v>
      </c>
      <c r="EF63">
        <v>0</v>
      </c>
      <c r="EG63">
        <v>68.180453900709225</v>
      </c>
      <c r="EH63" t="s">
        <v>110</v>
      </c>
      <c r="EI63">
        <v>0</v>
      </c>
      <c r="EJ63">
        <v>0</v>
      </c>
      <c r="EK63">
        <v>0</v>
      </c>
      <c r="EL63">
        <v>0</v>
      </c>
      <c r="EM63">
        <v>0</v>
      </c>
      <c r="EN63">
        <v>0</v>
      </c>
      <c r="EO63">
        <v>0</v>
      </c>
      <c r="EP63">
        <v>0</v>
      </c>
    </row>
    <row r="64" spans="1:146" ht="96" x14ac:dyDescent="0.25">
      <c r="A64" s="7"/>
      <c r="B64" s="7"/>
      <c r="C64" s="7" t="str">
        <f>""&amp;CHAR(10)&amp;Basic_Fundamental_Information_Constructure(F64)&amp;CHAR(10)&amp;Basic_Fundamental_Information_Concatenate("")</f>
        <v xml:space="preserve">
市值62.588098亿, 利润11.55亿; PE5.42; 平均PE22.63; 平均PEG.34, PB.839; ROIC17.6067%; ROE16.8133%; 股利率0%; 毛利41.64%; 净利16.0933%; 上一年度营收增-16.79%, 利润增6.55%, 利润增-8.66%; 过往5年营收增66.63%, 利润增195.6%
Income profile:
</v>
      </c>
      <c r="D64" s="11">
        <v>327</v>
      </c>
      <c r="E64" t="s">
        <v>1256</v>
      </c>
      <c r="F64">
        <v>5.84</v>
      </c>
      <c r="G64" s="5">
        <v>-6.7999999999999996E-3</v>
      </c>
      <c r="H64" t="s">
        <v>7209</v>
      </c>
      <c r="I64">
        <v>6258809800</v>
      </c>
      <c r="J64">
        <v>5.42</v>
      </c>
      <c r="K64">
        <v>0.83899999999999997</v>
      </c>
      <c r="L64" t="s">
        <v>6350</v>
      </c>
      <c r="M64" t="s">
        <v>9</v>
      </c>
      <c r="N64" t="s">
        <v>9</v>
      </c>
      <c r="O64" t="s">
        <v>9</v>
      </c>
      <c r="P64" t="s">
        <v>9</v>
      </c>
      <c r="Q64" t="s">
        <v>7210</v>
      </c>
      <c r="R64">
        <v>1155164000</v>
      </c>
      <c r="S64" s="5">
        <v>-8.6599999999999996E-2</v>
      </c>
      <c r="T64" t="s">
        <v>4331</v>
      </c>
      <c r="U64">
        <v>1070594000</v>
      </c>
      <c r="V64">
        <v>1070594000</v>
      </c>
      <c r="W64" t="s">
        <v>9</v>
      </c>
      <c r="X64" t="s">
        <v>9</v>
      </c>
      <c r="Y64" t="s">
        <v>9</v>
      </c>
      <c r="Z64" t="s">
        <v>9</v>
      </c>
      <c r="AA64" t="s">
        <v>9</v>
      </c>
      <c r="AB64" t="s">
        <v>9</v>
      </c>
      <c r="AC64" t="s">
        <v>9</v>
      </c>
      <c r="AD64" t="s">
        <v>7211</v>
      </c>
      <c r="AE64" t="s">
        <v>9</v>
      </c>
      <c r="AF64" t="s">
        <v>9</v>
      </c>
      <c r="AG64" t="s">
        <v>9</v>
      </c>
      <c r="AH64" t="s">
        <v>7212</v>
      </c>
      <c r="AI64" t="s">
        <v>9</v>
      </c>
      <c r="AJ64" t="s">
        <v>9</v>
      </c>
      <c r="AK64" t="s">
        <v>7213</v>
      </c>
      <c r="AL64" t="s">
        <v>9</v>
      </c>
      <c r="AM64" t="s">
        <v>9</v>
      </c>
      <c r="AN64" s="5">
        <v>0.17510000000000001</v>
      </c>
      <c r="AO64" t="s">
        <v>9</v>
      </c>
      <c r="AP64" t="s">
        <v>1921</v>
      </c>
      <c r="AQ64" t="s">
        <v>9</v>
      </c>
      <c r="AR64" t="s">
        <v>732</v>
      </c>
      <c r="AS64" t="s">
        <v>9</v>
      </c>
      <c r="AT64" t="s">
        <v>9</v>
      </c>
      <c r="AU64" t="s">
        <v>150</v>
      </c>
      <c r="AV64" t="s">
        <v>6984</v>
      </c>
      <c r="AW64" t="s">
        <v>9</v>
      </c>
      <c r="AX64" t="s">
        <v>1257</v>
      </c>
      <c r="AY64" t="s">
        <v>1260</v>
      </c>
      <c r="AZ64" t="s">
        <v>1261</v>
      </c>
      <c r="BA64" t="s">
        <v>1263</v>
      </c>
      <c r="BB64" t="s">
        <v>1264</v>
      </c>
      <c r="BC64" t="s">
        <v>1265</v>
      </c>
      <c r="BD64" t="s">
        <v>1266</v>
      </c>
      <c r="BE64" t="s">
        <v>1267</v>
      </c>
      <c r="BF64" t="s">
        <v>1268</v>
      </c>
      <c r="BG64" t="s">
        <v>1269</v>
      </c>
      <c r="BH64" t="s">
        <v>1257</v>
      </c>
      <c r="BI64" t="s">
        <v>9</v>
      </c>
      <c r="BJ64" t="s">
        <v>1260</v>
      </c>
      <c r="BK64" t="s">
        <v>424</v>
      </c>
      <c r="BL64" t="s">
        <v>9</v>
      </c>
      <c r="BM64" t="s">
        <v>1265</v>
      </c>
      <c r="BN64">
        <v>16.05</v>
      </c>
      <c r="BO64">
        <v>18.84</v>
      </c>
      <c r="BP64">
        <v>17.93</v>
      </c>
      <c r="BQ64">
        <v>15.49</v>
      </c>
      <c r="BR64">
        <v>18.239999999999998</v>
      </c>
      <c r="BS64">
        <v>16.71</v>
      </c>
      <c r="BT64" t="s">
        <v>989</v>
      </c>
      <c r="BU64" t="s">
        <v>551</v>
      </c>
      <c r="BV64">
        <v>44.62</v>
      </c>
      <c r="BW64">
        <v>41.01</v>
      </c>
      <c r="BX64">
        <v>39.29</v>
      </c>
      <c r="BY64">
        <v>17.37</v>
      </c>
      <c r="BZ64">
        <v>15.73</v>
      </c>
      <c r="CA64">
        <v>15.18</v>
      </c>
      <c r="CB64">
        <v>-0.34</v>
      </c>
      <c r="CC64">
        <v>-8.75</v>
      </c>
      <c r="CD64" t="s">
        <v>7214</v>
      </c>
      <c r="CE64" t="s">
        <v>7215</v>
      </c>
      <c r="CF64" s="8" t="s">
        <v>9</v>
      </c>
      <c r="CG64" s="9">
        <v>-8.6599999999999996E-2</v>
      </c>
      <c r="CH64" s="8">
        <v>-0.16792754828929901</v>
      </c>
      <c r="CI64" s="8">
        <v>0.1204836517572403</v>
      </c>
      <c r="CJ64" s="8">
        <v>0.27340292930603027</v>
      </c>
      <c r="CK64" s="8">
        <v>0.27995464205741882</v>
      </c>
      <c r="CL64" s="8">
        <v>0.22946253418922424</v>
      </c>
      <c r="CM64" s="9">
        <v>6.5498210489749908E-2</v>
      </c>
      <c r="CN64" s="9">
        <v>0.20444443821907043</v>
      </c>
      <c r="CO64" s="9">
        <v>0.44230768084526062</v>
      </c>
      <c r="CP64" s="9">
        <v>0.19540229439735413</v>
      </c>
      <c r="CQ64" s="9">
        <v>0.27941176295280457</v>
      </c>
      <c r="CR64">
        <v>22.626107781487121</v>
      </c>
      <c r="CS64">
        <v>0.33956631240491697</v>
      </c>
      <c r="CT64">
        <v>0</v>
      </c>
      <c r="CU64" s="8">
        <v>0.66632368862628932</v>
      </c>
      <c r="CV64" s="9">
        <v>1.9559856891632079</v>
      </c>
      <c r="CW64">
        <v>0.06</v>
      </c>
      <c r="CX64">
        <v>3.4471189238638651</v>
      </c>
      <c r="CY64">
        <v>1815664019.2107208</v>
      </c>
      <c r="CZ64">
        <v>0.66632368862628932</v>
      </c>
      <c r="DA64">
        <v>0.71580993977446494</v>
      </c>
      <c r="DB64">
        <v>8743675453.8111134</v>
      </c>
      <c r="DC64">
        <v>0.63300750419497487</v>
      </c>
      <c r="DD64">
        <v>0.17566875786783967</v>
      </c>
      <c r="DE64">
        <v>35628474157.645439</v>
      </c>
      <c r="DF64">
        <v>0.58636484599113459</v>
      </c>
      <c r="DG64">
        <v>4.2827194127749088E-2</v>
      </c>
      <c r="DH64">
        <v>146141019216.21619</v>
      </c>
      <c r="DI64">
        <v>0.5330589509010315</v>
      </c>
      <c r="DJ64">
        <v>2.2814007311018456E-3</v>
      </c>
      <c r="DK64">
        <v>2743406589940.5537</v>
      </c>
      <c r="DL64">
        <v>0.46642658203840248</v>
      </c>
      <c r="DM64">
        <v>1155000000</v>
      </c>
      <c r="DN64">
        <v>0.66632368862628932</v>
      </c>
      <c r="DO64">
        <v>6258809800</v>
      </c>
      <c r="DP64" t="e">
        <v>#VALUE!</v>
      </c>
      <c r="DQ64">
        <v>63</v>
      </c>
      <c r="DR64" t="e">
        <v>#VALUE!</v>
      </c>
      <c r="DS64">
        <v>-2.0425856891632077</v>
      </c>
      <c r="DT64" t="e">
        <v>#VALUE!</v>
      </c>
      <c r="DU64" t="e">
        <v>#VALUE!</v>
      </c>
      <c r="DV64" t="e">
        <v>#VALUE!</v>
      </c>
      <c r="DW64">
        <v>-2.0874999999999999</v>
      </c>
      <c r="DX64">
        <v>0.30362526962739722</v>
      </c>
      <c r="DY64">
        <v>-2.0151922110923972</v>
      </c>
      <c r="DZ64">
        <v>0</v>
      </c>
      <c r="EA64">
        <v>-2.0151922110923972</v>
      </c>
      <c r="EB64">
        <v>2</v>
      </c>
      <c r="EC64">
        <v>2.7442709374422051E-3</v>
      </c>
      <c r="ED64">
        <v>1.5805711595618881E-2</v>
      </c>
      <c r="EE64">
        <v>0</v>
      </c>
      <c r="EF64">
        <v>0</v>
      </c>
      <c r="EG64">
        <v>13.173625269627397</v>
      </c>
      <c r="EH64" t="s">
        <v>110</v>
      </c>
      <c r="EI64">
        <v>0</v>
      </c>
      <c r="EJ64">
        <v>0</v>
      </c>
      <c r="EK64">
        <v>0</v>
      </c>
      <c r="EL64">
        <v>0</v>
      </c>
      <c r="EM64">
        <v>0</v>
      </c>
      <c r="EN64">
        <v>0</v>
      </c>
      <c r="EO64">
        <v>0</v>
      </c>
      <c r="EP64">
        <v>0</v>
      </c>
    </row>
    <row r="65" spans="1:146" ht="96" x14ac:dyDescent="0.25">
      <c r="A65" s="7"/>
      <c r="B65" s="7"/>
      <c r="C65" s="7" t="str">
        <f>""&amp;CHAR(10)&amp;Basic_Fundamental_Information_Constructure(F65)&amp;CHAR(10)&amp;Basic_Fundamental_Information_Concatenate("")</f>
        <v xml:space="preserve">
市值80.748172亿, 利润2.56亿; PE31.53; 平均PE1.61; 平均PEG.13, PB.59; ROIC-.3733%; ROE-.5367%; 股利率0%; 毛利50.87%; 净利2.7733%; 上一年度营收增-16.05%, 利润增-69.04%, 利润增121.5%; 过往5年营收增12.32%, 利润增17.82%
Income profile:
</v>
      </c>
      <c r="D65" s="11">
        <v>336</v>
      </c>
      <c r="E65" t="s">
        <v>1271</v>
      </c>
      <c r="F65">
        <v>2.5</v>
      </c>
      <c r="G65" s="5">
        <v>-3.4700000000000002E-2</v>
      </c>
      <c r="H65" t="s">
        <v>7216</v>
      </c>
      <c r="I65">
        <v>8074817200</v>
      </c>
      <c r="J65">
        <v>31.53</v>
      </c>
      <c r="K65">
        <v>0.59</v>
      </c>
      <c r="L65" t="s">
        <v>6350</v>
      </c>
      <c r="M65" t="s">
        <v>9</v>
      </c>
      <c r="N65" t="s">
        <v>9</v>
      </c>
      <c r="O65" t="s">
        <v>9</v>
      </c>
      <c r="P65" t="s">
        <v>9</v>
      </c>
      <c r="Q65" t="s">
        <v>7217</v>
      </c>
      <c r="R65">
        <v>256108490</v>
      </c>
      <c r="S65" s="5">
        <v>1.2150000000000001</v>
      </c>
      <c r="T65" t="s">
        <v>131</v>
      </c>
      <c r="U65">
        <v>3229926900</v>
      </c>
      <c r="V65">
        <v>3229926900</v>
      </c>
      <c r="W65" t="s">
        <v>9</v>
      </c>
      <c r="X65" t="s">
        <v>9</v>
      </c>
      <c r="Y65" t="s">
        <v>9</v>
      </c>
      <c r="Z65" t="s">
        <v>9</v>
      </c>
      <c r="AA65" t="s">
        <v>9</v>
      </c>
      <c r="AB65" t="s">
        <v>9</v>
      </c>
      <c r="AC65" t="s">
        <v>9</v>
      </c>
      <c r="AD65" t="s">
        <v>1154</v>
      </c>
      <c r="AE65" t="s">
        <v>9</v>
      </c>
      <c r="AF65" t="s">
        <v>9</v>
      </c>
      <c r="AG65" t="s">
        <v>9</v>
      </c>
      <c r="AH65" t="s">
        <v>7218</v>
      </c>
      <c r="AI65" t="s">
        <v>9</v>
      </c>
      <c r="AJ65" t="s">
        <v>9</v>
      </c>
      <c r="AK65" t="s">
        <v>7219</v>
      </c>
      <c r="AL65" t="s">
        <v>9</v>
      </c>
      <c r="AM65" t="s">
        <v>9</v>
      </c>
      <c r="AN65" s="5">
        <v>0.1082</v>
      </c>
      <c r="AO65" t="s">
        <v>9</v>
      </c>
      <c r="AP65" t="s">
        <v>210</v>
      </c>
      <c r="AQ65" t="s">
        <v>9</v>
      </c>
      <c r="AR65" t="s">
        <v>7220</v>
      </c>
      <c r="AS65" t="s">
        <v>9</v>
      </c>
      <c r="AT65" t="s">
        <v>9</v>
      </c>
      <c r="AU65" t="s">
        <v>7221</v>
      </c>
      <c r="AV65" t="s">
        <v>6041</v>
      </c>
      <c r="AW65" t="s">
        <v>9</v>
      </c>
      <c r="AX65" t="s">
        <v>1016</v>
      </c>
      <c r="AY65" t="s">
        <v>1276</v>
      </c>
      <c r="AZ65" t="s">
        <v>1277</v>
      </c>
      <c r="BA65" t="s">
        <v>1107</v>
      </c>
      <c r="BB65" t="s">
        <v>1278</v>
      </c>
      <c r="BC65" t="s">
        <v>1279</v>
      </c>
      <c r="BD65" t="s">
        <v>1280</v>
      </c>
      <c r="BE65" t="s">
        <v>1281</v>
      </c>
      <c r="BF65" t="s">
        <v>1282</v>
      </c>
      <c r="BG65" t="s">
        <v>1283</v>
      </c>
      <c r="BH65" t="s">
        <v>1016</v>
      </c>
      <c r="BI65" t="s">
        <v>9</v>
      </c>
      <c r="BJ65" t="s">
        <v>1276</v>
      </c>
      <c r="BK65" t="s">
        <v>1272</v>
      </c>
      <c r="BL65" t="s">
        <v>9</v>
      </c>
      <c r="BM65" t="s">
        <v>1279</v>
      </c>
      <c r="BN65">
        <v>1.78</v>
      </c>
      <c r="BO65">
        <v>-7.49</v>
      </c>
      <c r="BP65">
        <v>4.59</v>
      </c>
      <c r="BQ65">
        <v>1.87</v>
      </c>
      <c r="BR65">
        <v>-8.34</v>
      </c>
      <c r="BS65">
        <v>4.8600000000000003</v>
      </c>
      <c r="BT65" t="s">
        <v>7222</v>
      </c>
      <c r="BU65" t="s">
        <v>759</v>
      </c>
      <c r="BV65">
        <v>44.42</v>
      </c>
      <c r="BW65">
        <v>49.04</v>
      </c>
      <c r="BX65">
        <v>59.15</v>
      </c>
      <c r="BY65">
        <v>8.7799999999999994</v>
      </c>
      <c r="BZ65">
        <v>-23.53</v>
      </c>
      <c r="CA65">
        <v>23.07</v>
      </c>
      <c r="CB65">
        <v>-2.72</v>
      </c>
      <c r="CC65">
        <v>-4.21</v>
      </c>
      <c r="CD65" t="s">
        <v>7223</v>
      </c>
      <c r="CE65" t="s">
        <v>7224</v>
      </c>
      <c r="CF65" s="8" t="s">
        <v>9</v>
      </c>
      <c r="CG65" s="9">
        <v>1.2150000000000001</v>
      </c>
      <c r="CH65" s="8">
        <v>-0.16045385599136353</v>
      </c>
      <c r="CI65" s="8">
        <v>-9.1501854360103607E-2</v>
      </c>
      <c r="CJ65" s="8">
        <v>3.4828037023544312E-2</v>
      </c>
      <c r="CK65" s="8">
        <v>1.3233290985226631E-2</v>
      </c>
      <c r="CL65" s="8">
        <v>0.15310278534889221</v>
      </c>
      <c r="CM65" s="9">
        <v>-0.69044739007949829</v>
      </c>
      <c r="CN65" s="9">
        <v>0.65731465816497803</v>
      </c>
      <c r="CO65" s="9">
        <v>-0.59855192899703979</v>
      </c>
      <c r="CP65" s="9">
        <v>-0.21279290318489075</v>
      </c>
      <c r="CQ65" s="9">
        <v>0.31255194544792175</v>
      </c>
      <c r="CR65">
        <v>1.6093842412968378</v>
      </c>
      <c r="CS65">
        <v>0.13059689890369988</v>
      </c>
      <c r="CT65">
        <v>0</v>
      </c>
      <c r="CU65" s="8">
        <v>0.12323295995593071</v>
      </c>
      <c r="CV65" s="9">
        <v>0.17822942733764649</v>
      </c>
      <c r="CW65">
        <v>0.06</v>
      </c>
      <c r="CX65">
        <v>29.766567720788565</v>
      </c>
      <c r="CY65">
        <v>271271356.36671531</v>
      </c>
      <c r="CZ65">
        <v>0.12323295995593071</v>
      </c>
      <c r="DA65">
        <v>9.4585243289489593</v>
      </c>
      <c r="DB65">
        <v>853707927.28058469</v>
      </c>
      <c r="DC65">
        <v>0.11707131195813417</v>
      </c>
      <c r="DD65">
        <v>4.4827899586901525</v>
      </c>
      <c r="DE65">
        <v>1801292782.9345407</v>
      </c>
      <c r="DF65">
        <v>0.10844500476121903</v>
      </c>
      <c r="DG65">
        <v>2.5775021437288315</v>
      </c>
      <c r="DH65">
        <v>3132807171.3330526</v>
      </c>
      <c r="DI65">
        <v>9.858636796474457E-2</v>
      </c>
      <c r="DJ65">
        <v>1.2076480898422537</v>
      </c>
      <c r="DK65">
        <v>6686399181.9460878</v>
      </c>
      <c r="DL65">
        <v>8.6263071969151492E-2</v>
      </c>
      <c r="DM65">
        <v>256000000</v>
      </c>
      <c r="DN65">
        <v>0.12323295995593071</v>
      </c>
      <c r="DO65">
        <v>8074817200</v>
      </c>
      <c r="DP65" t="e">
        <v>#VALUE!</v>
      </c>
      <c r="DQ65">
        <v>64</v>
      </c>
      <c r="DR65" t="e">
        <v>#VALUE!</v>
      </c>
      <c r="DS65">
        <v>1.0367705726623535</v>
      </c>
      <c r="DT65" t="e">
        <v>#VALUE!</v>
      </c>
      <c r="DU65" t="e">
        <v>#VALUE!</v>
      </c>
      <c r="DV65" t="e">
        <v>#VALUE!</v>
      </c>
      <c r="DW65">
        <v>-8.6460807600950123</v>
      </c>
      <c r="DX65">
        <v>0.26597661854969179</v>
      </c>
      <c r="DY65">
        <v>-8.1136951074715356</v>
      </c>
      <c r="DZ65">
        <v>0</v>
      </c>
      <c r="EA65">
        <v>-8.1136951074715356</v>
      </c>
      <c r="EB65">
        <v>8</v>
      </c>
      <c r="EC65">
        <v>1.9554931723067786E-3</v>
      </c>
      <c r="ED65">
        <v>1.1112232911525025E-2</v>
      </c>
      <c r="EE65">
        <v>0</v>
      </c>
      <c r="EF65">
        <v>0</v>
      </c>
      <c r="EG65">
        <v>9.1759766185496918</v>
      </c>
      <c r="EH65" t="s">
        <v>110</v>
      </c>
      <c r="EI65">
        <v>0</v>
      </c>
      <c r="EJ65">
        <v>0</v>
      </c>
      <c r="EK65">
        <v>0</v>
      </c>
      <c r="EL65">
        <v>0</v>
      </c>
      <c r="EM65">
        <v>0</v>
      </c>
      <c r="EN65">
        <v>0</v>
      </c>
      <c r="EO65">
        <v>0</v>
      </c>
      <c r="EP65">
        <v>0</v>
      </c>
    </row>
    <row r="66" spans="1:146" ht="96" x14ac:dyDescent="0.25">
      <c r="A66" s="7"/>
      <c r="B66" s="7"/>
      <c r="C66" s="7" t="str">
        <f>""&amp;CHAR(10)&amp;Basic_Fundamental_Information_Constructure(F66)&amp;CHAR(10)&amp;Basic_Fundamental_Information_Concatenate("")</f>
        <v xml:space="preserve">
市值117.427503亿, 利润-14.76亿; PE; 平均PE9.99; 平均PEG.21, PB.438; ROIC-2.5%; ROE-3.14%; 股利率0%; 毛利-1.5967%; 净利-.9533%; 上一年度营收增7.1%, 利润增-158.13%; 当季营收增-27.84%, 利润增148.6%; 过往5年营收增47.97%, 利润增88.39%
Income profile:
</v>
      </c>
      <c r="D66" s="11">
        <v>338</v>
      </c>
      <c r="E66" t="s">
        <v>1284</v>
      </c>
      <c r="F66">
        <v>1.1000000000000001</v>
      </c>
      <c r="G66" s="5">
        <v>-1.7899999999999999E-2</v>
      </c>
      <c r="H66" t="s">
        <v>7225</v>
      </c>
      <c r="I66">
        <v>11742750300</v>
      </c>
      <c r="K66">
        <v>0.438</v>
      </c>
      <c r="L66" t="s">
        <v>6350</v>
      </c>
      <c r="M66" t="s">
        <v>7226</v>
      </c>
      <c r="N66" t="s">
        <v>7227</v>
      </c>
      <c r="O66" t="s">
        <v>7228</v>
      </c>
      <c r="P66">
        <v>-3.17</v>
      </c>
      <c r="Q66" t="s">
        <v>7229</v>
      </c>
      <c r="R66">
        <v>-1475646300</v>
      </c>
      <c r="S66" s="5">
        <v>1.486</v>
      </c>
      <c r="T66" t="s">
        <v>3155</v>
      </c>
      <c r="U66">
        <v>3470472000</v>
      </c>
      <c r="V66">
        <v>10799285500</v>
      </c>
      <c r="W66">
        <v>1.59</v>
      </c>
      <c r="X66">
        <v>0.47</v>
      </c>
      <c r="Y66">
        <v>0.7</v>
      </c>
      <c r="Z66" t="s">
        <v>2164</v>
      </c>
      <c r="AA66" t="s">
        <v>7230</v>
      </c>
      <c r="AB66" t="s">
        <v>7231</v>
      </c>
      <c r="AC66" t="s">
        <v>1577</v>
      </c>
      <c r="AD66" t="s">
        <v>122</v>
      </c>
      <c r="AE66" t="s">
        <v>7232</v>
      </c>
      <c r="AF66" t="s">
        <v>9</v>
      </c>
      <c r="AG66" t="s">
        <v>7233</v>
      </c>
      <c r="AH66" t="s">
        <v>7234</v>
      </c>
      <c r="AI66" t="s">
        <v>7235</v>
      </c>
      <c r="AJ66" t="s">
        <v>1079</v>
      </c>
      <c r="AK66" t="s">
        <v>7236</v>
      </c>
      <c r="AL66" t="s">
        <v>9</v>
      </c>
      <c r="AM66" t="s">
        <v>7237</v>
      </c>
      <c r="AN66" s="5">
        <v>0.36820000000000003</v>
      </c>
      <c r="AO66" t="s">
        <v>5910</v>
      </c>
      <c r="AP66" t="s">
        <v>4095</v>
      </c>
      <c r="AQ66" t="s">
        <v>7238</v>
      </c>
      <c r="AR66" t="s">
        <v>7239</v>
      </c>
      <c r="AS66" t="s">
        <v>7240</v>
      </c>
      <c r="AT66" t="s">
        <v>9</v>
      </c>
      <c r="AU66" t="s">
        <v>3222</v>
      </c>
      <c r="AV66" t="s">
        <v>7241</v>
      </c>
      <c r="AW66" t="s">
        <v>7242</v>
      </c>
      <c r="AX66" t="s">
        <v>1285</v>
      </c>
      <c r="AY66" t="s">
        <v>1292</v>
      </c>
      <c r="AZ66" t="s">
        <v>1293</v>
      </c>
      <c r="BA66" t="s">
        <v>1294</v>
      </c>
      <c r="BB66" t="s">
        <v>1295</v>
      </c>
      <c r="BC66" t="s">
        <v>1296</v>
      </c>
      <c r="BD66" t="s">
        <v>1297</v>
      </c>
      <c r="BE66" t="s">
        <v>1298</v>
      </c>
      <c r="BF66" t="s">
        <v>785</v>
      </c>
      <c r="BG66" t="s">
        <v>1299</v>
      </c>
      <c r="BH66" t="s">
        <v>1285</v>
      </c>
      <c r="BI66" t="s">
        <v>1300</v>
      </c>
      <c r="BJ66" t="s">
        <v>1292</v>
      </c>
      <c r="BK66" t="s">
        <v>1286</v>
      </c>
      <c r="BL66" t="s">
        <v>3530</v>
      </c>
      <c r="BM66" t="s">
        <v>1296</v>
      </c>
      <c r="BN66">
        <v>-4.72</v>
      </c>
      <c r="BO66">
        <v>-9.33</v>
      </c>
      <c r="BP66">
        <v>6.55</v>
      </c>
      <c r="BQ66">
        <v>-5.43</v>
      </c>
      <c r="BR66">
        <v>-10.85</v>
      </c>
      <c r="BS66">
        <v>6.86</v>
      </c>
      <c r="BT66" t="s">
        <v>1302</v>
      </c>
      <c r="BU66" t="s">
        <v>937</v>
      </c>
      <c r="BV66">
        <v>-1.92</v>
      </c>
      <c r="BW66">
        <v>-4.97</v>
      </c>
      <c r="BX66">
        <v>2.1</v>
      </c>
      <c r="BY66">
        <v>-1.69</v>
      </c>
      <c r="BZ66">
        <v>-3.91</v>
      </c>
      <c r="CA66">
        <v>2.74</v>
      </c>
      <c r="CB66">
        <v>-2.65</v>
      </c>
      <c r="CC66">
        <v>-5.98</v>
      </c>
      <c r="CD66" t="s">
        <v>7243</v>
      </c>
      <c r="CE66" t="s">
        <v>3452</v>
      </c>
      <c r="CF66" s="8">
        <v>-0.27840785169029453</v>
      </c>
      <c r="CG66" s="9">
        <v>1.486</v>
      </c>
      <c r="CH66" s="8">
        <v>7.0996299386024475E-2</v>
      </c>
      <c r="CI66" s="8">
        <v>-0.11798635870218277</v>
      </c>
      <c r="CJ66" s="8">
        <v>0.26647043228149414</v>
      </c>
      <c r="CK66" s="8">
        <v>-0.32601550221443176</v>
      </c>
      <c r="CL66" s="8">
        <v>0.14625956118106842</v>
      </c>
      <c r="CM66" s="9">
        <v>-1.5813312530517578</v>
      </c>
      <c r="CN66" s="9">
        <v>2.3016905784606934</v>
      </c>
      <c r="CO66" s="9">
        <v>-0.68941843509674072</v>
      </c>
      <c r="CP66" s="9">
        <v>-0.59249508380889893</v>
      </c>
      <c r="CQ66" s="9">
        <v>-0.17501695454120636</v>
      </c>
      <c r="CR66">
        <v>9.9853318877551018</v>
      </c>
      <c r="CS66">
        <v>0.2081699254589669</v>
      </c>
      <c r="CT66">
        <v>0</v>
      </c>
      <c r="CU66" s="8">
        <v>0.47967216521501543</v>
      </c>
      <c r="CV66" s="9">
        <v>0.88391833901405337</v>
      </c>
      <c r="CW66">
        <v>0.06</v>
      </c>
      <c r="CX66" t="e">
        <v>#VALUE!</v>
      </c>
      <c r="CY66" t="s">
        <v>109</v>
      </c>
      <c r="CZ66">
        <v>0.47967216521501543</v>
      </c>
      <c r="DA66" t="e">
        <v>#VALUE!</v>
      </c>
      <c r="DB66" t="s">
        <v>108</v>
      </c>
      <c r="DC66">
        <v>0.45568855695426463</v>
      </c>
      <c r="DD66" t="e">
        <v>#VALUE!</v>
      </c>
      <c r="DE66" t="s">
        <v>108</v>
      </c>
      <c r="DF66">
        <v>0.4221115053892136</v>
      </c>
      <c r="DG66" t="e">
        <v>#VALUE!</v>
      </c>
      <c r="DH66" t="s">
        <v>108</v>
      </c>
      <c r="DI66">
        <v>0.38373773217201235</v>
      </c>
      <c r="DJ66" t="e">
        <v>#VALUE!</v>
      </c>
      <c r="DK66" t="s">
        <v>108</v>
      </c>
      <c r="DL66">
        <v>0.3357705156505108</v>
      </c>
      <c r="DM66">
        <v>-1476000000</v>
      </c>
      <c r="DN66">
        <v>0.47967216521501543</v>
      </c>
      <c r="DO66">
        <v>499750300</v>
      </c>
      <c r="DP66" t="e">
        <v>#VALUE!</v>
      </c>
      <c r="DQ66">
        <v>65</v>
      </c>
      <c r="DR66">
        <v>-0.75808001690530991</v>
      </c>
      <c r="DS66">
        <v>0.60208166098594662</v>
      </c>
      <c r="DT66">
        <v>0.29333333333333339</v>
      </c>
      <c r="DU66">
        <v>-1.02</v>
      </c>
      <c r="DV66">
        <v>-0.72666666666666657</v>
      </c>
      <c r="DW66">
        <v>-8.4431438127090299</v>
      </c>
      <c r="DX66">
        <v>0.37547348837209427</v>
      </c>
      <c r="DY66">
        <v>-8.055602800031112</v>
      </c>
      <c r="DZ66">
        <v>0</v>
      </c>
      <c r="EA66">
        <v>-8.055602800031112</v>
      </c>
      <c r="EB66">
        <v>8</v>
      </c>
      <c r="EC66">
        <v>2.4980171141877859E-3</v>
      </c>
      <c r="ED66">
        <v>1.9908724517006243E-2</v>
      </c>
      <c r="EE66">
        <v>0</v>
      </c>
      <c r="EF66">
        <v>0</v>
      </c>
      <c r="EG66">
        <v>25.125473488372094</v>
      </c>
      <c r="EH66" t="s">
        <v>110</v>
      </c>
      <c r="EI66">
        <v>0</v>
      </c>
      <c r="EJ66">
        <v>0</v>
      </c>
      <c r="EK66">
        <v>0</v>
      </c>
      <c r="EL66">
        <v>0</v>
      </c>
      <c r="EM66">
        <v>0</v>
      </c>
      <c r="EN66">
        <v>0</v>
      </c>
      <c r="EO66">
        <v>0</v>
      </c>
      <c r="EP66">
        <v>0</v>
      </c>
    </row>
    <row r="67" spans="1:146" ht="84" x14ac:dyDescent="0.25">
      <c r="C67" s="7" t="str">
        <f>""&amp;CHAR(10)&amp;Basic_Fundamental_Information_Constructure(F67)&amp;CHAR(10)&amp;Basic_Fundamental_Information_Concatenate("")</f>
        <v xml:space="preserve">
市值46.622041亿, 利润1.10亿; PE14.11; 平均PE.22; 平均PEG.03, PB1.61; ROIC4.6167%; ROE5.5233%; 股利率0%; 毛利7.2133%; 净利2.3533%; 上一年度营收增6.86%, 利润增-69.36%, 利润增84.43%; 过往5年营收增7.66%, 利润增10.92%
Income profile:
</v>
      </c>
      <c r="D67" s="11">
        <v>341</v>
      </c>
      <c r="E67" t="s">
        <v>6360</v>
      </c>
      <c r="F67">
        <v>7.96</v>
      </c>
      <c r="G67">
        <v>-7.4999999999999997E-3</v>
      </c>
      <c r="H67" t="s">
        <v>7244</v>
      </c>
      <c r="I67">
        <v>4662204100</v>
      </c>
      <c r="J67">
        <v>14.11</v>
      </c>
      <c r="K67">
        <v>1.61</v>
      </c>
      <c r="L67" t="s">
        <v>6350</v>
      </c>
      <c r="M67" t="s">
        <v>9</v>
      </c>
      <c r="N67" t="s">
        <v>9</v>
      </c>
      <c r="O67" t="s">
        <v>9</v>
      </c>
      <c r="P67" s="5" t="s">
        <v>9</v>
      </c>
      <c r="Q67" t="s">
        <v>7245</v>
      </c>
      <c r="R67">
        <v>200553000</v>
      </c>
      <c r="S67">
        <v>0.84430000000000005</v>
      </c>
      <c r="T67" t="s">
        <v>89</v>
      </c>
      <c r="U67">
        <v>585704030</v>
      </c>
      <c r="V67">
        <v>585704030</v>
      </c>
      <c r="W67" t="s">
        <v>9</v>
      </c>
      <c r="X67" t="s">
        <v>9</v>
      </c>
      <c r="Y67" t="s">
        <v>9</v>
      </c>
      <c r="Z67" t="s">
        <v>9</v>
      </c>
      <c r="AA67" t="s">
        <v>9</v>
      </c>
      <c r="AB67" t="s">
        <v>9</v>
      </c>
      <c r="AC67" t="s">
        <v>9</v>
      </c>
      <c r="AD67" t="s">
        <v>9</v>
      </c>
      <c r="AE67" t="s">
        <v>9</v>
      </c>
      <c r="AF67" t="s">
        <v>9</v>
      </c>
      <c r="AG67" t="s">
        <v>9</v>
      </c>
      <c r="AH67" t="s">
        <v>7246</v>
      </c>
      <c r="AI67" t="s">
        <v>9</v>
      </c>
      <c r="AJ67" t="s">
        <v>9</v>
      </c>
      <c r="AK67" s="5" t="s">
        <v>7247</v>
      </c>
      <c r="AL67" t="s">
        <v>9</v>
      </c>
      <c r="AM67" t="s">
        <v>9</v>
      </c>
      <c r="AN67">
        <v>0.56179999999999997</v>
      </c>
      <c r="AO67" t="s">
        <v>9</v>
      </c>
      <c r="AP67" t="s">
        <v>7248</v>
      </c>
      <c r="AQ67" t="s">
        <v>9</v>
      </c>
      <c r="AR67" t="s">
        <v>7249</v>
      </c>
      <c r="AS67" t="s">
        <v>9</v>
      </c>
      <c r="AT67" t="s">
        <v>9</v>
      </c>
      <c r="AU67" t="s">
        <v>7250</v>
      </c>
      <c r="AV67" t="s">
        <v>7251</v>
      </c>
      <c r="AW67" t="s">
        <v>9</v>
      </c>
      <c r="AX67" t="s">
        <v>7252</v>
      </c>
      <c r="AY67" t="s">
        <v>7253</v>
      </c>
      <c r="AZ67" t="s">
        <v>7254</v>
      </c>
      <c r="BA67" t="s">
        <v>2054</v>
      </c>
      <c r="BB67" t="s">
        <v>5958</v>
      </c>
      <c r="BC67" t="s">
        <v>172</v>
      </c>
      <c r="BD67" t="s">
        <v>7255</v>
      </c>
      <c r="BE67" t="s">
        <v>132</v>
      </c>
      <c r="BF67" t="s">
        <v>86</v>
      </c>
      <c r="BG67" t="s">
        <v>1578</v>
      </c>
      <c r="BH67" t="s">
        <v>7252</v>
      </c>
      <c r="BI67" t="s">
        <v>9</v>
      </c>
      <c r="BJ67" t="s">
        <v>7253</v>
      </c>
      <c r="BK67" t="s">
        <v>7256</v>
      </c>
      <c r="BL67" t="s">
        <v>9</v>
      </c>
      <c r="BM67" t="s">
        <v>172</v>
      </c>
      <c r="BN67">
        <v>2.88</v>
      </c>
      <c r="BO67">
        <v>0.52</v>
      </c>
      <c r="BP67">
        <v>10.45</v>
      </c>
      <c r="BQ67">
        <v>3.96</v>
      </c>
      <c r="BR67">
        <v>0.75</v>
      </c>
      <c r="BS67">
        <v>11.86</v>
      </c>
      <c r="BT67" t="s">
        <v>7257</v>
      </c>
      <c r="BU67" t="s">
        <v>567</v>
      </c>
      <c r="BV67">
        <v>8.76</v>
      </c>
      <c r="BW67">
        <v>7.29</v>
      </c>
      <c r="BX67">
        <v>5.59</v>
      </c>
      <c r="BY67">
        <v>1.39</v>
      </c>
      <c r="BZ67">
        <v>0.3</v>
      </c>
      <c r="CA67">
        <v>5.37</v>
      </c>
      <c r="CB67">
        <v>-7.01</v>
      </c>
      <c r="CC67" s="8">
        <v>-8.7200000000000006</v>
      </c>
      <c r="CD67" s="10" t="s">
        <v>7258</v>
      </c>
      <c r="CE67" s="8" t="s">
        <v>7259</v>
      </c>
      <c r="CF67" s="8" t="s">
        <v>9</v>
      </c>
      <c r="CG67" s="8">
        <v>0.84430000000000005</v>
      </c>
      <c r="CH67" s="8">
        <v>6.8584337830543518E-2</v>
      </c>
      <c r="CI67" s="8">
        <v>0.11840934306383133</v>
      </c>
      <c r="CJ67" s="9">
        <v>-0.1568504273891449</v>
      </c>
      <c r="CK67" s="9">
        <v>-5.5061113089323044E-2</v>
      </c>
      <c r="CL67" s="9">
        <v>6.7384384572505951E-2</v>
      </c>
      <c r="CM67" s="9">
        <v>-0.69359332323074341</v>
      </c>
      <c r="CN67" s="9">
        <v>3.8754653930664063</v>
      </c>
      <c r="CO67">
        <v>-0.87081760168075562</v>
      </c>
      <c r="CP67">
        <v>0.2445414811372757</v>
      </c>
      <c r="CQ67">
        <v>-9.1269843280315399E-2</v>
      </c>
      <c r="CR67" s="8">
        <v>0.21533932703632711</v>
      </c>
      <c r="CS67" s="9">
        <v>2.8094164289274502E-2</v>
      </c>
      <c r="CT67">
        <v>0</v>
      </c>
      <c r="CU67">
        <v>7.6649130694568163E-2</v>
      </c>
      <c r="CV67">
        <v>0.10920408815145492</v>
      </c>
      <c r="CW67">
        <v>0.06</v>
      </c>
      <c r="CX67">
        <v>41.7282592570918</v>
      </c>
      <c r="CY67">
        <v>111727739.97773822</v>
      </c>
      <c r="CZ67">
        <v>7.6649130694568163E-2</v>
      </c>
      <c r="DA67">
        <v>13.791678731832262</v>
      </c>
      <c r="DB67">
        <v>338044714.54510266</v>
      </c>
      <c r="DC67">
        <v>7.281667415983975E-2</v>
      </c>
      <c r="DD67">
        <v>6.8923709614877877</v>
      </c>
      <c r="DE67">
        <v>676429653.31535435</v>
      </c>
      <c r="DF67">
        <v>6.7451235011219982E-2</v>
      </c>
      <c r="DG67">
        <v>4.2094439710720728</v>
      </c>
      <c r="DH67">
        <v>1107558179.1893091</v>
      </c>
      <c r="DI67">
        <v>6.1319304555654534E-2</v>
      </c>
      <c r="DJ67">
        <v>2.2557398062191174</v>
      </c>
      <c r="DK67">
        <v>2066818206.2249446</v>
      </c>
      <c r="DL67">
        <v>5.365439148619771E-2</v>
      </c>
      <c r="DM67">
        <v>110000000.00000001</v>
      </c>
      <c r="DN67">
        <v>7.6649130694568163E-2</v>
      </c>
      <c r="DO67">
        <v>4662204100</v>
      </c>
      <c r="DP67" t="e">
        <v>#VALUE!</v>
      </c>
      <c r="DQ67">
        <v>66</v>
      </c>
      <c r="DR67" t="e">
        <v>#VALUE!</v>
      </c>
      <c r="DS67">
        <v>0.73509591184854517</v>
      </c>
      <c r="DT67" t="e">
        <v>#VALUE!</v>
      </c>
      <c r="DU67" t="e">
        <v>#VALUE!</v>
      </c>
      <c r="DV67" t="e">
        <v>#VALUE!</v>
      </c>
      <c r="DW67">
        <v>-9.8038990825688082</v>
      </c>
      <c r="DX67">
        <v>0.55193496132507303</v>
      </c>
      <c r="DY67">
        <v>-9.2748812017074265</v>
      </c>
      <c r="DZ67">
        <v>0</v>
      </c>
      <c r="EA67">
        <v>-9.2748812017074265</v>
      </c>
      <c r="EB67">
        <v>9</v>
      </c>
      <c r="EC67">
        <v>2.1623720089479322E-2</v>
      </c>
      <c r="ED67">
        <v>6.3239278036041513E-2</v>
      </c>
      <c r="EE67">
        <v>0</v>
      </c>
      <c r="EF67">
        <v>0</v>
      </c>
      <c r="EG67">
        <v>21.341934961325073</v>
      </c>
      <c r="EH67" t="s">
        <v>110</v>
      </c>
      <c r="EI67">
        <v>0</v>
      </c>
      <c r="EJ67">
        <v>0</v>
      </c>
      <c r="EK67">
        <v>0</v>
      </c>
      <c r="EL67">
        <v>0</v>
      </c>
      <c r="EM67">
        <v>0</v>
      </c>
      <c r="EN67">
        <v>0</v>
      </c>
      <c r="EO67">
        <v>0</v>
      </c>
      <c r="EP67">
        <v>0</v>
      </c>
    </row>
    <row r="68" spans="1:146" ht="96" x14ac:dyDescent="0.25">
      <c r="A68" s="7"/>
      <c r="B68" s="7"/>
      <c r="C68" s="7" t="str">
        <f>""&amp;CHAR(10)&amp;Basic_Fundamental_Information_Constructure(F68)&amp;CHAR(10)&amp;Basic_Fundamental_Information_Concatenate("")</f>
        <v xml:space="preserve">
市值64.154326亿, 利润4572.10万; PE55.13; 平均PE.93; 平均PEG.13, PB2.14; ROIC4.1433%; ROE3.94%; 股利率0%; 毛利49.1067%; 净利1.8967%; 上一年度营收增-2.46%, 利润增-91.66%, 利润增14.72%; 过往5年营收增7.19%, 利润增8.97%
Income profile:
</v>
      </c>
      <c r="D68" s="11">
        <v>345</v>
      </c>
      <c r="E68" t="s">
        <v>1304</v>
      </c>
      <c r="F68">
        <v>5.98</v>
      </c>
      <c r="G68" s="5">
        <v>-9.9000000000000008E-3</v>
      </c>
      <c r="H68" t="s">
        <v>7260</v>
      </c>
      <c r="I68">
        <v>6415432600</v>
      </c>
      <c r="J68">
        <v>55.13</v>
      </c>
      <c r="K68">
        <v>2.14</v>
      </c>
      <c r="L68" t="s">
        <v>6350</v>
      </c>
      <c r="M68" t="s">
        <v>9</v>
      </c>
      <c r="N68" t="s">
        <v>9</v>
      </c>
      <c r="O68" t="s">
        <v>9</v>
      </c>
      <c r="P68" t="s">
        <v>9</v>
      </c>
      <c r="Q68" t="s">
        <v>2584</v>
      </c>
      <c r="R68">
        <v>162681000</v>
      </c>
      <c r="S68" s="5">
        <v>0.1472</v>
      </c>
      <c r="T68" t="s">
        <v>7261</v>
      </c>
      <c r="U68">
        <v>1072814810</v>
      </c>
      <c r="V68">
        <v>1072814810</v>
      </c>
      <c r="W68" t="s">
        <v>9</v>
      </c>
      <c r="X68" t="s">
        <v>9</v>
      </c>
      <c r="Y68" t="s">
        <v>9</v>
      </c>
      <c r="Z68" t="s">
        <v>9</v>
      </c>
      <c r="AA68" t="s">
        <v>9</v>
      </c>
      <c r="AB68" t="s">
        <v>9</v>
      </c>
      <c r="AC68" t="s">
        <v>9</v>
      </c>
      <c r="AD68" t="s">
        <v>9</v>
      </c>
      <c r="AE68" t="s">
        <v>9</v>
      </c>
      <c r="AF68" t="s">
        <v>9</v>
      </c>
      <c r="AG68" t="s">
        <v>9</v>
      </c>
      <c r="AH68" t="s">
        <v>7262</v>
      </c>
      <c r="AI68" t="s">
        <v>9</v>
      </c>
      <c r="AJ68" t="s">
        <v>9</v>
      </c>
      <c r="AK68" t="s">
        <v>7263</v>
      </c>
      <c r="AL68" t="s">
        <v>9</v>
      </c>
      <c r="AM68" t="s">
        <v>9</v>
      </c>
      <c r="AN68" s="5">
        <v>0.45090000000000002</v>
      </c>
      <c r="AO68" t="s">
        <v>9</v>
      </c>
      <c r="AP68" t="s">
        <v>1538</v>
      </c>
      <c r="AQ68" t="s">
        <v>9</v>
      </c>
      <c r="AR68" t="s">
        <v>2488</v>
      </c>
      <c r="AS68" t="s">
        <v>9</v>
      </c>
      <c r="AT68" t="s">
        <v>9</v>
      </c>
      <c r="AU68" t="s">
        <v>2131</v>
      </c>
      <c r="AV68" t="s">
        <v>7264</v>
      </c>
      <c r="AW68" t="s">
        <v>9</v>
      </c>
      <c r="AX68" t="s">
        <v>1305</v>
      </c>
      <c r="AY68" t="s">
        <v>1307</v>
      </c>
      <c r="AZ68" t="s">
        <v>1308</v>
      </c>
      <c r="BA68" t="s">
        <v>579</v>
      </c>
      <c r="BB68" t="s">
        <v>1309</v>
      </c>
      <c r="BC68" t="s">
        <v>1310</v>
      </c>
      <c r="BD68" t="s">
        <v>981</v>
      </c>
      <c r="BE68" t="s">
        <v>1311</v>
      </c>
      <c r="BF68" t="s">
        <v>1312</v>
      </c>
      <c r="BG68" t="s">
        <v>1313</v>
      </c>
      <c r="BH68" t="s">
        <v>1305</v>
      </c>
      <c r="BI68" t="s">
        <v>9</v>
      </c>
      <c r="BJ68" t="s">
        <v>1307</v>
      </c>
      <c r="BK68" t="s">
        <v>1306</v>
      </c>
      <c r="BL68" t="s">
        <v>9</v>
      </c>
      <c r="BM68" t="s">
        <v>1310</v>
      </c>
      <c r="BN68">
        <v>1.26</v>
      </c>
      <c r="BO68">
        <v>-4.24</v>
      </c>
      <c r="BP68">
        <v>15.41</v>
      </c>
      <c r="BQ68">
        <v>1.53</v>
      </c>
      <c r="BR68">
        <v>-4.87</v>
      </c>
      <c r="BS68">
        <v>15.16</v>
      </c>
      <c r="BT68" t="s">
        <v>7265</v>
      </c>
      <c r="BU68" t="s">
        <v>759</v>
      </c>
      <c r="BV68">
        <v>47.5</v>
      </c>
      <c r="BW68">
        <v>47.23</v>
      </c>
      <c r="BX68">
        <v>52.59</v>
      </c>
      <c r="BY68">
        <v>0.33</v>
      </c>
      <c r="BZ68">
        <v>-2.48</v>
      </c>
      <c r="CA68">
        <v>7.84</v>
      </c>
      <c r="CB68">
        <v>-7.29</v>
      </c>
      <c r="CC68">
        <v>-2.92</v>
      </c>
      <c r="CD68" t="s">
        <v>7266</v>
      </c>
      <c r="CE68" t="s">
        <v>7267</v>
      </c>
      <c r="CF68" s="8" t="s">
        <v>9</v>
      </c>
      <c r="CG68" s="9">
        <v>0.1472</v>
      </c>
      <c r="CH68" s="8">
        <v>-2.4611597880721092E-2</v>
      </c>
      <c r="CI68" s="8">
        <v>-0.13550528883934021</v>
      </c>
      <c r="CJ68" s="8">
        <v>3.9679255336523056E-2</v>
      </c>
      <c r="CK68" s="8">
        <v>0.11879350244998932</v>
      </c>
      <c r="CL68" s="8">
        <v>0.19589340686798096</v>
      </c>
      <c r="CM68" s="9">
        <v>-0.91656750440597534</v>
      </c>
      <c r="CN68" s="9">
        <v>2.238805964589119E-2</v>
      </c>
      <c r="CO68" s="9">
        <v>-0.22988505661487579</v>
      </c>
      <c r="CP68" s="9">
        <v>0.18771331012248993</v>
      </c>
      <c r="CQ68" s="9">
        <v>-5.1779936999082565E-2</v>
      </c>
      <c r="CR68">
        <v>0.9289937200252899</v>
      </c>
      <c r="CS68">
        <v>0.12922096568415856</v>
      </c>
      <c r="CT68">
        <v>0</v>
      </c>
      <c r="CU68" s="8">
        <v>7.1891872584819799E-2</v>
      </c>
      <c r="CV68" s="9">
        <v>8.9653532207012179E-2</v>
      </c>
      <c r="CW68">
        <v>0.06</v>
      </c>
      <c r="CX68">
        <v>138.76026268783153</v>
      </c>
      <c r="CY68">
        <v>46233932.36457599</v>
      </c>
      <c r="CZ68">
        <v>7.1891872584819799E-2</v>
      </c>
      <c r="DA68">
        <v>46.047669632906178</v>
      </c>
      <c r="DB68">
        <v>139321547.67318475</v>
      </c>
      <c r="DC68">
        <v>6.82972789555788E-2</v>
      </c>
      <c r="DD68">
        <v>23.135474858279387</v>
      </c>
      <c r="DE68">
        <v>277298505.40345138</v>
      </c>
      <c r="DF68">
        <v>6.3264847874641428E-2</v>
      </c>
      <c r="DG68">
        <v>14.213795000116344</v>
      </c>
      <c r="DH68">
        <v>451352548.69987136</v>
      </c>
      <c r="DI68">
        <v>5.7513498067855842E-2</v>
      </c>
      <c r="DJ68">
        <v>7.7141659152940871</v>
      </c>
      <c r="DK68">
        <v>831643066.85195589</v>
      </c>
      <c r="DL68">
        <v>5.0324310809373857E-2</v>
      </c>
      <c r="DM68">
        <v>45721000</v>
      </c>
      <c r="DN68">
        <v>7.1891872584819799E-2</v>
      </c>
      <c r="DO68">
        <v>6415432600</v>
      </c>
      <c r="DP68" t="e">
        <v>#VALUE!</v>
      </c>
      <c r="DQ68">
        <v>67</v>
      </c>
      <c r="DR68" t="e">
        <v>#VALUE!</v>
      </c>
      <c r="DS68">
        <v>5.7546467792987818E-2</v>
      </c>
      <c r="DT68" t="e">
        <v>#VALUE!</v>
      </c>
      <c r="DU68" t="e">
        <v>#VALUE!</v>
      </c>
      <c r="DV68" t="e">
        <v>#VALUE!</v>
      </c>
      <c r="DW68">
        <v>-5.4005486968449929</v>
      </c>
      <c r="DX68">
        <v>0.33917005377148723</v>
      </c>
      <c r="DY68">
        <v>-5.0477334097411175</v>
      </c>
      <c r="DZ68">
        <v>0</v>
      </c>
      <c r="EA68">
        <v>-5.0477334097411175</v>
      </c>
      <c r="EB68">
        <v>5</v>
      </c>
      <c r="EC68">
        <v>9.647331397298663E-3</v>
      </c>
      <c r="ED68">
        <v>8.0954326124561979E-2</v>
      </c>
      <c r="EE68">
        <v>0</v>
      </c>
      <c r="EF68">
        <v>0</v>
      </c>
      <c r="EG68">
        <v>22.119170053771487</v>
      </c>
      <c r="EH68" t="s">
        <v>110</v>
      </c>
      <c r="EI68">
        <v>0</v>
      </c>
      <c r="EJ68">
        <v>0</v>
      </c>
      <c r="EK68">
        <v>0</v>
      </c>
      <c r="EL68">
        <v>0</v>
      </c>
      <c r="EM68">
        <v>0</v>
      </c>
      <c r="EN68">
        <v>0</v>
      </c>
      <c r="EO68">
        <v>0</v>
      </c>
      <c r="EP68">
        <v>0</v>
      </c>
    </row>
    <row r="69" spans="1:146" ht="96" x14ac:dyDescent="0.25">
      <c r="A69" s="7"/>
      <c r="B69" s="7"/>
      <c r="C69" s="7" t="str">
        <f>""&amp;CHAR(10)&amp;Basic_Fundamental_Information_Constructure(F69)&amp;CHAR(10)&amp;Basic_Fundamental_Information_Concatenate("")</f>
        <v xml:space="preserve">
市值114.482994亿, 利润-35.70亿; PE; 平均PE-101.91; 平均PEG-6.28, PB.2; ROIC1.79%; ROE1.9767%; 股利率0%; 毛利3.0933%; 净利.8033%; 上一年度营收增-15.78%, 利润增-141.87%; 当季营收增-31.57%, 利润增-949.5%; 过往5年营收增16.24%, 利润增45.02%
Income profile:
</v>
      </c>
      <c r="D69" s="11">
        <v>347</v>
      </c>
      <c r="E69" t="s">
        <v>1314</v>
      </c>
      <c r="F69">
        <v>1.22</v>
      </c>
      <c r="G69" s="5">
        <v>-1.61E-2</v>
      </c>
      <c r="H69" t="s">
        <v>7268</v>
      </c>
      <c r="I69">
        <v>11448299400</v>
      </c>
      <c r="K69">
        <v>0.2</v>
      </c>
      <c r="L69" t="s">
        <v>6350</v>
      </c>
      <c r="M69" t="s">
        <v>7269</v>
      </c>
      <c r="N69" t="s">
        <v>7270</v>
      </c>
      <c r="O69" t="s">
        <v>7271</v>
      </c>
      <c r="P69">
        <v>-11.35</v>
      </c>
      <c r="Q69" t="s">
        <v>7272</v>
      </c>
      <c r="R69">
        <v>-3570323400</v>
      </c>
      <c r="S69" s="5">
        <v>-9.4949999999999992</v>
      </c>
      <c r="T69" t="s">
        <v>7273</v>
      </c>
      <c r="U69">
        <v>1411540000</v>
      </c>
      <c r="V69">
        <v>9383852000</v>
      </c>
      <c r="W69">
        <v>1.85</v>
      </c>
      <c r="X69">
        <v>0.28000000000000003</v>
      </c>
      <c r="Y69">
        <v>-5.95</v>
      </c>
      <c r="Z69" t="s">
        <v>7274</v>
      </c>
      <c r="AA69" t="s">
        <v>7275</v>
      </c>
      <c r="AB69" t="s">
        <v>239</v>
      </c>
      <c r="AC69" t="s">
        <v>4244</v>
      </c>
      <c r="AD69" t="s">
        <v>7276</v>
      </c>
      <c r="AE69" t="s">
        <v>7277</v>
      </c>
      <c r="AF69" t="s">
        <v>9</v>
      </c>
      <c r="AG69" t="s">
        <v>7278</v>
      </c>
      <c r="AH69" t="s">
        <v>7279</v>
      </c>
      <c r="AI69" t="s">
        <v>6695</v>
      </c>
      <c r="AJ69" t="s">
        <v>7280</v>
      </c>
      <c r="AK69" t="s">
        <v>7281</v>
      </c>
      <c r="AL69" t="s">
        <v>9</v>
      </c>
      <c r="AM69" t="s">
        <v>7282</v>
      </c>
      <c r="AN69" s="5">
        <v>0.45290000000000002</v>
      </c>
      <c r="AO69" t="s">
        <v>2336</v>
      </c>
      <c r="AP69" t="s">
        <v>7283</v>
      </c>
      <c r="AQ69" t="s">
        <v>7284</v>
      </c>
      <c r="AR69" t="s">
        <v>7285</v>
      </c>
      <c r="AS69" t="s">
        <v>7286</v>
      </c>
      <c r="AT69" t="s">
        <v>7287</v>
      </c>
      <c r="AU69" t="s">
        <v>3968</v>
      </c>
      <c r="AV69" t="s">
        <v>7288</v>
      </c>
      <c r="AW69" t="s">
        <v>7289</v>
      </c>
      <c r="AX69" t="s">
        <v>1315</v>
      </c>
      <c r="AY69" t="s">
        <v>1322</v>
      </c>
      <c r="AZ69" t="s">
        <v>1323</v>
      </c>
      <c r="BA69" t="s">
        <v>1324</v>
      </c>
      <c r="BB69" t="s">
        <v>1325</v>
      </c>
      <c r="BC69" t="s">
        <v>7290</v>
      </c>
      <c r="BD69" t="s">
        <v>1326</v>
      </c>
      <c r="BE69" t="s">
        <v>1327</v>
      </c>
      <c r="BF69" t="s">
        <v>1328</v>
      </c>
      <c r="BG69" t="s">
        <v>1329</v>
      </c>
      <c r="BH69" t="s">
        <v>1315</v>
      </c>
      <c r="BI69" t="s">
        <v>1330</v>
      </c>
      <c r="BJ69" t="s">
        <v>1322</v>
      </c>
      <c r="BK69" t="s">
        <v>1316</v>
      </c>
      <c r="BL69" t="s">
        <v>1331</v>
      </c>
      <c r="BM69" t="s">
        <v>7290</v>
      </c>
      <c r="BN69">
        <v>-5.34</v>
      </c>
      <c r="BO69">
        <v>0.25</v>
      </c>
      <c r="BP69">
        <v>10.46</v>
      </c>
      <c r="BQ69">
        <v>-5.95</v>
      </c>
      <c r="BR69">
        <v>0.27</v>
      </c>
      <c r="BS69">
        <v>11.61</v>
      </c>
      <c r="BT69" t="s">
        <v>1332</v>
      </c>
      <c r="BU69" t="s">
        <v>1254</v>
      </c>
      <c r="BV69">
        <v>-1.23</v>
      </c>
      <c r="BW69">
        <v>1.51</v>
      </c>
      <c r="BX69">
        <v>9</v>
      </c>
      <c r="BY69">
        <v>-2.86</v>
      </c>
      <c r="BZ69">
        <v>0.14000000000000001</v>
      </c>
      <c r="CA69">
        <v>5.13</v>
      </c>
      <c r="CB69">
        <v>-8.27</v>
      </c>
      <c r="CC69">
        <v>-11.59</v>
      </c>
      <c r="CD69" t="s">
        <v>7291</v>
      </c>
      <c r="CE69" t="s">
        <v>640</v>
      </c>
      <c r="CF69" s="8">
        <v>-0.31566760998199117</v>
      </c>
      <c r="CG69" s="9">
        <v>-9.4949999999999992</v>
      </c>
      <c r="CH69" s="8">
        <v>-0.157848060131073</v>
      </c>
      <c r="CI69" s="8">
        <v>-0.11336234956979752</v>
      </c>
      <c r="CJ69" s="8">
        <v>0.38886317610740662</v>
      </c>
      <c r="CK69" s="8">
        <v>-5.4204640910029411E-3</v>
      </c>
      <c r="CL69" s="8">
        <v>8.9274831116199493E-2</v>
      </c>
      <c r="CM69" s="9">
        <v>-1.4186701774597168</v>
      </c>
      <c r="CN69" s="9">
        <v>2.6161999702453613</v>
      </c>
      <c r="CO69" s="9">
        <v>0.18077126145362854</v>
      </c>
      <c r="CP69" s="9">
        <v>-0.77943456172943115</v>
      </c>
      <c r="CQ69" s="9">
        <v>0.13772304356098175</v>
      </c>
      <c r="CR69">
        <v>-101.91364451038568</v>
      </c>
      <c r="CS69">
        <v>-6.2756949579558157</v>
      </c>
      <c r="CT69">
        <v>0</v>
      </c>
      <c r="CU69" s="8">
        <v>0.16239419728517532</v>
      </c>
      <c r="CV69" s="9">
        <v>0.45017039682716131</v>
      </c>
      <c r="CW69">
        <v>0.06</v>
      </c>
      <c r="CX69" t="e">
        <v>#VALUE!</v>
      </c>
      <c r="CY69" t="s">
        <v>109</v>
      </c>
      <c r="CZ69">
        <v>0.16239419728517532</v>
      </c>
      <c r="DA69" t="e">
        <v>#VALUE!</v>
      </c>
      <c r="DB69" t="s">
        <v>108</v>
      </c>
      <c r="DC69">
        <v>0.15427448742091654</v>
      </c>
      <c r="DD69" t="e">
        <v>#VALUE!</v>
      </c>
      <c r="DE69" t="s">
        <v>108</v>
      </c>
      <c r="DF69">
        <v>0.14290689361095429</v>
      </c>
      <c r="DG69" t="e">
        <v>#VALUE!</v>
      </c>
      <c r="DH69" t="s">
        <v>108</v>
      </c>
      <c r="DI69">
        <v>0.12991535782814026</v>
      </c>
      <c r="DJ69" t="e">
        <v>#VALUE!</v>
      </c>
      <c r="DK69" t="s">
        <v>108</v>
      </c>
      <c r="DL69">
        <v>0.11367593809962272</v>
      </c>
      <c r="DM69">
        <v>-3570000000.0000005</v>
      </c>
      <c r="DN69">
        <v>0.16239419728517532</v>
      </c>
      <c r="DO69">
        <v>1474299400.0000076</v>
      </c>
      <c r="DP69" t="e">
        <v>#VALUE!</v>
      </c>
      <c r="DQ69">
        <v>68</v>
      </c>
      <c r="DR69">
        <v>-0.47806180726716652</v>
      </c>
      <c r="DS69">
        <v>-9.9451703968271605</v>
      </c>
      <c r="DT69">
        <v>-0.19000000000000003</v>
      </c>
      <c r="DU69">
        <v>-0.83166666666666667</v>
      </c>
      <c r="DV69">
        <v>-1.0216666666666667</v>
      </c>
      <c r="DW69">
        <v>-9.7135461604831743</v>
      </c>
      <c r="DX69">
        <v>0.39937040816326697</v>
      </c>
      <c r="DY69">
        <v>-9.13512452765403</v>
      </c>
      <c r="DZ69">
        <v>0</v>
      </c>
      <c r="EA69">
        <v>-9.13512452765403</v>
      </c>
      <c r="EB69">
        <v>9</v>
      </c>
      <c r="EC69">
        <v>3.9553692875804094E-3</v>
      </c>
      <c r="ED69">
        <v>2.0886944934766661E-2</v>
      </c>
      <c r="EE69">
        <v>0</v>
      </c>
      <c r="EF69">
        <v>0</v>
      </c>
      <c r="EG69">
        <v>21.189370408163267</v>
      </c>
      <c r="EH69" t="s">
        <v>110</v>
      </c>
      <c r="EI69">
        <v>0</v>
      </c>
      <c r="EJ69">
        <v>0</v>
      </c>
      <c r="EK69">
        <v>0</v>
      </c>
      <c r="EL69">
        <v>0</v>
      </c>
      <c r="EM69">
        <v>0</v>
      </c>
      <c r="EN69">
        <v>0</v>
      </c>
      <c r="EO69">
        <v>0</v>
      </c>
      <c r="EP69">
        <v>0</v>
      </c>
    </row>
    <row r="70" spans="1:146" ht="96" x14ac:dyDescent="0.25">
      <c r="A70" s="7"/>
      <c r="B70" s="7"/>
      <c r="C70" s="7" t="str">
        <f>""&amp;CHAR(10)&amp;Basic_Fundamental_Information_Constructure(F70)&amp;CHAR(10)&amp;Basic_Fundamental_Information_Concatenate("")</f>
        <v xml:space="preserve">
市值115.480863亿, 利润7.82亿; PE14.77; 平均PE5.59; 平均PEG3.39, PB.897; ROIC6.6333%; ROE7.3833%; 股利率0%; 毛利24.3467%; 净利4.71%; 上一年度营收增-16.86%, 利润增-43.82%, 利润增-8.72%; 过往5年营收增-1.65%, 利润增-43.2%
Income profile:
</v>
      </c>
      <c r="D70" s="11">
        <v>354</v>
      </c>
      <c r="E70" t="s">
        <v>1334</v>
      </c>
      <c r="F70">
        <v>4.1100000000000003</v>
      </c>
      <c r="G70" s="5">
        <v>-2.3800000000000002E-2</v>
      </c>
      <c r="H70" t="s">
        <v>7292</v>
      </c>
      <c r="I70">
        <v>11548086300</v>
      </c>
      <c r="J70">
        <v>14.77</v>
      </c>
      <c r="K70">
        <v>0.89700000000000002</v>
      </c>
      <c r="L70" t="s">
        <v>6350</v>
      </c>
      <c r="M70" t="s">
        <v>9</v>
      </c>
      <c r="N70" t="s">
        <v>9</v>
      </c>
      <c r="O70" t="s">
        <v>9</v>
      </c>
      <c r="P70" t="s">
        <v>9</v>
      </c>
      <c r="Q70" t="s">
        <v>7293</v>
      </c>
      <c r="R70">
        <v>782022500</v>
      </c>
      <c r="S70" s="5">
        <v>-8.72E-2</v>
      </c>
      <c r="T70" t="s">
        <v>2924</v>
      </c>
      <c r="U70">
        <v>2843565400</v>
      </c>
      <c r="V70">
        <v>2843565400</v>
      </c>
      <c r="W70" t="s">
        <v>9</v>
      </c>
      <c r="X70" t="s">
        <v>9</v>
      </c>
      <c r="Y70" t="s">
        <v>9</v>
      </c>
      <c r="Z70" t="s">
        <v>9</v>
      </c>
      <c r="AA70" t="s">
        <v>9</v>
      </c>
      <c r="AB70" t="s">
        <v>9</v>
      </c>
      <c r="AC70" t="s">
        <v>9</v>
      </c>
      <c r="AD70" t="s">
        <v>2797</v>
      </c>
      <c r="AE70" t="s">
        <v>9</v>
      </c>
      <c r="AF70" t="s">
        <v>9</v>
      </c>
      <c r="AG70" t="s">
        <v>9</v>
      </c>
      <c r="AH70" t="s">
        <v>7294</v>
      </c>
      <c r="AI70" t="s">
        <v>9</v>
      </c>
      <c r="AJ70" t="s">
        <v>9</v>
      </c>
      <c r="AK70" t="s">
        <v>7295</v>
      </c>
      <c r="AL70" t="s">
        <v>9</v>
      </c>
      <c r="AM70" t="s">
        <v>9</v>
      </c>
      <c r="AN70" s="5">
        <v>0.31059999999999999</v>
      </c>
      <c r="AO70" t="s">
        <v>9</v>
      </c>
      <c r="AP70" t="s">
        <v>2051</v>
      </c>
      <c r="AQ70" t="s">
        <v>9</v>
      </c>
      <c r="AR70" t="s">
        <v>5829</v>
      </c>
      <c r="AS70" t="s">
        <v>9</v>
      </c>
      <c r="AT70" t="s">
        <v>9</v>
      </c>
      <c r="AU70" t="s">
        <v>3865</v>
      </c>
      <c r="AV70" t="s">
        <v>7296</v>
      </c>
      <c r="AW70" t="s">
        <v>9</v>
      </c>
      <c r="AX70" t="s">
        <v>1335</v>
      </c>
      <c r="AY70" t="s">
        <v>1336</v>
      </c>
      <c r="AZ70" t="s">
        <v>1337</v>
      </c>
      <c r="BA70" t="s">
        <v>1338</v>
      </c>
      <c r="BB70" t="s">
        <v>1339</v>
      </c>
      <c r="BC70" t="s">
        <v>1340</v>
      </c>
      <c r="BD70" t="s">
        <v>1341</v>
      </c>
      <c r="BE70" t="s">
        <v>1342</v>
      </c>
      <c r="BF70" t="s">
        <v>1343</v>
      </c>
      <c r="BG70" t="s">
        <v>1344</v>
      </c>
      <c r="BH70" t="s">
        <v>1335</v>
      </c>
      <c r="BI70" t="s">
        <v>9</v>
      </c>
      <c r="BJ70" t="s">
        <v>1336</v>
      </c>
      <c r="BK70" t="s">
        <v>113</v>
      </c>
      <c r="BL70" t="s">
        <v>9</v>
      </c>
      <c r="BM70" t="s">
        <v>1340</v>
      </c>
      <c r="BN70">
        <v>4.95</v>
      </c>
      <c r="BO70">
        <v>5.51</v>
      </c>
      <c r="BP70">
        <v>9.44</v>
      </c>
      <c r="BQ70">
        <v>6.08</v>
      </c>
      <c r="BR70">
        <v>6.27</v>
      </c>
      <c r="BS70">
        <v>9.8000000000000007</v>
      </c>
      <c r="BT70" t="s">
        <v>1345</v>
      </c>
      <c r="BU70" t="s">
        <v>551</v>
      </c>
      <c r="BV70">
        <v>23.39</v>
      </c>
      <c r="BW70">
        <v>22.99</v>
      </c>
      <c r="BX70">
        <v>26.66</v>
      </c>
      <c r="BY70">
        <v>4.16</v>
      </c>
      <c r="BZ70">
        <v>3.79</v>
      </c>
      <c r="CA70">
        <v>6.18</v>
      </c>
      <c r="CB70">
        <v>0.24</v>
      </c>
      <c r="CC70">
        <v>-12.16</v>
      </c>
      <c r="CD70" t="s">
        <v>7297</v>
      </c>
      <c r="CE70" t="s">
        <v>3529</v>
      </c>
      <c r="CF70" s="8" t="s">
        <v>9</v>
      </c>
      <c r="CG70" s="9">
        <v>-8.72E-2</v>
      </c>
      <c r="CH70" s="8">
        <v>-0.16855727136135101</v>
      </c>
      <c r="CI70" s="8">
        <v>1.7755454173311591E-3</v>
      </c>
      <c r="CJ70" s="8">
        <v>0.34039387106895447</v>
      </c>
      <c r="CK70" s="8">
        <v>0.39454036951065063</v>
      </c>
      <c r="CL70" s="8">
        <v>8.7529264390468597E-2</v>
      </c>
      <c r="CM70" s="9">
        <v>-0.4382183849811554</v>
      </c>
      <c r="CN70" s="9">
        <v>0.22319859266281128</v>
      </c>
      <c r="CO70" s="9">
        <v>0.34834122657775879</v>
      </c>
      <c r="CP70" s="9">
        <v>3.5582821816205978E-2</v>
      </c>
      <c r="CQ70" s="9">
        <v>0.20206490159034729</v>
      </c>
      <c r="CR70">
        <v>5.5855314631197102</v>
      </c>
      <c r="CS70">
        <v>3.3911325904270244</v>
      </c>
      <c r="CT70">
        <v>0</v>
      </c>
      <c r="CU70" s="8">
        <v>-1.647099107503891E-2</v>
      </c>
      <c r="CV70" s="9">
        <v>-0.43201931808143856</v>
      </c>
      <c r="CW70">
        <v>0.06</v>
      </c>
      <c r="CX70">
        <v>14.767373785166241</v>
      </c>
      <c r="CY70" t="s">
        <v>7298</v>
      </c>
      <c r="CZ70">
        <v>-1.647099107503891E-2</v>
      </c>
      <c r="DA70">
        <v>4.9224579283887469</v>
      </c>
      <c r="DB70" t="s">
        <v>7299</v>
      </c>
      <c r="DC70">
        <v>-1.5647441521286963E-2</v>
      </c>
      <c r="DD70">
        <v>2.4612289641943734</v>
      </c>
      <c r="DE70" t="s">
        <v>7300</v>
      </c>
      <c r="DF70">
        <v>-1.4494472146034242E-2</v>
      </c>
      <c r="DG70">
        <v>1.476737378516624</v>
      </c>
      <c r="DH70" t="s">
        <v>7301</v>
      </c>
      <c r="DI70">
        <v>-1.3176792860031129E-2</v>
      </c>
      <c r="DJ70">
        <v>0.73836868925831201</v>
      </c>
      <c r="DK70" t="s">
        <v>7302</v>
      </c>
      <c r="DL70">
        <v>-1.1529693752527236E-2</v>
      </c>
      <c r="DM70">
        <v>782000000</v>
      </c>
      <c r="DN70">
        <v>-1.647099107503891E-2</v>
      </c>
      <c r="DO70">
        <v>11548086300</v>
      </c>
      <c r="DP70" t="e">
        <v>#VALUE!</v>
      </c>
      <c r="DQ70">
        <v>69</v>
      </c>
      <c r="DR70" t="e">
        <v>#VALUE!</v>
      </c>
      <c r="DS70">
        <v>0.34481931808143856</v>
      </c>
      <c r="DT70" t="e">
        <v>#VALUE!</v>
      </c>
      <c r="DU70" t="e">
        <v>#VALUE!</v>
      </c>
      <c r="DV70" t="e">
        <v>#VALUE!</v>
      </c>
      <c r="DW70">
        <v>-2.1215999999999999</v>
      </c>
      <c r="DX70">
        <v>0.32390878571428644</v>
      </c>
      <c r="DY70">
        <v>-2.0162833083428571</v>
      </c>
      <c r="DZ70">
        <v>0</v>
      </c>
      <c r="EA70">
        <v>-2.0162833083428571</v>
      </c>
      <c r="EB70">
        <v>2</v>
      </c>
      <c r="EC70">
        <v>3.1645728985167702E-2</v>
      </c>
      <c r="ED70">
        <v>0.23632303304858049</v>
      </c>
      <c r="EE70">
        <v>0</v>
      </c>
      <c r="EF70">
        <v>0</v>
      </c>
      <c r="EG70">
        <v>19.133908785714286</v>
      </c>
      <c r="EH70" t="s">
        <v>110</v>
      </c>
      <c r="EI70">
        <v>0</v>
      </c>
      <c r="EJ70">
        <v>0</v>
      </c>
      <c r="EK70">
        <v>0</v>
      </c>
      <c r="EL70">
        <v>0</v>
      </c>
      <c r="EM70">
        <v>0</v>
      </c>
      <c r="EN70">
        <v>0</v>
      </c>
      <c r="EO70">
        <v>0</v>
      </c>
      <c r="EP70">
        <v>0</v>
      </c>
    </row>
    <row r="71" spans="1:146" ht="96" x14ac:dyDescent="0.25">
      <c r="A71" s="7"/>
      <c r="B71" s="7"/>
      <c r="C71" s="7" t="str">
        <f>""&amp;CHAR(10)&amp;Basic_Fundamental_Information_Constructure(F71)&amp;CHAR(10)&amp;Basic_Fundamental_Information_Concatenate("")</f>
        <v xml:space="preserve">
市值525.64232亿, 利润73.95亿; PE7.26; 平均PE16.52; 平均PEG2.51, PB.677; ROIC5.0767%; ROE8.8133%; 股利率0%; 毛利2.8333%; 净利1.3433%; 上一年度营收增5.69%, 利润增4.63%; 当季营收增-12.33%, 利润增-7.79%; 过往5年营收增-6.58%, 利润增-86.98%
Income profile:
</v>
      </c>
      <c r="D71" s="11">
        <v>358</v>
      </c>
      <c r="E71" t="s">
        <v>1346</v>
      </c>
      <c r="F71">
        <v>15.18</v>
      </c>
      <c r="G71" s="5">
        <v>-2.5700000000000001E-2</v>
      </c>
      <c r="H71" t="s">
        <v>7303</v>
      </c>
      <c r="I71">
        <v>52564232000</v>
      </c>
      <c r="J71">
        <v>7.26</v>
      </c>
      <c r="K71">
        <v>0.67700000000000005</v>
      </c>
      <c r="L71" t="s">
        <v>6350</v>
      </c>
      <c r="M71" t="s">
        <v>7304</v>
      </c>
      <c r="N71" t="s">
        <v>7305</v>
      </c>
      <c r="O71" t="s">
        <v>7306</v>
      </c>
      <c r="P71">
        <v>-4.08</v>
      </c>
      <c r="Q71" t="s">
        <v>7307</v>
      </c>
      <c r="R71">
        <v>7394788700</v>
      </c>
      <c r="S71" s="5">
        <v>-7.7899999999999997E-2</v>
      </c>
      <c r="T71" t="s">
        <v>7308</v>
      </c>
      <c r="U71">
        <v>1387482000</v>
      </c>
      <c r="V71">
        <v>3462729400</v>
      </c>
      <c r="W71">
        <v>2.71</v>
      </c>
      <c r="X71">
        <v>0.67</v>
      </c>
      <c r="Y71">
        <v>1.78</v>
      </c>
      <c r="Z71" t="s">
        <v>7309</v>
      </c>
      <c r="AA71" t="s">
        <v>7310</v>
      </c>
      <c r="AB71" t="s">
        <v>240</v>
      </c>
      <c r="AC71" t="s">
        <v>733</v>
      </c>
      <c r="AD71" t="s">
        <v>7311</v>
      </c>
      <c r="AE71" t="s">
        <v>582</v>
      </c>
      <c r="AF71" t="s">
        <v>9</v>
      </c>
      <c r="AG71" t="s">
        <v>7312</v>
      </c>
      <c r="AH71" t="s">
        <v>7313</v>
      </c>
      <c r="AI71" t="s">
        <v>7314</v>
      </c>
      <c r="AJ71" t="s">
        <v>7315</v>
      </c>
      <c r="AK71" t="s">
        <v>7316</v>
      </c>
      <c r="AL71" t="s">
        <v>9</v>
      </c>
      <c r="AM71" t="s">
        <v>7317</v>
      </c>
      <c r="AN71" s="5">
        <v>0.58220000000000005</v>
      </c>
      <c r="AO71" t="s">
        <v>7318</v>
      </c>
      <c r="AP71" t="s">
        <v>7319</v>
      </c>
      <c r="AQ71" t="s">
        <v>7320</v>
      </c>
      <c r="AR71" t="s">
        <v>7321</v>
      </c>
      <c r="AS71" t="s">
        <v>7322</v>
      </c>
      <c r="AT71" t="s">
        <v>7323</v>
      </c>
      <c r="AU71" t="s">
        <v>7324</v>
      </c>
      <c r="AV71" t="s">
        <v>7325</v>
      </c>
      <c r="AW71" t="s">
        <v>7326</v>
      </c>
      <c r="AX71" t="s">
        <v>1347</v>
      </c>
      <c r="AY71" t="s">
        <v>1350</v>
      </c>
      <c r="AZ71" t="s">
        <v>1351</v>
      </c>
      <c r="BA71" t="s">
        <v>1352</v>
      </c>
      <c r="BB71" t="s">
        <v>1353</v>
      </c>
      <c r="BC71" t="s">
        <v>1354</v>
      </c>
      <c r="BD71" t="s">
        <v>1355</v>
      </c>
      <c r="BE71" t="s">
        <v>1356</v>
      </c>
      <c r="BF71" t="s">
        <v>1357</v>
      </c>
      <c r="BG71" t="s">
        <v>1274</v>
      </c>
      <c r="BH71" t="s">
        <v>1347</v>
      </c>
      <c r="BI71" t="s">
        <v>1358</v>
      </c>
      <c r="BJ71" t="s">
        <v>1350</v>
      </c>
      <c r="BK71" t="s">
        <v>1348</v>
      </c>
      <c r="BL71" t="s">
        <v>1151</v>
      </c>
      <c r="BM71" t="s">
        <v>1354</v>
      </c>
      <c r="BN71">
        <v>5.4</v>
      </c>
      <c r="BO71">
        <v>4.82</v>
      </c>
      <c r="BP71">
        <v>5.01</v>
      </c>
      <c r="BQ71">
        <v>10.01</v>
      </c>
      <c r="BR71">
        <v>8.16</v>
      </c>
      <c r="BS71">
        <v>8.27</v>
      </c>
      <c r="BT71" t="s">
        <v>7327</v>
      </c>
      <c r="BU71" t="s">
        <v>1254</v>
      </c>
      <c r="BV71">
        <v>2.31</v>
      </c>
      <c r="BW71">
        <v>2.52</v>
      </c>
      <c r="BX71">
        <v>3.67</v>
      </c>
      <c r="BY71">
        <v>1.39</v>
      </c>
      <c r="BZ71">
        <v>1.27</v>
      </c>
      <c r="CA71">
        <v>1.37</v>
      </c>
      <c r="CB71">
        <v>-6.53</v>
      </c>
      <c r="CC71">
        <v>-11.95</v>
      </c>
      <c r="CD71" t="s">
        <v>7328</v>
      </c>
      <c r="CE71" t="s">
        <v>251</v>
      </c>
      <c r="CF71" s="8">
        <v>-0.12326396976129793</v>
      </c>
      <c r="CG71" s="9">
        <v>-7.7899999999999997E-2</v>
      </c>
      <c r="CH71" s="8">
        <v>5.6923147290945053E-2</v>
      </c>
      <c r="CI71" s="8">
        <v>-2.0008976571261883E-3</v>
      </c>
      <c r="CJ71" s="8">
        <v>0.42780163884162903</v>
      </c>
      <c r="CK71" s="8">
        <v>0.55148899555206299</v>
      </c>
      <c r="CL71" s="8">
        <v>-3.0833620112389326E-3</v>
      </c>
      <c r="CM71" s="9">
        <v>4.6264789998531342E-2</v>
      </c>
      <c r="CN71" s="9">
        <v>1.6621469259262085</v>
      </c>
      <c r="CO71" s="9">
        <v>-2.5330372154712677E-2</v>
      </c>
      <c r="CP71" s="9">
        <v>-9.4545911997556686E-3</v>
      </c>
      <c r="CQ71" s="9">
        <v>0.38888895511627197</v>
      </c>
      <c r="CR71">
        <v>16.518378044309433</v>
      </c>
      <c r="CS71">
        <v>2.5113195202956042</v>
      </c>
      <c r="CT71">
        <v>0</v>
      </c>
      <c r="CU71" s="8">
        <v>-6.5775692462921143E-2</v>
      </c>
      <c r="CV71" s="9">
        <v>-0.86978725567460058</v>
      </c>
      <c r="CW71">
        <v>0.06</v>
      </c>
      <c r="CX71">
        <v>11.779476943881001</v>
      </c>
      <c r="CY71" t="s">
        <v>7329</v>
      </c>
      <c r="CZ71">
        <v>-6.5775692462921143E-2</v>
      </c>
      <c r="DA71">
        <v>3.9264923146270001</v>
      </c>
      <c r="DB71" t="s">
        <v>7330</v>
      </c>
      <c r="DC71">
        <v>-6.2486907839775084E-2</v>
      </c>
      <c r="DD71">
        <v>1.9632461573135001</v>
      </c>
      <c r="DE71" t="s">
        <v>7331</v>
      </c>
      <c r="DF71">
        <v>-5.7882609367370608E-2</v>
      </c>
      <c r="DG71">
        <v>1.1779476943881</v>
      </c>
      <c r="DH71" t="s">
        <v>7332</v>
      </c>
      <c r="DI71">
        <v>-5.2620553970336915E-2</v>
      </c>
      <c r="DJ71">
        <v>0.58897384719404999</v>
      </c>
      <c r="DK71" t="s">
        <v>7333</v>
      </c>
      <c r="DL71">
        <v>-4.6042984724044798E-2</v>
      </c>
      <c r="DM71">
        <v>7395000000</v>
      </c>
      <c r="DN71">
        <v>-6.5775692462921143E-2</v>
      </c>
      <c r="DO71">
        <v>87109232000</v>
      </c>
      <c r="DP71" t="e">
        <v>#VALUE!</v>
      </c>
      <c r="DQ71">
        <v>70</v>
      </c>
      <c r="DR71">
        <v>-5.7488277298376786E-2</v>
      </c>
      <c r="DS71">
        <v>0.79188725567460061</v>
      </c>
      <c r="DT71">
        <v>-0.64</v>
      </c>
      <c r="DU71">
        <v>-0.13333333333333341</v>
      </c>
      <c r="DV71">
        <v>-0.77333333333333343</v>
      </c>
      <c r="DW71">
        <v>-9.546443514644352</v>
      </c>
      <c r="DX71">
        <v>0.32761578947368336</v>
      </c>
      <c r="DY71">
        <v>-9.0697348205241131</v>
      </c>
      <c r="DZ71">
        <v>0</v>
      </c>
      <c r="EA71">
        <v>-9.0697348205241131</v>
      </c>
      <c r="EB71">
        <v>9</v>
      </c>
      <c r="EC71">
        <v>1.0503419643475462E-2</v>
      </c>
      <c r="ED71">
        <v>8.2305016383896479E-2</v>
      </c>
      <c r="EE71">
        <v>0</v>
      </c>
      <c r="EF71">
        <v>0</v>
      </c>
      <c r="EG71">
        <v>20.127615789473683</v>
      </c>
      <c r="EH71" t="s">
        <v>110</v>
      </c>
      <c r="EI71">
        <v>0</v>
      </c>
      <c r="EJ71">
        <v>0</v>
      </c>
      <c r="EK71">
        <v>0</v>
      </c>
      <c r="EL71">
        <v>0</v>
      </c>
      <c r="EM71">
        <v>0</v>
      </c>
      <c r="EN71">
        <v>0</v>
      </c>
      <c r="EO71">
        <v>0</v>
      </c>
      <c r="EP71">
        <v>0</v>
      </c>
    </row>
    <row r="72" spans="1:146" ht="96" x14ac:dyDescent="0.25">
      <c r="A72" s="7"/>
      <c r="B72" s="7"/>
      <c r="C72" s="7" t="str">
        <f>""&amp;CHAR(10)&amp;Basic_Fundamental_Information_Constructure(F72)&amp;CHAR(10)&amp;Basic_Fundamental_Information_Concatenate("")</f>
        <v xml:space="preserve">
市值125.681661亿, 利润34.24亿; PE3.67; 平均PE15.62; 平均PEG.61, PB.27; ROIC2.9533%; ROE6.7633%; 股利率0%; 毛利35.4333%; 净利11.69%; 上一年度营收增4.3%, 利润增-8.15%, 利润增47.96%; 过往5年营收增25.55%, 利润增56.18%
Income profile:
</v>
      </c>
      <c r="D72" s="11">
        <v>363</v>
      </c>
      <c r="E72" t="s">
        <v>1360</v>
      </c>
      <c r="F72">
        <v>11.56</v>
      </c>
      <c r="G72" s="5">
        <v>-2.86E-2</v>
      </c>
      <c r="H72" t="s">
        <v>7334</v>
      </c>
      <c r="I72">
        <v>12568166100</v>
      </c>
      <c r="J72">
        <v>3.67</v>
      </c>
      <c r="K72">
        <v>0.27</v>
      </c>
      <c r="L72" t="s">
        <v>6350</v>
      </c>
      <c r="M72" t="s">
        <v>9</v>
      </c>
      <c r="N72" t="s">
        <v>9</v>
      </c>
      <c r="O72" t="s">
        <v>9</v>
      </c>
      <c r="P72" t="s">
        <v>9</v>
      </c>
      <c r="Q72" t="s">
        <v>7335</v>
      </c>
      <c r="R72">
        <v>3423695000</v>
      </c>
      <c r="S72" s="5">
        <v>0.47960000000000003</v>
      </c>
      <c r="T72" t="s">
        <v>7336</v>
      </c>
      <c r="U72">
        <v>1087211600</v>
      </c>
      <c r="V72">
        <v>1087211600</v>
      </c>
      <c r="W72" t="s">
        <v>9</v>
      </c>
      <c r="X72" t="s">
        <v>9</v>
      </c>
      <c r="Y72" t="s">
        <v>9</v>
      </c>
      <c r="Z72" t="s">
        <v>9</v>
      </c>
      <c r="AA72" t="s">
        <v>9</v>
      </c>
      <c r="AB72" t="s">
        <v>9</v>
      </c>
      <c r="AC72" t="s">
        <v>9</v>
      </c>
      <c r="AD72" t="s">
        <v>237</v>
      </c>
      <c r="AE72" t="s">
        <v>9</v>
      </c>
      <c r="AF72" t="s">
        <v>9</v>
      </c>
      <c r="AG72" t="s">
        <v>9</v>
      </c>
      <c r="AH72" t="s">
        <v>7337</v>
      </c>
      <c r="AI72" t="s">
        <v>9</v>
      </c>
      <c r="AJ72" t="s">
        <v>9</v>
      </c>
      <c r="AK72" t="s">
        <v>7338</v>
      </c>
      <c r="AL72" t="s">
        <v>9</v>
      </c>
      <c r="AM72" t="s">
        <v>9</v>
      </c>
      <c r="AN72" s="5">
        <v>0.56799999999999995</v>
      </c>
      <c r="AO72" t="s">
        <v>9</v>
      </c>
      <c r="AP72" t="s">
        <v>7339</v>
      </c>
      <c r="AQ72" t="s">
        <v>9</v>
      </c>
      <c r="AR72" t="s">
        <v>7340</v>
      </c>
      <c r="AS72" t="s">
        <v>9</v>
      </c>
      <c r="AT72" t="s">
        <v>9</v>
      </c>
      <c r="AU72" t="s">
        <v>7341</v>
      </c>
      <c r="AV72" t="s">
        <v>7342</v>
      </c>
      <c r="AW72" t="s">
        <v>9</v>
      </c>
      <c r="AX72" t="s">
        <v>1361</v>
      </c>
      <c r="AY72" t="s">
        <v>1364</v>
      </c>
      <c r="AZ72" t="s">
        <v>1365</v>
      </c>
      <c r="BA72" t="s">
        <v>1366</v>
      </c>
      <c r="BB72" t="s">
        <v>1367</v>
      </c>
      <c r="BC72" t="s">
        <v>1368</v>
      </c>
      <c r="BD72" t="s">
        <v>1369</v>
      </c>
      <c r="BE72" t="s">
        <v>1370</v>
      </c>
      <c r="BF72" t="s">
        <v>1371</v>
      </c>
      <c r="BG72" t="s">
        <v>1372</v>
      </c>
      <c r="BH72" t="s">
        <v>1361</v>
      </c>
      <c r="BI72" t="s">
        <v>9</v>
      </c>
      <c r="BJ72" t="s">
        <v>1364</v>
      </c>
      <c r="BK72" t="s">
        <v>1362</v>
      </c>
      <c r="BL72" t="s">
        <v>9</v>
      </c>
      <c r="BM72" t="s">
        <v>1368</v>
      </c>
      <c r="BN72">
        <v>3.23</v>
      </c>
      <c r="BO72">
        <v>2.12</v>
      </c>
      <c r="BP72">
        <v>3.51</v>
      </c>
      <c r="BQ72">
        <v>7.35</v>
      </c>
      <c r="BR72">
        <v>5.08</v>
      </c>
      <c r="BS72">
        <v>7.86</v>
      </c>
      <c r="BT72" t="s">
        <v>7343</v>
      </c>
      <c r="BU72" t="s">
        <v>377</v>
      </c>
      <c r="BV72">
        <v>39.11</v>
      </c>
      <c r="BW72">
        <v>28.81</v>
      </c>
      <c r="BX72">
        <v>38.380000000000003</v>
      </c>
      <c r="BY72">
        <v>13.84</v>
      </c>
      <c r="BZ72">
        <v>10.62</v>
      </c>
      <c r="CA72">
        <v>10.61</v>
      </c>
      <c r="CB72">
        <v>-2.5299999999999998</v>
      </c>
      <c r="CC72">
        <v>-0.52</v>
      </c>
      <c r="CD72" t="s">
        <v>7344</v>
      </c>
      <c r="CE72" t="s">
        <v>7345</v>
      </c>
      <c r="CF72" s="8" t="s">
        <v>9</v>
      </c>
      <c r="CG72" s="9">
        <v>0.47960000000000003</v>
      </c>
      <c r="CH72" s="8">
        <v>4.3031647801399231E-2</v>
      </c>
      <c r="CI72" s="8">
        <v>-0.19095179438591003</v>
      </c>
      <c r="CJ72" s="8">
        <v>0.42781335115432739</v>
      </c>
      <c r="CK72" s="8">
        <v>-0.10768420249223709</v>
      </c>
      <c r="CL72" s="8">
        <v>3.0250737443566322E-2</v>
      </c>
      <c r="CM72" s="9">
        <v>-8.1545062363147736E-2</v>
      </c>
      <c r="CN72" s="9">
        <v>0.7030608057975769</v>
      </c>
      <c r="CO72" s="9">
        <v>-0.34656721353530884</v>
      </c>
      <c r="CP72" s="9">
        <v>5.1005678251385689E-3</v>
      </c>
      <c r="CQ72" s="9">
        <v>6.3157849013805389E-2</v>
      </c>
      <c r="CR72">
        <v>15.619151874360448</v>
      </c>
      <c r="CS72">
        <v>0.61133007861255562</v>
      </c>
      <c r="CT72">
        <v>0</v>
      </c>
      <c r="CU72" s="8">
        <v>0.25549457520246505</v>
      </c>
      <c r="CV72" s="9">
        <v>0.56178977116942408</v>
      </c>
      <c r="CW72">
        <v>0.06</v>
      </c>
      <c r="CX72">
        <v>3.0990542615771748</v>
      </c>
      <c r="CY72">
        <v>4055484363.6728683</v>
      </c>
      <c r="CZ72">
        <v>0.25549457520246505</v>
      </c>
      <c r="DA72">
        <v>0.88273126768713794</v>
      </c>
      <c r="DB72">
        <v>14237816830.630806</v>
      </c>
      <c r="DC72">
        <v>0.24271984644234179</v>
      </c>
      <c r="DD72">
        <v>0.3578809192737189</v>
      </c>
      <c r="DE72">
        <v>35118290535.03537</v>
      </c>
      <c r="DF72">
        <v>0.22483522617816923</v>
      </c>
      <c r="DG72">
        <v>0.17016211089530212</v>
      </c>
      <c r="DH72">
        <v>73859956449.018082</v>
      </c>
      <c r="DI72">
        <v>0.20439566016197205</v>
      </c>
      <c r="DJ72">
        <v>5.0171593652878814E-2</v>
      </c>
      <c r="DK72">
        <v>250503625357.31107</v>
      </c>
      <c r="DL72">
        <v>0.17884620264172552</v>
      </c>
      <c r="DM72">
        <v>3424000000</v>
      </c>
      <c r="DN72">
        <v>0.25549457520246505</v>
      </c>
      <c r="DO72">
        <v>12568166100</v>
      </c>
      <c r="DP72" t="e">
        <v>#VALUE!</v>
      </c>
      <c r="DQ72">
        <v>71</v>
      </c>
      <c r="DR72" t="e">
        <v>#VALUE!</v>
      </c>
      <c r="DS72">
        <v>-8.2189771169424053E-2</v>
      </c>
      <c r="DT72" t="e">
        <v>#VALUE!</v>
      </c>
      <c r="DU72" t="e">
        <v>#VALUE!</v>
      </c>
      <c r="DV72" t="e">
        <v>#VALUE!</v>
      </c>
      <c r="DW72">
        <v>-4.2055335968379444</v>
      </c>
      <c r="DX72">
        <v>0.37372056971223744</v>
      </c>
      <c r="DY72">
        <v>-4.0213180617590369</v>
      </c>
      <c r="DZ72">
        <v>0</v>
      </c>
      <c r="EA72">
        <v>-4.0213180617590369</v>
      </c>
      <c r="EB72">
        <v>4</v>
      </c>
      <c r="EC72">
        <v>3.3477383795389973E-3</v>
      </c>
      <c r="ED72">
        <v>3.2276513605999056E-2</v>
      </c>
      <c r="EE72">
        <v>0</v>
      </c>
      <c r="EF72">
        <v>0</v>
      </c>
      <c r="EG72">
        <v>27.103720569712237</v>
      </c>
      <c r="EH72" t="s">
        <v>110</v>
      </c>
      <c r="EI72">
        <v>0</v>
      </c>
      <c r="EJ72">
        <v>0</v>
      </c>
      <c r="EK72">
        <v>0</v>
      </c>
      <c r="EL72">
        <v>0</v>
      </c>
      <c r="EM72">
        <v>0</v>
      </c>
      <c r="EN72">
        <v>0</v>
      </c>
      <c r="EO72">
        <v>0</v>
      </c>
      <c r="EP72">
        <v>0</v>
      </c>
    </row>
    <row r="73" spans="1:146" ht="96" x14ac:dyDescent="0.25">
      <c r="A73" s="7"/>
      <c r="B73" s="7"/>
      <c r="C73" s="7" t="str">
        <f>""&amp;CHAR(10)&amp;Basic_Fundamental_Information_Constructure(F73)&amp;CHAR(10)&amp;Basic_Fundamental_Information_Concatenate("")</f>
        <v xml:space="preserve">
市值236.09533亿, 利润20.78亿; PE11.36; 平均PE51.61; 平均PEG6.37, PB.686; ROIC2.2367%; ROE6.82%; 股利率0%; 毛利37.8567%; 净利14.3267%; 上一年度营收增10.9%, 利润增-50.48%, 利润增55.92%; 过往5年营收增8.11%, 利润增72.1%
Income profile:
</v>
      </c>
      <c r="D73" s="11">
        <v>371</v>
      </c>
      <c r="E73" t="s">
        <v>1373</v>
      </c>
      <c r="F73">
        <v>2.35</v>
      </c>
      <c r="G73" s="5">
        <v>-2.4899999999999999E-2</v>
      </c>
      <c r="H73" t="s">
        <v>7346</v>
      </c>
      <c r="I73">
        <v>23609533000</v>
      </c>
      <c r="J73">
        <v>11.36</v>
      </c>
      <c r="K73">
        <v>0.68600000000000005</v>
      </c>
      <c r="L73" t="s">
        <v>6350</v>
      </c>
      <c r="M73" t="s">
        <v>9</v>
      </c>
      <c r="N73" t="s">
        <v>9</v>
      </c>
      <c r="O73" t="s">
        <v>9</v>
      </c>
      <c r="P73" t="s">
        <v>9</v>
      </c>
      <c r="Q73" t="s">
        <v>7347</v>
      </c>
      <c r="R73">
        <v>2078045500</v>
      </c>
      <c r="S73" s="5">
        <v>0.55920000000000003</v>
      </c>
      <c r="T73" t="s">
        <v>5905</v>
      </c>
      <c r="U73">
        <v>10046609900</v>
      </c>
      <c r="V73">
        <v>10046609900</v>
      </c>
      <c r="W73" t="s">
        <v>9</v>
      </c>
      <c r="X73" t="s">
        <v>9</v>
      </c>
      <c r="Y73" t="s">
        <v>9</v>
      </c>
      <c r="Z73" t="s">
        <v>9</v>
      </c>
      <c r="AA73" t="s">
        <v>9</v>
      </c>
      <c r="AB73" t="s">
        <v>9</v>
      </c>
      <c r="AC73" t="s">
        <v>9</v>
      </c>
      <c r="AD73" t="s">
        <v>9</v>
      </c>
      <c r="AE73" t="s">
        <v>9</v>
      </c>
      <c r="AF73" t="s">
        <v>9</v>
      </c>
      <c r="AG73" t="s">
        <v>9</v>
      </c>
      <c r="AH73" t="s">
        <v>7348</v>
      </c>
      <c r="AI73" t="s">
        <v>9</v>
      </c>
      <c r="AJ73" t="s">
        <v>9</v>
      </c>
      <c r="AK73" t="s">
        <v>7349</v>
      </c>
      <c r="AL73" t="s">
        <v>9</v>
      </c>
      <c r="AM73" t="s">
        <v>9</v>
      </c>
      <c r="AN73" s="5">
        <v>0.67290000000000005</v>
      </c>
      <c r="AO73" t="s">
        <v>9</v>
      </c>
      <c r="AP73" t="s">
        <v>7350</v>
      </c>
      <c r="AQ73" t="s">
        <v>9</v>
      </c>
      <c r="AR73" t="s">
        <v>7351</v>
      </c>
      <c r="AS73" t="s">
        <v>9</v>
      </c>
      <c r="AT73" t="s">
        <v>9</v>
      </c>
      <c r="AU73" t="s">
        <v>5853</v>
      </c>
      <c r="AV73" t="s">
        <v>7352</v>
      </c>
      <c r="AW73" t="s">
        <v>9</v>
      </c>
      <c r="AX73" t="s">
        <v>7353</v>
      </c>
      <c r="AY73" t="s">
        <v>1375</v>
      </c>
      <c r="AZ73" t="s">
        <v>1376</v>
      </c>
      <c r="BA73" t="s">
        <v>1377</v>
      </c>
      <c r="BB73" t="s">
        <v>1378</v>
      </c>
      <c r="BC73" t="s">
        <v>706</v>
      </c>
      <c r="BD73" t="s">
        <v>7354</v>
      </c>
      <c r="BE73" t="s">
        <v>1262</v>
      </c>
      <c r="BF73" t="s">
        <v>1381</v>
      </c>
      <c r="BG73" t="s">
        <v>1382</v>
      </c>
      <c r="BH73" t="s">
        <v>7353</v>
      </c>
      <c r="BI73" t="s">
        <v>9</v>
      </c>
      <c r="BJ73" t="s">
        <v>1375</v>
      </c>
      <c r="BK73" t="s">
        <v>5521</v>
      </c>
      <c r="BL73" t="s">
        <v>9</v>
      </c>
      <c r="BM73" t="s">
        <v>706</v>
      </c>
      <c r="BN73">
        <v>1.83</v>
      </c>
      <c r="BO73">
        <v>1.2</v>
      </c>
      <c r="BP73">
        <v>3.68</v>
      </c>
      <c r="BQ73">
        <v>6.04</v>
      </c>
      <c r="BR73">
        <v>4.0599999999999996</v>
      </c>
      <c r="BS73">
        <v>10.36</v>
      </c>
      <c r="BT73" t="s">
        <v>7355</v>
      </c>
      <c r="BU73" t="s">
        <v>392</v>
      </c>
      <c r="BV73">
        <v>36.71</v>
      </c>
      <c r="BW73">
        <v>39.380000000000003</v>
      </c>
      <c r="BX73">
        <v>37.479999999999997</v>
      </c>
      <c r="BY73">
        <v>12.5</v>
      </c>
      <c r="BZ73">
        <v>10.87</v>
      </c>
      <c r="CA73">
        <v>19.61</v>
      </c>
      <c r="CB73">
        <v>-4.47</v>
      </c>
      <c r="CC73">
        <v>0.73</v>
      </c>
      <c r="CD73" t="s">
        <v>129</v>
      </c>
      <c r="CE73" t="s">
        <v>3668</v>
      </c>
      <c r="CF73" s="8" t="s">
        <v>9</v>
      </c>
      <c r="CG73" s="9">
        <v>0.55920000000000003</v>
      </c>
      <c r="CH73" s="8">
        <v>0.10896556079387665</v>
      </c>
      <c r="CI73" s="8">
        <v>-0.13066710531711578</v>
      </c>
      <c r="CJ73" s="8">
        <v>9.9325694143772125E-2</v>
      </c>
      <c r="CK73" s="8">
        <v>3.1060708686709404E-2</v>
      </c>
      <c r="CL73" s="8">
        <v>0.16067387163639069</v>
      </c>
      <c r="CM73" s="9">
        <v>-0.50476646423339844</v>
      </c>
      <c r="CN73" s="9">
        <v>1.0110767558217049E-2</v>
      </c>
      <c r="CO73" s="9">
        <v>-0.15671949088573456</v>
      </c>
      <c r="CP73" s="9">
        <v>0.10176695883274078</v>
      </c>
      <c r="CQ73" s="9">
        <v>0.202851802110672</v>
      </c>
      <c r="CR73">
        <v>51.60979324487819</v>
      </c>
      <c r="CS73">
        <v>6.3672067126544372</v>
      </c>
      <c r="CT73">
        <v>0</v>
      </c>
      <c r="CU73" s="8">
        <v>8.1055627018213269E-2</v>
      </c>
      <c r="CV73" s="9">
        <v>0.72099115848541262</v>
      </c>
      <c r="CW73">
        <v>0.06</v>
      </c>
      <c r="CX73">
        <v>11.140371591044653</v>
      </c>
      <c r="CY73">
        <v>2119276974.4753273</v>
      </c>
      <c r="CZ73">
        <v>8.1055627018213269E-2</v>
      </c>
      <c r="DA73">
        <v>3.6682757097235945</v>
      </c>
      <c r="DB73">
        <v>6436139174.9855642</v>
      </c>
      <c r="DC73">
        <v>7.7002845667302602E-2</v>
      </c>
      <c r="DD73">
        <v>1.824146059615912</v>
      </c>
      <c r="DE73">
        <v>12942786503.056213</v>
      </c>
      <c r="DF73">
        <v>7.1328951776027674E-2</v>
      </c>
      <c r="DG73">
        <v>1.1079312297696438</v>
      </c>
      <c r="DH73">
        <v>21309565400.470562</v>
      </c>
      <c r="DI73">
        <v>6.4844501614570615E-2</v>
      </c>
      <c r="DJ73">
        <v>0.58667007465342491</v>
      </c>
      <c r="DK73">
        <v>40243288383.078552</v>
      </c>
      <c r="DL73">
        <v>5.6738938912749282E-2</v>
      </c>
      <c r="DM73">
        <v>2078000000</v>
      </c>
      <c r="DN73">
        <v>8.1055627018213269E-2</v>
      </c>
      <c r="DO73">
        <v>23609533000</v>
      </c>
      <c r="DP73" t="e">
        <v>#VALUE!</v>
      </c>
      <c r="DQ73">
        <v>72</v>
      </c>
      <c r="DR73" t="e">
        <v>#VALUE!</v>
      </c>
      <c r="DS73">
        <v>-0.16179115848541259</v>
      </c>
      <c r="DT73" t="e">
        <v>#VALUE!</v>
      </c>
      <c r="DU73" t="e">
        <v>#VALUE!</v>
      </c>
      <c r="DV73" t="e">
        <v>#VALUE!</v>
      </c>
      <c r="DW73">
        <v>-4.1633109619686799</v>
      </c>
      <c r="DX73">
        <v>0.34337209302325489</v>
      </c>
      <c r="DY73">
        <v>-4.0185149055720304</v>
      </c>
      <c r="DZ73">
        <v>0</v>
      </c>
      <c r="EA73">
        <v>-4.0185149055720304</v>
      </c>
      <c r="EB73">
        <v>4</v>
      </c>
      <c r="EC73">
        <v>1.1645719418248737E-2</v>
      </c>
      <c r="ED73">
        <v>0.10272121743275808</v>
      </c>
      <c r="EE73">
        <v>0</v>
      </c>
      <c r="EF73">
        <v>0</v>
      </c>
      <c r="EG73">
        <v>23.113372093023255</v>
      </c>
      <c r="EH73" t="s">
        <v>110</v>
      </c>
      <c r="EI73">
        <v>0</v>
      </c>
      <c r="EJ73">
        <v>0</v>
      </c>
      <c r="EK73">
        <v>0</v>
      </c>
      <c r="EL73">
        <v>0</v>
      </c>
      <c r="EM73">
        <v>0</v>
      </c>
      <c r="EN73">
        <v>0</v>
      </c>
      <c r="EO73">
        <v>0</v>
      </c>
      <c r="EP73">
        <v>0</v>
      </c>
    </row>
    <row r="74" spans="1:146" ht="96" x14ac:dyDescent="0.25">
      <c r="A74" s="7"/>
      <c r="B74" s="7"/>
      <c r="C74" s="7" t="str">
        <f>""&amp;CHAR(10)&amp;Basic_Fundamental_Information_Constructure(F74)&amp;CHAR(10)&amp;Basic_Fundamental_Information_Concatenate("")</f>
        <v xml:space="preserve">
市值376.68522亿, 利润42.93亿; PE11.83; 平均PE45.81; 平均PEG109.73, PB.699; ROIC7.3967%; ROE13.2167%; 股利率0%; 毛利18.93%; 净利10.7333%; 上一年度营收增4.27%, 利润增-59.03%, 利润增-43.85%; 过往5年营收增.42%, 利润增10.49%
Income profile:
</v>
      </c>
      <c r="D74" s="11">
        <v>384</v>
      </c>
      <c r="E74" t="s">
        <v>1384</v>
      </c>
      <c r="F74">
        <v>6.93</v>
      </c>
      <c r="G74" s="5">
        <v>-0.01</v>
      </c>
      <c r="H74" t="s">
        <v>7356</v>
      </c>
      <c r="I74">
        <v>37668522000</v>
      </c>
      <c r="J74">
        <v>11.83</v>
      </c>
      <c r="K74">
        <v>0.69899999999999995</v>
      </c>
      <c r="L74" t="s">
        <v>6350</v>
      </c>
      <c r="M74" t="s">
        <v>9</v>
      </c>
      <c r="N74" t="s">
        <v>9</v>
      </c>
      <c r="O74" t="s">
        <v>9</v>
      </c>
      <c r="P74" t="s">
        <v>9</v>
      </c>
      <c r="Q74" t="s">
        <v>7357</v>
      </c>
      <c r="R74">
        <v>1830412000</v>
      </c>
      <c r="S74" s="5">
        <v>-0.4385</v>
      </c>
      <c r="T74" t="s">
        <v>7358</v>
      </c>
      <c r="U74">
        <v>5435573200</v>
      </c>
      <c r="V74">
        <v>5435573200</v>
      </c>
      <c r="W74" t="s">
        <v>9</v>
      </c>
      <c r="X74" t="s">
        <v>9</v>
      </c>
      <c r="Y74" t="s">
        <v>9</v>
      </c>
      <c r="Z74" t="s">
        <v>9</v>
      </c>
      <c r="AA74" t="s">
        <v>9</v>
      </c>
      <c r="AB74" t="s">
        <v>9</v>
      </c>
      <c r="AC74" t="s">
        <v>9</v>
      </c>
      <c r="AD74" t="s">
        <v>9</v>
      </c>
      <c r="AE74" t="s">
        <v>9</v>
      </c>
      <c r="AF74" t="s">
        <v>9</v>
      </c>
      <c r="AG74" t="s">
        <v>9</v>
      </c>
      <c r="AH74" t="s">
        <v>7359</v>
      </c>
      <c r="AI74" t="s">
        <v>9</v>
      </c>
      <c r="AJ74" t="s">
        <v>9</v>
      </c>
      <c r="AK74" t="s">
        <v>7360</v>
      </c>
      <c r="AL74" t="s">
        <v>9</v>
      </c>
      <c r="AM74" t="s">
        <v>9</v>
      </c>
      <c r="AN74" s="5">
        <v>0.58940000000000003</v>
      </c>
      <c r="AO74" t="s">
        <v>9</v>
      </c>
      <c r="AP74" t="s">
        <v>5599</v>
      </c>
      <c r="AQ74" t="s">
        <v>9</v>
      </c>
      <c r="AR74" t="s">
        <v>7361</v>
      </c>
      <c r="AS74" t="s">
        <v>9</v>
      </c>
      <c r="AT74" t="s">
        <v>9</v>
      </c>
      <c r="AU74" t="s">
        <v>4424</v>
      </c>
      <c r="AV74" t="s">
        <v>7362</v>
      </c>
      <c r="AW74" t="s">
        <v>9</v>
      </c>
      <c r="AX74" t="s">
        <v>1385</v>
      </c>
      <c r="AY74" t="s">
        <v>1387</v>
      </c>
      <c r="AZ74" t="s">
        <v>1388</v>
      </c>
      <c r="BA74" t="s">
        <v>1389</v>
      </c>
      <c r="BB74" t="s">
        <v>1390</v>
      </c>
      <c r="BC74" t="s">
        <v>1391</v>
      </c>
      <c r="BD74" t="s">
        <v>1392</v>
      </c>
      <c r="BE74" t="s">
        <v>1393</v>
      </c>
      <c r="BF74" t="s">
        <v>1394</v>
      </c>
      <c r="BG74" t="s">
        <v>825</v>
      </c>
      <c r="BH74" t="s">
        <v>1385</v>
      </c>
      <c r="BI74" t="s">
        <v>9</v>
      </c>
      <c r="BJ74" t="s">
        <v>1387</v>
      </c>
      <c r="BK74" t="s">
        <v>1386</v>
      </c>
      <c r="BL74" t="s">
        <v>9</v>
      </c>
      <c r="BM74" t="s">
        <v>1391</v>
      </c>
      <c r="BN74">
        <v>3.61</v>
      </c>
      <c r="BO74">
        <v>6.95</v>
      </c>
      <c r="BP74">
        <v>11.63</v>
      </c>
      <c r="BQ74">
        <v>7.42</v>
      </c>
      <c r="BR74">
        <v>12.05</v>
      </c>
      <c r="BS74">
        <v>20.18</v>
      </c>
      <c r="BT74" t="s">
        <v>7363</v>
      </c>
      <c r="BU74" t="s">
        <v>392</v>
      </c>
      <c r="BV74">
        <v>13.08</v>
      </c>
      <c r="BW74">
        <v>17.84</v>
      </c>
      <c r="BX74">
        <v>25.87</v>
      </c>
      <c r="BY74">
        <v>5.56</v>
      </c>
      <c r="BZ74">
        <v>9.9600000000000009</v>
      </c>
      <c r="CA74">
        <v>16.68</v>
      </c>
      <c r="CB74">
        <v>-5.46</v>
      </c>
      <c r="CC74">
        <v>-11.61</v>
      </c>
      <c r="CD74" t="s">
        <v>7364</v>
      </c>
      <c r="CE74" t="s">
        <v>186</v>
      </c>
      <c r="CF74" s="8" t="s">
        <v>9</v>
      </c>
      <c r="CG74" s="9">
        <v>-0.4385</v>
      </c>
      <c r="CH74" s="8">
        <v>4.2652349919080734E-2</v>
      </c>
      <c r="CI74" s="8">
        <v>0.26080742478370667</v>
      </c>
      <c r="CJ74" s="8">
        <v>0.17526029050350189</v>
      </c>
      <c r="CK74" s="8">
        <v>0.12696847319602966</v>
      </c>
      <c r="CL74" s="8">
        <v>0.65136128664016724</v>
      </c>
      <c r="CM74" s="9">
        <v>-0.59032344818115234</v>
      </c>
      <c r="CN74" s="9">
        <v>0.14050933718681335</v>
      </c>
      <c r="CO74" s="9">
        <v>0.11721786856651306</v>
      </c>
      <c r="CP74" s="9">
        <v>0.34930267930030823</v>
      </c>
      <c r="CQ74" s="9">
        <v>0.46938285231590271</v>
      </c>
      <c r="CR74">
        <v>45.806877178759628</v>
      </c>
      <c r="CS74">
        <v>109.7292514350716</v>
      </c>
      <c r="CT74">
        <v>0</v>
      </c>
      <c r="CU74" s="8">
        <v>4.1745365597307682E-3</v>
      </c>
      <c r="CV74" s="9">
        <v>0.1048976644873619</v>
      </c>
      <c r="CW74">
        <v>0.06</v>
      </c>
      <c r="CX74">
        <v>9.2622042194916681</v>
      </c>
      <c r="CY74">
        <v>4066906873.0669098</v>
      </c>
      <c r="CZ74">
        <v>4.1745365597307682E-3</v>
      </c>
      <c r="DA74">
        <v>3.2571924282513391</v>
      </c>
      <c r="DB74">
        <v>11564721099.460119</v>
      </c>
      <c r="DC74">
        <v>3.9658097317442293E-3</v>
      </c>
      <c r="DD74">
        <v>1.7626931368336931</v>
      </c>
      <c r="DE74">
        <v>21369869328.284538</v>
      </c>
      <c r="DF74">
        <v>3.6735921725630761E-3</v>
      </c>
      <c r="DG74">
        <v>1.1723126612597008</v>
      </c>
      <c r="DH74">
        <v>32131805144.47702</v>
      </c>
      <c r="DI74">
        <v>3.3396292477846146E-3</v>
      </c>
      <c r="DJ74">
        <v>0.74592453356735389</v>
      </c>
      <c r="DK74">
        <v>50499105881.196609</v>
      </c>
      <c r="DL74">
        <v>2.9221755918115377E-3</v>
      </c>
      <c r="DM74">
        <v>4293000000</v>
      </c>
      <c r="DN74">
        <v>4.1745365597307682E-3</v>
      </c>
      <c r="DO74">
        <v>37668522000</v>
      </c>
      <c r="DP74" t="e">
        <v>#VALUE!</v>
      </c>
      <c r="DQ74">
        <v>73</v>
      </c>
      <c r="DR74" t="e">
        <v>#VALUE!</v>
      </c>
      <c r="DS74">
        <v>-0.54339766448736193</v>
      </c>
      <c r="DT74" t="e">
        <v>#VALUE!</v>
      </c>
      <c r="DU74" t="e">
        <v>#VALUE!</v>
      </c>
      <c r="DV74" t="e">
        <v>#VALUE!</v>
      </c>
      <c r="DW74">
        <v>-8.4702842377260978</v>
      </c>
      <c r="DX74">
        <v>0.3449661157024802</v>
      </c>
      <c r="DY74">
        <v>-8.0775809639737766</v>
      </c>
      <c r="DZ74">
        <v>0</v>
      </c>
      <c r="EA74">
        <v>-8.0775809639737766</v>
      </c>
      <c r="EB74">
        <v>8</v>
      </c>
      <c r="EC74">
        <v>1.1016814197258903E-2</v>
      </c>
      <c r="ED74">
        <v>6.6782285261101804E-2</v>
      </c>
      <c r="EE74">
        <v>0</v>
      </c>
      <c r="EF74">
        <v>0</v>
      </c>
      <c r="EG74">
        <v>18.16496611570248</v>
      </c>
      <c r="EH74" t="s">
        <v>110</v>
      </c>
      <c r="EI74">
        <v>0</v>
      </c>
      <c r="EJ74">
        <v>0</v>
      </c>
      <c r="EK74">
        <v>0</v>
      </c>
      <c r="EL74">
        <v>0</v>
      </c>
      <c r="EM74">
        <v>0</v>
      </c>
      <c r="EN74">
        <v>0</v>
      </c>
      <c r="EO74">
        <v>0</v>
      </c>
      <c r="EP74">
        <v>0</v>
      </c>
    </row>
    <row r="75" spans="1:146" ht="96" x14ac:dyDescent="0.25">
      <c r="A75" s="7"/>
      <c r="B75" s="7"/>
      <c r="C75" s="7" t="str">
        <f>""&amp;CHAR(10)&amp;Basic_Fundamental_Information_Constructure(F75)&amp;CHAR(10)&amp;Basic_Fundamental_Information_Concatenate("")</f>
        <v xml:space="preserve">
市值6013.9407亿, 利润639.19亿; PE9.96; 平均PE49.85; 平均PEG1.66, PB.671; ROIC6.99%; ROE8.33%; 毛利19.4767%; 净利2.56%; 上一年度营收增-6.12%, 利润增-27.47%; 当季营收增-9.44%, 利润增-14.82%; 过往5年营收增29.98%, 利润增138.1%
Income profile:
</v>
      </c>
      <c r="D75" s="11">
        <v>386</v>
      </c>
      <c r="E75" t="s">
        <v>1396</v>
      </c>
      <c r="F75">
        <v>4.9400000000000004</v>
      </c>
      <c r="G75" s="5">
        <v>-1.4E-2</v>
      </c>
      <c r="H75" t="s">
        <v>7365</v>
      </c>
      <c r="I75">
        <v>601394070000</v>
      </c>
      <c r="J75">
        <v>9.9600000000000009</v>
      </c>
      <c r="K75">
        <v>0.67100000000000004</v>
      </c>
      <c r="L75" t="s">
        <v>6350</v>
      </c>
      <c r="M75" t="s">
        <v>7366</v>
      </c>
      <c r="N75" t="s">
        <v>7367</v>
      </c>
      <c r="O75" t="s">
        <v>7368</v>
      </c>
      <c r="P75">
        <v>0.09</v>
      </c>
      <c r="Q75" t="s">
        <v>7369</v>
      </c>
      <c r="R75">
        <v>63919422000</v>
      </c>
      <c r="S75" s="5">
        <v>-0.1482</v>
      </c>
      <c r="T75" t="s">
        <v>7370</v>
      </c>
      <c r="U75">
        <v>24377281000</v>
      </c>
      <c r="V75">
        <v>121739690000</v>
      </c>
      <c r="W75">
        <v>2.52</v>
      </c>
      <c r="X75">
        <v>0.34</v>
      </c>
      <c r="Y75">
        <v>3.48</v>
      </c>
      <c r="Z75" t="s">
        <v>7371</v>
      </c>
      <c r="AA75" t="s">
        <v>7372</v>
      </c>
      <c r="AB75" t="s">
        <v>9</v>
      </c>
      <c r="AC75" t="s">
        <v>7373</v>
      </c>
      <c r="AD75" t="s">
        <v>7374</v>
      </c>
      <c r="AE75" t="s">
        <v>7375</v>
      </c>
      <c r="AF75" t="s">
        <v>9</v>
      </c>
      <c r="AG75" t="s">
        <v>7376</v>
      </c>
      <c r="AH75" t="s">
        <v>7377</v>
      </c>
      <c r="AI75" t="s">
        <v>7378</v>
      </c>
      <c r="AJ75" t="s">
        <v>7379</v>
      </c>
      <c r="AK75" t="s">
        <v>7380</v>
      </c>
      <c r="AL75" t="s">
        <v>9</v>
      </c>
      <c r="AM75" t="s">
        <v>7381</v>
      </c>
      <c r="AN75" s="5">
        <v>0.52739999999999998</v>
      </c>
      <c r="AO75" t="s">
        <v>7382</v>
      </c>
      <c r="AP75" t="s">
        <v>7383</v>
      </c>
      <c r="AQ75" t="s">
        <v>7384</v>
      </c>
      <c r="AR75" t="s">
        <v>7385</v>
      </c>
      <c r="AS75" t="s">
        <v>7386</v>
      </c>
      <c r="AT75" t="s">
        <v>7387</v>
      </c>
      <c r="AU75" t="s">
        <v>7388</v>
      </c>
      <c r="AV75" t="s">
        <v>7389</v>
      </c>
      <c r="AW75" t="s">
        <v>7390</v>
      </c>
      <c r="AX75" t="s">
        <v>1397</v>
      </c>
      <c r="AY75" t="s">
        <v>1400</v>
      </c>
      <c r="AZ75" t="s">
        <v>1401</v>
      </c>
      <c r="BA75" t="s">
        <v>1402</v>
      </c>
      <c r="BB75" t="s">
        <v>1403</v>
      </c>
      <c r="BC75" t="s">
        <v>1404</v>
      </c>
      <c r="BD75" t="s">
        <v>1405</v>
      </c>
      <c r="BE75" t="s">
        <v>1406</v>
      </c>
      <c r="BF75" t="s">
        <v>1407</v>
      </c>
      <c r="BG75" t="s">
        <v>1408</v>
      </c>
      <c r="BH75" t="s">
        <v>1397</v>
      </c>
      <c r="BI75" t="s">
        <v>1409</v>
      </c>
      <c r="BJ75" t="s">
        <v>1400</v>
      </c>
      <c r="BK75" t="s">
        <v>1398</v>
      </c>
      <c r="BL75" t="s">
        <v>7391</v>
      </c>
      <c r="BM75" t="s">
        <v>1404</v>
      </c>
      <c r="BN75">
        <v>5.75</v>
      </c>
      <c r="BO75">
        <v>7.07</v>
      </c>
      <c r="BP75">
        <v>8.15</v>
      </c>
      <c r="BQ75">
        <v>7.26</v>
      </c>
      <c r="BR75">
        <v>8.43</v>
      </c>
      <c r="BS75">
        <v>9.3000000000000007</v>
      </c>
      <c r="BT75" t="s">
        <v>7392</v>
      </c>
      <c r="BU75" t="s">
        <v>1410</v>
      </c>
      <c r="BV75">
        <v>18.350000000000001</v>
      </c>
      <c r="BW75">
        <v>17.579999999999998</v>
      </c>
      <c r="BX75">
        <v>22.5</v>
      </c>
      <c r="BY75">
        <v>2.16</v>
      </c>
      <c r="BZ75">
        <v>2.3199999999999998</v>
      </c>
      <c r="CA75">
        <v>3.2</v>
      </c>
      <c r="CB75">
        <v>0</v>
      </c>
      <c r="CC75">
        <v>-2.1800000000000002</v>
      </c>
      <c r="CD75" t="s">
        <v>189</v>
      </c>
      <c r="CE75" t="s">
        <v>7393</v>
      </c>
      <c r="CF75" s="8">
        <v>-9.4430065027650389E-2</v>
      </c>
      <c r="CG75" s="9">
        <v>-0.1482</v>
      </c>
      <c r="CH75" s="8">
        <v>-6.1236489564180374E-2</v>
      </c>
      <c r="CI75" s="8">
        <v>0.11995401233434677</v>
      </c>
      <c r="CJ75" s="8">
        <v>0.34370559453964233</v>
      </c>
      <c r="CK75" s="8">
        <v>-0.2410300076007843</v>
      </c>
      <c r="CL75" s="8">
        <v>0.16649907827377319</v>
      </c>
      <c r="CM75" s="9">
        <v>-0.27474385499954224</v>
      </c>
      <c r="CN75" s="9">
        <v>1.2110084295272827</v>
      </c>
      <c r="CO75" s="9">
        <v>-0.3792765736579895</v>
      </c>
      <c r="CP75" s="9">
        <v>-8.4680266678333282E-2</v>
      </c>
      <c r="CQ75" s="9">
        <v>0.14196892082691193</v>
      </c>
      <c r="CR75">
        <v>49.847549593855341</v>
      </c>
      <c r="CS75">
        <v>1.6627995535427087</v>
      </c>
      <c r="CT75" t="e">
        <v>#VALUE!</v>
      </c>
      <c r="CU75" s="8">
        <v>0.29978086948394778</v>
      </c>
      <c r="CV75" s="9">
        <v>1.3809868812561035</v>
      </c>
      <c r="CW75">
        <v>0.06</v>
      </c>
      <c r="CX75">
        <v>9.2516388919783541</v>
      </c>
      <c r="CY75">
        <v>78378012638.249496</v>
      </c>
      <c r="CZ75">
        <v>0.29978086948394778</v>
      </c>
      <c r="DA75">
        <v>2.5425497823069598</v>
      </c>
      <c r="DB75">
        <v>285196016631.01526</v>
      </c>
      <c r="DC75">
        <v>0.28479182600975039</v>
      </c>
      <c r="DD75">
        <v>0.97704740040308136</v>
      </c>
      <c r="DE75">
        <v>742159561246.3114</v>
      </c>
      <c r="DF75">
        <v>0.26380716514587405</v>
      </c>
      <c r="DG75">
        <v>0.43387945950900886</v>
      </c>
      <c r="DH75">
        <v>1671259272841.7554</v>
      </c>
      <c r="DI75">
        <v>0.23982469558715824</v>
      </c>
      <c r="DJ75">
        <v>0.10745193459690036</v>
      </c>
      <c r="DK75">
        <v>6748366818338.4902</v>
      </c>
      <c r="DL75">
        <v>0.20984660863876342</v>
      </c>
      <c r="DM75">
        <v>63919000000.000008</v>
      </c>
      <c r="DN75">
        <v>0.29978086948394778</v>
      </c>
      <c r="DO75">
        <v>725125070000</v>
      </c>
      <c r="DP75" t="e">
        <v>#VALUE!</v>
      </c>
      <c r="DQ75">
        <v>74</v>
      </c>
      <c r="DR75">
        <v>-0.39421093451159817</v>
      </c>
      <c r="DS75">
        <v>-1.5291868812561034</v>
      </c>
      <c r="DT75">
        <v>-0.14000000000000004</v>
      </c>
      <c r="DU75">
        <v>0.67166666666666675</v>
      </c>
      <c r="DV75">
        <v>0.53166666666666673</v>
      </c>
      <c r="DW75">
        <v>-2.18E-2</v>
      </c>
      <c r="DX75">
        <v>0.37861597739348607</v>
      </c>
      <c r="DY75">
        <v>-3.6758283071780303E-3</v>
      </c>
      <c r="DZ75">
        <v>0</v>
      </c>
      <c r="EA75">
        <v>-3.6758283071780303E-3</v>
      </c>
      <c r="EB75">
        <v>0</v>
      </c>
      <c r="EC75">
        <v>4.2631946902444064E-3</v>
      </c>
      <c r="ED75">
        <v>2.5283455214975496E-2</v>
      </c>
      <c r="EE75">
        <v>0</v>
      </c>
      <c r="EF75">
        <v>0</v>
      </c>
      <c r="EG75">
        <v>21.168615977393486</v>
      </c>
      <c r="EH75" t="s">
        <v>110</v>
      </c>
      <c r="EI75">
        <v>0</v>
      </c>
      <c r="EJ75">
        <v>0</v>
      </c>
      <c r="EK75">
        <v>0</v>
      </c>
      <c r="EL75">
        <v>0</v>
      </c>
      <c r="EM75">
        <v>0</v>
      </c>
      <c r="EN75">
        <v>0</v>
      </c>
      <c r="EO75">
        <v>0</v>
      </c>
      <c r="EP75">
        <v>0</v>
      </c>
    </row>
    <row r="76" spans="1:146" ht="96" x14ac:dyDescent="0.25">
      <c r="A76" s="7"/>
      <c r="B76" s="7"/>
      <c r="C76" s="7" t="str">
        <f>""&amp;CHAR(10)&amp;Basic_Fundamental_Information_Constructure(F76)&amp;CHAR(10)&amp;Basic_Fundamental_Information_Concatenate("")</f>
        <v xml:space="preserve">
市值3189.8776亿, 利润118.62亿; PE27.92; 平均PE165.54; 平均PEG75.61, PB6.45; ROIC0%; ROE22.8767%; 毛利0%; 净利66.5567%; 上一年度营收增-9.02%, 利润增-5.37%; 当季营收增-16.33%, 利润增-12.85%; 过往5年营收增2.19%, 利润增-263.39%
Income profile:
</v>
      </c>
      <c r="D76" s="11">
        <v>388</v>
      </c>
      <c r="E76" t="s">
        <v>1412</v>
      </c>
      <c r="F76">
        <v>251.6</v>
      </c>
      <c r="G76" s="5">
        <v>-1.72E-2</v>
      </c>
      <c r="H76" t="s">
        <v>7394</v>
      </c>
      <c r="I76">
        <v>318987760000</v>
      </c>
      <c r="J76">
        <v>27.92</v>
      </c>
      <c r="K76">
        <v>6.45</v>
      </c>
      <c r="L76" t="s">
        <v>6350</v>
      </c>
      <c r="M76" t="s">
        <v>7395</v>
      </c>
      <c r="N76" t="s">
        <v>7396</v>
      </c>
      <c r="O76" t="s">
        <v>7397</v>
      </c>
      <c r="P76">
        <v>-6.13</v>
      </c>
      <c r="Q76" t="s">
        <v>7398</v>
      </c>
      <c r="R76">
        <v>11862000000</v>
      </c>
      <c r="S76" s="5">
        <v>-0.1285</v>
      </c>
      <c r="T76" t="s">
        <v>7399</v>
      </c>
      <c r="U76">
        <v>1267836900</v>
      </c>
      <c r="V76">
        <v>1267836900</v>
      </c>
      <c r="W76">
        <v>6.87</v>
      </c>
      <c r="X76">
        <v>0.01</v>
      </c>
      <c r="Y76">
        <v>86.56</v>
      </c>
      <c r="Z76" t="s">
        <v>9</v>
      </c>
      <c r="AA76" t="s">
        <v>9</v>
      </c>
      <c r="AB76" t="s">
        <v>7400</v>
      </c>
      <c r="AC76" t="s">
        <v>3432</v>
      </c>
      <c r="AD76" t="s">
        <v>9</v>
      </c>
      <c r="AE76" t="s">
        <v>7401</v>
      </c>
      <c r="AF76" t="s">
        <v>7402</v>
      </c>
      <c r="AG76" t="s">
        <v>3662</v>
      </c>
      <c r="AH76" t="s">
        <v>7403</v>
      </c>
      <c r="AI76" t="s">
        <v>7404</v>
      </c>
      <c r="AJ76" t="s">
        <v>9</v>
      </c>
      <c r="AK76" t="s">
        <v>7405</v>
      </c>
      <c r="AL76" t="s">
        <v>9</v>
      </c>
      <c r="AM76" t="s">
        <v>7406</v>
      </c>
      <c r="AN76" s="5">
        <v>0.85299999999999998</v>
      </c>
      <c r="AO76" t="s">
        <v>3480</v>
      </c>
      <c r="AP76" t="s">
        <v>9</v>
      </c>
      <c r="AQ76" t="s">
        <v>9</v>
      </c>
      <c r="AR76" t="s">
        <v>7407</v>
      </c>
      <c r="AS76" t="s">
        <v>7408</v>
      </c>
      <c r="AT76" t="s">
        <v>7409</v>
      </c>
      <c r="AU76" t="s">
        <v>7410</v>
      </c>
      <c r="AV76" t="s">
        <v>7411</v>
      </c>
      <c r="AW76" t="s">
        <v>9</v>
      </c>
      <c r="AX76" t="s">
        <v>1413</v>
      </c>
      <c r="AY76" t="s">
        <v>1418</v>
      </c>
      <c r="AZ76" t="s">
        <v>1419</v>
      </c>
      <c r="BA76" t="s">
        <v>1421</v>
      </c>
      <c r="BB76" t="s">
        <v>807</v>
      </c>
      <c r="BC76" t="s">
        <v>1422</v>
      </c>
      <c r="BD76" t="s">
        <v>1423</v>
      </c>
      <c r="BE76" t="s">
        <v>1424</v>
      </c>
      <c r="BF76" t="s">
        <v>1425</v>
      </c>
      <c r="BG76" t="s">
        <v>1426</v>
      </c>
      <c r="BH76" t="s">
        <v>1413</v>
      </c>
      <c r="BI76" t="s">
        <v>1427</v>
      </c>
      <c r="BJ76" t="s">
        <v>1418</v>
      </c>
      <c r="BK76" t="s">
        <v>1414</v>
      </c>
      <c r="BL76" t="s">
        <v>1428</v>
      </c>
      <c r="BM76" t="s">
        <v>1422</v>
      </c>
      <c r="BN76" t="s">
        <v>9</v>
      </c>
      <c r="BO76" t="s">
        <v>9</v>
      </c>
      <c r="BP76" t="s">
        <v>9</v>
      </c>
      <c r="BQ76">
        <v>23.1</v>
      </c>
      <c r="BR76">
        <v>20.27</v>
      </c>
      <c r="BS76">
        <v>25.26</v>
      </c>
      <c r="BT76" t="s">
        <v>7412</v>
      </c>
      <c r="BU76" t="s">
        <v>826</v>
      </c>
      <c r="BV76" t="s">
        <v>9</v>
      </c>
      <c r="BW76" t="s">
        <v>9</v>
      </c>
      <c r="BX76" t="s">
        <v>9</v>
      </c>
      <c r="BY76">
        <v>77.010000000000005</v>
      </c>
      <c r="BZ76">
        <v>59.04</v>
      </c>
      <c r="CA76">
        <v>63.62</v>
      </c>
      <c r="CB76">
        <v>-4.41</v>
      </c>
      <c r="CC76">
        <v>-11.53</v>
      </c>
      <c r="CD76" t="s">
        <v>7413</v>
      </c>
      <c r="CE76" t="s">
        <v>439</v>
      </c>
      <c r="CF76" s="8">
        <v>-0.16333188342757721</v>
      </c>
      <c r="CG76" s="9">
        <v>-0.1285</v>
      </c>
      <c r="CH76" s="8">
        <v>-9.0233922004699707E-2</v>
      </c>
      <c r="CI76" s="8">
        <v>-0.12959375977516174</v>
      </c>
      <c r="CJ76" s="8">
        <v>0.15823601186275482</v>
      </c>
      <c r="CK76" s="8">
        <v>0.1875656396150589</v>
      </c>
      <c r="CL76" s="8">
        <v>0.23331320285797119</v>
      </c>
      <c r="CM76" s="9">
        <v>-5.3689703345298767E-2</v>
      </c>
      <c r="CN76" s="9">
        <v>8.9526258409023285E-2</v>
      </c>
      <c r="CO76" s="9">
        <v>0.22510924935340881</v>
      </c>
      <c r="CP76" s="9">
        <v>8.4836287423968315E-3</v>
      </c>
      <c r="CQ76" s="9">
        <v>0.25769850611686707</v>
      </c>
      <c r="CR76">
        <v>165.54271277883353</v>
      </c>
      <c r="CS76">
        <v>75.612238905097158</v>
      </c>
      <c r="CT76" t="e">
        <v>#VALUE!</v>
      </c>
      <c r="CU76" s="8">
        <v>2.1893639862537385E-2</v>
      </c>
      <c r="CV76" s="9">
        <v>-2.6338548123836518</v>
      </c>
      <c r="CW76">
        <v>0.06</v>
      </c>
      <c r="CX76">
        <v>48.883076666561266</v>
      </c>
      <c r="CY76">
        <v>11435568260.423979</v>
      </c>
      <c r="CZ76">
        <v>2.1893639862537385E-2</v>
      </c>
      <c r="DA76">
        <v>16.930229948692109</v>
      </c>
      <c r="DB76">
        <v>33018202451.714737</v>
      </c>
      <c r="DC76">
        <v>2.0798957869410516E-2</v>
      </c>
      <c r="DD76">
        <v>8.9887354981112111</v>
      </c>
      <c r="DE76">
        <v>62189588303.87912</v>
      </c>
      <c r="DF76">
        <v>1.92664030790329E-2</v>
      </c>
      <c r="DG76">
        <v>5.8610162467645202</v>
      </c>
      <c r="DH76">
        <v>95376934044.260696</v>
      </c>
      <c r="DI76">
        <v>1.7514911890029908E-2</v>
      </c>
      <c r="DJ76">
        <v>3.591526265178755</v>
      </c>
      <c r="DK76">
        <v>155645739088.63718</v>
      </c>
      <c r="DL76">
        <v>1.5325547903776169E-2</v>
      </c>
      <c r="DM76">
        <v>11862000000</v>
      </c>
      <c r="DN76">
        <v>2.1893639862537385E-2</v>
      </c>
      <c r="DO76">
        <v>559005760000</v>
      </c>
      <c r="DP76" t="e">
        <v>#VALUE!</v>
      </c>
      <c r="DQ76">
        <v>75</v>
      </c>
      <c r="DR76">
        <v>-0.1852255232901146</v>
      </c>
      <c r="DS76">
        <v>2.505354812383652</v>
      </c>
      <c r="DT76">
        <v>-0.50666666666666671</v>
      </c>
      <c r="DU76">
        <v>0.43333333333333329</v>
      </c>
      <c r="DV76">
        <v>-7.3333333333333417E-2</v>
      </c>
      <c r="DW76">
        <v>-8.3824804856895057</v>
      </c>
      <c r="DX76">
        <v>0.47843291139240363</v>
      </c>
      <c r="DY76">
        <v>-8.0452982774709891</v>
      </c>
      <c r="DZ76">
        <v>0</v>
      </c>
      <c r="EA76">
        <v>-8.0452982774709891</v>
      </c>
      <c r="EB76">
        <v>8</v>
      </c>
      <c r="EC76">
        <v>1.4759311706419019E-2</v>
      </c>
      <c r="ED76">
        <v>0.12462170804462309</v>
      </c>
      <c r="EE76">
        <v>0</v>
      </c>
      <c r="EF76">
        <v>0</v>
      </c>
      <c r="EG76">
        <v>36.118432911392404</v>
      </c>
      <c r="EH76" t="s">
        <v>110</v>
      </c>
      <c r="EI76">
        <v>0</v>
      </c>
      <c r="EJ76">
        <v>0</v>
      </c>
      <c r="EK76">
        <v>0</v>
      </c>
      <c r="EL76">
        <v>0</v>
      </c>
      <c r="EM76">
        <v>0</v>
      </c>
      <c r="EN76">
        <v>0</v>
      </c>
      <c r="EO76">
        <v>0</v>
      </c>
      <c r="EP76">
        <v>0</v>
      </c>
    </row>
    <row r="77" spans="1:146" ht="96" x14ac:dyDescent="0.25">
      <c r="A77" s="7"/>
      <c r="B77" s="7"/>
      <c r="C77" s="7" t="str">
        <f>""&amp;CHAR(10)&amp;Basic_Fundamental_Information_Constructure(F77)&amp;CHAR(10)&amp;Basic_Fundamental_Information_Concatenate("")</f>
        <v xml:space="preserve">
市值1051.90177亿, 利润348.44亿; PE3.1; 平均PE21.39; 平均PEG3.42, PB.287; ROIC4.5433%; ROE9.5333%; 毛利9.59%; 净利2.95%; 上一年度营收增6.35%, 利润增11.73%; 当季营收增-12.92%, 利润增-10.39%; 过往5年营收增-6.26%, 利润增-16.96%
Income profile:
</v>
      </c>
      <c r="D77" s="11">
        <v>390</v>
      </c>
      <c r="E77" t="s">
        <v>1429</v>
      </c>
      <c r="F77">
        <v>4.25</v>
      </c>
      <c r="G77" s="5">
        <v>-1.8499999999999999E-2</v>
      </c>
      <c r="H77" t="s">
        <v>7414</v>
      </c>
      <c r="I77">
        <v>105190177000</v>
      </c>
      <c r="J77">
        <v>3.1</v>
      </c>
      <c r="K77">
        <v>0.28699999999999998</v>
      </c>
      <c r="L77" t="s">
        <v>6350</v>
      </c>
      <c r="M77" t="s">
        <v>7415</v>
      </c>
      <c r="N77" t="s">
        <v>7416</v>
      </c>
      <c r="O77" t="s">
        <v>7417</v>
      </c>
      <c r="P77">
        <v>-2.56</v>
      </c>
      <c r="Q77" t="s">
        <v>7418</v>
      </c>
      <c r="R77">
        <v>34843813000</v>
      </c>
      <c r="S77" s="5">
        <v>-0.10390000000000001</v>
      </c>
      <c r="T77" t="s">
        <v>7419</v>
      </c>
      <c r="U77">
        <v>4207390000</v>
      </c>
      <c r="V77">
        <v>24750630000</v>
      </c>
      <c r="W77">
        <v>5.46</v>
      </c>
      <c r="X77">
        <v>0.14000000000000001</v>
      </c>
      <c r="Y77">
        <v>3.71</v>
      </c>
      <c r="Z77" t="s">
        <v>7420</v>
      </c>
      <c r="AA77" t="s">
        <v>7421</v>
      </c>
      <c r="AB77" t="s">
        <v>7422</v>
      </c>
      <c r="AC77" t="s">
        <v>7423</v>
      </c>
      <c r="AD77" t="s">
        <v>7424</v>
      </c>
      <c r="AE77" t="s">
        <v>7425</v>
      </c>
      <c r="AF77" t="s">
        <v>9</v>
      </c>
      <c r="AG77" t="s">
        <v>251</v>
      </c>
      <c r="AH77" t="s">
        <v>7426</v>
      </c>
      <c r="AI77" t="s">
        <v>7427</v>
      </c>
      <c r="AJ77" t="s">
        <v>7428</v>
      </c>
      <c r="AK77" t="s">
        <v>7429</v>
      </c>
      <c r="AL77" t="s">
        <v>9</v>
      </c>
      <c r="AM77" t="s">
        <v>7430</v>
      </c>
      <c r="AN77" s="5">
        <v>0.74639999999999995</v>
      </c>
      <c r="AO77" t="s">
        <v>7431</v>
      </c>
      <c r="AP77" t="s">
        <v>7432</v>
      </c>
      <c r="AQ77" t="s">
        <v>7433</v>
      </c>
      <c r="AR77" t="s">
        <v>7434</v>
      </c>
      <c r="AS77" t="s">
        <v>7435</v>
      </c>
      <c r="AT77" t="s">
        <v>7436</v>
      </c>
      <c r="AU77" t="s">
        <v>7437</v>
      </c>
      <c r="AV77" t="s">
        <v>7438</v>
      </c>
      <c r="AW77" t="s">
        <v>7439</v>
      </c>
      <c r="AX77" t="s">
        <v>1430</v>
      </c>
      <c r="AY77" t="s">
        <v>1435</v>
      </c>
      <c r="AZ77" t="s">
        <v>1436</v>
      </c>
      <c r="BA77" t="s">
        <v>1437</v>
      </c>
      <c r="BB77" t="s">
        <v>1438</v>
      </c>
      <c r="BC77" t="s">
        <v>1439</v>
      </c>
      <c r="BD77" t="s">
        <v>1440</v>
      </c>
      <c r="BE77" t="s">
        <v>1441</v>
      </c>
      <c r="BF77" t="s">
        <v>1442</v>
      </c>
      <c r="BG77" t="s">
        <v>1443</v>
      </c>
      <c r="BH77" t="s">
        <v>1430</v>
      </c>
      <c r="BI77" t="s">
        <v>1444</v>
      </c>
      <c r="BJ77" t="s">
        <v>1435</v>
      </c>
      <c r="BK77" t="s">
        <v>1431</v>
      </c>
      <c r="BL77" t="s">
        <v>1445</v>
      </c>
      <c r="BM77" t="s">
        <v>1439</v>
      </c>
      <c r="BN77">
        <v>4.37</v>
      </c>
      <c r="BO77">
        <v>4.5999999999999996</v>
      </c>
      <c r="BP77">
        <v>4.66</v>
      </c>
      <c r="BQ77">
        <v>9.56</v>
      </c>
      <c r="BR77">
        <v>9.7799999999999994</v>
      </c>
      <c r="BS77">
        <v>9.26</v>
      </c>
      <c r="BT77" t="s">
        <v>7440</v>
      </c>
      <c r="BU77" t="s">
        <v>1446</v>
      </c>
      <c r="BV77">
        <v>9.7100000000000009</v>
      </c>
      <c r="BW77">
        <v>9.43</v>
      </c>
      <c r="BX77">
        <v>9.6300000000000008</v>
      </c>
      <c r="BY77">
        <v>2.98</v>
      </c>
      <c r="BZ77">
        <v>3.03</v>
      </c>
      <c r="CA77">
        <v>2.84</v>
      </c>
      <c r="CB77">
        <v>-1.1599999999999999</v>
      </c>
      <c r="CC77">
        <v>-2.2999999999999998</v>
      </c>
      <c r="CD77" t="s">
        <v>7441</v>
      </c>
      <c r="CE77" t="s">
        <v>7442</v>
      </c>
      <c r="CF77" s="8">
        <v>-0.12923179268716928</v>
      </c>
      <c r="CG77" s="9">
        <v>-0.10390000000000001</v>
      </c>
      <c r="CH77" s="8">
        <v>6.353064626455307E-2</v>
      </c>
      <c r="CI77" s="8">
        <v>-9.1316020116209984E-3</v>
      </c>
      <c r="CJ77" s="8">
        <v>0.13121122121810913</v>
      </c>
      <c r="CK77" s="8">
        <v>0.37815305590629578</v>
      </c>
      <c r="CL77" s="8">
        <v>2.0865378901362419E-2</v>
      </c>
      <c r="CM77" s="9">
        <v>0.11726043373346329</v>
      </c>
      <c r="CN77" s="9">
        <v>0.10552993416786194</v>
      </c>
      <c r="CO77" s="9">
        <v>6.6137552261352539E-2</v>
      </c>
      <c r="CP77" s="9">
        <v>0.35124102234840393</v>
      </c>
      <c r="CQ77" s="9">
        <v>1.656016893684864E-2</v>
      </c>
      <c r="CR77">
        <v>21.388988779763533</v>
      </c>
      <c r="CS77">
        <v>3.4160245489346903</v>
      </c>
      <c r="CT77" t="e">
        <v>#VALUE!</v>
      </c>
      <c r="CU77" s="8">
        <v>-6.2613685801625255E-2</v>
      </c>
      <c r="CV77" s="9">
        <v>-0.16963343322277069</v>
      </c>
      <c r="CW77">
        <v>0.06</v>
      </c>
      <c r="CX77">
        <v>31.358316410285845</v>
      </c>
      <c r="CY77" t="s">
        <v>7443</v>
      </c>
      <c r="CZ77">
        <v>-6.2613685801625255E-2</v>
      </c>
      <c r="DA77">
        <v>10.452772136761949</v>
      </c>
      <c r="DB77" t="s">
        <v>7444</v>
      </c>
      <c r="DC77">
        <v>-5.9483001511543988E-2</v>
      </c>
      <c r="DD77">
        <v>5.2263860683809744</v>
      </c>
      <c r="DE77" t="s">
        <v>7445</v>
      </c>
      <c r="DF77">
        <v>-5.5100043505430227E-2</v>
      </c>
      <c r="DG77">
        <v>3.1358316410285845</v>
      </c>
      <c r="DH77" t="s">
        <v>7446</v>
      </c>
      <c r="DI77">
        <v>-5.0090948641300204E-2</v>
      </c>
      <c r="DJ77">
        <v>1.5679158205142922</v>
      </c>
      <c r="DK77" t="s">
        <v>7447</v>
      </c>
      <c r="DL77">
        <v>-4.3829580061137678E-2</v>
      </c>
      <c r="DM77">
        <v>34844000000</v>
      </c>
      <c r="DN77">
        <v>-6.2613685801625255E-2</v>
      </c>
      <c r="DO77">
        <v>1092649177000</v>
      </c>
      <c r="DP77" t="e">
        <v>#VALUE!</v>
      </c>
      <c r="DQ77">
        <v>76</v>
      </c>
      <c r="DR77">
        <v>-6.6618106885544023E-2</v>
      </c>
      <c r="DS77">
        <v>6.5733433222770685E-2</v>
      </c>
      <c r="DT77">
        <v>-0.38999999999999996</v>
      </c>
      <c r="DU77">
        <v>-0.2833333333333336</v>
      </c>
      <c r="DV77">
        <v>-0.67333333333333356</v>
      </c>
      <c r="DW77">
        <v>-2.3E-2</v>
      </c>
      <c r="DX77">
        <v>0.30143831070889948</v>
      </c>
      <c r="DY77">
        <v>-3.253081146304676E-3</v>
      </c>
      <c r="DZ77">
        <v>0</v>
      </c>
      <c r="EA77">
        <v>-3.253081146304676E-3</v>
      </c>
      <c r="EB77">
        <v>0</v>
      </c>
      <c r="EC77">
        <v>3.7887358826825821E-3</v>
      </c>
      <c r="ED77">
        <v>2.6787196931956882E-2</v>
      </c>
      <c r="EE77">
        <v>0</v>
      </c>
      <c r="EF77">
        <v>0</v>
      </c>
      <c r="EG77">
        <v>16.141438310708899</v>
      </c>
      <c r="EH77" t="s">
        <v>110</v>
      </c>
      <c r="EI77">
        <v>0</v>
      </c>
      <c r="EJ77">
        <v>0</v>
      </c>
      <c r="EK77">
        <v>0</v>
      </c>
      <c r="EL77">
        <v>0</v>
      </c>
      <c r="EM77">
        <v>0</v>
      </c>
      <c r="EN77">
        <v>0</v>
      </c>
      <c r="EO77">
        <v>0</v>
      </c>
      <c r="EP77">
        <v>0</v>
      </c>
    </row>
    <row r="78" spans="1:146" ht="96" x14ac:dyDescent="0.25">
      <c r="A78" s="7"/>
      <c r="B78" s="7"/>
      <c r="C78" s="7" t="str">
        <f>""&amp;CHAR(10)&amp;Basic_Fundamental_Information_Constructure(F78)&amp;CHAR(10)&amp;Basic_Fundamental_Information_Concatenate("")</f>
        <v xml:space="preserve">
市值325.19384亿, 利润60.27亿; PE5.4; 平均PE28.66; 平均PEG3, PB.366; ROIC4.7667%; ROE8.5133%; 股利率0%; 毛利13.87%; 净利9.9367%; 上一年度营收增.77%, 利润增-39.24%, 利润增-17.96%; 过往5年营收增9.56%, 利润增45.74%
Income profile:
</v>
      </c>
      <c r="D78" s="11">
        <v>392</v>
      </c>
      <c r="E78" t="s">
        <v>1447</v>
      </c>
      <c r="F78">
        <v>25.85</v>
      </c>
      <c r="G78" s="5">
        <v>-9.5999999999999992E-3</v>
      </c>
      <c r="H78" t="s">
        <v>7448</v>
      </c>
      <c r="I78">
        <v>32519384000</v>
      </c>
      <c r="J78">
        <v>5.4</v>
      </c>
      <c r="K78">
        <v>0.36599999999999999</v>
      </c>
      <c r="L78" t="s">
        <v>6350</v>
      </c>
      <c r="M78" t="s">
        <v>9</v>
      </c>
      <c r="N78" t="s">
        <v>9</v>
      </c>
      <c r="O78" t="s">
        <v>9</v>
      </c>
      <c r="P78" t="s">
        <v>9</v>
      </c>
      <c r="Q78" t="s">
        <v>7449</v>
      </c>
      <c r="R78">
        <v>6027225500</v>
      </c>
      <c r="S78" s="5">
        <v>-0.17960000000000001</v>
      </c>
      <c r="T78" t="s">
        <v>4867</v>
      </c>
      <c r="U78">
        <v>1260203270</v>
      </c>
      <c r="V78">
        <v>1260203270</v>
      </c>
      <c r="W78" t="s">
        <v>9</v>
      </c>
      <c r="X78" t="s">
        <v>9</v>
      </c>
      <c r="Y78" t="s">
        <v>9</v>
      </c>
      <c r="Z78" t="s">
        <v>9</v>
      </c>
      <c r="AA78" t="s">
        <v>9</v>
      </c>
      <c r="AB78" t="s">
        <v>9</v>
      </c>
      <c r="AC78" t="s">
        <v>9</v>
      </c>
      <c r="AD78" t="s">
        <v>1689</v>
      </c>
      <c r="AE78" t="s">
        <v>9</v>
      </c>
      <c r="AF78" t="s">
        <v>9</v>
      </c>
      <c r="AG78" t="s">
        <v>9</v>
      </c>
      <c r="AH78" t="s">
        <v>7450</v>
      </c>
      <c r="AI78" t="s">
        <v>9</v>
      </c>
      <c r="AJ78" t="s">
        <v>9</v>
      </c>
      <c r="AK78" t="s">
        <v>7451</v>
      </c>
      <c r="AL78" t="s">
        <v>9</v>
      </c>
      <c r="AM78" t="s">
        <v>9</v>
      </c>
      <c r="AN78" s="5">
        <v>0.54490000000000005</v>
      </c>
      <c r="AO78" t="s">
        <v>9</v>
      </c>
      <c r="AP78" t="s">
        <v>7452</v>
      </c>
      <c r="AQ78" t="s">
        <v>9</v>
      </c>
      <c r="AR78" t="s">
        <v>7453</v>
      </c>
      <c r="AS78" t="s">
        <v>9</v>
      </c>
      <c r="AT78" t="s">
        <v>9</v>
      </c>
      <c r="AU78" t="s">
        <v>7454</v>
      </c>
      <c r="AV78" t="s">
        <v>7455</v>
      </c>
      <c r="AW78" t="s">
        <v>9</v>
      </c>
      <c r="AX78" t="s">
        <v>7456</v>
      </c>
      <c r="AY78" t="s">
        <v>1449</v>
      </c>
      <c r="AZ78" t="s">
        <v>1450</v>
      </c>
      <c r="BA78" t="s">
        <v>1451</v>
      </c>
      <c r="BB78" t="s">
        <v>1452</v>
      </c>
      <c r="BC78" t="s">
        <v>1453</v>
      </c>
      <c r="BD78" t="s">
        <v>1454</v>
      </c>
      <c r="BE78" t="s">
        <v>1455</v>
      </c>
      <c r="BF78" t="s">
        <v>1456</v>
      </c>
      <c r="BG78" t="s">
        <v>1457</v>
      </c>
      <c r="BH78" t="s">
        <v>7456</v>
      </c>
      <c r="BI78" t="s">
        <v>9</v>
      </c>
      <c r="BJ78" t="s">
        <v>1449</v>
      </c>
      <c r="BK78" t="s">
        <v>5134</v>
      </c>
      <c r="BL78" t="s">
        <v>9</v>
      </c>
      <c r="BM78" t="s">
        <v>1453</v>
      </c>
      <c r="BN78">
        <v>3.61</v>
      </c>
      <c r="BO78">
        <v>4.5199999999999996</v>
      </c>
      <c r="BP78">
        <v>6.17</v>
      </c>
      <c r="BQ78">
        <v>6.79</v>
      </c>
      <c r="BR78">
        <v>8.42</v>
      </c>
      <c r="BS78">
        <v>10.33</v>
      </c>
      <c r="BT78" t="s">
        <v>7457</v>
      </c>
      <c r="BU78" t="s">
        <v>392</v>
      </c>
      <c r="BV78">
        <v>13.03</v>
      </c>
      <c r="BW78">
        <v>13.31</v>
      </c>
      <c r="BX78">
        <v>15.27</v>
      </c>
      <c r="BY78">
        <v>7.78</v>
      </c>
      <c r="BZ78">
        <v>8.9499999999999993</v>
      </c>
      <c r="CA78">
        <v>13.08</v>
      </c>
      <c r="CB78">
        <v>-0.57999999999999996</v>
      </c>
      <c r="CC78">
        <v>-5.42</v>
      </c>
      <c r="CD78" t="s">
        <v>7458</v>
      </c>
      <c r="CE78" t="s">
        <v>7459</v>
      </c>
      <c r="CF78" s="8" t="s">
        <v>9</v>
      </c>
      <c r="CG78" s="9">
        <v>-0.17960000000000001</v>
      </c>
      <c r="CH78" s="8">
        <v>7.6945866458117962E-3</v>
      </c>
      <c r="CI78" s="8">
        <v>0.11203145980834961</v>
      </c>
      <c r="CJ78" s="8">
        <v>0.17710177600383759</v>
      </c>
      <c r="CK78" s="8">
        <v>9.4739608466625214E-3</v>
      </c>
      <c r="CL78" s="8">
        <v>0.17835776507854462</v>
      </c>
      <c r="CM78" s="9">
        <v>-0.39237827062606812</v>
      </c>
      <c r="CN78" s="9">
        <v>0.87611109018325806</v>
      </c>
      <c r="CO78" s="9">
        <v>-0.34363749623298645</v>
      </c>
      <c r="CP78" s="9">
        <v>6.3085667788982391E-2</v>
      </c>
      <c r="CQ78" s="9">
        <v>0.10130812972784042</v>
      </c>
      <c r="CR78">
        <v>28.656272921450451</v>
      </c>
      <c r="CS78">
        <v>2.9962052174705684</v>
      </c>
      <c r="CT78">
        <v>0</v>
      </c>
      <c r="CU78" s="8">
        <v>9.5641889795660975E-2</v>
      </c>
      <c r="CV78" s="9">
        <v>0.4574467673897743</v>
      </c>
      <c r="CW78">
        <v>0.06</v>
      </c>
      <c r="CX78">
        <v>5.2200943878114421</v>
      </c>
      <c r="CY78">
        <v>6229654405.4702349</v>
      </c>
      <c r="CZ78">
        <v>9.5641889795660975E-2</v>
      </c>
      <c r="DA78">
        <v>1.6977530241249543</v>
      </c>
      <c r="DB78">
        <v>19154366705.817501</v>
      </c>
      <c r="DC78">
        <v>9.0859795305877927E-2</v>
      </c>
      <c r="DD78">
        <v>0.83043375956678323</v>
      </c>
      <c r="DE78">
        <v>39159515885.968506</v>
      </c>
      <c r="DF78">
        <v>8.4164863020181654E-2</v>
      </c>
      <c r="DG78">
        <v>0.49509459752731966</v>
      </c>
      <c r="DH78">
        <v>65683172796.498871</v>
      </c>
      <c r="DI78">
        <v>7.6513511836528783E-2</v>
      </c>
      <c r="DJ78">
        <v>0.25171241170700048</v>
      </c>
      <c r="DK78">
        <v>129192612233.41412</v>
      </c>
      <c r="DL78">
        <v>6.6949322856962673E-2</v>
      </c>
      <c r="DM78">
        <v>6027000000</v>
      </c>
      <c r="DN78">
        <v>9.5641889795660975E-2</v>
      </c>
      <c r="DO78">
        <v>32519384000</v>
      </c>
      <c r="DP78" t="e">
        <v>#VALUE!</v>
      </c>
      <c r="DQ78">
        <v>77</v>
      </c>
      <c r="DR78" t="e">
        <v>#VALUE!</v>
      </c>
      <c r="DS78">
        <v>-0.63704676738977428</v>
      </c>
      <c r="DT78" t="e">
        <v>#VALUE!</v>
      </c>
      <c r="DU78" t="e">
        <v>#VALUE!</v>
      </c>
      <c r="DV78" t="e">
        <v>#VALUE!</v>
      </c>
      <c r="DW78">
        <v>-1.0542</v>
      </c>
      <c r="DX78">
        <v>0.32644937680091829</v>
      </c>
      <c r="DY78">
        <v>-1.0073955562226098</v>
      </c>
      <c r="DZ78">
        <v>0</v>
      </c>
      <c r="EA78">
        <v>-1.0073955562226098</v>
      </c>
      <c r="EB78">
        <v>1</v>
      </c>
      <c r="EC78">
        <v>1.021240009954902E-2</v>
      </c>
      <c r="ED78">
        <v>7.4843878162607846E-2</v>
      </c>
      <c r="EE78">
        <v>0</v>
      </c>
      <c r="EF78">
        <v>0</v>
      </c>
      <c r="EG78">
        <v>19.136449376800918</v>
      </c>
      <c r="EH78" t="s">
        <v>110</v>
      </c>
      <c r="EI78">
        <v>0</v>
      </c>
      <c r="EJ78">
        <v>0</v>
      </c>
      <c r="EK78">
        <v>0</v>
      </c>
      <c r="EL78">
        <v>0</v>
      </c>
      <c r="EM78">
        <v>0</v>
      </c>
      <c r="EN78">
        <v>0</v>
      </c>
      <c r="EO78">
        <v>0</v>
      </c>
      <c r="EP78">
        <v>0</v>
      </c>
    </row>
    <row r="79" spans="1:146" ht="96" x14ac:dyDescent="0.25">
      <c r="A79" s="7"/>
      <c r="B79" s="7"/>
      <c r="C79" s="7" t="str">
        <f>""&amp;CHAR(10)&amp;Basic_Fundamental_Information_Constructure(F79)&amp;CHAR(10)&amp;Basic_Fundamental_Information_Concatenate("")</f>
        <v xml:space="preserve">
市值34.836811亿, 利润-1.97亿; PE; 平均PE-2.82; 平均PEG-.1, PB.088; ROIC-.1567%; ROE-.23%; 股利率0%; 毛利81.1667%; 净利-4.74%; 上一年度营收增-8.09%, 利润增-22.36%, 利润增-385.6%; 过往5年营收增-28.28%, 利润增-58.72%
Income profile:
</v>
      </c>
      <c r="D79" s="11">
        <v>410</v>
      </c>
      <c r="E79" t="s">
        <v>1459</v>
      </c>
      <c r="F79">
        <v>0.67</v>
      </c>
      <c r="G79" s="5">
        <v>-1.47E-2</v>
      </c>
      <c r="H79" t="s">
        <v>7460</v>
      </c>
      <c r="I79">
        <v>3483681100</v>
      </c>
      <c r="K79">
        <v>8.7999999999999995E-2</v>
      </c>
      <c r="L79" t="s">
        <v>6350</v>
      </c>
      <c r="M79" t="s">
        <v>9</v>
      </c>
      <c r="N79" t="s">
        <v>9</v>
      </c>
      <c r="O79" t="s">
        <v>9</v>
      </c>
      <c r="P79" t="s">
        <v>9</v>
      </c>
      <c r="Q79" t="s">
        <v>7461</v>
      </c>
      <c r="R79">
        <v>-197205280</v>
      </c>
      <c r="S79" s="5">
        <v>-3.8559999999999999</v>
      </c>
      <c r="T79" t="s">
        <v>47</v>
      </c>
      <c r="U79">
        <v>5199524000</v>
      </c>
      <c r="V79">
        <v>5199524000</v>
      </c>
      <c r="W79" t="s">
        <v>9</v>
      </c>
      <c r="X79" t="s">
        <v>9</v>
      </c>
      <c r="Y79" t="s">
        <v>9</v>
      </c>
      <c r="Z79" t="s">
        <v>9</v>
      </c>
      <c r="AA79" t="s">
        <v>9</v>
      </c>
      <c r="AB79" t="s">
        <v>9</v>
      </c>
      <c r="AC79" t="s">
        <v>9</v>
      </c>
      <c r="AD79" t="s">
        <v>9</v>
      </c>
      <c r="AE79" t="s">
        <v>9</v>
      </c>
      <c r="AF79" t="s">
        <v>9</v>
      </c>
      <c r="AG79" t="s">
        <v>9</v>
      </c>
      <c r="AH79" t="s">
        <v>7462</v>
      </c>
      <c r="AI79" t="s">
        <v>9</v>
      </c>
      <c r="AJ79" t="s">
        <v>9</v>
      </c>
      <c r="AK79" t="s">
        <v>7463</v>
      </c>
      <c r="AL79" t="s">
        <v>9</v>
      </c>
      <c r="AM79" t="s">
        <v>9</v>
      </c>
      <c r="AN79" s="5">
        <v>0.45789999999999997</v>
      </c>
      <c r="AO79" t="s">
        <v>9</v>
      </c>
      <c r="AP79" t="s">
        <v>2523</v>
      </c>
      <c r="AQ79" t="s">
        <v>9</v>
      </c>
      <c r="AR79" t="s">
        <v>7464</v>
      </c>
      <c r="AS79" t="s">
        <v>9</v>
      </c>
      <c r="AT79" t="s">
        <v>9</v>
      </c>
      <c r="AU79" t="s">
        <v>195</v>
      </c>
      <c r="AV79" t="s">
        <v>38</v>
      </c>
      <c r="AW79" t="s">
        <v>9</v>
      </c>
      <c r="AX79" t="s">
        <v>1460</v>
      </c>
      <c r="AY79" t="s">
        <v>1463</v>
      </c>
      <c r="AZ79" t="s">
        <v>1464</v>
      </c>
      <c r="BA79" t="s">
        <v>1465</v>
      </c>
      <c r="BB79" t="s">
        <v>1466</v>
      </c>
      <c r="BC79" t="s">
        <v>1467</v>
      </c>
      <c r="BD79" t="s">
        <v>744</v>
      </c>
      <c r="BE79" t="s">
        <v>1468</v>
      </c>
      <c r="BF79" t="s">
        <v>1469</v>
      </c>
      <c r="BG79" t="s">
        <v>1470</v>
      </c>
      <c r="BH79" t="s">
        <v>1460</v>
      </c>
      <c r="BI79" t="s">
        <v>9</v>
      </c>
      <c r="BJ79" t="s">
        <v>1463</v>
      </c>
      <c r="BK79" t="s">
        <v>1461</v>
      </c>
      <c r="BL79" t="s">
        <v>9</v>
      </c>
      <c r="BM79" t="s">
        <v>1467</v>
      </c>
      <c r="BN79">
        <v>-0.34</v>
      </c>
      <c r="BO79">
        <v>0.11</v>
      </c>
      <c r="BP79">
        <v>-0.24</v>
      </c>
      <c r="BQ79">
        <v>-0.5</v>
      </c>
      <c r="BR79">
        <v>0.17</v>
      </c>
      <c r="BS79">
        <v>-0.36</v>
      </c>
      <c r="BT79" t="s">
        <v>1471</v>
      </c>
      <c r="BU79" t="s">
        <v>410</v>
      </c>
      <c r="BV79">
        <v>82.14</v>
      </c>
      <c r="BW79">
        <v>80.989999999999995</v>
      </c>
      <c r="BX79">
        <v>80.37</v>
      </c>
      <c r="BY79">
        <v>-10.73</v>
      </c>
      <c r="BZ79">
        <v>3.63</v>
      </c>
      <c r="CA79">
        <v>-7.12</v>
      </c>
      <c r="CB79">
        <v>-5.63</v>
      </c>
      <c r="CC79">
        <v>-14.1</v>
      </c>
      <c r="CD79" t="s">
        <v>7465</v>
      </c>
      <c r="CE79" t="s">
        <v>7466</v>
      </c>
      <c r="CF79" s="8" t="s">
        <v>9</v>
      </c>
      <c r="CG79" s="9">
        <v>-3.8559999999999999</v>
      </c>
      <c r="CH79" s="8">
        <v>-8.0919079482555389E-2</v>
      </c>
      <c r="CI79" s="8">
        <v>-6.1415817588567734E-2</v>
      </c>
      <c r="CJ79" s="8">
        <v>-0.18338440358638763</v>
      </c>
      <c r="CK79" s="8">
        <v>0.33333328366279602</v>
      </c>
      <c r="CL79" s="8">
        <v>-0.16744576394557953</v>
      </c>
      <c r="CM79" s="9">
        <v>-0.22360248863697052</v>
      </c>
      <c r="CN79" s="9">
        <v>-1.2551505565643311</v>
      </c>
      <c r="CO79" s="9">
        <v>-0.57594084739685059</v>
      </c>
      <c r="CP79" s="9">
        <v>-0.32116788625717163</v>
      </c>
      <c r="CQ79" s="9">
        <v>-0.61374449729919434</v>
      </c>
      <c r="CR79">
        <v>-2.822699068197164</v>
      </c>
      <c r="CS79">
        <v>-9.9811308305708335E-2</v>
      </c>
      <c r="CT79">
        <v>0</v>
      </c>
      <c r="CU79" s="8">
        <v>-0.28280353359878063</v>
      </c>
      <c r="CV79" s="9">
        <v>-0.5872139148414135</v>
      </c>
      <c r="CW79">
        <v>0.06</v>
      </c>
      <c r="CX79" t="e">
        <v>#VALUE!</v>
      </c>
      <c r="CY79" t="s">
        <v>109</v>
      </c>
      <c r="CZ79">
        <v>-0.28280353359878063</v>
      </c>
      <c r="DA79" t="e">
        <v>#VALUE!</v>
      </c>
      <c r="DB79" t="s">
        <v>108</v>
      </c>
      <c r="DC79">
        <v>-0.26866335691884158</v>
      </c>
      <c r="DD79" t="e">
        <v>#VALUE!</v>
      </c>
      <c r="DE79" t="s">
        <v>108</v>
      </c>
      <c r="DF79">
        <v>-0.24886710956692695</v>
      </c>
      <c r="DG79" t="e">
        <v>#VALUE!</v>
      </c>
      <c r="DH79" t="s">
        <v>108</v>
      </c>
      <c r="DI79">
        <v>-0.22624282687902453</v>
      </c>
      <c r="DJ79" t="e">
        <v>#VALUE!</v>
      </c>
      <c r="DK79" t="s">
        <v>108</v>
      </c>
      <c r="DL79">
        <v>-0.19796247351914642</v>
      </c>
      <c r="DM79">
        <v>-197000000</v>
      </c>
      <c r="DN79">
        <v>-0.28280353359878063</v>
      </c>
      <c r="DO79">
        <v>3483681100</v>
      </c>
      <c r="DP79" t="e">
        <v>#VALUE!</v>
      </c>
      <c r="DQ79">
        <v>78</v>
      </c>
      <c r="DR79" t="e">
        <v>#VALUE!</v>
      </c>
      <c r="DS79">
        <v>-3.2687860851585864</v>
      </c>
      <c r="DT79" t="e">
        <v>#VALUE!</v>
      </c>
      <c r="DU79" t="e">
        <v>#VALUE!</v>
      </c>
      <c r="DV79" t="e">
        <v>#VALUE!</v>
      </c>
      <c r="DW79">
        <v>-8.3992907801418433</v>
      </c>
      <c r="DX79">
        <v>0.48169689818359646</v>
      </c>
      <c r="DY79">
        <v>-8.0565782650194091</v>
      </c>
      <c r="DZ79">
        <v>0</v>
      </c>
      <c r="EA79">
        <v>-8.0565782650194091</v>
      </c>
      <c r="EB79">
        <v>8</v>
      </c>
      <c r="EC79">
        <v>2.1709679578361405E-3</v>
      </c>
      <c r="ED79">
        <v>1.5321210172315773E-2</v>
      </c>
      <c r="EE79">
        <v>0</v>
      </c>
      <c r="EF79">
        <v>0</v>
      </c>
      <c r="EG79">
        <v>34.141696898183596</v>
      </c>
      <c r="EH79" t="s">
        <v>110</v>
      </c>
      <c r="EI79">
        <v>0</v>
      </c>
      <c r="EJ79">
        <v>0</v>
      </c>
      <c r="EK79">
        <v>0</v>
      </c>
      <c r="EL79">
        <v>0</v>
      </c>
      <c r="EM79">
        <v>0</v>
      </c>
      <c r="EN79">
        <v>0</v>
      </c>
      <c r="EO79">
        <v>0</v>
      </c>
      <c r="EP79">
        <v>0</v>
      </c>
    </row>
    <row r="80" spans="1:146" x14ac:dyDescent="0.25">
      <c r="A80"/>
      <c r="B80"/>
      <c r="D80" s="11">
        <v>412</v>
      </c>
      <c r="E80" t="s">
        <v>7467</v>
      </c>
      <c r="F80">
        <v>6.05</v>
      </c>
      <c r="G80">
        <v>-1.3100000000000001E-2</v>
      </c>
      <c r="H80" t="s">
        <v>7468</v>
      </c>
      <c r="I80">
        <v>36417558000</v>
      </c>
      <c r="J80">
        <v>2413</v>
      </c>
      <c r="L80" t="s">
        <v>6350</v>
      </c>
      <c r="M80" t="s">
        <v>9</v>
      </c>
      <c r="N80" t="s">
        <v>9</v>
      </c>
      <c r="O80" t="s">
        <v>9</v>
      </c>
      <c r="P80" s="5" t="s">
        <v>9</v>
      </c>
      <c r="Q80" t="s">
        <v>821</v>
      </c>
      <c r="R80">
        <v>15092000</v>
      </c>
      <c r="S80">
        <v>1.0329999999999999</v>
      </c>
      <c r="T80" t="s">
        <v>7469</v>
      </c>
      <c r="U80">
        <v>6019431100</v>
      </c>
      <c r="V80">
        <v>6019431100</v>
      </c>
      <c r="W80" t="s">
        <v>9</v>
      </c>
      <c r="X80" t="s">
        <v>9</v>
      </c>
      <c r="Y80" t="s">
        <v>9</v>
      </c>
      <c r="Z80" t="s">
        <v>9</v>
      </c>
      <c r="AA80" t="s">
        <v>9</v>
      </c>
      <c r="AB80" t="s">
        <v>9</v>
      </c>
      <c r="AC80" t="s">
        <v>9</v>
      </c>
      <c r="AD80" t="s">
        <v>9</v>
      </c>
      <c r="AE80" t="s">
        <v>9</v>
      </c>
      <c r="AF80" t="s">
        <v>9</v>
      </c>
      <c r="AG80" t="s">
        <v>9</v>
      </c>
      <c r="AH80" t="s">
        <v>7470</v>
      </c>
      <c r="AI80" t="s">
        <v>9</v>
      </c>
      <c r="AJ80" t="s">
        <v>9</v>
      </c>
      <c r="AK80" s="5" t="s">
        <v>7471</v>
      </c>
      <c r="AL80" t="s">
        <v>9</v>
      </c>
      <c r="AM80" t="s">
        <v>9</v>
      </c>
      <c r="AN80">
        <v>0.74029999999999996</v>
      </c>
      <c r="AO80" t="s">
        <v>9</v>
      </c>
      <c r="AP80" t="s">
        <v>6971</v>
      </c>
      <c r="AQ80" t="s">
        <v>9</v>
      </c>
      <c r="AR80" t="s">
        <v>7472</v>
      </c>
      <c r="AS80" t="s">
        <v>9</v>
      </c>
      <c r="AT80" t="s">
        <v>9</v>
      </c>
      <c r="AU80" t="s">
        <v>7473</v>
      </c>
      <c r="AV80" t="s">
        <v>7474</v>
      </c>
      <c r="AW80" t="s">
        <v>9</v>
      </c>
      <c r="AX80" t="s">
        <v>7475</v>
      </c>
      <c r="AY80" t="s">
        <v>867</v>
      </c>
      <c r="AZ80" t="s">
        <v>5365</v>
      </c>
      <c r="BA80" t="s">
        <v>86</v>
      </c>
      <c r="BB80" t="s">
        <v>883</v>
      </c>
      <c r="BC80" t="s">
        <v>7476</v>
      </c>
      <c r="BD80" t="s">
        <v>7477</v>
      </c>
      <c r="BE80" t="s">
        <v>7478</v>
      </c>
      <c r="BF80" t="s">
        <v>7479</v>
      </c>
      <c r="BG80" t="s">
        <v>2232</v>
      </c>
      <c r="BH80" t="s">
        <v>7475</v>
      </c>
      <c r="BI80" t="s">
        <v>9</v>
      </c>
      <c r="BJ80" t="s">
        <v>867</v>
      </c>
      <c r="BK80" t="s">
        <v>4787</v>
      </c>
      <c r="BL80" t="s">
        <v>9</v>
      </c>
      <c r="BM80" t="s">
        <v>7476</v>
      </c>
      <c r="BN80">
        <v>0.03</v>
      </c>
      <c r="BO80">
        <v>-1.55</v>
      </c>
      <c r="BP80">
        <v>-1.93</v>
      </c>
      <c r="BQ80">
        <v>-1.51</v>
      </c>
      <c r="BR80">
        <v>1270.54</v>
      </c>
      <c r="BS80">
        <v>-22.34</v>
      </c>
      <c r="BT80" t="s">
        <v>9</v>
      </c>
      <c r="BU80" t="s">
        <v>826</v>
      </c>
      <c r="BV80">
        <v>44.72</v>
      </c>
      <c r="BW80">
        <v>53.93</v>
      </c>
      <c r="BX80">
        <v>69.31</v>
      </c>
      <c r="BY80">
        <v>9.91</v>
      </c>
      <c r="BZ80">
        <v>4.0599999999999996</v>
      </c>
      <c r="CA80">
        <v>1.04</v>
      </c>
      <c r="CB80">
        <v>-4.87</v>
      </c>
      <c r="CC80" s="8">
        <v>-23.32</v>
      </c>
      <c r="CD80" s="10" t="s">
        <v>7480</v>
      </c>
      <c r="CE80" s="8" t="s">
        <v>527</v>
      </c>
      <c r="CF80" s="8" t="s">
        <v>9</v>
      </c>
      <c r="CG80" s="8">
        <v>1.0329999999999999</v>
      </c>
      <c r="CH80" s="8">
        <v>0.3186262845993042</v>
      </c>
      <c r="CI80" s="8">
        <v>2.9333958625793457</v>
      </c>
      <c r="CJ80" s="9">
        <v>-0.16194967925548553</v>
      </c>
      <c r="CK80" s="9">
        <v>1.7772926092147827</v>
      </c>
      <c r="CL80" s="9">
        <v>1.3608247041702271</v>
      </c>
      <c r="CM80" s="9">
        <v>1.0479111671447754</v>
      </c>
      <c r="CN80" s="9">
        <v>-0.10526315867900848</v>
      </c>
      <c r="CO80">
        <v>0.86402672529220581</v>
      </c>
      <c r="CP80">
        <v>-4.1236958503723145</v>
      </c>
      <c r="CQ80">
        <v>3.220125675201416</v>
      </c>
      <c r="CR80" s="8">
        <v>-32.228364750672128</v>
      </c>
      <c r="CS80" s="9">
        <v>-12.386570665959542</v>
      </c>
      <c r="CT80">
        <v>0</v>
      </c>
      <c r="CU80">
        <v>-2.6018795371055604E-2</v>
      </c>
      <c r="CV80">
        <v>-0.69697286486625676</v>
      </c>
      <c r="CW80">
        <v>0.06</v>
      </c>
      <c r="CX80">
        <v>2413.037238271932</v>
      </c>
      <c r="CY80" t="s">
        <v>7481</v>
      </c>
      <c r="CZ80">
        <v>-2.6018795371055604E-2</v>
      </c>
      <c r="DA80">
        <v>804.34574609064407</v>
      </c>
      <c r="DB80" t="s">
        <v>7482</v>
      </c>
      <c r="DC80">
        <v>-2.4717855602502822E-2</v>
      </c>
      <c r="DD80">
        <v>402.17287304532204</v>
      </c>
      <c r="DE80" t="s">
        <v>7483</v>
      </c>
      <c r="DF80">
        <v>-2.289653992652893E-2</v>
      </c>
      <c r="DG80">
        <v>241.30372382719321</v>
      </c>
      <c r="DH80" t="s">
        <v>7484</v>
      </c>
      <c r="DI80">
        <v>-2.0815036296844485E-2</v>
      </c>
      <c r="DJ80">
        <v>120.6518619135966</v>
      </c>
      <c r="DK80" t="s">
        <v>7485</v>
      </c>
      <c r="DL80">
        <v>-1.8213156759738922E-2</v>
      </c>
      <c r="DM80">
        <v>15092000</v>
      </c>
      <c r="DN80">
        <v>-2.6018795371055604E-2</v>
      </c>
      <c r="DO80">
        <v>36417558000</v>
      </c>
      <c r="DP80" t="e">
        <v>#VALUE!</v>
      </c>
      <c r="DQ80">
        <v>79</v>
      </c>
      <c r="DR80" t="e">
        <v>#VALUE!</v>
      </c>
      <c r="DS80">
        <v>1.7299728648662567</v>
      </c>
      <c r="DT80" t="e">
        <v>#VALUE!</v>
      </c>
      <c r="DU80" t="e">
        <v>#VALUE!</v>
      </c>
      <c r="DV80" t="e">
        <v>#VALUE!</v>
      </c>
      <c r="DW80">
        <v>-8.2088336192109779</v>
      </c>
      <c r="DX80">
        <v>0.44222539682539863</v>
      </c>
      <c r="DY80">
        <v>-8.033878116746985</v>
      </c>
      <c r="DZ80">
        <v>0</v>
      </c>
      <c r="EA80">
        <v>-8.033878116746985</v>
      </c>
      <c r="EB80">
        <v>8</v>
      </c>
      <c r="EC80">
        <v>3.3957361851022767E-3</v>
      </c>
      <c r="ED80">
        <v>2.0932210686820555E-2</v>
      </c>
      <c r="EE80">
        <v>0</v>
      </c>
      <c r="EF80">
        <v>0</v>
      </c>
      <c r="EG80">
        <v>28.162225396825399</v>
      </c>
      <c r="EH80" t="s">
        <v>110</v>
      </c>
      <c r="EI80">
        <v>0</v>
      </c>
      <c r="EJ80">
        <v>0</v>
      </c>
      <c r="EK80">
        <v>0</v>
      </c>
      <c r="EL80">
        <v>0</v>
      </c>
      <c r="EM80">
        <v>0</v>
      </c>
      <c r="EN80">
        <v>0</v>
      </c>
      <c r="EO80">
        <v>0</v>
      </c>
      <c r="EP80">
        <v>0</v>
      </c>
    </row>
    <row r="81" spans="1:146" ht="96" x14ac:dyDescent="0.25">
      <c r="A81" s="7"/>
      <c r="B81" s="7"/>
      <c r="C81" s="7" t="str">
        <f>""&amp;CHAR(10)&amp;Basic_Fundamental_Information_Constructure(F81)&amp;CHAR(10)&amp;Basic_Fundamental_Information_Concatenate("")</f>
        <v xml:space="preserve">
市值142.22802亿, 利润20.86亿; PE6.82; 平均PE28.84; 平均PEG4.22, PB.708; ROIC6.6933%; ROE9.5333%; 股利率0%; 毛利28.1233%; 净利9.92%; 上一年度营收增15.24%, 利润增13.86%, 利润增23.25%; 过往5年营收增-6.83%, 利润增7.61%
Income profile:
</v>
      </c>
      <c r="D81" s="11">
        <v>425</v>
      </c>
      <c r="E81" t="s">
        <v>1472</v>
      </c>
      <c r="F81">
        <v>12.24</v>
      </c>
      <c r="G81" s="5">
        <v>-2.5499999999999998E-2</v>
      </c>
      <c r="H81" t="s">
        <v>7486</v>
      </c>
      <c r="I81">
        <v>14222802000</v>
      </c>
      <c r="J81">
        <v>6.82</v>
      </c>
      <c r="K81">
        <v>0.70799999999999996</v>
      </c>
      <c r="L81" t="s">
        <v>6350</v>
      </c>
      <c r="M81" t="s">
        <v>9</v>
      </c>
      <c r="N81" t="s">
        <v>9</v>
      </c>
      <c r="O81" t="s">
        <v>9</v>
      </c>
      <c r="P81" t="s">
        <v>9</v>
      </c>
      <c r="Q81" t="s">
        <v>7487</v>
      </c>
      <c r="R81">
        <v>2086321800</v>
      </c>
      <c r="S81" s="5">
        <v>0.23250000000000001</v>
      </c>
      <c r="T81" t="s">
        <v>3789</v>
      </c>
      <c r="U81">
        <v>1161993600</v>
      </c>
      <c r="V81">
        <v>1161993600</v>
      </c>
      <c r="W81" t="s">
        <v>9</v>
      </c>
      <c r="X81" t="s">
        <v>9</v>
      </c>
      <c r="Y81" t="s">
        <v>9</v>
      </c>
      <c r="Z81" t="s">
        <v>9</v>
      </c>
      <c r="AA81" t="s">
        <v>9</v>
      </c>
      <c r="AB81" t="s">
        <v>9</v>
      </c>
      <c r="AC81" t="s">
        <v>9</v>
      </c>
      <c r="AD81" t="s">
        <v>7488</v>
      </c>
      <c r="AE81" t="s">
        <v>9</v>
      </c>
      <c r="AF81" t="s">
        <v>9</v>
      </c>
      <c r="AG81" t="s">
        <v>9</v>
      </c>
      <c r="AH81" t="s">
        <v>7489</v>
      </c>
      <c r="AI81" t="s">
        <v>9</v>
      </c>
      <c r="AJ81" t="s">
        <v>9</v>
      </c>
      <c r="AK81" t="s">
        <v>7490</v>
      </c>
      <c r="AL81" t="s">
        <v>9</v>
      </c>
      <c r="AM81" t="s">
        <v>9</v>
      </c>
      <c r="AN81" s="5">
        <v>0.49020000000000002</v>
      </c>
      <c r="AO81" t="s">
        <v>9</v>
      </c>
      <c r="AP81" t="s">
        <v>7491</v>
      </c>
      <c r="AQ81" t="s">
        <v>9</v>
      </c>
      <c r="AR81" t="s">
        <v>7492</v>
      </c>
      <c r="AS81" t="s">
        <v>9</v>
      </c>
      <c r="AT81" t="s">
        <v>9</v>
      </c>
      <c r="AU81" t="s">
        <v>7493</v>
      </c>
      <c r="AV81" t="s">
        <v>7494</v>
      </c>
      <c r="AW81" t="s">
        <v>9</v>
      </c>
      <c r="AX81" t="s">
        <v>1473</v>
      </c>
      <c r="AY81" t="s">
        <v>1476</v>
      </c>
      <c r="AZ81" t="s">
        <v>1477</v>
      </c>
      <c r="BA81" t="s">
        <v>858</v>
      </c>
      <c r="BB81" t="s">
        <v>1478</v>
      </c>
      <c r="BC81" t="s">
        <v>1479</v>
      </c>
      <c r="BD81" t="s">
        <v>1480</v>
      </c>
      <c r="BE81" t="s">
        <v>1481</v>
      </c>
      <c r="BF81" t="s">
        <v>1482</v>
      </c>
      <c r="BG81" t="s">
        <v>1483</v>
      </c>
      <c r="BH81" t="s">
        <v>1473</v>
      </c>
      <c r="BI81" t="s">
        <v>9</v>
      </c>
      <c r="BJ81" t="s">
        <v>1476</v>
      </c>
      <c r="BK81" t="s">
        <v>1474</v>
      </c>
      <c r="BL81" t="s">
        <v>9</v>
      </c>
      <c r="BM81" t="s">
        <v>1479</v>
      </c>
      <c r="BN81">
        <v>7.16</v>
      </c>
      <c r="BO81">
        <v>6.22</v>
      </c>
      <c r="BP81">
        <v>6.7</v>
      </c>
      <c r="BQ81">
        <v>10.39</v>
      </c>
      <c r="BR81">
        <v>8.8699999999999992</v>
      </c>
      <c r="BS81">
        <v>9.34</v>
      </c>
      <c r="BT81" t="s">
        <v>1484</v>
      </c>
      <c r="BU81" t="s">
        <v>861</v>
      </c>
      <c r="BV81">
        <v>27.39</v>
      </c>
      <c r="BW81">
        <v>27.64</v>
      </c>
      <c r="BX81">
        <v>29.34</v>
      </c>
      <c r="BY81">
        <v>9.57</v>
      </c>
      <c r="BZ81">
        <v>8.84</v>
      </c>
      <c r="CA81">
        <v>11.35</v>
      </c>
      <c r="CB81">
        <v>-9.1999999999999993</v>
      </c>
      <c r="CC81">
        <v>-19.79</v>
      </c>
      <c r="CD81" t="s">
        <v>7495</v>
      </c>
      <c r="CE81" t="s">
        <v>70</v>
      </c>
      <c r="CF81" s="8" t="s">
        <v>9</v>
      </c>
      <c r="CG81" s="9">
        <v>0.23250000000000001</v>
      </c>
      <c r="CH81" s="8">
        <v>0.15238440036773682</v>
      </c>
      <c r="CI81" s="8">
        <v>0.14544712007045746</v>
      </c>
      <c r="CJ81" s="8">
        <v>0.14704892039299011</v>
      </c>
      <c r="CK81" s="8">
        <v>3.9599776268005371E-2</v>
      </c>
      <c r="CL81" s="8">
        <v>4.7182925045490265E-2</v>
      </c>
      <c r="CM81" s="9">
        <v>0.13864628970623016</v>
      </c>
      <c r="CN81" s="9">
        <v>0.1016235277056694</v>
      </c>
      <c r="CO81" s="9">
        <v>-0.11963995546102524</v>
      </c>
      <c r="CP81" s="9">
        <v>-1.057709101587534E-3</v>
      </c>
      <c r="CQ81" s="9">
        <v>-0.22116966545581818</v>
      </c>
      <c r="CR81">
        <v>28.839747211895908</v>
      </c>
      <c r="CS81">
        <v>4.2205294570047807</v>
      </c>
      <c r="CT81">
        <v>0</v>
      </c>
      <c r="CU81" s="8">
        <v>-6.8332060007378459E-2</v>
      </c>
      <c r="CV81" s="9">
        <v>7.6062926650047297E-2</v>
      </c>
      <c r="CW81">
        <v>0.06</v>
      </c>
      <c r="CX81">
        <v>6.8182176414189835</v>
      </c>
      <c r="CY81" t="s">
        <v>7496</v>
      </c>
      <c r="CZ81">
        <v>-6.8332060007378459E-2</v>
      </c>
      <c r="DA81">
        <v>2.2727392138063278</v>
      </c>
      <c r="DB81" t="s">
        <v>7497</v>
      </c>
      <c r="DC81">
        <v>-6.4915457007009528E-2</v>
      </c>
      <c r="DD81">
        <v>1.1363696069031639</v>
      </c>
      <c r="DE81" t="s">
        <v>7498</v>
      </c>
      <c r="DF81">
        <v>-6.0132212806493043E-2</v>
      </c>
      <c r="DG81">
        <v>0.68182176414189832</v>
      </c>
      <c r="DH81" t="s">
        <v>7499</v>
      </c>
      <c r="DI81">
        <v>-5.4665648005902769E-2</v>
      </c>
      <c r="DJ81">
        <v>0.34091088207094916</v>
      </c>
      <c r="DK81" t="s">
        <v>7500</v>
      </c>
      <c r="DL81">
        <v>-4.783244200516492E-2</v>
      </c>
      <c r="DM81">
        <v>2086000000</v>
      </c>
      <c r="DN81">
        <v>-6.8332060007378459E-2</v>
      </c>
      <c r="DO81">
        <v>14222802000</v>
      </c>
      <c r="DP81" t="e">
        <v>#VALUE!</v>
      </c>
      <c r="DQ81">
        <v>80</v>
      </c>
      <c r="DR81" t="e">
        <v>#VALUE!</v>
      </c>
      <c r="DS81">
        <v>0.15643707334995272</v>
      </c>
      <c r="DT81" t="e">
        <v>#VALUE!</v>
      </c>
      <c r="DU81" t="e">
        <v>#VALUE!</v>
      </c>
      <c r="DV81" t="e">
        <v>#VALUE!</v>
      </c>
      <c r="DW81">
        <v>-9.4648812531581612</v>
      </c>
      <c r="DX81">
        <v>0.35266923076923129</v>
      </c>
      <c r="DY81">
        <v>-9.0988659385081814</v>
      </c>
      <c r="DZ81">
        <v>0</v>
      </c>
      <c r="EA81">
        <v>-9.0988659385081814</v>
      </c>
      <c r="EB81">
        <v>9</v>
      </c>
      <c r="EC81">
        <v>1.9034184009275097E-2</v>
      </c>
      <c r="ED81">
        <v>8.9501353535854242E-2</v>
      </c>
      <c r="EE81">
        <v>0</v>
      </c>
      <c r="EF81">
        <v>0</v>
      </c>
      <c r="EG81">
        <v>14.212669230769231</v>
      </c>
      <c r="EH81" t="s">
        <v>110</v>
      </c>
      <c r="EI81">
        <v>0</v>
      </c>
      <c r="EJ81">
        <v>0</v>
      </c>
      <c r="EK81">
        <v>0</v>
      </c>
      <c r="EL81">
        <v>0</v>
      </c>
      <c r="EM81">
        <v>0</v>
      </c>
      <c r="EN81">
        <v>0</v>
      </c>
      <c r="EO81">
        <v>0</v>
      </c>
      <c r="EP81">
        <v>0</v>
      </c>
    </row>
    <row r="82" spans="1:146" ht="96" x14ac:dyDescent="0.25">
      <c r="A82" s="7"/>
      <c r="B82" s="7"/>
      <c r="C82" s="7" t="str">
        <f>""&amp;CHAR(10)&amp;Basic_Fundamental_Information_Constructure(F82)&amp;CHAR(10)&amp;Basic_Fundamental_Information_Concatenate("")</f>
        <v xml:space="preserve">
市值69.507584亿, 利润15.92亿; PE4.37; 平均PE17.58; 平均PEG1.66, PB.213; ROIC0%; ROE4.39%; 股利率0%; 毛利0%; 净利27.8933%; 上一年度营收增-10.46%, 利润增21.71%, 利润增30.03%; 过往5年营收增-10.59%, 利润增-.3%
Income profile:
</v>
      </c>
      <c r="D82" s="11">
        <v>440</v>
      </c>
      <c r="E82" t="s">
        <v>1485</v>
      </c>
      <c r="F82">
        <v>21.75</v>
      </c>
      <c r="G82" s="5">
        <v>-6.7999999999999996E-3</v>
      </c>
      <c r="H82" t="s">
        <v>7501</v>
      </c>
      <c r="I82">
        <v>6950758400</v>
      </c>
      <c r="J82">
        <v>4.37</v>
      </c>
      <c r="K82">
        <v>0.21299999999999999</v>
      </c>
      <c r="L82" t="s">
        <v>6350</v>
      </c>
      <c r="M82" t="s">
        <v>9</v>
      </c>
      <c r="N82" t="s">
        <v>9</v>
      </c>
      <c r="O82" t="s">
        <v>9</v>
      </c>
      <c r="P82" t="s">
        <v>9</v>
      </c>
      <c r="Q82" t="s">
        <v>3636</v>
      </c>
      <c r="R82">
        <v>1592095000</v>
      </c>
      <c r="S82" s="5">
        <v>0.30030000000000001</v>
      </c>
      <c r="T82" t="s">
        <v>903</v>
      </c>
      <c r="U82">
        <v>319575100</v>
      </c>
      <c r="V82">
        <v>319575100</v>
      </c>
      <c r="W82" t="s">
        <v>9</v>
      </c>
      <c r="X82" t="s">
        <v>9</v>
      </c>
      <c r="Y82" t="s">
        <v>9</v>
      </c>
      <c r="Z82" t="s">
        <v>9</v>
      </c>
      <c r="AA82" t="s">
        <v>9</v>
      </c>
      <c r="AB82" t="s">
        <v>9</v>
      </c>
      <c r="AC82" t="s">
        <v>9</v>
      </c>
      <c r="AD82" t="s">
        <v>9</v>
      </c>
      <c r="AE82" t="s">
        <v>9</v>
      </c>
      <c r="AF82" t="s">
        <v>9</v>
      </c>
      <c r="AG82" t="s">
        <v>9</v>
      </c>
      <c r="AH82" t="s">
        <v>7502</v>
      </c>
      <c r="AI82" t="s">
        <v>9</v>
      </c>
      <c r="AJ82" t="s">
        <v>9</v>
      </c>
      <c r="AK82" t="s">
        <v>7503</v>
      </c>
      <c r="AL82" t="s">
        <v>9</v>
      </c>
      <c r="AM82" t="s">
        <v>9</v>
      </c>
      <c r="AN82" s="5">
        <v>0.84799999999999998</v>
      </c>
      <c r="AO82" t="s">
        <v>9</v>
      </c>
      <c r="AP82" t="s">
        <v>9</v>
      </c>
      <c r="AQ82" t="s">
        <v>9</v>
      </c>
      <c r="AR82" t="s">
        <v>9</v>
      </c>
      <c r="AS82" t="s">
        <v>9</v>
      </c>
      <c r="AT82" t="s">
        <v>9</v>
      </c>
      <c r="AU82" t="s">
        <v>7504</v>
      </c>
      <c r="AV82" t="s">
        <v>7505</v>
      </c>
      <c r="AW82" t="s">
        <v>9</v>
      </c>
      <c r="AX82" t="s">
        <v>7506</v>
      </c>
      <c r="AY82" t="s">
        <v>1488</v>
      </c>
      <c r="AZ82" t="s">
        <v>1489</v>
      </c>
      <c r="BA82" t="s">
        <v>1490</v>
      </c>
      <c r="BB82" t="s">
        <v>1491</v>
      </c>
      <c r="BC82" t="s">
        <v>1492</v>
      </c>
      <c r="BD82" t="s">
        <v>1493</v>
      </c>
      <c r="BE82" t="s">
        <v>1494</v>
      </c>
      <c r="BF82" t="s">
        <v>1495</v>
      </c>
      <c r="BG82" t="s">
        <v>1496</v>
      </c>
      <c r="BH82" t="s">
        <v>7506</v>
      </c>
      <c r="BI82" t="s">
        <v>9</v>
      </c>
      <c r="BJ82" t="s">
        <v>1488</v>
      </c>
      <c r="BK82" t="s">
        <v>1487</v>
      </c>
      <c r="BL82" t="s">
        <v>9</v>
      </c>
      <c r="BM82" t="s">
        <v>1492</v>
      </c>
      <c r="BN82" t="s">
        <v>9</v>
      </c>
      <c r="BO82" t="s">
        <v>9</v>
      </c>
      <c r="BP82" t="s">
        <v>9</v>
      </c>
      <c r="BQ82">
        <v>4.87</v>
      </c>
      <c r="BR82">
        <v>3.97</v>
      </c>
      <c r="BS82">
        <v>4.33</v>
      </c>
      <c r="BT82" t="s">
        <v>7507</v>
      </c>
      <c r="BU82" t="s">
        <v>422</v>
      </c>
      <c r="BV82" t="s">
        <v>9</v>
      </c>
      <c r="BW82" t="s">
        <v>9</v>
      </c>
      <c r="BX82" t="s">
        <v>9</v>
      </c>
      <c r="BY82">
        <v>33.19</v>
      </c>
      <c r="BZ82">
        <v>21.65</v>
      </c>
      <c r="CA82">
        <v>28.84</v>
      </c>
      <c r="CB82">
        <v>-2.25</v>
      </c>
      <c r="CC82">
        <v>0.42</v>
      </c>
      <c r="CD82" t="s">
        <v>7508</v>
      </c>
      <c r="CE82" t="s">
        <v>7509</v>
      </c>
      <c r="CF82" s="8" t="s">
        <v>9</v>
      </c>
      <c r="CG82" s="9">
        <v>0.30030000000000001</v>
      </c>
      <c r="CH82" s="8">
        <v>-0.10458267480134964</v>
      </c>
      <c r="CI82" s="8">
        <v>0.15746587514877319</v>
      </c>
      <c r="CJ82" s="8">
        <v>1.5363890677690506E-2</v>
      </c>
      <c r="CK82" s="8">
        <v>-3.5970084369182587E-2</v>
      </c>
      <c r="CL82" s="8">
        <v>0.11729409545660019</v>
      </c>
      <c r="CM82" s="9">
        <v>0.21712538599967957</v>
      </c>
      <c r="CN82" s="9">
        <v>0.12953367829322815</v>
      </c>
      <c r="CO82" s="9">
        <v>-0.32201406359672546</v>
      </c>
      <c r="CP82" s="9">
        <v>-0.10809396207332611</v>
      </c>
      <c r="CQ82" s="9">
        <v>-0.64569848775863647</v>
      </c>
      <c r="CR82">
        <v>17.582019561551434</v>
      </c>
      <c r="CS82">
        <v>1.6609654358586625</v>
      </c>
      <c r="CT82">
        <v>0</v>
      </c>
      <c r="CU82" s="8">
        <v>-0.10585421696305275</v>
      </c>
      <c r="CV82" s="9">
        <v>-2.9829293489456177E-3</v>
      </c>
      <c r="CW82">
        <v>0.06</v>
      </c>
      <c r="CX82">
        <v>4.3660542713567843</v>
      </c>
      <c r="CY82" t="s">
        <v>7510</v>
      </c>
      <c r="CZ82">
        <v>-0.10585421696305275</v>
      </c>
      <c r="DA82">
        <v>1.4553514237855947</v>
      </c>
      <c r="DB82" t="s">
        <v>7511</v>
      </c>
      <c r="DC82">
        <v>-0.10056150611490011</v>
      </c>
      <c r="DD82">
        <v>0.72767571189279734</v>
      </c>
      <c r="DE82" t="s">
        <v>7512</v>
      </c>
      <c r="DF82">
        <v>-9.315171092748642E-2</v>
      </c>
      <c r="DG82">
        <v>0.4366054271356784</v>
      </c>
      <c r="DH82" t="s">
        <v>7513</v>
      </c>
      <c r="DI82">
        <v>-8.46833735704422E-2</v>
      </c>
      <c r="DJ82">
        <v>0.2183027135678392</v>
      </c>
      <c r="DK82" t="s">
        <v>7514</v>
      </c>
      <c r="DL82">
        <v>-7.4097951874136925E-2</v>
      </c>
      <c r="DM82">
        <v>1592000000</v>
      </c>
      <c r="DN82">
        <v>-0.10585421696305275</v>
      </c>
      <c r="DO82">
        <v>6950758400</v>
      </c>
      <c r="DP82" t="e">
        <v>#VALUE!</v>
      </c>
      <c r="DQ82">
        <v>81</v>
      </c>
      <c r="DR82" t="e">
        <v>#VALUE!</v>
      </c>
      <c r="DS82">
        <v>0.30328292934894563</v>
      </c>
      <c r="DT82" t="e">
        <v>#VALUE!</v>
      </c>
      <c r="DU82" t="e">
        <v>#VALUE!</v>
      </c>
      <c r="DV82" t="e">
        <v>#VALUE!</v>
      </c>
      <c r="DW82">
        <v>4.1999999999999997E-3</v>
      </c>
      <c r="DX82">
        <v>0.31834959146239805</v>
      </c>
      <c r="DY82">
        <v>7.4906828414207096E-4</v>
      </c>
      <c r="DZ82">
        <v>0</v>
      </c>
      <c r="EA82">
        <v>7.4906828414207096E-4</v>
      </c>
      <c r="EB82">
        <v>0</v>
      </c>
      <c r="EC82">
        <v>5.3549228334748237E-3</v>
      </c>
      <c r="ED82">
        <v>3.0024867394236911E-2</v>
      </c>
      <c r="EE82">
        <v>0</v>
      </c>
      <c r="EF82">
        <v>0</v>
      </c>
      <c r="EG82">
        <v>14.178349591462398</v>
      </c>
      <c r="EH82" t="s">
        <v>110</v>
      </c>
      <c r="EI82">
        <v>0</v>
      </c>
      <c r="EJ82">
        <v>0</v>
      </c>
      <c r="EK82">
        <v>0</v>
      </c>
      <c r="EL82">
        <v>0</v>
      </c>
      <c r="EM82">
        <v>0</v>
      </c>
      <c r="EN82">
        <v>0</v>
      </c>
      <c r="EO82">
        <v>0</v>
      </c>
      <c r="EP82">
        <v>0</v>
      </c>
    </row>
    <row r="83" spans="1:146" ht="96" x14ac:dyDescent="0.25">
      <c r="A83" s="7"/>
      <c r="B83" s="7"/>
      <c r="C83" s="7" t="str">
        <f>""&amp;CHAR(10)&amp;Basic_Fundamental_Information_Constructure(F83)&amp;CHAR(10)&amp;Basic_Fundamental_Information_Concatenate("")</f>
        <v xml:space="preserve">
市值50.381996亿, 利润-5921.34万; PE; 平均PE-104.33; 平均PEG-11.47, PB1.04; ROIC-7.2833%; ROE-12.2033%; 股利率0%; 毛利69.4033%; 净利-34.23%; 上一年度营收增-24.05%, 利润增-111.61%, 利润增97.26%; 过往5年营收增9.1%, 利润增-35.7%
Income profile:
</v>
      </c>
      <c r="D83" s="11">
        <v>460</v>
      </c>
      <c r="E83" t="s">
        <v>1498</v>
      </c>
      <c r="F83">
        <v>0.54</v>
      </c>
      <c r="G83" s="5">
        <v>-3.5700000000000003E-2</v>
      </c>
      <c r="H83" t="s">
        <v>7515</v>
      </c>
      <c r="I83">
        <v>5038199600</v>
      </c>
      <c r="K83">
        <v>1.04</v>
      </c>
      <c r="L83" t="s">
        <v>6350</v>
      </c>
      <c r="M83" t="s">
        <v>9</v>
      </c>
      <c r="N83" t="s">
        <v>9</v>
      </c>
      <c r="O83" t="s">
        <v>9</v>
      </c>
      <c r="P83" t="s">
        <v>9</v>
      </c>
      <c r="Q83" t="s">
        <v>2135</v>
      </c>
      <c r="R83">
        <v>-59213435</v>
      </c>
      <c r="S83" s="5">
        <v>0.97260000000000002</v>
      </c>
      <c r="T83" t="s">
        <v>7516</v>
      </c>
      <c r="U83">
        <v>9329999200</v>
      </c>
      <c r="V83">
        <v>9329999200</v>
      </c>
      <c r="W83" t="s">
        <v>9</v>
      </c>
      <c r="X83" t="s">
        <v>9</v>
      </c>
      <c r="Y83" t="s">
        <v>9</v>
      </c>
      <c r="Z83" t="s">
        <v>9</v>
      </c>
      <c r="AA83" t="s">
        <v>9</v>
      </c>
      <c r="AB83" t="s">
        <v>9</v>
      </c>
      <c r="AC83" t="s">
        <v>9</v>
      </c>
      <c r="AD83" t="s">
        <v>4287</v>
      </c>
      <c r="AE83" t="s">
        <v>9</v>
      </c>
      <c r="AF83" t="s">
        <v>9</v>
      </c>
      <c r="AG83" t="s">
        <v>9</v>
      </c>
      <c r="AH83" t="s">
        <v>7517</v>
      </c>
      <c r="AI83" t="s">
        <v>9</v>
      </c>
      <c r="AJ83" t="s">
        <v>9</v>
      </c>
      <c r="AK83" t="s">
        <v>7518</v>
      </c>
      <c r="AL83" t="s">
        <v>9</v>
      </c>
      <c r="AM83" t="s">
        <v>9</v>
      </c>
      <c r="AN83" s="5">
        <v>0.55469999999999997</v>
      </c>
      <c r="AO83" t="s">
        <v>9</v>
      </c>
      <c r="AP83" t="s">
        <v>625</v>
      </c>
      <c r="AQ83" t="s">
        <v>9</v>
      </c>
      <c r="AR83" t="s">
        <v>7519</v>
      </c>
      <c r="AS83" t="s">
        <v>9</v>
      </c>
      <c r="AT83" t="s">
        <v>9</v>
      </c>
      <c r="AU83" t="s">
        <v>3565</v>
      </c>
      <c r="AV83" t="s">
        <v>915</v>
      </c>
      <c r="AW83" t="s">
        <v>9</v>
      </c>
      <c r="AX83" t="s">
        <v>1499</v>
      </c>
      <c r="AY83" t="s">
        <v>1503</v>
      </c>
      <c r="AZ83" t="s">
        <v>1504</v>
      </c>
      <c r="BA83" t="s">
        <v>1505</v>
      </c>
      <c r="BB83" t="s">
        <v>1506</v>
      </c>
      <c r="BC83" t="s">
        <v>1507</v>
      </c>
      <c r="BD83" t="s">
        <v>1508</v>
      </c>
      <c r="BE83" t="s">
        <v>1509</v>
      </c>
      <c r="BF83" t="s">
        <v>1510</v>
      </c>
      <c r="BG83" t="s">
        <v>1511</v>
      </c>
      <c r="BH83" t="s">
        <v>1499</v>
      </c>
      <c r="BI83" t="s">
        <v>9</v>
      </c>
      <c r="BJ83" t="s">
        <v>1503</v>
      </c>
      <c r="BK83" t="s">
        <v>1500</v>
      </c>
      <c r="BL83" t="s">
        <v>9</v>
      </c>
      <c r="BM83" t="s">
        <v>1507</v>
      </c>
      <c r="BN83">
        <v>-0.94</v>
      </c>
      <c r="BO83">
        <v>-25.25</v>
      </c>
      <c r="BP83">
        <v>4.34</v>
      </c>
      <c r="BQ83">
        <v>-1.22</v>
      </c>
      <c r="BR83">
        <v>-40.42</v>
      </c>
      <c r="BS83">
        <v>5.03</v>
      </c>
      <c r="BT83" t="s">
        <v>1512</v>
      </c>
      <c r="BU83" t="s">
        <v>489</v>
      </c>
      <c r="BV83">
        <v>69.64</v>
      </c>
      <c r="BW83">
        <v>64.180000000000007</v>
      </c>
      <c r="BX83">
        <v>74.39</v>
      </c>
      <c r="BY83">
        <v>-13.85</v>
      </c>
      <c r="BZ83">
        <v>-95.91</v>
      </c>
      <c r="CA83">
        <v>7.07</v>
      </c>
      <c r="CB83">
        <v>0</v>
      </c>
      <c r="CC83">
        <v>-12.9</v>
      </c>
      <c r="CD83" t="s">
        <v>7520</v>
      </c>
      <c r="CE83" t="s">
        <v>3662</v>
      </c>
      <c r="CF83" s="8" t="s">
        <v>9</v>
      </c>
      <c r="CG83" s="9">
        <v>0.97260000000000002</v>
      </c>
      <c r="CH83" s="8">
        <v>-0.2405063658952713</v>
      </c>
      <c r="CI83" s="8">
        <v>-0.33349871635437012</v>
      </c>
      <c r="CJ83" s="8">
        <v>0.36702844500541687</v>
      </c>
      <c r="CK83" s="8">
        <v>-0.11258275061845779</v>
      </c>
      <c r="CL83" s="8">
        <v>9.1129625216126442E-3</v>
      </c>
      <c r="CM83" s="9">
        <v>-1.1161046028137207</v>
      </c>
      <c r="CN83" s="9">
        <v>-9.5744684338569641E-2</v>
      </c>
      <c r="CO83" s="9">
        <v>1.1832953691482544</v>
      </c>
      <c r="CP83" s="9">
        <v>-2.6686551570892334</v>
      </c>
      <c r="CQ83" s="9">
        <v>6.1600498855113983E-2</v>
      </c>
      <c r="CR83">
        <v>-104.32880286509751</v>
      </c>
      <c r="CS83">
        <v>-11.470506850767162</v>
      </c>
      <c r="CT83">
        <v>0</v>
      </c>
      <c r="CU83" s="8">
        <v>9.0953960642218584E-2</v>
      </c>
      <c r="CV83" s="9">
        <v>-0.3569553315639496</v>
      </c>
      <c r="CW83">
        <v>0.06</v>
      </c>
      <c r="CX83" t="e">
        <v>#VALUE!</v>
      </c>
      <c r="CY83" t="s">
        <v>109</v>
      </c>
      <c r="CZ83">
        <v>9.0953960642218584E-2</v>
      </c>
      <c r="DA83" t="e">
        <v>#VALUE!</v>
      </c>
      <c r="DB83" t="s">
        <v>108</v>
      </c>
      <c r="DC83">
        <v>8.6406262610107656E-2</v>
      </c>
      <c r="DD83" t="e">
        <v>#VALUE!</v>
      </c>
      <c r="DE83" t="s">
        <v>108</v>
      </c>
      <c r="DF83">
        <v>8.003948536515236E-2</v>
      </c>
      <c r="DG83" t="e">
        <v>#VALUE!</v>
      </c>
      <c r="DH83" t="s">
        <v>108</v>
      </c>
      <c r="DI83">
        <v>7.2763168513774873E-2</v>
      </c>
      <c r="DJ83" t="e">
        <v>#VALUE!</v>
      </c>
      <c r="DK83" t="s">
        <v>108</v>
      </c>
      <c r="DL83">
        <v>6.3667772449553003E-2</v>
      </c>
      <c r="DM83">
        <v>-59213400</v>
      </c>
      <c r="DN83">
        <v>9.0953960642218584E-2</v>
      </c>
      <c r="DO83">
        <v>5038199600</v>
      </c>
      <c r="DP83" t="e">
        <v>#VALUE!</v>
      </c>
      <c r="DQ83">
        <v>82</v>
      </c>
      <c r="DR83" t="e">
        <v>#VALUE!</v>
      </c>
      <c r="DS83">
        <v>1.3295553315639497</v>
      </c>
      <c r="DT83" t="e">
        <v>#VALUE!</v>
      </c>
      <c r="DU83" t="e">
        <v>#VALUE!</v>
      </c>
      <c r="DV83" t="e">
        <v>#VALUE!</v>
      </c>
      <c r="DW83">
        <v>-2.129</v>
      </c>
      <c r="DX83">
        <v>0.44224249422632766</v>
      </c>
      <c r="DY83">
        <v>-2.0247992817551963</v>
      </c>
      <c r="DZ83">
        <v>0</v>
      </c>
      <c r="EA83">
        <v>-2.0247992817551963</v>
      </c>
      <c r="EB83">
        <v>2</v>
      </c>
      <c r="EC83">
        <v>8.9218657167730517E-3</v>
      </c>
      <c r="ED83">
        <v>4.640943591935142E-2</v>
      </c>
      <c r="EE83">
        <v>0</v>
      </c>
      <c r="EF83">
        <v>0</v>
      </c>
      <c r="EG83">
        <v>25.192242494226328</v>
      </c>
      <c r="EH83" t="s">
        <v>110</v>
      </c>
      <c r="EI83">
        <v>0</v>
      </c>
      <c r="EJ83">
        <v>0</v>
      </c>
      <c r="EK83">
        <v>0</v>
      </c>
      <c r="EL83">
        <v>0</v>
      </c>
      <c r="EM83">
        <v>0</v>
      </c>
      <c r="EN83">
        <v>0</v>
      </c>
      <c r="EO83">
        <v>0</v>
      </c>
      <c r="EP83">
        <v>0</v>
      </c>
    </row>
    <row r="84" spans="1:146" ht="96" x14ac:dyDescent="0.25">
      <c r="A84" s="7"/>
      <c r="B84" s="7"/>
      <c r="C84" s="7" t="str">
        <f>""&amp;CHAR(10)&amp;Basic_Fundamental_Information_Constructure(F84)&amp;CHAR(10)&amp;Basic_Fundamental_Information_Concatenate("")</f>
        <v xml:space="preserve">
市值78.121514亿, 利润-17.07亿; PE; 平均PE-43.45; 平均PEG-2, PB.609; ROIC4.8967%; ROE5.7333%; 股利率0%; 毛利43.0267%; 净利12.8433%; 上一年度营收增26.38%, 利润增-185.31%, 利润增-165.6%; 过往5年营收增21.71%, 利润增-50.11%
Income profile:
</v>
      </c>
      <c r="D84" s="11">
        <v>467</v>
      </c>
      <c r="E84" t="s">
        <v>1513</v>
      </c>
      <c r="F84">
        <v>0.3</v>
      </c>
      <c r="G84" s="5">
        <v>-0.24049999999999999</v>
      </c>
      <c r="H84" t="s">
        <v>3611</v>
      </c>
      <c r="I84">
        <v>7812151400</v>
      </c>
      <c r="K84">
        <v>0.60899999999999999</v>
      </c>
      <c r="L84" t="s">
        <v>6350</v>
      </c>
      <c r="M84" t="s">
        <v>9</v>
      </c>
      <c r="N84" t="s">
        <v>9</v>
      </c>
      <c r="O84" t="s">
        <v>9</v>
      </c>
      <c r="P84" t="s">
        <v>9</v>
      </c>
      <c r="Q84" t="s">
        <v>7521</v>
      </c>
      <c r="R84">
        <v>-1707385000</v>
      </c>
      <c r="S84" s="5">
        <v>-1.6559999999999999</v>
      </c>
      <c r="T84" t="s">
        <v>7522</v>
      </c>
      <c r="U84">
        <v>26040505000</v>
      </c>
      <c r="V84">
        <v>26040505000</v>
      </c>
      <c r="W84" t="s">
        <v>9</v>
      </c>
      <c r="X84" t="s">
        <v>9</v>
      </c>
      <c r="Y84" t="s">
        <v>9</v>
      </c>
      <c r="Z84" t="s">
        <v>9</v>
      </c>
      <c r="AA84" t="s">
        <v>9</v>
      </c>
      <c r="AB84" t="s">
        <v>9</v>
      </c>
      <c r="AC84" t="s">
        <v>9</v>
      </c>
      <c r="AD84" t="s">
        <v>9</v>
      </c>
      <c r="AE84" t="s">
        <v>9</v>
      </c>
      <c r="AF84" t="s">
        <v>9</v>
      </c>
      <c r="AG84" t="s">
        <v>9</v>
      </c>
      <c r="AH84" t="s">
        <v>7523</v>
      </c>
      <c r="AI84" t="s">
        <v>9</v>
      </c>
      <c r="AJ84" t="s">
        <v>9</v>
      </c>
      <c r="AK84" t="s">
        <v>7524</v>
      </c>
      <c r="AL84" t="s">
        <v>9</v>
      </c>
      <c r="AM84" t="s">
        <v>9</v>
      </c>
      <c r="AN84" s="5">
        <v>0.503</v>
      </c>
      <c r="AO84" t="s">
        <v>9</v>
      </c>
      <c r="AP84" t="s">
        <v>3094</v>
      </c>
      <c r="AQ84" t="s">
        <v>9</v>
      </c>
      <c r="AR84" t="s">
        <v>7525</v>
      </c>
      <c r="AS84" t="s">
        <v>9</v>
      </c>
      <c r="AT84" t="s">
        <v>9</v>
      </c>
      <c r="AU84" t="s">
        <v>7526</v>
      </c>
      <c r="AV84" t="s">
        <v>7527</v>
      </c>
      <c r="AW84" t="s">
        <v>9</v>
      </c>
      <c r="AX84" t="s">
        <v>1514</v>
      </c>
      <c r="AY84" t="s">
        <v>1517</v>
      </c>
      <c r="AZ84" t="s">
        <v>1518</v>
      </c>
      <c r="BA84" t="s">
        <v>1519</v>
      </c>
      <c r="BB84" t="s">
        <v>1520</v>
      </c>
      <c r="BC84" t="s">
        <v>1074</v>
      </c>
      <c r="BD84" t="s">
        <v>1241</v>
      </c>
      <c r="BE84" t="s">
        <v>1521</v>
      </c>
      <c r="BF84" t="s">
        <v>1522</v>
      </c>
      <c r="BG84" t="s">
        <v>1523</v>
      </c>
      <c r="BH84" t="s">
        <v>1514</v>
      </c>
      <c r="BI84" t="s">
        <v>9</v>
      </c>
      <c r="BJ84" t="s">
        <v>1517</v>
      </c>
      <c r="BK84" t="s">
        <v>1515</v>
      </c>
      <c r="BL84" t="s">
        <v>9</v>
      </c>
      <c r="BM84" t="s">
        <v>1074</v>
      </c>
      <c r="BN84">
        <v>-9.7799999999999994</v>
      </c>
      <c r="BO84">
        <v>13.65</v>
      </c>
      <c r="BP84">
        <v>10.82</v>
      </c>
      <c r="BQ84">
        <v>-13.31</v>
      </c>
      <c r="BR84">
        <v>16.46</v>
      </c>
      <c r="BS84">
        <v>14.05</v>
      </c>
      <c r="BT84" t="s">
        <v>7528</v>
      </c>
      <c r="BU84" t="s">
        <v>1410</v>
      </c>
      <c r="BV84">
        <v>32.659999999999997</v>
      </c>
      <c r="BW84">
        <v>51.27</v>
      </c>
      <c r="BX84">
        <v>45.15</v>
      </c>
      <c r="BY84">
        <v>-12.56</v>
      </c>
      <c r="BZ84">
        <v>24.19</v>
      </c>
      <c r="CA84">
        <v>26.9</v>
      </c>
      <c r="CB84">
        <v>-46.43</v>
      </c>
      <c r="CC84">
        <v>-53.85</v>
      </c>
      <c r="CD84" t="s">
        <v>7529</v>
      </c>
      <c r="CE84" t="s">
        <v>1199</v>
      </c>
      <c r="CF84" s="8" t="s">
        <v>9</v>
      </c>
      <c r="CG84" s="9">
        <v>-1.6559999999999999</v>
      </c>
      <c r="CH84" s="8">
        <v>0.26380884647369385</v>
      </c>
      <c r="CI84" s="8">
        <v>0.44601312279701233</v>
      </c>
      <c r="CJ84" s="8">
        <v>0.19874273240566254</v>
      </c>
      <c r="CK84" s="8">
        <v>0.17522262036800385</v>
      </c>
      <c r="CL84" s="8">
        <v>0.19407370686531067</v>
      </c>
      <c r="CM84" s="9">
        <v>-1.8530734777450562</v>
      </c>
      <c r="CN84" s="9">
        <v>1.3159723281860352</v>
      </c>
      <c r="CO84" s="9">
        <v>-0.54669463634490967</v>
      </c>
      <c r="CP84" s="9">
        <v>0.16361416876316071</v>
      </c>
      <c r="CQ84" s="9">
        <v>0.24468085169792175</v>
      </c>
      <c r="CR84">
        <v>-43.448328524991574</v>
      </c>
      <c r="CS84">
        <v>-2.0013304690278613</v>
      </c>
      <c r="CT84">
        <v>0</v>
      </c>
      <c r="CU84" s="8">
        <v>0.21709722205996512</v>
      </c>
      <c r="CV84" s="9">
        <v>-0.50107161998748784</v>
      </c>
      <c r="CW84">
        <v>0.06</v>
      </c>
      <c r="CX84" t="e">
        <v>#VALUE!</v>
      </c>
      <c r="CY84" t="s">
        <v>109</v>
      </c>
      <c r="CZ84">
        <v>0.21709722205996512</v>
      </c>
      <c r="DA84" t="e">
        <v>#VALUE!</v>
      </c>
      <c r="DB84" t="s">
        <v>108</v>
      </c>
      <c r="DC84">
        <v>0.20624236095696685</v>
      </c>
      <c r="DD84" t="e">
        <v>#VALUE!</v>
      </c>
      <c r="DE84" t="s">
        <v>108</v>
      </c>
      <c r="DF84">
        <v>0.1910455554127693</v>
      </c>
      <c r="DG84" t="e">
        <v>#VALUE!</v>
      </c>
      <c r="DH84" t="s">
        <v>108</v>
      </c>
      <c r="DI84">
        <v>0.1736777776479721</v>
      </c>
      <c r="DJ84" t="e">
        <v>#VALUE!</v>
      </c>
      <c r="DK84" t="s">
        <v>108</v>
      </c>
      <c r="DL84">
        <v>0.15196805544197559</v>
      </c>
      <c r="DM84">
        <v>-1707000000</v>
      </c>
      <c r="DN84">
        <v>0.21709722205996512</v>
      </c>
      <c r="DO84">
        <v>7812151400</v>
      </c>
      <c r="DP84" t="e">
        <v>#VALUE!</v>
      </c>
      <c r="DQ84">
        <v>83</v>
      </c>
      <c r="DR84" t="e">
        <v>#VALUE!</v>
      </c>
      <c r="DS84">
        <v>-1.1549283800125121</v>
      </c>
      <c r="DT84" t="e">
        <v>#VALUE!</v>
      </c>
      <c r="DU84" t="e">
        <v>#VALUE!</v>
      </c>
      <c r="DV84" t="e">
        <v>#VALUE!</v>
      </c>
      <c r="DW84">
        <v>-9.8622098421541313</v>
      </c>
      <c r="DX84">
        <v>0.77378767925669067</v>
      </c>
      <c r="DY84">
        <v>-9.4429927938326497</v>
      </c>
      <c r="DZ84">
        <v>0</v>
      </c>
      <c r="EA84">
        <v>-9.4429927938326497</v>
      </c>
      <c r="EB84">
        <v>9</v>
      </c>
      <c r="EC84">
        <v>0.13809256003291795</v>
      </c>
      <c r="ED84">
        <v>0.26877358945227825</v>
      </c>
      <c r="EE84">
        <v>0</v>
      </c>
      <c r="EF84">
        <v>0</v>
      </c>
      <c r="EG84">
        <v>26.513787679256691</v>
      </c>
      <c r="EH84" t="s">
        <v>110</v>
      </c>
      <c r="EI84">
        <v>0</v>
      </c>
      <c r="EJ84">
        <v>0</v>
      </c>
      <c r="EK84">
        <v>0</v>
      </c>
      <c r="EL84">
        <v>0</v>
      </c>
      <c r="EM84">
        <v>0</v>
      </c>
      <c r="EN84">
        <v>0</v>
      </c>
      <c r="EO84">
        <v>0</v>
      </c>
      <c r="EP84">
        <v>0</v>
      </c>
    </row>
    <row r="85" spans="1:146" ht="96" x14ac:dyDescent="0.25">
      <c r="A85" s="7"/>
      <c r="B85" s="7"/>
      <c r="C85" s="7" t="str">
        <f>""&amp;CHAR(10)&amp;Basic_Fundamental_Information_Constructure(F85)&amp;CHAR(10)&amp;Basic_Fundamental_Information_Concatenate("")</f>
        <v xml:space="preserve">
市值188.98427亿, 利润-43.80亿; PE; 平均PE-1206.28; 平均PEG-163.48, PB.113; ROIC3.03%; ROE3.9%; 毛利10.54%; 净利4.42%; 上一年度营收增4.15%, 利润增-131.4%, 利润增-137.8%; 过往5年营收增7.38%, 利润增196.62%
Income profile:
</v>
      </c>
      <c r="D85" s="11">
        <v>489</v>
      </c>
      <c r="E85" t="s">
        <v>1525</v>
      </c>
      <c r="F85">
        <v>2.29</v>
      </c>
      <c r="G85" s="5">
        <v>-3.3799999999999997E-2</v>
      </c>
      <c r="H85" t="s">
        <v>7530</v>
      </c>
      <c r="I85">
        <v>18898427000</v>
      </c>
      <c r="K85">
        <v>0.113</v>
      </c>
      <c r="L85" t="s">
        <v>6350</v>
      </c>
      <c r="M85" t="s">
        <v>9</v>
      </c>
      <c r="N85" t="s">
        <v>9</v>
      </c>
      <c r="O85" t="s">
        <v>9</v>
      </c>
      <c r="P85" t="s">
        <v>9</v>
      </c>
      <c r="Q85" t="s">
        <v>7531</v>
      </c>
      <c r="R85">
        <v>-4380415200</v>
      </c>
      <c r="S85" s="5">
        <v>-1.3779999999999999</v>
      </c>
      <c r="T85" t="s">
        <v>7532</v>
      </c>
      <c r="U85">
        <v>2492200000</v>
      </c>
      <c r="V85">
        <v>8252588000</v>
      </c>
      <c r="W85" t="s">
        <v>9</v>
      </c>
      <c r="X85" t="s">
        <v>9</v>
      </c>
      <c r="Y85" t="s">
        <v>9</v>
      </c>
      <c r="Z85" t="s">
        <v>9</v>
      </c>
      <c r="AA85" t="s">
        <v>9</v>
      </c>
      <c r="AB85" t="s">
        <v>9</v>
      </c>
      <c r="AC85" t="s">
        <v>9</v>
      </c>
      <c r="AD85" t="s">
        <v>7533</v>
      </c>
      <c r="AE85" t="s">
        <v>9</v>
      </c>
      <c r="AF85" t="s">
        <v>9</v>
      </c>
      <c r="AG85" t="s">
        <v>9</v>
      </c>
      <c r="AH85" t="s">
        <v>7534</v>
      </c>
      <c r="AI85" t="s">
        <v>9</v>
      </c>
      <c r="AJ85" t="s">
        <v>9</v>
      </c>
      <c r="AK85" t="s">
        <v>7535</v>
      </c>
      <c r="AL85" t="s">
        <v>9</v>
      </c>
      <c r="AM85" t="s">
        <v>9</v>
      </c>
      <c r="AN85" s="5">
        <v>0.51729999999999998</v>
      </c>
      <c r="AO85" t="s">
        <v>9</v>
      </c>
      <c r="AP85" t="s">
        <v>7536</v>
      </c>
      <c r="AQ85" t="s">
        <v>9</v>
      </c>
      <c r="AR85" t="s">
        <v>7537</v>
      </c>
      <c r="AS85" t="s">
        <v>9</v>
      </c>
      <c r="AT85" t="s">
        <v>9</v>
      </c>
      <c r="AU85" t="s">
        <v>7538</v>
      </c>
      <c r="AV85" t="s">
        <v>2432</v>
      </c>
      <c r="AW85" t="s">
        <v>9</v>
      </c>
      <c r="AX85" t="s">
        <v>1526</v>
      </c>
      <c r="AY85" t="s">
        <v>1530</v>
      </c>
      <c r="AZ85" t="s">
        <v>1531</v>
      </c>
      <c r="BA85" t="s">
        <v>1532</v>
      </c>
      <c r="BB85" t="s">
        <v>1533</v>
      </c>
      <c r="BC85" t="s">
        <v>7539</v>
      </c>
      <c r="BD85" t="s">
        <v>1534</v>
      </c>
      <c r="BE85" t="s">
        <v>1535</v>
      </c>
      <c r="BF85" t="s">
        <v>1536</v>
      </c>
      <c r="BG85" t="s">
        <v>1537</v>
      </c>
      <c r="BH85" t="s">
        <v>1526</v>
      </c>
      <c r="BI85" t="s">
        <v>9</v>
      </c>
      <c r="BJ85" t="s">
        <v>1530</v>
      </c>
      <c r="BK85" t="s">
        <v>1527</v>
      </c>
      <c r="BL85" t="s">
        <v>9</v>
      </c>
      <c r="BM85" t="s">
        <v>7539</v>
      </c>
      <c r="BN85">
        <v>-1.9</v>
      </c>
      <c r="BO85">
        <v>5.13</v>
      </c>
      <c r="BP85">
        <v>5.86</v>
      </c>
      <c r="BQ85">
        <v>-2.62</v>
      </c>
      <c r="BR85">
        <v>6.59</v>
      </c>
      <c r="BS85">
        <v>7.73</v>
      </c>
      <c r="BT85" t="s">
        <v>7540</v>
      </c>
      <c r="BU85" t="s">
        <v>589</v>
      </c>
      <c r="BV85">
        <v>9.5299999999999994</v>
      </c>
      <c r="BW85">
        <v>9.5299999999999994</v>
      </c>
      <c r="BX85">
        <v>12.56</v>
      </c>
      <c r="BY85">
        <v>-6.86</v>
      </c>
      <c r="BZ85">
        <v>10.050000000000001</v>
      </c>
      <c r="CA85">
        <v>10.07</v>
      </c>
      <c r="CB85">
        <v>-11.58</v>
      </c>
      <c r="CC85">
        <v>-23.41</v>
      </c>
      <c r="CD85" t="s">
        <v>179</v>
      </c>
      <c r="CE85" t="s">
        <v>7541</v>
      </c>
      <c r="CF85" s="8" t="s">
        <v>9</v>
      </c>
      <c r="CG85" s="9">
        <v>-1.3779999999999999</v>
      </c>
      <c r="CH85" s="8">
        <v>4.1479732841253281E-2</v>
      </c>
      <c r="CI85" s="8">
        <v>-0.24565216898918152</v>
      </c>
      <c r="CJ85" s="8">
        <v>7.2131000459194183E-2</v>
      </c>
      <c r="CK85" s="8">
        <v>8.584170788526535E-2</v>
      </c>
      <c r="CL85" s="8">
        <v>-0.21189507842063904</v>
      </c>
      <c r="CM85" s="9">
        <v>-1.3139561414718628</v>
      </c>
      <c r="CN85" s="9">
        <v>8.8051781058311462E-2</v>
      </c>
      <c r="CO85" s="9">
        <v>-0.1076623797416687</v>
      </c>
      <c r="CP85" s="9">
        <v>-2.767627127468586E-2</v>
      </c>
      <c r="CQ85" s="9">
        <v>-0.12338355183601379</v>
      </c>
      <c r="CR85">
        <v>-1206.2825744680852</v>
      </c>
      <c r="CS85">
        <v>-163.48277407651511</v>
      </c>
      <c r="CT85" t="e">
        <v>#VALUE!</v>
      </c>
      <c r="CU85" s="8">
        <v>7.378652468323707E-2</v>
      </c>
      <c r="CV85" s="9">
        <v>1.9662445455789566</v>
      </c>
      <c r="CW85">
        <v>0.06</v>
      </c>
      <c r="CX85" t="e">
        <v>#VALUE!</v>
      </c>
      <c r="CY85" t="s">
        <v>109</v>
      </c>
      <c r="CZ85">
        <v>7.378652468323707E-2</v>
      </c>
      <c r="DA85" t="e">
        <v>#VALUE!</v>
      </c>
      <c r="DB85" t="s">
        <v>108</v>
      </c>
      <c r="DC85">
        <v>7.0097198449075207E-2</v>
      </c>
      <c r="DD85" t="e">
        <v>#VALUE!</v>
      </c>
      <c r="DE85" t="s">
        <v>108</v>
      </c>
      <c r="DF85">
        <v>6.4932141721248629E-2</v>
      </c>
      <c r="DG85" t="e">
        <v>#VALUE!</v>
      </c>
      <c r="DH85" t="s">
        <v>108</v>
      </c>
      <c r="DI85">
        <v>5.9029219746589659E-2</v>
      </c>
      <c r="DJ85" t="e">
        <v>#VALUE!</v>
      </c>
      <c r="DK85" t="s">
        <v>108</v>
      </c>
      <c r="DL85">
        <v>5.1650567278265946E-2</v>
      </c>
      <c r="DM85">
        <v>-4380000000</v>
      </c>
      <c r="DN85">
        <v>7.378652468323707E-2</v>
      </c>
      <c r="DO85">
        <v>18898427000</v>
      </c>
      <c r="DP85" t="e">
        <v>#VALUE!</v>
      </c>
      <c r="DQ85">
        <v>84</v>
      </c>
      <c r="DR85" t="e">
        <v>#VALUE!</v>
      </c>
      <c r="DS85">
        <v>-3.3442445455789565</v>
      </c>
      <c r="DT85" t="e">
        <v>#VALUE!</v>
      </c>
      <c r="DU85" t="e">
        <v>#VALUE!</v>
      </c>
      <c r="DV85" t="e">
        <v>#VALUE!</v>
      </c>
      <c r="DW85">
        <v>-9.4946604015378036</v>
      </c>
      <c r="DX85">
        <v>0.39834224598930534</v>
      </c>
      <c r="DY85">
        <v>-9.0634858269353327</v>
      </c>
      <c r="DZ85">
        <v>0</v>
      </c>
      <c r="EA85">
        <v>-9.0634858269353327</v>
      </c>
      <c r="EB85">
        <v>9</v>
      </c>
      <c r="EC85">
        <v>2.3265428978158125E-2</v>
      </c>
      <c r="ED85">
        <v>0.18127646745481538</v>
      </c>
      <c r="EE85">
        <v>0</v>
      </c>
      <c r="EF85">
        <v>0</v>
      </c>
      <c r="EG85">
        <v>27.128342245989305</v>
      </c>
      <c r="EH85" t="s">
        <v>110</v>
      </c>
      <c r="EI85">
        <v>0</v>
      </c>
      <c r="EJ85">
        <v>0</v>
      </c>
      <c r="EK85">
        <v>0</v>
      </c>
      <c r="EL85">
        <v>0</v>
      </c>
      <c r="EM85">
        <v>0</v>
      </c>
      <c r="EN85">
        <v>0</v>
      </c>
      <c r="EO85">
        <v>0</v>
      </c>
      <c r="EP85">
        <v>0</v>
      </c>
    </row>
    <row r="86" spans="1:146" ht="96" x14ac:dyDescent="0.25">
      <c r="A86" s="7"/>
      <c r="B86" s="7"/>
      <c r="C86" s="7" t="str">
        <f>""&amp;CHAR(10)&amp;Basic_Fundamental_Information_Constructure(F86)&amp;CHAR(10)&amp;Basic_Fundamental_Information_Concatenate("")</f>
        <v xml:space="preserve">
市值127.429604亿, 利润20.79亿; PE5.31; 平均PE3.69; 平均PEG.12, PB.882; ROIC14.1033%; ROE16.2%; 股利率0%; 毛利62.2633%; 净利25.9833%; 上一年度营收增11.21%, 利润增-13.48%, 利润增-13.45%; 过往5年营收增29.78%, 利润增50.59%
Income profile:
</v>
      </c>
      <c r="D86" s="11">
        <v>512</v>
      </c>
      <c r="E86" t="s">
        <v>1545</v>
      </c>
      <c r="F86">
        <v>3.59</v>
      </c>
      <c r="G86" s="5">
        <v>-1.9099999999999999E-2</v>
      </c>
      <c r="H86" t="s">
        <v>6399</v>
      </c>
      <c r="I86">
        <v>12742960400</v>
      </c>
      <c r="J86">
        <v>5.31</v>
      </c>
      <c r="K86">
        <v>0.88200000000000001</v>
      </c>
      <c r="L86" t="s">
        <v>6350</v>
      </c>
      <c r="M86" t="s">
        <v>9</v>
      </c>
      <c r="N86" t="s">
        <v>9</v>
      </c>
      <c r="O86" t="s">
        <v>9</v>
      </c>
      <c r="P86" t="s">
        <v>9</v>
      </c>
      <c r="Q86" t="s">
        <v>1546</v>
      </c>
      <c r="R86">
        <v>2079419000</v>
      </c>
      <c r="S86" s="5">
        <v>-0.13450000000000001</v>
      </c>
      <c r="T86" t="s">
        <v>1547</v>
      </c>
      <c r="U86">
        <v>3549571100</v>
      </c>
      <c r="V86">
        <v>3549571100</v>
      </c>
      <c r="W86" t="s">
        <v>9</v>
      </c>
      <c r="X86" t="s">
        <v>9</v>
      </c>
      <c r="Y86" t="s">
        <v>9</v>
      </c>
      <c r="Z86" t="s">
        <v>9</v>
      </c>
      <c r="AA86" t="s">
        <v>9</v>
      </c>
      <c r="AB86" t="s">
        <v>9</v>
      </c>
      <c r="AC86" t="s">
        <v>9</v>
      </c>
      <c r="AD86" t="s">
        <v>1548</v>
      </c>
      <c r="AE86" t="s">
        <v>9</v>
      </c>
      <c r="AF86" t="s">
        <v>9</v>
      </c>
      <c r="AG86" t="s">
        <v>9</v>
      </c>
      <c r="AH86" t="s">
        <v>1549</v>
      </c>
      <c r="AI86" t="s">
        <v>9</v>
      </c>
      <c r="AJ86" t="s">
        <v>9</v>
      </c>
      <c r="AK86" t="s">
        <v>1550</v>
      </c>
      <c r="AL86" t="s">
        <v>9</v>
      </c>
      <c r="AM86" t="s">
        <v>9</v>
      </c>
      <c r="AN86" s="5">
        <v>0.3649</v>
      </c>
      <c r="AO86" t="s">
        <v>9</v>
      </c>
      <c r="AP86" t="s">
        <v>1551</v>
      </c>
      <c r="AQ86" t="s">
        <v>9</v>
      </c>
      <c r="AR86" t="s">
        <v>1552</v>
      </c>
      <c r="AS86" t="s">
        <v>9</v>
      </c>
      <c r="AT86" t="s">
        <v>9</v>
      </c>
      <c r="AU86" t="s">
        <v>1553</v>
      </c>
      <c r="AV86" t="s">
        <v>1554</v>
      </c>
      <c r="AW86" t="s">
        <v>9</v>
      </c>
      <c r="AX86" t="s">
        <v>1555</v>
      </c>
      <c r="AY86" t="s">
        <v>1556</v>
      </c>
      <c r="AZ86" t="s">
        <v>1557</v>
      </c>
      <c r="BA86" t="s">
        <v>1558</v>
      </c>
      <c r="BB86" t="s">
        <v>1559</v>
      </c>
      <c r="BC86" t="s">
        <v>1560</v>
      </c>
      <c r="BD86" t="s">
        <v>1561</v>
      </c>
      <c r="BE86" t="s">
        <v>1562</v>
      </c>
      <c r="BF86" t="s">
        <v>1563</v>
      </c>
      <c r="BG86" t="s">
        <v>1564</v>
      </c>
      <c r="BH86" t="s">
        <v>1546</v>
      </c>
      <c r="BI86" t="s">
        <v>9</v>
      </c>
      <c r="BJ86" t="s">
        <v>1555</v>
      </c>
      <c r="BK86" t="s">
        <v>1547</v>
      </c>
      <c r="BL86" t="s">
        <v>9</v>
      </c>
      <c r="BM86" t="s">
        <v>1560</v>
      </c>
      <c r="BN86">
        <v>11.69</v>
      </c>
      <c r="BO86">
        <v>15.69</v>
      </c>
      <c r="BP86">
        <v>14.93</v>
      </c>
      <c r="BQ86">
        <v>14.71</v>
      </c>
      <c r="BR86">
        <v>17.940000000000001</v>
      </c>
      <c r="BS86">
        <v>15.95</v>
      </c>
      <c r="BT86" t="s">
        <v>1565</v>
      </c>
      <c r="BU86" t="s">
        <v>489</v>
      </c>
      <c r="BV86">
        <v>62.24</v>
      </c>
      <c r="BW86">
        <v>61.03</v>
      </c>
      <c r="BX86">
        <v>63.52</v>
      </c>
      <c r="BY86">
        <v>21.94</v>
      </c>
      <c r="BZ86">
        <v>27.97</v>
      </c>
      <c r="CA86">
        <v>28.04</v>
      </c>
      <c r="CB86">
        <v>-1.37</v>
      </c>
      <c r="CC86">
        <v>-4.2699999999999996</v>
      </c>
      <c r="CD86" t="s">
        <v>6400</v>
      </c>
      <c r="CE86" t="s">
        <v>6401</v>
      </c>
      <c r="CF86" s="8" t="s">
        <v>9</v>
      </c>
      <c r="CG86" s="9">
        <v>-0.13450000000000001</v>
      </c>
      <c r="CH86" s="8">
        <v>0.11211919039487839</v>
      </c>
      <c r="CI86" s="8">
        <v>0.35337629914283752</v>
      </c>
      <c r="CJ86" s="8">
        <v>-3.6109864711761475E-2</v>
      </c>
      <c r="CK86" s="8">
        <v>0.10624369233846664</v>
      </c>
      <c r="CL86" s="8">
        <v>0.24879488348960876</v>
      </c>
      <c r="CM86" s="9">
        <v>-0.13483145833015442</v>
      </c>
      <c r="CN86" s="9">
        <v>0.34021201729774475</v>
      </c>
      <c r="CO86" s="9">
        <v>0.55777567625045776</v>
      </c>
      <c r="CP86" s="9">
        <v>0.61430585384368896</v>
      </c>
      <c r="CQ86" s="9">
        <v>0.54663777351379395</v>
      </c>
      <c r="CR86">
        <v>3.6928981066460591</v>
      </c>
      <c r="CS86">
        <v>0.12398815215052524</v>
      </c>
      <c r="CT86">
        <v>0</v>
      </c>
      <c r="CU86" s="8">
        <v>0.29784282147884367</v>
      </c>
      <c r="CV86" s="9">
        <v>0.5058793365955353</v>
      </c>
      <c r="CW86">
        <v>0.06</v>
      </c>
      <c r="CX86">
        <v>5.0061010309962226</v>
      </c>
      <c r="CY86">
        <v>2545486062.1269021</v>
      </c>
      <c r="CZ86">
        <v>0.29784282147884367</v>
      </c>
      <c r="DA86">
        <v>1.377929639399339</v>
      </c>
      <c r="DB86">
        <v>9247903547.2049618</v>
      </c>
      <c r="DC86">
        <v>0.28295068040490146</v>
      </c>
      <c r="DD86">
        <v>0.53075647110035573</v>
      </c>
      <c r="DE86">
        <v>24009053292.523216</v>
      </c>
      <c r="DF86">
        <v>0.26210168290138242</v>
      </c>
      <c r="DG86">
        <v>0.23640873294745349</v>
      </c>
      <c r="DH86">
        <v>53902240586.147781</v>
      </c>
      <c r="DI86">
        <v>0.23827425718307493</v>
      </c>
      <c r="DJ86">
        <v>5.9004363637304401E-2</v>
      </c>
      <c r="DK86">
        <v>215966406795.43747</v>
      </c>
      <c r="DL86">
        <v>0.20848997503519057</v>
      </c>
      <c r="DM86">
        <v>2079000000</v>
      </c>
      <c r="DN86">
        <v>0.29784282147884367</v>
      </c>
      <c r="DO86">
        <v>12742960400</v>
      </c>
      <c r="DP86" t="e">
        <v>#VALUE!</v>
      </c>
      <c r="DQ86">
        <v>88</v>
      </c>
      <c r="DR86" t="e">
        <v>#VALUE!</v>
      </c>
      <c r="DS86">
        <v>-0.64037933659553525</v>
      </c>
      <c r="DT86" t="e">
        <v>#VALUE!</v>
      </c>
      <c r="DU86" t="e">
        <v>#VALUE!</v>
      </c>
      <c r="DV86" t="e">
        <v>#VALUE!</v>
      </c>
      <c r="DW86">
        <v>-1.0427</v>
      </c>
      <c r="DX86">
        <v>0.70575530212873328</v>
      </c>
      <c r="DY86">
        <v>-1.0109207514008969</v>
      </c>
      <c r="DZ86">
        <v>0</v>
      </c>
      <c r="EA86">
        <v>-1.0109207514008969</v>
      </c>
      <c r="EB86">
        <v>1</v>
      </c>
      <c r="EC86">
        <v>4.5711156483102984E-3</v>
      </c>
      <c r="ED86">
        <v>1.7873004431436801E-2</v>
      </c>
      <c r="EE86">
        <v>0</v>
      </c>
      <c r="EF86">
        <v>0</v>
      </c>
      <c r="EG86">
        <v>45.255755302128733</v>
      </c>
      <c r="EH86" t="s">
        <v>110</v>
      </c>
      <c r="EI86">
        <v>0</v>
      </c>
      <c r="EJ86">
        <v>0</v>
      </c>
      <c r="EK86">
        <v>0</v>
      </c>
      <c r="EL86">
        <v>0</v>
      </c>
      <c r="EM86">
        <v>0</v>
      </c>
      <c r="EN86">
        <v>0</v>
      </c>
      <c r="EO86">
        <v>0</v>
      </c>
      <c r="EP86">
        <v>0</v>
      </c>
    </row>
    <row r="87" spans="1:146" ht="96" x14ac:dyDescent="0.25">
      <c r="A87" s="7"/>
      <c r="B87" s="7"/>
      <c r="C87" s="7" t="str">
        <f>""&amp;CHAR(10)&amp;Basic_Fundamental_Information_Constructure(F87)&amp;CHAR(10)&amp;Basic_Fundamental_Information_Concatenate("")</f>
        <v xml:space="preserve">
市值15.31506亿, 利润-2.19亿; PE; 平均PE.42; 平均PEG.02, PB1.16; ROIC-15.55%; ROE-18.57%; 股利率0%; 毛利62.14%; 净利-4.97%; 上一年度营收增21.71%, 利润增39%, 利润增45.1%; 过往5年营收增19.09%, 利润增35.22%
Income profile:
</v>
      </c>
      <c r="D87" s="11">
        <v>520</v>
      </c>
      <c r="E87" t="s">
        <v>1566</v>
      </c>
      <c r="F87">
        <v>1.41</v>
      </c>
      <c r="G87" s="5">
        <v>-4.0800000000000003E-2</v>
      </c>
      <c r="H87" t="s">
        <v>7542</v>
      </c>
      <c r="I87">
        <v>1531506000</v>
      </c>
      <c r="K87">
        <v>1.1599999999999999</v>
      </c>
      <c r="L87" t="s">
        <v>6350</v>
      </c>
      <c r="M87" t="s">
        <v>9</v>
      </c>
      <c r="N87" t="s">
        <v>9</v>
      </c>
      <c r="O87" t="s">
        <v>9</v>
      </c>
      <c r="P87" t="s">
        <v>9</v>
      </c>
      <c r="Q87" t="s">
        <v>4928</v>
      </c>
      <c r="R87">
        <v>-218654630</v>
      </c>
      <c r="S87" s="5">
        <v>0.45100000000000001</v>
      </c>
      <c r="T87" t="s">
        <v>1748</v>
      </c>
      <c r="U87">
        <v>1086174480</v>
      </c>
      <c r="V87">
        <v>1086174480</v>
      </c>
      <c r="W87" t="s">
        <v>9</v>
      </c>
      <c r="X87" t="s">
        <v>9</v>
      </c>
      <c r="Y87" t="s">
        <v>9</v>
      </c>
      <c r="Z87" t="s">
        <v>9</v>
      </c>
      <c r="AA87" t="s">
        <v>9</v>
      </c>
      <c r="AB87" t="s">
        <v>9</v>
      </c>
      <c r="AC87" t="s">
        <v>9</v>
      </c>
      <c r="AD87" t="s">
        <v>9</v>
      </c>
      <c r="AE87" t="s">
        <v>9</v>
      </c>
      <c r="AF87" t="s">
        <v>9</v>
      </c>
      <c r="AG87" t="s">
        <v>9</v>
      </c>
      <c r="AH87" t="s">
        <v>7543</v>
      </c>
      <c r="AI87" t="s">
        <v>9</v>
      </c>
      <c r="AJ87" t="s">
        <v>9</v>
      </c>
      <c r="AK87" t="s">
        <v>7544</v>
      </c>
      <c r="AL87" t="s">
        <v>9</v>
      </c>
      <c r="AM87" t="s">
        <v>9</v>
      </c>
      <c r="AN87" s="5">
        <v>0.6915</v>
      </c>
      <c r="AO87" t="s">
        <v>9</v>
      </c>
      <c r="AP87" t="s">
        <v>167</v>
      </c>
      <c r="AQ87" t="s">
        <v>9</v>
      </c>
      <c r="AR87" t="s">
        <v>7545</v>
      </c>
      <c r="AS87" t="s">
        <v>9</v>
      </c>
      <c r="AT87" t="s">
        <v>9</v>
      </c>
      <c r="AU87" t="s">
        <v>2781</v>
      </c>
      <c r="AV87" t="s">
        <v>7546</v>
      </c>
      <c r="AW87" t="s">
        <v>9</v>
      </c>
      <c r="AX87" t="s">
        <v>1567</v>
      </c>
      <c r="AY87" t="s">
        <v>1570</v>
      </c>
      <c r="AZ87" t="s">
        <v>1571</v>
      </c>
      <c r="BA87" t="s">
        <v>1573</v>
      </c>
      <c r="BB87" t="s">
        <v>1574</v>
      </c>
      <c r="BC87" t="s">
        <v>157</v>
      </c>
      <c r="BD87" t="s">
        <v>1575</v>
      </c>
      <c r="BE87" t="s">
        <v>1576</v>
      </c>
      <c r="BF87" t="s">
        <v>1577</v>
      </c>
      <c r="BG87" t="s">
        <v>1578</v>
      </c>
      <c r="BH87" t="s">
        <v>1567</v>
      </c>
      <c r="BI87" t="s">
        <v>9</v>
      </c>
      <c r="BJ87" t="s">
        <v>1570</v>
      </c>
      <c r="BK87" t="s">
        <v>1568</v>
      </c>
      <c r="BL87" t="s">
        <v>9</v>
      </c>
      <c r="BM87" t="s">
        <v>157</v>
      </c>
      <c r="BN87">
        <v>-13.45</v>
      </c>
      <c r="BO87">
        <v>-19.82</v>
      </c>
      <c r="BP87">
        <v>-13.38</v>
      </c>
      <c r="BQ87">
        <v>-16.600000000000001</v>
      </c>
      <c r="BR87">
        <v>-24.22</v>
      </c>
      <c r="BS87">
        <v>-14.89</v>
      </c>
      <c r="BT87" t="s">
        <v>1858</v>
      </c>
      <c r="BU87" t="s">
        <v>567</v>
      </c>
      <c r="BV87">
        <v>62.58</v>
      </c>
      <c r="BW87">
        <v>61.93</v>
      </c>
      <c r="BX87">
        <v>61.91</v>
      </c>
      <c r="BY87">
        <v>-3.29</v>
      </c>
      <c r="BZ87">
        <v>-7.01</v>
      </c>
      <c r="CA87">
        <v>-4.6100000000000003</v>
      </c>
      <c r="CB87">
        <v>-5.37</v>
      </c>
      <c r="CC87">
        <v>-33.49</v>
      </c>
      <c r="CD87" t="s">
        <v>7547</v>
      </c>
      <c r="CE87" t="s">
        <v>3452</v>
      </c>
      <c r="CF87" s="8" t="s">
        <v>9</v>
      </c>
      <c r="CG87" s="9">
        <v>0.45100000000000001</v>
      </c>
      <c r="CH87" s="8">
        <v>0.2170732170343399</v>
      </c>
      <c r="CI87" s="8">
        <v>-0.29188257455825806</v>
      </c>
      <c r="CJ87" s="8">
        <v>0.15764379501342773</v>
      </c>
      <c r="CK87" s="8">
        <v>0.20630797743797302</v>
      </c>
      <c r="CL87" s="8">
        <v>0.22695201635360718</v>
      </c>
      <c r="CM87" s="9">
        <v>0.38997215032577515</v>
      </c>
      <c r="CN87" s="9">
        <v>-164.96437072753906</v>
      </c>
      <c r="CO87" s="9">
        <v>-0.99320030212402344</v>
      </c>
      <c r="CP87" s="9">
        <v>-0.38899430632591248</v>
      </c>
      <c r="CQ87" s="9">
        <v>4.56349216401577E-2</v>
      </c>
      <c r="CR87">
        <v>0.42351643084297369</v>
      </c>
      <c r="CS87">
        <v>2.2187746672597691E-2</v>
      </c>
      <c r="CT87">
        <v>0</v>
      </c>
      <c r="CU87" s="8">
        <v>0.19087852276861667</v>
      </c>
      <c r="CV87" s="9">
        <v>0.35224918127059934</v>
      </c>
      <c r="CW87">
        <v>0.06</v>
      </c>
      <c r="CX87" t="e">
        <v>#VALUE!</v>
      </c>
      <c r="CY87" t="s">
        <v>109</v>
      </c>
      <c r="CZ87">
        <v>0.19087852276861667</v>
      </c>
      <c r="DA87" t="e">
        <v>#VALUE!</v>
      </c>
      <c r="DB87" t="s">
        <v>108</v>
      </c>
      <c r="DC87">
        <v>0.18133459663018583</v>
      </c>
      <c r="DD87" t="e">
        <v>#VALUE!</v>
      </c>
      <c r="DE87" t="s">
        <v>108</v>
      </c>
      <c r="DF87">
        <v>0.16797310003638266</v>
      </c>
      <c r="DG87" t="e">
        <v>#VALUE!</v>
      </c>
      <c r="DH87" t="s">
        <v>108</v>
      </c>
      <c r="DI87">
        <v>0.15270281821489334</v>
      </c>
      <c r="DJ87" t="e">
        <v>#VALUE!</v>
      </c>
      <c r="DK87" t="s">
        <v>108</v>
      </c>
      <c r="DL87">
        <v>0.13361496593803165</v>
      </c>
      <c r="DM87">
        <v>-219000000</v>
      </c>
      <c r="DN87">
        <v>0.19087852276861667</v>
      </c>
      <c r="DO87">
        <v>1531506000</v>
      </c>
      <c r="DP87" t="e">
        <v>#VALUE!</v>
      </c>
      <c r="DQ87">
        <v>86</v>
      </c>
      <c r="DR87" t="e">
        <v>#VALUE!</v>
      </c>
      <c r="DS87">
        <v>9.8750818729400669E-2</v>
      </c>
      <c r="DT87" t="e">
        <v>#VALUE!</v>
      </c>
      <c r="DU87" t="e">
        <v>#VALUE!</v>
      </c>
      <c r="DV87" t="e">
        <v>#VALUE!</v>
      </c>
      <c r="DW87">
        <v>-8.1603463720513592</v>
      </c>
      <c r="DX87">
        <v>0.40100418604651139</v>
      </c>
      <c r="DY87">
        <v>-8.0145921910740459</v>
      </c>
      <c r="DZ87">
        <v>0</v>
      </c>
      <c r="EA87">
        <v>-8.0145921910740459</v>
      </c>
      <c r="EB87">
        <v>8</v>
      </c>
      <c r="EC87">
        <v>1.8013588387751477E-2</v>
      </c>
      <c r="ED87">
        <v>0.1979424152922466</v>
      </c>
      <c r="EE87">
        <v>0</v>
      </c>
      <c r="EF87">
        <v>0</v>
      </c>
      <c r="EG87">
        <v>31.091004186046511</v>
      </c>
      <c r="EH87" t="s">
        <v>110</v>
      </c>
      <c r="EI87">
        <v>0</v>
      </c>
      <c r="EJ87">
        <v>0</v>
      </c>
      <c r="EK87">
        <v>0</v>
      </c>
      <c r="EL87">
        <v>0</v>
      </c>
      <c r="EM87">
        <v>0</v>
      </c>
      <c r="EN87">
        <v>0</v>
      </c>
      <c r="EO87">
        <v>0</v>
      </c>
      <c r="EP87">
        <v>0</v>
      </c>
    </row>
    <row r="88" spans="1:146" ht="108" x14ac:dyDescent="0.25">
      <c r="A88" s="7"/>
      <c r="B88" s="7"/>
      <c r="C88" s="7" t="str">
        <f>""&amp;CHAR(10)&amp;Basic_Fundamental_Information_Constructure(F88)&amp;CHAR(10)&amp;Basic_Fundamental_Information_Concatenate("")</f>
        <v xml:space="preserve">
市值453.46894亿, 利润7.15亿; PE78.54; 平均PE308.48; 平均PEG11.13, PB2.89; ROIC12.36%; ROE13.9867%; 股利率0%; 毛利40.3367%; 净利10.9433%; 上一年度营收增-24.1%, 利润增-77.44%; 当季营收增-40.4%, 利润增-43.4%; 过往5年营收增27.72%, 利润增108.12%
Income profile:
</v>
      </c>
      <c r="D88" s="11">
        <v>522</v>
      </c>
      <c r="E88" t="s">
        <v>1580</v>
      </c>
      <c r="F88">
        <v>109.4</v>
      </c>
      <c r="G88" s="5">
        <v>5.8000000000000003E-2</v>
      </c>
      <c r="H88" t="s">
        <v>7548</v>
      </c>
      <c r="I88">
        <v>45346894000</v>
      </c>
      <c r="J88">
        <v>78.540000000000006</v>
      </c>
      <c r="K88">
        <v>2.89</v>
      </c>
      <c r="L88" t="s">
        <v>6350</v>
      </c>
      <c r="M88" t="s">
        <v>9</v>
      </c>
      <c r="N88" t="s">
        <v>9</v>
      </c>
      <c r="O88" t="s">
        <v>7549</v>
      </c>
      <c r="P88">
        <v>-19.88</v>
      </c>
      <c r="Q88" t="s">
        <v>7550</v>
      </c>
      <c r="R88">
        <v>715353000</v>
      </c>
      <c r="S88" s="5">
        <v>-0.434</v>
      </c>
      <c r="T88" t="s">
        <v>5783</v>
      </c>
      <c r="U88">
        <v>414505430</v>
      </c>
      <c r="V88">
        <v>414505430</v>
      </c>
      <c r="W88" t="s">
        <v>9</v>
      </c>
      <c r="X88">
        <v>0.13</v>
      </c>
      <c r="Y88">
        <v>8.15</v>
      </c>
      <c r="Z88" t="s">
        <v>1644</v>
      </c>
      <c r="AA88" t="s">
        <v>7551</v>
      </c>
      <c r="AB88" t="s">
        <v>172</v>
      </c>
      <c r="AC88" t="s">
        <v>2369</v>
      </c>
      <c r="AD88" t="s">
        <v>200</v>
      </c>
      <c r="AE88" t="s">
        <v>7552</v>
      </c>
      <c r="AF88" t="s">
        <v>9</v>
      </c>
      <c r="AG88" t="s">
        <v>7553</v>
      </c>
      <c r="AH88" t="s">
        <v>7554</v>
      </c>
      <c r="AI88" t="s">
        <v>9</v>
      </c>
      <c r="AJ88" t="s">
        <v>9</v>
      </c>
      <c r="AK88" t="s">
        <v>7555</v>
      </c>
      <c r="AL88" t="s">
        <v>9</v>
      </c>
      <c r="AM88" t="s">
        <v>9</v>
      </c>
      <c r="AN88" s="5">
        <v>0.34050000000000002</v>
      </c>
      <c r="AO88" t="s">
        <v>9</v>
      </c>
      <c r="AP88" t="s">
        <v>6683</v>
      </c>
      <c r="AQ88" t="s">
        <v>9</v>
      </c>
      <c r="AR88" t="s">
        <v>7556</v>
      </c>
      <c r="AS88" t="s">
        <v>9</v>
      </c>
      <c r="AT88" t="s">
        <v>9</v>
      </c>
      <c r="AU88" t="s">
        <v>7557</v>
      </c>
      <c r="AV88" t="s">
        <v>7558</v>
      </c>
      <c r="AW88" t="s">
        <v>9</v>
      </c>
      <c r="AX88" t="s">
        <v>1581</v>
      </c>
      <c r="AY88" t="s">
        <v>1587</v>
      </c>
      <c r="AZ88" t="s">
        <v>1588</v>
      </c>
      <c r="BA88" t="s">
        <v>1589</v>
      </c>
      <c r="BB88" t="s">
        <v>1590</v>
      </c>
      <c r="BC88" t="s">
        <v>1591</v>
      </c>
      <c r="BD88" t="s">
        <v>989</v>
      </c>
      <c r="BE88" t="s">
        <v>112</v>
      </c>
      <c r="BF88" t="s">
        <v>1592</v>
      </c>
      <c r="BG88" t="s">
        <v>1593</v>
      </c>
      <c r="BH88" t="s">
        <v>1581</v>
      </c>
      <c r="BI88" t="s">
        <v>1594</v>
      </c>
      <c r="BJ88" t="s">
        <v>1587</v>
      </c>
      <c r="BK88" t="s">
        <v>1582</v>
      </c>
      <c r="BL88" t="s">
        <v>177</v>
      </c>
      <c r="BM88" t="s">
        <v>1591</v>
      </c>
      <c r="BN88">
        <v>4.01</v>
      </c>
      <c r="BO88">
        <v>14.57</v>
      </c>
      <c r="BP88">
        <v>18.5</v>
      </c>
      <c r="BQ88">
        <v>4.5599999999999996</v>
      </c>
      <c r="BR88">
        <v>16.649999999999999</v>
      </c>
      <c r="BS88">
        <v>20.75</v>
      </c>
      <c r="BT88" t="s">
        <v>7559</v>
      </c>
      <c r="BU88" t="s">
        <v>1595</v>
      </c>
      <c r="BV88">
        <v>39.28</v>
      </c>
      <c r="BW88">
        <v>41.14</v>
      </c>
      <c r="BX88">
        <v>40.590000000000003</v>
      </c>
      <c r="BY88">
        <v>4.84</v>
      </c>
      <c r="BZ88">
        <v>13.52</v>
      </c>
      <c r="CA88">
        <v>14.47</v>
      </c>
      <c r="CB88">
        <v>9.73</v>
      </c>
      <c r="CC88">
        <v>11.46</v>
      </c>
      <c r="CD88" t="s">
        <v>7560</v>
      </c>
      <c r="CE88" t="s">
        <v>7561</v>
      </c>
      <c r="CF88" s="8">
        <v>-0.40402506170495539</v>
      </c>
      <c r="CG88" s="9">
        <v>-0.434</v>
      </c>
      <c r="CH88" s="8">
        <v>-0.24097506701946259</v>
      </c>
      <c r="CI88" s="8">
        <v>-0.11777838319540024</v>
      </c>
      <c r="CJ88" s="8">
        <v>0.49306121468544006</v>
      </c>
      <c r="CK88" s="8">
        <v>-0.24812030792236328</v>
      </c>
      <c r="CL88" s="8">
        <v>0.11573368310928345</v>
      </c>
      <c r="CM88" s="9">
        <v>-0.77437674999237061</v>
      </c>
      <c r="CN88" s="9">
        <v>0.95376074314117432</v>
      </c>
      <c r="CO88" s="9">
        <v>1.6203553676605225</v>
      </c>
      <c r="CP88" s="9">
        <v>-0.72066783905029297</v>
      </c>
      <c r="CQ88" s="9">
        <v>-0.2127886563539505</v>
      </c>
      <c r="CR88">
        <v>308.48227210884352</v>
      </c>
      <c r="CS88">
        <v>11.12830103687801</v>
      </c>
      <c r="CT88">
        <v>0</v>
      </c>
      <c r="CU88" s="8">
        <v>0.27720518261194227</v>
      </c>
      <c r="CV88" s="9">
        <v>1.0811617553234101</v>
      </c>
      <c r="CW88">
        <v>0.06</v>
      </c>
      <c r="CX88">
        <v>52.63646283941921</v>
      </c>
      <c r="CY88">
        <v>861511042.98824418</v>
      </c>
      <c r="CZ88">
        <v>0.27720518261194227</v>
      </c>
      <c r="DA88">
        <v>14.731297659956313</v>
      </c>
      <c r="DB88">
        <v>3078268802.0258551</v>
      </c>
      <c r="DC88">
        <v>0.26334492348134514</v>
      </c>
      <c r="DD88">
        <v>5.8179703574826638</v>
      </c>
      <c r="DE88">
        <v>7794280687.8825054</v>
      </c>
      <c r="DF88">
        <v>0.2439405606985092</v>
      </c>
      <c r="DG88">
        <v>2.6757836088167184</v>
      </c>
      <c r="DH88">
        <v>16947145445.760931</v>
      </c>
      <c r="DI88">
        <v>0.22176414608955383</v>
      </c>
      <c r="DJ88">
        <v>0.72492088549559452</v>
      </c>
      <c r="DK88">
        <v>62554266137.605415</v>
      </c>
      <c r="DL88">
        <v>0.19404362782835957</v>
      </c>
      <c r="DM88">
        <v>715000000</v>
      </c>
      <c r="DN88">
        <v>0.27720518261194227</v>
      </c>
      <c r="DO88">
        <v>45346894000</v>
      </c>
      <c r="DP88" t="e">
        <v>#VALUE!</v>
      </c>
      <c r="DQ88">
        <v>87</v>
      </c>
      <c r="DR88">
        <v>-0.6812302443168976</v>
      </c>
      <c r="DS88">
        <v>-1.51516175532341</v>
      </c>
      <c r="DT88">
        <v>-3.9999999999999959E-2</v>
      </c>
      <c r="DU88">
        <v>8.4999999999999951E-2</v>
      </c>
      <c r="DV88">
        <v>4.4999999999999991E-2</v>
      </c>
      <c r="DW88">
        <v>9.8490401396160561</v>
      </c>
      <c r="DX88">
        <v>1.1193765880701436</v>
      </c>
      <c r="DY88">
        <v>9.2032403317558948</v>
      </c>
      <c r="DZ88">
        <v>0</v>
      </c>
      <c r="EA88">
        <v>9.2032403317558948</v>
      </c>
      <c r="EB88">
        <v>9</v>
      </c>
      <c r="EC88">
        <v>2.6000865658141078E-2</v>
      </c>
      <c r="ED88">
        <v>0.10861908371140036</v>
      </c>
      <c r="EE88">
        <v>0</v>
      </c>
      <c r="EF88">
        <v>0</v>
      </c>
      <c r="EG88">
        <v>88.239376588070144</v>
      </c>
      <c r="EH88" t="s">
        <v>110</v>
      </c>
      <c r="EI88">
        <v>1</v>
      </c>
      <c r="EJ88">
        <v>0</v>
      </c>
      <c r="EK88">
        <v>0</v>
      </c>
      <c r="EL88">
        <v>0</v>
      </c>
      <c r="EM88">
        <v>0</v>
      </c>
      <c r="EN88">
        <v>0</v>
      </c>
      <c r="EO88">
        <v>0</v>
      </c>
      <c r="EP88">
        <v>0</v>
      </c>
    </row>
    <row r="89" spans="1:146" ht="96" x14ac:dyDescent="0.25">
      <c r="A89" s="7"/>
      <c r="B89" s="7"/>
      <c r="C89" s="7" t="str">
        <f>""&amp;CHAR(10)&amp;Basic_Fundamental_Information_Constructure(F89)&amp;CHAR(10)&amp;Basic_Fundamental_Information_Concatenate("")</f>
        <v xml:space="preserve">
市值148.75428亿, 利润11.60亿; PE11.56; 平均PE-11844.12; 平均PEG-22682.28, PB.511; ROIC-2.34%; ROE-2.4833%; 股利率0%; 毛利92.5567%; 净利-3.5967%; 上一年度营收增27.47%, 利润增197.32%; 当季营收增15.14%, 利润增27.39%; 过往5年营收增.52%, 利润增-260.8%
Income profile:
</v>
      </c>
      <c r="D89" s="11">
        <v>525</v>
      </c>
      <c r="E89" t="s">
        <v>1596</v>
      </c>
      <c r="F89">
        <v>2.1</v>
      </c>
      <c r="G89" s="5">
        <v>-2.7799999999999998E-2</v>
      </c>
      <c r="H89" t="s">
        <v>7562</v>
      </c>
      <c r="I89">
        <v>14875428000</v>
      </c>
      <c r="J89">
        <v>11.56</v>
      </c>
      <c r="K89">
        <v>0.51100000000000001</v>
      </c>
      <c r="L89" t="s">
        <v>6350</v>
      </c>
      <c r="M89" t="s">
        <v>7563</v>
      </c>
      <c r="N89" t="s">
        <v>7564</v>
      </c>
      <c r="O89" t="s">
        <v>7565</v>
      </c>
      <c r="P89">
        <v>7.39</v>
      </c>
      <c r="Q89" t="s">
        <v>7566</v>
      </c>
      <c r="R89">
        <v>1160096400</v>
      </c>
      <c r="S89" s="5">
        <v>0.27389999999999998</v>
      </c>
      <c r="T89" t="s">
        <v>7567</v>
      </c>
      <c r="U89">
        <v>1431300000</v>
      </c>
      <c r="V89">
        <v>7083537000</v>
      </c>
      <c r="W89">
        <v>1.39</v>
      </c>
      <c r="X89">
        <v>0.18</v>
      </c>
      <c r="Y89">
        <v>11.61</v>
      </c>
      <c r="Z89" t="s">
        <v>209</v>
      </c>
      <c r="AA89" t="s">
        <v>7568</v>
      </c>
      <c r="AB89" t="s">
        <v>9</v>
      </c>
      <c r="AC89" t="s">
        <v>7569</v>
      </c>
      <c r="AD89" t="s">
        <v>9</v>
      </c>
      <c r="AE89" t="s">
        <v>7570</v>
      </c>
      <c r="AF89" t="s">
        <v>9</v>
      </c>
      <c r="AG89" t="s">
        <v>7571</v>
      </c>
      <c r="AH89" t="s">
        <v>7572</v>
      </c>
      <c r="AI89" t="s">
        <v>7573</v>
      </c>
      <c r="AJ89" t="s">
        <v>7574</v>
      </c>
      <c r="AK89" t="s">
        <v>7575</v>
      </c>
      <c r="AL89" t="s">
        <v>9</v>
      </c>
      <c r="AM89" t="s">
        <v>7576</v>
      </c>
      <c r="AN89" s="5">
        <v>0.28179999999999999</v>
      </c>
      <c r="AO89" t="s">
        <v>3961</v>
      </c>
      <c r="AP89" t="s">
        <v>6070</v>
      </c>
      <c r="AQ89" t="s">
        <v>1318</v>
      </c>
      <c r="AR89" t="s">
        <v>7577</v>
      </c>
      <c r="AS89" t="s">
        <v>7578</v>
      </c>
      <c r="AT89" t="s">
        <v>1736</v>
      </c>
      <c r="AU89" t="s">
        <v>3014</v>
      </c>
      <c r="AV89" t="s">
        <v>7579</v>
      </c>
      <c r="AW89" t="s">
        <v>7580</v>
      </c>
      <c r="AX89" t="s">
        <v>1597</v>
      </c>
      <c r="AY89" t="s">
        <v>1603</v>
      </c>
      <c r="AZ89" t="s">
        <v>806</v>
      </c>
      <c r="BA89" t="s">
        <v>1604</v>
      </c>
      <c r="BB89" t="s">
        <v>1605</v>
      </c>
      <c r="BC89" t="s">
        <v>1606</v>
      </c>
      <c r="BD89" t="s">
        <v>1607</v>
      </c>
      <c r="BE89" t="s">
        <v>1153</v>
      </c>
      <c r="BF89" t="s">
        <v>1608</v>
      </c>
      <c r="BG89" t="s">
        <v>1609</v>
      </c>
      <c r="BH89" t="s">
        <v>1597</v>
      </c>
      <c r="BI89" t="s">
        <v>1610</v>
      </c>
      <c r="BJ89" t="s">
        <v>1603</v>
      </c>
      <c r="BK89" t="s">
        <v>1598</v>
      </c>
      <c r="BL89" t="s">
        <v>1611</v>
      </c>
      <c r="BM89" t="s">
        <v>1606</v>
      </c>
      <c r="BN89">
        <v>3.87</v>
      </c>
      <c r="BO89">
        <v>-7.38</v>
      </c>
      <c r="BP89">
        <v>-3.51</v>
      </c>
      <c r="BQ89">
        <v>4.01</v>
      </c>
      <c r="BR89">
        <v>-7.89</v>
      </c>
      <c r="BS89">
        <v>-3.57</v>
      </c>
      <c r="BT89" t="s">
        <v>1612</v>
      </c>
      <c r="BU89" t="s">
        <v>567</v>
      </c>
      <c r="BV89">
        <v>92.91</v>
      </c>
      <c r="BW89">
        <v>92.19</v>
      </c>
      <c r="BX89">
        <v>92.57</v>
      </c>
      <c r="BY89">
        <v>4.04</v>
      </c>
      <c r="BZ89">
        <v>-10</v>
      </c>
      <c r="CA89">
        <v>-4.83</v>
      </c>
      <c r="CB89">
        <v>-2.46</v>
      </c>
      <c r="CC89">
        <v>-3.36</v>
      </c>
      <c r="CD89" t="s">
        <v>7581</v>
      </c>
      <c r="CE89" t="s">
        <v>1434</v>
      </c>
      <c r="CF89" s="8">
        <v>0.15138731137433054</v>
      </c>
      <c r="CG89" s="9">
        <v>0.27389999999999998</v>
      </c>
      <c r="CH89" s="8">
        <v>0.27465978264808655</v>
      </c>
      <c r="CI89" s="8">
        <v>-8.8676385581493378E-2</v>
      </c>
      <c r="CJ89" s="8">
        <v>0.26845571398735046</v>
      </c>
      <c r="CK89" s="8">
        <v>-0.13837707042694092</v>
      </c>
      <c r="CL89" s="8">
        <v>2.7209103107452393E-2</v>
      </c>
      <c r="CM89" s="9">
        <v>1.9731543064117432</v>
      </c>
      <c r="CN89" s="9">
        <v>-0.7924811840057373</v>
      </c>
      <c r="CO89" s="9">
        <v>-1.7954545021057129</v>
      </c>
      <c r="CP89" s="9">
        <v>-6.3829787075519562E-2</v>
      </c>
      <c r="CQ89" s="9">
        <v>-0.26622837781906128</v>
      </c>
      <c r="CR89">
        <v>-11844.122299485112</v>
      </c>
      <c r="CS89">
        <v>-22682.279461030372</v>
      </c>
      <c r="CT89">
        <v>0</v>
      </c>
      <c r="CU89" s="8">
        <v>5.2217513322830198E-3</v>
      </c>
      <c r="CV89" s="9">
        <v>-2.6080481290817259</v>
      </c>
      <c r="CW89">
        <v>0.06</v>
      </c>
      <c r="CX89" t="s">
        <v>6351</v>
      </c>
      <c r="CY89">
        <v>1100053992.0240078</v>
      </c>
      <c r="CZ89">
        <v>5.2217513322830198E-3</v>
      </c>
      <c r="DA89" t="s">
        <v>6351</v>
      </c>
      <c r="DB89">
        <v>3130957116.147861</v>
      </c>
      <c r="DC89">
        <v>4.9606637656688683E-3</v>
      </c>
      <c r="DD89" t="s">
        <v>6351</v>
      </c>
      <c r="DE89">
        <v>5792034686.5725126</v>
      </c>
      <c r="DF89">
        <v>4.5951411724090572E-3</v>
      </c>
      <c r="DG89" t="s">
        <v>6351</v>
      </c>
      <c r="DH89">
        <v>8718938801.6452103</v>
      </c>
      <c r="DI89">
        <v>4.1774010658264162E-3</v>
      </c>
      <c r="DJ89" t="s">
        <v>6351</v>
      </c>
      <c r="DK89">
        <v>13732318384.453863</v>
      </c>
      <c r="DL89">
        <v>3.6552259325981135E-3</v>
      </c>
      <c r="DM89">
        <v>1160000000</v>
      </c>
      <c r="DN89">
        <v>5.2217513322830198E-3</v>
      </c>
      <c r="DO89">
        <v>-2793572000</v>
      </c>
      <c r="DP89" t="e">
        <v>#VALUE!</v>
      </c>
      <c r="DQ89">
        <v>88</v>
      </c>
      <c r="DR89">
        <v>0.1461655600420475</v>
      </c>
      <c r="DS89">
        <v>2.8819481290817257</v>
      </c>
      <c r="DT89">
        <v>-0.3066666666666667</v>
      </c>
      <c r="DU89">
        <v>-0.13333333333333341</v>
      </c>
      <c r="DV89">
        <v>-0.44000000000000011</v>
      </c>
      <c r="DW89">
        <v>-1.0336000000000001</v>
      </c>
      <c r="DX89">
        <v>0.30473469387754931</v>
      </c>
      <c r="DY89">
        <v>-1.0041910857142857</v>
      </c>
      <c r="DZ89">
        <v>0</v>
      </c>
      <c r="EA89">
        <v>-1.0041910857142857</v>
      </c>
      <c r="EB89">
        <v>1</v>
      </c>
      <c r="EC89">
        <v>5.1770746732882171E-3</v>
      </c>
      <c r="ED89">
        <v>4.1504688971060646E-2</v>
      </c>
      <c r="EE89">
        <v>0</v>
      </c>
      <c r="EF89">
        <v>0</v>
      </c>
      <c r="EG89">
        <v>18.124734693877549</v>
      </c>
      <c r="EH89" t="s">
        <v>110</v>
      </c>
      <c r="EI89">
        <v>0</v>
      </c>
      <c r="EJ89">
        <v>0</v>
      </c>
      <c r="EK89">
        <v>0</v>
      </c>
      <c r="EL89">
        <v>0</v>
      </c>
      <c r="EM89">
        <v>0</v>
      </c>
      <c r="EN89">
        <v>0</v>
      </c>
      <c r="EO89">
        <v>0</v>
      </c>
      <c r="EP89">
        <v>0</v>
      </c>
    </row>
    <row r="90" spans="1:146" ht="96" x14ac:dyDescent="0.25">
      <c r="A90" s="7"/>
      <c r="B90" s="7"/>
      <c r="C90" s="7" t="str">
        <f>""&amp;CHAR(10)&amp;Basic_Fundamental_Information_Constructure(F90)&amp;CHAR(10)&amp;Basic_Fundamental_Information_Concatenate("")</f>
        <v xml:space="preserve">
市值42.364901亿, 利润3.76亿; PE11.28; 平均PE3.45; 平均PEG.26, PB.172; ROIC8.4467%; ROE10.1033%; 股利率0%; 毛利21.2367%; 净利19.3767%; 上一年度营收增64.61%, 利润增-92.35%, 利润增-85.67%; 过往5年营收增13.3%, 利润增9.13%
Income profile:
</v>
      </c>
      <c r="D90" s="11">
        <v>535</v>
      </c>
      <c r="E90" t="s">
        <v>1613</v>
      </c>
      <c r="F90">
        <v>0.255</v>
      </c>
      <c r="G90" s="5">
        <v>0</v>
      </c>
      <c r="H90" t="s">
        <v>7582</v>
      </c>
      <c r="I90">
        <v>4236490100</v>
      </c>
      <c r="J90">
        <v>11.28</v>
      </c>
      <c r="K90">
        <v>0.17199999999999999</v>
      </c>
      <c r="L90" t="s">
        <v>6350</v>
      </c>
      <c r="M90" t="s">
        <v>9</v>
      </c>
      <c r="N90" t="s">
        <v>9</v>
      </c>
      <c r="O90" t="s">
        <v>9</v>
      </c>
      <c r="P90" t="s">
        <v>9</v>
      </c>
      <c r="Q90" t="s">
        <v>7583</v>
      </c>
      <c r="R90">
        <v>375687470</v>
      </c>
      <c r="S90" s="5">
        <v>-0.85670000000000002</v>
      </c>
      <c r="T90" t="s">
        <v>4836</v>
      </c>
      <c r="U90">
        <v>16613687000</v>
      </c>
      <c r="V90">
        <v>16613687000</v>
      </c>
      <c r="W90" t="s">
        <v>9</v>
      </c>
      <c r="X90" t="s">
        <v>9</v>
      </c>
      <c r="Y90" t="s">
        <v>9</v>
      </c>
      <c r="Z90" t="s">
        <v>9</v>
      </c>
      <c r="AA90" t="s">
        <v>9</v>
      </c>
      <c r="AB90" t="s">
        <v>9</v>
      </c>
      <c r="AC90" t="s">
        <v>9</v>
      </c>
      <c r="AD90" t="s">
        <v>9</v>
      </c>
      <c r="AE90" t="s">
        <v>9</v>
      </c>
      <c r="AF90" t="s">
        <v>9</v>
      </c>
      <c r="AG90" t="s">
        <v>9</v>
      </c>
      <c r="AH90" t="s">
        <v>7584</v>
      </c>
      <c r="AI90" t="s">
        <v>9</v>
      </c>
      <c r="AJ90" t="s">
        <v>9</v>
      </c>
      <c r="AK90" t="s">
        <v>7585</v>
      </c>
      <c r="AL90" t="s">
        <v>9</v>
      </c>
      <c r="AM90" t="s">
        <v>9</v>
      </c>
      <c r="AN90" s="5">
        <v>0.71079999999999999</v>
      </c>
      <c r="AO90" t="s">
        <v>9</v>
      </c>
      <c r="AP90" t="s">
        <v>7586</v>
      </c>
      <c r="AQ90" t="s">
        <v>9</v>
      </c>
      <c r="AR90" t="s">
        <v>7587</v>
      </c>
      <c r="AS90" t="s">
        <v>9</v>
      </c>
      <c r="AT90" t="s">
        <v>9</v>
      </c>
      <c r="AU90" t="s">
        <v>970</v>
      </c>
      <c r="AV90" t="s">
        <v>7588</v>
      </c>
      <c r="AW90" t="s">
        <v>9</v>
      </c>
      <c r="AX90" t="s">
        <v>1614</v>
      </c>
      <c r="AY90" t="s">
        <v>1616</v>
      </c>
      <c r="AZ90" t="s">
        <v>1617</v>
      </c>
      <c r="BA90" t="s">
        <v>1618</v>
      </c>
      <c r="BB90" t="s">
        <v>1619</v>
      </c>
      <c r="BC90" t="s">
        <v>1620</v>
      </c>
      <c r="BD90" t="s">
        <v>1621</v>
      </c>
      <c r="BE90" t="s">
        <v>1622</v>
      </c>
      <c r="BF90" t="s">
        <v>1623</v>
      </c>
      <c r="BG90" t="s">
        <v>1624</v>
      </c>
      <c r="BH90" t="s">
        <v>1614</v>
      </c>
      <c r="BI90" t="s">
        <v>9</v>
      </c>
      <c r="BJ90" t="s">
        <v>1616</v>
      </c>
      <c r="BK90" t="s">
        <v>1615</v>
      </c>
      <c r="BL90" t="s">
        <v>9</v>
      </c>
      <c r="BM90" t="s">
        <v>1620</v>
      </c>
      <c r="BN90">
        <v>1.1000000000000001</v>
      </c>
      <c r="BO90">
        <v>8.35</v>
      </c>
      <c r="BP90">
        <v>15.89</v>
      </c>
      <c r="BQ90">
        <v>1.52</v>
      </c>
      <c r="BR90">
        <v>10.32</v>
      </c>
      <c r="BS90">
        <v>18.47</v>
      </c>
      <c r="BT90" t="s">
        <v>7589</v>
      </c>
      <c r="BU90" t="s">
        <v>410</v>
      </c>
      <c r="BV90">
        <v>20.7</v>
      </c>
      <c r="BW90">
        <v>22.68</v>
      </c>
      <c r="BX90">
        <v>20.329999999999998</v>
      </c>
      <c r="BY90">
        <v>4.7699999999999996</v>
      </c>
      <c r="BZ90">
        <v>22.84</v>
      </c>
      <c r="CA90">
        <v>30.52</v>
      </c>
      <c r="CB90">
        <v>-3.77</v>
      </c>
      <c r="CC90">
        <v>-12.07</v>
      </c>
      <c r="CD90" t="s">
        <v>7590</v>
      </c>
      <c r="CE90" t="s">
        <v>1265</v>
      </c>
      <c r="CF90" s="8" t="s">
        <v>9</v>
      </c>
      <c r="CG90" s="9">
        <v>-0.85670000000000002</v>
      </c>
      <c r="CH90" s="8">
        <v>0.64610236883163452</v>
      </c>
      <c r="CI90" s="8">
        <v>-0.33087685704231262</v>
      </c>
      <c r="CJ90" s="8">
        <v>-0.13690122961997986</v>
      </c>
      <c r="CK90" s="8">
        <v>1.4967741966247559</v>
      </c>
      <c r="CL90" s="8">
        <v>0.4270537793636322</v>
      </c>
      <c r="CM90" s="9">
        <v>-0.9234994649887085</v>
      </c>
      <c r="CN90" s="9">
        <v>-5.2986573427915573E-2</v>
      </c>
      <c r="CO90" s="9">
        <v>0.22232688963413239</v>
      </c>
      <c r="CP90" s="9">
        <v>0.65536069869995117</v>
      </c>
      <c r="CQ90" s="9">
        <v>0.30203041434288025</v>
      </c>
      <c r="CR90">
        <v>3.4508472169427096</v>
      </c>
      <c r="CS90">
        <v>0.25943781853178383</v>
      </c>
      <c r="CT90">
        <v>0</v>
      </c>
      <c r="CU90" s="8">
        <v>0.13301249742507934</v>
      </c>
      <c r="CV90" s="9">
        <v>9.1305004060268397E-2</v>
      </c>
      <c r="CW90">
        <v>0.06</v>
      </c>
      <c r="CX90">
        <v>10.541186955707337</v>
      </c>
      <c r="CY90">
        <v>401898772.67153752</v>
      </c>
      <c r="CZ90">
        <v>0.13301249742507934</v>
      </c>
      <c r="DA90">
        <v>3.3221504993819702</v>
      </c>
      <c r="DB90">
        <v>1275225219.5642934</v>
      </c>
      <c r="DC90">
        <v>0.12636187255382536</v>
      </c>
      <c r="DD90">
        <v>1.5568366166846896</v>
      </c>
      <c r="DE90">
        <v>2721216892.3812175</v>
      </c>
      <c r="DF90">
        <v>0.11705099773406982</v>
      </c>
      <c r="DG90">
        <v>0.88344105283245511</v>
      </c>
      <c r="DH90">
        <v>4795441740.4728098</v>
      </c>
      <c r="DI90">
        <v>0.10640999794006348</v>
      </c>
      <c r="DJ90">
        <v>0.40153730783081193</v>
      </c>
      <c r="DK90">
        <v>10550676157.307526</v>
      </c>
      <c r="DL90">
        <v>9.3108748197555533E-2</v>
      </c>
      <c r="DM90">
        <v>376000000</v>
      </c>
      <c r="DN90">
        <v>0.13301249742507934</v>
      </c>
      <c r="DO90">
        <v>4236490100</v>
      </c>
      <c r="DP90" t="e">
        <v>#VALUE!</v>
      </c>
      <c r="DQ90">
        <v>89</v>
      </c>
      <c r="DR90" t="e">
        <v>#VALUE!</v>
      </c>
      <c r="DS90">
        <v>-0.94800500406026844</v>
      </c>
      <c r="DT90" t="e">
        <v>#VALUE!</v>
      </c>
      <c r="DU90" t="e">
        <v>#VALUE!</v>
      </c>
      <c r="DV90" t="e">
        <v>#VALUE!</v>
      </c>
      <c r="DW90">
        <v>-8.3123446561723284</v>
      </c>
      <c r="DX90">
        <v>0.43612730627306318</v>
      </c>
      <c r="DY90">
        <v>-8.0269014038649082</v>
      </c>
      <c r="DZ90">
        <v>0</v>
      </c>
      <c r="EA90">
        <v>-8.0269014038649082</v>
      </c>
      <c r="EB90">
        <v>8</v>
      </c>
      <c r="EC90">
        <v>5.6195834193818626E-3</v>
      </c>
      <c r="ED90">
        <v>6.5247407152909526E-2</v>
      </c>
      <c r="EE90">
        <v>0</v>
      </c>
      <c r="EF90">
        <v>0</v>
      </c>
      <c r="EG90">
        <v>35.086127306273063</v>
      </c>
      <c r="EH90" t="s">
        <v>110</v>
      </c>
      <c r="EI90">
        <v>0</v>
      </c>
      <c r="EJ90">
        <v>0</v>
      </c>
      <c r="EK90">
        <v>0</v>
      </c>
      <c r="EL90">
        <v>0</v>
      </c>
      <c r="EM90">
        <v>0</v>
      </c>
      <c r="EN90">
        <v>0</v>
      </c>
      <c r="EO90">
        <v>0</v>
      </c>
      <c r="EP90">
        <v>0</v>
      </c>
    </row>
    <row r="91" spans="1:146" ht="96" x14ac:dyDescent="0.25">
      <c r="A91" s="7"/>
      <c r="B91" s="7"/>
      <c r="C91" s="7" t="str">
        <f>""&amp;CHAR(10)&amp;Basic_Fundamental_Information_Constructure(F91)&amp;CHAR(10)&amp;Basic_Fundamental_Information_Concatenate("")</f>
        <v xml:space="preserve">
市值130.057699亿, 利润34.47亿; PE3.77; 平均PE26.04; 平均PEG.98, PB.685; ROIC13.69%; ROE17.7233%; 股利率0%; 毛利22.23%; 净利10.41%; 上一年度营收增-.95%, 利润增119.83%, 利润增-20.87%; 过往5年营收增26.57%, 利润增-224.61%
Income profile:
</v>
      </c>
      <c r="D91" s="11">
        <v>546</v>
      </c>
      <c r="E91" t="s">
        <v>1626</v>
      </c>
      <c r="F91">
        <v>5.16</v>
      </c>
      <c r="G91" s="5">
        <v>-3.9100000000000003E-2</v>
      </c>
      <c r="H91" t="s">
        <v>7591</v>
      </c>
      <c r="I91">
        <v>13005769900</v>
      </c>
      <c r="J91">
        <v>3.77</v>
      </c>
      <c r="K91">
        <v>0.68500000000000005</v>
      </c>
      <c r="L91" t="s">
        <v>6350</v>
      </c>
      <c r="M91" t="s">
        <v>9</v>
      </c>
      <c r="N91" t="s">
        <v>9</v>
      </c>
      <c r="O91" t="s">
        <v>9</v>
      </c>
      <c r="P91" t="s">
        <v>9</v>
      </c>
      <c r="Q91" t="s">
        <v>7592</v>
      </c>
      <c r="R91">
        <v>3446588700</v>
      </c>
      <c r="S91" s="5">
        <v>-0.2087</v>
      </c>
      <c r="T91" t="s">
        <v>4441</v>
      </c>
      <c r="U91">
        <v>2537039000</v>
      </c>
      <c r="V91">
        <v>2537039000</v>
      </c>
      <c r="W91" t="s">
        <v>9</v>
      </c>
      <c r="X91" t="s">
        <v>9</v>
      </c>
      <c r="Y91" t="s">
        <v>9</v>
      </c>
      <c r="Z91" t="s">
        <v>9</v>
      </c>
      <c r="AA91" t="s">
        <v>9</v>
      </c>
      <c r="AB91" t="s">
        <v>9</v>
      </c>
      <c r="AC91" t="s">
        <v>9</v>
      </c>
      <c r="AD91" t="s">
        <v>9</v>
      </c>
      <c r="AE91" t="s">
        <v>9</v>
      </c>
      <c r="AF91" t="s">
        <v>9</v>
      </c>
      <c r="AG91" t="s">
        <v>9</v>
      </c>
      <c r="AH91" t="s">
        <v>7593</v>
      </c>
      <c r="AI91" t="s">
        <v>9</v>
      </c>
      <c r="AJ91" t="s">
        <v>9</v>
      </c>
      <c r="AK91" t="s">
        <v>7594</v>
      </c>
      <c r="AL91" t="s">
        <v>9</v>
      </c>
      <c r="AM91" t="s">
        <v>9</v>
      </c>
      <c r="AN91" s="5">
        <v>0.46789999999999998</v>
      </c>
      <c r="AO91" t="s">
        <v>9</v>
      </c>
      <c r="AP91" t="s">
        <v>3440</v>
      </c>
      <c r="AQ91" t="s">
        <v>9</v>
      </c>
      <c r="AR91" t="s">
        <v>7595</v>
      </c>
      <c r="AS91" t="s">
        <v>9</v>
      </c>
      <c r="AT91" t="s">
        <v>9</v>
      </c>
      <c r="AU91" t="s">
        <v>1462</v>
      </c>
      <c r="AV91" t="s">
        <v>1817</v>
      </c>
      <c r="AW91" t="s">
        <v>9</v>
      </c>
      <c r="AX91" t="s">
        <v>1627</v>
      </c>
      <c r="AY91" t="s">
        <v>1630</v>
      </c>
      <c r="AZ91" t="s">
        <v>1631</v>
      </c>
      <c r="BA91" t="s">
        <v>1632</v>
      </c>
      <c r="BB91" t="s">
        <v>1633</v>
      </c>
      <c r="BC91" t="s">
        <v>1634</v>
      </c>
      <c r="BD91" t="s">
        <v>1635</v>
      </c>
      <c r="BE91" t="s">
        <v>622</v>
      </c>
      <c r="BF91" t="s">
        <v>1636</v>
      </c>
      <c r="BG91" t="s">
        <v>1637</v>
      </c>
      <c r="BH91" t="s">
        <v>1627</v>
      </c>
      <c r="BI91" t="s">
        <v>9</v>
      </c>
      <c r="BJ91" t="s">
        <v>1630</v>
      </c>
      <c r="BK91" t="s">
        <v>1628</v>
      </c>
      <c r="BL91" t="s">
        <v>9</v>
      </c>
      <c r="BM91" t="s">
        <v>1634</v>
      </c>
      <c r="BN91">
        <v>12.97</v>
      </c>
      <c r="BO91">
        <v>20.14</v>
      </c>
      <c r="BP91">
        <v>7.96</v>
      </c>
      <c r="BQ91">
        <v>18.149999999999999</v>
      </c>
      <c r="BR91">
        <v>24.92</v>
      </c>
      <c r="BS91">
        <v>10.1</v>
      </c>
      <c r="BT91" t="s">
        <v>7596</v>
      </c>
      <c r="BU91" t="s">
        <v>759</v>
      </c>
      <c r="BV91">
        <v>22.31</v>
      </c>
      <c r="BW91">
        <v>26.25</v>
      </c>
      <c r="BX91">
        <v>18.13</v>
      </c>
      <c r="BY91">
        <v>11.23</v>
      </c>
      <c r="BZ91">
        <v>14.05</v>
      </c>
      <c r="CA91">
        <v>5.95</v>
      </c>
      <c r="CB91">
        <v>-8.19</v>
      </c>
      <c r="CC91">
        <v>-12.54</v>
      </c>
      <c r="CD91" t="s">
        <v>7597</v>
      </c>
      <c r="CE91" t="s">
        <v>908</v>
      </c>
      <c r="CF91" s="8" t="s">
        <v>9</v>
      </c>
      <c r="CG91" s="9">
        <v>-0.2087</v>
      </c>
      <c r="CH91" s="8">
        <v>-9.4534158706665039E-3</v>
      </c>
      <c r="CI91" s="8">
        <v>0.17508342862129211</v>
      </c>
      <c r="CJ91" s="8">
        <v>0.32582688331604004</v>
      </c>
      <c r="CK91" s="8">
        <v>0.26939758658409119</v>
      </c>
      <c r="CL91" s="8">
        <v>2.9438196215778589E-3</v>
      </c>
      <c r="CM91" s="9">
        <v>1.1983418464660645</v>
      </c>
      <c r="CN91" s="9">
        <v>1.0878828763961792</v>
      </c>
      <c r="CO91" s="9">
        <v>-0.40912669897079468</v>
      </c>
      <c r="CP91" s="9">
        <v>-0.39504995942115784</v>
      </c>
      <c r="CQ91" s="9">
        <v>0.26795423030853271</v>
      </c>
      <c r="CR91">
        <v>26.03536823685598</v>
      </c>
      <c r="CS91">
        <v>0.97994006697368496</v>
      </c>
      <c r="CT91">
        <v>0</v>
      </c>
      <c r="CU91" s="8">
        <v>0.26568327099084854</v>
      </c>
      <c r="CV91" s="9">
        <v>-2.2460985019803048</v>
      </c>
      <c r="CW91">
        <v>0.06</v>
      </c>
      <c r="CX91">
        <v>3.1599165104798033</v>
      </c>
      <c r="CY91">
        <v>4115858712.363637</v>
      </c>
      <c r="CZ91">
        <v>0.26568327099084854</v>
      </c>
      <c r="DA91">
        <v>0.89265112994181117</v>
      </c>
      <c r="DB91">
        <v>14569824048.559486</v>
      </c>
      <c r="DC91">
        <v>0.25239910744130611</v>
      </c>
      <c r="DD91">
        <v>0.35748509075346246</v>
      </c>
      <c r="DE91">
        <v>36381293196.278648</v>
      </c>
      <c r="DF91">
        <v>0.23380127847194671</v>
      </c>
      <c r="DG91">
        <v>0.16735121224964769</v>
      </c>
      <c r="DH91">
        <v>77715420911.313889</v>
      </c>
      <c r="DI91">
        <v>0.21254661679267883</v>
      </c>
      <c r="DJ91">
        <v>4.743217867245119E-2</v>
      </c>
      <c r="DK91">
        <v>274197185623.98242</v>
      </c>
      <c r="DL91">
        <v>0.18597828969359398</v>
      </c>
      <c r="DM91">
        <v>3447000000</v>
      </c>
      <c r="DN91">
        <v>0.26568327099084854</v>
      </c>
      <c r="DO91">
        <v>13005769900</v>
      </c>
      <c r="DP91" t="e">
        <v>#VALUE!</v>
      </c>
      <c r="DQ91">
        <v>90</v>
      </c>
      <c r="DR91" t="e">
        <v>#VALUE!</v>
      </c>
      <c r="DS91">
        <v>2.0373985019803049</v>
      </c>
      <c r="DT91" t="e">
        <v>#VALUE!</v>
      </c>
      <c r="DU91" t="e">
        <v>#VALUE!</v>
      </c>
      <c r="DV91" t="e">
        <v>#VALUE!</v>
      </c>
      <c r="DW91">
        <v>-9.6531100478468908</v>
      </c>
      <c r="DX91">
        <v>0.41699298245614047</v>
      </c>
      <c r="DY91">
        <v>-9.0960025938050872</v>
      </c>
      <c r="DZ91">
        <v>0</v>
      </c>
      <c r="EA91">
        <v>-9.0960025938050872</v>
      </c>
      <c r="EB91">
        <v>9</v>
      </c>
      <c r="EC91">
        <v>6.6050226267708144E-3</v>
      </c>
      <c r="ED91">
        <v>4.4934271802680205E-2</v>
      </c>
      <c r="EE91">
        <v>0</v>
      </c>
      <c r="EF91">
        <v>0</v>
      </c>
      <c r="EG91">
        <v>27.14699298245614</v>
      </c>
      <c r="EH91" t="s">
        <v>110</v>
      </c>
      <c r="EI91">
        <v>0</v>
      </c>
      <c r="EJ91">
        <v>0</v>
      </c>
      <c r="EK91">
        <v>0</v>
      </c>
      <c r="EL91">
        <v>0</v>
      </c>
      <c r="EM91">
        <v>0</v>
      </c>
      <c r="EN91">
        <v>0</v>
      </c>
      <c r="EO91">
        <v>0</v>
      </c>
      <c r="EP91">
        <v>0</v>
      </c>
    </row>
    <row r="92" spans="1:146" ht="96" x14ac:dyDescent="0.25">
      <c r="A92" s="7"/>
      <c r="B92" s="7"/>
      <c r="C92" s="7" t="str">
        <f>""&amp;CHAR(10)&amp;Basic_Fundamental_Information_Constructure(F92)&amp;CHAR(10)&amp;Basic_Fundamental_Information_Concatenate("")</f>
        <v xml:space="preserve">
市值169.44585亿, 利润25.51亿; PE6.64; 平均PE9.51; 平均PEG7.77, PB.69; ROIC5.28%; ROE10.1433%; 股利率0%; 毛利34.01%; 净利23.9267%; 上一年度营收增-3.65%, 利润增-20.28%; 当季营收增.46%, 利润增.43%; 过往5年营收增-1.22%, 利润增-175.72%
Income profile:
</v>
      </c>
      <c r="D92" s="11">
        <v>548</v>
      </c>
      <c r="E92" t="s">
        <v>1638</v>
      </c>
      <c r="F92">
        <v>7.77</v>
      </c>
      <c r="G92" s="5">
        <v>-1.4E-2</v>
      </c>
      <c r="H92" t="s">
        <v>7598</v>
      </c>
      <c r="I92">
        <v>16944585000</v>
      </c>
      <c r="J92">
        <v>6.64</v>
      </c>
      <c r="K92">
        <v>0.69</v>
      </c>
      <c r="L92" t="s">
        <v>6350</v>
      </c>
      <c r="M92" t="s">
        <v>7599</v>
      </c>
      <c r="N92" t="s">
        <v>7600</v>
      </c>
      <c r="O92" t="s">
        <v>4895</v>
      </c>
      <c r="P92">
        <v>7.06</v>
      </c>
      <c r="Q92" t="s">
        <v>7601</v>
      </c>
      <c r="R92">
        <v>1002130270</v>
      </c>
      <c r="S92" s="5">
        <v>4.28E-3</v>
      </c>
      <c r="T92" t="s">
        <v>88</v>
      </c>
      <c r="U92">
        <v>747500000</v>
      </c>
      <c r="V92">
        <v>2180770300</v>
      </c>
      <c r="W92">
        <v>2.96</v>
      </c>
      <c r="X92">
        <v>0.03</v>
      </c>
      <c r="Y92">
        <v>31.32</v>
      </c>
      <c r="Z92" t="s">
        <v>1297</v>
      </c>
      <c r="AA92" t="s">
        <v>7602</v>
      </c>
      <c r="AB92" t="s">
        <v>7603</v>
      </c>
      <c r="AC92" t="s">
        <v>38</v>
      </c>
      <c r="AD92" t="s">
        <v>7604</v>
      </c>
      <c r="AE92" t="s">
        <v>144</v>
      </c>
      <c r="AF92" t="s">
        <v>9</v>
      </c>
      <c r="AG92" t="s">
        <v>7605</v>
      </c>
      <c r="AH92" t="s">
        <v>7606</v>
      </c>
      <c r="AI92" t="s">
        <v>7607</v>
      </c>
      <c r="AJ92" t="s">
        <v>2676</v>
      </c>
      <c r="AK92" t="s">
        <v>7608</v>
      </c>
      <c r="AL92" t="s">
        <v>9</v>
      </c>
      <c r="AM92" t="s">
        <v>7609</v>
      </c>
      <c r="AN92" s="5">
        <v>0.5786</v>
      </c>
      <c r="AO92" t="s">
        <v>3087</v>
      </c>
      <c r="AP92" t="s">
        <v>7610</v>
      </c>
      <c r="AQ92" t="s">
        <v>5342</v>
      </c>
      <c r="AR92" t="s">
        <v>7611</v>
      </c>
      <c r="AS92" t="s">
        <v>7612</v>
      </c>
      <c r="AT92" t="s">
        <v>7613</v>
      </c>
      <c r="AU92" t="s">
        <v>7614</v>
      </c>
      <c r="AV92" t="s">
        <v>7615</v>
      </c>
      <c r="AW92" t="s">
        <v>7616</v>
      </c>
      <c r="AX92" t="s">
        <v>1641</v>
      </c>
      <c r="AY92" t="s">
        <v>1648</v>
      </c>
      <c r="AZ92" t="s">
        <v>1649</v>
      </c>
      <c r="BA92" t="s">
        <v>1650</v>
      </c>
      <c r="BB92" t="s">
        <v>1651</v>
      </c>
      <c r="BC92" t="s">
        <v>4276</v>
      </c>
      <c r="BD92" t="s">
        <v>1653</v>
      </c>
      <c r="BE92" t="s">
        <v>1654</v>
      </c>
      <c r="BF92" t="s">
        <v>1209</v>
      </c>
      <c r="BG92" t="s">
        <v>1655</v>
      </c>
      <c r="BH92" t="s">
        <v>1641</v>
      </c>
      <c r="BI92" t="s">
        <v>1656</v>
      </c>
      <c r="BJ92" t="s">
        <v>1648</v>
      </c>
      <c r="BK92" t="s">
        <v>1642</v>
      </c>
      <c r="BL92" t="s">
        <v>1657</v>
      </c>
      <c r="BM92" t="s">
        <v>4276</v>
      </c>
      <c r="BN92">
        <v>4.83</v>
      </c>
      <c r="BO92">
        <v>4.33</v>
      </c>
      <c r="BP92">
        <v>6.68</v>
      </c>
      <c r="BQ92">
        <v>10.41</v>
      </c>
      <c r="BR92">
        <v>9.44</v>
      </c>
      <c r="BS92">
        <v>10.58</v>
      </c>
      <c r="BT92" t="s">
        <v>1658</v>
      </c>
      <c r="BU92" t="s">
        <v>687</v>
      </c>
      <c r="BV92">
        <v>35.71</v>
      </c>
      <c r="BW92">
        <v>31.92</v>
      </c>
      <c r="BX92">
        <v>34.4</v>
      </c>
      <c r="BY92">
        <v>25.78</v>
      </c>
      <c r="BZ92">
        <v>20.93</v>
      </c>
      <c r="CA92">
        <v>25.07</v>
      </c>
      <c r="CB92">
        <v>-2.39</v>
      </c>
      <c r="CC92">
        <v>1.44</v>
      </c>
      <c r="CD92" t="s">
        <v>7617</v>
      </c>
      <c r="CE92" t="s">
        <v>7618</v>
      </c>
      <c r="CF92" s="8">
        <v>4.5955882352941178E-3</v>
      </c>
      <c r="CG92" s="9">
        <v>4.28E-3</v>
      </c>
      <c r="CH92" s="8">
        <v>-3.6474164575338364E-2</v>
      </c>
      <c r="CI92" s="8">
        <v>-0.20471368730068207</v>
      </c>
      <c r="CJ92" s="8">
        <v>0.39538317918777466</v>
      </c>
      <c r="CK92" s="8">
        <v>0.43481546640396118</v>
      </c>
      <c r="CL92" s="8">
        <v>5.8427993208169937E-2</v>
      </c>
      <c r="CM92" s="9">
        <v>-0.20281247794628143</v>
      </c>
      <c r="CN92" s="9">
        <v>0.30665582418441772</v>
      </c>
      <c r="CO92" s="9">
        <v>-0.39185500144958496</v>
      </c>
      <c r="CP92" s="9">
        <v>2.8082748875021935E-2</v>
      </c>
      <c r="CQ92" s="9">
        <v>1.3610607385635376</v>
      </c>
      <c r="CR92">
        <v>9.5149751988769307</v>
      </c>
      <c r="CS92">
        <v>7.77234105922025</v>
      </c>
      <c r="CT92">
        <v>0</v>
      </c>
      <c r="CU92" s="8">
        <v>-1.2242096848785878E-2</v>
      </c>
      <c r="CV92" s="9">
        <v>-1.75723370090127</v>
      </c>
      <c r="CW92">
        <v>0.06</v>
      </c>
      <c r="CX92">
        <v>11.121750294002352</v>
      </c>
      <c r="CY92" t="s">
        <v>7619</v>
      </c>
      <c r="CZ92">
        <v>-1.2242096848785878E-2</v>
      </c>
      <c r="DA92">
        <v>3.7072500980007841</v>
      </c>
      <c r="DB92" t="s">
        <v>7620</v>
      </c>
      <c r="DC92">
        <v>-1.1629992006346583E-2</v>
      </c>
      <c r="DD92">
        <v>1.853625049000392</v>
      </c>
      <c r="DE92" t="s">
        <v>7621</v>
      </c>
      <c r="DF92">
        <v>-1.0773045226931573E-2</v>
      </c>
      <c r="DG92">
        <v>1.1121750294002353</v>
      </c>
      <c r="DH92" t="s">
        <v>7622</v>
      </c>
      <c r="DI92">
        <v>-9.7936774790287028E-3</v>
      </c>
      <c r="DJ92">
        <v>0.55608751470011764</v>
      </c>
      <c r="DK92" t="s">
        <v>7623</v>
      </c>
      <c r="DL92">
        <v>-8.5694677941501145E-3</v>
      </c>
      <c r="DM92">
        <v>2551000000</v>
      </c>
      <c r="DN92">
        <v>-1.2242096848785878E-2</v>
      </c>
      <c r="DO92">
        <v>28371585000</v>
      </c>
      <c r="DP92" t="e">
        <v>#VALUE!</v>
      </c>
      <c r="DQ92">
        <v>91</v>
      </c>
      <c r="DR92">
        <v>1.6837685084079995E-2</v>
      </c>
      <c r="DS92">
        <v>1.76151370090127</v>
      </c>
      <c r="DT92">
        <v>-0.60666666666666669</v>
      </c>
      <c r="DU92">
        <v>-0.38000000000000006</v>
      </c>
      <c r="DV92">
        <v>-0.9866666666666668</v>
      </c>
      <c r="DW92">
        <v>1.44E-2</v>
      </c>
      <c r="DX92">
        <v>0.61258017855949132</v>
      </c>
      <c r="DY92">
        <v>2.0531545712566624E-3</v>
      </c>
      <c r="DZ92">
        <v>0</v>
      </c>
      <c r="EA92">
        <v>2.0531545712566624E-3</v>
      </c>
      <c r="EB92">
        <v>0</v>
      </c>
      <c r="EC92">
        <v>3.2273000049569639E-3</v>
      </c>
      <c r="ED92">
        <v>2.2634983611066237E-2</v>
      </c>
      <c r="EE92">
        <v>0</v>
      </c>
      <c r="EF92">
        <v>0</v>
      </c>
      <c r="EG92">
        <v>47.142580178559491</v>
      </c>
      <c r="EH92" t="s">
        <v>110</v>
      </c>
      <c r="EI92">
        <v>0</v>
      </c>
      <c r="EJ92">
        <v>0</v>
      </c>
      <c r="EK92">
        <v>0</v>
      </c>
      <c r="EL92">
        <v>0</v>
      </c>
      <c r="EM92">
        <v>0</v>
      </c>
      <c r="EN92">
        <v>0</v>
      </c>
      <c r="EO92">
        <v>0</v>
      </c>
      <c r="EP92">
        <v>0</v>
      </c>
    </row>
    <row r="93" spans="1:146" ht="96" x14ac:dyDescent="0.25">
      <c r="A93" s="7"/>
      <c r="B93" s="7"/>
      <c r="C93" s="7" t="str">
        <f>""&amp;CHAR(10)&amp;Basic_Fundamental_Information_Constructure(F93)&amp;CHAR(10)&amp;Basic_Fundamental_Information_Concatenate("")</f>
        <v xml:space="preserve">
市值250.53339亿, 利润21.46亿; PE9.91; 平均PE15.68; 平均PEG.4, PB.756; ROIC4.08%; ROE5.4533%; 毛利24.0767%; 净利2.95%; 上一年度营收增-12.01%, 利润增139.24%, 利润增-7.27%; 过往5年营收增38.86%, 利润增36.65%
Income profile:
</v>
      </c>
      <c r="D93" s="11">
        <v>551</v>
      </c>
      <c r="E93" t="s">
        <v>1659</v>
      </c>
      <c r="F93">
        <v>15.54</v>
      </c>
      <c r="G93" s="5">
        <v>-6.4000000000000003E-3</v>
      </c>
      <c r="H93" t="s">
        <v>7624</v>
      </c>
      <c r="I93">
        <v>25053339000</v>
      </c>
      <c r="J93">
        <v>9.91</v>
      </c>
      <c r="K93">
        <v>0.75600000000000001</v>
      </c>
      <c r="L93" t="s">
        <v>6350</v>
      </c>
      <c r="M93" t="s">
        <v>9</v>
      </c>
      <c r="N93" t="s">
        <v>9</v>
      </c>
      <c r="O93" t="s">
        <v>9</v>
      </c>
      <c r="P93" t="s">
        <v>9</v>
      </c>
      <c r="Q93" t="s">
        <v>7625</v>
      </c>
      <c r="R93">
        <v>2145759800</v>
      </c>
      <c r="S93" s="5">
        <v>-7.2700000000000001E-2</v>
      </c>
      <c r="T93" t="s">
        <v>4531</v>
      </c>
      <c r="U93">
        <v>1612184000</v>
      </c>
      <c r="V93">
        <v>1612184000</v>
      </c>
      <c r="W93" t="s">
        <v>9</v>
      </c>
      <c r="X93" t="s">
        <v>9</v>
      </c>
      <c r="Y93" t="s">
        <v>9</v>
      </c>
      <c r="Z93" t="s">
        <v>9</v>
      </c>
      <c r="AA93" t="s">
        <v>9</v>
      </c>
      <c r="AB93" t="s">
        <v>9</v>
      </c>
      <c r="AC93" t="s">
        <v>9</v>
      </c>
      <c r="AD93" t="s">
        <v>3962</v>
      </c>
      <c r="AE93" t="s">
        <v>9</v>
      </c>
      <c r="AF93" t="s">
        <v>9</v>
      </c>
      <c r="AG93" t="s">
        <v>9</v>
      </c>
      <c r="AH93" t="s">
        <v>7626</v>
      </c>
      <c r="AI93" t="s">
        <v>9</v>
      </c>
      <c r="AJ93" t="s">
        <v>9</v>
      </c>
      <c r="AK93" t="s">
        <v>7627</v>
      </c>
      <c r="AL93" t="s">
        <v>9</v>
      </c>
      <c r="AM93" t="s">
        <v>9</v>
      </c>
      <c r="AN93" s="5">
        <v>0.3599</v>
      </c>
      <c r="AO93" t="s">
        <v>9</v>
      </c>
      <c r="AP93" t="s">
        <v>7628</v>
      </c>
      <c r="AQ93" t="s">
        <v>9</v>
      </c>
      <c r="AR93" t="s">
        <v>7629</v>
      </c>
      <c r="AS93" t="s">
        <v>9</v>
      </c>
      <c r="AT93" t="s">
        <v>9</v>
      </c>
      <c r="AU93" t="s">
        <v>7630</v>
      </c>
      <c r="AV93" t="s">
        <v>7631</v>
      </c>
      <c r="AW93" t="s">
        <v>9</v>
      </c>
      <c r="AX93" t="s">
        <v>1660</v>
      </c>
      <c r="AY93" t="s">
        <v>1663</v>
      </c>
      <c r="AZ93" t="s">
        <v>1664</v>
      </c>
      <c r="BA93" t="s">
        <v>1665</v>
      </c>
      <c r="BB93" t="s">
        <v>1666</v>
      </c>
      <c r="BC93" t="s">
        <v>447</v>
      </c>
      <c r="BD93" t="s">
        <v>1667</v>
      </c>
      <c r="BE93" t="s">
        <v>1668</v>
      </c>
      <c r="BF93" t="s">
        <v>1669</v>
      </c>
      <c r="BG93" t="s">
        <v>1670</v>
      </c>
      <c r="BH93" t="s">
        <v>1660</v>
      </c>
      <c r="BI93" t="s">
        <v>1671</v>
      </c>
      <c r="BJ93" t="s">
        <v>1663</v>
      </c>
      <c r="BK93" t="s">
        <v>1362</v>
      </c>
      <c r="BL93" t="s">
        <v>1672</v>
      </c>
      <c r="BM93" t="s">
        <v>447</v>
      </c>
      <c r="BN93">
        <v>5.07</v>
      </c>
      <c r="BO93">
        <v>5.18</v>
      </c>
      <c r="BP93">
        <v>1.99</v>
      </c>
      <c r="BQ93">
        <v>6.48</v>
      </c>
      <c r="BR93">
        <v>7.07</v>
      </c>
      <c r="BS93">
        <v>2.81</v>
      </c>
      <c r="BT93" t="s">
        <v>7632</v>
      </c>
      <c r="BU93" t="s">
        <v>1004</v>
      </c>
      <c r="BV93">
        <v>24.4</v>
      </c>
      <c r="BW93">
        <v>23.83</v>
      </c>
      <c r="BX93">
        <v>24</v>
      </c>
      <c r="BY93">
        <v>3.92</v>
      </c>
      <c r="BZ93">
        <v>3.27</v>
      </c>
      <c r="CA93">
        <v>1.66</v>
      </c>
      <c r="CB93">
        <v>7.32</v>
      </c>
      <c r="CC93">
        <v>4.0199999999999996</v>
      </c>
      <c r="CD93" t="s">
        <v>7633</v>
      </c>
      <c r="CE93" t="s">
        <v>2049</v>
      </c>
      <c r="CF93" s="8" t="s">
        <v>9</v>
      </c>
      <c r="CG93" s="9">
        <v>-7.2700000000000001E-2</v>
      </c>
      <c r="CH93" s="8">
        <v>-0.12007425725460052</v>
      </c>
      <c r="CI93" s="8">
        <v>5.2552498877048492E-2</v>
      </c>
      <c r="CJ93" s="8">
        <v>1.6327133402228355E-2</v>
      </c>
      <c r="CK93" s="8">
        <v>-0.13796687126159668</v>
      </c>
      <c r="CL93" s="8">
        <v>6.5632998943328857E-2</v>
      </c>
      <c r="CM93" s="9">
        <v>1.3924190998077393</v>
      </c>
      <c r="CN93" s="9">
        <v>2.2741477489471436</v>
      </c>
      <c r="CO93" s="9">
        <v>-1.3008546829223633</v>
      </c>
      <c r="CP93" s="9">
        <v>-2.7431473135948181E-2</v>
      </c>
      <c r="CQ93" s="9">
        <v>-0.40695092082023621</v>
      </c>
      <c r="CR93">
        <v>15.677934292866082</v>
      </c>
      <c r="CS93">
        <v>0.40346525639460185</v>
      </c>
      <c r="CT93" t="e">
        <v>#VALUE!</v>
      </c>
      <c r="CU93" s="8">
        <v>0.38858201652765273</v>
      </c>
      <c r="CV93" s="9">
        <v>0.36645613014698031</v>
      </c>
      <c r="CW93">
        <v>0.06</v>
      </c>
      <c r="CX93">
        <v>8.9118983889184378</v>
      </c>
      <c r="CY93">
        <v>2811223591.9512668</v>
      </c>
      <c r="CZ93">
        <v>0.38858201652765273</v>
      </c>
      <c r="DA93">
        <v>2.2824018101110988</v>
      </c>
      <c r="DB93">
        <v>10976743397.684433</v>
      </c>
      <c r="DC93">
        <v>0.36915291570127007</v>
      </c>
      <c r="DD93">
        <v>0.78691777100148197</v>
      </c>
      <c r="DE93">
        <v>31837302350.047981</v>
      </c>
      <c r="DF93">
        <v>0.34195217454433441</v>
      </c>
      <c r="DG93">
        <v>0.30330616847079567</v>
      </c>
      <c r="DH93">
        <v>82600822549.417755</v>
      </c>
      <c r="DI93">
        <v>0.31086561322212219</v>
      </c>
      <c r="DJ93">
        <v>5.2107343873202469E-2</v>
      </c>
      <c r="DK93">
        <v>480802457729.65448</v>
      </c>
      <c r="DL93">
        <v>0.27200741156935687</v>
      </c>
      <c r="DM93">
        <v>2146000000</v>
      </c>
      <c r="DN93">
        <v>0.38858201652765273</v>
      </c>
      <c r="DO93">
        <v>25053339000</v>
      </c>
      <c r="DP93" t="e">
        <v>#VALUE!</v>
      </c>
      <c r="DQ93">
        <v>92</v>
      </c>
      <c r="DR93" t="e">
        <v>#VALUE!</v>
      </c>
      <c r="DS93">
        <v>-0.43915613014698029</v>
      </c>
      <c r="DT93" t="e">
        <v>#VALUE!</v>
      </c>
      <c r="DU93">
        <v>0.95000000000000007</v>
      </c>
      <c r="DV93" t="e">
        <v>#VALUE!</v>
      </c>
      <c r="DW93">
        <v>5.5491803278688527</v>
      </c>
      <c r="DX93">
        <v>0.40526725663716762</v>
      </c>
      <c r="DY93">
        <v>5.1127287393007395</v>
      </c>
      <c r="DZ93">
        <v>0</v>
      </c>
      <c r="EA93">
        <v>5.1127287393007395</v>
      </c>
      <c r="EB93">
        <v>5</v>
      </c>
      <c r="EC93">
        <v>1.4387439647087429E-2</v>
      </c>
      <c r="ED93">
        <v>7.0091255092470828E-2</v>
      </c>
      <c r="EE93">
        <v>0</v>
      </c>
      <c r="EF93">
        <v>0</v>
      </c>
      <c r="EG93">
        <v>20.205267256637168</v>
      </c>
      <c r="EH93" t="s">
        <v>110</v>
      </c>
      <c r="EI93">
        <v>1</v>
      </c>
      <c r="EJ93">
        <v>0</v>
      </c>
      <c r="EK93">
        <v>0</v>
      </c>
      <c r="EL93">
        <v>0</v>
      </c>
      <c r="EM93">
        <v>0</v>
      </c>
      <c r="EN93">
        <v>0</v>
      </c>
      <c r="EO93">
        <v>0</v>
      </c>
      <c r="EP93">
        <v>0</v>
      </c>
    </row>
    <row r="94" spans="1:146" ht="96" x14ac:dyDescent="0.25">
      <c r="A94" s="7"/>
      <c r="B94" s="7"/>
      <c r="C94" s="7" t="str">
        <f>""&amp;CHAR(10)&amp;Basic_Fundamental_Information_Constructure(F94)&amp;CHAR(10)&amp;Basic_Fundamental_Information_Concatenate("")</f>
        <v xml:space="preserve">
市值289.50757亿, 利润39.29亿; PE7.37; 平均PE22.26; 平均PEG1.82, PB.62; ROIC8.3533%; ROE8.32%; 股利率0%; 毛利11.33%; 净利2.4533%; 上一年度营收增2.6%, 利润增1.63%, 利润增3.68%; 过往5年营收增-12.24%, 利润增-18.37%
Income profile:
</v>
      </c>
      <c r="D94" s="11">
        <v>552</v>
      </c>
      <c r="E94" t="s">
        <v>1673</v>
      </c>
      <c r="F94">
        <v>4.18</v>
      </c>
      <c r="G94" s="5">
        <v>-1.18E-2</v>
      </c>
      <c r="H94" t="s">
        <v>7634</v>
      </c>
      <c r="I94">
        <v>28950757000</v>
      </c>
      <c r="J94">
        <v>7.37</v>
      </c>
      <c r="K94">
        <v>0.62</v>
      </c>
      <c r="L94" t="s">
        <v>6350</v>
      </c>
      <c r="M94" t="s">
        <v>9</v>
      </c>
      <c r="N94" t="s">
        <v>9</v>
      </c>
      <c r="O94" t="s">
        <v>9</v>
      </c>
      <c r="P94" t="s">
        <v>9</v>
      </c>
      <c r="Q94" t="s">
        <v>7635</v>
      </c>
      <c r="R94">
        <v>3929209400</v>
      </c>
      <c r="S94" s="5">
        <v>3.6799999999999999E-2</v>
      </c>
      <c r="T94" t="s">
        <v>4117</v>
      </c>
      <c r="U94">
        <v>2391420200</v>
      </c>
      <c r="V94">
        <v>6926018400</v>
      </c>
      <c r="W94" t="s">
        <v>9</v>
      </c>
      <c r="X94" t="s">
        <v>9</v>
      </c>
      <c r="Y94" t="s">
        <v>9</v>
      </c>
      <c r="Z94" t="s">
        <v>9</v>
      </c>
      <c r="AA94" t="s">
        <v>9</v>
      </c>
      <c r="AB94" t="s">
        <v>9</v>
      </c>
      <c r="AC94" t="s">
        <v>9</v>
      </c>
      <c r="AD94" t="s">
        <v>1319</v>
      </c>
      <c r="AE94" t="s">
        <v>9</v>
      </c>
      <c r="AF94" t="s">
        <v>9</v>
      </c>
      <c r="AG94" t="s">
        <v>9</v>
      </c>
      <c r="AH94" t="s">
        <v>7636</v>
      </c>
      <c r="AI94" t="s">
        <v>9</v>
      </c>
      <c r="AJ94" t="s">
        <v>9</v>
      </c>
      <c r="AK94" t="s">
        <v>7637</v>
      </c>
      <c r="AL94" t="s">
        <v>9</v>
      </c>
      <c r="AM94" t="s">
        <v>9</v>
      </c>
      <c r="AN94" s="5">
        <v>0.64149999999999996</v>
      </c>
      <c r="AO94" t="s">
        <v>9</v>
      </c>
      <c r="AP94" t="s">
        <v>7638</v>
      </c>
      <c r="AQ94" t="s">
        <v>9</v>
      </c>
      <c r="AR94" t="s">
        <v>7639</v>
      </c>
      <c r="AS94" t="s">
        <v>9</v>
      </c>
      <c r="AT94" t="s">
        <v>9</v>
      </c>
      <c r="AU94" t="s">
        <v>7640</v>
      </c>
      <c r="AV94" t="s">
        <v>3784</v>
      </c>
      <c r="AW94" t="s">
        <v>9</v>
      </c>
      <c r="AX94" t="s">
        <v>7641</v>
      </c>
      <c r="AY94" t="s">
        <v>1675</v>
      </c>
      <c r="AZ94" t="s">
        <v>1676</v>
      </c>
      <c r="BA94" t="s">
        <v>1677</v>
      </c>
      <c r="BB94" t="s">
        <v>1678</v>
      </c>
      <c r="BC94" t="s">
        <v>1679</v>
      </c>
      <c r="BD94" t="s">
        <v>1680</v>
      </c>
      <c r="BE94" t="s">
        <v>1681</v>
      </c>
      <c r="BF94" t="s">
        <v>1682</v>
      </c>
      <c r="BG94" t="s">
        <v>1683</v>
      </c>
      <c r="BH94" t="s">
        <v>7641</v>
      </c>
      <c r="BI94" t="s">
        <v>9</v>
      </c>
      <c r="BJ94" t="s">
        <v>1675</v>
      </c>
      <c r="BK94" t="s">
        <v>1674</v>
      </c>
      <c r="BL94" t="s">
        <v>9</v>
      </c>
      <c r="BM94" t="s">
        <v>1679</v>
      </c>
      <c r="BN94">
        <v>8.4700000000000006</v>
      </c>
      <c r="BO94">
        <v>8.35</v>
      </c>
      <c r="BP94">
        <v>8.24</v>
      </c>
      <c r="BQ94">
        <v>8.42</v>
      </c>
      <c r="BR94">
        <v>8.32</v>
      </c>
      <c r="BS94">
        <v>8.2200000000000006</v>
      </c>
      <c r="BT94" t="s">
        <v>7642</v>
      </c>
      <c r="BU94" t="s">
        <v>1093</v>
      </c>
      <c r="BV94">
        <v>11.61</v>
      </c>
      <c r="BW94">
        <v>11.35</v>
      </c>
      <c r="BX94">
        <v>11.03</v>
      </c>
      <c r="BY94">
        <v>2.5099999999999998</v>
      </c>
      <c r="BZ94">
        <v>2.4700000000000002</v>
      </c>
      <c r="CA94">
        <v>2.38</v>
      </c>
      <c r="CB94">
        <v>-0.71</v>
      </c>
      <c r="CC94">
        <v>7.46</v>
      </c>
      <c r="CD94" t="s">
        <v>7643</v>
      </c>
      <c r="CE94" t="s">
        <v>1154</v>
      </c>
      <c r="CF94" s="8" t="s">
        <v>9</v>
      </c>
      <c r="CG94" s="9">
        <v>3.6799999999999999E-2</v>
      </c>
      <c r="CH94" s="8">
        <v>2.6036482304334641E-2</v>
      </c>
      <c r="CI94" s="8">
        <v>-3.2272402197122574E-2</v>
      </c>
      <c r="CJ94" s="8">
        <v>0.12235867977142334</v>
      </c>
      <c r="CK94" s="8">
        <v>0.20920978486537933</v>
      </c>
      <c r="CL94" s="8">
        <v>6.6235676407814026E-2</v>
      </c>
      <c r="CM94" s="9">
        <v>1.6295930370688438E-2</v>
      </c>
      <c r="CN94" s="9">
        <v>5.2545584738254547E-2</v>
      </c>
      <c r="CO94" s="9">
        <v>7.7758200466632843E-2</v>
      </c>
      <c r="CP94" s="9">
        <v>3.1789261847734451E-2</v>
      </c>
      <c r="CQ94" s="9">
        <v>1.5058369375765324E-2</v>
      </c>
      <c r="CR94">
        <v>22.255546700832802</v>
      </c>
      <c r="CS94">
        <v>1.817927177188694</v>
      </c>
      <c r="CT94">
        <v>0</v>
      </c>
      <c r="CU94" s="8">
        <v>-0.12242265245877207</v>
      </c>
      <c r="CV94" s="9">
        <v>-0.18367650210857392</v>
      </c>
      <c r="CW94">
        <v>0.06</v>
      </c>
      <c r="CX94">
        <v>7.368479765843726</v>
      </c>
      <c r="CY94" t="s">
        <v>7644</v>
      </c>
      <c r="CZ94">
        <v>-0.12242265245877207</v>
      </c>
      <c r="DA94">
        <v>2.4561599219479087</v>
      </c>
      <c r="DB94" t="s">
        <v>7645</v>
      </c>
      <c r="DC94">
        <v>-0.11630151983583346</v>
      </c>
      <c r="DD94">
        <v>1.2280799609739543</v>
      </c>
      <c r="DE94" t="s">
        <v>7646</v>
      </c>
      <c r="DF94">
        <v>-0.10773193416371941</v>
      </c>
      <c r="DG94">
        <v>0.73684797658437262</v>
      </c>
      <c r="DH94" t="s">
        <v>7647</v>
      </c>
      <c r="DI94">
        <v>-9.7938121967017663E-2</v>
      </c>
      <c r="DJ94">
        <v>0.36842398829218631</v>
      </c>
      <c r="DK94" t="s">
        <v>7648</v>
      </c>
      <c r="DL94">
        <v>-8.569585672114044E-2</v>
      </c>
      <c r="DM94">
        <v>3929000000</v>
      </c>
      <c r="DN94">
        <v>-0.12242265245877207</v>
      </c>
      <c r="DO94">
        <v>28950757000</v>
      </c>
      <c r="DP94" t="e">
        <v>#VALUE!</v>
      </c>
      <c r="DQ94">
        <v>93</v>
      </c>
      <c r="DR94" t="e">
        <v>#VALUE!</v>
      </c>
      <c r="DS94">
        <v>0.22047650210857392</v>
      </c>
      <c r="DT94" t="e">
        <v>#VALUE!</v>
      </c>
      <c r="DU94" t="e">
        <v>#VALUE!</v>
      </c>
      <c r="DV94" t="e">
        <v>#VALUE!</v>
      </c>
      <c r="DW94">
        <v>2.0746000000000002</v>
      </c>
      <c r="DX94">
        <v>0.50569460431654778</v>
      </c>
      <c r="DY94">
        <v>2.0168368174820146</v>
      </c>
      <c r="DZ94">
        <v>0</v>
      </c>
      <c r="EA94">
        <v>2.0168368174820146</v>
      </c>
      <c r="EB94">
        <v>2</v>
      </c>
      <c r="EC94">
        <v>9.0590432159406344E-3</v>
      </c>
      <c r="ED94">
        <v>4.0138501509034398E-2</v>
      </c>
      <c r="EE94">
        <v>0</v>
      </c>
      <c r="EF94">
        <v>0</v>
      </c>
      <c r="EG94">
        <v>28.225694604316548</v>
      </c>
      <c r="EH94" t="s">
        <v>110</v>
      </c>
      <c r="EI94">
        <v>1</v>
      </c>
      <c r="EJ94">
        <v>0</v>
      </c>
      <c r="EK94">
        <v>0</v>
      </c>
      <c r="EL94">
        <v>0</v>
      </c>
      <c r="EM94">
        <v>0</v>
      </c>
      <c r="EN94">
        <v>0</v>
      </c>
      <c r="EO94">
        <v>0</v>
      </c>
      <c r="EP94">
        <v>0</v>
      </c>
    </row>
    <row r="95" spans="1:146" ht="108" x14ac:dyDescent="0.25">
      <c r="A95" s="7"/>
      <c r="B95" s="7"/>
      <c r="C95" s="7" t="str">
        <f>""&amp;CHAR(10)&amp;Basic_Fundamental_Information_Constructure(F95)&amp;CHAR(10)&amp;Basic_Fundamental_Information_Concatenate("")</f>
        <v xml:space="preserve">
市值21.475205亿, 利润-2.61亿; PE; 平均PE-13.78; 平均PEG-.47, PB.611; ROIC-1.5133%; ROE-1.6233%; 股利率0%; 毛利14.24%; 净利-.9933%; 上一年度营收增-32.04%, 利润增-608.36%; 当季营收增-60.26%, 利润增-42.59%; 过往5年营收增29.33%, 利润增-260%
Income profile:
</v>
      </c>
      <c r="D95" s="11">
        <v>553</v>
      </c>
      <c r="E95" t="s">
        <v>1685</v>
      </c>
      <c r="F95">
        <v>2.35</v>
      </c>
      <c r="G95" s="5">
        <v>-1.26E-2</v>
      </c>
      <c r="H95" t="s">
        <v>7649</v>
      </c>
      <c r="I95">
        <v>2147520500</v>
      </c>
      <c r="K95">
        <v>0.61099999999999999</v>
      </c>
      <c r="L95" t="s">
        <v>6350</v>
      </c>
      <c r="M95" t="s">
        <v>7650</v>
      </c>
      <c r="N95" t="s">
        <v>7651</v>
      </c>
      <c r="O95" t="s">
        <v>3455</v>
      </c>
      <c r="P95">
        <v>-13.28</v>
      </c>
      <c r="Q95" t="s">
        <v>6284</v>
      </c>
      <c r="R95">
        <v>-260744580</v>
      </c>
      <c r="S95" s="5">
        <v>-0.4259</v>
      </c>
      <c r="T95" t="s">
        <v>7652</v>
      </c>
      <c r="U95">
        <v>242000000</v>
      </c>
      <c r="V95">
        <v>913838530</v>
      </c>
      <c r="W95">
        <v>1.63</v>
      </c>
      <c r="X95">
        <v>0.09</v>
      </c>
      <c r="Y95">
        <v>-5.97</v>
      </c>
      <c r="Z95" t="s">
        <v>7653</v>
      </c>
      <c r="AA95" t="s">
        <v>190</v>
      </c>
      <c r="AB95" t="s">
        <v>7654</v>
      </c>
      <c r="AC95" t="s">
        <v>80</v>
      </c>
      <c r="AD95" t="s">
        <v>568</v>
      </c>
      <c r="AE95" t="s">
        <v>7655</v>
      </c>
      <c r="AF95" t="s">
        <v>9</v>
      </c>
      <c r="AG95" t="s">
        <v>7656</v>
      </c>
      <c r="AH95" t="s">
        <v>7657</v>
      </c>
      <c r="AI95" t="s">
        <v>3197</v>
      </c>
      <c r="AJ95" t="s">
        <v>1249</v>
      </c>
      <c r="AK95" t="s">
        <v>7658</v>
      </c>
      <c r="AL95" t="s">
        <v>9</v>
      </c>
      <c r="AM95" t="s">
        <v>3752</v>
      </c>
      <c r="AN95" s="5">
        <v>0.3347</v>
      </c>
      <c r="AO95" t="s">
        <v>7659</v>
      </c>
      <c r="AP95" t="s">
        <v>5096</v>
      </c>
      <c r="AQ95" t="s">
        <v>3441</v>
      </c>
      <c r="AR95" t="s">
        <v>1871</v>
      </c>
      <c r="AS95" t="s">
        <v>5487</v>
      </c>
      <c r="AT95" t="s">
        <v>9</v>
      </c>
      <c r="AU95" t="s">
        <v>7660</v>
      </c>
      <c r="AV95" t="s">
        <v>7661</v>
      </c>
      <c r="AW95" t="s">
        <v>34</v>
      </c>
      <c r="AX95" t="s">
        <v>1229</v>
      </c>
      <c r="AY95" t="s">
        <v>1693</v>
      </c>
      <c r="AZ95" t="s">
        <v>1694</v>
      </c>
      <c r="BA95" t="s">
        <v>1696</v>
      </c>
      <c r="BB95" t="s">
        <v>1697</v>
      </c>
      <c r="BC95" t="s">
        <v>1698</v>
      </c>
      <c r="BD95" t="s">
        <v>1699</v>
      </c>
      <c r="BE95" t="s">
        <v>1700</v>
      </c>
      <c r="BF95" t="s">
        <v>1075</v>
      </c>
      <c r="BG95" t="s">
        <v>1701</v>
      </c>
      <c r="BH95" t="s">
        <v>1229</v>
      </c>
      <c r="BI95" t="s">
        <v>1702</v>
      </c>
      <c r="BJ95" t="s">
        <v>1693</v>
      </c>
      <c r="BK95" t="s">
        <v>1687</v>
      </c>
      <c r="BL95" t="s">
        <v>1703</v>
      </c>
      <c r="BM95" t="s">
        <v>1698</v>
      </c>
      <c r="BN95">
        <v>-6.87</v>
      </c>
      <c r="BO95">
        <v>1.1399999999999999</v>
      </c>
      <c r="BP95">
        <v>1.19</v>
      </c>
      <c r="BQ95">
        <v>-7.2</v>
      </c>
      <c r="BR95">
        <v>1.1399999999999999</v>
      </c>
      <c r="BS95">
        <v>1.19</v>
      </c>
      <c r="BT95" t="s">
        <v>4097</v>
      </c>
      <c r="BU95" t="s">
        <v>1093</v>
      </c>
      <c r="BV95">
        <v>16.920000000000002</v>
      </c>
      <c r="BW95">
        <v>13.63</v>
      </c>
      <c r="BX95">
        <v>12.17</v>
      </c>
      <c r="BY95">
        <v>-6.73</v>
      </c>
      <c r="BZ95">
        <v>1.97</v>
      </c>
      <c r="CA95">
        <v>1.78</v>
      </c>
      <c r="CB95">
        <v>-4.08</v>
      </c>
      <c r="CC95">
        <v>-14.23</v>
      </c>
      <c r="CD95" t="s">
        <v>7662</v>
      </c>
      <c r="CE95" t="s">
        <v>7663</v>
      </c>
      <c r="CF95" s="8">
        <v>-0.60261337432744044</v>
      </c>
      <c r="CG95" s="9">
        <v>-0.4259</v>
      </c>
      <c r="CH95" s="8">
        <v>-0.32044672966003418</v>
      </c>
      <c r="CI95" s="8">
        <v>-0.15697987377643585</v>
      </c>
      <c r="CJ95" s="8">
        <v>0.18012815713882446</v>
      </c>
      <c r="CK95" s="8">
        <v>-8.2532867789268494E-2</v>
      </c>
      <c r="CL95" s="8">
        <v>1.4922467991709709E-2</v>
      </c>
      <c r="CM95" s="9">
        <v>-6.0836067199707031</v>
      </c>
      <c r="CN95" s="9">
        <v>-0.44288188219070435</v>
      </c>
      <c r="CO95" s="9">
        <v>0.56606662273406982</v>
      </c>
      <c r="CP95" s="9">
        <v>-0.68018913269042969</v>
      </c>
      <c r="CQ95" s="9">
        <v>0.42635658383369446</v>
      </c>
      <c r="CR95">
        <v>-13.782382272463705</v>
      </c>
      <c r="CS95">
        <v>-0.4699349419759653</v>
      </c>
      <c r="CT95">
        <v>0</v>
      </c>
      <c r="CU95" s="8">
        <v>0.29328277260065078</v>
      </c>
      <c r="CV95" s="9">
        <v>-2.6000353783369063</v>
      </c>
      <c r="CW95">
        <v>0.06</v>
      </c>
      <c r="CX95" t="e">
        <v>#VALUE!</v>
      </c>
      <c r="CY95" t="s">
        <v>109</v>
      </c>
      <c r="CZ95">
        <v>0.29328277260065078</v>
      </c>
      <c r="DA95" t="e">
        <v>#VALUE!</v>
      </c>
      <c r="DB95" t="s">
        <v>108</v>
      </c>
      <c r="DC95">
        <v>0.2786186339706182</v>
      </c>
      <c r="DD95" t="e">
        <v>#VALUE!</v>
      </c>
      <c r="DE95" t="s">
        <v>108</v>
      </c>
      <c r="DF95">
        <v>0.25808883988857267</v>
      </c>
      <c r="DG95" t="e">
        <v>#VALUE!</v>
      </c>
      <c r="DH95" t="s">
        <v>108</v>
      </c>
      <c r="DI95">
        <v>0.23462621808052064</v>
      </c>
      <c r="DJ95" t="e">
        <v>#VALUE!</v>
      </c>
      <c r="DK95" t="s">
        <v>108</v>
      </c>
      <c r="DL95">
        <v>0.20529794082045552</v>
      </c>
      <c r="DM95">
        <v>-261000000</v>
      </c>
      <c r="DN95">
        <v>0.29328277260065078</v>
      </c>
      <c r="DO95">
        <v>252520500</v>
      </c>
      <c r="DP95" t="e">
        <v>#VALUE!</v>
      </c>
      <c r="DQ95">
        <v>94</v>
      </c>
      <c r="DR95">
        <v>-0.89589614692809127</v>
      </c>
      <c r="DS95">
        <v>2.1741353783369064</v>
      </c>
      <c r="DT95">
        <v>5.9999999999999908E-2</v>
      </c>
      <c r="DU95">
        <v>-2.3149999999999999</v>
      </c>
      <c r="DV95">
        <v>-2.2549999999999999</v>
      </c>
      <c r="DW95">
        <v>-8.2867182009838363</v>
      </c>
      <c r="DX95">
        <v>0.2327626221315387</v>
      </c>
      <c r="DY95">
        <v>-8.015128004096745</v>
      </c>
      <c r="DZ95">
        <v>0</v>
      </c>
      <c r="EA95">
        <v>-8.015128004096745</v>
      </c>
      <c r="EB95">
        <v>8</v>
      </c>
      <c r="EC95">
        <v>5.1387634093300926E-3</v>
      </c>
      <c r="ED95">
        <v>9.7394011171754821E-2</v>
      </c>
      <c r="EE95">
        <v>0</v>
      </c>
      <c r="EF95">
        <v>0</v>
      </c>
      <c r="EG95">
        <v>18.052762622131539</v>
      </c>
      <c r="EH95" t="s">
        <v>110</v>
      </c>
      <c r="EI95">
        <v>0</v>
      </c>
      <c r="EJ95">
        <v>0</v>
      </c>
      <c r="EK95">
        <v>0</v>
      </c>
      <c r="EL95">
        <v>0</v>
      </c>
      <c r="EM95">
        <v>0</v>
      </c>
      <c r="EN95">
        <v>0</v>
      </c>
      <c r="EO95">
        <v>0</v>
      </c>
      <c r="EP95">
        <v>0</v>
      </c>
    </row>
    <row r="96" spans="1:146" ht="96" x14ac:dyDescent="0.25">
      <c r="A96" s="7"/>
      <c r="B96" s="7"/>
      <c r="C96" s="7" t="str">
        <f>""&amp;CHAR(10)&amp;Basic_Fundamental_Information_Constructure(F96)&amp;CHAR(10)&amp;Basic_Fundamental_Information_Concatenate("")</f>
        <v xml:space="preserve">
市值43.933406亿, 利润5.32亿; PE9.42; 平均PE53.56; 平均PEG4.7, PB1.15; ROIC11.5067%; ROE14.8833%; 股利率0%; 毛利28.0067%; 净利9.7467%; 上一年度营收增9.96%, 利润增54.65%, 利润增-24.33%; 过往5年营收增11.38%, 利润增-65.8%
Income profile:
</v>
      </c>
      <c r="D96" s="11">
        <v>558</v>
      </c>
      <c r="E96" t="s">
        <v>1705</v>
      </c>
      <c r="F96">
        <v>3.22</v>
      </c>
      <c r="G96" s="5">
        <v>-3.0099999999999998E-2</v>
      </c>
      <c r="H96" t="s">
        <v>7664</v>
      </c>
      <c r="I96">
        <v>4393340600</v>
      </c>
      <c r="J96">
        <v>9.42</v>
      </c>
      <c r="K96">
        <v>1.1499999999999999</v>
      </c>
      <c r="L96" t="s">
        <v>6350</v>
      </c>
      <c r="M96" t="s">
        <v>9</v>
      </c>
      <c r="N96" t="s">
        <v>9</v>
      </c>
      <c r="O96" t="s">
        <v>9</v>
      </c>
      <c r="P96" t="s">
        <v>9</v>
      </c>
      <c r="Q96" t="s">
        <v>7665</v>
      </c>
      <c r="R96">
        <v>205202000</v>
      </c>
      <c r="S96" s="5">
        <v>-0.24329999999999999</v>
      </c>
      <c r="T96" t="s">
        <v>1548</v>
      </c>
      <c r="U96">
        <v>1364391500</v>
      </c>
      <c r="V96">
        <v>1364391500</v>
      </c>
      <c r="W96" t="s">
        <v>9</v>
      </c>
      <c r="X96" t="s">
        <v>9</v>
      </c>
      <c r="Y96" t="s">
        <v>9</v>
      </c>
      <c r="Z96" t="s">
        <v>9</v>
      </c>
      <c r="AA96" t="s">
        <v>9</v>
      </c>
      <c r="AB96" t="s">
        <v>9</v>
      </c>
      <c r="AC96" t="s">
        <v>9</v>
      </c>
      <c r="AD96" t="s">
        <v>7666</v>
      </c>
      <c r="AE96" t="s">
        <v>9</v>
      </c>
      <c r="AF96" t="s">
        <v>9</v>
      </c>
      <c r="AG96" t="s">
        <v>9</v>
      </c>
      <c r="AH96" t="s">
        <v>7667</v>
      </c>
      <c r="AI96" t="s">
        <v>9</v>
      </c>
      <c r="AJ96" t="s">
        <v>9</v>
      </c>
      <c r="AK96" t="s">
        <v>7668</v>
      </c>
      <c r="AL96" t="s">
        <v>9</v>
      </c>
      <c r="AM96" t="s">
        <v>9</v>
      </c>
      <c r="AN96" s="5">
        <v>0.55769999999999997</v>
      </c>
      <c r="AO96" t="s">
        <v>9</v>
      </c>
      <c r="AP96" t="s">
        <v>7669</v>
      </c>
      <c r="AQ96" t="s">
        <v>9</v>
      </c>
      <c r="AR96" t="s">
        <v>7670</v>
      </c>
      <c r="AS96" t="s">
        <v>9</v>
      </c>
      <c r="AT96" t="s">
        <v>9</v>
      </c>
      <c r="AU96" t="s">
        <v>7671</v>
      </c>
      <c r="AV96" t="s">
        <v>2039</v>
      </c>
      <c r="AW96" t="s">
        <v>9</v>
      </c>
      <c r="AX96" t="s">
        <v>1706</v>
      </c>
      <c r="AY96" t="s">
        <v>1711</v>
      </c>
      <c r="AZ96" t="s">
        <v>1712</v>
      </c>
      <c r="BA96" t="s">
        <v>1714</v>
      </c>
      <c r="BB96" t="s">
        <v>1715</v>
      </c>
      <c r="BC96" t="s">
        <v>50</v>
      </c>
      <c r="BD96" t="s">
        <v>1716</v>
      </c>
      <c r="BE96" t="s">
        <v>1717</v>
      </c>
      <c r="BF96" t="s">
        <v>625</v>
      </c>
      <c r="BG96" t="s">
        <v>27</v>
      </c>
      <c r="BH96" t="s">
        <v>1706</v>
      </c>
      <c r="BI96" t="s">
        <v>9</v>
      </c>
      <c r="BJ96" t="s">
        <v>1711</v>
      </c>
      <c r="BK96" t="s">
        <v>1707</v>
      </c>
      <c r="BL96" t="s">
        <v>9</v>
      </c>
      <c r="BM96" t="s">
        <v>50</v>
      </c>
      <c r="BN96">
        <v>10.35</v>
      </c>
      <c r="BO96">
        <v>14.86</v>
      </c>
      <c r="BP96">
        <v>9.31</v>
      </c>
      <c r="BQ96">
        <v>13.8</v>
      </c>
      <c r="BR96">
        <v>16.89</v>
      </c>
      <c r="BS96">
        <v>13.96</v>
      </c>
      <c r="BT96" t="s">
        <v>3583</v>
      </c>
      <c r="BU96" t="s">
        <v>589</v>
      </c>
      <c r="BV96">
        <v>27.08</v>
      </c>
      <c r="BW96">
        <v>29.21</v>
      </c>
      <c r="BX96">
        <v>27.73</v>
      </c>
      <c r="BY96">
        <v>9.0299999999999994</v>
      </c>
      <c r="BZ96">
        <v>11.66</v>
      </c>
      <c r="CA96">
        <v>8.5500000000000007</v>
      </c>
      <c r="CB96">
        <v>-7.74</v>
      </c>
      <c r="CC96">
        <v>-28.92</v>
      </c>
      <c r="CD96" t="s">
        <v>7672</v>
      </c>
      <c r="CE96" t="s">
        <v>814</v>
      </c>
      <c r="CF96" s="8" t="s">
        <v>9</v>
      </c>
      <c r="CG96" s="9">
        <v>-0.24329999999999999</v>
      </c>
      <c r="CH96" s="8">
        <v>9.9589735269546509E-2</v>
      </c>
      <c r="CI96" s="8">
        <v>0.33349913358688354</v>
      </c>
      <c r="CJ96" s="8">
        <v>0.46431177854537964</v>
      </c>
      <c r="CK96" s="8">
        <v>-0.26360955834388733</v>
      </c>
      <c r="CL96" s="8">
        <v>0.1562790721654892</v>
      </c>
      <c r="CM96" s="9">
        <v>0.54651165008544922</v>
      </c>
      <c r="CN96" s="9">
        <v>103.94203186035156</v>
      </c>
      <c r="CO96" s="9">
        <v>-0.98283767700195313</v>
      </c>
      <c r="CP96" s="9">
        <v>-0.21074379980564117</v>
      </c>
      <c r="CQ96" s="9">
        <v>0.76642334461212158</v>
      </c>
      <c r="CR96">
        <v>53.556718116383273</v>
      </c>
      <c r="CS96">
        <v>4.7041857963389537</v>
      </c>
      <c r="CT96">
        <v>0</v>
      </c>
      <c r="CU96" s="8">
        <v>0.11384907066822052</v>
      </c>
      <c r="CV96" s="9">
        <v>-0.65804301500320439</v>
      </c>
      <c r="CW96">
        <v>0.06</v>
      </c>
      <c r="CX96">
        <v>7.8589180477192349</v>
      </c>
      <c r="CY96">
        <v>559026137.35423887</v>
      </c>
      <c r="CZ96">
        <v>0.11384907066822052</v>
      </c>
      <c r="DA96">
        <v>2.5170145113035427</v>
      </c>
      <c r="DB96">
        <v>1745457000.8516645</v>
      </c>
      <c r="DC96">
        <v>0.10815661713480948</v>
      </c>
      <c r="DD96">
        <v>1.2058488476611642</v>
      </c>
      <c r="DE96">
        <v>3643359288.7874951</v>
      </c>
      <c r="DF96">
        <v>0.10018718218803406</v>
      </c>
      <c r="DG96">
        <v>0.70203831916738468</v>
      </c>
      <c r="DH96">
        <v>6257978346.8379459</v>
      </c>
      <c r="DI96">
        <v>9.1079256534576422E-2</v>
      </c>
      <c r="DJ96">
        <v>0.33842468258387332</v>
      </c>
      <c r="DK96">
        <v>12981738112.175606</v>
      </c>
      <c r="DL96">
        <v>7.9694349467754361E-2</v>
      </c>
      <c r="DM96">
        <v>532000000</v>
      </c>
      <c r="DN96">
        <v>0.11384907066822052</v>
      </c>
      <c r="DO96">
        <v>4393340600</v>
      </c>
      <c r="DP96" t="e">
        <v>#VALUE!</v>
      </c>
      <c r="DQ96">
        <v>95</v>
      </c>
      <c r="DR96" t="e">
        <v>#VALUE!</v>
      </c>
      <c r="DS96">
        <v>0.41474301500320443</v>
      </c>
      <c r="DT96" t="e">
        <v>#VALUE!</v>
      </c>
      <c r="DU96" t="e">
        <v>#VALUE!</v>
      </c>
      <c r="DV96" t="e">
        <v>#VALUE!</v>
      </c>
      <c r="DW96">
        <v>-9.2676348547717851</v>
      </c>
      <c r="DX96">
        <v>0.31739655172413661</v>
      </c>
      <c r="DY96">
        <v>-9.0233903634282449</v>
      </c>
      <c r="DZ96">
        <v>0</v>
      </c>
      <c r="EA96">
        <v>-9.0233903634282449</v>
      </c>
      <c r="EB96">
        <v>9</v>
      </c>
      <c r="EC96">
        <v>9.2880232689810799E-3</v>
      </c>
      <c r="ED96">
        <v>0.106274482067647</v>
      </c>
      <c r="EE96">
        <v>0</v>
      </c>
      <c r="EF96">
        <v>0</v>
      </c>
      <c r="EG96">
        <v>23.087396551724137</v>
      </c>
      <c r="EH96" t="s">
        <v>110</v>
      </c>
      <c r="EI96">
        <v>0</v>
      </c>
      <c r="EJ96">
        <v>0</v>
      </c>
      <c r="EK96">
        <v>0</v>
      </c>
      <c r="EL96">
        <v>0</v>
      </c>
      <c r="EM96">
        <v>0</v>
      </c>
      <c r="EN96">
        <v>0</v>
      </c>
      <c r="EO96">
        <v>0</v>
      </c>
      <c r="EP96">
        <v>0</v>
      </c>
    </row>
    <row r="97" spans="1:146" ht="96" x14ac:dyDescent="0.25">
      <c r="A97" s="7"/>
      <c r="B97" s="7"/>
      <c r="C97" s="7" t="str">
        <f>""&amp;CHAR(10)&amp;Basic_Fundamental_Information_Constructure(F97)&amp;CHAR(10)&amp;Basic_Fundamental_Information_Concatenate("")</f>
        <v xml:space="preserve">
市值187.48148亿, 利润36.19亿; PE4.87; 平均PE25.28; 平均PEG2.33, PB.812; ROIC11.22%; ROE14.5367%; 股利率0%; 毛利20.94%; 净利8.2933%; 上一年度营收增10.45%, 利润增51.74%; 当季营收增4.42%, 利润增25.59%; 过往5年营收增10.87%, 利润增-6%
Income profile:
</v>
      </c>
      <c r="D97" s="11">
        <v>564</v>
      </c>
      <c r="E97" t="s">
        <v>1718</v>
      </c>
      <c r="F97">
        <v>10.5</v>
      </c>
      <c r="G97" s="5">
        <v>-3.49E-2</v>
      </c>
      <c r="H97" t="s">
        <v>7673</v>
      </c>
      <c r="I97">
        <v>18748148000</v>
      </c>
      <c r="J97">
        <v>4.87</v>
      </c>
      <c r="K97">
        <v>0.81200000000000006</v>
      </c>
      <c r="L97" t="s">
        <v>6350</v>
      </c>
      <c r="M97" t="s">
        <v>7674</v>
      </c>
      <c r="N97" t="s">
        <v>7675</v>
      </c>
      <c r="O97" t="s">
        <v>7676</v>
      </c>
      <c r="P97">
        <v>4.92</v>
      </c>
      <c r="Q97" t="s">
        <v>7677</v>
      </c>
      <c r="R97">
        <v>2649636200</v>
      </c>
      <c r="S97" s="5">
        <v>0.25590000000000002</v>
      </c>
      <c r="T97" t="s">
        <v>5825</v>
      </c>
      <c r="U97">
        <v>243234200</v>
      </c>
      <c r="V97">
        <v>1785537900</v>
      </c>
      <c r="W97">
        <v>2.31</v>
      </c>
      <c r="X97">
        <v>0.2</v>
      </c>
      <c r="Y97">
        <v>14.45</v>
      </c>
      <c r="Z97" t="s">
        <v>5427</v>
      </c>
      <c r="AA97" t="s">
        <v>5636</v>
      </c>
      <c r="AB97" t="s">
        <v>5336</v>
      </c>
      <c r="AC97" t="s">
        <v>3301</v>
      </c>
      <c r="AD97" t="s">
        <v>7070</v>
      </c>
      <c r="AE97" t="s">
        <v>7678</v>
      </c>
      <c r="AF97" t="s">
        <v>9</v>
      </c>
      <c r="AG97" t="s">
        <v>760</v>
      </c>
      <c r="AH97" t="s">
        <v>7679</v>
      </c>
      <c r="AI97" t="s">
        <v>7680</v>
      </c>
      <c r="AJ97" t="s">
        <v>7681</v>
      </c>
      <c r="AK97" t="s">
        <v>7682</v>
      </c>
      <c r="AL97" t="s">
        <v>9</v>
      </c>
      <c r="AM97" t="s">
        <v>7683</v>
      </c>
      <c r="AN97" s="5">
        <v>0.5333</v>
      </c>
      <c r="AO97" t="s">
        <v>7684</v>
      </c>
      <c r="AP97" t="s">
        <v>7685</v>
      </c>
      <c r="AQ97" t="s">
        <v>7686</v>
      </c>
      <c r="AR97" t="s">
        <v>7687</v>
      </c>
      <c r="AS97" t="s">
        <v>7688</v>
      </c>
      <c r="AT97" t="s">
        <v>4668</v>
      </c>
      <c r="AU97" t="s">
        <v>3956</v>
      </c>
      <c r="AV97" t="s">
        <v>7689</v>
      </c>
      <c r="AW97" t="s">
        <v>7690</v>
      </c>
      <c r="AX97" t="s">
        <v>1720</v>
      </c>
      <c r="AY97" t="s">
        <v>1727</v>
      </c>
      <c r="AZ97" t="s">
        <v>1728</v>
      </c>
      <c r="BA97" t="s">
        <v>1729</v>
      </c>
      <c r="BB97" t="s">
        <v>1730</v>
      </c>
      <c r="BC97" t="s">
        <v>1731</v>
      </c>
      <c r="BD97" t="s">
        <v>1732</v>
      </c>
      <c r="BE97" t="s">
        <v>862</v>
      </c>
      <c r="BF97" t="s">
        <v>1733</v>
      </c>
      <c r="BG97" t="s">
        <v>1734</v>
      </c>
      <c r="BH97" t="s">
        <v>1720</v>
      </c>
      <c r="BI97" t="s">
        <v>1735</v>
      </c>
      <c r="BJ97" t="s">
        <v>1727</v>
      </c>
      <c r="BK97" t="s">
        <v>1721</v>
      </c>
      <c r="BL97" t="s">
        <v>1736</v>
      </c>
      <c r="BM97" t="s">
        <v>1731</v>
      </c>
      <c r="BN97">
        <v>12.45</v>
      </c>
      <c r="BO97">
        <v>11.04</v>
      </c>
      <c r="BP97">
        <v>10.17</v>
      </c>
      <c r="BQ97">
        <v>16.2</v>
      </c>
      <c r="BR97">
        <v>14.25</v>
      </c>
      <c r="BS97">
        <v>13.16</v>
      </c>
      <c r="BT97" t="s">
        <v>1737</v>
      </c>
      <c r="BU97" t="s">
        <v>861</v>
      </c>
      <c r="BV97">
        <v>21.55</v>
      </c>
      <c r="BW97">
        <v>19.97</v>
      </c>
      <c r="BX97">
        <v>21.3</v>
      </c>
      <c r="BY97">
        <v>9.61</v>
      </c>
      <c r="BZ97">
        <v>8.1999999999999993</v>
      </c>
      <c r="CA97">
        <v>7.07</v>
      </c>
      <c r="CB97">
        <v>-5.41</v>
      </c>
      <c r="CC97">
        <v>-18.079999999999998</v>
      </c>
      <c r="CD97" t="s">
        <v>7691</v>
      </c>
      <c r="CE97" t="s">
        <v>7692</v>
      </c>
      <c r="CF97" s="8">
        <v>4.4198895027624308E-2</v>
      </c>
      <c r="CG97" s="9">
        <v>0.25590000000000002</v>
      </c>
      <c r="CH97" s="8">
        <v>0.10454250872135162</v>
      </c>
      <c r="CI97" s="8">
        <v>7.7501987107098103E-3</v>
      </c>
      <c r="CJ97" s="8">
        <v>0.13483923673629761</v>
      </c>
      <c r="CK97" s="8">
        <v>6.7224904894828796E-2</v>
      </c>
      <c r="CL97" s="8">
        <v>2.2733199596405029</v>
      </c>
      <c r="CM97" s="9">
        <v>0.51740050315856934</v>
      </c>
      <c r="CN97" s="9">
        <v>0.61475968360900879</v>
      </c>
      <c r="CO97" s="9">
        <v>0.27108427882194519</v>
      </c>
      <c r="CP97" s="9">
        <v>0.22573839128017426</v>
      </c>
      <c r="CQ97" s="9">
        <v>1.7800586223602295</v>
      </c>
      <c r="CR97">
        <v>25.27840179775281</v>
      </c>
      <c r="CS97">
        <v>2.3258737499540874</v>
      </c>
      <c r="CT97">
        <v>0</v>
      </c>
      <c r="CU97" s="8">
        <v>0.10868346486240625</v>
      </c>
      <c r="CV97" s="9">
        <v>-6.0014490783214566E-2</v>
      </c>
      <c r="CW97">
        <v>0.06</v>
      </c>
      <c r="CX97">
        <v>5.8898005955640134</v>
      </c>
      <c r="CY97">
        <v>3785212697.487781</v>
      </c>
      <c r="CZ97">
        <v>0.10868346486240625</v>
      </c>
      <c r="DA97">
        <v>1.8945844631572295</v>
      </c>
      <c r="DB97">
        <v>11767302241.488842</v>
      </c>
      <c r="DC97">
        <v>0.10324929161928594</v>
      </c>
      <c r="DD97">
        <v>0.91303942787685144</v>
      </c>
      <c r="DE97">
        <v>24417508509.837299</v>
      </c>
      <c r="DF97">
        <v>9.5641449078917501E-2</v>
      </c>
      <c r="DG97">
        <v>0.53519328256336218</v>
      </c>
      <c r="DH97">
        <v>41656255275.140846</v>
      </c>
      <c r="DI97">
        <v>8.6946771889925001E-2</v>
      </c>
      <c r="DJ97">
        <v>0.2619917250060157</v>
      </c>
      <c r="DK97">
        <v>85094855570.29747</v>
      </c>
      <c r="DL97">
        <v>7.6078425403684369E-2</v>
      </c>
      <c r="DM97">
        <v>3619000000</v>
      </c>
      <c r="DN97">
        <v>0.10868346486240625</v>
      </c>
      <c r="DO97">
        <v>22294148000</v>
      </c>
      <c r="DP97" t="e">
        <v>#VALUE!</v>
      </c>
      <c r="DQ97">
        <v>96</v>
      </c>
      <c r="DR97">
        <v>-6.4484569834781943E-2</v>
      </c>
      <c r="DS97">
        <v>0.3159144907832146</v>
      </c>
      <c r="DT97">
        <v>-0.19000000000000003</v>
      </c>
      <c r="DU97">
        <v>0.3</v>
      </c>
      <c r="DV97">
        <v>0.10999999999999996</v>
      </c>
      <c r="DW97">
        <v>-8.2992256637168147</v>
      </c>
      <c r="DX97">
        <v>0.29728514266585876</v>
      </c>
      <c r="DY97">
        <v>-8.0321024680211455</v>
      </c>
      <c r="DZ97">
        <v>0</v>
      </c>
      <c r="EA97">
        <v>-8.0321024680211455</v>
      </c>
      <c r="EB97">
        <v>8</v>
      </c>
      <c r="EC97">
        <v>3.464278187542252E-3</v>
      </c>
      <c r="ED97">
        <v>3.2290381514724499E-2</v>
      </c>
      <c r="EE97">
        <v>0</v>
      </c>
      <c r="EF97">
        <v>0</v>
      </c>
      <c r="EG97">
        <v>19.107285142665859</v>
      </c>
      <c r="EH97" t="s">
        <v>110</v>
      </c>
      <c r="EI97">
        <v>0</v>
      </c>
      <c r="EJ97">
        <v>0</v>
      </c>
      <c r="EK97">
        <v>0</v>
      </c>
      <c r="EL97">
        <v>0</v>
      </c>
      <c r="EM97">
        <v>0</v>
      </c>
      <c r="EN97">
        <v>0</v>
      </c>
      <c r="EO97">
        <v>0</v>
      </c>
      <c r="EP97">
        <v>0</v>
      </c>
    </row>
    <row r="98" spans="1:146" ht="96" x14ac:dyDescent="0.25">
      <c r="A98" s="7"/>
      <c r="B98" s="7"/>
      <c r="C98" s="7" t="str">
        <f>""&amp;CHAR(10)&amp;Basic_Fundamental_Information_Constructure(F98)&amp;CHAR(10)&amp;Basic_Fundamental_Information_Concatenate("")</f>
        <v xml:space="preserve">
市值217.54664亿, 利润8.62亿; PE21.72; 平均PE188.16; 平均PEG1.81, PB.983; ROIC6.1567%; ROE6.795%; 股利率0%; 毛利58.0167%; 净利9.5833%; 上一年度营收增-30.83%, 利润增-63.58%, 利润增-63.57%; 过往5年营收增103.97%, 利润增-137.49%
Income profile:
</v>
      </c>
      <c r="D98" s="11">
        <v>570</v>
      </c>
      <c r="E98" t="s">
        <v>1749</v>
      </c>
      <c r="F98">
        <v>4.32</v>
      </c>
      <c r="G98" s="5">
        <v>0</v>
      </c>
      <c r="H98" t="s">
        <v>1965</v>
      </c>
      <c r="I98">
        <v>21754664000</v>
      </c>
      <c r="J98">
        <v>21.72</v>
      </c>
      <c r="K98">
        <v>0.98299999999999998</v>
      </c>
      <c r="L98" t="s">
        <v>6350</v>
      </c>
      <c r="M98" t="s">
        <v>9</v>
      </c>
      <c r="N98" t="s">
        <v>9</v>
      </c>
      <c r="O98" t="s">
        <v>9</v>
      </c>
      <c r="P98" t="s">
        <v>9</v>
      </c>
      <c r="Q98" t="s">
        <v>1750</v>
      </c>
      <c r="R98">
        <v>862168470</v>
      </c>
      <c r="S98" s="5">
        <v>-0.63570000000000004</v>
      </c>
      <c r="T98" t="s">
        <v>1751</v>
      </c>
      <c r="U98">
        <v>5035801900</v>
      </c>
      <c r="V98">
        <v>5035801900</v>
      </c>
      <c r="W98" t="s">
        <v>9</v>
      </c>
      <c r="X98" t="s">
        <v>9</v>
      </c>
      <c r="Y98" t="s">
        <v>9</v>
      </c>
      <c r="Z98" t="s">
        <v>9</v>
      </c>
      <c r="AA98" t="s">
        <v>9</v>
      </c>
      <c r="AB98" t="s">
        <v>9</v>
      </c>
      <c r="AC98" t="s">
        <v>9</v>
      </c>
      <c r="AD98" t="s">
        <v>949</v>
      </c>
      <c r="AE98" t="s">
        <v>9</v>
      </c>
      <c r="AF98" t="s">
        <v>9</v>
      </c>
      <c r="AG98" t="s">
        <v>9</v>
      </c>
      <c r="AH98" t="s">
        <v>1752</v>
      </c>
      <c r="AI98" t="s">
        <v>9</v>
      </c>
      <c r="AJ98" t="s">
        <v>9</v>
      </c>
      <c r="AK98" t="s">
        <v>1753</v>
      </c>
      <c r="AL98" t="s">
        <v>9</v>
      </c>
      <c r="AM98" t="s">
        <v>9</v>
      </c>
      <c r="AN98" s="5">
        <v>0.35580000000000001</v>
      </c>
      <c r="AO98" t="s">
        <v>9</v>
      </c>
      <c r="AP98" t="s">
        <v>1754</v>
      </c>
      <c r="AQ98" t="s">
        <v>9</v>
      </c>
      <c r="AR98" t="s">
        <v>1755</v>
      </c>
      <c r="AS98" t="s">
        <v>9</v>
      </c>
      <c r="AT98" t="s">
        <v>9</v>
      </c>
      <c r="AU98" t="s">
        <v>1756</v>
      </c>
      <c r="AV98" t="s">
        <v>1757</v>
      </c>
      <c r="AW98" t="s">
        <v>9</v>
      </c>
      <c r="AX98" t="s">
        <v>1758</v>
      </c>
      <c r="AY98" t="s">
        <v>1759</v>
      </c>
      <c r="AZ98" t="s">
        <v>1760</v>
      </c>
      <c r="BA98" t="s">
        <v>1761</v>
      </c>
      <c r="BB98" t="s">
        <v>1762</v>
      </c>
      <c r="BC98" t="s">
        <v>1763</v>
      </c>
      <c r="BD98" t="s">
        <v>1764</v>
      </c>
      <c r="BE98" t="s">
        <v>1765</v>
      </c>
      <c r="BF98" t="s">
        <v>1522</v>
      </c>
      <c r="BG98" t="s">
        <v>1275</v>
      </c>
      <c r="BH98" t="s">
        <v>1750</v>
      </c>
      <c r="BI98" t="s">
        <v>9</v>
      </c>
      <c r="BJ98" t="s">
        <v>1758</v>
      </c>
      <c r="BK98" t="s">
        <v>1751</v>
      </c>
      <c r="BL98" t="s">
        <v>9</v>
      </c>
      <c r="BM98" t="s">
        <v>1763</v>
      </c>
      <c r="BN98">
        <v>3.07</v>
      </c>
      <c r="BO98">
        <v>8.08</v>
      </c>
      <c r="BP98">
        <v>7.32</v>
      </c>
      <c r="BQ98">
        <v>3.79</v>
      </c>
      <c r="BR98">
        <v>9.8000000000000007</v>
      </c>
      <c r="BS98" t="s">
        <v>9</v>
      </c>
      <c r="BT98" t="s">
        <v>1766</v>
      </c>
      <c r="BU98" t="s">
        <v>489</v>
      </c>
      <c r="BV98">
        <v>50.32</v>
      </c>
      <c r="BW98">
        <v>62.09</v>
      </c>
      <c r="BX98">
        <v>61.64</v>
      </c>
      <c r="BY98">
        <v>5.04</v>
      </c>
      <c r="BZ98">
        <v>11.14</v>
      </c>
      <c r="CA98">
        <v>12.57</v>
      </c>
      <c r="CB98">
        <v>1.41</v>
      </c>
      <c r="CC98">
        <v>35</v>
      </c>
      <c r="CD98" t="s">
        <v>1672</v>
      </c>
      <c r="CE98" t="s">
        <v>3453</v>
      </c>
      <c r="CF98" s="8" t="s">
        <v>9</v>
      </c>
      <c r="CG98" s="9">
        <v>-0.63570000000000004</v>
      </c>
      <c r="CH98" s="8">
        <v>-0.30831551551818848</v>
      </c>
      <c r="CI98" s="8">
        <v>0.32203781604766846</v>
      </c>
      <c r="CJ98" s="8">
        <v>0.10266182571649551</v>
      </c>
      <c r="CK98" s="8">
        <v>0.24845926463603973</v>
      </c>
      <c r="CL98" s="8">
        <v>0.28241297602653503</v>
      </c>
      <c r="CM98" s="9">
        <v>-0.63582593202590942</v>
      </c>
      <c r="CN98" s="9">
        <v>0.1942482590675354</v>
      </c>
      <c r="CO98" s="9">
        <v>0.11661967635154724</v>
      </c>
      <c r="CP98" s="9">
        <v>8.3638623356819153E-2</v>
      </c>
      <c r="CQ98" s="9">
        <v>0.16749817132949829</v>
      </c>
      <c r="CR98">
        <v>188.16203375551879</v>
      </c>
      <c r="CS98">
        <v>1.8098055418095176</v>
      </c>
      <c r="CT98">
        <v>0</v>
      </c>
      <c r="CU98" s="8">
        <v>1.0396809458732605</v>
      </c>
      <c r="CV98" s="9">
        <v>-1.3749265670776367</v>
      </c>
      <c r="CW98">
        <v>0.06</v>
      </c>
      <c r="CX98">
        <v>13.115617441308071</v>
      </c>
      <c r="CY98">
        <v>1658683939.0025945</v>
      </c>
      <c r="CZ98">
        <v>1.0396809458732605</v>
      </c>
      <c r="DA98">
        <v>2.1057049875878127</v>
      </c>
      <c r="DB98">
        <v>10331297179.915514</v>
      </c>
      <c r="DC98">
        <v>0.98769689857959742</v>
      </c>
      <c r="DD98">
        <v>0.33375659575846151</v>
      </c>
      <c r="DE98">
        <v>65181225709.000748</v>
      </c>
      <c r="DF98">
        <v>0.91491923236846928</v>
      </c>
      <c r="DG98">
        <v>4.4967185200293192E-2</v>
      </c>
      <c r="DH98">
        <v>483789765872.60693</v>
      </c>
      <c r="DI98">
        <v>0.83174475669860848</v>
      </c>
      <c r="DJ98">
        <v>5.5664558219886597E-4</v>
      </c>
      <c r="DK98">
        <v>39081715000888.977</v>
      </c>
      <c r="DL98">
        <v>0.72777666211128234</v>
      </c>
      <c r="DM98">
        <v>861999999.99999988</v>
      </c>
      <c r="DN98">
        <v>1.0396809458732605</v>
      </c>
      <c r="DO98">
        <v>21754664000</v>
      </c>
      <c r="DP98" t="e">
        <v>#VALUE!</v>
      </c>
      <c r="DQ98">
        <v>101</v>
      </c>
      <c r="DR98" t="e">
        <v>#VALUE!</v>
      </c>
      <c r="DS98">
        <v>0.73922656707763668</v>
      </c>
      <c r="DT98" t="e">
        <v>#VALUE!</v>
      </c>
      <c r="DU98" t="e">
        <v>#VALUE!</v>
      </c>
      <c r="DV98" t="e">
        <v>#VALUE!</v>
      </c>
      <c r="DW98">
        <v>3.2148809523809523</v>
      </c>
      <c r="DX98">
        <v>1.0384710743801624</v>
      </c>
      <c r="DY98">
        <v>3.0770286058638332</v>
      </c>
      <c r="DZ98">
        <v>0</v>
      </c>
      <c r="EA98">
        <v>3.0770286058638332</v>
      </c>
      <c r="EB98">
        <v>3</v>
      </c>
      <c r="EC98">
        <v>0.13781320508259071</v>
      </c>
      <c r="ED98">
        <v>0.38444721187304848</v>
      </c>
      <c r="EE98">
        <v>0</v>
      </c>
      <c r="EF98">
        <v>0</v>
      </c>
      <c r="EG98">
        <v>68.358471074380162</v>
      </c>
      <c r="EH98" t="s">
        <v>110</v>
      </c>
      <c r="EI98">
        <v>0</v>
      </c>
      <c r="EJ98">
        <v>0</v>
      </c>
      <c r="EK98">
        <v>0</v>
      </c>
      <c r="EL98">
        <v>0</v>
      </c>
      <c r="EM98">
        <v>0</v>
      </c>
      <c r="EN98">
        <v>0</v>
      </c>
      <c r="EO98">
        <v>0</v>
      </c>
      <c r="EP98">
        <v>0</v>
      </c>
    </row>
    <row r="99" spans="1:146" ht="96" x14ac:dyDescent="0.25">
      <c r="A99" s="7"/>
      <c r="B99" s="7"/>
      <c r="C99" s="7" t="str">
        <f>""&amp;CHAR(10)&amp;Basic_Fundamental_Information_Constructure(F99)&amp;CHAR(10)&amp;Basic_Fundamental_Information_Concatenate("")</f>
        <v xml:space="preserve">
市值307.46645亿, 利润57.26亿; PE5.59; 平均PE25.8; 平均PEG1.25, PB.691; ROIC6.4333%; ROE16.0233%; 股利率0%; 毛利41.48%; 净利40.4567%; 上一年度营收增7.52%, 利润增-1.82%; 当季营收增-3.75%, 利润增-13.19%; 过往5年营收增20.57%, 利润增16.53%
Income profile:
</v>
      </c>
      <c r="D99" s="11">
        <v>576</v>
      </c>
      <c r="E99" t="s">
        <v>1767</v>
      </c>
      <c r="F99">
        <v>5.13</v>
      </c>
      <c r="G99" s="5">
        <v>-3.8999999999999998E-3</v>
      </c>
      <c r="H99" t="s">
        <v>7693</v>
      </c>
      <c r="I99">
        <v>30746645000</v>
      </c>
      <c r="J99">
        <v>5.59</v>
      </c>
      <c r="K99">
        <v>0.69099999999999995</v>
      </c>
      <c r="L99" t="s">
        <v>6350</v>
      </c>
      <c r="M99" t="s">
        <v>7694</v>
      </c>
      <c r="N99" t="s">
        <v>7695</v>
      </c>
      <c r="O99" t="s">
        <v>3111</v>
      </c>
      <c r="P99">
        <v>1.7</v>
      </c>
      <c r="Q99" t="s">
        <v>7696</v>
      </c>
      <c r="R99">
        <v>5726196900</v>
      </c>
      <c r="S99" s="5">
        <v>-0.13189999999999999</v>
      </c>
      <c r="T99" t="s">
        <v>7697</v>
      </c>
      <c r="U99">
        <v>1978719200</v>
      </c>
      <c r="V99">
        <v>5993498000</v>
      </c>
      <c r="W99">
        <v>4.96</v>
      </c>
      <c r="X99">
        <v>0.02</v>
      </c>
      <c r="Y99">
        <v>48.26</v>
      </c>
      <c r="Z99" t="s">
        <v>7698</v>
      </c>
      <c r="AA99" t="s">
        <v>7699</v>
      </c>
      <c r="AB99" t="s">
        <v>9</v>
      </c>
      <c r="AC99" t="s">
        <v>7700</v>
      </c>
      <c r="AD99" t="s">
        <v>9</v>
      </c>
      <c r="AE99" t="s">
        <v>1507</v>
      </c>
      <c r="AF99" t="s">
        <v>9</v>
      </c>
      <c r="AG99" t="s">
        <v>214</v>
      </c>
      <c r="AH99" t="s">
        <v>7701</v>
      </c>
      <c r="AI99" t="s">
        <v>9</v>
      </c>
      <c r="AJ99" t="s">
        <v>9</v>
      </c>
      <c r="AK99" t="s">
        <v>7702</v>
      </c>
      <c r="AL99" t="s">
        <v>9</v>
      </c>
      <c r="AM99" t="s">
        <v>9</v>
      </c>
      <c r="AN99" s="5">
        <v>0.69599999999999995</v>
      </c>
      <c r="AO99" t="s">
        <v>9</v>
      </c>
      <c r="AP99" t="s">
        <v>9</v>
      </c>
      <c r="AQ99" t="s">
        <v>9</v>
      </c>
      <c r="AR99" t="s">
        <v>7703</v>
      </c>
      <c r="AS99" t="s">
        <v>7704</v>
      </c>
      <c r="AT99" t="s">
        <v>9</v>
      </c>
      <c r="AU99" t="s">
        <v>7705</v>
      </c>
      <c r="AV99" t="s">
        <v>7706</v>
      </c>
      <c r="AW99" t="s">
        <v>9</v>
      </c>
      <c r="AX99" t="s">
        <v>7707</v>
      </c>
      <c r="AY99" t="s">
        <v>1771</v>
      </c>
      <c r="AZ99" t="s">
        <v>1772</v>
      </c>
      <c r="BA99" t="s">
        <v>1773</v>
      </c>
      <c r="BB99" t="s">
        <v>1774</v>
      </c>
      <c r="BC99" t="s">
        <v>1775</v>
      </c>
      <c r="BD99" t="s">
        <v>1776</v>
      </c>
      <c r="BE99" t="s">
        <v>1379</v>
      </c>
      <c r="BF99" t="s">
        <v>1777</v>
      </c>
      <c r="BG99" t="s">
        <v>1778</v>
      </c>
      <c r="BH99" t="s">
        <v>7707</v>
      </c>
      <c r="BI99" t="s">
        <v>1779</v>
      </c>
      <c r="BJ99" t="s">
        <v>1771</v>
      </c>
      <c r="BK99" t="s">
        <v>1769</v>
      </c>
      <c r="BL99" t="s">
        <v>1780</v>
      </c>
      <c r="BM99" t="s">
        <v>1775</v>
      </c>
      <c r="BN99">
        <v>5.89</v>
      </c>
      <c r="BO99">
        <v>7.13</v>
      </c>
      <c r="BP99">
        <v>6.28</v>
      </c>
      <c r="BQ99">
        <v>13.13</v>
      </c>
      <c r="BR99">
        <v>17.399999999999999</v>
      </c>
      <c r="BS99">
        <v>17.54</v>
      </c>
      <c r="BT99" t="s">
        <v>1781</v>
      </c>
      <c r="BU99" t="s">
        <v>687</v>
      </c>
      <c r="BV99">
        <v>42.44</v>
      </c>
      <c r="BW99">
        <v>40.549999999999997</v>
      </c>
      <c r="BX99">
        <v>41.45</v>
      </c>
      <c r="BY99">
        <v>39.04</v>
      </c>
      <c r="BZ99">
        <v>43.65</v>
      </c>
      <c r="CA99">
        <v>38.68</v>
      </c>
      <c r="CB99">
        <v>-2.1</v>
      </c>
      <c r="CC99">
        <v>-0.97</v>
      </c>
      <c r="CD99" t="s">
        <v>7708</v>
      </c>
      <c r="CE99" t="s">
        <v>153</v>
      </c>
      <c r="CF99" s="8">
        <v>-3.7466547725245318E-2</v>
      </c>
      <c r="CG99" s="9">
        <v>-0.13189999999999999</v>
      </c>
      <c r="CH99" s="8">
        <v>7.5219720602035522E-2</v>
      </c>
      <c r="CI99" s="8">
        <v>-0.1314653754234314</v>
      </c>
      <c r="CJ99" s="8">
        <v>0.34182336926460266</v>
      </c>
      <c r="CK99" s="8">
        <v>0.16463939845561981</v>
      </c>
      <c r="CL99" s="8">
        <v>0.10415040701627731</v>
      </c>
      <c r="CM99" s="9">
        <v>-1.8175560981035233E-2</v>
      </c>
      <c r="CN99" s="9">
        <v>1.0249999761581421</v>
      </c>
      <c r="CO99" s="9">
        <v>-0.30552208423614502</v>
      </c>
      <c r="CP99" s="9">
        <v>3.6231867969036102E-2</v>
      </c>
      <c r="CQ99" s="9">
        <v>4.2458988726139069E-2</v>
      </c>
      <c r="CR99">
        <v>25.797772339532933</v>
      </c>
      <c r="CS99">
        <v>1.2541860172499357</v>
      </c>
      <c r="CT99">
        <v>0</v>
      </c>
      <c r="CU99" s="8">
        <v>0.20569334998726846</v>
      </c>
      <c r="CV99" s="9">
        <v>0.16529415696859359</v>
      </c>
      <c r="CW99">
        <v>0.06</v>
      </c>
      <c r="CX99">
        <v>18.019699513472052</v>
      </c>
      <c r="CY99">
        <v>6513018983.0444326</v>
      </c>
      <c r="CZ99">
        <v>0.20569334998726846</v>
      </c>
      <c r="DA99">
        <v>5.3462158229138756</v>
      </c>
      <c r="DB99">
        <v>21952470473.972229</v>
      </c>
      <c r="DC99">
        <v>0.19540868248790502</v>
      </c>
      <c r="DD99">
        <v>2.3005697657461104</v>
      </c>
      <c r="DE99">
        <v>51014599403.786163</v>
      </c>
      <c r="DF99">
        <v>0.18101014798879625</v>
      </c>
      <c r="DG99">
        <v>1.1782703763932367</v>
      </c>
      <c r="DH99">
        <v>99605869205.720673</v>
      </c>
      <c r="DI99">
        <v>0.16455467998981477</v>
      </c>
      <c r="DJ99">
        <v>0.41855691531093114</v>
      </c>
      <c r="DK99">
        <v>280398294011.73657</v>
      </c>
      <c r="DL99">
        <v>0.14398534499108792</v>
      </c>
      <c r="DM99">
        <v>5726000000</v>
      </c>
      <c r="DN99">
        <v>0.20569334998726846</v>
      </c>
      <c r="DO99">
        <v>117362645000</v>
      </c>
      <c r="DP99" t="e">
        <v>#VALUE!</v>
      </c>
      <c r="DQ99">
        <v>98</v>
      </c>
      <c r="DR99">
        <v>-0.24315989771251378</v>
      </c>
      <c r="DS99">
        <v>-0.29719415696859358</v>
      </c>
      <c r="DT99">
        <v>-0.2233333333333333</v>
      </c>
      <c r="DU99">
        <v>0.93333333333333324</v>
      </c>
      <c r="DV99">
        <v>0.71</v>
      </c>
      <c r="DW99">
        <v>-9.7000000000000003E-3</v>
      </c>
      <c r="DX99">
        <v>0.37285070422535327</v>
      </c>
      <c r="DY99">
        <v>-1.1916518309859157E-3</v>
      </c>
      <c r="DZ99">
        <v>0</v>
      </c>
      <c r="EA99">
        <v>-1.1916518309859157E-3</v>
      </c>
      <c r="EB99">
        <v>0</v>
      </c>
      <c r="EC99">
        <v>4.3659312141257067E-3</v>
      </c>
      <c r="ED99">
        <v>3.5538511900729756E-2</v>
      </c>
      <c r="EE99">
        <v>0</v>
      </c>
      <c r="EF99">
        <v>0</v>
      </c>
      <c r="EG99">
        <v>25.122850704225353</v>
      </c>
      <c r="EH99" t="s">
        <v>110</v>
      </c>
      <c r="EI99">
        <v>0</v>
      </c>
      <c r="EJ99">
        <v>0</v>
      </c>
      <c r="EK99">
        <v>0</v>
      </c>
      <c r="EL99">
        <v>0</v>
      </c>
      <c r="EM99">
        <v>0</v>
      </c>
      <c r="EN99">
        <v>0</v>
      </c>
      <c r="EO99">
        <v>0</v>
      </c>
      <c r="EP99">
        <v>0</v>
      </c>
    </row>
    <row r="100" spans="1:146" ht="96" x14ac:dyDescent="0.25">
      <c r="A100" s="7"/>
      <c r="B100" s="7"/>
      <c r="C100" s="7" t="str">
        <f>""&amp;CHAR(10)&amp;Basic_Fundamental_Information_Constructure(F100)&amp;CHAR(10)&amp;Basic_Fundamental_Information_Concatenate("")</f>
        <v xml:space="preserve">
市值42.809544亿, 利润-1.75亿; PE; 平均PE-71.64; 平均PEG-.65, PB.175; ROIC3.0233%; ROE4.64%; 股利率0%; 毛利4.3433%; 净利2.0467%; 上一年度营收增-7.55%, 利润增-105.73%, 利润增-119.2%; 过往5年营收增109.94%, 利润增80.86%
Income profile:
</v>
      </c>
      <c r="D100" s="11">
        <v>581</v>
      </c>
      <c r="E100" t="s">
        <v>1782</v>
      </c>
      <c r="F100">
        <v>1.1499999999999999</v>
      </c>
      <c r="G100" s="5">
        <v>8.8000000000000005E-3</v>
      </c>
      <c r="H100" t="s">
        <v>7709</v>
      </c>
      <c r="I100">
        <v>4280954400</v>
      </c>
      <c r="K100">
        <v>0.17499999999999999</v>
      </c>
      <c r="L100" t="s">
        <v>6350</v>
      </c>
      <c r="M100" t="s">
        <v>9</v>
      </c>
      <c r="N100" t="s">
        <v>9</v>
      </c>
      <c r="O100" t="s">
        <v>9</v>
      </c>
      <c r="P100" t="s">
        <v>9</v>
      </c>
      <c r="Q100" t="s">
        <v>7710</v>
      </c>
      <c r="R100">
        <v>-175054370</v>
      </c>
      <c r="S100" s="5">
        <v>-1.1919999999999999</v>
      </c>
      <c r="T100" t="s">
        <v>5879</v>
      </c>
      <c r="U100">
        <v>3722569000</v>
      </c>
      <c r="V100">
        <v>3722569000</v>
      </c>
      <c r="W100" t="s">
        <v>9</v>
      </c>
      <c r="X100" t="s">
        <v>9</v>
      </c>
      <c r="Y100" t="s">
        <v>9</v>
      </c>
      <c r="Z100" t="s">
        <v>9</v>
      </c>
      <c r="AA100" t="s">
        <v>9</v>
      </c>
      <c r="AB100" t="s">
        <v>9</v>
      </c>
      <c r="AC100" t="s">
        <v>9</v>
      </c>
      <c r="AD100" t="s">
        <v>114</v>
      </c>
      <c r="AE100" t="s">
        <v>9</v>
      </c>
      <c r="AF100" t="s">
        <v>9</v>
      </c>
      <c r="AG100" t="s">
        <v>9</v>
      </c>
      <c r="AH100" t="s">
        <v>7711</v>
      </c>
      <c r="AI100" t="s">
        <v>9</v>
      </c>
      <c r="AJ100" t="s">
        <v>9</v>
      </c>
      <c r="AK100" t="s">
        <v>7712</v>
      </c>
      <c r="AL100" t="s">
        <v>9</v>
      </c>
      <c r="AM100" t="s">
        <v>9</v>
      </c>
      <c r="AN100" s="5">
        <v>0.50070000000000003</v>
      </c>
      <c r="AO100" t="s">
        <v>9</v>
      </c>
      <c r="AP100" t="s">
        <v>7713</v>
      </c>
      <c r="AQ100" t="s">
        <v>9</v>
      </c>
      <c r="AR100" t="s">
        <v>7714</v>
      </c>
      <c r="AS100" t="s">
        <v>9</v>
      </c>
      <c r="AT100" t="s">
        <v>9</v>
      </c>
      <c r="AU100" t="s">
        <v>5774</v>
      </c>
      <c r="AV100" t="s">
        <v>7715</v>
      </c>
      <c r="AW100" t="s">
        <v>9</v>
      </c>
      <c r="AX100" t="s">
        <v>1783</v>
      </c>
      <c r="AY100" t="s">
        <v>1785</v>
      </c>
      <c r="AZ100" t="s">
        <v>1786</v>
      </c>
      <c r="BA100" t="s">
        <v>1787</v>
      </c>
      <c r="BB100" t="s">
        <v>1788</v>
      </c>
      <c r="BC100" t="s">
        <v>1789</v>
      </c>
      <c r="BD100" t="s">
        <v>1482</v>
      </c>
      <c r="BE100" t="s">
        <v>1790</v>
      </c>
      <c r="BF100" t="s">
        <v>1791</v>
      </c>
      <c r="BG100" t="s">
        <v>1792</v>
      </c>
      <c r="BH100" t="s">
        <v>1783</v>
      </c>
      <c r="BI100" t="s">
        <v>9</v>
      </c>
      <c r="BJ100" t="s">
        <v>1785</v>
      </c>
      <c r="BK100" t="s">
        <v>1784</v>
      </c>
      <c r="BL100" t="s">
        <v>9</v>
      </c>
      <c r="BM100" t="s">
        <v>1789</v>
      </c>
      <c r="BN100">
        <v>-0.43</v>
      </c>
      <c r="BO100">
        <v>2.2200000000000002</v>
      </c>
      <c r="BP100">
        <v>7.28</v>
      </c>
      <c r="BQ100">
        <v>-0.72</v>
      </c>
      <c r="BR100">
        <v>3.58</v>
      </c>
      <c r="BS100">
        <v>11.06</v>
      </c>
      <c r="BT100" t="s">
        <v>7716</v>
      </c>
      <c r="BU100" t="s">
        <v>1254</v>
      </c>
      <c r="BV100">
        <v>1.55</v>
      </c>
      <c r="BW100">
        <v>3.61</v>
      </c>
      <c r="BX100">
        <v>7.87</v>
      </c>
      <c r="BY100">
        <v>-0.42</v>
      </c>
      <c r="BZ100">
        <v>1.67</v>
      </c>
      <c r="CA100">
        <v>4.8899999999999997</v>
      </c>
      <c r="CB100">
        <v>-0.86</v>
      </c>
      <c r="CC100">
        <v>8.49</v>
      </c>
      <c r="CD100" t="s">
        <v>7717</v>
      </c>
      <c r="CE100" t="s">
        <v>7718</v>
      </c>
      <c r="CF100" s="8" t="s">
        <v>9</v>
      </c>
      <c r="CG100" s="9">
        <v>-1.1919999999999999</v>
      </c>
      <c r="CH100" s="8">
        <v>-7.5461722910404205E-2</v>
      </c>
      <c r="CI100" s="8">
        <v>-0.13789257407188416</v>
      </c>
      <c r="CJ100" s="8">
        <v>0.36346492171287537</v>
      </c>
      <c r="CK100" s="8">
        <v>4.8885606229305267E-3</v>
      </c>
      <c r="CL100" s="8">
        <v>-6.3395053148269653E-2</v>
      </c>
      <c r="CM100" s="9">
        <v>-1.0573207139968872</v>
      </c>
      <c r="CN100" s="9">
        <v>0.61448961496353149</v>
      </c>
      <c r="CO100" s="9">
        <v>-0.47296541929244995</v>
      </c>
      <c r="CP100" s="9">
        <v>-0.34092575311660767</v>
      </c>
      <c r="CQ100" s="9">
        <v>-6.170288473367691E-2</v>
      </c>
      <c r="CR100">
        <v>-71.639998895517337</v>
      </c>
      <c r="CS100">
        <v>-0.65161052131865083</v>
      </c>
      <c r="CT100">
        <v>0</v>
      </c>
      <c r="CU100" s="8">
        <v>1.0994297444820404</v>
      </c>
      <c r="CV100" s="9">
        <v>0.80863596200942989</v>
      </c>
      <c r="CW100">
        <v>0.06</v>
      </c>
      <c r="CX100" t="e">
        <v>#VALUE!</v>
      </c>
      <c r="CY100" t="s">
        <v>109</v>
      </c>
      <c r="CZ100">
        <v>1.0994297444820404</v>
      </c>
      <c r="DA100" t="e">
        <v>#VALUE!</v>
      </c>
      <c r="DB100" t="s">
        <v>108</v>
      </c>
      <c r="DC100">
        <v>1.0444582572579384</v>
      </c>
      <c r="DD100" t="e">
        <v>#VALUE!</v>
      </c>
      <c r="DE100" t="s">
        <v>108</v>
      </c>
      <c r="DF100">
        <v>0.96749817514419556</v>
      </c>
      <c r="DG100" t="e">
        <v>#VALUE!</v>
      </c>
      <c r="DH100" t="s">
        <v>108</v>
      </c>
      <c r="DI100">
        <v>0.87954379558563245</v>
      </c>
      <c r="DJ100" t="e">
        <v>#VALUE!</v>
      </c>
      <c r="DK100" t="s">
        <v>108</v>
      </c>
      <c r="DL100">
        <v>0.76960082113742823</v>
      </c>
      <c r="DM100">
        <v>-175000000</v>
      </c>
      <c r="DN100">
        <v>1.0994297444820404</v>
      </c>
      <c r="DO100">
        <v>4280954400</v>
      </c>
      <c r="DP100" t="e">
        <v>#VALUE!</v>
      </c>
      <c r="DQ100">
        <v>99</v>
      </c>
      <c r="DR100" t="e">
        <v>#VALUE!</v>
      </c>
      <c r="DS100">
        <v>-2.0006359620094298</v>
      </c>
      <c r="DT100" t="e">
        <v>#VALUE!</v>
      </c>
      <c r="DU100" t="e">
        <v>#VALUE!</v>
      </c>
      <c r="DV100" t="e">
        <v>#VALUE!</v>
      </c>
      <c r="DW100">
        <v>2.0849000000000002</v>
      </c>
      <c r="DX100">
        <v>0.38163055111610134</v>
      </c>
      <c r="DY100">
        <v>2.0120244337897573</v>
      </c>
      <c r="DZ100">
        <v>0</v>
      </c>
      <c r="EA100">
        <v>2.0120244337897573</v>
      </c>
      <c r="EB100">
        <v>2</v>
      </c>
      <c r="EC100">
        <v>3.1709284636497002E-3</v>
      </c>
      <c r="ED100">
        <v>2.2388732082602097E-2</v>
      </c>
      <c r="EE100">
        <v>0</v>
      </c>
      <c r="EF100">
        <v>0</v>
      </c>
      <c r="EG100">
        <v>24.141630551116101</v>
      </c>
      <c r="EH100" t="s">
        <v>110</v>
      </c>
      <c r="EI100">
        <v>1</v>
      </c>
      <c r="EJ100">
        <v>0</v>
      </c>
      <c r="EK100">
        <v>0</v>
      </c>
      <c r="EL100">
        <v>0</v>
      </c>
      <c r="EM100">
        <v>0</v>
      </c>
      <c r="EN100">
        <v>0</v>
      </c>
      <c r="EO100">
        <v>0</v>
      </c>
      <c r="EP100">
        <v>0</v>
      </c>
    </row>
    <row r="101" spans="1:146" ht="96" x14ac:dyDescent="0.25">
      <c r="A101" s="7"/>
      <c r="B101" s="7"/>
      <c r="C101" s="7" t="str">
        <f>""&amp;CHAR(10)&amp;Basic_Fundamental_Information_Constructure(F101)&amp;CHAR(10)&amp;Basic_Fundamental_Information_Concatenate("")</f>
        <v xml:space="preserve">
市值131.535814亿, 利润27.01亿; PE4.87; 平均PE24.3; 平均PEG4.13, PB.259; ROIC14.2433%; ROE19.12%; 股利率0%; 毛利29.3167%; 净利107.02%; 上一年度营收增-1.37%, 利润增-70.42%, 利润增-85%; 过往5年营收增5.89%, 利润增-252.11%
Income profile:
</v>
      </c>
      <c r="D101" s="11">
        <v>586</v>
      </c>
      <c r="E101" t="s">
        <v>1793</v>
      </c>
      <c r="F101">
        <v>7.34</v>
      </c>
      <c r="G101" s="5">
        <v>-8.0999999999999996E-3</v>
      </c>
      <c r="H101" t="s">
        <v>7719</v>
      </c>
      <c r="I101">
        <v>13153581400</v>
      </c>
      <c r="J101">
        <v>4.87</v>
      </c>
      <c r="K101">
        <v>0.25900000000000001</v>
      </c>
      <c r="L101" t="s">
        <v>6350</v>
      </c>
      <c r="M101" t="s">
        <v>9</v>
      </c>
      <c r="N101" t="s">
        <v>9</v>
      </c>
      <c r="O101" t="s">
        <v>9</v>
      </c>
      <c r="P101" t="s">
        <v>9</v>
      </c>
      <c r="Q101" t="s">
        <v>7720</v>
      </c>
      <c r="R101">
        <v>2700714500</v>
      </c>
      <c r="S101" s="5">
        <v>-0.85</v>
      </c>
      <c r="T101" t="s">
        <v>4363</v>
      </c>
      <c r="U101">
        <v>1812985100</v>
      </c>
      <c r="V101">
        <v>1812985100</v>
      </c>
      <c r="W101" t="s">
        <v>9</v>
      </c>
      <c r="X101" t="s">
        <v>9</v>
      </c>
      <c r="Y101" t="s">
        <v>9</v>
      </c>
      <c r="Z101" t="s">
        <v>9</v>
      </c>
      <c r="AA101" t="s">
        <v>9</v>
      </c>
      <c r="AB101" t="s">
        <v>9</v>
      </c>
      <c r="AC101" t="s">
        <v>9</v>
      </c>
      <c r="AD101" t="s">
        <v>7721</v>
      </c>
      <c r="AE101" t="s">
        <v>9</v>
      </c>
      <c r="AF101" t="s">
        <v>9</v>
      </c>
      <c r="AG101" t="s">
        <v>9</v>
      </c>
      <c r="AH101" t="s">
        <v>7722</v>
      </c>
      <c r="AI101" t="s">
        <v>9</v>
      </c>
      <c r="AJ101" t="s">
        <v>9</v>
      </c>
      <c r="AK101" t="s">
        <v>7723</v>
      </c>
      <c r="AL101" t="s">
        <v>9</v>
      </c>
      <c r="AM101" t="s">
        <v>9</v>
      </c>
      <c r="AN101" s="5">
        <v>0.40649999999999997</v>
      </c>
      <c r="AO101" t="s">
        <v>9</v>
      </c>
      <c r="AP101" t="s">
        <v>7724</v>
      </c>
      <c r="AQ101" t="s">
        <v>9</v>
      </c>
      <c r="AR101" t="s">
        <v>1354</v>
      </c>
      <c r="AS101" t="s">
        <v>9</v>
      </c>
      <c r="AT101" t="s">
        <v>9</v>
      </c>
      <c r="AU101" t="s">
        <v>7725</v>
      </c>
      <c r="AV101" t="s">
        <v>7726</v>
      </c>
      <c r="AW101" t="s">
        <v>9</v>
      </c>
      <c r="AX101" t="s">
        <v>2128</v>
      </c>
      <c r="AY101" t="s">
        <v>1797</v>
      </c>
      <c r="AZ101" t="s">
        <v>1798</v>
      </c>
      <c r="BA101" t="s">
        <v>1799</v>
      </c>
      <c r="BB101" t="s">
        <v>1298</v>
      </c>
      <c r="BC101" t="s">
        <v>1800</v>
      </c>
      <c r="BD101" t="s">
        <v>1801</v>
      </c>
      <c r="BE101" t="s">
        <v>1802</v>
      </c>
      <c r="BF101" t="s">
        <v>1803</v>
      </c>
      <c r="BG101" t="s">
        <v>1804</v>
      </c>
      <c r="BH101" t="s">
        <v>2128</v>
      </c>
      <c r="BI101" t="s">
        <v>9</v>
      </c>
      <c r="BJ101" t="s">
        <v>1797</v>
      </c>
      <c r="BK101" t="s">
        <v>1795</v>
      </c>
      <c r="BL101" t="s">
        <v>9</v>
      </c>
      <c r="BM101" t="s">
        <v>1800</v>
      </c>
      <c r="BN101">
        <v>3.51</v>
      </c>
      <c r="BO101">
        <v>25.34</v>
      </c>
      <c r="BP101">
        <v>13.88</v>
      </c>
      <c r="BQ101">
        <v>5.32</v>
      </c>
      <c r="BR101">
        <v>35.57</v>
      </c>
      <c r="BS101">
        <v>16.47</v>
      </c>
      <c r="BT101" t="s">
        <v>7727</v>
      </c>
      <c r="BU101" t="s">
        <v>589</v>
      </c>
      <c r="BV101">
        <v>27.18</v>
      </c>
      <c r="BW101">
        <v>29.1</v>
      </c>
      <c r="BX101">
        <v>31.67</v>
      </c>
      <c r="BY101">
        <v>33.47</v>
      </c>
      <c r="BZ101">
        <v>196.85</v>
      </c>
      <c r="CA101">
        <v>90.74</v>
      </c>
      <c r="CB101">
        <v>15.96</v>
      </c>
      <c r="CC101">
        <v>15.77</v>
      </c>
      <c r="CD101" t="s">
        <v>129</v>
      </c>
      <c r="CE101" t="s">
        <v>2831</v>
      </c>
      <c r="CF101" s="8" t="s">
        <v>9</v>
      </c>
      <c r="CG101" s="9">
        <v>-0.85</v>
      </c>
      <c r="CH101" s="8">
        <v>-1.3695597648620605E-2</v>
      </c>
      <c r="CI101" s="8">
        <v>-0.12880197167396545</v>
      </c>
      <c r="CJ101" s="8">
        <v>0.2989075779914856</v>
      </c>
      <c r="CK101" s="8">
        <v>1.3927052021026611</v>
      </c>
      <c r="CL101" s="8">
        <v>0.32875600457191467</v>
      </c>
      <c r="CM101" s="9">
        <v>-0.70422691106796265</v>
      </c>
      <c r="CN101" s="9">
        <v>5.8376681990921497E-3</v>
      </c>
      <c r="CO101" s="9">
        <v>0.16129447519779205</v>
      </c>
      <c r="CP101" s="9">
        <v>0.15445956587791443</v>
      </c>
      <c r="CQ101" s="9">
        <v>0.65980386734008789</v>
      </c>
      <c r="CR101">
        <v>24.301859990239411</v>
      </c>
      <c r="CS101">
        <v>4.1289513277385419</v>
      </c>
      <c r="CT101">
        <v>0</v>
      </c>
      <c r="CU101" s="8">
        <v>5.885722078382969E-2</v>
      </c>
      <c r="CV101" s="9">
        <v>-2.5211082190275191</v>
      </c>
      <c r="CW101">
        <v>0.06</v>
      </c>
      <c r="CX101">
        <v>4.8751490176406795</v>
      </c>
      <c r="CY101">
        <v>2698088069.185966</v>
      </c>
      <c r="CZ101">
        <v>5.885722078382969E-2</v>
      </c>
      <c r="DA101">
        <v>1.6358759111292482</v>
      </c>
      <c r="DB101">
        <v>8040696308.6338606</v>
      </c>
      <c r="DC101">
        <v>5.5914359744638202E-2</v>
      </c>
      <c r="DD101">
        <v>0.83395484858964031</v>
      </c>
      <c r="DE101">
        <v>15772534235.21063</v>
      </c>
      <c r="DF101">
        <v>5.1794354289770125E-2</v>
      </c>
      <c r="DG101">
        <v>0.5206311018615265</v>
      </c>
      <c r="DH101">
        <v>25264686172.165123</v>
      </c>
      <c r="DI101">
        <v>4.7085776627063758E-2</v>
      </c>
      <c r="DJ101">
        <v>0.29226881153904022</v>
      </c>
      <c r="DK101">
        <v>45005080530.95153</v>
      </c>
      <c r="DL101">
        <v>4.1200054548680781E-2</v>
      </c>
      <c r="DM101">
        <v>2701000000</v>
      </c>
      <c r="DN101">
        <v>5.885722078382969E-2</v>
      </c>
      <c r="DO101">
        <v>13153581400</v>
      </c>
      <c r="DP101" t="e">
        <v>#VALUE!</v>
      </c>
      <c r="DQ101">
        <v>100</v>
      </c>
      <c r="DR101" t="e">
        <v>#VALUE!</v>
      </c>
      <c r="DS101">
        <v>1.671108219027519</v>
      </c>
      <c r="DT101" t="e">
        <v>#VALUE!</v>
      </c>
      <c r="DU101" t="e">
        <v>#VALUE!</v>
      </c>
      <c r="DV101" t="e">
        <v>#VALUE!</v>
      </c>
      <c r="DW101">
        <v>5.9880952380952381</v>
      </c>
      <c r="DX101">
        <v>0.63908517350157767</v>
      </c>
      <c r="DY101">
        <v>5.3646913023884633</v>
      </c>
      <c r="DZ101">
        <v>0</v>
      </c>
      <c r="EA101">
        <v>5.3646913023884633</v>
      </c>
      <c r="EB101">
        <v>5</v>
      </c>
      <c r="EC101">
        <v>6.453445204817182E-2</v>
      </c>
      <c r="ED101">
        <v>0.17484975469461939</v>
      </c>
      <c r="EE101">
        <v>0</v>
      </c>
      <c r="EF101">
        <v>0</v>
      </c>
      <c r="EG101">
        <v>27.369085173501578</v>
      </c>
      <c r="EH101" t="s">
        <v>110</v>
      </c>
      <c r="EI101">
        <v>1</v>
      </c>
      <c r="EJ101">
        <v>0</v>
      </c>
      <c r="EK101">
        <v>0</v>
      </c>
      <c r="EL101">
        <v>0</v>
      </c>
      <c r="EM101">
        <v>0</v>
      </c>
      <c r="EN101">
        <v>0</v>
      </c>
      <c r="EO101">
        <v>0</v>
      </c>
      <c r="EP101">
        <v>0</v>
      </c>
    </row>
    <row r="102" spans="1:146" ht="96" x14ac:dyDescent="0.25">
      <c r="A102" s="7"/>
      <c r="B102" s="7"/>
      <c r="C102" s="7" t="str">
        <f>""&amp;CHAR(10)&amp;Basic_Fundamental_Information_Constructure(F102)&amp;CHAR(10)&amp;Basic_Fundamental_Information_Concatenate("")</f>
        <v xml:space="preserve">
市值23.232438亿, 利润-16.60亿; PE; 平均PE3.31; 平均PEG.1, PB.169; ROIC-.8033%; ROE-2.18%; 股利率0%; 毛利15.8233%; 净利-2.6933%; 上一年度营收增-46.06%, 利润增-788.8%; 当季营收增70.36%, 利润增-5.54%; 过往5年营收增33.85%, 利润增27.11%
Income profile:
</v>
      </c>
      <c r="D102" s="11">
        <v>588</v>
      </c>
      <c r="E102" t="s">
        <v>1812</v>
      </c>
      <c r="F102">
        <v>0.69</v>
      </c>
      <c r="G102" s="5">
        <v>0</v>
      </c>
      <c r="H102" t="s">
        <v>6402</v>
      </c>
      <c r="I102">
        <v>2323243800</v>
      </c>
      <c r="K102">
        <v>0.16900000000000001</v>
      </c>
      <c r="L102" t="s">
        <v>6350</v>
      </c>
      <c r="M102" t="s">
        <v>1813</v>
      </c>
      <c r="N102" t="s">
        <v>1814</v>
      </c>
      <c r="O102" t="s">
        <v>1815</v>
      </c>
      <c r="P102">
        <v>79.88</v>
      </c>
      <c r="Q102" t="s">
        <v>1816</v>
      </c>
      <c r="R102">
        <v>37339228</v>
      </c>
      <c r="S102" s="5">
        <v>-5.5399999999999998E-2</v>
      </c>
      <c r="T102" t="s">
        <v>1817</v>
      </c>
      <c r="U102">
        <v>707020000</v>
      </c>
      <c r="V102">
        <v>3367020000</v>
      </c>
      <c r="W102">
        <v>5.3</v>
      </c>
      <c r="X102">
        <v>0.06</v>
      </c>
      <c r="Y102">
        <v>1.65</v>
      </c>
      <c r="Z102" t="s">
        <v>95</v>
      </c>
      <c r="AA102" t="s">
        <v>817</v>
      </c>
      <c r="AB102" t="s">
        <v>1818</v>
      </c>
      <c r="AC102" t="s">
        <v>1302</v>
      </c>
      <c r="AD102" t="s">
        <v>9</v>
      </c>
      <c r="AE102" t="s">
        <v>1819</v>
      </c>
      <c r="AF102" t="s">
        <v>9</v>
      </c>
      <c r="AG102" t="s">
        <v>1820</v>
      </c>
      <c r="AH102" t="s">
        <v>1821</v>
      </c>
      <c r="AI102" t="s">
        <v>1822</v>
      </c>
      <c r="AJ102" t="s">
        <v>94</v>
      </c>
      <c r="AK102" t="s">
        <v>1823</v>
      </c>
      <c r="AL102" t="s">
        <v>9</v>
      </c>
      <c r="AM102" t="s">
        <v>1824</v>
      </c>
      <c r="AN102" s="5">
        <v>0.76459999999999995</v>
      </c>
      <c r="AO102" t="s">
        <v>9</v>
      </c>
      <c r="AP102" t="s">
        <v>1825</v>
      </c>
      <c r="AQ102" t="s">
        <v>1826</v>
      </c>
      <c r="AR102" t="s">
        <v>1827</v>
      </c>
      <c r="AS102" t="s">
        <v>1828</v>
      </c>
      <c r="AT102" t="s">
        <v>1829</v>
      </c>
      <c r="AU102" t="s">
        <v>1830</v>
      </c>
      <c r="AV102" t="s">
        <v>1831</v>
      </c>
      <c r="AW102" t="s">
        <v>1832</v>
      </c>
      <c r="AX102" t="s">
        <v>1833</v>
      </c>
      <c r="AY102" t="s">
        <v>1834</v>
      </c>
      <c r="AZ102" t="s">
        <v>1835</v>
      </c>
      <c r="BA102" t="s">
        <v>1836</v>
      </c>
      <c r="BB102" t="s">
        <v>1837</v>
      </c>
      <c r="BC102" t="s">
        <v>1838</v>
      </c>
      <c r="BD102" t="s">
        <v>1839</v>
      </c>
      <c r="BE102" t="s">
        <v>1840</v>
      </c>
      <c r="BF102" t="s">
        <v>127</v>
      </c>
      <c r="BG102" t="s">
        <v>1841</v>
      </c>
      <c r="BH102" t="s">
        <v>1816</v>
      </c>
      <c r="BI102" t="s">
        <v>1726</v>
      </c>
      <c r="BJ102" t="s">
        <v>1833</v>
      </c>
      <c r="BK102" t="s">
        <v>1817</v>
      </c>
      <c r="BL102" t="s">
        <v>1842</v>
      </c>
      <c r="BM102" t="s">
        <v>1838</v>
      </c>
      <c r="BN102">
        <v>-2.81</v>
      </c>
      <c r="BO102">
        <v>0.36</v>
      </c>
      <c r="BP102">
        <v>0.04</v>
      </c>
      <c r="BQ102">
        <v>-7.58</v>
      </c>
      <c r="BR102">
        <v>0.94</v>
      </c>
      <c r="BS102">
        <v>0.1</v>
      </c>
      <c r="BT102" t="s">
        <v>212</v>
      </c>
      <c r="BU102" t="s">
        <v>410</v>
      </c>
      <c r="BV102">
        <v>13.14</v>
      </c>
      <c r="BW102">
        <v>16.37</v>
      </c>
      <c r="BX102">
        <v>17.96</v>
      </c>
      <c r="BY102">
        <v>-11.74</v>
      </c>
      <c r="BZ102">
        <v>1.05</v>
      </c>
      <c r="CA102">
        <v>2.61</v>
      </c>
      <c r="CB102">
        <v>-1.43</v>
      </c>
      <c r="CC102">
        <v>1.47</v>
      </c>
      <c r="CD102" t="s">
        <v>6403</v>
      </c>
      <c r="CE102" t="s">
        <v>6404</v>
      </c>
      <c r="CF102" s="8">
        <v>0.70364963503649636</v>
      </c>
      <c r="CG102" s="9">
        <v>-5.5399999999999998E-2</v>
      </c>
      <c r="CH102" s="8">
        <v>-0.46055299043655396</v>
      </c>
      <c r="CI102" s="8">
        <v>0.26639935374259949</v>
      </c>
      <c r="CJ102" s="8">
        <v>-4.615991935133934E-2</v>
      </c>
      <c r="CK102" s="8">
        <v>0.1055554673075676</v>
      </c>
      <c r="CL102" s="8">
        <v>0.10862816870212555</v>
      </c>
      <c r="CM102" s="9">
        <v>-7.8879666328430176</v>
      </c>
      <c r="CN102" s="9">
        <v>8.3359470367431641</v>
      </c>
      <c r="CO102" s="9">
        <v>-0.98708647489547729</v>
      </c>
      <c r="CP102" s="9">
        <v>0.25093862414360046</v>
      </c>
      <c r="CQ102" s="9">
        <v>-4.0816325694322586E-2</v>
      </c>
      <c r="CR102">
        <v>3.3126099809885932</v>
      </c>
      <c r="CS102">
        <v>9.7858195726102493E-2</v>
      </c>
      <c r="CT102">
        <v>0</v>
      </c>
      <c r="CU102" s="8">
        <v>0.33851124644279479</v>
      </c>
      <c r="CV102" s="9">
        <v>0.27109690010547638</v>
      </c>
      <c r="CW102">
        <v>0.06</v>
      </c>
      <c r="CX102" t="e">
        <v>#VALUE!</v>
      </c>
      <c r="CY102" t="s">
        <v>108</v>
      </c>
      <c r="CZ102">
        <v>0.33851124644279479</v>
      </c>
      <c r="DA102" t="e">
        <v>#VALUE!</v>
      </c>
      <c r="DB102" t="s">
        <v>108</v>
      </c>
      <c r="DC102">
        <v>0.32158568412065502</v>
      </c>
      <c r="DD102" t="e">
        <v>#VALUE!</v>
      </c>
      <c r="DE102" t="s">
        <v>108</v>
      </c>
      <c r="DF102">
        <v>0.29788989686965944</v>
      </c>
      <c r="DG102" t="e">
        <v>#VALUE!</v>
      </c>
      <c r="DH102" t="s">
        <v>108</v>
      </c>
      <c r="DI102">
        <v>0.27080899715423584</v>
      </c>
      <c r="DJ102" t="e">
        <v>#VALUE!</v>
      </c>
      <c r="DK102" t="s">
        <v>108</v>
      </c>
      <c r="DL102">
        <v>0.23695787250995634</v>
      </c>
      <c r="DM102">
        <v>-1660000000.0000002</v>
      </c>
      <c r="DN102">
        <v>0.33851124644279479</v>
      </c>
      <c r="DO102">
        <v>43441243800</v>
      </c>
      <c r="DP102" t="e">
        <v>#VALUE!</v>
      </c>
      <c r="DQ102">
        <v>106</v>
      </c>
      <c r="DR102">
        <v>0.36513838859370157</v>
      </c>
      <c r="DS102">
        <v>-0.32649690010547638</v>
      </c>
      <c r="DT102">
        <v>0.19333333333333327</v>
      </c>
      <c r="DU102">
        <v>-0.35666666666666674</v>
      </c>
      <c r="DV102">
        <v>-0.16333333333333347</v>
      </c>
      <c r="DW102">
        <v>1.47E-2</v>
      </c>
      <c r="DX102">
        <v>0.68729488599918109</v>
      </c>
      <c r="DY102">
        <v>1.5772348241879994E-3</v>
      </c>
      <c r="DZ102">
        <v>0</v>
      </c>
      <c r="EA102">
        <v>1.5772348241879994E-3</v>
      </c>
      <c r="EB102">
        <v>0</v>
      </c>
      <c r="EC102">
        <v>1.0929546008042719E-3</v>
      </c>
      <c r="ED102">
        <v>1.0186455678908947E-2</v>
      </c>
      <c r="EE102">
        <v>0</v>
      </c>
      <c r="EF102">
        <v>0</v>
      </c>
      <c r="EG102">
        <v>58.107294885999181</v>
      </c>
      <c r="EH102" t="s">
        <v>110</v>
      </c>
      <c r="EI102">
        <v>0</v>
      </c>
      <c r="EJ102">
        <v>0</v>
      </c>
      <c r="EK102">
        <v>0</v>
      </c>
      <c r="EL102">
        <v>0</v>
      </c>
      <c r="EM102">
        <v>0</v>
      </c>
      <c r="EN102">
        <v>0</v>
      </c>
      <c r="EO102">
        <v>0</v>
      </c>
      <c r="EP102">
        <v>0</v>
      </c>
    </row>
    <row r="103" spans="1:146" ht="96" x14ac:dyDescent="0.25">
      <c r="A103" s="7"/>
      <c r="B103" s="7"/>
      <c r="C103" s="7" t="str">
        <f>""&amp;CHAR(10)&amp;Basic_Fundamental_Information_Constructure(F103)&amp;CHAR(10)&amp;Basic_Fundamental_Information_Concatenate("")</f>
        <v xml:space="preserve">
市值97.929589亿, 利润12.85亿; PE6.24; 平均PE28.9; 平均PEG.99, PB.787; ROIC9.4967%; ROE10.34%; 股利率0%; 毛利28.0767%; 净利11.3633%; 上一年度营收增2.04%, 利润增26.35%, 利润增43.34%; 过往5年营收增29.31%, 利润增177.14%
Income profile:
</v>
      </c>
      <c r="D103" s="11">
        <v>590</v>
      </c>
      <c r="E103" t="s">
        <v>1843</v>
      </c>
      <c r="F103">
        <v>16.68</v>
      </c>
      <c r="G103" s="5">
        <v>-9.4999999999999998E-3</v>
      </c>
      <c r="H103" t="s">
        <v>7728</v>
      </c>
      <c r="I103">
        <v>9792958900</v>
      </c>
      <c r="J103">
        <v>6.24</v>
      </c>
      <c r="K103">
        <v>0.78700000000000003</v>
      </c>
      <c r="L103" t="s">
        <v>6350</v>
      </c>
      <c r="M103" t="s">
        <v>9</v>
      </c>
      <c r="N103" t="s">
        <v>9</v>
      </c>
      <c r="O103" t="s">
        <v>9</v>
      </c>
      <c r="P103" t="s">
        <v>9</v>
      </c>
      <c r="Q103" t="s">
        <v>7729</v>
      </c>
      <c r="R103">
        <v>942651000</v>
      </c>
      <c r="S103" s="5">
        <v>0.43340000000000001</v>
      </c>
      <c r="T103" t="s">
        <v>2632</v>
      </c>
      <c r="U103">
        <v>587107850</v>
      </c>
      <c r="V103">
        <v>587107850</v>
      </c>
      <c r="W103" t="s">
        <v>9</v>
      </c>
      <c r="X103" t="s">
        <v>9</v>
      </c>
      <c r="Y103" t="s">
        <v>9</v>
      </c>
      <c r="Z103" t="s">
        <v>9</v>
      </c>
      <c r="AA103" t="s">
        <v>9</v>
      </c>
      <c r="AB103" t="s">
        <v>9</v>
      </c>
      <c r="AC103" t="s">
        <v>9</v>
      </c>
      <c r="AD103" t="s">
        <v>9</v>
      </c>
      <c r="AE103" t="s">
        <v>9</v>
      </c>
      <c r="AF103" t="s">
        <v>9</v>
      </c>
      <c r="AG103" t="s">
        <v>9</v>
      </c>
      <c r="AH103" t="s">
        <v>7730</v>
      </c>
      <c r="AI103" t="s">
        <v>9</v>
      </c>
      <c r="AJ103" t="s">
        <v>9</v>
      </c>
      <c r="AK103" t="s">
        <v>7731</v>
      </c>
      <c r="AL103" t="s">
        <v>9</v>
      </c>
      <c r="AM103" t="s">
        <v>9</v>
      </c>
      <c r="AN103" s="5">
        <v>0.2208</v>
      </c>
      <c r="AO103" t="s">
        <v>9</v>
      </c>
      <c r="AP103" t="s">
        <v>1856</v>
      </c>
      <c r="AQ103" t="s">
        <v>9</v>
      </c>
      <c r="AR103" t="s">
        <v>7732</v>
      </c>
      <c r="AS103" t="s">
        <v>9</v>
      </c>
      <c r="AT103" t="s">
        <v>9</v>
      </c>
      <c r="AU103" t="s">
        <v>3951</v>
      </c>
      <c r="AV103" t="s">
        <v>7733</v>
      </c>
      <c r="AW103" t="s">
        <v>9</v>
      </c>
      <c r="AX103" t="s">
        <v>1844</v>
      </c>
      <c r="AY103" t="s">
        <v>1846</v>
      </c>
      <c r="AZ103" t="s">
        <v>1847</v>
      </c>
      <c r="BA103" t="s">
        <v>1848</v>
      </c>
      <c r="BB103" t="s">
        <v>1849</v>
      </c>
      <c r="BC103" t="s">
        <v>1850</v>
      </c>
      <c r="BD103" t="s">
        <v>1851</v>
      </c>
      <c r="BE103" t="s">
        <v>1852</v>
      </c>
      <c r="BF103" t="s">
        <v>1853</v>
      </c>
      <c r="BG103" t="s">
        <v>1850</v>
      </c>
      <c r="BH103" t="s">
        <v>1844</v>
      </c>
      <c r="BI103" t="s">
        <v>9</v>
      </c>
      <c r="BJ103" t="s">
        <v>1846</v>
      </c>
      <c r="BK103" t="s">
        <v>1340</v>
      </c>
      <c r="BL103" t="s">
        <v>9</v>
      </c>
      <c r="BM103" t="s">
        <v>1850</v>
      </c>
      <c r="BN103">
        <v>9.59</v>
      </c>
      <c r="BO103">
        <v>10.53</v>
      </c>
      <c r="BP103">
        <v>8.3699999999999992</v>
      </c>
      <c r="BQ103">
        <v>10.51</v>
      </c>
      <c r="BR103">
        <v>11.53</v>
      </c>
      <c r="BS103">
        <v>8.98</v>
      </c>
      <c r="BT103" t="s">
        <v>7734</v>
      </c>
      <c r="BU103" t="s">
        <v>1541</v>
      </c>
      <c r="BV103">
        <v>26.97</v>
      </c>
      <c r="BW103">
        <v>27.55</v>
      </c>
      <c r="BX103">
        <v>29.71</v>
      </c>
      <c r="BY103">
        <v>10.73</v>
      </c>
      <c r="BZ103">
        <v>11.86</v>
      </c>
      <c r="CA103">
        <v>11.5</v>
      </c>
      <c r="CB103">
        <v>-0.6</v>
      </c>
      <c r="CC103">
        <v>-12.67</v>
      </c>
      <c r="CD103" t="s">
        <v>7735</v>
      </c>
      <c r="CE103" t="s">
        <v>7736</v>
      </c>
      <c r="CF103" s="8" t="s">
        <v>9</v>
      </c>
      <c r="CG103" s="9">
        <v>0.43340000000000001</v>
      </c>
      <c r="CH103" s="8">
        <v>2.0446412265300751E-2</v>
      </c>
      <c r="CI103" s="8">
        <v>0.32468128204345703</v>
      </c>
      <c r="CJ103" s="8">
        <v>-0.21123377978801727</v>
      </c>
      <c r="CK103" s="8">
        <v>-0.22938674688339233</v>
      </c>
      <c r="CL103" s="8">
        <v>0.13828372955322266</v>
      </c>
      <c r="CM103" s="9">
        <v>0.26352009177207947</v>
      </c>
      <c r="CN103" s="9">
        <v>0.17436489462852478</v>
      </c>
      <c r="CO103" s="9">
        <v>-0.41995978355407715</v>
      </c>
      <c r="CP103" s="9">
        <v>9.0577065944671631E-2</v>
      </c>
      <c r="CQ103" s="9">
        <v>0.34611597657203674</v>
      </c>
      <c r="CR103">
        <v>28.899425122420254</v>
      </c>
      <c r="CS103">
        <v>0.98584351245665613</v>
      </c>
      <c r="CT103">
        <v>0</v>
      </c>
      <c r="CU103" s="8">
        <v>0.29314414262771604</v>
      </c>
      <c r="CV103" s="9">
        <v>1.7714460261166096</v>
      </c>
      <c r="CW103">
        <v>0.06</v>
      </c>
      <c r="CX103">
        <v>6.246974489343188</v>
      </c>
      <c r="CY103">
        <v>1567632286.1100142</v>
      </c>
      <c r="CZ103">
        <v>0.29314414262771604</v>
      </c>
      <c r="DA103">
        <v>1.7259932017666069</v>
      </c>
      <c r="DB103">
        <v>5673810818.0128441</v>
      </c>
      <c r="DC103">
        <v>0.27848693549633025</v>
      </c>
      <c r="DD103">
        <v>0.66862703731451734</v>
      </c>
      <c r="DE103">
        <v>14646369879.585745</v>
      </c>
      <c r="DF103">
        <v>0.25796684551239013</v>
      </c>
      <c r="DG103">
        <v>0.30000873738464562</v>
      </c>
      <c r="DH103">
        <v>32642245640.480476</v>
      </c>
      <c r="DI103">
        <v>0.23451531410217286</v>
      </c>
      <c r="DJ103">
        <v>7.6298717725637288E-2</v>
      </c>
      <c r="DK103">
        <v>128350242204.7841</v>
      </c>
      <c r="DL103">
        <v>0.20520089983940121</v>
      </c>
      <c r="DM103">
        <v>1285000000</v>
      </c>
      <c r="DN103">
        <v>0.29314414262771604</v>
      </c>
      <c r="DO103">
        <v>9792958900</v>
      </c>
      <c r="DP103" t="e">
        <v>#VALUE!</v>
      </c>
      <c r="DQ103">
        <v>102</v>
      </c>
      <c r="DR103" t="e">
        <v>#VALUE!</v>
      </c>
      <c r="DS103">
        <v>-1.3380460261166096</v>
      </c>
      <c r="DT103" t="e">
        <v>#VALUE!</v>
      </c>
      <c r="DU103" t="e">
        <v>#VALUE!</v>
      </c>
      <c r="DV103" t="e">
        <v>#VALUE!</v>
      </c>
      <c r="DW103">
        <v>-2.1267</v>
      </c>
      <c r="DX103">
        <v>0.3927155609900338</v>
      </c>
      <c r="DY103">
        <v>-2.0294850615774371</v>
      </c>
      <c r="DZ103">
        <v>0</v>
      </c>
      <c r="EA103">
        <v>-2.0294850615774371</v>
      </c>
      <c r="EB103">
        <v>2</v>
      </c>
      <c r="EC103">
        <v>9.9194722060009927E-3</v>
      </c>
      <c r="ED103">
        <v>4.262487718397906E-2</v>
      </c>
      <c r="EE103">
        <v>0</v>
      </c>
      <c r="EF103">
        <v>0</v>
      </c>
      <c r="EG103">
        <v>16.232715560990034</v>
      </c>
      <c r="EH103" t="s">
        <v>110</v>
      </c>
      <c r="EI103">
        <v>0</v>
      </c>
      <c r="EJ103">
        <v>0</v>
      </c>
      <c r="EK103">
        <v>0</v>
      </c>
      <c r="EL103">
        <v>0</v>
      </c>
      <c r="EM103">
        <v>0</v>
      </c>
      <c r="EN103">
        <v>0</v>
      </c>
      <c r="EO103">
        <v>0</v>
      </c>
      <c r="EP103">
        <v>0</v>
      </c>
    </row>
    <row r="104" spans="1:146" ht="96" x14ac:dyDescent="0.25">
      <c r="A104" s="7"/>
      <c r="B104" s="7"/>
      <c r="C104" s="7" t="str">
        <f>""&amp;CHAR(10)&amp;Basic_Fundamental_Information_Constructure(F104)&amp;CHAR(10)&amp;Basic_Fundamental_Information_Concatenate("")</f>
        <v xml:space="preserve">
市值266.23892亿, 利润46.28亿; PE6.05; 平均PE35.86; 平均PEG1.15, PB.638; ROIC9.2133%; ROE11.3533%; 股利率0%; 毛利5.0433%; 净利3.8233%; 上一年度营收增-9.61%, 利润增1.78%; 当季营收增-28.39%, 利润增-20.78%; 过往5年营收增31.14%, 利润增-378.77%
Income profile:
</v>
      </c>
      <c r="D104" s="11">
        <v>598</v>
      </c>
      <c r="E104" t="s">
        <v>1854</v>
      </c>
      <c r="F104">
        <v>3.65</v>
      </c>
      <c r="G104" s="5">
        <v>-1.6199999999999999E-2</v>
      </c>
      <c r="H104" t="s">
        <v>7737</v>
      </c>
      <c r="I104">
        <v>26623892000</v>
      </c>
      <c r="J104">
        <v>6.05</v>
      </c>
      <c r="K104">
        <v>0.63800000000000001</v>
      </c>
      <c r="L104" t="s">
        <v>6350</v>
      </c>
      <c r="M104" t="s">
        <v>7738</v>
      </c>
      <c r="N104" t="s">
        <v>7739</v>
      </c>
      <c r="O104" t="s">
        <v>7740</v>
      </c>
      <c r="P104">
        <v>8.09</v>
      </c>
      <c r="Q104" t="s">
        <v>7741</v>
      </c>
      <c r="R104">
        <v>3397549600</v>
      </c>
      <c r="S104" s="5">
        <v>-0.20780000000000001</v>
      </c>
      <c r="T104" t="s">
        <v>7742</v>
      </c>
      <c r="U104">
        <v>2038300000</v>
      </c>
      <c r="V104">
        <v>7294216900</v>
      </c>
      <c r="W104">
        <v>2.06</v>
      </c>
      <c r="X104">
        <v>0.31</v>
      </c>
      <c r="Y104">
        <v>4.1900000000000004</v>
      </c>
      <c r="Z104" t="s">
        <v>7743</v>
      </c>
      <c r="AA104" t="s">
        <v>7744</v>
      </c>
      <c r="AB104" t="s">
        <v>691</v>
      </c>
      <c r="AC104" t="s">
        <v>233</v>
      </c>
      <c r="AD104" t="s">
        <v>7745</v>
      </c>
      <c r="AE104" t="s">
        <v>7746</v>
      </c>
      <c r="AF104" t="s">
        <v>9</v>
      </c>
      <c r="AG104" t="s">
        <v>6073</v>
      </c>
      <c r="AH104" t="s">
        <v>7747</v>
      </c>
      <c r="AI104" t="s">
        <v>7748</v>
      </c>
      <c r="AJ104" t="s">
        <v>7749</v>
      </c>
      <c r="AK104" t="s">
        <v>7750</v>
      </c>
      <c r="AL104" t="s">
        <v>9</v>
      </c>
      <c r="AM104" t="s">
        <v>7751</v>
      </c>
      <c r="AN104" s="5">
        <v>0.48430000000000001</v>
      </c>
      <c r="AO104" t="s">
        <v>7752</v>
      </c>
      <c r="AP104" t="s">
        <v>1478</v>
      </c>
      <c r="AQ104" t="s">
        <v>2748</v>
      </c>
      <c r="AR104" t="s">
        <v>7753</v>
      </c>
      <c r="AS104" t="s">
        <v>7754</v>
      </c>
      <c r="AT104" t="s">
        <v>5046</v>
      </c>
      <c r="AU104" t="s">
        <v>7755</v>
      </c>
      <c r="AV104" t="s">
        <v>3532</v>
      </c>
      <c r="AW104" t="s">
        <v>3825</v>
      </c>
      <c r="AX104" t="s">
        <v>7756</v>
      </c>
      <c r="AY104" t="s">
        <v>1859</v>
      </c>
      <c r="AZ104" t="s">
        <v>1860</v>
      </c>
      <c r="BA104" t="s">
        <v>1861</v>
      </c>
      <c r="BB104" t="s">
        <v>1862</v>
      </c>
      <c r="BC104" t="s">
        <v>1863</v>
      </c>
      <c r="BD104" t="s">
        <v>1864</v>
      </c>
      <c r="BE104" t="s">
        <v>1865</v>
      </c>
      <c r="BF104" t="s">
        <v>1866</v>
      </c>
      <c r="BG104" t="s">
        <v>1038</v>
      </c>
      <c r="BH104" t="s">
        <v>7756</v>
      </c>
      <c r="BI104" t="s">
        <v>1867</v>
      </c>
      <c r="BJ104" t="s">
        <v>1859</v>
      </c>
      <c r="BK104" t="s">
        <v>1855</v>
      </c>
      <c r="BL104" t="s">
        <v>1868</v>
      </c>
      <c r="BM104" t="s">
        <v>1863</v>
      </c>
      <c r="BN104">
        <v>9.65</v>
      </c>
      <c r="BO104">
        <v>9.01</v>
      </c>
      <c r="BP104">
        <v>8.98</v>
      </c>
      <c r="BQ104">
        <v>11.17</v>
      </c>
      <c r="BR104">
        <v>11.67</v>
      </c>
      <c r="BS104">
        <v>11.22</v>
      </c>
      <c r="BT104" t="s">
        <v>7757</v>
      </c>
      <c r="BU104" t="s">
        <v>687</v>
      </c>
      <c r="BV104">
        <v>5.46</v>
      </c>
      <c r="BW104">
        <v>5.32</v>
      </c>
      <c r="BX104">
        <v>4.3499999999999996</v>
      </c>
      <c r="BY104">
        <v>4.3899999999999997</v>
      </c>
      <c r="BZ104">
        <v>3.91</v>
      </c>
      <c r="CA104">
        <v>3.17</v>
      </c>
      <c r="CB104">
        <v>-5.44</v>
      </c>
      <c r="CC104">
        <v>-19.12</v>
      </c>
      <c r="CD104" t="s">
        <v>7758</v>
      </c>
      <c r="CE104" t="s">
        <v>1434</v>
      </c>
      <c r="CF104" s="8">
        <v>-0.28392455726739413</v>
      </c>
      <c r="CG104" s="9">
        <v>-0.20780000000000001</v>
      </c>
      <c r="CH104" s="8">
        <v>-9.6054583787918091E-2</v>
      </c>
      <c r="CI104" s="8">
        <v>-0.19072708487510681</v>
      </c>
      <c r="CJ104" s="8">
        <v>0.51163613796234131</v>
      </c>
      <c r="CK104" s="8">
        <v>0.14224050939083099</v>
      </c>
      <c r="CL104" s="8">
        <v>3.6255919840186834E-3</v>
      </c>
      <c r="CM104" s="9">
        <v>1.7813930287957191E-2</v>
      </c>
      <c r="CN104" s="9">
        <v>0.38501361012458801</v>
      </c>
      <c r="CO104" s="9">
        <v>4.7877475619316101E-2</v>
      </c>
      <c r="CP104" s="9">
        <v>1.7538119107484818E-2</v>
      </c>
      <c r="CQ104" s="9">
        <v>0.11477197706699371</v>
      </c>
      <c r="CR104">
        <v>35.862241504700847</v>
      </c>
      <c r="CS104">
        <v>1.1517737037324334</v>
      </c>
      <c r="CT104">
        <v>0</v>
      </c>
      <c r="CU104" s="8">
        <v>0.31136534363031387</v>
      </c>
      <c r="CV104" s="9">
        <v>-3.7877460539340975</v>
      </c>
      <c r="CW104">
        <v>0.06</v>
      </c>
      <c r="CX104">
        <v>4.179026279732974</v>
      </c>
      <c r="CY104">
        <v>5725470575.7746153</v>
      </c>
      <c r="CZ104">
        <v>0.31136534363031387</v>
      </c>
      <c r="DA104">
        <v>1.1378594323849407</v>
      </c>
      <c r="DB104">
        <v>21027985811.78828</v>
      </c>
      <c r="DC104">
        <v>0.29579707644879816</v>
      </c>
      <c r="DD104">
        <v>0.43114037746485762</v>
      </c>
      <c r="DE104">
        <v>55496755234.784958</v>
      </c>
      <c r="DF104">
        <v>0.27400150239467619</v>
      </c>
      <c r="DG104">
        <v>0.18801178896984341</v>
      </c>
      <c r="DH104">
        <v>127262721827.71373</v>
      </c>
      <c r="DI104">
        <v>0.24909227490425112</v>
      </c>
      <c r="DJ104">
        <v>4.4437916232443787E-2</v>
      </c>
      <c r="DK104">
        <v>538434157777.43323</v>
      </c>
      <c r="DL104">
        <v>0.21795574054121969</v>
      </c>
      <c r="DM104">
        <v>4628000000</v>
      </c>
      <c r="DN104">
        <v>0.31136534363031387</v>
      </c>
      <c r="DO104">
        <v>23926892000</v>
      </c>
      <c r="DP104" t="e">
        <v>#VALUE!</v>
      </c>
      <c r="DQ104">
        <v>103</v>
      </c>
      <c r="DR104">
        <v>-0.59528990089770795</v>
      </c>
      <c r="DS104">
        <v>3.5799460539340973</v>
      </c>
      <c r="DT104">
        <v>0.29333333333333339</v>
      </c>
      <c r="DU104">
        <v>-0.70000000000000018</v>
      </c>
      <c r="DV104">
        <v>-0.40666666666666679</v>
      </c>
      <c r="DW104">
        <v>-8.2845188284518834</v>
      </c>
      <c r="DX104">
        <v>0.36651938775510073</v>
      </c>
      <c r="DY104">
        <v>-8.0388423362650503</v>
      </c>
      <c r="DZ104">
        <v>0</v>
      </c>
      <c r="EA104">
        <v>-8.0388423362650503</v>
      </c>
      <c r="EB104">
        <v>8</v>
      </c>
      <c r="EC104">
        <v>5.5025372223301994E-3</v>
      </c>
      <c r="ED104">
        <v>4.03059031600774E-2</v>
      </c>
      <c r="EE104">
        <v>0</v>
      </c>
      <c r="EF104">
        <v>0</v>
      </c>
      <c r="EG104">
        <v>23.136519387755101</v>
      </c>
      <c r="EH104" t="s">
        <v>110</v>
      </c>
      <c r="EI104">
        <v>0</v>
      </c>
      <c r="EJ104">
        <v>0</v>
      </c>
      <c r="EK104">
        <v>0</v>
      </c>
      <c r="EL104">
        <v>0</v>
      </c>
      <c r="EM104">
        <v>0</v>
      </c>
      <c r="EN104">
        <v>0</v>
      </c>
      <c r="EO104">
        <v>0</v>
      </c>
      <c r="EP104">
        <v>0</v>
      </c>
    </row>
    <row r="105" spans="1:146" ht="96" x14ac:dyDescent="0.25">
      <c r="A105" s="7"/>
      <c r="B105" s="7"/>
      <c r="C105" s="7" t="str">
        <f>""&amp;CHAR(10)&amp;Basic_Fundamental_Information_Constructure(F105)&amp;CHAR(10)&amp;Basic_Fundamental_Information_Concatenate("")</f>
        <v xml:space="preserve">
市值82.758776亿, 利润-2.61亿; PE; 平均PE8.72; 平均PEG.19, PB.196; ROIC-.3733%; ROE-.4967%; 股利率0%; 毛利34.9833%; 净利.8167%; 上一年度营收增-49.8%, 利润增90.41%, 利润增-112.5%; 过往5年营收增46.79%, 利润增15.99%
Income profile:
</v>
      </c>
      <c r="D105" s="11">
        <v>604</v>
      </c>
      <c r="E105" t="s">
        <v>1869</v>
      </c>
      <c r="F105">
        <v>0.93</v>
      </c>
      <c r="G105" s="5">
        <v>-1.06E-2</v>
      </c>
      <c r="H105" t="s">
        <v>7759</v>
      </c>
      <c r="I105">
        <v>8275877600</v>
      </c>
      <c r="K105">
        <v>0.19600000000000001</v>
      </c>
      <c r="L105" t="s">
        <v>6350</v>
      </c>
      <c r="M105" t="s">
        <v>9</v>
      </c>
      <c r="N105" t="s">
        <v>9</v>
      </c>
      <c r="O105" t="s">
        <v>9</v>
      </c>
      <c r="P105" t="s">
        <v>9</v>
      </c>
      <c r="Q105" t="s">
        <v>7760</v>
      </c>
      <c r="R105">
        <v>-261397000</v>
      </c>
      <c r="S105" s="5">
        <v>-1.125</v>
      </c>
      <c r="T105" t="s">
        <v>7652</v>
      </c>
      <c r="U105">
        <v>8898793100</v>
      </c>
      <c r="V105">
        <v>8898793100</v>
      </c>
      <c r="W105" t="s">
        <v>9</v>
      </c>
      <c r="X105" t="s">
        <v>9</v>
      </c>
      <c r="Y105" t="s">
        <v>9</v>
      </c>
      <c r="Z105" t="s">
        <v>9</v>
      </c>
      <c r="AA105" t="s">
        <v>9</v>
      </c>
      <c r="AB105" t="s">
        <v>9</v>
      </c>
      <c r="AC105" t="s">
        <v>9</v>
      </c>
      <c r="AD105" t="s">
        <v>9</v>
      </c>
      <c r="AE105" t="s">
        <v>9</v>
      </c>
      <c r="AF105" t="s">
        <v>9</v>
      </c>
      <c r="AG105" t="s">
        <v>9</v>
      </c>
      <c r="AH105" t="s">
        <v>7761</v>
      </c>
      <c r="AI105" t="s">
        <v>9</v>
      </c>
      <c r="AJ105" t="s">
        <v>9</v>
      </c>
      <c r="AK105" t="s">
        <v>7762</v>
      </c>
      <c r="AL105" t="s">
        <v>9</v>
      </c>
      <c r="AM105" t="s">
        <v>9</v>
      </c>
      <c r="AN105" s="5">
        <v>0.7278</v>
      </c>
      <c r="AO105" t="s">
        <v>9</v>
      </c>
      <c r="AP105" t="s">
        <v>5231</v>
      </c>
      <c r="AQ105" t="s">
        <v>9</v>
      </c>
      <c r="AR105" t="s">
        <v>7763</v>
      </c>
      <c r="AS105" t="s">
        <v>9</v>
      </c>
      <c r="AT105" t="s">
        <v>9</v>
      </c>
      <c r="AU105" t="s">
        <v>5889</v>
      </c>
      <c r="AV105" t="s">
        <v>2070</v>
      </c>
      <c r="AW105" t="s">
        <v>9</v>
      </c>
      <c r="AX105" t="s">
        <v>1870</v>
      </c>
      <c r="AY105" t="s">
        <v>1872</v>
      </c>
      <c r="AZ105" t="s">
        <v>1873</v>
      </c>
      <c r="BA105" t="s">
        <v>1874</v>
      </c>
      <c r="BB105" t="s">
        <v>1875</v>
      </c>
      <c r="BC105" t="s">
        <v>1876</v>
      </c>
      <c r="BD105" t="s">
        <v>1877</v>
      </c>
      <c r="BE105" t="s">
        <v>576</v>
      </c>
      <c r="BF105" t="s">
        <v>1878</v>
      </c>
      <c r="BG105" t="s">
        <v>1879</v>
      </c>
      <c r="BH105" t="s">
        <v>1870</v>
      </c>
      <c r="BI105" t="s">
        <v>9</v>
      </c>
      <c r="BJ105" t="s">
        <v>1872</v>
      </c>
      <c r="BK105" t="s">
        <v>1871</v>
      </c>
      <c r="BL105" t="s">
        <v>9</v>
      </c>
      <c r="BM105" t="s">
        <v>1876</v>
      </c>
      <c r="BN105">
        <v>-0.31</v>
      </c>
      <c r="BO105">
        <v>2.42</v>
      </c>
      <c r="BP105">
        <v>-3.23</v>
      </c>
      <c r="BQ105">
        <v>-0.62</v>
      </c>
      <c r="BR105">
        <v>4.67</v>
      </c>
      <c r="BS105">
        <v>-5.54</v>
      </c>
      <c r="BT105" t="s">
        <v>7764</v>
      </c>
      <c r="BU105" t="s">
        <v>410</v>
      </c>
      <c r="BV105">
        <v>32.28</v>
      </c>
      <c r="BW105">
        <v>33.9</v>
      </c>
      <c r="BX105">
        <v>38.770000000000003</v>
      </c>
      <c r="BY105">
        <v>1.22</v>
      </c>
      <c r="BZ105">
        <v>7.78</v>
      </c>
      <c r="CA105">
        <v>-6.55</v>
      </c>
      <c r="CB105">
        <v>-3.12</v>
      </c>
      <c r="CC105">
        <v>-5.0999999999999996</v>
      </c>
      <c r="CD105" t="s">
        <v>7765</v>
      </c>
      <c r="CE105" t="s">
        <v>669</v>
      </c>
      <c r="CF105" s="8" t="s">
        <v>9</v>
      </c>
      <c r="CG105" s="9">
        <v>-1.125</v>
      </c>
      <c r="CH105" s="8">
        <v>-0.49803423881530762</v>
      </c>
      <c r="CI105" s="8">
        <v>-1.5912609174847603E-2</v>
      </c>
      <c r="CJ105" s="8">
        <v>0.70451527833938599</v>
      </c>
      <c r="CK105" s="8">
        <v>0.1297842264175415</v>
      </c>
      <c r="CL105" s="8">
        <v>0.62307393550872803</v>
      </c>
      <c r="CM105" s="9">
        <v>0.90411466360092163</v>
      </c>
      <c r="CN105" s="9">
        <v>-1.7311307191848755</v>
      </c>
      <c r="CO105" s="9">
        <v>-8.368200808763504E-2</v>
      </c>
      <c r="CP105" s="9">
        <v>0.18975108861923218</v>
      </c>
      <c r="CQ105" s="9">
        <v>-0.31024035811424255</v>
      </c>
      <c r="CR105">
        <v>8.7175676966292137</v>
      </c>
      <c r="CS105">
        <v>0.18631277670677468</v>
      </c>
      <c r="CT105">
        <v>0</v>
      </c>
      <c r="CU105" s="8">
        <v>0.46789961755275727</v>
      </c>
      <c r="CV105" s="9">
        <v>0.15989638268947601</v>
      </c>
      <c r="CW105">
        <v>0.06</v>
      </c>
      <c r="CX105" t="e">
        <v>#VALUE!</v>
      </c>
      <c r="CY105" t="s">
        <v>109</v>
      </c>
      <c r="CZ105">
        <v>0.46789961755275727</v>
      </c>
      <c r="DA105" t="e">
        <v>#VALUE!</v>
      </c>
      <c r="DB105" t="s">
        <v>108</v>
      </c>
      <c r="DC105">
        <v>0.44450463667511941</v>
      </c>
      <c r="DD105" t="e">
        <v>#VALUE!</v>
      </c>
      <c r="DE105" t="s">
        <v>108</v>
      </c>
      <c r="DF105">
        <v>0.41175166344642639</v>
      </c>
      <c r="DG105" t="e">
        <v>#VALUE!</v>
      </c>
      <c r="DH105" t="s">
        <v>108</v>
      </c>
      <c r="DI105">
        <v>0.37431969404220583</v>
      </c>
      <c r="DJ105" t="e">
        <v>#VALUE!</v>
      </c>
      <c r="DK105" t="s">
        <v>108</v>
      </c>
      <c r="DL105">
        <v>0.32752973228693005</v>
      </c>
      <c r="DM105">
        <v>-261000000</v>
      </c>
      <c r="DN105">
        <v>0.46789961755275727</v>
      </c>
      <c r="DO105">
        <v>8275877600</v>
      </c>
      <c r="DP105" t="e">
        <v>#VALUE!</v>
      </c>
      <c r="DQ105">
        <v>104</v>
      </c>
      <c r="DR105" t="e">
        <v>#VALUE!</v>
      </c>
      <c r="DS105">
        <v>-1.2848963826894759</v>
      </c>
      <c r="DT105" t="e">
        <v>#VALUE!</v>
      </c>
      <c r="DU105" t="e">
        <v>#VALUE!</v>
      </c>
      <c r="DV105" t="e">
        <v>#VALUE!</v>
      </c>
      <c r="DW105">
        <v>-8.6117647058823525</v>
      </c>
      <c r="DX105">
        <v>0.20985156249999959</v>
      </c>
      <c r="DY105">
        <v>-8.0610856617647055</v>
      </c>
      <c r="DZ105">
        <v>0</v>
      </c>
      <c r="EA105">
        <v>-8.0610856617647055</v>
      </c>
      <c r="EB105">
        <v>8</v>
      </c>
      <c r="EC105">
        <v>1.4362621825649592E-3</v>
      </c>
      <c r="ED105">
        <v>1.4383973035624349E-2</v>
      </c>
      <c r="EE105">
        <v>0</v>
      </c>
      <c r="EF105">
        <v>0</v>
      </c>
      <c r="EG105">
        <v>11.0998515625</v>
      </c>
      <c r="EH105" t="s">
        <v>110</v>
      </c>
      <c r="EI105">
        <v>0</v>
      </c>
      <c r="EJ105">
        <v>0</v>
      </c>
      <c r="EK105">
        <v>0</v>
      </c>
      <c r="EL105">
        <v>0</v>
      </c>
      <c r="EM105">
        <v>0</v>
      </c>
      <c r="EN105">
        <v>0</v>
      </c>
      <c r="EO105">
        <v>0</v>
      </c>
      <c r="EP105">
        <v>0</v>
      </c>
    </row>
    <row r="106" spans="1:146" ht="96" x14ac:dyDescent="0.25">
      <c r="A106" s="7"/>
      <c r="B106" s="7"/>
      <c r="C106" s="7" t="str">
        <f>""&amp;CHAR(10)&amp;Basic_Fundamental_Information_Constructure(F106)&amp;CHAR(10)&amp;Basic_Fundamental_Information_Concatenate("")</f>
        <v xml:space="preserve">
市值152.30397亿, 利润21.15亿; PE7.9; 平均PE44.72; 平均PEG5.57, PB1.2; ROIC11.8%; ROE15.8967%; 股利率0%; 毛利24.55%; 净利10.8833%; 上一年度营收增26.83%, 利润增37.16%, 利润增12.59%; 过往5年营收增-8.03%, 利润增-16.57%
Income profile:
</v>
      </c>
      <c r="D106" s="11">
        <v>631</v>
      </c>
      <c r="E106" t="s">
        <v>1880</v>
      </c>
      <c r="F106">
        <v>4.7699999999999996</v>
      </c>
      <c r="G106" s="5">
        <v>-1.8499999999999999E-2</v>
      </c>
      <c r="H106" t="s">
        <v>7766</v>
      </c>
      <c r="I106">
        <v>15230397000</v>
      </c>
      <c r="J106">
        <v>7.9</v>
      </c>
      <c r="K106">
        <v>1.2</v>
      </c>
      <c r="L106" t="s">
        <v>6350</v>
      </c>
      <c r="M106" t="s">
        <v>9</v>
      </c>
      <c r="N106" t="s">
        <v>9</v>
      </c>
      <c r="O106" t="s">
        <v>9</v>
      </c>
      <c r="P106" t="s">
        <v>9</v>
      </c>
      <c r="Q106" t="s">
        <v>7767</v>
      </c>
      <c r="R106">
        <v>2114561000</v>
      </c>
      <c r="S106" s="5">
        <v>0.12590000000000001</v>
      </c>
      <c r="T106" t="s">
        <v>7768</v>
      </c>
      <c r="U106">
        <v>3192660300</v>
      </c>
      <c r="V106">
        <v>3192660300</v>
      </c>
      <c r="W106" t="s">
        <v>9</v>
      </c>
      <c r="X106" t="s">
        <v>9</v>
      </c>
      <c r="Y106" t="s">
        <v>9</v>
      </c>
      <c r="Z106" t="s">
        <v>9</v>
      </c>
      <c r="AA106" t="s">
        <v>9</v>
      </c>
      <c r="AB106" t="s">
        <v>9</v>
      </c>
      <c r="AC106" t="s">
        <v>9</v>
      </c>
      <c r="AD106" t="s">
        <v>1553</v>
      </c>
      <c r="AE106" t="s">
        <v>9</v>
      </c>
      <c r="AF106" t="s">
        <v>9</v>
      </c>
      <c r="AG106" t="s">
        <v>9</v>
      </c>
      <c r="AH106" t="s">
        <v>7769</v>
      </c>
      <c r="AI106" t="s">
        <v>9</v>
      </c>
      <c r="AJ106" t="s">
        <v>9</v>
      </c>
      <c r="AK106" t="s">
        <v>7770</v>
      </c>
      <c r="AL106" t="s">
        <v>9</v>
      </c>
      <c r="AM106" t="s">
        <v>9</v>
      </c>
      <c r="AN106" s="5">
        <v>0.67</v>
      </c>
      <c r="AO106" t="s">
        <v>9</v>
      </c>
      <c r="AP106" t="s">
        <v>5532</v>
      </c>
      <c r="AQ106" t="s">
        <v>9</v>
      </c>
      <c r="AR106" t="s">
        <v>5212</v>
      </c>
      <c r="AS106" t="s">
        <v>9</v>
      </c>
      <c r="AT106" t="s">
        <v>9</v>
      </c>
      <c r="AU106" t="s">
        <v>40</v>
      </c>
      <c r="AV106" t="s">
        <v>7771</v>
      </c>
      <c r="AW106" t="s">
        <v>9</v>
      </c>
      <c r="AX106" t="s">
        <v>1881</v>
      </c>
      <c r="AY106" t="s">
        <v>1884</v>
      </c>
      <c r="AZ106" t="s">
        <v>1885</v>
      </c>
      <c r="BA106" t="s">
        <v>1886</v>
      </c>
      <c r="BB106" t="s">
        <v>1887</v>
      </c>
      <c r="BC106" t="s">
        <v>1888</v>
      </c>
      <c r="BD106" t="s">
        <v>1889</v>
      </c>
      <c r="BE106" t="s">
        <v>96</v>
      </c>
      <c r="BF106" t="s">
        <v>1890</v>
      </c>
      <c r="BG106" t="s">
        <v>143</v>
      </c>
      <c r="BH106" t="s">
        <v>1881</v>
      </c>
      <c r="BI106" t="s">
        <v>1891</v>
      </c>
      <c r="BJ106" t="s">
        <v>1884</v>
      </c>
      <c r="BK106" t="s">
        <v>1882</v>
      </c>
      <c r="BL106" t="s">
        <v>1310</v>
      </c>
      <c r="BM106" t="s">
        <v>1888</v>
      </c>
      <c r="BN106">
        <v>11.63</v>
      </c>
      <c r="BO106">
        <v>12.89</v>
      </c>
      <c r="BP106">
        <v>10.88</v>
      </c>
      <c r="BQ106">
        <v>16.64</v>
      </c>
      <c r="BR106">
        <v>16.579999999999998</v>
      </c>
      <c r="BS106">
        <v>14.47</v>
      </c>
      <c r="BT106" t="s">
        <v>1892</v>
      </c>
      <c r="BU106" t="s">
        <v>589</v>
      </c>
      <c r="BV106">
        <v>26.86</v>
      </c>
      <c r="BW106">
        <v>23.35</v>
      </c>
      <c r="BX106">
        <v>23.44</v>
      </c>
      <c r="BY106">
        <v>9.07</v>
      </c>
      <c r="BZ106">
        <v>10.74</v>
      </c>
      <c r="CA106">
        <v>12.84</v>
      </c>
      <c r="CB106">
        <v>-4.41</v>
      </c>
      <c r="CC106">
        <v>-24.17</v>
      </c>
      <c r="CD106" t="s">
        <v>7772</v>
      </c>
      <c r="CE106" t="s">
        <v>160</v>
      </c>
      <c r="CF106" s="8" t="s">
        <v>9</v>
      </c>
      <c r="CG106" s="9">
        <v>0.12590000000000001</v>
      </c>
      <c r="CH106" s="8">
        <v>0.26827189326286316</v>
      </c>
      <c r="CI106" s="8">
        <v>0.40406942367553711</v>
      </c>
      <c r="CJ106" s="8">
        <v>0.4222399890422821</v>
      </c>
      <c r="CK106" s="8">
        <v>0.7452772855758667</v>
      </c>
      <c r="CL106" s="8">
        <v>0.69042021036148071</v>
      </c>
      <c r="CM106" s="9">
        <v>0.37159529328346252</v>
      </c>
      <c r="CN106" s="9">
        <v>0.23756019771099091</v>
      </c>
      <c r="CO106" s="9">
        <v>0.21206225454807281</v>
      </c>
      <c r="CP106" s="9">
        <v>0.50512444972991943</v>
      </c>
      <c r="CQ106" s="9">
        <v>1.4836363792419434</v>
      </c>
      <c r="CR106">
        <v>44.716295273701817</v>
      </c>
      <c r="CS106">
        <v>5.5664383805973232</v>
      </c>
      <c r="CT106">
        <v>0</v>
      </c>
      <c r="CU106" s="8">
        <v>-8.0331968516111379E-2</v>
      </c>
      <c r="CV106" s="9">
        <v>-0.1656588613986969</v>
      </c>
      <c r="CW106">
        <v>0.06</v>
      </c>
      <c r="CX106">
        <v>7.2011333333333329</v>
      </c>
      <c r="CY106" t="s">
        <v>7773</v>
      </c>
      <c r="CZ106">
        <v>-8.0331968516111379E-2</v>
      </c>
      <c r="DA106">
        <v>2.4003777777777779</v>
      </c>
      <c r="DB106" t="s">
        <v>7774</v>
      </c>
      <c r="DC106">
        <v>-7.6315370090305812E-2</v>
      </c>
      <c r="DD106">
        <v>1.200188888888889</v>
      </c>
      <c r="DE106" t="s">
        <v>7775</v>
      </c>
      <c r="DF106">
        <v>-7.069213229417802E-2</v>
      </c>
      <c r="DG106">
        <v>0.72011333333333338</v>
      </c>
      <c r="DH106" t="s">
        <v>7776</v>
      </c>
      <c r="DI106">
        <v>-6.4265574812889109E-2</v>
      </c>
      <c r="DJ106">
        <v>0.36005666666666669</v>
      </c>
      <c r="DK106" t="s">
        <v>7777</v>
      </c>
      <c r="DL106">
        <v>-5.623237796127796E-2</v>
      </c>
      <c r="DM106">
        <v>2114999999.9999998</v>
      </c>
      <c r="DN106">
        <v>-8.0331968516111379E-2</v>
      </c>
      <c r="DO106">
        <v>15230397000</v>
      </c>
      <c r="DP106" t="e">
        <v>#VALUE!</v>
      </c>
      <c r="DQ106">
        <v>105</v>
      </c>
      <c r="DR106" t="e">
        <v>#VALUE!</v>
      </c>
      <c r="DS106">
        <v>0.29155886139869691</v>
      </c>
      <c r="DT106" t="e">
        <v>#VALUE!</v>
      </c>
      <c r="DU106">
        <v>-0.38333333333333347</v>
      </c>
      <c r="DV106" t="e">
        <v>#VALUE!</v>
      </c>
      <c r="DW106">
        <v>-8.1824575920562683</v>
      </c>
      <c r="DX106">
        <v>0.24942983293556181</v>
      </c>
      <c r="DY106">
        <v>-8.0126680001342923</v>
      </c>
      <c r="DZ106">
        <v>0</v>
      </c>
      <c r="EA106">
        <v>-8.0126680001342923</v>
      </c>
      <c r="EB106">
        <v>8</v>
      </c>
      <c r="EC106">
        <v>9.1118682435459859E-3</v>
      </c>
      <c r="ED106">
        <v>0.13123851604256176</v>
      </c>
      <c r="EE106">
        <v>0</v>
      </c>
      <c r="EF106">
        <v>0</v>
      </c>
      <c r="EG106">
        <v>18.069429832935562</v>
      </c>
      <c r="EH106" t="s">
        <v>110</v>
      </c>
      <c r="EI106">
        <v>0</v>
      </c>
      <c r="EJ106">
        <v>0</v>
      </c>
      <c r="EK106">
        <v>0</v>
      </c>
      <c r="EL106">
        <v>0</v>
      </c>
      <c r="EM106">
        <v>0</v>
      </c>
      <c r="EN106">
        <v>0</v>
      </c>
      <c r="EO106">
        <v>0</v>
      </c>
      <c r="EP106">
        <v>0</v>
      </c>
    </row>
    <row r="107" spans="1:146" ht="96" x14ac:dyDescent="0.25">
      <c r="A107" s="7"/>
      <c r="B107" s="7"/>
      <c r="C107" s="7" t="str">
        <f>""&amp;CHAR(10)&amp;Basic_Fundamental_Information_Constructure(F107)&amp;CHAR(10)&amp;Basic_Fundamental_Information_Concatenate("")</f>
        <v xml:space="preserve">
市值133.388285亿, 利润7.91亿; PE16.86; 平均PE26.93; 平均PEG5.26, PB.793; ROIC13.6667%; ROE20.6167%; 股利率0%; 毛利10.14%; 净利5.5467%; 上一年度营收增-41.48%, 利润增-90.04%, 利润增-77.9%; 过往5年营收增5.12%, 利润增25.53%
Income profile:
</v>
      </c>
      <c r="D107" s="11">
        <v>636</v>
      </c>
      <c r="E107" t="s">
        <v>1893</v>
      </c>
      <c r="F107">
        <v>7.38</v>
      </c>
      <c r="G107" s="5">
        <v>-2.64E-2</v>
      </c>
      <c r="H107" t="s">
        <v>7778</v>
      </c>
      <c r="I107">
        <v>13338828500</v>
      </c>
      <c r="J107">
        <v>16.86</v>
      </c>
      <c r="K107">
        <v>0.79300000000000004</v>
      </c>
      <c r="L107" t="s">
        <v>6350</v>
      </c>
      <c r="M107" t="s">
        <v>9</v>
      </c>
      <c r="N107" t="s">
        <v>9</v>
      </c>
      <c r="O107" t="s">
        <v>9</v>
      </c>
      <c r="P107" t="s">
        <v>9</v>
      </c>
      <c r="Q107" t="s">
        <v>7779</v>
      </c>
      <c r="R107">
        <v>791165000</v>
      </c>
      <c r="S107" s="5">
        <v>-0.77900000000000003</v>
      </c>
      <c r="T107" t="s">
        <v>7780</v>
      </c>
      <c r="U107">
        <v>1807429300</v>
      </c>
      <c r="V107">
        <v>1807429300</v>
      </c>
      <c r="W107" t="s">
        <v>9</v>
      </c>
      <c r="X107" t="s">
        <v>9</v>
      </c>
      <c r="Y107" t="s">
        <v>9</v>
      </c>
      <c r="Z107" t="s">
        <v>9</v>
      </c>
      <c r="AA107" t="s">
        <v>9</v>
      </c>
      <c r="AB107" t="s">
        <v>9</v>
      </c>
      <c r="AC107" t="s">
        <v>9</v>
      </c>
      <c r="AD107" t="s">
        <v>9</v>
      </c>
      <c r="AE107" t="s">
        <v>9</v>
      </c>
      <c r="AF107" t="s">
        <v>9</v>
      </c>
      <c r="AG107" t="s">
        <v>9</v>
      </c>
      <c r="AH107" t="s">
        <v>7781</v>
      </c>
      <c r="AI107" t="s">
        <v>9</v>
      </c>
      <c r="AJ107" t="s">
        <v>9</v>
      </c>
      <c r="AK107" t="s">
        <v>7782</v>
      </c>
      <c r="AL107" t="s">
        <v>9</v>
      </c>
      <c r="AM107" t="s">
        <v>9</v>
      </c>
      <c r="AN107" s="5">
        <v>0.52259999999999995</v>
      </c>
      <c r="AO107" t="s">
        <v>9</v>
      </c>
      <c r="AP107" t="s">
        <v>7783</v>
      </c>
      <c r="AQ107" t="s">
        <v>9</v>
      </c>
      <c r="AR107" t="s">
        <v>7784</v>
      </c>
      <c r="AS107" t="s">
        <v>9</v>
      </c>
      <c r="AT107" t="s">
        <v>9</v>
      </c>
      <c r="AU107" t="s">
        <v>925</v>
      </c>
      <c r="AV107" t="s">
        <v>7785</v>
      </c>
      <c r="AW107" t="s">
        <v>9</v>
      </c>
      <c r="AX107" t="s">
        <v>1894</v>
      </c>
      <c r="AY107" t="s">
        <v>1897</v>
      </c>
      <c r="AZ107" t="s">
        <v>1898</v>
      </c>
      <c r="BA107" t="s">
        <v>1899</v>
      </c>
      <c r="BB107" t="s">
        <v>1900</v>
      </c>
      <c r="BC107" t="s">
        <v>1901</v>
      </c>
      <c r="BD107" t="s">
        <v>1902</v>
      </c>
      <c r="BE107" t="s">
        <v>1674</v>
      </c>
      <c r="BF107" t="s">
        <v>1903</v>
      </c>
      <c r="BG107" t="s">
        <v>1904</v>
      </c>
      <c r="BH107" t="s">
        <v>1894</v>
      </c>
      <c r="BI107" t="s">
        <v>9</v>
      </c>
      <c r="BJ107" t="s">
        <v>1897</v>
      </c>
      <c r="BK107" t="s">
        <v>1895</v>
      </c>
      <c r="BL107" t="s">
        <v>9</v>
      </c>
      <c r="BM107" t="s">
        <v>1901</v>
      </c>
      <c r="BN107">
        <v>3</v>
      </c>
      <c r="BO107">
        <v>13.14</v>
      </c>
      <c r="BP107">
        <v>24.86</v>
      </c>
      <c r="BQ107">
        <v>4.71</v>
      </c>
      <c r="BR107">
        <v>19.420000000000002</v>
      </c>
      <c r="BS107">
        <v>37.72</v>
      </c>
      <c r="BT107" t="s">
        <v>1650</v>
      </c>
      <c r="BU107" t="s">
        <v>687</v>
      </c>
      <c r="BV107">
        <v>8.42</v>
      </c>
      <c r="BW107">
        <v>9.64</v>
      </c>
      <c r="BX107">
        <v>12.36</v>
      </c>
      <c r="BY107">
        <v>1.19</v>
      </c>
      <c r="BZ107">
        <v>4.41</v>
      </c>
      <c r="CA107">
        <v>11.04</v>
      </c>
      <c r="CB107">
        <v>-10.98</v>
      </c>
      <c r="CC107">
        <v>-15.85</v>
      </c>
      <c r="CD107" t="s">
        <v>7786</v>
      </c>
      <c r="CE107" t="s">
        <v>7787</v>
      </c>
      <c r="CF107" s="8" t="s">
        <v>9</v>
      </c>
      <c r="CG107" s="9">
        <v>-0.77900000000000003</v>
      </c>
      <c r="CH107" s="8">
        <v>-0.41481149196624756</v>
      </c>
      <c r="CI107" s="8">
        <v>5.9654399752616882E-2</v>
      </c>
      <c r="CJ107" s="8">
        <v>0.53241139650344849</v>
      </c>
      <c r="CK107" s="8">
        <v>0.39911907911300659</v>
      </c>
      <c r="CL107" s="8">
        <v>0.23876182734966278</v>
      </c>
      <c r="CM107" s="9">
        <v>-0.90036529302597046</v>
      </c>
      <c r="CN107" s="9">
        <v>1.7413673400878906</v>
      </c>
      <c r="CO107" s="9">
        <v>-0.23548045754432678</v>
      </c>
      <c r="CP107" s="9">
        <v>0.5524590015411377</v>
      </c>
      <c r="CQ107" s="9">
        <v>0.15311908721923828</v>
      </c>
      <c r="CR107">
        <v>26.928994279946167</v>
      </c>
      <c r="CS107">
        <v>5.2645269232444072</v>
      </c>
      <c r="CT107">
        <v>0</v>
      </c>
      <c r="CU107" s="8">
        <v>5.1151783764362337E-2</v>
      </c>
      <c r="CV107" s="9">
        <v>0.25531736779958009</v>
      </c>
      <c r="CW107">
        <v>0.06</v>
      </c>
      <c r="CX107">
        <v>17.005195882192783</v>
      </c>
      <c r="CY107">
        <v>784397227.3185004</v>
      </c>
      <c r="CZ107">
        <v>5.1151783764362337E-2</v>
      </c>
      <c r="DA107">
        <v>5.7438070195643425</v>
      </c>
      <c r="DB107">
        <v>2322297468.3107872</v>
      </c>
      <c r="DC107">
        <v>4.8594194576144216E-2</v>
      </c>
      <c r="DD107">
        <v>2.9532847696405145</v>
      </c>
      <c r="DE107">
        <v>4516607621.8324366</v>
      </c>
      <c r="DF107">
        <v>4.5013569712638854E-2</v>
      </c>
      <c r="DG107">
        <v>1.8609467380680047</v>
      </c>
      <c r="DH107">
        <v>7167764787.2115288</v>
      </c>
      <c r="DI107">
        <v>4.0921427011489875E-2</v>
      </c>
      <c r="DJ107">
        <v>1.0650159006709912</v>
      </c>
      <c r="DK107">
        <v>12524534602.343636</v>
      </c>
      <c r="DL107">
        <v>3.5806248635053634E-2</v>
      </c>
      <c r="DM107">
        <v>791000000</v>
      </c>
      <c r="DN107">
        <v>5.1151783764362337E-2</v>
      </c>
      <c r="DO107">
        <v>13338828500</v>
      </c>
      <c r="DP107" t="e">
        <v>#VALUE!</v>
      </c>
      <c r="DQ107">
        <v>106</v>
      </c>
      <c r="DR107" t="e">
        <v>#VALUE!</v>
      </c>
      <c r="DS107">
        <v>-1.0343173677995801</v>
      </c>
      <c r="DT107" t="e">
        <v>#VALUE!</v>
      </c>
      <c r="DU107" t="e">
        <v>#VALUE!</v>
      </c>
      <c r="DV107" t="e">
        <v>#VALUE!</v>
      </c>
      <c r="DW107">
        <v>-9.6927444794952677</v>
      </c>
      <c r="DX107">
        <v>0.45288546404395791</v>
      </c>
      <c r="DY107">
        <v>-9.1197654508014292</v>
      </c>
      <c r="DZ107">
        <v>0</v>
      </c>
      <c r="EA107">
        <v>-9.1197654508014292</v>
      </c>
      <c r="EB107">
        <v>9</v>
      </c>
      <c r="EC107">
        <v>1.9811010035081316E-3</v>
      </c>
      <c r="ED107">
        <v>1.1459037429569168E-2</v>
      </c>
      <c r="EE107">
        <v>0</v>
      </c>
      <c r="EF107">
        <v>0</v>
      </c>
      <c r="EG107">
        <v>28.172885464043958</v>
      </c>
      <c r="EH107" t="s">
        <v>110</v>
      </c>
      <c r="EI107">
        <v>0</v>
      </c>
      <c r="EJ107">
        <v>0</v>
      </c>
      <c r="EK107">
        <v>0</v>
      </c>
      <c r="EL107">
        <v>0</v>
      </c>
      <c r="EM107">
        <v>0</v>
      </c>
      <c r="EN107">
        <v>0</v>
      </c>
      <c r="EO107">
        <v>0</v>
      </c>
      <c r="EP107">
        <v>0</v>
      </c>
    </row>
    <row r="108" spans="1:146" ht="96" x14ac:dyDescent="0.25">
      <c r="A108" s="7"/>
      <c r="B108" s="7"/>
      <c r="C108" s="7" t="str">
        <f>""&amp;CHAR(10)&amp;Basic_Fundamental_Information_Constructure(F108)&amp;CHAR(10)&amp;Basic_Fundamental_Information_Concatenate("")</f>
        <v xml:space="preserve">
市值150.76124亿, 利润18.89亿; PE7.98; 平均PE42.56; 平均PEG8.95, PB.926; ROIC14.23%; ROE14.1533%; 股利率0%; 毛利61.78%; 净利40.8633%; 上一年度营收增-28.29%, 利润增-25.57%, 利润增-30.42%; 过往5年营收增4.76%, 利润增102.49%
Income profile:
</v>
      </c>
      <c r="D108" s="11">
        <v>639</v>
      </c>
      <c r="E108" t="s">
        <v>1905</v>
      </c>
      <c r="F108">
        <v>3.06</v>
      </c>
      <c r="G108" s="5">
        <v>-1.9199999999999998E-2</v>
      </c>
      <c r="H108" t="s">
        <v>7788</v>
      </c>
      <c r="I108">
        <v>15076124000</v>
      </c>
      <c r="J108">
        <v>7.98</v>
      </c>
      <c r="K108">
        <v>0.92600000000000005</v>
      </c>
      <c r="L108" t="s">
        <v>6350</v>
      </c>
      <c r="M108" t="s">
        <v>9</v>
      </c>
      <c r="N108" t="s">
        <v>9</v>
      </c>
      <c r="O108" t="s">
        <v>9</v>
      </c>
      <c r="P108" t="s">
        <v>9</v>
      </c>
      <c r="Q108" t="s">
        <v>4158</v>
      </c>
      <c r="R108">
        <v>1889247000</v>
      </c>
      <c r="S108" s="5">
        <v>-0.30420000000000003</v>
      </c>
      <c r="T108" t="s">
        <v>1481</v>
      </c>
      <c r="U108">
        <v>4926837800</v>
      </c>
      <c r="V108">
        <v>4926837800</v>
      </c>
      <c r="W108" t="s">
        <v>9</v>
      </c>
      <c r="X108" t="s">
        <v>9</v>
      </c>
      <c r="Y108" t="s">
        <v>9</v>
      </c>
      <c r="Z108" t="s">
        <v>9</v>
      </c>
      <c r="AA108" t="s">
        <v>9</v>
      </c>
      <c r="AB108" t="s">
        <v>9</v>
      </c>
      <c r="AC108" t="s">
        <v>9</v>
      </c>
      <c r="AD108" t="s">
        <v>9</v>
      </c>
      <c r="AE108" t="s">
        <v>9</v>
      </c>
      <c r="AF108" t="s">
        <v>9</v>
      </c>
      <c r="AG108" t="s">
        <v>9</v>
      </c>
      <c r="AH108" t="s">
        <v>7789</v>
      </c>
      <c r="AI108" t="s">
        <v>9</v>
      </c>
      <c r="AJ108" t="s">
        <v>9</v>
      </c>
      <c r="AK108" t="s">
        <v>7790</v>
      </c>
      <c r="AL108" t="s">
        <v>9</v>
      </c>
      <c r="AM108" t="s">
        <v>9</v>
      </c>
      <c r="AN108" s="5">
        <v>0.17879999999999999</v>
      </c>
      <c r="AO108" t="s">
        <v>9</v>
      </c>
      <c r="AP108" t="s">
        <v>2248</v>
      </c>
      <c r="AQ108" t="s">
        <v>9</v>
      </c>
      <c r="AR108" t="s">
        <v>6235</v>
      </c>
      <c r="AS108" t="s">
        <v>9</v>
      </c>
      <c r="AT108" t="s">
        <v>9</v>
      </c>
      <c r="AU108" t="s">
        <v>7791</v>
      </c>
      <c r="AV108" t="s">
        <v>672</v>
      </c>
      <c r="AW108" t="s">
        <v>9</v>
      </c>
      <c r="AX108" t="s">
        <v>1906</v>
      </c>
      <c r="AY108" t="s">
        <v>1910</v>
      </c>
      <c r="AZ108" t="s">
        <v>1911</v>
      </c>
      <c r="BA108" t="s">
        <v>1912</v>
      </c>
      <c r="BB108" t="s">
        <v>1913</v>
      </c>
      <c r="BC108" t="s">
        <v>1914</v>
      </c>
      <c r="BD108" t="s">
        <v>1915</v>
      </c>
      <c r="BE108" t="s">
        <v>1916</v>
      </c>
      <c r="BF108" t="s">
        <v>1917</v>
      </c>
      <c r="BG108" t="s">
        <v>1918</v>
      </c>
      <c r="BH108" t="s">
        <v>1906</v>
      </c>
      <c r="BI108" t="s">
        <v>9</v>
      </c>
      <c r="BJ108" t="s">
        <v>1910</v>
      </c>
      <c r="BK108" t="s">
        <v>1907</v>
      </c>
      <c r="BL108" t="s">
        <v>9</v>
      </c>
      <c r="BM108" t="s">
        <v>1914</v>
      </c>
      <c r="BN108">
        <v>11.43</v>
      </c>
      <c r="BO108">
        <v>15.94</v>
      </c>
      <c r="BP108">
        <v>15.32</v>
      </c>
      <c r="BQ108">
        <v>11.6</v>
      </c>
      <c r="BR108">
        <v>16.190000000000001</v>
      </c>
      <c r="BS108">
        <v>14.67</v>
      </c>
      <c r="BT108" t="s">
        <v>7792</v>
      </c>
      <c r="BU108" t="s">
        <v>1919</v>
      </c>
      <c r="BV108">
        <v>58.84</v>
      </c>
      <c r="BW108">
        <v>64.39</v>
      </c>
      <c r="BX108">
        <v>62.11</v>
      </c>
      <c r="BY108">
        <v>39.06</v>
      </c>
      <c r="BZ108">
        <v>40.270000000000003</v>
      </c>
      <c r="CA108">
        <v>43.26</v>
      </c>
      <c r="CB108">
        <v>-6.99</v>
      </c>
      <c r="CC108">
        <v>2.68</v>
      </c>
      <c r="CD108" t="s">
        <v>7793</v>
      </c>
      <c r="CE108" t="s">
        <v>3577</v>
      </c>
      <c r="CF108" s="8" t="s">
        <v>9</v>
      </c>
      <c r="CG108" s="9">
        <v>-0.30420000000000003</v>
      </c>
      <c r="CH108" s="8">
        <v>-0.28289717435836792</v>
      </c>
      <c r="CI108" s="8">
        <v>0.16096661984920502</v>
      </c>
      <c r="CJ108" s="8">
        <v>0.7703278660774231</v>
      </c>
      <c r="CK108" s="8">
        <v>8.4373250603675842E-2</v>
      </c>
      <c r="CL108" s="8">
        <v>6.1635982245206833E-2</v>
      </c>
      <c r="CM108" s="9">
        <v>-0.25571313500404358</v>
      </c>
      <c r="CN108" s="9">
        <v>1.3499999046325684</v>
      </c>
      <c r="CO108" s="9">
        <v>-5.2631579339504242E-2</v>
      </c>
      <c r="CP108" s="9">
        <v>3.6363635212182999E-2</v>
      </c>
      <c r="CQ108" s="9">
        <v>1.7576377838850021E-2</v>
      </c>
      <c r="CR108">
        <v>42.561786684466156</v>
      </c>
      <c r="CS108">
        <v>8.9470463637739481</v>
      </c>
      <c r="CT108">
        <v>0</v>
      </c>
      <c r="CU108" s="8">
        <v>4.7570767998695376E-2</v>
      </c>
      <c r="CV108" s="9">
        <v>1.0248787999153137</v>
      </c>
      <c r="CW108">
        <v>0.06</v>
      </c>
      <c r="CX108">
        <v>8.0757011130750342</v>
      </c>
      <c r="CY108">
        <v>1866850170.5184298</v>
      </c>
      <c r="CZ108">
        <v>4.7570767998695376E-2</v>
      </c>
      <c r="DA108">
        <v>2.7360701241669889</v>
      </c>
      <c r="DB108">
        <v>5510138013.9480181</v>
      </c>
      <c r="DC108">
        <v>4.5192229598760604E-2</v>
      </c>
      <c r="DD108">
        <v>1.4123823512111542</v>
      </c>
      <c r="DE108">
        <v>10674251194.849493</v>
      </c>
      <c r="DF108">
        <v>4.186227583885193E-2</v>
      </c>
      <c r="DG108">
        <v>0.89380061281941681</v>
      </c>
      <c r="DH108">
        <v>16867435291.237572</v>
      </c>
      <c r="DI108">
        <v>3.8056614398956301E-2</v>
      </c>
      <c r="DJ108">
        <v>0.51602982152709587</v>
      </c>
      <c r="DK108">
        <v>29215606096.920853</v>
      </c>
      <c r="DL108">
        <v>3.3299537599086763E-2</v>
      </c>
      <c r="DM108">
        <v>1889000000</v>
      </c>
      <c r="DN108">
        <v>4.7570767998695376E-2</v>
      </c>
      <c r="DO108">
        <v>15076124000</v>
      </c>
      <c r="DP108" t="e">
        <v>#VALUE!</v>
      </c>
      <c r="DQ108">
        <v>107</v>
      </c>
      <c r="DR108" t="e">
        <v>#VALUE!</v>
      </c>
      <c r="DS108">
        <v>-1.3290787999153137</v>
      </c>
      <c r="DT108" t="e">
        <v>#VALUE!</v>
      </c>
      <c r="DU108" t="e">
        <v>#VALUE!</v>
      </c>
      <c r="DV108" t="e">
        <v>#VALUE!</v>
      </c>
      <c r="DW108">
        <v>-5.3834048640915597</v>
      </c>
      <c r="DX108">
        <v>0.42005875370919837</v>
      </c>
      <c r="DY108">
        <v>-5.0460311101488777</v>
      </c>
      <c r="DZ108">
        <v>0</v>
      </c>
      <c r="EA108">
        <v>-5.0460311101488777</v>
      </c>
      <c r="EB108">
        <v>5</v>
      </c>
      <c r="EC108">
        <v>8.2121234029665039E-3</v>
      </c>
      <c r="ED108">
        <v>6.8400871650371772E-2</v>
      </c>
      <c r="EE108">
        <v>0</v>
      </c>
      <c r="EF108">
        <v>0</v>
      </c>
      <c r="EG108">
        <v>30.120058753709198</v>
      </c>
      <c r="EH108" t="s">
        <v>110</v>
      </c>
      <c r="EI108">
        <v>0</v>
      </c>
      <c r="EJ108">
        <v>0</v>
      </c>
      <c r="EK108">
        <v>0</v>
      </c>
      <c r="EL108">
        <v>0</v>
      </c>
      <c r="EM108">
        <v>0</v>
      </c>
      <c r="EN108">
        <v>0</v>
      </c>
      <c r="EO108">
        <v>0</v>
      </c>
      <c r="EP108">
        <v>0</v>
      </c>
    </row>
    <row r="109" spans="1:146" ht="96" x14ac:dyDescent="0.25">
      <c r="A109" s="7"/>
      <c r="B109" s="7"/>
      <c r="C109" s="7" t="str">
        <f>""&amp;CHAR(10)&amp;Basic_Fundamental_Information_Constructure(F109)&amp;CHAR(10)&amp;Basic_Fundamental_Information_Concatenate("")</f>
        <v xml:space="preserve">
市值18.503219亿, 利润-2.23亿; PE; 平均PE133.06; 平均PEG18.06, PB.942; ROIC-11.9567%; ROE-12.99%; 毛利7.91%; 净利-37.6933%; 上一年度营收增311.59%, 利润增42.38%, 利润增-229.5%; 过往5年营收增7.37%, 利润增105.92%
Income profile:
</v>
      </c>
      <c r="D109" s="11">
        <v>650</v>
      </c>
      <c r="E109" t="s">
        <v>1920</v>
      </c>
      <c r="F109">
        <v>0.25</v>
      </c>
      <c r="G109" s="5">
        <v>-3.85E-2</v>
      </c>
      <c r="H109" t="s">
        <v>7794</v>
      </c>
      <c r="I109">
        <v>1850321900</v>
      </c>
      <c r="K109">
        <v>0.94199999999999995</v>
      </c>
      <c r="L109" t="s">
        <v>6350</v>
      </c>
      <c r="M109" t="s">
        <v>9</v>
      </c>
      <c r="N109" t="s">
        <v>9</v>
      </c>
      <c r="O109" t="s">
        <v>9</v>
      </c>
      <c r="P109" t="s">
        <v>9</v>
      </c>
      <c r="Q109" t="s">
        <v>2334</v>
      </c>
      <c r="R109">
        <v>-141665000</v>
      </c>
      <c r="S109" s="5">
        <v>-2.2949999999999999</v>
      </c>
      <c r="T109" t="s">
        <v>7795</v>
      </c>
      <c r="U109">
        <v>7401287700</v>
      </c>
      <c r="V109">
        <v>7401287700</v>
      </c>
      <c r="W109" t="s">
        <v>9</v>
      </c>
      <c r="X109" t="s">
        <v>9</v>
      </c>
      <c r="Y109" t="s">
        <v>9</v>
      </c>
      <c r="Z109" t="s">
        <v>9</v>
      </c>
      <c r="AA109" t="s">
        <v>9</v>
      </c>
      <c r="AB109" t="s">
        <v>9</v>
      </c>
      <c r="AC109" t="s">
        <v>9</v>
      </c>
      <c r="AD109" t="s">
        <v>7796</v>
      </c>
      <c r="AE109" t="s">
        <v>9</v>
      </c>
      <c r="AF109" t="s">
        <v>9</v>
      </c>
      <c r="AG109" t="s">
        <v>9</v>
      </c>
      <c r="AH109" t="s">
        <v>7797</v>
      </c>
      <c r="AI109" t="s">
        <v>9</v>
      </c>
      <c r="AJ109" t="s">
        <v>9</v>
      </c>
      <c r="AK109" t="s">
        <v>7798</v>
      </c>
      <c r="AL109" t="s">
        <v>9</v>
      </c>
      <c r="AM109" t="s">
        <v>9</v>
      </c>
      <c r="AN109" s="5">
        <v>0.28820000000000001</v>
      </c>
      <c r="AO109" t="s">
        <v>9</v>
      </c>
      <c r="AP109" t="s">
        <v>41</v>
      </c>
      <c r="AQ109" t="s">
        <v>9</v>
      </c>
      <c r="AR109" t="s">
        <v>1932</v>
      </c>
      <c r="AS109" t="s">
        <v>9</v>
      </c>
      <c r="AT109" t="s">
        <v>9</v>
      </c>
      <c r="AU109" t="s">
        <v>7799</v>
      </c>
      <c r="AV109" t="s">
        <v>26</v>
      </c>
      <c r="AW109" t="s">
        <v>9</v>
      </c>
      <c r="AX109" t="s">
        <v>1133</v>
      </c>
      <c r="AY109" t="s">
        <v>1923</v>
      </c>
      <c r="AZ109" t="s">
        <v>33</v>
      </c>
      <c r="BA109" t="s">
        <v>22</v>
      </c>
      <c r="BB109" t="s">
        <v>1924</v>
      </c>
      <c r="BC109" t="s">
        <v>1925</v>
      </c>
      <c r="BD109" t="s">
        <v>1926</v>
      </c>
      <c r="BE109" t="s">
        <v>1927</v>
      </c>
      <c r="BF109" t="s">
        <v>1928</v>
      </c>
      <c r="BG109" t="s">
        <v>1929</v>
      </c>
      <c r="BH109" t="s">
        <v>1133</v>
      </c>
      <c r="BI109" t="s">
        <v>9</v>
      </c>
      <c r="BJ109" t="s">
        <v>1923</v>
      </c>
      <c r="BK109" t="s">
        <v>1922</v>
      </c>
      <c r="BL109" t="s">
        <v>9</v>
      </c>
      <c r="BM109" t="s">
        <v>1925</v>
      </c>
      <c r="BN109">
        <v>-9.1300000000000008</v>
      </c>
      <c r="BO109">
        <v>-14.51</v>
      </c>
      <c r="BP109">
        <v>-12.23</v>
      </c>
      <c r="BQ109">
        <v>-10.08</v>
      </c>
      <c r="BR109">
        <v>-15.57</v>
      </c>
      <c r="BS109">
        <v>-13.32</v>
      </c>
      <c r="BT109" t="s">
        <v>1930</v>
      </c>
      <c r="BU109" t="s">
        <v>1410</v>
      </c>
      <c r="BV109">
        <v>20.420000000000002</v>
      </c>
      <c r="BW109">
        <v>3.62</v>
      </c>
      <c r="BX109">
        <v>-0.31</v>
      </c>
      <c r="BY109">
        <v>-40.39</v>
      </c>
      <c r="BZ109">
        <v>-47.9</v>
      </c>
      <c r="CA109">
        <v>-24.79</v>
      </c>
      <c r="CB109">
        <v>-15.25</v>
      </c>
      <c r="CC109">
        <v>-31.51</v>
      </c>
      <c r="CD109" t="s">
        <v>625</v>
      </c>
      <c r="CE109" t="s">
        <v>7800</v>
      </c>
      <c r="CF109" s="8" t="s">
        <v>9</v>
      </c>
      <c r="CG109" s="9">
        <v>-2.2949999999999999</v>
      </c>
      <c r="CH109" s="8">
        <v>3.1159420013427734</v>
      </c>
      <c r="CI109" s="8">
        <v>-0.92163544893264771</v>
      </c>
      <c r="CJ109" s="8">
        <v>6.2172126770019531</v>
      </c>
      <c r="CK109" s="8">
        <v>0.98373985290527344</v>
      </c>
      <c r="CL109" s="8">
        <v>0.60200053453445435</v>
      </c>
      <c r="CM109" s="9">
        <v>0.42377260327339172</v>
      </c>
      <c r="CN109" s="9">
        <v>-0.3971119225025177</v>
      </c>
      <c r="CO109" s="9">
        <v>-11.117243766784668</v>
      </c>
      <c r="CP109" s="9">
        <v>0.88911890983581543</v>
      </c>
      <c r="CQ109" s="9">
        <v>1.0313701629638672</v>
      </c>
      <c r="CR109">
        <v>133.06482965271329</v>
      </c>
      <c r="CS109">
        <v>18.057896168729052</v>
      </c>
      <c r="CT109" t="e">
        <v>#VALUE!</v>
      </c>
      <c r="CU109" s="8">
        <v>7.3687891662120822E-2</v>
      </c>
      <c r="CV109" s="9">
        <v>1.0591575264930726</v>
      </c>
      <c r="CW109">
        <v>0.06</v>
      </c>
      <c r="CX109" t="e">
        <v>#VALUE!</v>
      </c>
      <c r="CY109" t="s">
        <v>109</v>
      </c>
      <c r="CZ109">
        <v>7.3687891662120822E-2</v>
      </c>
      <c r="DA109" t="e">
        <v>#VALUE!</v>
      </c>
      <c r="DB109" t="s">
        <v>108</v>
      </c>
      <c r="DC109">
        <v>7.0003497079014779E-2</v>
      </c>
      <c r="DD109" t="e">
        <v>#VALUE!</v>
      </c>
      <c r="DE109" t="s">
        <v>108</v>
      </c>
      <c r="DF109">
        <v>6.4845344662666324E-2</v>
      </c>
      <c r="DG109" t="e">
        <v>#VALUE!</v>
      </c>
      <c r="DH109" t="s">
        <v>108</v>
      </c>
      <c r="DI109">
        <v>5.8950313329696663E-2</v>
      </c>
      <c r="DJ109" t="e">
        <v>#VALUE!</v>
      </c>
      <c r="DK109" t="s">
        <v>108</v>
      </c>
      <c r="DL109">
        <v>5.158152416348457E-2</v>
      </c>
      <c r="DM109">
        <v>-223000000</v>
      </c>
      <c r="DN109">
        <v>7.3687891662120822E-2</v>
      </c>
      <c r="DO109">
        <v>1850321900</v>
      </c>
      <c r="DP109" t="e">
        <v>#VALUE!</v>
      </c>
      <c r="DQ109">
        <v>108</v>
      </c>
      <c r="DR109" t="e">
        <v>#VALUE!</v>
      </c>
      <c r="DS109">
        <v>-3.3541575264930725</v>
      </c>
      <c r="DT109" t="e">
        <v>#VALUE!</v>
      </c>
      <c r="DU109" t="e">
        <v>#VALUE!</v>
      </c>
      <c r="DV109" t="e">
        <v>#VALUE!</v>
      </c>
      <c r="DW109">
        <v>-9.483973341796256</v>
      </c>
      <c r="DX109">
        <v>0.23016393442622929</v>
      </c>
      <c r="DY109">
        <v>-9.0436369406537604</v>
      </c>
      <c r="DZ109">
        <v>0</v>
      </c>
      <c r="EA109">
        <v>-9.0436369406537604</v>
      </c>
      <c r="EB109">
        <v>9</v>
      </c>
      <c r="EC109">
        <v>3.2697012980592556E-2</v>
      </c>
      <c r="ED109">
        <v>0.36263959851202648</v>
      </c>
      <c r="EE109">
        <v>0</v>
      </c>
      <c r="EF109">
        <v>0</v>
      </c>
      <c r="EG109">
        <v>14.090163934426229</v>
      </c>
      <c r="EH109" t="s">
        <v>110</v>
      </c>
      <c r="EI109">
        <v>0</v>
      </c>
      <c r="EJ109">
        <v>0</v>
      </c>
      <c r="EK109">
        <v>0</v>
      </c>
      <c r="EL109">
        <v>0</v>
      </c>
      <c r="EM109">
        <v>0</v>
      </c>
      <c r="EN109">
        <v>0</v>
      </c>
      <c r="EO109">
        <v>0</v>
      </c>
      <c r="EP109">
        <v>0</v>
      </c>
    </row>
    <row r="110" spans="1:146" ht="96" x14ac:dyDescent="0.25">
      <c r="A110" s="7"/>
      <c r="B110" s="7"/>
      <c r="C110" s="7" t="str">
        <f>""&amp;CHAR(10)&amp;Basic_Fundamental_Information_Constructure(F110)&amp;CHAR(10)&amp;Basic_Fundamental_Information_Concatenate("")</f>
        <v xml:space="preserve">
市值344.90552亿, 利润15.11亿; PE22.82; 平均PE-101.73; 平均PEG-6.3, PB.252; ROIC1.1033%; ROE3.0767%; 股利率0%; 毛利36.6133%; 净利5.3067%; 上一年度营收增5.57%, 利润增-87.76%, 利润增258.9%; 过往5年营收增-16.14%, 利润增-861.32%
Income profile:
</v>
      </c>
      <c r="D110" s="11">
        <v>656</v>
      </c>
      <c r="E110" t="s">
        <v>1931</v>
      </c>
      <c r="F110">
        <v>4.21</v>
      </c>
      <c r="G110" s="5">
        <v>-2.7699999999999999E-2</v>
      </c>
      <c r="H110" t="s">
        <v>7801</v>
      </c>
      <c r="I110">
        <v>34490552000</v>
      </c>
      <c r="J110">
        <v>22.82</v>
      </c>
      <c r="K110">
        <v>0.252</v>
      </c>
      <c r="L110" t="s">
        <v>6350</v>
      </c>
      <c r="M110" t="s">
        <v>9</v>
      </c>
      <c r="N110" t="s">
        <v>9</v>
      </c>
      <c r="O110" t="s">
        <v>9</v>
      </c>
      <c r="P110" t="s">
        <v>9</v>
      </c>
      <c r="Q110" t="s">
        <v>7802</v>
      </c>
      <c r="R110">
        <v>1511390100</v>
      </c>
      <c r="S110" s="5">
        <v>2.589</v>
      </c>
      <c r="T110" t="s">
        <v>3333</v>
      </c>
      <c r="U110">
        <v>8175798600</v>
      </c>
      <c r="V110">
        <v>8175798600</v>
      </c>
      <c r="W110" t="s">
        <v>9</v>
      </c>
      <c r="X110" t="s">
        <v>9</v>
      </c>
      <c r="Y110" t="s">
        <v>9</v>
      </c>
      <c r="Z110" t="s">
        <v>9</v>
      </c>
      <c r="AA110" t="s">
        <v>9</v>
      </c>
      <c r="AB110" t="s">
        <v>9</v>
      </c>
      <c r="AC110" t="s">
        <v>9</v>
      </c>
      <c r="AD110" t="s">
        <v>4373</v>
      </c>
      <c r="AE110" t="s">
        <v>9</v>
      </c>
      <c r="AF110" t="s">
        <v>9</v>
      </c>
      <c r="AG110" t="s">
        <v>9</v>
      </c>
      <c r="AH110" t="s">
        <v>7803</v>
      </c>
      <c r="AI110" t="s">
        <v>9</v>
      </c>
      <c r="AJ110" t="s">
        <v>9</v>
      </c>
      <c r="AK110" t="s">
        <v>7804</v>
      </c>
      <c r="AL110" t="s">
        <v>9</v>
      </c>
      <c r="AM110" t="s">
        <v>9</v>
      </c>
      <c r="AN110" s="5">
        <v>0.74199999999999999</v>
      </c>
      <c r="AO110" t="s">
        <v>9</v>
      </c>
      <c r="AP110" t="s">
        <v>7805</v>
      </c>
      <c r="AQ110" t="s">
        <v>9</v>
      </c>
      <c r="AR110" t="s">
        <v>7806</v>
      </c>
      <c r="AS110" t="s">
        <v>9</v>
      </c>
      <c r="AT110" t="s">
        <v>9</v>
      </c>
      <c r="AU110" t="s">
        <v>7807</v>
      </c>
      <c r="AV110" t="s">
        <v>7808</v>
      </c>
      <c r="AW110" t="s">
        <v>9</v>
      </c>
      <c r="AX110" t="s">
        <v>7809</v>
      </c>
      <c r="AY110" t="s">
        <v>1933</v>
      </c>
      <c r="AZ110" t="s">
        <v>1934</v>
      </c>
      <c r="BA110" t="s">
        <v>1935</v>
      </c>
      <c r="BB110" t="s">
        <v>1936</v>
      </c>
      <c r="BC110" t="s">
        <v>7810</v>
      </c>
      <c r="BD110" t="s">
        <v>1937</v>
      </c>
      <c r="BE110" t="s">
        <v>1938</v>
      </c>
      <c r="BF110" t="s">
        <v>1939</v>
      </c>
      <c r="BG110" t="s">
        <v>1940</v>
      </c>
      <c r="BH110" t="s">
        <v>7809</v>
      </c>
      <c r="BI110" t="s">
        <v>9</v>
      </c>
      <c r="BJ110" t="s">
        <v>1933</v>
      </c>
      <c r="BK110" t="s">
        <v>1932</v>
      </c>
      <c r="BL110" t="s">
        <v>9</v>
      </c>
      <c r="BM110" t="s">
        <v>7810</v>
      </c>
      <c r="BN110">
        <v>0.4</v>
      </c>
      <c r="BO110">
        <v>0.15</v>
      </c>
      <c r="BP110">
        <v>2.76</v>
      </c>
      <c r="BQ110">
        <v>1.1000000000000001</v>
      </c>
      <c r="BR110">
        <v>0.43</v>
      </c>
      <c r="BS110">
        <v>7.7</v>
      </c>
      <c r="BT110" t="s">
        <v>7811</v>
      </c>
      <c r="BU110" t="s">
        <v>377</v>
      </c>
      <c r="BV110">
        <v>42.62</v>
      </c>
      <c r="BW110">
        <v>32.72</v>
      </c>
      <c r="BX110">
        <v>34.5</v>
      </c>
      <c r="BY110">
        <v>2.7</v>
      </c>
      <c r="BZ110">
        <v>2.63</v>
      </c>
      <c r="CA110">
        <v>10.59</v>
      </c>
      <c r="CB110">
        <v>-6.03</v>
      </c>
      <c r="CC110">
        <v>-15.16</v>
      </c>
      <c r="CD110" t="s">
        <v>7812</v>
      </c>
      <c r="CE110" t="s">
        <v>18</v>
      </c>
      <c r="CF110" s="8" t="s">
        <v>9</v>
      </c>
      <c r="CG110" s="9">
        <v>2.589</v>
      </c>
      <c r="CH110" s="8">
        <v>5.5744770914316177E-2</v>
      </c>
      <c r="CI110" s="8">
        <v>4.1994757950305939E-2</v>
      </c>
      <c r="CJ110" s="8">
        <v>0.21179632842540741</v>
      </c>
      <c r="CK110" s="8">
        <v>0.30900833010673523</v>
      </c>
      <c r="CL110" s="8">
        <v>0.1798015683889389</v>
      </c>
      <c r="CM110" s="9">
        <v>-0.87759232521057129</v>
      </c>
      <c r="CN110" s="9">
        <v>0.29487055540084839</v>
      </c>
      <c r="CO110" s="9">
        <v>-0.42350026965141296</v>
      </c>
      <c r="CP110" s="9">
        <v>8.3546347916126251E-2</v>
      </c>
      <c r="CQ110" s="9">
        <v>-3.2705884426832199E-2</v>
      </c>
      <c r="CR110">
        <v>-101.73422366806327</v>
      </c>
      <c r="CS110">
        <v>-6.3016997220064983</v>
      </c>
      <c r="CT110">
        <v>0</v>
      </c>
      <c r="CU110" s="8">
        <v>-0.16143933883868158</v>
      </c>
      <c r="CV110" s="9">
        <v>-8.6131824254989624</v>
      </c>
      <c r="CW110">
        <v>0.06</v>
      </c>
      <c r="CX110">
        <v>22.826308405029781</v>
      </c>
      <c r="CY110" t="s">
        <v>7813</v>
      </c>
      <c r="CZ110">
        <v>-0.16143933883868158</v>
      </c>
      <c r="DA110">
        <v>7.6087694683432607</v>
      </c>
      <c r="DB110" t="s">
        <v>7814</v>
      </c>
      <c r="DC110">
        <v>-0.15336737189674748</v>
      </c>
      <c r="DD110">
        <v>3.8043847341716304</v>
      </c>
      <c r="DE110" t="s">
        <v>7815</v>
      </c>
      <c r="DF110">
        <v>-0.14206661817803978</v>
      </c>
      <c r="DG110">
        <v>2.282630840502978</v>
      </c>
      <c r="DH110" t="s">
        <v>7816</v>
      </c>
      <c r="DI110">
        <v>-0.12915147107094527</v>
      </c>
      <c r="DJ110">
        <v>1.141315420251489</v>
      </c>
      <c r="DK110" t="s">
        <v>7817</v>
      </c>
      <c r="DL110">
        <v>-0.1130075371870771</v>
      </c>
      <c r="DM110">
        <v>1511000000</v>
      </c>
      <c r="DN110">
        <v>-0.16143933883868158</v>
      </c>
      <c r="DO110">
        <v>34490552000</v>
      </c>
      <c r="DP110" t="e">
        <v>#VALUE!</v>
      </c>
      <c r="DQ110">
        <v>109</v>
      </c>
      <c r="DR110" t="e">
        <v>#VALUE!</v>
      </c>
      <c r="DS110">
        <v>11.202182425498963</v>
      </c>
      <c r="DT110" t="e">
        <v>#VALUE!</v>
      </c>
      <c r="DU110" t="e">
        <v>#VALUE!</v>
      </c>
      <c r="DV110" t="e">
        <v>#VALUE!</v>
      </c>
      <c r="DW110">
        <v>-9.3977572559366749</v>
      </c>
      <c r="DX110">
        <v>0.21744158415841552</v>
      </c>
      <c r="DY110">
        <v>-9.0427356696883407</v>
      </c>
      <c r="DZ110">
        <v>0</v>
      </c>
      <c r="EA110">
        <v>-9.0427356696883407</v>
      </c>
      <c r="EB110">
        <v>9</v>
      </c>
      <c r="EC110">
        <v>1.3272831842995741E-3</v>
      </c>
      <c r="ED110">
        <v>1.2353533268297485E-2</v>
      </c>
      <c r="EE110">
        <v>0</v>
      </c>
      <c r="EF110">
        <v>0</v>
      </c>
      <c r="EG110">
        <v>11.107441584158416</v>
      </c>
      <c r="EH110" t="s">
        <v>110</v>
      </c>
      <c r="EI110">
        <v>0</v>
      </c>
      <c r="EJ110">
        <v>0</v>
      </c>
      <c r="EK110">
        <v>0</v>
      </c>
      <c r="EL110">
        <v>0</v>
      </c>
      <c r="EM110">
        <v>0</v>
      </c>
      <c r="EN110">
        <v>0</v>
      </c>
      <c r="EO110">
        <v>0</v>
      </c>
      <c r="EP110">
        <v>0</v>
      </c>
    </row>
    <row r="111" spans="1:146" ht="96" x14ac:dyDescent="0.25">
      <c r="A111" s="7"/>
      <c r="B111" s="7"/>
      <c r="C111" s="7" t="str">
        <f>""&amp;CHAR(10)&amp;Basic_Fundamental_Information_Constructure(F111)&amp;CHAR(10)&amp;Basic_Fundamental_Information_Concatenate("")</f>
        <v xml:space="preserve">
市值359.89575亿, 利润15.87亿; PE16.49; 平均PE77.09; 平均PEG9.02, PB.785; ROIC1.38%; ROE2.2%; 毛利11.2433%; 净利5.41%; 上一年度营收增7.93%, 利润增38.36%, 利润增-26.59%; 过往5年营收增8.55%, 利润增53.04%
Income profile:
</v>
      </c>
      <c r="D111" s="11">
        <v>659</v>
      </c>
      <c r="E111" t="s">
        <v>1946</v>
      </c>
      <c r="F111">
        <v>9.1999999999999993</v>
      </c>
      <c r="G111" s="5">
        <v>4.9000000000000002E-2</v>
      </c>
      <c r="H111" t="s">
        <v>6408</v>
      </c>
      <c r="I111">
        <v>35989575000</v>
      </c>
      <c r="J111">
        <v>16.489999999999998</v>
      </c>
      <c r="K111">
        <v>0.78500000000000003</v>
      </c>
      <c r="L111" t="s">
        <v>6350</v>
      </c>
      <c r="M111" t="s">
        <v>9</v>
      </c>
      <c r="N111" t="s">
        <v>9</v>
      </c>
      <c r="O111" t="s">
        <v>9</v>
      </c>
      <c r="P111" t="s">
        <v>9</v>
      </c>
      <c r="Q111" t="s">
        <v>1947</v>
      </c>
      <c r="R111">
        <v>1162400000</v>
      </c>
      <c r="S111" s="5">
        <v>-0.26590000000000003</v>
      </c>
      <c r="T111" t="s">
        <v>1948</v>
      </c>
      <c r="U111">
        <v>3910427800</v>
      </c>
      <c r="V111">
        <v>3910427800</v>
      </c>
      <c r="W111" t="s">
        <v>9</v>
      </c>
      <c r="X111" t="s">
        <v>9</v>
      </c>
      <c r="Y111" t="s">
        <v>9</v>
      </c>
      <c r="Z111" t="s">
        <v>9</v>
      </c>
      <c r="AA111" t="s">
        <v>9</v>
      </c>
      <c r="AB111" t="s">
        <v>9</v>
      </c>
      <c r="AC111" t="s">
        <v>9</v>
      </c>
      <c r="AD111" t="s">
        <v>9</v>
      </c>
      <c r="AE111" t="s">
        <v>9</v>
      </c>
      <c r="AF111" t="s">
        <v>9</v>
      </c>
      <c r="AG111" t="s">
        <v>9</v>
      </c>
      <c r="AH111" t="s">
        <v>1949</v>
      </c>
      <c r="AI111" t="s">
        <v>9</v>
      </c>
      <c r="AJ111" t="s">
        <v>9</v>
      </c>
      <c r="AK111" t="s">
        <v>1950</v>
      </c>
      <c r="AL111" t="s">
        <v>9</v>
      </c>
      <c r="AM111" t="s">
        <v>9</v>
      </c>
      <c r="AN111" s="5">
        <v>0.66290000000000004</v>
      </c>
      <c r="AO111" t="s">
        <v>9</v>
      </c>
      <c r="AP111" t="s">
        <v>1951</v>
      </c>
      <c r="AQ111" t="s">
        <v>9</v>
      </c>
      <c r="AR111" t="s">
        <v>1952</v>
      </c>
      <c r="AS111" t="s">
        <v>9</v>
      </c>
      <c r="AT111" t="s">
        <v>9</v>
      </c>
      <c r="AU111" t="s">
        <v>1744</v>
      </c>
      <c r="AV111" t="s">
        <v>995</v>
      </c>
      <c r="AW111" t="s">
        <v>9</v>
      </c>
      <c r="AX111" t="s">
        <v>1953</v>
      </c>
      <c r="AY111" t="s">
        <v>1954</v>
      </c>
      <c r="AZ111" t="s">
        <v>1955</v>
      </c>
      <c r="BA111" t="s">
        <v>1956</v>
      </c>
      <c r="BB111" t="s">
        <v>1957</v>
      </c>
      <c r="BC111" t="s">
        <v>1858</v>
      </c>
      <c r="BD111" t="s">
        <v>834</v>
      </c>
      <c r="BE111" t="s">
        <v>1958</v>
      </c>
      <c r="BF111" t="s">
        <v>1959</v>
      </c>
      <c r="BG111" t="s">
        <v>1960</v>
      </c>
      <c r="BH111" t="s">
        <v>1947</v>
      </c>
      <c r="BI111" t="s">
        <v>9</v>
      </c>
      <c r="BJ111" t="s">
        <v>1953</v>
      </c>
      <c r="BK111" t="s">
        <v>1948</v>
      </c>
      <c r="BL111" t="s">
        <v>9</v>
      </c>
      <c r="BM111" t="s">
        <v>1858</v>
      </c>
      <c r="BN111">
        <v>2.2599999999999998</v>
      </c>
      <c r="BO111">
        <v>1.52</v>
      </c>
      <c r="BP111">
        <v>0.36</v>
      </c>
      <c r="BQ111">
        <v>3.66</v>
      </c>
      <c r="BR111">
        <v>2.39</v>
      </c>
      <c r="BS111">
        <v>0.55000000000000004</v>
      </c>
      <c r="BT111" t="s">
        <v>1961</v>
      </c>
      <c r="BU111" t="s">
        <v>377</v>
      </c>
      <c r="BV111">
        <v>11.33</v>
      </c>
      <c r="BW111">
        <v>12.67</v>
      </c>
      <c r="BX111">
        <v>9.73</v>
      </c>
      <c r="BY111">
        <v>7.01</v>
      </c>
      <c r="BZ111">
        <v>6.03</v>
      </c>
      <c r="CA111">
        <v>3.19</v>
      </c>
      <c r="CB111">
        <v>25.34</v>
      </c>
      <c r="CC111">
        <v>27.07</v>
      </c>
      <c r="CD111" t="s">
        <v>6409</v>
      </c>
      <c r="CE111" t="s">
        <v>6410</v>
      </c>
      <c r="CF111" s="8" t="s">
        <v>9</v>
      </c>
      <c r="CG111" s="9">
        <v>-0.26590000000000003</v>
      </c>
      <c r="CH111" s="8">
        <v>7.9266585409641266E-2</v>
      </c>
      <c r="CI111" s="8">
        <v>0.11311731487512589</v>
      </c>
      <c r="CJ111" s="8">
        <v>-3.4025281667709351E-2</v>
      </c>
      <c r="CK111" s="8">
        <v>-0.23585361242294312</v>
      </c>
      <c r="CL111" s="8">
        <v>0.1188465803861618</v>
      </c>
      <c r="CM111" s="9">
        <v>0.38360938429832458</v>
      </c>
      <c r="CN111" s="9">
        <v>3.5335969924926758</v>
      </c>
      <c r="CO111" s="9">
        <v>-0.93742275238037109</v>
      </c>
      <c r="CP111" s="9">
        <v>-0.33382764458656311</v>
      </c>
      <c r="CQ111" s="9">
        <v>7.816663384437561E-2</v>
      </c>
      <c r="CR111">
        <v>77.092984648339879</v>
      </c>
      <c r="CS111">
        <v>9.0182932306584771</v>
      </c>
      <c r="CT111" t="e">
        <v>#VALUE!</v>
      </c>
      <c r="CU111" s="8">
        <v>8.5485116392374036E-2</v>
      </c>
      <c r="CV111" s="9">
        <v>0.53042949810624118</v>
      </c>
      <c r="CW111">
        <v>0.06</v>
      </c>
      <c r="CX111">
        <v>22.145310994160464</v>
      </c>
      <c r="CY111">
        <v>1625155546.9006579</v>
      </c>
      <c r="CZ111">
        <v>8.5485116392374036E-2</v>
      </c>
      <c r="DA111">
        <v>7.2646156812291247</v>
      </c>
      <c r="DB111">
        <v>4954092078.5379801</v>
      </c>
      <c r="DC111">
        <v>8.1210860572755325E-2</v>
      </c>
      <c r="DD111">
        <v>3.5945109458768614</v>
      </c>
      <c r="DE111">
        <v>10012370400.841982</v>
      </c>
      <c r="DF111">
        <v>7.5226902425289149E-2</v>
      </c>
      <c r="DG111">
        <v>2.171006078590239</v>
      </c>
      <c r="DH111">
        <v>16577371825.402779</v>
      </c>
      <c r="DI111">
        <v>6.8388093113899234E-2</v>
      </c>
      <c r="DJ111">
        <v>1.1356899922919022</v>
      </c>
      <c r="DK111">
        <v>31689611816.839657</v>
      </c>
      <c r="DL111">
        <v>5.983958147466182E-2</v>
      </c>
      <c r="DM111">
        <v>1587000000</v>
      </c>
      <c r="DN111">
        <v>8.5485116392374036E-2</v>
      </c>
      <c r="DO111">
        <v>35989575000</v>
      </c>
      <c r="DP111" t="e">
        <v>#VALUE!</v>
      </c>
      <c r="DQ111">
        <v>116</v>
      </c>
      <c r="DR111" t="e">
        <v>#VALUE!</v>
      </c>
      <c r="DS111">
        <v>-0.79632949810624121</v>
      </c>
      <c r="DT111" t="e">
        <v>#VALUE!</v>
      </c>
      <c r="DU111" t="e">
        <v>#VALUE!</v>
      </c>
      <c r="DV111" t="e">
        <v>#VALUE!</v>
      </c>
      <c r="DW111">
        <v>9.9360916143332094</v>
      </c>
      <c r="DX111">
        <v>1.0060941056709407</v>
      </c>
      <c r="DY111">
        <v>9.5018331968120293</v>
      </c>
      <c r="DZ111">
        <v>0</v>
      </c>
      <c r="EA111">
        <v>9.5018331968120293</v>
      </c>
      <c r="EB111">
        <v>9</v>
      </c>
      <c r="EC111">
        <v>4.8482419238120187E-3</v>
      </c>
      <c r="ED111">
        <v>9.043639675433977E-3</v>
      </c>
      <c r="EE111">
        <v>0</v>
      </c>
      <c r="EF111">
        <v>0</v>
      </c>
      <c r="EG111">
        <v>47.536094105670941</v>
      </c>
      <c r="EH111" t="s">
        <v>110</v>
      </c>
      <c r="EI111">
        <v>1</v>
      </c>
      <c r="EJ111">
        <v>0</v>
      </c>
      <c r="EK111">
        <v>0</v>
      </c>
      <c r="EL111">
        <v>0</v>
      </c>
      <c r="EM111">
        <v>0</v>
      </c>
      <c r="EN111">
        <v>0</v>
      </c>
      <c r="EO111">
        <v>0</v>
      </c>
      <c r="EP111">
        <v>0</v>
      </c>
    </row>
    <row r="112" spans="1:146" ht="96" x14ac:dyDescent="0.25">
      <c r="A112"/>
      <c r="B112"/>
      <c r="C112" s="7" t="str">
        <f>""&amp;CHAR(10)&amp;Basic_Fundamental_Information_Constructure(F112)&amp;CHAR(10)&amp;Basic_Fundamental_Information_Concatenate("")</f>
        <v xml:space="preserve">
市值316.94087亿, 利润--; PE; 平均PE-55.24; 平均PEG-9.03, PB2.56; ROIC0%; ROE0%; 股利率0%; 毛利0%; 净利0%, 利润增-303.9%; 过往5年营收增-6.12%, 利润增-492.69%
Income profile:
</v>
      </c>
      <c r="D112" s="11">
        <v>666</v>
      </c>
      <c r="E112" t="s">
        <v>7818</v>
      </c>
      <c r="F112">
        <v>13.92</v>
      </c>
      <c r="G112">
        <v>-5.7000000000000002E-3</v>
      </c>
      <c r="H112" t="s">
        <v>7819</v>
      </c>
      <c r="I112">
        <v>31694087000</v>
      </c>
      <c r="K112">
        <v>2.56</v>
      </c>
      <c r="L112" t="s">
        <v>6350</v>
      </c>
      <c r="M112" t="s">
        <v>9</v>
      </c>
      <c r="N112" t="s">
        <v>9</v>
      </c>
      <c r="O112" t="s">
        <v>9</v>
      </c>
      <c r="P112" s="5" t="s">
        <v>9</v>
      </c>
      <c r="Q112" t="s">
        <v>9</v>
      </c>
      <c r="R112">
        <v>-1613389400</v>
      </c>
      <c r="S112">
        <v>-3.0390000000000001</v>
      </c>
      <c r="T112" t="s">
        <v>9</v>
      </c>
      <c r="U112">
        <v>307378140</v>
      </c>
      <c r="V112">
        <v>2276874100</v>
      </c>
      <c r="W112" t="s">
        <v>9</v>
      </c>
      <c r="X112" t="s">
        <v>9</v>
      </c>
      <c r="Y112" t="s">
        <v>9</v>
      </c>
      <c r="Z112" t="s">
        <v>9</v>
      </c>
      <c r="AA112" t="s">
        <v>9</v>
      </c>
      <c r="AB112" t="s">
        <v>9</v>
      </c>
      <c r="AC112" t="s">
        <v>9</v>
      </c>
      <c r="AD112" t="s">
        <v>9</v>
      </c>
      <c r="AE112" t="s">
        <v>9</v>
      </c>
      <c r="AF112" t="s">
        <v>9</v>
      </c>
      <c r="AG112" t="s">
        <v>9</v>
      </c>
      <c r="AH112" t="s">
        <v>7820</v>
      </c>
      <c r="AI112" t="s">
        <v>9</v>
      </c>
      <c r="AJ112" t="s">
        <v>9</v>
      </c>
      <c r="AK112" s="5" t="s">
        <v>7821</v>
      </c>
      <c r="AL112" t="s">
        <v>9</v>
      </c>
      <c r="AM112" t="s">
        <v>9</v>
      </c>
      <c r="AN112">
        <v>0.67959999999999998</v>
      </c>
      <c r="AO112" t="s">
        <v>9</v>
      </c>
      <c r="AP112" t="s">
        <v>9</v>
      </c>
      <c r="AQ112" t="s">
        <v>9</v>
      </c>
      <c r="AR112" t="s">
        <v>9</v>
      </c>
      <c r="AS112" t="s">
        <v>9</v>
      </c>
      <c r="AT112" t="s">
        <v>9</v>
      </c>
      <c r="AU112" t="s">
        <v>9</v>
      </c>
      <c r="AV112" t="s">
        <v>9</v>
      </c>
      <c r="AW112" t="s">
        <v>9</v>
      </c>
      <c r="AX112" t="s">
        <v>9</v>
      </c>
      <c r="AY112" t="s">
        <v>9</v>
      </c>
      <c r="AZ112" t="s">
        <v>9</v>
      </c>
      <c r="BA112" t="s">
        <v>9</v>
      </c>
      <c r="BB112" t="s">
        <v>9</v>
      </c>
      <c r="BC112" t="s">
        <v>9</v>
      </c>
      <c r="BD112" t="s">
        <v>9</v>
      </c>
      <c r="BE112" t="s">
        <v>9</v>
      </c>
      <c r="BF112" t="s">
        <v>9</v>
      </c>
      <c r="BG112" t="s">
        <v>9</v>
      </c>
      <c r="BH112" t="s">
        <v>9</v>
      </c>
      <c r="BI112" t="s">
        <v>9</v>
      </c>
      <c r="BJ112" t="s">
        <v>9</v>
      </c>
      <c r="BK112" t="s">
        <v>9</v>
      </c>
      <c r="BL112" t="s">
        <v>9</v>
      </c>
      <c r="BM112" t="s">
        <v>9</v>
      </c>
      <c r="BN112" t="s">
        <v>9</v>
      </c>
      <c r="BO112" t="s">
        <v>9</v>
      </c>
      <c r="BP112" t="s">
        <v>9</v>
      </c>
      <c r="BQ112" t="s">
        <v>9</v>
      </c>
      <c r="BR112" t="s">
        <v>9</v>
      </c>
      <c r="BS112" t="s">
        <v>9</v>
      </c>
      <c r="BT112" t="s">
        <v>9</v>
      </c>
      <c r="BU112" t="s">
        <v>9</v>
      </c>
      <c r="BV112" t="s">
        <v>9</v>
      </c>
      <c r="BW112" t="s">
        <v>9</v>
      </c>
      <c r="BX112" t="s">
        <v>9</v>
      </c>
      <c r="BY112" t="s">
        <v>9</v>
      </c>
      <c r="BZ112" t="s">
        <v>9</v>
      </c>
      <c r="CA112" t="s">
        <v>9</v>
      </c>
      <c r="CB112">
        <v>-2.38</v>
      </c>
      <c r="CC112" s="8">
        <v>-7.2</v>
      </c>
      <c r="CD112" s="10" t="s">
        <v>7822</v>
      </c>
      <c r="CE112" s="8" t="s">
        <v>7823</v>
      </c>
      <c r="CF112" s="8" t="s">
        <v>9</v>
      </c>
      <c r="CG112" s="8">
        <v>-3.0390000000000001</v>
      </c>
      <c r="CH112" s="8" t="s">
        <v>9</v>
      </c>
      <c r="CI112" s="8" t="s">
        <v>9</v>
      </c>
      <c r="CJ112" s="9" t="s">
        <v>9</v>
      </c>
      <c r="CK112" s="9" t="s">
        <v>9</v>
      </c>
      <c r="CL112" s="9" t="s">
        <v>9</v>
      </c>
      <c r="CM112" s="9" t="s">
        <v>9</v>
      </c>
      <c r="CN112" s="9" t="s">
        <v>9</v>
      </c>
      <c r="CO112" t="s">
        <v>9</v>
      </c>
      <c r="CP112" t="s">
        <v>9</v>
      </c>
      <c r="CQ112" t="s">
        <v>9</v>
      </c>
      <c r="CR112" s="8">
        <v>-55.235425235273617</v>
      </c>
      <c r="CS112" s="9">
        <v>-9.0273465196909886</v>
      </c>
      <c r="CT112">
        <v>0</v>
      </c>
      <c r="CU112">
        <v>-6.1186778545379641E-2</v>
      </c>
      <c r="CV112">
        <v>-4.9268580675125122</v>
      </c>
      <c r="CW112">
        <v>0.06</v>
      </c>
      <c r="CX112" t="e">
        <v>#VALUE!</v>
      </c>
      <c r="CY112" t="s">
        <v>6390</v>
      </c>
      <c r="CZ112">
        <v>-6.1186778545379641E-2</v>
      </c>
      <c r="DA112" t="e">
        <v>#DIV/0!</v>
      </c>
      <c r="DB112" t="s">
        <v>6391</v>
      </c>
      <c r="DC112">
        <v>-5.8127439618110656E-2</v>
      </c>
      <c r="DD112" t="e">
        <v>#DIV/0!</v>
      </c>
      <c r="DE112" t="s">
        <v>6391</v>
      </c>
      <c r="DF112">
        <v>-5.3844365119934082E-2</v>
      </c>
      <c r="DG112" t="e">
        <v>#DIV/0!</v>
      </c>
      <c r="DH112" t="s">
        <v>6391</v>
      </c>
      <c r="DI112">
        <v>-4.8949422836303713E-2</v>
      </c>
      <c r="DJ112" t="e">
        <v>#DIV/0!</v>
      </c>
      <c r="DK112" t="s">
        <v>6391</v>
      </c>
      <c r="DL112">
        <v>-4.2830744981765749E-2</v>
      </c>
      <c r="DM112">
        <v>0</v>
      </c>
      <c r="DN112">
        <v>-6.1186778545379641E-2</v>
      </c>
      <c r="DO112">
        <v>31694087000</v>
      </c>
      <c r="DP112" t="e">
        <v>#VALUE!</v>
      </c>
      <c r="DQ112">
        <v>111</v>
      </c>
      <c r="DR112" t="e">
        <v>#VALUE!</v>
      </c>
      <c r="DS112">
        <v>1.8878580675125121</v>
      </c>
      <c r="DT112" t="e">
        <v>#VALUE!</v>
      </c>
      <c r="DU112" t="e">
        <v>#VALUE!</v>
      </c>
      <c r="DV112" t="e">
        <v>#VALUE!</v>
      </c>
      <c r="DW112">
        <v>-2.0720000000000001</v>
      </c>
      <c r="DX112">
        <v>0.42933604513843421</v>
      </c>
      <c r="DY112">
        <v>-2.0078721952499672</v>
      </c>
      <c r="DZ112">
        <v>0</v>
      </c>
      <c r="EA112">
        <v>-2.0078721952499672</v>
      </c>
      <c r="EB112">
        <v>2</v>
      </c>
      <c r="EC112">
        <v>1.4638490551585615E-4</v>
      </c>
      <c r="ED112">
        <v>1.3388531232359311E-3</v>
      </c>
      <c r="EE112">
        <v>0</v>
      </c>
      <c r="EF112">
        <v>0</v>
      </c>
      <c r="EG112">
        <v>32.109336045138434</v>
      </c>
      <c r="EH112" t="s">
        <v>110</v>
      </c>
      <c r="EI112">
        <v>0</v>
      </c>
      <c r="EJ112">
        <v>0</v>
      </c>
      <c r="EK112">
        <v>0</v>
      </c>
      <c r="EL112">
        <v>0</v>
      </c>
      <c r="EM112">
        <v>0</v>
      </c>
      <c r="EN112">
        <v>0</v>
      </c>
      <c r="EO112">
        <v>0</v>
      </c>
      <c r="EP112">
        <v>0</v>
      </c>
    </row>
    <row r="113" spans="1:146" ht="84" x14ac:dyDescent="0.25">
      <c r="A113" s="7"/>
      <c r="B113" s="7"/>
      <c r="C113" s="7" t="str">
        <f>""&amp;CHAR(10)&amp;Basic_Fundamental_Information_Constructure(F113)&amp;CHAR(10)&amp;Basic_Fundamental_Information_Concatenate("")</f>
        <v xml:space="preserve">
市值49.024154亿, 利润2.99亿; PE16.4; 平均PE-192.31; 平均PEG-56.2, PB.798; ROIC5.4567%; ROE5.52%; 股利率0%; 毛利49.5%; 净利7.9167%; 上一年度营收增1.23%, 利润增-19.19%, 利润增-27.92%; 过往5年营收增-3.42%, 利润增6.93%
Income profile:
</v>
      </c>
      <c r="D113" s="11">
        <v>667</v>
      </c>
      <c r="E113" t="s">
        <v>1966</v>
      </c>
      <c r="F113">
        <v>2.25</v>
      </c>
      <c r="G113" s="5">
        <v>-2.5999999999999999E-2</v>
      </c>
      <c r="H113" t="s">
        <v>7824</v>
      </c>
      <c r="I113">
        <v>4902415400</v>
      </c>
      <c r="J113">
        <v>16.399999999999999</v>
      </c>
      <c r="K113">
        <v>0.79800000000000004</v>
      </c>
      <c r="L113" t="s">
        <v>6350</v>
      </c>
      <c r="M113" t="s">
        <v>9</v>
      </c>
      <c r="N113" t="s">
        <v>9</v>
      </c>
      <c r="O113" t="s">
        <v>9</v>
      </c>
      <c r="P113" t="s">
        <v>9</v>
      </c>
      <c r="Q113" t="s">
        <v>7825</v>
      </c>
      <c r="R113">
        <v>298848240</v>
      </c>
      <c r="S113" s="5">
        <v>-0.2792</v>
      </c>
      <c r="T113" t="s">
        <v>2061</v>
      </c>
      <c r="U113">
        <v>2178851300</v>
      </c>
      <c r="V113">
        <v>2178851300</v>
      </c>
      <c r="W113" t="s">
        <v>9</v>
      </c>
      <c r="X113" t="s">
        <v>9</v>
      </c>
      <c r="Y113" t="s">
        <v>9</v>
      </c>
      <c r="Z113" t="s">
        <v>9</v>
      </c>
      <c r="AA113" t="s">
        <v>9</v>
      </c>
      <c r="AB113" t="s">
        <v>9</v>
      </c>
      <c r="AC113" t="s">
        <v>9</v>
      </c>
      <c r="AD113" t="s">
        <v>7826</v>
      </c>
      <c r="AE113" t="s">
        <v>9</v>
      </c>
      <c r="AF113" t="s">
        <v>9</v>
      </c>
      <c r="AG113" t="s">
        <v>9</v>
      </c>
      <c r="AH113" t="s">
        <v>7827</v>
      </c>
      <c r="AI113" t="s">
        <v>9</v>
      </c>
      <c r="AJ113" t="s">
        <v>9</v>
      </c>
      <c r="AK113" t="s">
        <v>7828</v>
      </c>
      <c r="AL113" t="s">
        <v>9</v>
      </c>
      <c r="AM113" t="s">
        <v>9</v>
      </c>
      <c r="AN113" s="5">
        <v>0.39650000000000002</v>
      </c>
      <c r="AO113" t="s">
        <v>9</v>
      </c>
      <c r="AP113" t="s">
        <v>64</v>
      </c>
      <c r="AQ113" t="s">
        <v>9</v>
      </c>
      <c r="AR113" t="s">
        <v>5846</v>
      </c>
      <c r="AS113" t="s">
        <v>9</v>
      </c>
      <c r="AT113" t="s">
        <v>9</v>
      </c>
      <c r="AU113" t="s">
        <v>3092</v>
      </c>
      <c r="AV113" t="s">
        <v>4632</v>
      </c>
      <c r="AW113" t="s">
        <v>9</v>
      </c>
      <c r="AX113" t="s">
        <v>1967</v>
      </c>
      <c r="AY113" t="s">
        <v>1971</v>
      </c>
      <c r="AZ113" t="s">
        <v>923</v>
      </c>
      <c r="BA113" t="s">
        <v>1382</v>
      </c>
      <c r="BB113" t="s">
        <v>166</v>
      </c>
      <c r="BC113" t="s">
        <v>161</v>
      </c>
      <c r="BD113" t="s">
        <v>144</v>
      </c>
      <c r="BE113" t="s">
        <v>149</v>
      </c>
      <c r="BF113" t="s">
        <v>1972</v>
      </c>
      <c r="BG113" t="s">
        <v>1297</v>
      </c>
      <c r="BH113" t="s">
        <v>1967</v>
      </c>
      <c r="BI113" t="s">
        <v>9</v>
      </c>
      <c r="BJ113" t="s">
        <v>1971</v>
      </c>
      <c r="BK113" t="s">
        <v>1968</v>
      </c>
      <c r="BL113" t="s">
        <v>9</v>
      </c>
      <c r="BM113" t="s">
        <v>161</v>
      </c>
      <c r="BN113">
        <v>4.83</v>
      </c>
      <c r="BO113">
        <v>6.41</v>
      </c>
      <c r="BP113">
        <v>5.13</v>
      </c>
      <c r="BQ113">
        <v>4.8600000000000003</v>
      </c>
      <c r="BR113">
        <v>6.43</v>
      </c>
      <c r="BS113">
        <v>5.27</v>
      </c>
      <c r="BT113" t="s">
        <v>1973</v>
      </c>
      <c r="BU113" t="s">
        <v>1974</v>
      </c>
      <c r="BV113">
        <v>47.96</v>
      </c>
      <c r="BW113">
        <v>49.52</v>
      </c>
      <c r="BX113">
        <v>51.02</v>
      </c>
      <c r="BY113">
        <v>6.85</v>
      </c>
      <c r="BZ113">
        <v>9.6</v>
      </c>
      <c r="CA113">
        <v>7.3</v>
      </c>
      <c r="CB113">
        <v>3.21</v>
      </c>
      <c r="CC113">
        <v>-8.5399999999999991</v>
      </c>
      <c r="CD113" t="s">
        <v>7829</v>
      </c>
      <c r="CE113" t="s">
        <v>741</v>
      </c>
      <c r="CF113" s="8" t="s">
        <v>9</v>
      </c>
      <c r="CG113" s="9">
        <v>-0.2792</v>
      </c>
      <c r="CH113" s="8">
        <v>1.2302737683057785E-2</v>
      </c>
      <c r="CI113" s="8">
        <v>-0.1501283198595047</v>
      </c>
      <c r="CJ113" s="8">
        <v>0.16555529832839966</v>
      </c>
      <c r="CK113" s="8">
        <v>0.17002967000007629</v>
      </c>
      <c r="CL113" s="8">
        <v>8.7796315550804138E-2</v>
      </c>
      <c r="CM113" s="9">
        <v>-0.19189189374446869</v>
      </c>
      <c r="CN113" s="9">
        <v>0.20521172881126404</v>
      </c>
      <c r="CO113" s="9">
        <v>-0.67581838369369507</v>
      </c>
      <c r="CP113" s="9">
        <v>0.62994837760925293</v>
      </c>
      <c r="CQ113" s="9">
        <v>-0.24447333812713623</v>
      </c>
      <c r="CR113">
        <v>-192.31418069410819</v>
      </c>
      <c r="CS113">
        <v>-56.196716574967709</v>
      </c>
      <c r="CT113">
        <v>0</v>
      </c>
      <c r="CU113" s="8">
        <v>-3.4221604466438293E-2</v>
      </c>
      <c r="CV113" s="9">
        <v>6.926319152116775E-2</v>
      </c>
      <c r="CW113">
        <v>0.06</v>
      </c>
      <c r="CX113">
        <v>16.3960381270903</v>
      </c>
      <c r="CY113" t="s">
        <v>7830</v>
      </c>
      <c r="CZ113">
        <v>-3.4221604466438293E-2</v>
      </c>
      <c r="DA113">
        <v>5.4653460423634339</v>
      </c>
      <c r="DB113" t="s">
        <v>7831</v>
      </c>
      <c r="DC113">
        <v>-3.251052424311638E-2</v>
      </c>
      <c r="DD113">
        <v>2.732673021181717</v>
      </c>
      <c r="DE113" t="s">
        <v>7832</v>
      </c>
      <c r="DF113">
        <v>-3.0115011930465698E-2</v>
      </c>
      <c r="DG113">
        <v>1.63960381270903</v>
      </c>
      <c r="DH113" t="s">
        <v>7833</v>
      </c>
      <c r="DI113">
        <v>-2.7377283573150637E-2</v>
      </c>
      <c r="DJ113">
        <v>0.819801906354515</v>
      </c>
      <c r="DK113" t="s">
        <v>7834</v>
      </c>
      <c r="DL113">
        <v>-2.3955123126506803E-2</v>
      </c>
      <c r="DM113">
        <v>299000000</v>
      </c>
      <c r="DN113">
        <v>-3.4221604466438293E-2</v>
      </c>
      <c r="DO113">
        <v>4902415400</v>
      </c>
      <c r="DP113" t="e">
        <v>#VALUE!</v>
      </c>
      <c r="DQ113">
        <v>112</v>
      </c>
      <c r="DR113" t="e">
        <v>#VALUE!</v>
      </c>
      <c r="DS113">
        <v>-0.34846319152116778</v>
      </c>
      <c r="DT113" t="e">
        <v>#VALUE!</v>
      </c>
      <c r="DU113" t="e">
        <v>#VALUE!</v>
      </c>
      <c r="DV113" t="e">
        <v>#VALUE!</v>
      </c>
      <c r="DW113">
        <v>6.273191489361702</v>
      </c>
      <c r="DX113">
        <v>0.30165845070422448</v>
      </c>
      <c r="DY113">
        <v>6.0523594575966433</v>
      </c>
      <c r="DZ113">
        <v>0</v>
      </c>
      <c r="EA113">
        <v>6.0523594575966433</v>
      </c>
      <c r="EB113">
        <v>6</v>
      </c>
      <c r="EC113">
        <v>1.2490756023598306E-2</v>
      </c>
      <c r="ED113">
        <v>6.5171955516193328E-2</v>
      </c>
      <c r="EE113">
        <v>0</v>
      </c>
      <c r="EF113">
        <v>0</v>
      </c>
      <c r="EG113">
        <v>11.191658450704224</v>
      </c>
      <c r="EH113" t="s">
        <v>110</v>
      </c>
      <c r="EI113">
        <v>0</v>
      </c>
      <c r="EJ113">
        <v>0</v>
      </c>
      <c r="EK113">
        <v>0</v>
      </c>
      <c r="EL113">
        <v>0</v>
      </c>
      <c r="EM113">
        <v>0</v>
      </c>
      <c r="EN113">
        <v>0</v>
      </c>
      <c r="EO113">
        <v>0</v>
      </c>
      <c r="EP113">
        <v>0</v>
      </c>
    </row>
    <row r="114" spans="1:146" ht="96" x14ac:dyDescent="0.25">
      <c r="A114" s="7"/>
      <c r="B114" s="7"/>
      <c r="C114" s="7" t="str">
        <f>""&amp;CHAR(10)&amp;Basic_Fundamental_Information_Constructure(F114)&amp;CHAR(10)&amp;Basic_Fundamental_Information_Concatenate("")</f>
        <v xml:space="preserve">
市值1703.8738亿, 利润76.26亿; PE22.34; 平均PE81.99; 平均PEG8.51, PB3.8; ROIC13.9567%; ROE20.3167%; 股利率0%; 毛利39.1967%; 净利7.8533%; 上一年度营收增3.64%, 利润增-11.02%, 利润增-9.32%; 过往5年营收增9.63%, 利润增8.91%
Income profile:
</v>
      </c>
      <c r="D114" s="11">
        <v>669</v>
      </c>
      <c r="E114" t="s">
        <v>1975</v>
      </c>
      <c r="F114">
        <v>92.95</v>
      </c>
      <c r="G114" s="5">
        <v>1.8100000000000002E-2</v>
      </c>
      <c r="H114" t="s">
        <v>7835</v>
      </c>
      <c r="I114">
        <v>170387380000</v>
      </c>
      <c r="J114">
        <v>22.34</v>
      </c>
      <c r="K114">
        <v>3.8</v>
      </c>
      <c r="L114" t="s">
        <v>6350</v>
      </c>
      <c r="M114" t="s">
        <v>9</v>
      </c>
      <c r="N114" t="s">
        <v>9</v>
      </c>
      <c r="O114" t="s">
        <v>9</v>
      </c>
      <c r="P114" t="s">
        <v>9</v>
      </c>
      <c r="Q114" t="s">
        <v>7836</v>
      </c>
      <c r="R114">
        <v>7626191700</v>
      </c>
      <c r="S114" s="5">
        <v>-9.3200000000000005E-2</v>
      </c>
      <c r="T114" t="s">
        <v>7837</v>
      </c>
      <c r="U114">
        <v>1834607900</v>
      </c>
      <c r="V114">
        <v>1834607900</v>
      </c>
      <c r="W114" t="s">
        <v>9</v>
      </c>
      <c r="X114" t="s">
        <v>9</v>
      </c>
      <c r="Y114" t="s">
        <v>9</v>
      </c>
      <c r="Z114" t="s">
        <v>9</v>
      </c>
      <c r="AA114" t="s">
        <v>9</v>
      </c>
      <c r="AB114" t="s">
        <v>9</v>
      </c>
      <c r="AC114" t="s">
        <v>9</v>
      </c>
      <c r="AD114" t="s">
        <v>3830</v>
      </c>
      <c r="AE114" t="s">
        <v>9</v>
      </c>
      <c r="AF114" t="s">
        <v>9</v>
      </c>
      <c r="AG114" t="s">
        <v>9</v>
      </c>
      <c r="AH114" t="s">
        <v>7838</v>
      </c>
      <c r="AI114" t="s">
        <v>9</v>
      </c>
      <c r="AJ114" t="s">
        <v>9</v>
      </c>
      <c r="AK114" t="s">
        <v>7839</v>
      </c>
      <c r="AL114" t="s">
        <v>9</v>
      </c>
      <c r="AM114" t="s">
        <v>9</v>
      </c>
      <c r="AN114" s="5">
        <v>0.53659999999999997</v>
      </c>
      <c r="AO114" t="s">
        <v>9</v>
      </c>
      <c r="AP114" t="s">
        <v>7840</v>
      </c>
      <c r="AQ114" t="s">
        <v>9</v>
      </c>
      <c r="AR114" t="s">
        <v>7841</v>
      </c>
      <c r="AS114" t="s">
        <v>9</v>
      </c>
      <c r="AT114" t="s">
        <v>9</v>
      </c>
      <c r="AU114" t="s">
        <v>7842</v>
      </c>
      <c r="AV114" t="s">
        <v>7843</v>
      </c>
      <c r="AW114" t="s">
        <v>9</v>
      </c>
      <c r="AX114" t="s">
        <v>1976</v>
      </c>
      <c r="AY114" t="s">
        <v>1978</v>
      </c>
      <c r="AZ114" t="s">
        <v>1979</v>
      </c>
      <c r="BA114" t="s">
        <v>1980</v>
      </c>
      <c r="BB114" t="s">
        <v>1981</v>
      </c>
      <c r="BC114" t="s">
        <v>1982</v>
      </c>
      <c r="BD114" t="s">
        <v>1983</v>
      </c>
      <c r="BE114" t="s">
        <v>1984</v>
      </c>
      <c r="BF114" t="s">
        <v>1985</v>
      </c>
      <c r="BG114" t="s">
        <v>1986</v>
      </c>
      <c r="BH114" t="s">
        <v>1976</v>
      </c>
      <c r="BI114" t="s">
        <v>9</v>
      </c>
      <c r="BJ114" t="s">
        <v>1978</v>
      </c>
      <c r="BK114" t="s">
        <v>1977</v>
      </c>
      <c r="BL114" t="s">
        <v>9</v>
      </c>
      <c r="BM114" t="s">
        <v>1982</v>
      </c>
      <c r="BN114">
        <v>12.15</v>
      </c>
      <c r="BO114">
        <v>13.12</v>
      </c>
      <c r="BP114">
        <v>16.600000000000001</v>
      </c>
      <c r="BQ114">
        <v>16.989999999999998</v>
      </c>
      <c r="BR114">
        <v>20.69</v>
      </c>
      <c r="BS114">
        <v>23.27</v>
      </c>
      <c r="BT114" t="s">
        <v>7844</v>
      </c>
      <c r="BU114" t="s">
        <v>1987</v>
      </c>
      <c r="BV114">
        <v>39.47</v>
      </c>
      <c r="BW114">
        <v>39.33</v>
      </c>
      <c r="BX114">
        <v>38.79</v>
      </c>
      <c r="BY114">
        <v>7.11</v>
      </c>
      <c r="BZ114">
        <v>8.1300000000000008</v>
      </c>
      <c r="CA114">
        <v>8.32</v>
      </c>
      <c r="CB114">
        <v>-1.06</v>
      </c>
      <c r="CC114">
        <v>-17.100000000000001</v>
      </c>
      <c r="CD114" t="s">
        <v>7845</v>
      </c>
      <c r="CE114" t="s">
        <v>572</v>
      </c>
      <c r="CF114" s="8" t="s">
        <v>9</v>
      </c>
      <c r="CG114" s="9">
        <v>-9.3200000000000005E-2</v>
      </c>
      <c r="CH114" s="8">
        <v>3.6420032382011414E-2</v>
      </c>
      <c r="CI114" s="8">
        <v>5.1380018703639507E-3</v>
      </c>
      <c r="CJ114" s="8">
        <v>0.35342827439308167</v>
      </c>
      <c r="CK114" s="8">
        <v>0.38302671909332275</v>
      </c>
      <c r="CL114" s="8">
        <v>0.16088727116584778</v>
      </c>
      <c r="CM114" s="9">
        <v>-0.11015169322490692</v>
      </c>
      <c r="CN114" s="9">
        <v>0.38047677278518677</v>
      </c>
      <c r="CO114" s="9">
        <v>0.29657483100891113</v>
      </c>
      <c r="CP114" s="9">
        <v>0.10628459602594376</v>
      </c>
      <c r="CQ114" s="9">
        <v>0.177366703748703</v>
      </c>
      <c r="CR114">
        <v>81.989275803993905</v>
      </c>
      <c r="CS114">
        <v>8.5102786233920966</v>
      </c>
      <c r="CT114">
        <v>0</v>
      </c>
      <c r="CU114" s="8">
        <v>9.6341470628976827E-2</v>
      </c>
      <c r="CV114" s="9">
        <v>8.9103263616561887E-2</v>
      </c>
      <c r="CW114">
        <v>0.06</v>
      </c>
      <c r="CX114">
        <v>21.602332533342132</v>
      </c>
      <c r="CY114">
        <v>7887452882.0911121</v>
      </c>
      <c r="CZ114">
        <v>9.6341470628976827E-2</v>
      </c>
      <c r="DA114">
        <v>7.0216613721681735</v>
      </c>
      <c r="DB114">
        <v>24265963704.169228</v>
      </c>
      <c r="DC114">
        <v>9.1524397097527979E-2</v>
      </c>
      <c r="DD114">
        <v>3.4318255719171566</v>
      </c>
      <c r="DE114">
        <v>49649195866.564606</v>
      </c>
      <c r="DF114">
        <v>8.4780494153499614E-2</v>
      </c>
      <c r="DG114">
        <v>2.0441696923857684</v>
      </c>
      <c r="DH114">
        <v>83352855017.207199</v>
      </c>
      <c r="DI114">
        <v>7.7073176503181462E-2</v>
      </c>
      <c r="DJ114">
        <v>1.0372103131929948</v>
      </c>
      <c r="DK114">
        <v>164274668148.51834</v>
      </c>
      <c r="DL114">
        <v>6.7439029440283779E-2</v>
      </c>
      <c r="DM114">
        <v>7626000000.000001</v>
      </c>
      <c r="DN114">
        <v>9.6341470628976827E-2</v>
      </c>
      <c r="DO114">
        <v>170387380000</v>
      </c>
      <c r="DP114" t="e">
        <v>#VALUE!</v>
      </c>
      <c r="DQ114">
        <v>113</v>
      </c>
      <c r="DR114" t="e">
        <v>#VALUE!</v>
      </c>
      <c r="DS114">
        <v>-0.18230326361656191</v>
      </c>
      <c r="DT114" t="e">
        <v>#VALUE!</v>
      </c>
      <c r="DU114" t="e">
        <v>#VALUE!</v>
      </c>
      <c r="DV114" t="e">
        <v>#VALUE!</v>
      </c>
      <c r="DW114">
        <v>-3.0124404761904762</v>
      </c>
      <c r="DX114">
        <v>0.47905222222222077</v>
      </c>
      <c r="DY114">
        <v>-3.0016054710978834</v>
      </c>
      <c r="DZ114">
        <v>0</v>
      </c>
      <c r="EA114">
        <v>-3.0016054710978834</v>
      </c>
      <c r="EB114">
        <v>3</v>
      </c>
      <c r="EC114">
        <v>1.2661779119124037E-2</v>
      </c>
      <c r="ED114">
        <v>9.8113607817779488E-2</v>
      </c>
      <c r="EE114">
        <v>0</v>
      </c>
      <c r="EF114">
        <v>0</v>
      </c>
      <c r="EG114">
        <v>35.129052222222221</v>
      </c>
      <c r="EH114" t="s">
        <v>110</v>
      </c>
      <c r="EI114">
        <v>0</v>
      </c>
      <c r="EJ114">
        <v>0</v>
      </c>
      <c r="EK114">
        <v>0</v>
      </c>
      <c r="EL114">
        <v>0</v>
      </c>
      <c r="EM114">
        <v>0</v>
      </c>
      <c r="EN114">
        <v>0</v>
      </c>
      <c r="EO114">
        <v>0</v>
      </c>
      <c r="EP114">
        <v>0</v>
      </c>
    </row>
    <row r="115" spans="1:146" ht="96" x14ac:dyDescent="0.25">
      <c r="A115" s="7"/>
      <c r="B115" s="7"/>
      <c r="C115" s="7" t="str">
        <f>""&amp;CHAR(10)&amp;Basic_Fundamental_Information_Constructure(F115)&amp;CHAR(10)&amp;Basic_Fundamental_Information_Concatenate("")</f>
        <v xml:space="preserve">
市值439.13854亿, 利润-89.54亿; PE; 平均PE-37.76; 平均PEG-11.8, PB1.03; ROIC-12.7767%; ROE-53.7333%; 股利率0%; 毛利61.6567%; 净利-37.9633%; 上一年度营收增138.69%, 利润增40.13%; 当季营收增129.17%, 利润增80.27%; 过往5年营收增3.2%, 利润增36.14%
Income profile:
</v>
      </c>
      <c r="D115" s="11">
        <v>670</v>
      </c>
      <c r="E115" t="s">
        <v>1988</v>
      </c>
      <c r="F115">
        <v>1.97</v>
      </c>
      <c r="G115" s="5">
        <v>-1.01E-2</v>
      </c>
      <c r="H115" t="s">
        <v>7846</v>
      </c>
      <c r="I115">
        <v>43913854000</v>
      </c>
      <c r="K115">
        <v>1.03</v>
      </c>
      <c r="L115" t="s">
        <v>6350</v>
      </c>
      <c r="M115" t="s">
        <v>7847</v>
      </c>
      <c r="N115" t="s">
        <v>7848</v>
      </c>
      <c r="O115" t="s">
        <v>7849</v>
      </c>
      <c r="P115">
        <v>48.96</v>
      </c>
      <c r="Q115" t="s">
        <v>7850</v>
      </c>
      <c r="R115">
        <v>-8953761600</v>
      </c>
      <c r="S115" s="5">
        <v>0.80269999999999997</v>
      </c>
      <c r="T115" t="s">
        <v>7851</v>
      </c>
      <c r="U115">
        <v>5176777800</v>
      </c>
      <c r="V115">
        <v>22291297000</v>
      </c>
      <c r="W115">
        <v>6.89</v>
      </c>
      <c r="X115">
        <v>0.12</v>
      </c>
      <c r="Y115">
        <v>-2.63</v>
      </c>
      <c r="Z115" t="s">
        <v>3440</v>
      </c>
      <c r="AA115" t="s">
        <v>7852</v>
      </c>
      <c r="AB115" t="s">
        <v>7853</v>
      </c>
      <c r="AC115" t="s">
        <v>7854</v>
      </c>
      <c r="AD115" t="s">
        <v>25</v>
      </c>
      <c r="AE115" t="s">
        <v>971</v>
      </c>
      <c r="AF115" t="s">
        <v>9</v>
      </c>
      <c r="AG115" t="s">
        <v>6193</v>
      </c>
      <c r="AH115" t="s">
        <v>7855</v>
      </c>
      <c r="AI115" t="s">
        <v>7856</v>
      </c>
      <c r="AJ115" t="s">
        <v>2722</v>
      </c>
      <c r="AK115" t="s">
        <v>7857</v>
      </c>
      <c r="AL115" t="s">
        <v>9</v>
      </c>
      <c r="AM115" t="s">
        <v>7858</v>
      </c>
      <c r="AN115" s="5">
        <v>0.85299999999999998</v>
      </c>
      <c r="AO115" t="s">
        <v>7859</v>
      </c>
      <c r="AP115" t="s">
        <v>4865</v>
      </c>
      <c r="AQ115" t="s">
        <v>7860</v>
      </c>
      <c r="AR115" t="s">
        <v>7861</v>
      </c>
      <c r="AS115" t="s">
        <v>7862</v>
      </c>
      <c r="AT115" t="s">
        <v>7863</v>
      </c>
      <c r="AU115" t="s">
        <v>7864</v>
      </c>
      <c r="AV115" t="s">
        <v>7865</v>
      </c>
      <c r="AW115" t="s">
        <v>7866</v>
      </c>
      <c r="AX115" t="s">
        <v>7867</v>
      </c>
      <c r="AY115" t="s">
        <v>1993</v>
      </c>
      <c r="AZ115" t="s">
        <v>1994</v>
      </c>
      <c r="BA115" t="s">
        <v>1995</v>
      </c>
      <c r="BB115" t="s">
        <v>1996</v>
      </c>
      <c r="BC115" t="s">
        <v>1997</v>
      </c>
      <c r="BD115" t="s">
        <v>1998</v>
      </c>
      <c r="BE115" t="s">
        <v>1999</v>
      </c>
      <c r="BF115" t="s">
        <v>2000</v>
      </c>
      <c r="BG115" t="s">
        <v>2001</v>
      </c>
      <c r="BH115" t="s">
        <v>7867</v>
      </c>
      <c r="BI115" t="s">
        <v>2002</v>
      </c>
      <c r="BJ115" t="s">
        <v>1993</v>
      </c>
      <c r="BK115" t="s">
        <v>1989</v>
      </c>
      <c r="BL115" t="s">
        <v>2003</v>
      </c>
      <c r="BM115" t="s">
        <v>1997</v>
      </c>
      <c r="BN115">
        <v>-5.31</v>
      </c>
      <c r="BO115">
        <v>-24.7</v>
      </c>
      <c r="BP115">
        <v>-8.32</v>
      </c>
      <c r="BQ115">
        <v>-19.059999999999999</v>
      </c>
      <c r="BR115">
        <v>-119.36</v>
      </c>
      <c r="BS115">
        <v>-22.78</v>
      </c>
      <c r="BT115" t="s">
        <v>2004</v>
      </c>
      <c r="BU115" t="s">
        <v>567</v>
      </c>
      <c r="BV115">
        <v>63.86</v>
      </c>
      <c r="BW115">
        <v>51.79</v>
      </c>
      <c r="BX115">
        <v>69.319999999999993</v>
      </c>
      <c r="BY115">
        <v>-7.57</v>
      </c>
      <c r="BZ115">
        <v>-86.53</v>
      </c>
      <c r="CA115">
        <v>-19.79</v>
      </c>
      <c r="CB115">
        <v>-6.64</v>
      </c>
      <c r="CC115">
        <v>-4.83</v>
      </c>
      <c r="CD115" t="s">
        <v>7868</v>
      </c>
      <c r="CE115" t="s">
        <v>2923</v>
      </c>
      <c r="CF115" s="8">
        <v>1.2917361734890285</v>
      </c>
      <c r="CG115" s="9">
        <v>0.80269999999999997</v>
      </c>
      <c r="CH115" s="8">
        <v>1.386871337890625</v>
      </c>
      <c r="CI115" s="8">
        <v>-0.36449015140533447</v>
      </c>
      <c r="CJ115" s="8">
        <v>0.17429308593273163</v>
      </c>
      <c r="CK115" s="8">
        <v>-0.46671387553215027</v>
      </c>
      <c r="CL115" s="8">
        <v>6.8364061415195465E-2</v>
      </c>
      <c r="CM115" s="9">
        <v>0.4013105034828186</v>
      </c>
      <c r="CN115" s="9">
        <v>-6.0182921588420868E-2</v>
      </c>
      <c r="CO115" s="9">
        <v>-4.9548640251159668</v>
      </c>
      <c r="CP115" s="9">
        <v>0.16113282740116119</v>
      </c>
      <c r="CQ115" s="9">
        <v>-0.59594893455505371</v>
      </c>
      <c r="CR115">
        <v>-37.759117798796218</v>
      </c>
      <c r="CS115">
        <v>-11.799895737479051</v>
      </c>
      <c r="CT115">
        <v>0</v>
      </c>
      <c r="CU115" s="8">
        <v>3.1999535113573077E-2</v>
      </c>
      <c r="CV115" s="9">
        <v>0.36140146329998968</v>
      </c>
      <c r="CW115">
        <v>0.06</v>
      </c>
      <c r="CX115" t="e">
        <v>#VALUE!</v>
      </c>
      <c r="CY115" t="s">
        <v>109</v>
      </c>
      <c r="CZ115">
        <v>3.1999535113573077E-2</v>
      </c>
      <c r="DA115" t="e">
        <v>#VALUE!</v>
      </c>
      <c r="DB115" t="s">
        <v>108</v>
      </c>
      <c r="DC115">
        <v>3.0399558357894423E-2</v>
      </c>
      <c r="DD115" t="e">
        <v>#VALUE!</v>
      </c>
      <c r="DE115" t="s">
        <v>108</v>
      </c>
      <c r="DF115">
        <v>2.8159590899944308E-2</v>
      </c>
      <c r="DG115" t="e">
        <v>#VALUE!</v>
      </c>
      <c r="DH115" t="s">
        <v>108</v>
      </c>
      <c r="DI115">
        <v>2.5599628090858462E-2</v>
      </c>
      <c r="DJ115" t="e">
        <v>#VALUE!</v>
      </c>
      <c r="DK115" t="s">
        <v>108</v>
      </c>
      <c r="DL115">
        <v>2.2399674579501153E-2</v>
      </c>
      <c r="DM115">
        <v>-8954000000</v>
      </c>
      <c r="DN115">
        <v>3.1999535113573077E-2</v>
      </c>
      <c r="DO115">
        <v>252101854000</v>
      </c>
      <c r="DP115" t="e">
        <v>#VALUE!</v>
      </c>
      <c r="DQ115">
        <v>114</v>
      </c>
      <c r="DR115">
        <v>1.2597366383754554</v>
      </c>
      <c r="DS115">
        <v>0.44129853670001029</v>
      </c>
      <c r="DT115">
        <v>-0.50666666666666671</v>
      </c>
      <c r="DU115">
        <v>-0.69166666666666676</v>
      </c>
      <c r="DV115">
        <v>-1.1983333333333335</v>
      </c>
      <c r="DW115">
        <v>-5.7274096385542173</v>
      </c>
      <c r="DX115">
        <v>0.2558765714285719</v>
      </c>
      <c r="DY115">
        <v>-5.0915638313253009</v>
      </c>
      <c r="DZ115">
        <v>0</v>
      </c>
      <c r="EA115">
        <v>-5.0915638313253009</v>
      </c>
      <c r="EB115">
        <v>5</v>
      </c>
      <c r="EC115">
        <v>9.8820629414250781E-4</v>
      </c>
      <c r="ED115">
        <v>7.8505974775716289E-3</v>
      </c>
      <c r="EE115">
        <v>0</v>
      </c>
      <c r="EF115">
        <v>0</v>
      </c>
      <c r="EG115">
        <v>13.125876571428572</v>
      </c>
      <c r="EH115" t="s">
        <v>110</v>
      </c>
      <c r="EI115">
        <v>0</v>
      </c>
      <c r="EJ115">
        <v>0</v>
      </c>
      <c r="EK115">
        <v>0</v>
      </c>
      <c r="EL115">
        <v>0</v>
      </c>
      <c r="EM115">
        <v>0</v>
      </c>
      <c r="EN115">
        <v>0</v>
      </c>
      <c r="EO115">
        <v>0</v>
      </c>
      <c r="EP115">
        <v>0</v>
      </c>
    </row>
    <row r="116" spans="1:146" ht="96" x14ac:dyDescent="0.25">
      <c r="A116" s="7"/>
      <c r="B116" s="7"/>
      <c r="C116" s="7" t="str">
        <f>""&amp;CHAR(10)&amp;Basic_Fundamental_Information_Constructure(F116)&amp;CHAR(10)&amp;Basic_Fundamental_Information_Concatenate("")</f>
        <v xml:space="preserve">
市值197.08732亿, 利润32.43亿; PE6.08; 平均PE36.79; 平均PEG1.62, PB.184; ROIC3.43%; ROE4.8067%; 毛利52.0867%; 净利43.0967%; 上一年度营收增-10.28%, 利润增-68.69%, 利润增17.73%; 过往5年营收增22.67%, 利润增-237.14%
Income profile:
</v>
      </c>
      <c r="D116" s="11">
        <v>683</v>
      </c>
      <c r="E116" t="s">
        <v>2005</v>
      </c>
      <c r="F116">
        <v>13.58</v>
      </c>
      <c r="G116" s="5">
        <v>-1.5900000000000001E-2</v>
      </c>
      <c r="H116" t="s">
        <v>7869</v>
      </c>
      <c r="I116">
        <v>19708732000</v>
      </c>
      <c r="J116">
        <v>6.08</v>
      </c>
      <c r="K116">
        <v>0.184</v>
      </c>
      <c r="L116" t="s">
        <v>6350</v>
      </c>
      <c r="M116" t="s">
        <v>9</v>
      </c>
      <c r="N116" t="s">
        <v>9</v>
      </c>
      <c r="O116" t="s">
        <v>9</v>
      </c>
      <c r="P116" t="s">
        <v>9</v>
      </c>
      <c r="Q116" t="s">
        <v>5152</v>
      </c>
      <c r="R116">
        <v>3243327000</v>
      </c>
      <c r="S116" s="5">
        <v>0.17730000000000001</v>
      </c>
      <c r="T116" t="s">
        <v>3177</v>
      </c>
      <c r="U116">
        <v>1451305700</v>
      </c>
      <c r="V116">
        <v>1451305700</v>
      </c>
      <c r="W116" t="s">
        <v>9</v>
      </c>
      <c r="X116" t="s">
        <v>9</v>
      </c>
      <c r="Y116" t="s">
        <v>9</v>
      </c>
      <c r="Z116" t="s">
        <v>9</v>
      </c>
      <c r="AA116" t="s">
        <v>9</v>
      </c>
      <c r="AB116" t="s">
        <v>9</v>
      </c>
      <c r="AC116" t="s">
        <v>9</v>
      </c>
      <c r="AD116" t="s">
        <v>9</v>
      </c>
      <c r="AE116" t="s">
        <v>9</v>
      </c>
      <c r="AF116" t="s">
        <v>9</v>
      </c>
      <c r="AG116" t="s">
        <v>9</v>
      </c>
      <c r="AH116" t="s">
        <v>7870</v>
      </c>
      <c r="AI116" t="s">
        <v>9</v>
      </c>
      <c r="AJ116" t="s">
        <v>9</v>
      </c>
      <c r="AK116" t="s">
        <v>7871</v>
      </c>
      <c r="AL116" t="s">
        <v>9</v>
      </c>
      <c r="AM116" t="s">
        <v>9</v>
      </c>
      <c r="AN116" s="5">
        <v>0.41870000000000002</v>
      </c>
      <c r="AO116" t="s">
        <v>9</v>
      </c>
      <c r="AP116" t="s">
        <v>74</v>
      </c>
      <c r="AQ116" t="s">
        <v>9</v>
      </c>
      <c r="AR116" t="s">
        <v>7872</v>
      </c>
      <c r="AS116" t="s">
        <v>9</v>
      </c>
      <c r="AT116" t="s">
        <v>9</v>
      </c>
      <c r="AU116" t="s">
        <v>7873</v>
      </c>
      <c r="AV116" t="s">
        <v>7874</v>
      </c>
      <c r="AW116" t="s">
        <v>9</v>
      </c>
      <c r="AX116" t="s">
        <v>2006</v>
      </c>
      <c r="AY116" t="s">
        <v>2010</v>
      </c>
      <c r="AZ116" t="s">
        <v>2011</v>
      </c>
      <c r="BA116" t="s">
        <v>2012</v>
      </c>
      <c r="BB116" t="s">
        <v>2013</v>
      </c>
      <c r="BC116" t="s">
        <v>2014</v>
      </c>
      <c r="BD116" t="s">
        <v>2015</v>
      </c>
      <c r="BE116" t="s">
        <v>2016</v>
      </c>
      <c r="BF116" t="s">
        <v>2017</v>
      </c>
      <c r="BG116" t="s">
        <v>2018</v>
      </c>
      <c r="BH116" t="s">
        <v>2006</v>
      </c>
      <c r="BI116" t="s">
        <v>9</v>
      </c>
      <c r="BJ116" t="s">
        <v>2010</v>
      </c>
      <c r="BK116" t="s">
        <v>2007</v>
      </c>
      <c r="BL116" t="s">
        <v>9</v>
      </c>
      <c r="BM116" t="s">
        <v>2014</v>
      </c>
      <c r="BN116">
        <v>1.97</v>
      </c>
      <c r="BO116">
        <v>1.72</v>
      </c>
      <c r="BP116">
        <v>6.6</v>
      </c>
      <c r="BQ116">
        <v>3.02</v>
      </c>
      <c r="BR116">
        <v>2.5299999999999998</v>
      </c>
      <c r="BS116">
        <v>8.8699999999999992</v>
      </c>
      <c r="BT116" t="s">
        <v>7875</v>
      </c>
      <c r="BU116" t="s">
        <v>410</v>
      </c>
      <c r="BV116">
        <v>51.35</v>
      </c>
      <c r="BW116">
        <v>47.87</v>
      </c>
      <c r="BX116">
        <v>57.04</v>
      </c>
      <c r="BY116">
        <v>31.81</v>
      </c>
      <c r="BZ116">
        <v>23.82</v>
      </c>
      <c r="CA116">
        <v>73.66</v>
      </c>
      <c r="CB116">
        <v>-3</v>
      </c>
      <c r="CC116">
        <v>-16.89</v>
      </c>
      <c r="CD116" t="s">
        <v>7876</v>
      </c>
      <c r="CE116" t="s">
        <v>7877</v>
      </c>
      <c r="CF116" s="8" t="s">
        <v>9</v>
      </c>
      <c r="CG116" s="9">
        <v>0.17730000000000001</v>
      </c>
      <c r="CH116" s="8">
        <v>-0.10281015932559967</v>
      </c>
      <c r="CI116" s="8">
        <v>-4.8085041344165802E-2</v>
      </c>
      <c r="CJ116" s="8">
        <v>5.5142462253570557E-2</v>
      </c>
      <c r="CK116" s="8">
        <v>-0.3222600519657135</v>
      </c>
      <c r="CL116" s="8">
        <v>-0.39706876873970032</v>
      </c>
      <c r="CM116" s="9">
        <v>-0.68690866231918335</v>
      </c>
      <c r="CN116" s="9">
        <v>0.91708308458328247</v>
      </c>
      <c r="CO116" s="9">
        <v>-0.2166159451007843</v>
      </c>
      <c r="CP116" s="9">
        <v>-8.0277353525161743E-2</v>
      </c>
      <c r="CQ116" s="9">
        <v>-0.18859559297561646</v>
      </c>
      <c r="CR116">
        <v>36.79078355534709</v>
      </c>
      <c r="CS116">
        <v>1.6225692224121724</v>
      </c>
      <c r="CT116" t="e">
        <v>#VALUE!</v>
      </c>
      <c r="CU116" s="8">
        <v>0.22674399986863136</v>
      </c>
      <c r="CV116" s="9">
        <v>-2.3713881492614748</v>
      </c>
      <c r="CW116">
        <v>0.06</v>
      </c>
      <c r="CX116">
        <v>5.2512616508027143</v>
      </c>
      <c r="CY116">
        <v>3753142256.2018595</v>
      </c>
      <c r="CZ116">
        <v>0.22674399986863136</v>
      </c>
      <c r="DA116">
        <v>1.5312762456688982</v>
      </c>
      <c r="DB116">
        <v>12870788047.385109</v>
      </c>
      <c r="DC116">
        <v>0.21540679987519978</v>
      </c>
      <c r="DD116">
        <v>0.6426072957265363</v>
      </c>
      <c r="DE116">
        <v>30669947464.130749</v>
      </c>
      <c r="DF116">
        <v>0.19953471988439561</v>
      </c>
      <c r="DG116">
        <v>0.31905363612120896</v>
      </c>
      <c r="DH116">
        <v>61772472614.957512</v>
      </c>
      <c r="DI116">
        <v>0.1813951998949051</v>
      </c>
      <c r="DJ116">
        <v>0.10490802349635091</v>
      </c>
      <c r="DK116">
        <v>187866774562.62955</v>
      </c>
      <c r="DL116">
        <v>0.15872079990804194</v>
      </c>
      <c r="DM116">
        <v>3243000000</v>
      </c>
      <c r="DN116">
        <v>0.22674399986863136</v>
      </c>
      <c r="DO116">
        <v>19708732000</v>
      </c>
      <c r="DP116" t="e">
        <v>#VALUE!</v>
      </c>
      <c r="DQ116">
        <v>115</v>
      </c>
      <c r="DR116" t="e">
        <v>#VALUE!</v>
      </c>
      <c r="DS116">
        <v>2.5486881492614746</v>
      </c>
      <c r="DT116" t="e">
        <v>#VALUE!</v>
      </c>
      <c r="DU116" t="e">
        <v>#VALUE!</v>
      </c>
      <c r="DV116" t="e">
        <v>#VALUE!</v>
      </c>
      <c r="DW116">
        <v>-8.1776198934280639</v>
      </c>
      <c r="DX116">
        <v>0.22452196481529996</v>
      </c>
      <c r="DY116">
        <v>-8.016788981317104</v>
      </c>
      <c r="DZ116">
        <v>0</v>
      </c>
      <c r="EA116">
        <v>-8.016788981317104</v>
      </c>
      <c r="EB116">
        <v>8</v>
      </c>
      <c r="EC116">
        <v>4.8092555551873051E-3</v>
      </c>
      <c r="ED116">
        <v>5.0879769851382796E-2</v>
      </c>
      <c r="EE116">
        <v>0</v>
      </c>
      <c r="EF116">
        <v>0</v>
      </c>
      <c r="EG116">
        <v>13.0945219648153</v>
      </c>
      <c r="EH116" t="s">
        <v>110</v>
      </c>
      <c r="EI116">
        <v>0</v>
      </c>
      <c r="EJ116">
        <v>0</v>
      </c>
      <c r="EK116">
        <v>0</v>
      </c>
      <c r="EL116">
        <v>0</v>
      </c>
      <c r="EM116">
        <v>0</v>
      </c>
      <c r="EN116">
        <v>0</v>
      </c>
      <c r="EO116">
        <v>0</v>
      </c>
      <c r="EP116">
        <v>0</v>
      </c>
    </row>
    <row r="117" spans="1:146" ht="108" x14ac:dyDescent="0.25">
      <c r="A117" s="7"/>
      <c r="B117" s="7"/>
      <c r="C117" s="7" t="str">
        <f>""&amp;CHAR(10)&amp;Basic_Fundamental_Information_Constructure(F117)&amp;CHAR(10)&amp;Basic_Fundamental_Information_Concatenate("")</f>
        <v xml:space="preserve">
市值1484.1262亿, 利润280.74亿; PE5.29; 平均PE30.24; 平均PEG3.22, PB.363; ROIC5.0467%; ROE8.3733%; 毛利21.7167%; 净利14.9167%; 上一年度营收增9.14%, 利润增-42.9%; 当季营收增10.73%, 利润增6.97%; 过往5年营收增9.39%, 利润增183.42%
Income profile:
</v>
      </c>
      <c r="D117" s="11">
        <v>688</v>
      </c>
      <c r="E117" t="s">
        <v>2020</v>
      </c>
      <c r="F117">
        <v>13.56</v>
      </c>
      <c r="G117" s="5">
        <v>-3.6900000000000002E-2</v>
      </c>
      <c r="H117" t="s">
        <v>7878</v>
      </c>
      <c r="I117">
        <v>148412620000</v>
      </c>
      <c r="J117">
        <v>5.29</v>
      </c>
      <c r="K117">
        <v>0.36299999999999999</v>
      </c>
      <c r="L117" t="s">
        <v>6350</v>
      </c>
      <c r="M117" t="s">
        <v>9</v>
      </c>
      <c r="N117" t="s">
        <v>9</v>
      </c>
      <c r="O117" t="s">
        <v>7879</v>
      </c>
      <c r="P117">
        <v>14.42</v>
      </c>
      <c r="Q117" t="s">
        <v>7880</v>
      </c>
      <c r="R117">
        <v>28073503000</v>
      </c>
      <c r="S117" s="5">
        <v>6.9699999999999998E-2</v>
      </c>
      <c r="T117" t="s">
        <v>7881</v>
      </c>
      <c r="U117">
        <v>10944883500</v>
      </c>
      <c r="V117">
        <v>10944883500</v>
      </c>
      <c r="W117" t="s">
        <v>9</v>
      </c>
      <c r="X117">
        <v>0.04</v>
      </c>
      <c r="Y117">
        <v>18.36</v>
      </c>
      <c r="Z117" t="s">
        <v>9</v>
      </c>
      <c r="AA117" t="s">
        <v>9</v>
      </c>
      <c r="AB117" t="s">
        <v>9</v>
      </c>
      <c r="AC117" t="s">
        <v>9</v>
      </c>
      <c r="AD117" t="s">
        <v>9</v>
      </c>
      <c r="AE117" t="s">
        <v>9</v>
      </c>
      <c r="AF117" t="s">
        <v>9</v>
      </c>
      <c r="AG117" t="s">
        <v>9</v>
      </c>
      <c r="AH117" t="s">
        <v>7882</v>
      </c>
      <c r="AI117" t="s">
        <v>9</v>
      </c>
      <c r="AJ117" t="s">
        <v>9</v>
      </c>
      <c r="AK117" t="s">
        <v>7883</v>
      </c>
      <c r="AL117" t="s">
        <v>9</v>
      </c>
      <c r="AM117" t="s">
        <v>9</v>
      </c>
      <c r="AN117" s="5">
        <v>0.5746</v>
      </c>
      <c r="AO117" t="s">
        <v>9</v>
      </c>
      <c r="AP117" t="s">
        <v>7884</v>
      </c>
      <c r="AQ117" t="s">
        <v>9</v>
      </c>
      <c r="AR117" t="s">
        <v>7885</v>
      </c>
      <c r="AS117" t="s">
        <v>9</v>
      </c>
      <c r="AT117" t="s">
        <v>9</v>
      </c>
      <c r="AU117" t="s">
        <v>7886</v>
      </c>
      <c r="AV117" t="s">
        <v>7887</v>
      </c>
      <c r="AW117" t="s">
        <v>9</v>
      </c>
      <c r="AX117" t="s">
        <v>2021</v>
      </c>
      <c r="AY117" t="s">
        <v>2023</v>
      </c>
      <c r="AZ117" t="s">
        <v>2024</v>
      </c>
      <c r="BA117" t="s">
        <v>2025</v>
      </c>
      <c r="BB117" t="s">
        <v>2026</v>
      </c>
      <c r="BC117" t="s">
        <v>2027</v>
      </c>
      <c r="BD117" t="s">
        <v>2028</v>
      </c>
      <c r="BE117" t="s">
        <v>2029</v>
      </c>
      <c r="BF117" t="s">
        <v>2030</v>
      </c>
      <c r="BG117" t="s">
        <v>2031</v>
      </c>
      <c r="BH117" t="s">
        <v>2021</v>
      </c>
      <c r="BI117" t="s">
        <v>2032</v>
      </c>
      <c r="BJ117" t="s">
        <v>2023</v>
      </c>
      <c r="BK117" t="s">
        <v>2022</v>
      </c>
      <c r="BL117" t="s">
        <v>9</v>
      </c>
      <c r="BM117" t="s">
        <v>2027</v>
      </c>
      <c r="BN117">
        <v>4.08</v>
      </c>
      <c r="BO117">
        <v>3.84</v>
      </c>
      <c r="BP117">
        <v>7.22</v>
      </c>
      <c r="BQ117">
        <v>6.87</v>
      </c>
      <c r="BR117">
        <v>6.56</v>
      </c>
      <c r="BS117">
        <v>11.69</v>
      </c>
      <c r="BT117" t="s">
        <v>7888</v>
      </c>
      <c r="BU117" t="s">
        <v>410</v>
      </c>
      <c r="BV117">
        <v>20.32</v>
      </c>
      <c r="BW117">
        <v>21.29</v>
      </c>
      <c r="BX117">
        <v>23.54</v>
      </c>
      <c r="BY117">
        <v>13.35</v>
      </c>
      <c r="BZ117">
        <v>13.62</v>
      </c>
      <c r="CA117">
        <v>17.78</v>
      </c>
      <c r="CB117">
        <v>-0.8</v>
      </c>
      <c r="CC117">
        <v>-7.57</v>
      </c>
      <c r="CD117" t="s">
        <v>7889</v>
      </c>
      <c r="CE117" t="s">
        <v>5783</v>
      </c>
      <c r="CF117" s="8">
        <v>0.10727042610040782</v>
      </c>
      <c r="CG117" s="9">
        <v>6.9699999999999998E-2</v>
      </c>
      <c r="CH117" s="8">
        <v>9.1367125511169434E-2</v>
      </c>
      <c r="CI117" s="8">
        <v>-0.31421256065368652</v>
      </c>
      <c r="CJ117" s="8">
        <v>0.33950495719909668</v>
      </c>
      <c r="CK117" s="8">
        <v>0.35035279393196106</v>
      </c>
      <c r="CL117" s="8">
        <v>1.03616519481875E-4</v>
      </c>
      <c r="CM117" s="9">
        <v>-0.42904210090637207</v>
      </c>
      <c r="CN117" s="9">
        <v>-6.0368034988641739E-2</v>
      </c>
      <c r="CO117" s="9">
        <v>0.1251613050699234</v>
      </c>
      <c r="CP117" s="9">
        <v>8.2991786301136017E-2</v>
      </c>
      <c r="CQ117" s="9">
        <v>5.3401019424200058E-2</v>
      </c>
      <c r="CR117">
        <v>30.24196178492307</v>
      </c>
      <c r="CS117">
        <v>3.2213641409111342</v>
      </c>
      <c r="CT117" t="e">
        <v>#VALUE!</v>
      </c>
      <c r="CU117" s="8">
        <v>9.3879364337772137E-2</v>
      </c>
      <c r="CV117" s="9">
        <v>1.8341926097869874</v>
      </c>
      <c r="CW117">
        <v>0.06</v>
      </c>
      <c r="CX117">
        <v>5.1227477596387843</v>
      </c>
      <c r="CY117">
        <v>28971291768.319447</v>
      </c>
      <c r="CZ117">
        <v>9.3879364337772137E-2</v>
      </c>
      <c r="DA117">
        <v>1.6685783422810458</v>
      </c>
      <c r="DB117">
        <v>88945550975.515549</v>
      </c>
      <c r="DC117">
        <v>8.9185396120883526E-2</v>
      </c>
      <c r="DD117">
        <v>0.81779813633413889</v>
      </c>
      <c r="DE117">
        <v>181478305471.9032</v>
      </c>
      <c r="DF117">
        <v>8.2613840617239476E-2</v>
      </c>
      <c r="DG117">
        <v>0.48866784985796086</v>
      </c>
      <c r="DH117">
        <v>303708582512.92468</v>
      </c>
      <c r="DI117">
        <v>7.510349147021772E-2</v>
      </c>
      <c r="DJ117">
        <v>0.24969259000234215</v>
      </c>
      <c r="DK117">
        <v>594381355083.89685</v>
      </c>
      <c r="DL117">
        <v>6.5715555036440484E-2</v>
      </c>
      <c r="DM117">
        <v>28074000000</v>
      </c>
      <c r="DN117">
        <v>9.3879364337772137E-2</v>
      </c>
      <c r="DO117">
        <v>148412620000</v>
      </c>
      <c r="DP117" t="e">
        <v>#VALUE!</v>
      </c>
      <c r="DQ117">
        <v>116</v>
      </c>
      <c r="DR117">
        <v>1.3391061762635686E-2</v>
      </c>
      <c r="DS117">
        <v>-1.7644926097869873</v>
      </c>
      <c r="DT117">
        <v>-0.27333333333333337</v>
      </c>
      <c r="DU117" t="e">
        <v>#VALUE!</v>
      </c>
      <c r="DV117" t="e">
        <v>#VALUE!</v>
      </c>
      <c r="DW117">
        <v>-2.0756999999999999</v>
      </c>
      <c r="DX117">
        <v>0.54903972027972281</v>
      </c>
      <c r="DY117">
        <v>-2.0090113068251747</v>
      </c>
      <c r="DZ117">
        <v>0</v>
      </c>
      <c r="EA117">
        <v>-2.0090113068251747</v>
      </c>
      <c r="EB117">
        <v>2</v>
      </c>
      <c r="EC117">
        <v>7.776546913450472E-3</v>
      </c>
      <c r="ED117">
        <v>6.5327328518389433E-2</v>
      </c>
      <c r="EE117">
        <v>0</v>
      </c>
      <c r="EF117">
        <v>0</v>
      </c>
      <c r="EG117">
        <v>43.119039720279723</v>
      </c>
      <c r="EH117" t="s">
        <v>110</v>
      </c>
      <c r="EI117">
        <v>0</v>
      </c>
      <c r="EJ117">
        <v>0</v>
      </c>
      <c r="EK117">
        <v>0</v>
      </c>
      <c r="EL117">
        <v>0</v>
      </c>
      <c r="EM117">
        <v>0</v>
      </c>
      <c r="EN117">
        <v>0</v>
      </c>
      <c r="EO117">
        <v>0</v>
      </c>
      <c r="EP117">
        <v>0</v>
      </c>
    </row>
    <row r="118" spans="1:146" ht="96" x14ac:dyDescent="0.25">
      <c r="A118" s="7"/>
      <c r="B118" s="7"/>
      <c r="C118" s="7" t="str">
        <f>""&amp;CHAR(10)&amp;Basic_Fundamental_Information_Constructure(F118)&amp;CHAR(10)&amp;Basic_Fundamental_Information_Concatenate("")</f>
        <v xml:space="preserve">
市值118.142818亿, 利润-18.60亿; PE; 平均PE-57.37; 平均PEG-23.89, PB.743; ROIC-9.2333%; ROE-14.3767%; 股利率0%; 毛利100%; 净利-94.6867%; 上一年度营收增111.02%, 利润增28.24%, 利润增74.46%; 过往5年营收增-2.4%, 利润增20.79%
Income profile:
</v>
      </c>
      <c r="D118" s="11">
        <v>694</v>
      </c>
      <c r="E118" t="s">
        <v>2035</v>
      </c>
      <c r="F118">
        <v>2.58</v>
      </c>
      <c r="G118" s="5">
        <v>-2.2700000000000001E-2</v>
      </c>
      <c r="H118" t="s">
        <v>7890</v>
      </c>
      <c r="I118">
        <v>11814281800</v>
      </c>
      <c r="K118">
        <v>0.74299999999999999</v>
      </c>
      <c r="L118" t="s">
        <v>6350</v>
      </c>
      <c r="M118" t="s">
        <v>7891</v>
      </c>
      <c r="N118" t="s">
        <v>7892</v>
      </c>
      <c r="O118" t="s">
        <v>7893</v>
      </c>
      <c r="P118">
        <v>57.57</v>
      </c>
      <c r="Q118" t="s">
        <v>7894</v>
      </c>
      <c r="R118">
        <v>-1860019000</v>
      </c>
      <c r="S118" s="5">
        <v>0.74460000000000004</v>
      </c>
      <c r="T118" t="s">
        <v>7895</v>
      </c>
      <c r="U118">
        <v>1879364000</v>
      </c>
      <c r="V118">
        <v>4579179000</v>
      </c>
      <c r="W118">
        <v>2.23</v>
      </c>
      <c r="X118">
        <v>0.04</v>
      </c>
      <c r="Y118">
        <v>-11.76</v>
      </c>
      <c r="Z118" t="s">
        <v>7896</v>
      </c>
      <c r="AA118" t="s">
        <v>4130</v>
      </c>
      <c r="AB118" t="s">
        <v>9</v>
      </c>
      <c r="AC118" t="s">
        <v>7897</v>
      </c>
      <c r="AD118" t="s">
        <v>9</v>
      </c>
      <c r="AE118" t="s">
        <v>7898</v>
      </c>
      <c r="AF118" t="s">
        <v>9</v>
      </c>
      <c r="AG118" t="s">
        <v>7899</v>
      </c>
      <c r="AH118" t="s">
        <v>7900</v>
      </c>
      <c r="AI118" t="s">
        <v>2368</v>
      </c>
      <c r="AJ118" t="s">
        <v>7901</v>
      </c>
      <c r="AK118" t="s">
        <v>7902</v>
      </c>
      <c r="AL118" t="s">
        <v>9</v>
      </c>
      <c r="AM118" t="s">
        <v>7903</v>
      </c>
      <c r="AN118" s="5">
        <v>0.55069999999999997</v>
      </c>
      <c r="AO118" t="s">
        <v>7904</v>
      </c>
      <c r="AP118" t="s">
        <v>7905</v>
      </c>
      <c r="AQ118" t="s">
        <v>7906</v>
      </c>
      <c r="AR118" t="s">
        <v>7907</v>
      </c>
      <c r="AS118" t="s">
        <v>7908</v>
      </c>
      <c r="AT118" t="s">
        <v>799</v>
      </c>
      <c r="AU118" t="s">
        <v>7909</v>
      </c>
      <c r="AV118" t="s">
        <v>7910</v>
      </c>
      <c r="AW118" t="s">
        <v>7020</v>
      </c>
      <c r="AX118" t="s">
        <v>2036</v>
      </c>
      <c r="AY118" t="s">
        <v>2040</v>
      </c>
      <c r="AZ118" t="s">
        <v>2041</v>
      </c>
      <c r="BA118" t="s">
        <v>2042</v>
      </c>
      <c r="BB118" t="s">
        <v>2043</v>
      </c>
      <c r="BC118" t="s">
        <v>2044</v>
      </c>
      <c r="BD118" t="s">
        <v>2045</v>
      </c>
      <c r="BE118" t="s">
        <v>2046</v>
      </c>
      <c r="BF118" t="s">
        <v>2047</v>
      </c>
      <c r="BG118" t="s">
        <v>2048</v>
      </c>
      <c r="BH118" t="s">
        <v>2036</v>
      </c>
      <c r="BI118" t="s">
        <v>9</v>
      </c>
      <c r="BJ118" t="s">
        <v>2040</v>
      </c>
      <c r="BK118" t="s">
        <v>2037</v>
      </c>
      <c r="BL118" t="s">
        <v>9</v>
      </c>
      <c r="BM118" t="s">
        <v>2044</v>
      </c>
      <c r="BN118">
        <v>-6.71</v>
      </c>
      <c r="BO118">
        <v>-13.33</v>
      </c>
      <c r="BP118">
        <v>-7.66</v>
      </c>
      <c r="BQ118">
        <v>-11.4</v>
      </c>
      <c r="BR118">
        <v>-21.24</v>
      </c>
      <c r="BS118">
        <v>-10.49</v>
      </c>
      <c r="BT118" t="s">
        <v>85</v>
      </c>
      <c r="BU118" t="s">
        <v>567</v>
      </c>
      <c r="BV118">
        <v>100</v>
      </c>
      <c r="BW118">
        <v>100</v>
      </c>
      <c r="BX118">
        <v>100</v>
      </c>
      <c r="BY118">
        <v>-39.17</v>
      </c>
      <c r="BZ118">
        <v>-176.82</v>
      </c>
      <c r="CA118">
        <v>-68.069999999999993</v>
      </c>
      <c r="CB118">
        <v>-4.4400000000000004</v>
      </c>
      <c r="CC118">
        <v>-6.52</v>
      </c>
      <c r="CD118" t="s">
        <v>7911</v>
      </c>
      <c r="CE118" t="s">
        <v>2072</v>
      </c>
      <c r="CF118" s="8" t="s">
        <v>9</v>
      </c>
      <c r="CG118" s="9">
        <v>0.74460000000000004</v>
      </c>
      <c r="CH118" s="8">
        <v>1.1102224588394165</v>
      </c>
      <c r="CI118" s="8">
        <v>-0.40913867950439453</v>
      </c>
      <c r="CJ118" s="8">
        <v>-4.2494326829910278E-2</v>
      </c>
      <c r="CK118" s="8">
        <v>-0.68985414505004883</v>
      </c>
      <c r="CL118" s="8">
        <v>0.11708337068557739</v>
      </c>
      <c r="CM118" s="9">
        <v>0.28240740299224854</v>
      </c>
      <c r="CN118" s="9">
        <v>-6.8866007030010223E-2</v>
      </c>
      <c r="CO118" s="9">
        <v>-1.8968194723129272</v>
      </c>
      <c r="CP118" s="9">
        <v>-0.17308871448040009</v>
      </c>
      <c r="CQ118" s="9">
        <v>4.8749197274446487E-2</v>
      </c>
      <c r="CR118">
        <v>-57.373660238737159</v>
      </c>
      <c r="CS118">
        <v>-23.888070797232633</v>
      </c>
      <c r="CT118">
        <v>0</v>
      </c>
      <c r="CU118" s="8">
        <v>-2.4017703533172608E-2</v>
      </c>
      <c r="CV118" s="9">
        <v>0.20789994299411774</v>
      </c>
      <c r="CW118">
        <v>0.06</v>
      </c>
      <c r="CX118" t="e">
        <v>#VALUE!</v>
      </c>
      <c r="CY118" t="s">
        <v>109</v>
      </c>
      <c r="CZ118">
        <v>-2.4017703533172608E-2</v>
      </c>
      <c r="DA118" t="e">
        <v>#VALUE!</v>
      </c>
      <c r="DB118" t="s">
        <v>108</v>
      </c>
      <c r="DC118">
        <v>-2.2816818356513977E-2</v>
      </c>
      <c r="DD118" t="e">
        <v>#VALUE!</v>
      </c>
      <c r="DE118" t="s">
        <v>108</v>
      </c>
      <c r="DF118">
        <v>-2.1135579109191897E-2</v>
      </c>
      <c r="DG118" t="e">
        <v>#VALUE!</v>
      </c>
      <c r="DH118" t="s">
        <v>108</v>
      </c>
      <c r="DI118">
        <v>-1.9214162826538088E-2</v>
      </c>
      <c r="DJ118" t="e">
        <v>#VALUE!</v>
      </c>
      <c r="DK118" t="s">
        <v>108</v>
      </c>
      <c r="DL118">
        <v>-1.6812392473220826E-2</v>
      </c>
      <c r="DM118">
        <v>-1860000000.0000002</v>
      </c>
      <c r="DN118">
        <v>-2.4017703533172608E-2</v>
      </c>
      <c r="DO118">
        <v>15404281800</v>
      </c>
      <c r="DP118" t="e">
        <v>#VALUE!</v>
      </c>
      <c r="DQ118">
        <v>117</v>
      </c>
      <c r="DR118" t="e">
        <v>#VALUE!</v>
      </c>
      <c r="DS118">
        <v>0.5367000570058823</v>
      </c>
      <c r="DT118" t="e">
        <v>#VALUE!</v>
      </c>
      <c r="DU118" t="e">
        <v>#VALUE!</v>
      </c>
      <c r="DV118" t="e">
        <v>#VALUE!</v>
      </c>
      <c r="DW118">
        <v>-8.6809815950920246</v>
      </c>
      <c r="DX118">
        <v>0.31540955631399187</v>
      </c>
      <c r="DY118">
        <v>-8.0785917837475658</v>
      </c>
      <c r="DZ118">
        <v>0</v>
      </c>
      <c r="EA118">
        <v>-8.0785917837475658</v>
      </c>
      <c r="EB118">
        <v>8</v>
      </c>
      <c r="EC118">
        <v>7.3845115030445416E-3</v>
      </c>
      <c r="ED118">
        <v>6.398526897507173E-2</v>
      </c>
      <c r="EE118">
        <v>0</v>
      </c>
      <c r="EF118">
        <v>0</v>
      </c>
      <c r="EG118">
        <v>20.115409556313992</v>
      </c>
      <c r="EH118" t="s">
        <v>110</v>
      </c>
      <c r="EI118">
        <v>0</v>
      </c>
      <c r="EJ118">
        <v>0</v>
      </c>
      <c r="EK118">
        <v>0</v>
      </c>
      <c r="EL118">
        <v>0</v>
      </c>
      <c r="EM118">
        <v>0</v>
      </c>
      <c r="EN118">
        <v>0</v>
      </c>
      <c r="EO118">
        <v>0</v>
      </c>
      <c r="EP118">
        <v>0</v>
      </c>
    </row>
    <row r="119" spans="1:146" ht="96" x14ac:dyDescent="0.25">
      <c r="A119" s="7"/>
      <c r="B119" s="7"/>
      <c r="C119" s="7" t="str">
        <f>""&amp;CHAR(10)&amp;Basic_Fundamental_Information_Constructure(F119)&amp;CHAR(10)&amp;Basic_Fundamental_Information_Concatenate("")</f>
        <v xml:space="preserve">
市值268.91866亿, 利润15.34亿; PE17.54; 平均PE239.54; 平均PEG29.04, PB1.2; ROIC4.37%; ROE4.3433%; 股利率0%; 毛利43.4967%; 净利15.17%; 上一年度营收增30.54%, 利润增127.26%, 利润增116.8%; 过往5年营收增-8.25%, 利润增655%
Income profile:
</v>
      </c>
      <c r="D119" s="11">
        <v>696</v>
      </c>
      <c r="E119" t="s">
        <v>2050</v>
      </c>
      <c r="F119">
        <v>9.19</v>
      </c>
      <c r="G119" s="5">
        <v>-4.2700000000000002E-2</v>
      </c>
      <c r="H119" t="s">
        <v>7912</v>
      </c>
      <c r="I119">
        <v>26891866000</v>
      </c>
      <c r="J119">
        <v>17.54</v>
      </c>
      <c r="K119">
        <v>1.2</v>
      </c>
      <c r="L119" t="s">
        <v>6350</v>
      </c>
      <c r="M119" t="s">
        <v>9</v>
      </c>
      <c r="N119" t="s">
        <v>9</v>
      </c>
      <c r="O119" t="s">
        <v>9</v>
      </c>
      <c r="P119" t="s">
        <v>9</v>
      </c>
      <c r="Q119" t="s">
        <v>7913</v>
      </c>
      <c r="R119">
        <v>1533531200</v>
      </c>
      <c r="S119" s="5">
        <v>1.1679999999999999</v>
      </c>
      <c r="T119" t="s">
        <v>2889</v>
      </c>
      <c r="U119">
        <v>932562000</v>
      </c>
      <c r="V119">
        <v>2926209600</v>
      </c>
      <c r="W119" t="s">
        <v>9</v>
      </c>
      <c r="X119" t="s">
        <v>9</v>
      </c>
      <c r="Y119" t="s">
        <v>9</v>
      </c>
      <c r="Z119" t="s">
        <v>9</v>
      </c>
      <c r="AA119" t="s">
        <v>9</v>
      </c>
      <c r="AB119" t="s">
        <v>9</v>
      </c>
      <c r="AC119" t="s">
        <v>9</v>
      </c>
      <c r="AD119" t="s">
        <v>3943</v>
      </c>
      <c r="AE119" t="s">
        <v>9</v>
      </c>
      <c r="AF119" t="s">
        <v>9</v>
      </c>
      <c r="AG119" t="s">
        <v>9</v>
      </c>
      <c r="AH119" t="s">
        <v>7914</v>
      </c>
      <c r="AI119" t="s">
        <v>9</v>
      </c>
      <c r="AJ119" t="s">
        <v>9</v>
      </c>
      <c r="AK119" t="s">
        <v>7915</v>
      </c>
      <c r="AL119" t="s">
        <v>9</v>
      </c>
      <c r="AM119" t="s">
        <v>9</v>
      </c>
      <c r="AN119" s="5">
        <v>0.23569999999999999</v>
      </c>
      <c r="AO119" t="s">
        <v>9</v>
      </c>
      <c r="AP119" t="s">
        <v>699</v>
      </c>
      <c r="AQ119" t="s">
        <v>9</v>
      </c>
      <c r="AR119" t="s">
        <v>7916</v>
      </c>
      <c r="AS119" t="s">
        <v>9</v>
      </c>
      <c r="AT119" t="s">
        <v>9</v>
      </c>
      <c r="AU119" t="s">
        <v>1188</v>
      </c>
      <c r="AV119" t="s">
        <v>1569</v>
      </c>
      <c r="AW119" t="s">
        <v>9</v>
      </c>
      <c r="AX119" t="s">
        <v>554</v>
      </c>
      <c r="AY119" t="s">
        <v>1542</v>
      </c>
      <c r="AZ119" t="s">
        <v>2053</v>
      </c>
      <c r="BA119" t="s">
        <v>2054</v>
      </c>
      <c r="BB119" t="s">
        <v>2055</v>
      </c>
      <c r="BC119" t="s">
        <v>2056</v>
      </c>
      <c r="BD119" t="s">
        <v>2057</v>
      </c>
      <c r="BE119" t="s">
        <v>2058</v>
      </c>
      <c r="BF119" t="s">
        <v>2059</v>
      </c>
      <c r="BG119" t="s">
        <v>2060</v>
      </c>
      <c r="BH119" t="s">
        <v>554</v>
      </c>
      <c r="BI119" t="s">
        <v>9</v>
      </c>
      <c r="BJ119" t="s">
        <v>1542</v>
      </c>
      <c r="BK119" t="s">
        <v>2051</v>
      </c>
      <c r="BL119" t="s">
        <v>9</v>
      </c>
      <c r="BM119" t="s">
        <v>2056</v>
      </c>
      <c r="BN119">
        <v>6.85</v>
      </c>
      <c r="BO119">
        <v>3.28</v>
      </c>
      <c r="BP119">
        <v>2.98</v>
      </c>
      <c r="BQ119">
        <v>6.83</v>
      </c>
      <c r="BR119">
        <v>3.26</v>
      </c>
      <c r="BS119">
        <v>2.94</v>
      </c>
      <c r="BT119" t="s">
        <v>7917</v>
      </c>
      <c r="BU119" t="s">
        <v>551</v>
      </c>
      <c r="BV119">
        <v>51.95</v>
      </c>
      <c r="BW119">
        <v>39.86</v>
      </c>
      <c r="BX119">
        <v>38.68</v>
      </c>
      <c r="BY119">
        <v>20.98</v>
      </c>
      <c r="BZ119">
        <v>13.22</v>
      </c>
      <c r="CA119">
        <v>11.31</v>
      </c>
      <c r="CB119">
        <v>-7.58</v>
      </c>
      <c r="CC119">
        <v>-16.18</v>
      </c>
      <c r="CD119" t="s">
        <v>7918</v>
      </c>
      <c r="CE119" t="s">
        <v>1205</v>
      </c>
      <c r="CF119" s="8" t="s">
        <v>9</v>
      </c>
      <c r="CG119" s="9">
        <v>1.1679999999999999</v>
      </c>
      <c r="CH119" s="8">
        <v>0.3053831160068512</v>
      </c>
      <c r="CI119" s="8">
        <v>-0.12367710471153259</v>
      </c>
      <c r="CJ119" s="8">
        <v>2.7018653228878975E-2</v>
      </c>
      <c r="CK119" s="8">
        <v>-0.2357897013425827</v>
      </c>
      <c r="CL119" s="8">
        <v>4.9308896064758301E-2</v>
      </c>
      <c r="CM119" s="9">
        <v>1.2725925445556641</v>
      </c>
      <c r="CN119" s="9">
        <v>0.5625</v>
      </c>
      <c r="CO119" s="9">
        <v>-0.84799438714981079</v>
      </c>
      <c r="CP119" s="9">
        <v>7.3668226599693298E-2</v>
      </c>
      <c r="CQ119" s="9">
        <v>-1.8175050616264343E-2</v>
      </c>
      <c r="CR119">
        <v>239.53509010891455</v>
      </c>
      <c r="CS119">
        <v>29.044408662821336</v>
      </c>
      <c r="CT119">
        <v>0</v>
      </c>
      <c r="CU119" s="8">
        <v>-8.2472014799714083E-2</v>
      </c>
      <c r="CV119" s="9">
        <v>6.5500295877456667</v>
      </c>
      <c r="CW119">
        <v>0.06</v>
      </c>
      <c r="CX119">
        <v>17.53055149934811</v>
      </c>
      <c r="CY119" t="s">
        <v>7919</v>
      </c>
      <c r="CZ119">
        <v>-8.2472014799714083E-2</v>
      </c>
      <c r="DA119">
        <v>5.8435171664493701</v>
      </c>
      <c r="DB119" t="s">
        <v>7920</v>
      </c>
      <c r="DC119">
        <v>-7.834841405972838E-2</v>
      </c>
      <c r="DD119">
        <v>2.9217585832246851</v>
      </c>
      <c r="DE119" t="s">
        <v>7921</v>
      </c>
      <c r="DF119">
        <v>-7.2575373023748391E-2</v>
      </c>
      <c r="DG119">
        <v>1.753055149934811</v>
      </c>
      <c r="DH119" t="s">
        <v>7922</v>
      </c>
      <c r="DI119">
        <v>-6.5977611839771272E-2</v>
      </c>
      <c r="DJ119">
        <v>0.87652757496740552</v>
      </c>
      <c r="DK119" t="s">
        <v>7923</v>
      </c>
      <c r="DL119">
        <v>-5.7730410359799852E-2</v>
      </c>
      <c r="DM119">
        <v>1534000000</v>
      </c>
      <c r="DN119">
        <v>-8.2472014799714083E-2</v>
      </c>
      <c r="DO119">
        <v>26891866000</v>
      </c>
      <c r="DP119" t="e">
        <v>#VALUE!</v>
      </c>
      <c r="DQ119">
        <v>118</v>
      </c>
      <c r="DR119" t="e">
        <v>#VALUE!</v>
      </c>
      <c r="DS119">
        <v>-5.3820295877456665</v>
      </c>
      <c r="DT119" t="e">
        <v>#VALUE!</v>
      </c>
      <c r="DU119" t="e">
        <v>#VALUE!</v>
      </c>
      <c r="DV119" t="e">
        <v>#VALUE!</v>
      </c>
      <c r="DW119">
        <v>-9.4684796044499375</v>
      </c>
      <c r="DX119">
        <v>0.40128971962616844</v>
      </c>
      <c r="DY119">
        <v>-9.0755609440523095</v>
      </c>
      <c r="DZ119">
        <v>0</v>
      </c>
      <c r="EA119">
        <v>-9.0755609440523095</v>
      </c>
      <c r="EB119">
        <v>9</v>
      </c>
      <c r="EC119">
        <v>5.8977320011526172E-3</v>
      </c>
      <c r="ED119">
        <v>3.6566075102754086E-2</v>
      </c>
      <c r="EE119">
        <v>0</v>
      </c>
      <c r="EF119">
        <v>0</v>
      </c>
      <c r="EG119">
        <v>24.161289719626168</v>
      </c>
      <c r="EH119" t="s">
        <v>110</v>
      </c>
      <c r="EI119">
        <v>0</v>
      </c>
      <c r="EJ119">
        <v>0</v>
      </c>
      <c r="EK119">
        <v>0</v>
      </c>
      <c r="EL119">
        <v>0</v>
      </c>
      <c r="EM119">
        <v>0</v>
      </c>
      <c r="EN119">
        <v>0</v>
      </c>
      <c r="EO119">
        <v>0</v>
      </c>
      <c r="EP119">
        <v>0</v>
      </c>
    </row>
    <row r="120" spans="1:146" ht="96" x14ac:dyDescent="0.25">
      <c r="A120" s="7"/>
      <c r="B120" s="7"/>
      <c r="C120" s="7" t="str">
        <f>""&amp;CHAR(10)&amp;Basic_Fundamental_Information_Constructure(F120)&amp;CHAR(10)&amp;Basic_Fundamental_Information_Concatenate("")</f>
        <v xml:space="preserve">
市值98.512786亿, 利润4.04亿; PE23.95; 平均PE66.14; 平均PEG7.93, PB1.01; ROIC.8967%; ROE.8533%; 股利率0%; 毛利51.0133%; 净利5.33%; 上一年度营收增-44.81%, 利润增136.89%, 利润增-56.23%; 过往5年营收增8.34%, 利润增12.41%
Income profile:
</v>
      </c>
      <c r="D120" s="11">
        <v>697</v>
      </c>
      <c r="E120" t="s">
        <v>2062</v>
      </c>
      <c r="F120">
        <v>1.35</v>
      </c>
      <c r="G120" s="5">
        <v>0</v>
      </c>
      <c r="H120" t="s">
        <v>7924</v>
      </c>
      <c r="I120">
        <v>9851278600</v>
      </c>
      <c r="J120">
        <v>23.95</v>
      </c>
      <c r="K120">
        <v>1.01</v>
      </c>
      <c r="L120" t="s">
        <v>6350</v>
      </c>
      <c r="M120" t="s">
        <v>9</v>
      </c>
      <c r="N120" t="s">
        <v>9</v>
      </c>
      <c r="O120" t="s">
        <v>9</v>
      </c>
      <c r="P120" t="s">
        <v>9</v>
      </c>
      <c r="Q120" t="s">
        <v>6565</v>
      </c>
      <c r="R120">
        <v>403565000</v>
      </c>
      <c r="S120" s="5">
        <v>-0.56230000000000002</v>
      </c>
      <c r="T120" t="s">
        <v>158</v>
      </c>
      <c r="U120">
        <v>7299759400</v>
      </c>
      <c r="V120">
        <v>7299759400</v>
      </c>
      <c r="W120" t="s">
        <v>9</v>
      </c>
      <c r="X120" t="s">
        <v>9</v>
      </c>
      <c r="Y120" t="s">
        <v>9</v>
      </c>
      <c r="Z120" t="s">
        <v>9</v>
      </c>
      <c r="AA120" t="s">
        <v>9</v>
      </c>
      <c r="AB120" t="s">
        <v>9</v>
      </c>
      <c r="AC120" t="s">
        <v>9</v>
      </c>
      <c r="AD120" t="s">
        <v>7925</v>
      </c>
      <c r="AE120" t="s">
        <v>9</v>
      </c>
      <c r="AF120" t="s">
        <v>9</v>
      </c>
      <c r="AG120" t="s">
        <v>9</v>
      </c>
      <c r="AH120" t="s">
        <v>7926</v>
      </c>
      <c r="AI120" t="s">
        <v>9</v>
      </c>
      <c r="AJ120" t="s">
        <v>9</v>
      </c>
      <c r="AK120" t="s">
        <v>7927</v>
      </c>
      <c r="AL120" t="s">
        <v>9</v>
      </c>
      <c r="AM120" t="s">
        <v>9</v>
      </c>
      <c r="AN120" s="5">
        <v>0.25750000000000001</v>
      </c>
      <c r="AO120" t="s">
        <v>9</v>
      </c>
      <c r="AP120" t="s">
        <v>4096</v>
      </c>
      <c r="AQ120" t="s">
        <v>9</v>
      </c>
      <c r="AR120" t="s">
        <v>3607</v>
      </c>
      <c r="AS120" t="s">
        <v>9</v>
      </c>
      <c r="AT120" t="s">
        <v>9</v>
      </c>
      <c r="AU120" t="s">
        <v>179</v>
      </c>
      <c r="AV120" t="s">
        <v>7928</v>
      </c>
      <c r="AW120" t="s">
        <v>9</v>
      </c>
      <c r="AX120" t="s">
        <v>2063</v>
      </c>
      <c r="AY120" t="s">
        <v>2066</v>
      </c>
      <c r="AZ120" t="s">
        <v>195</v>
      </c>
      <c r="BA120" t="s">
        <v>117</v>
      </c>
      <c r="BB120" t="s">
        <v>2067</v>
      </c>
      <c r="BC120" t="s">
        <v>2068</v>
      </c>
      <c r="BD120" t="s">
        <v>2069</v>
      </c>
      <c r="BE120" t="s">
        <v>1539</v>
      </c>
      <c r="BF120" t="s">
        <v>2070</v>
      </c>
      <c r="BG120" t="s">
        <v>2071</v>
      </c>
      <c r="BH120" t="s">
        <v>2063</v>
      </c>
      <c r="BI120" t="s">
        <v>2072</v>
      </c>
      <c r="BJ120" t="s">
        <v>2066</v>
      </c>
      <c r="BK120" t="s">
        <v>221</v>
      </c>
      <c r="BL120" t="s">
        <v>28</v>
      </c>
      <c r="BM120" t="s">
        <v>2068</v>
      </c>
      <c r="BN120">
        <v>3.72</v>
      </c>
      <c r="BO120">
        <v>8.43</v>
      </c>
      <c r="BP120">
        <v>-9.4600000000000009</v>
      </c>
      <c r="BQ120">
        <v>4.07</v>
      </c>
      <c r="BR120">
        <v>9.2899999999999991</v>
      </c>
      <c r="BS120">
        <v>-10.8</v>
      </c>
      <c r="BT120" t="s">
        <v>7929</v>
      </c>
      <c r="BU120" t="s">
        <v>826</v>
      </c>
      <c r="BV120">
        <v>40.72</v>
      </c>
      <c r="BW120">
        <v>66.53</v>
      </c>
      <c r="BX120">
        <v>45.79</v>
      </c>
      <c r="BY120">
        <v>52.02</v>
      </c>
      <c r="BZ120">
        <v>57.15</v>
      </c>
      <c r="CA120">
        <v>-93.18</v>
      </c>
      <c r="CB120">
        <v>-2.17</v>
      </c>
      <c r="CC120">
        <v>-6.25</v>
      </c>
      <c r="CD120" t="s">
        <v>7930</v>
      </c>
      <c r="CE120" t="s">
        <v>7931</v>
      </c>
      <c r="CF120" s="8" t="s">
        <v>9</v>
      </c>
      <c r="CG120" s="9">
        <v>-0.56230000000000002</v>
      </c>
      <c r="CH120" s="8">
        <v>-0.44812500476837158</v>
      </c>
      <c r="CI120" s="8">
        <v>0.33891206979751587</v>
      </c>
      <c r="CJ120" s="8">
        <v>0.69263464212417603</v>
      </c>
      <c r="CK120" s="8">
        <v>2.9887006282806396</v>
      </c>
      <c r="CL120" s="8">
        <v>-0.95361638069152832</v>
      </c>
      <c r="CM120" s="9">
        <v>1.3689497709274292</v>
      </c>
      <c r="CN120" s="9">
        <v>-2.6616086959838867</v>
      </c>
      <c r="CO120" s="9">
        <v>0.48758465051651001</v>
      </c>
      <c r="CP120" s="9">
        <v>0.25495749711990356</v>
      </c>
      <c r="CQ120" s="9">
        <v>5.1620635986328125</v>
      </c>
      <c r="CR120">
        <v>66.138616604479083</v>
      </c>
      <c r="CS120">
        <v>7.9294271868376471</v>
      </c>
      <c r="CT120">
        <v>0</v>
      </c>
      <c r="CU120" s="8">
        <v>8.3409072365611792E-2</v>
      </c>
      <c r="CV120" s="9">
        <v>0.12413866370916367</v>
      </c>
      <c r="CW120">
        <v>0.06</v>
      </c>
      <c r="CX120">
        <v>23.857483574581209</v>
      </c>
      <c r="CY120">
        <v>412921948.33557284</v>
      </c>
      <c r="CZ120">
        <v>8.3409072365611792E-2</v>
      </c>
      <c r="DA120">
        <v>7.8400696851990554</v>
      </c>
      <c r="DB120">
        <v>1256529469.1956403</v>
      </c>
      <c r="DC120">
        <v>7.9238618747331194E-2</v>
      </c>
      <c r="DD120">
        <v>3.8883470941435907</v>
      </c>
      <c r="DE120">
        <v>2533538894.9297867</v>
      </c>
      <c r="DF120">
        <v>7.3399983681738376E-2</v>
      </c>
      <c r="DG120">
        <v>2.3546596251127898</v>
      </c>
      <c r="DH120">
        <v>4183737851.0824542</v>
      </c>
      <c r="DI120">
        <v>6.6727257892489442E-2</v>
      </c>
      <c r="DJ120">
        <v>1.2388298154882302</v>
      </c>
      <c r="DK120">
        <v>7952083875.3122454</v>
      </c>
      <c r="DL120">
        <v>5.8386350655928253E-2</v>
      </c>
      <c r="DM120">
        <v>404000000</v>
      </c>
      <c r="DN120">
        <v>8.3409072365611792E-2</v>
      </c>
      <c r="DO120">
        <v>9851278600</v>
      </c>
      <c r="DP120" t="e">
        <v>#VALUE!</v>
      </c>
      <c r="DQ120">
        <v>119</v>
      </c>
      <c r="DR120" t="e">
        <v>#VALUE!</v>
      </c>
      <c r="DS120">
        <v>-0.68643866370916373</v>
      </c>
      <c r="DT120" t="e">
        <v>#VALUE!</v>
      </c>
      <c r="DU120">
        <v>0.96666666666666667</v>
      </c>
      <c r="DV120" t="e">
        <v>#VALUE!</v>
      </c>
      <c r="DW120">
        <v>-2.0625</v>
      </c>
      <c r="DX120">
        <v>0.29068890742710896</v>
      </c>
      <c r="DY120">
        <v>-2.0075430567141943</v>
      </c>
      <c r="DZ120">
        <v>0</v>
      </c>
      <c r="EA120">
        <v>-2.0075430567141943</v>
      </c>
      <c r="EB120">
        <v>2</v>
      </c>
      <c r="EC120">
        <v>6.4807615440037652E-4</v>
      </c>
      <c r="ED120">
        <v>5.3698071199442549E-3</v>
      </c>
      <c r="EE120">
        <v>0</v>
      </c>
      <c r="EF120">
        <v>0</v>
      </c>
      <c r="EG120">
        <v>17.120688907427109</v>
      </c>
      <c r="EH120" t="s">
        <v>110</v>
      </c>
      <c r="EI120">
        <v>0</v>
      </c>
      <c r="EJ120">
        <v>0</v>
      </c>
      <c r="EK120">
        <v>0</v>
      </c>
      <c r="EL120">
        <v>0</v>
      </c>
      <c r="EM120">
        <v>0</v>
      </c>
      <c r="EN120">
        <v>0</v>
      </c>
      <c r="EO120">
        <v>0</v>
      </c>
      <c r="EP120">
        <v>0</v>
      </c>
    </row>
    <row r="121" spans="1:146" ht="96" x14ac:dyDescent="0.25">
      <c r="A121" s="7"/>
      <c r="B121" s="7"/>
      <c r="C121" s="7" t="str">
        <f>""&amp;CHAR(10)&amp;Basic_Fundamental_Information_Constructure(F121)&amp;CHAR(10)&amp;Basic_Fundamental_Information_Concatenate("")</f>
        <v xml:space="preserve">
市值35053.076亿, 利润1263.00亿; PE24.69; 平均PE178.37; 平均PEG21.61, PB3.83; ROIC16.6133%; ROE22.74%; 毛利45.03%; 净利31.36%; 上一年度营收增6.72%, 利润增-54.12%, 利润增-40.52%; 过往5年营收增-8.25%, 利润增-88.45%
Income profile:
</v>
      </c>
      <c r="D121" s="11">
        <v>700</v>
      </c>
      <c r="E121" t="s">
        <v>2073</v>
      </c>
      <c r="F121">
        <v>374.4</v>
      </c>
      <c r="G121" s="5">
        <v>-1.9900000000000001E-2</v>
      </c>
      <c r="H121" t="s">
        <v>7932</v>
      </c>
      <c r="I121">
        <v>3505307600000</v>
      </c>
      <c r="J121">
        <v>24.69</v>
      </c>
      <c r="K121">
        <v>3.83</v>
      </c>
      <c r="L121" t="s">
        <v>6350</v>
      </c>
      <c r="M121" t="s">
        <v>9</v>
      </c>
      <c r="N121" t="s">
        <v>9</v>
      </c>
      <c r="O121" t="s">
        <v>9</v>
      </c>
      <c r="P121" t="s">
        <v>9</v>
      </c>
      <c r="Q121" t="s">
        <v>7933</v>
      </c>
      <c r="R121">
        <v>126299779000</v>
      </c>
      <c r="S121" s="5">
        <v>-0.4052</v>
      </c>
      <c r="T121" t="s">
        <v>7934</v>
      </c>
      <c r="U121">
        <v>9445352000</v>
      </c>
      <c r="V121">
        <v>9445352000</v>
      </c>
      <c r="W121" t="s">
        <v>9</v>
      </c>
      <c r="X121" t="s">
        <v>9</v>
      </c>
      <c r="Y121" t="s">
        <v>9</v>
      </c>
      <c r="Z121" t="s">
        <v>9</v>
      </c>
      <c r="AA121" t="s">
        <v>9</v>
      </c>
      <c r="AB121" t="s">
        <v>9</v>
      </c>
      <c r="AC121" t="s">
        <v>9</v>
      </c>
      <c r="AD121" t="s">
        <v>9</v>
      </c>
      <c r="AE121" t="s">
        <v>9</v>
      </c>
      <c r="AF121" t="s">
        <v>9</v>
      </c>
      <c r="AG121" t="s">
        <v>9</v>
      </c>
      <c r="AH121" t="s">
        <v>7935</v>
      </c>
      <c r="AI121" t="s">
        <v>9</v>
      </c>
      <c r="AJ121" t="s">
        <v>9</v>
      </c>
      <c r="AK121" t="s">
        <v>7936</v>
      </c>
      <c r="AL121" t="s">
        <v>9</v>
      </c>
      <c r="AM121" t="s">
        <v>9</v>
      </c>
      <c r="AN121" s="5">
        <v>0.4461</v>
      </c>
      <c r="AO121" t="s">
        <v>9</v>
      </c>
      <c r="AP121" t="s">
        <v>7937</v>
      </c>
      <c r="AQ121" t="s">
        <v>9</v>
      </c>
      <c r="AR121" t="s">
        <v>7938</v>
      </c>
      <c r="AS121" t="s">
        <v>9</v>
      </c>
      <c r="AT121" t="s">
        <v>9</v>
      </c>
      <c r="AU121" t="s">
        <v>7939</v>
      </c>
      <c r="AV121" t="s">
        <v>7940</v>
      </c>
      <c r="AW121" t="s">
        <v>9</v>
      </c>
      <c r="AX121" t="s">
        <v>2074</v>
      </c>
      <c r="AY121" t="s">
        <v>2077</v>
      </c>
      <c r="AZ121" t="s">
        <v>2078</v>
      </c>
      <c r="BA121" t="s">
        <v>2079</v>
      </c>
      <c r="BB121" t="s">
        <v>2080</v>
      </c>
      <c r="BC121" t="s">
        <v>2081</v>
      </c>
      <c r="BD121" t="s">
        <v>2082</v>
      </c>
      <c r="BE121" t="s">
        <v>2083</v>
      </c>
      <c r="BF121" t="s">
        <v>2084</v>
      </c>
      <c r="BG121" t="s">
        <v>2085</v>
      </c>
      <c r="BH121" t="s">
        <v>2074</v>
      </c>
      <c r="BI121" t="s">
        <v>2086</v>
      </c>
      <c r="BJ121" t="s">
        <v>2077</v>
      </c>
      <c r="BK121" t="s">
        <v>2075</v>
      </c>
      <c r="BL121" t="s">
        <v>2087</v>
      </c>
      <c r="BM121" t="s">
        <v>2081</v>
      </c>
      <c r="BN121">
        <v>10.53</v>
      </c>
      <c r="BO121">
        <v>17.489999999999998</v>
      </c>
      <c r="BP121">
        <v>21.82</v>
      </c>
      <c r="BQ121">
        <v>14.25</v>
      </c>
      <c r="BR121">
        <v>26.09</v>
      </c>
      <c r="BS121">
        <v>27.88</v>
      </c>
      <c r="BT121" t="s">
        <v>2088</v>
      </c>
      <c r="BU121" t="s">
        <v>551</v>
      </c>
      <c r="BV121">
        <v>48.13</v>
      </c>
      <c r="BW121">
        <v>43.05</v>
      </c>
      <c r="BX121">
        <v>43.91</v>
      </c>
      <c r="BY121">
        <v>19.38</v>
      </c>
      <c r="BZ121">
        <v>34.03</v>
      </c>
      <c r="CA121">
        <v>40.67</v>
      </c>
      <c r="CB121">
        <v>-3.41</v>
      </c>
      <c r="CC121">
        <v>-1.06</v>
      </c>
      <c r="CD121" t="s">
        <v>7941</v>
      </c>
      <c r="CE121" t="s">
        <v>3529</v>
      </c>
      <c r="CF121" s="8" t="s">
        <v>9</v>
      </c>
      <c r="CG121" s="9">
        <v>-0.4052</v>
      </c>
      <c r="CH121" s="8">
        <v>6.7155778408050537E-2</v>
      </c>
      <c r="CI121" s="8">
        <v>-8.7880373001098633E-2</v>
      </c>
      <c r="CJ121" s="8">
        <v>0.19369545578956604</v>
      </c>
      <c r="CK121" s="8">
        <v>0.61381667852401733</v>
      </c>
      <c r="CL121" s="8">
        <v>0.24901942908763885</v>
      </c>
      <c r="CM121" s="9">
        <v>-0.54121947288513184</v>
      </c>
      <c r="CN121" s="9">
        <v>0.44495129585266113</v>
      </c>
      <c r="CO121" s="9">
        <v>0.82712846994400024</v>
      </c>
      <c r="CP121" s="9">
        <v>0.16339580714702606</v>
      </c>
      <c r="CQ121" s="9">
        <v>4.5443419367074966E-2</v>
      </c>
      <c r="CR121">
        <v>178.3705133532919</v>
      </c>
      <c r="CS121">
        <v>21.610588696320892</v>
      </c>
      <c r="CT121" t="e">
        <v>#VALUE!</v>
      </c>
      <c r="CU121" s="8">
        <v>-8.2538479566574091E-2</v>
      </c>
      <c r="CV121" s="9">
        <v>-0.88454484939575195</v>
      </c>
      <c r="CW121">
        <v>0.06</v>
      </c>
      <c r="CX121">
        <v>27.753821060965954</v>
      </c>
      <c r="CY121" t="s">
        <v>7942</v>
      </c>
      <c r="CZ121">
        <v>-8.2538479566574091E-2</v>
      </c>
      <c r="DA121">
        <v>9.251273686988652</v>
      </c>
      <c r="DB121" t="s">
        <v>7943</v>
      </c>
      <c r="DC121">
        <v>-7.8411555588245377E-2</v>
      </c>
      <c r="DD121">
        <v>4.625636843494326</v>
      </c>
      <c r="DE121" t="s">
        <v>7944</v>
      </c>
      <c r="DF121">
        <v>-7.2633862018585196E-2</v>
      </c>
      <c r="DG121">
        <v>2.7753821060965955</v>
      </c>
      <c r="DH121" t="s">
        <v>7945</v>
      </c>
      <c r="DI121">
        <v>-6.6030783653259276E-2</v>
      </c>
      <c r="DJ121">
        <v>1.3876910530482978</v>
      </c>
      <c r="DK121" t="s">
        <v>7946</v>
      </c>
      <c r="DL121">
        <v>-5.7776935696601861E-2</v>
      </c>
      <c r="DM121">
        <v>126300000000</v>
      </c>
      <c r="DN121">
        <v>-8.2538479566574091E-2</v>
      </c>
      <c r="DO121">
        <v>3505307600000</v>
      </c>
      <c r="DP121" t="e">
        <v>#VALUE!</v>
      </c>
      <c r="DQ121">
        <v>120</v>
      </c>
      <c r="DR121" t="e">
        <v>#VALUE!</v>
      </c>
      <c r="DS121">
        <v>0.47934484939575195</v>
      </c>
      <c r="DT121" t="e">
        <v>#VALUE!</v>
      </c>
      <c r="DU121">
        <v>-1.05</v>
      </c>
      <c r="DV121" t="e">
        <v>#VALUE!</v>
      </c>
      <c r="DW121">
        <v>-4.3108504398826977</v>
      </c>
      <c r="DX121">
        <v>0.39048333333333263</v>
      </c>
      <c r="DY121">
        <v>-4.0374522971652</v>
      </c>
      <c r="DZ121">
        <v>0</v>
      </c>
      <c r="EA121">
        <v>-4.0374522971652</v>
      </c>
      <c r="EB121">
        <v>4</v>
      </c>
      <c r="EC121">
        <v>8.57191981834028E-3</v>
      </c>
      <c r="ED121">
        <v>7.1146104454339026E-2</v>
      </c>
      <c r="EE121">
        <v>0</v>
      </c>
      <c r="EF121">
        <v>0</v>
      </c>
      <c r="EG121">
        <v>27.120483333333333</v>
      </c>
      <c r="EH121" t="s">
        <v>110</v>
      </c>
      <c r="EI121">
        <v>0</v>
      </c>
      <c r="EJ121">
        <v>0</v>
      </c>
      <c r="EK121">
        <v>0</v>
      </c>
      <c r="EL121">
        <v>0</v>
      </c>
      <c r="EM121">
        <v>0</v>
      </c>
      <c r="EN121">
        <v>0</v>
      </c>
      <c r="EO121">
        <v>0</v>
      </c>
      <c r="EP121">
        <v>0</v>
      </c>
    </row>
    <row r="122" spans="1:146" ht="96" x14ac:dyDescent="0.25">
      <c r="A122" s="7"/>
      <c r="B122" s="7"/>
      <c r="C122" s="7" t="str">
        <f>""&amp;CHAR(10)&amp;Basic_Fundamental_Information_Constructure(F122)&amp;CHAR(10)&amp;Basic_Fundamental_Information_Concatenate("")</f>
        <v xml:space="preserve">
市值37.520665亿, 利润4.75亿; PE7.89; 平均PE2.6; 平均PEG.12, PB.862; ROIC12.07%; ROE12.02%; 股利率0%; 毛利13.9067%; 净利4.5633%; 上一年度营收增.35%, 利润增44.82%, 利润增-18.4%; 过往5年营收增-20.97%, 利润增45.62%
Income profile:
</v>
      </c>
      <c r="D122" s="11">
        <v>710</v>
      </c>
      <c r="E122" t="s">
        <v>2090</v>
      </c>
      <c r="F122">
        <v>4.74</v>
      </c>
      <c r="G122" s="5">
        <v>-6.3E-3</v>
      </c>
      <c r="H122" t="s">
        <v>7947</v>
      </c>
      <c r="I122">
        <v>3752066500</v>
      </c>
      <c r="J122">
        <v>7.89</v>
      </c>
      <c r="K122">
        <v>0.86199999999999999</v>
      </c>
      <c r="L122" t="s">
        <v>6350</v>
      </c>
      <c r="M122" t="s">
        <v>9</v>
      </c>
      <c r="N122" t="s">
        <v>9</v>
      </c>
      <c r="O122" t="s">
        <v>9</v>
      </c>
      <c r="P122" t="s">
        <v>9</v>
      </c>
      <c r="Q122" t="s">
        <v>7948</v>
      </c>
      <c r="R122">
        <v>475260000</v>
      </c>
      <c r="S122" s="5">
        <v>-0.184</v>
      </c>
      <c r="T122" t="s">
        <v>764</v>
      </c>
      <c r="U122">
        <v>791575200</v>
      </c>
      <c r="V122">
        <v>791575200</v>
      </c>
      <c r="W122" t="s">
        <v>9</v>
      </c>
      <c r="X122" t="s">
        <v>9</v>
      </c>
      <c r="Y122" t="s">
        <v>9</v>
      </c>
      <c r="Z122" t="s">
        <v>9</v>
      </c>
      <c r="AA122" t="s">
        <v>9</v>
      </c>
      <c r="AB122" t="s">
        <v>9</v>
      </c>
      <c r="AC122" t="s">
        <v>9</v>
      </c>
      <c r="AD122" t="s">
        <v>1944</v>
      </c>
      <c r="AE122" t="s">
        <v>9</v>
      </c>
      <c r="AF122" t="s">
        <v>9</v>
      </c>
      <c r="AG122" t="s">
        <v>9</v>
      </c>
      <c r="AH122" t="s">
        <v>7949</v>
      </c>
      <c r="AI122" t="s">
        <v>9</v>
      </c>
      <c r="AJ122" t="s">
        <v>9</v>
      </c>
      <c r="AK122" t="s">
        <v>7950</v>
      </c>
      <c r="AL122" t="s">
        <v>9</v>
      </c>
      <c r="AM122" t="s">
        <v>9</v>
      </c>
      <c r="AN122" s="5">
        <v>0.5605</v>
      </c>
      <c r="AO122" t="s">
        <v>9</v>
      </c>
      <c r="AP122" t="s">
        <v>2040</v>
      </c>
      <c r="AQ122" t="s">
        <v>9</v>
      </c>
      <c r="AR122" t="s">
        <v>7265</v>
      </c>
      <c r="AS122" t="s">
        <v>9</v>
      </c>
      <c r="AT122" t="s">
        <v>9</v>
      </c>
      <c r="AU122" t="s">
        <v>4706</v>
      </c>
      <c r="AV122" t="s">
        <v>1173</v>
      </c>
      <c r="AW122" t="s">
        <v>9</v>
      </c>
      <c r="AX122" t="s">
        <v>2091</v>
      </c>
      <c r="AY122" t="s">
        <v>2092</v>
      </c>
      <c r="AZ122" t="s">
        <v>2093</v>
      </c>
      <c r="BA122" t="s">
        <v>2094</v>
      </c>
      <c r="BB122" t="s">
        <v>2095</v>
      </c>
      <c r="BC122" t="s">
        <v>2096</v>
      </c>
      <c r="BD122" t="s">
        <v>2097</v>
      </c>
      <c r="BE122" t="s">
        <v>2098</v>
      </c>
      <c r="BF122" t="s">
        <v>2099</v>
      </c>
      <c r="BG122" t="s">
        <v>2100</v>
      </c>
      <c r="BH122" t="s">
        <v>2091</v>
      </c>
      <c r="BI122" t="s">
        <v>9</v>
      </c>
      <c r="BJ122" t="s">
        <v>2092</v>
      </c>
      <c r="BK122" t="s">
        <v>101</v>
      </c>
      <c r="BL122" t="s">
        <v>9</v>
      </c>
      <c r="BM122" t="s">
        <v>2096</v>
      </c>
      <c r="BN122">
        <v>9.7899999999999991</v>
      </c>
      <c r="BO122">
        <v>15</v>
      </c>
      <c r="BP122">
        <v>11.42</v>
      </c>
      <c r="BQ122">
        <v>10.92</v>
      </c>
      <c r="BR122">
        <v>14.33</v>
      </c>
      <c r="BS122">
        <v>10.81</v>
      </c>
      <c r="BT122" t="s">
        <v>7951</v>
      </c>
      <c r="BU122" t="s">
        <v>861</v>
      </c>
      <c r="BV122">
        <v>13.5</v>
      </c>
      <c r="BW122">
        <v>13.35</v>
      </c>
      <c r="BX122">
        <v>14.87</v>
      </c>
      <c r="BY122">
        <v>4.47</v>
      </c>
      <c r="BZ122">
        <v>5.22</v>
      </c>
      <c r="CA122">
        <v>4</v>
      </c>
      <c r="CB122">
        <v>-5.2</v>
      </c>
      <c r="CC122">
        <v>-19.93</v>
      </c>
      <c r="CD122" t="s">
        <v>7952</v>
      </c>
      <c r="CE122" t="s">
        <v>7953</v>
      </c>
      <c r="CF122" s="8" t="s">
        <v>9</v>
      </c>
      <c r="CG122" s="9">
        <v>-0.184</v>
      </c>
      <c r="CH122" s="8">
        <v>3.5440791398286819E-3</v>
      </c>
      <c r="CI122" s="8">
        <v>0.38562935590744019</v>
      </c>
      <c r="CJ122" s="8">
        <v>0.70929968357086182</v>
      </c>
      <c r="CK122" s="8">
        <v>0.42492923140525818</v>
      </c>
      <c r="CL122" s="8">
        <v>0.1035081148147583</v>
      </c>
      <c r="CM122" s="9">
        <v>0.44817072153091431</v>
      </c>
      <c r="CN122" s="9">
        <v>3.7786242961883545</v>
      </c>
      <c r="CO122" s="9">
        <v>1.7433652877807617</v>
      </c>
      <c r="CP122" s="9">
        <v>0.46033969521522522</v>
      </c>
      <c r="CQ122" s="9">
        <v>-0.2252068966627121</v>
      </c>
      <c r="CR122">
        <v>2.6025894797687861</v>
      </c>
      <c r="CS122">
        <v>0.1241149814828094</v>
      </c>
      <c r="CT122">
        <v>0</v>
      </c>
      <c r="CU122" s="8">
        <v>-0.20969180744141341</v>
      </c>
      <c r="CV122" s="9">
        <v>0.4562406003475189</v>
      </c>
      <c r="CW122">
        <v>0.06</v>
      </c>
      <c r="CX122">
        <v>7.8990873684210525</v>
      </c>
      <c r="CY122" t="s">
        <v>7954</v>
      </c>
      <c r="CZ122">
        <v>-0.20969180744141341</v>
      </c>
      <c r="DA122">
        <v>2.6330291228070175</v>
      </c>
      <c r="DB122" t="s">
        <v>7955</v>
      </c>
      <c r="DC122">
        <v>-0.19920721706934275</v>
      </c>
      <c r="DD122">
        <v>1.3165145614035088</v>
      </c>
      <c r="DE122" t="s">
        <v>7956</v>
      </c>
      <c r="DF122">
        <v>-0.18452879054844382</v>
      </c>
      <c r="DG122">
        <v>0.78990873684210527</v>
      </c>
      <c r="DH122" t="s">
        <v>7957</v>
      </c>
      <c r="DI122">
        <v>-0.16775344595313074</v>
      </c>
      <c r="DJ122">
        <v>0.39495436842105264</v>
      </c>
      <c r="DK122" t="s">
        <v>7958</v>
      </c>
      <c r="DL122">
        <v>-0.14678426520898938</v>
      </c>
      <c r="DM122">
        <v>475000000</v>
      </c>
      <c r="DN122">
        <v>-0.20969180744141341</v>
      </c>
      <c r="DO122">
        <v>3752066500</v>
      </c>
      <c r="DP122" t="e">
        <v>#VALUE!</v>
      </c>
      <c r="DQ122">
        <v>121</v>
      </c>
      <c r="DR122" t="e">
        <v>#VALUE!</v>
      </c>
      <c r="DS122">
        <v>-0.64024060034751895</v>
      </c>
      <c r="DT122" t="e">
        <v>#VALUE!</v>
      </c>
      <c r="DU122" t="e">
        <v>#VALUE!</v>
      </c>
      <c r="DV122" t="e">
        <v>#VALUE!</v>
      </c>
      <c r="DW122">
        <v>-8.2609131961866531</v>
      </c>
      <c r="DX122">
        <v>0.32500573075024997</v>
      </c>
      <c r="DY122">
        <v>-8.0482704365228948</v>
      </c>
      <c r="DZ122">
        <v>0</v>
      </c>
      <c r="EA122">
        <v>-8.0482704365228948</v>
      </c>
      <c r="EB122">
        <v>8</v>
      </c>
      <c r="EC122">
        <v>1.1745567572101804E-2</v>
      </c>
      <c r="ED122">
        <v>6.3487587786984739E-2</v>
      </c>
      <c r="EE122">
        <v>0</v>
      </c>
      <c r="EF122">
        <v>0</v>
      </c>
      <c r="EG122">
        <v>14.18500573075025</v>
      </c>
      <c r="EH122" t="s">
        <v>110</v>
      </c>
      <c r="EI122">
        <v>0</v>
      </c>
      <c r="EJ122">
        <v>0</v>
      </c>
      <c r="EK122">
        <v>0</v>
      </c>
      <c r="EL122">
        <v>0</v>
      </c>
      <c r="EM122">
        <v>0</v>
      </c>
      <c r="EN122">
        <v>0</v>
      </c>
      <c r="EO122">
        <v>0</v>
      </c>
      <c r="EP122">
        <v>0</v>
      </c>
    </row>
    <row r="123" spans="1:146" ht="96" x14ac:dyDescent="0.25">
      <c r="A123" s="7"/>
      <c r="B123" s="7"/>
      <c r="C123" s="7" t="str">
        <f>""&amp;CHAR(10)&amp;Basic_Fundamental_Information_Constructure(F123)&amp;CHAR(10)&amp;Basic_Fundamental_Information_Concatenate("")</f>
        <v xml:space="preserve">
市值36.508808亿, 利润5.44亿; PE6.97; 平均PE1.12; 平均PEG.14, PB.71; ROIC9.18%; ROE10.3033%; 股利率0%; 毛利27.1967%; 净利5.8733%; 上一年度营收增4.64%, 利润增27.4%; 当季营收增18.36%, 利润增-11.68%; 过往5年营收增7.75%, 利润增9.17%
Income profile:
</v>
      </c>
      <c r="D123" s="11">
        <v>719</v>
      </c>
      <c r="E123" t="s">
        <v>2101</v>
      </c>
      <c r="F123">
        <v>5.35</v>
      </c>
      <c r="G123" s="5">
        <v>-1.29E-2</v>
      </c>
      <c r="H123" t="s">
        <v>7959</v>
      </c>
      <c r="I123">
        <v>3650880800</v>
      </c>
      <c r="J123">
        <v>6.97</v>
      </c>
      <c r="K123">
        <v>0.71</v>
      </c>
      <c r="L123" t="s">
        <v>6350</v>
      </c>
      <c r="M123" t="s">
        <v>9</v>
      </c>
      <c r="N123" t="s">
        <v>7960</v>
      </c>
      <c r="O123" t="s">
        <v>7961</v>
      </c>
      <c r="P123">
        <v>-6.25</v>
      </c>
      <c r="Q123" t="s">
        <v>7962</v>
      </c>
      <c r="R123">
        <v>544276680</v>
      </c>
      <c r="S123" s="5">
        <v>-0.1168</v>
      </c>
      <c r="T123" t="s">
        <v>4569</v>
      </c>
      <c r="U123">
        <v>195000000</v>
      </c>
      <c r="V123">
        <v>682407640</v>
      </c>
      <c r="W123">
        <v>1.78</v>
      </c>
      <c r="X123">
        <v>0.28999999999999998</v>
      </c>
      <c r="Y123">
        <v>6.94</v>
      </c>
      <c r="Z123" t="s">
        <v>7963</v>
      </c>
      <c r="AA123" t="s">
        <v>5472</v>
      </c>
      <c r="AB123" t="s">
        <v>738</v>
      </c>
      <c r="AC123" t="s">
        <v>236</v>
      </c>
      <c r="AD123" t="s">
        <v>5388</v>
      </c>
      <c r="AE123" t="s">
        <v>7964</v>
      </c>
      <c r="AF123" t="s">
        <v>9</v>
      </c>
      <c r="AG123" t="s">
        <v>7965</v>
      </c>
      <c r="AH123" t="s">
        <v>7966</v>
      </c>
      <c r="AI123" t="s">
        <v>9</v>
      </c>
      <c r="AJ123" t="s">
        <v>9</v>
      </c>
      <c r="AK123" t="s">
        <v>7967</v>
      </c>
      <c r="AL123" t="s">
        <v>9</v>
      </c>
      <c r="AM123" t="s">
        <v>9</v>
      </c>
      <c r="AN123" s="5">
        <v>0</v>
      </c>
      <c r="AO123" t="s">
        <v>9</v>
      </c>
      <c r="AP123" t="s">
        <v>9</v>
      </c>
      <c r="AQ123" t="s">
        <v>9</v>
      </c>
      <c r="AR123" t="s">
        <v>9</v>
      </c>
      <c r="AS123" t="s">
        <v>9</v>
      </c>
      <c r="AT123" t="s">
        <v>9</v>
      </c>
      <c r="AU123" t="s">
        <v>2112</v>
      </c>
      <c r="AV123" t="s">
        <v>7968</v>
      </c>
      <c r="AW123" t="s">
        <v>9</v>
      </c>
      <c r="AX123" t="s">
        <v>2102</v>
      </c>
      <c r="AY123" t="s">
        <v>2106</v>
      </c>
      <c r="AZ123" t="s">
        <v>2107</v>
      </c>
      <c r="BA123" t="s">
        <v>2108</v>
      </c>
      <c r="BB123" t="s">
        <v>2109</v>
      </c>
      <c r="BC123" t="s">
        <v>2110</v>
      </c>
      <c r="BD123" t="s">
        <v>244</v>
      </c>
      <c r="BE123" t="s">
        <v>2111</v>
      </c>
      <c r="BF123" t="s">
        <v>2112</v>
      </c>
      <c r="BG123" t="s">
        <v>2113</v>
      </c>
      <c r="BH123" t="s">
        <v>2102</v>
      </c>
      <c r="BI123" t="s">
        <v>2114</v>
      </c>
      <c r="BJ123" t="s">
        <v>2106</v>
      </c>
      <c r="BK123" t="s">
        <v>2103</v>
      </c>
      <c r="BL123" t="s">
        <v>182</v>
      </c>
      <c r="BM123" t="s">
        <v>2110</v>
      </c>
      <c r="BN123">
        <v>9.52</v>
      </c>
      <c r="BO123">
        <v>9.27</v>
      </c>
      <c r="BP123">
        <v>8.75</v>
      </c>
      <c r="BQ123">
        <v>10.9</v>
      </c>
      <c r="BR123">
        <v>9.9600000000000009</v>
      </c>
      <c r="BS123">
        <v>10.050000000000001</v>
      </c>
      <c r="BT123" t="s">
        <v>6565</v>
      </c>
      <c r="BU123" t="s">
        <v>489</v>
      </c>
      <c r="BV123">
        <v>28.71</v>
      </c>
      <c r="BW123">
        <v>26.51</v>
      </c>
      <c r="BX123">
        <v>26.37</v>
      </c>
      <c r="BY123">
        <v>6.32</v>
      </c>
      <c r="BZ123">
        <v>5.73</v>
      </c>
      <c r="CA123">
        <v>5.57</v>
      </c>
      <c r="CB123">
        <v>-2.73</v>
      </c>
      <c r="CC123">
        <v>-9.48</v>
      </c>
      <c r="CD123" t="s">
        <v>7969</v>
      </c>
      <c r="CE123" t="s">
        <v>7970</v>
      </c>
      <c r="CF123" s="8">
        <v>0.1836461126005362</v>
      </c>
      <c r="CG123" s="9">
        <v>-0.1168</v>
      </c>
      <c r="CH123" s="8">
        <v>4.6364679932594299E-2</v>
      </c>
      <c r="CI123" s="8">
        <v>5.4020117968320847E-2</v>
      </c>
      <c r="CJ123" s="8">
        <v>0.12334178388118744</v>
      </c>
      <c r="CK123" s="8">
        <v>0.1865372508764267</v>
      </c>
      <c r="CL123" s="8">
        <v>0.10306604951620102</v>
      </c>
      <c r="CM123" s="9">
        <v>0.27400469779968262</v>
      </c>
      <c r="CN123" s="9">
        <v>0.1033591702580452</v>
      </c>
      <c r="CO123" s="9">
        <v>0.15522387623786926</v>
      </c>
      <c r="CP123" s="9">
        <v>0.15120275318622589</v>
      </c>
      <c r="CQ123" s="9">
        <v>0.1593625545501709</v>
      </c>
      <c r="CR123">
        <v>1.120818911174785</v>
      </c>
      <c r="CS123">
        <v>0.1445525372855069</v>
      </c>
      <c r="CT123">
        <v>0</v>
      </c>
      <c r="CU123" s="8">
        <v>7.7537131635472184E-2</v>
      </c>
      <c r="CV123" s="9">
        <v>9.168898463249206E-2</v>
      </c>
      <c r="CW123">
        <v>0.06</v>
      </c>
      <c r="CX123" t="s">
        <v>6351</v>
      </c>
      <c r="CY123">
        <v>553000188.3110348</v>
      </c>
      <c r="CZ123">
        <v>7.7537131635472184E-2</v>
      </c>
      <c r="DA123" t="s">
        <v>6351</v>
      </c>
      <c r="DB123">
        <v>1674425883.4199579</v>
      </c>
      <c r="DC123">
        <v>7.3660275053698571E-2</v>
      </c>
      <c r="DD123" t="s">
        <v>6351</v>
      </c>
      <c r="DE123">
        <v>3353883977.2012444</v>
      </c>
      <c r="DF123">
        <v>6.8232675839215523E-2</v>
      </c>
      <c r="DG123" t="s">
        <v>6351</v>
      </c>
      <c r="DH123">
        <v>5497621675.2738028</v>
      </c>
      <c r="DI123">
        <v>6.2029705308377751E-2</v>
      </c>
      <c r="DJ123" t="s">
        <v>6351</v>
      </c>
      <c r="DK123">
        <v>10283697653.64716</v>
      </c>
      <c r="DL123">
        <v>5.4275992144830525E-2</v>
      </c>
      <c r="DM123">
        <v>544000000</v>
      </c>
      <c r="DN123">
        <v>7.7537131635472184E-2</v>
      </c>
      <c r="DO123">
        <v>-1488119200</v>
      </c>
      <c r="DP123" t="e">
        <v>#VALUE!</v>
      </c>
      <c r="DQ123">
        <v>122</v>
      </c>
      <c r="DR123">
        <v>0.10610898096506402</v>
      </c>
      <c r="DS123">
        <v>-0.20848898463249205</v>
      </c>
      <c r="DT123">
        <v>-0.44</v>
      </c>
      <c r="DU123">
        <v>0.24999999999999997</v>
      </c>
      <c r="DV123">
        <v>-0.19000000000000003</v>
      </c>
      <c r="DW123">
        <v>-8.287974683544304</v>
      </c>
      <c r="DX123">
        <v>0.24436093059447905</v>
      </c>
      <c r="DY123">
        <v>-8.03581279963322</v>
      </c>
      <c r="DZ123">
        <v>0</v>
      </c>
      <c r="EA123">
        <v>-8.03581279963322</v>
      </c>
      <c r="EB123">
        <v>8</v>
      </c>
      <c r="EC123">
        <v>5.9955366267587509E-3</v>
      </c>
      <c r="ED123">
        <v>4.821077325570388E-2</v>
      </c>
      <c r="EE123">
        <v>0</v>
      </c>
      <c r="EF123">
        <v>0</v>
      </c>
      <c r="EG123">
        <v>12.124360930594479</v>
      </c>
      <c r="EH123" t="s">
        <v>110</v>
      </c>
      <c r="EI123">
        <v>0</v>
      </c>
      <c r="EJ123">
        <v>0</v>
      </c>
      <c r="EK123">
        <v>0</v>
      </c>
      <c r="EL123">
        <v>0</v>
      </c>
      <c r="EM123">
        <v>0</v>
      </c>
      <c r="EN123">
        <v>0</v>
      </c>
      <c r="EO123">
        <v>0</v>
      </c>
      <c r="EP123">
        <v>0</v>
      </c>
    </row>
    <row r="124" spans="1:146" ht="96" x14ac:dyDescent="0.25">
      <c r="A124" s="7"/>
      <c r="B124" s="7"/>
      <c r="C124" s="7" t="str">
        <f>""&amp;CHAR(10)&amp;Basic_Fundamental_Information_Constructure(F124)&amp;CHAR(10)&amp;Basic_Fundamental_Information_Concatenate("")</f>
        <v xml:space="preserve">
市值4255.0819亿, 利润333.75亿; PE12.69; 平均PE81.98; 平均PEG4.78, PB.874; ROIC6.35%; ROE6.4367%; 毛利69.2533%; 净利5.8733%; 上一年度营收增3.65%, 利润增5.04%; 当季营收增-.94%, 利润增1.62%; 过往5年营收增17.14%, 利润增21.89%
Income profile:
</v>
      </c>
      <c r="D124" s="11">
        <v>728</v>
      </c>
      <c r="E124" t="s">
        <v>2116</v>
      </c>
      <c r="F124">
        <v>4.6500000000000004</v>
      </c>
      <c r="G124" s="5">
        <v>2.8799999999999999E-2</v>
      </c>
      <c r="H124" t="s">
        <v>26</v>
      </c>
      <c r="I124">
        <v>425508190000</v>
      </c>
      <c r="J124">
        <v>12.69</v>
      </c>
      <c r="K124">
        <v>0.874</v>
      </c>
      <c r="L124" t="s">
        <v>6350</v>
      </c>
      <c r="M124" t="s">
        <v>7971</v>
      </c>
      <c r="N124" t="s">
        <v>7972</v>
      </c>
      <c r="O124" t="s">
        <v>7973</v>
      </c>
      <c r="P124">
        <v>3.76</v>
      </c>
      <c r="Q124" t="s">
        <v>7974</v>
      </c>
      <c r="R124">
        <v>33374905000</v>
      </c>
      <c r="S124" s="5">
        <v>1.6199999999999999E-2</v>
      </c>
      <c r="T124" t="s">
        <v>7975</v>
      </c>
      <c r="U124">
        <v>13877410000</v>
      </c>
      <c r="V124">
        <v>91507139000</v>
      </c>
      <c r="W124">
        <v>1.88</v>
      </c>
      <c r="X124">
        <v>0.16</v>
      </c>
      <c r="Y124">
        <v>7.68</v>
      </c>
      <c r="Z124" t="s">
        <v>7976</v>
      </c>
      <c r="AA124" t="s">
        <v>7977</v>
      </c>
      <c r="AB124" t="s">
        <v>9</v>
      </c>
      <c r="AC124" t="s">
        <v>7978</v>
      </c>
      <c r="AD124" t="s">
        <v>7979</v>
      </c>
      <c r="AE124" t="s">
        <v>1805</v>
      </c>
      <c r="AF124" t="s">
        <v>9</v>
      </c>
      <c r="AG124" t="s">
        <v>9</v>
      </c>
      <c r="AH124" t="s">
        <v>7980</v>
      </c>
      <c r="AI124" t="s">
        <v>7981</v>
      </c>
      <c r="AJ124" t="s">
        <v>7982</v>
      </c>
      <c r="AK124" t="s">
        <v>7983</v>
      </c>
      <c r="AL124" t="s">
        <v>9</v>
      </c>
      <c r="AM124" t="s">
        <v>7984</v>
      </c>
      <c r="AN124" s="5">
        <v>0.4632</v>
      </c>
      <c r="AO124" t="s">
        <v>7985</v>
      </c>
      <c r="AP124" t="s">
        <v>7986</v>
      </c>
      <c r="AQ124" t="s">
        <v>7987</v>
      </c>
      <c r="AR124" t="s">
        <v>7988</v>
      </c>
      <c r="AS124" t="s">
        <v>7989</v>
      </c>
      <c r="AT124" t="s">
        <v>7990</v>
      </c>
      <c r="AU124" t="s">
        <v>7991</v>
      </c>
      <c r="AV124" t="s">
        <v>7992</v>
      </c>
      <c r="AW124" t="s">
        <v>7993</v>
      </c>
      <c r="AX124" t="s">
        <v>2117</v>
      </c>
      <c r="AY124" t="s">
        <v>2119</v>
      </c>
      <c r="AZ124" t="s">
        <v>2120</v>
      </c>
      <c r="BA124" t="s">
        <v>2121</v>
      </c>
      <c r="BB124" t="s">
        <v>2122</v>
      </c>
      <c r="BC124" t="s">
        <v>7994</v>
      </c>
      <c r="BD124" t="s">
        <v>2123</v>
      </c>
      <c r="BE124" t="s">
        <v>2124</v>
      </c>
      <c r="BF124" t="s">
        <v>2125</v>
      </c>
      <c r="BG124" t="s">
        <v>2126</v>
      </c>
      <c r="BH124" t="s">
        <v>2117</v>
      </c>
      <c r="BI124" t="s">
        <v>2127</v>
      </c>
      <c r="BJ124" t="s">
        <v>2119</v>
      </c>
      <c r="BK124" t="s">
        <v>2118</v>
      </c>
      <c r="BL124" t="s">
        <v>2128</v>
      </c>
      <c r="BM124" t="s">
        <v>7994</v>
      </c>
      <c r="BN124">
        <v>6.81</v>
      </c>
      <c r="BO124">
        <v>6.22</v>
      </c>
      <c r="BP124">
        <v>6.02</v>
      </c>
      <c r="BQ124">
        <v>6.87</v>
      </c>
      <c r="BR124">
        <v>6.39</v>
      </c>
      <c r="BS124">
        <v>6.05</v>
      </c>
      <c r="BT124" t="s">
        <v>7995</v>
      </c>
      <c r="BU124" t="s">
        <v>449</v>
      </c>
      <c r="BV124">
        <v>68.760000000000005</v>
      </c>
      <c r="BW124">
        <v>69.34</v>
      </c>
      <c r="BX124">
        <v>69.66</v>
      </c>
      <c r="BY124">
        <v>5.92</v>
      </c>
      <c r="BZ124">
        <v>5.75</v>
      </c>
      <c r="CA124">
        <v>5.95</v>
      </c>
      <c r="CB124">
        <v>3.79</v>
      </c>
      <c r="CC124">
        <v>7.37</v>
      </c>
      <c r="CD124" t="s">
        <v>4630</v>
      </c>
      <c r="CE124" t="s">
        <v>7996</v>
      </c>
      <c r="CF124" s="8">
        <v>-9.4149065965349887E-3</v>
      </c>
      <c r="CG124" s="9">
        <v>1.6199999999999999E-2</v>
      </c>
      <c r="CH124" s="8">
        <v>3.6518584936857224E-2</v>
      </c>
      <c r="CI124" s="8">
        <v>9.0815732255578041E-3</v>
      </c>
      <c r="CJ124" s="8">
        <v>0.14741042256355286</v>
      </c>
      <c r="CK124" s="8">
        <v>9.2437490820884705E-2</v>
      </c>
      <c r="CL124" s="8">
        <v>-2.2044247016310692E-2</v>
      </c>
      <c r="CM124" s="9">
        <v>5.035405233502388E-2</v>
      </c>
      <c r="CN124" s="9">
        <v>0.27862063050270081</v>
      </c>
      <c r="CO124" s="9">
        <v>8.3871267735958099E-2</v>
      </c>
      <c r="CP124" s="9">
        <v>-5.0600443035364151E-2</v>
      </c>
      <c r="CQ124" s="9">
        <v>8.1989184021949768E-2</v>
      </c>
      <c r="CR124">
        <v>81.980898465095379</v>
      </c>
      <c r="CS124">
        <v>4.7826627334437051</v>
      </c>
      <c r="CT124" t="e">
        <v>#VALUE!</v>
      </c>
      <c r="CU124" s="8">
        <v>0.17141266912221909</v>
      </c>
      <c r="CV124" s="9">
        <v>0.21890001259744168</v>
      </c>
      <c r="CW124">
        <v>0.06</v>
      </c>
      <c r="CX124">
        <v>9.7093767492339289</v>
      </c>
      <c r="CY124">
        <v>36882922482.975533</v>
      </c>
      <c r="CZ124">
        <v>0.17141266912221909</v>
      </c>
      <c r="DA124">
        <v>2.9634939658005615</v>
      </c>
      <c r="DB124">
        <v>120840532875.27435</v>
      </c>
      <c r="DC124">
        <v>0.16284203566610814</v>
      </c>
      <c r="DD124">
        <v>1.3279599501026591</v>
      </c>
      <c r="DE124">
        <v>269669420355.87436</v>
      </c>
      <c r="DF124">
        <v>0.15084314882755279</v>
      </c>
      <c r="DG124">
        <v>0.71452921100320554</v>
      </c>
      <c r="DH124">
        <v>501183414877.06281</v>
      </c>
      <c r="DI124">
        <v>0.13713013529777526</v>
      </c>
      <c r="DJ124">
        <v>0.28633204183747446</v>
      </c>
      <c r="DK124">
        <v>1250681508440.0076</v>
      </c>
      <c r="DL124">
        <v>0.11998886838555335</v>
      </c>
      <c r="DM124">
        <v>33375000000</v>
      </c>
      <c r="DN124">
        <v>0.17141266912221909</v>
      </c>
      <c r="DO124">
        <v>358110189999.99994</v>
      </c>
      <c r="DP124" t="e">
        <v>#VALUE!</v>
      </c>
      <c r="DQ124">
        <v>123</v>
      </c>
      <c r="DR124">
        <v>-0.18082757571875407</v>
      </c>
      <c r="DS124">
        <v>-0.20270001259744169</v>
      </c>
      <c r="DT124">
        <v>-0.15666666666666665</v>
      </c>
      <c r="DU124">
        <v>0.26666666666666666</v>
      </c>
      <c r="DV124">
        <v>0.11000000000000001</v>
      </c>
      <c r="DW124">
        <v>8.5142469470827677</v>
      </c>
      <c r="DX124">
        <v>0.73388797724370558</v>
      </c>
      <c r="DY124">
        <v>8.0791364224903166</v>
      </c>
      <c r="DZ124">
        <v>0</v>
      </c>
      <c r="EA124">
        <v>8.0791364224903166</v>
      </c>
      <c r="EB124">
        <v>8</v>
      </c>
      <c r="EC124">
        <v>3.09265488018372E-3</v>
      </c>
      <c r="ED124">
        <v>2.0096792666635551E-2</v>
      </c>
      <c r="EE124">
        <v>0</v>
      </c>
      <c r="EF124">
        <v>0</v>
      </c>
      <c r="EG124">
        <v>58.153887977243706</v>
      </c>
      <c r="EH124" t="s">
        <v>110</v>
      </c>
      <c r="EI124">
        <v>0</v>
      </c>
      <c r="EJ124">
        <v>0</v>
      </c>
      <c r="EK124">
        <v>0</v>
      </c>
      <c r="EL124">
        <v>0</v>
      </c>
      <c r="EM124">
        <v>0</v>
      </c>
      <c r="EN124">
        <v>0</v>
      </c>
      <c r="EO124">
        <v>0</v>
      </c>
      <c r="EP124">
        <v>0</v>
      </c>
    </row>
    <row r="125" spans="1:146" ht="96" x14ac:dyDescent="0.25">
      <c r="A125" s="7"/>
      <c r="B125" s="7"/>
      <c r="C125" s="7" t="str">
        <f>""&amp;CHAR(10)&amp;Basic_Fundamental_Information_Constructure(F125)&amp;CHAR(10)&amp;Basic_Fundamental_Information_Concatenate("")</f>
        <v xml:space="preserve">
市值45.438679亿, 利润1.16亿; PE; 平均PE16.65; 平均PEG.61, PB.252; ROIC4.0333%; ROE4.4467%; 股利率0%; 毛利19.7067%; 净利7.1333%; 上一年度营收增-24.94%, 利润增-94.64%; 当季营收增-48.88%, 利润增-401.1%; 过往5年营收增27.35%, 利润增-3.44%
Income profile:
</v>
      </c>
      <c r="D125" s="11">
        <v>743</v>
      </c>
      <c r="E125" t="s">
        <v>2133</v>
      </c>
      <c r="F125">
        <v>2.9</v>
      </c>
      <c r="G125" s="5">
        <v>-6.7999999999999996E-3</v>
      </c>
      <c r="H125" t="s">
        <v>7997</v>
      </c>
      <c r="I125">
        <v>4543867900</v>
      </c>
      <c r="K125">
        <v>0.252</v>
      </c>
      <c r="L125" t="s">
        <v>6350</v>
      </c>
      <c r="M125" t="s">
        <v>7998</v>
      </c>
      <c r="N125" t="s">
        <v>7999</v>
      </c>
      <c r="O125" t="s">
        <v>4719</v>
      </c>
      <c r="P125">
        <v>-35.479999999999997</v>
      </c>
      <c r="Q125" t="s">
        <v>8000</v>
      </c>
      <c r="R125">
        <v>116293666</v>
      </c>
      <c r="S125" s="5">
        <v>-4.0110000000000001</v>
      </c>
      <c r="T125" t="s">
        <v>107</v>
      </c>
      <c r="U125">
        <v>1566851000</v>
      </c>
      <c r="V125">
        <v>1566851000</v>
      </c>
      <c r="W125">
        <v>1.19</v>
      </c>
      <c r="X125">
        <v>0.06</v>
      </c>
      <c r="Y125">
        <v>-7.77</v>
      </c>
      <c r="Z125" t="s">
        <v>8001</v>
      </c>
      <c r="AA125" t="s">
        <v>4719</v>
      </c>
      <c r="AB125" t="s">
        <v>8002</v>
      </c>
      <c r="AC125" t="s">
        <v>8003</v>
      </c>
      <c r="AD125" t="s">
        <v>9</v>
      </c>
      <c r="AE125" t="s">
        <v>8004</v>
      </c>
      <c r="AF125" t="s">
        <v>9</v>
      </c>
      <c r="AG125" t="s">
        <v>8005</v>
      </c>
      <c r="AH125" t="s">
        <v>8006</v>
      </c>
      <c r="AI125" t="s">
        <v>8007</v>
      </c>
      <c r="AJ125" t="s">
        <v>9</v>
      </c>
      <c r="AK125" t="s">
        <v>8008</v>
      </c>
      <c r="AL125" t="s">
        <v>9</v>
      </c>
      <c r="AM125" t="s">
        <v>8009</v>
      </c>
      <c r="AN125" s="5">
        <v>0.14349999999999999</v>
      </c>
      <c r="AO125" t="s">
        <v>4609</v>
      </c>
      <c r="AP125" t="s">
        <v>9</v>
      </c>
      <c r="AQ125" t="s">
        <v>9</v>
      </c>
      <c r="AR125" t="s">
        <v>2558</v>
      </c>
      <c r="AS125" t="s">
        <v>3315</v>
      </c>
      <c r="AT125" t="s">
        <v>832</v>
      </c>
      <c r="AU125" t="s">
        <v>6162</v>
      </c>
      <c r="AV125" t="s">
        <v>8010</v>
      </c>
      <c r="AW125" t="s">
        <v>8011</v>
      </c>
      <c r="AX125" t="s">
        <v>1725</v>
      </c>
      <c r="AY125" t="s">
        <v>2138</v>
      </c>
      <c r="AZ125" t="s">
        <v>2139</v>
      </c>
      <c r="BA125" t="s">
        <v>2139</v>
      </c>
      <c r="BB125" t="s">
        <v>2140</v>
      </c>
      <c r="BC125" t="s">
        <v>2141</v>
      </c>
      <c r="BD125" t="s">
        <v>2142</v>
      </c>
      <c r="BE125" t="s">
        <v>2143</v>
      </c>
      <c r="BF125" t="s">
        <v>197</v>
      </c>
      <c r="BG125" t="s">
        <v>2144</v>
      </c>
      <c r="BH125" t="s">
        <v>1725</v>
      </c>
      <c r="BI125" t="s">
        <v>2145</v>
      </c>
      <c r="BJ125" t="s">
        <v>2138</v>
      </c>
      <c r="BK125" t="s">
        <v>951</v>
      </c>
      <c r="BL125" t="s">
        <v>2146</v>
      </c>
      <c r="BM125" t="s">
        <v>2141</v>
      </c>
      <c r="BN125">
        <v>0.56000000000000005</v>
      </c>
      <c r="BO125">
        <v>2.2000000000000002</v>
      </c>
      <c r="BP125">
        <v>9.34</v>
      </c>
      <c r="BQ125">
        <v>0.63</v>
      </c>
      <c r="BR125">
        <v>2.4700000000000002</v>
      </c>
      <c r="BS125">
        <v>10.24</v>
      </c>
      <c r="BT125" t="s">
        <v>8012</v>
      </c>
      <c r="BU125" t="s">
        <v>1446</v>
      </c>
      <c r="BV125">
        <v>14.41</v>
      </c>
      <c r="BW125">
        <v>13.41</v>
      </c>
      <c r="BX125">
        <v>31.3</v>
      </c>
      <c r="BY125">
        <v>1.5</v>
      </c>
      <c r="BZ125">
        <v>4.41</v>
      </c>
      <c r="CA125">
        <v>15.49</v>
      </c>
      <c r="CB125">
        <v>1.4</v>
      </c>
      <c r="CC125">
        <v>33.64</v>
      </c>
      <c r="CD125" t="s">
        <v>8013</v>
      </c>
      <c r="CE125" t="s">
        <v>1303</v>
      </c>
      <c r="CF125" s="8">
        <v>-0.48876839659178933</v>
      </c>
      <c r="CG125" s="9">
        <v>-4.0110000000000001</v>
      </c>
      <c r="CH125" s="8">
        <v>-0.24940069019794464</v>
      </c>
      <c r="CI125" s="8">
        <v>-0.24654391407966614</v>
      </c>
      <c r="CJ125" s="8">
        <v>0.11580494791269302</v>
      </c>
      <c r="CK125" s="8">
        <v>0</v>
      </c>
      <c r="CL125" s="8">
        <v>0.37684094905853271</v>
      </c>
      <c r="CM125" s="9">
        <v>-0.94642031192779541</v>
      </c>
      <c r="CN125" s="9">
        <v>-0.31939643621444702</v>
      </c>
      <c r="CO125" s="9">
        <v>-9.5535971224308014E-2</v>
      </c>
      <c r="CP125" s="9">
        <v>0.27612480521202087</v>
      </c>
      <c r="CQ125" s="9">
        <v>2.8171744346618652</v>
      </c>
      <c r="CR125">
        <v>16.654372266340868</v>
      </c>
      <c r="CS125">
        <v>0.60883313708218934</v>
      </c>
      <c r="CT125">
        <v>0</v>
      </c>
      <c r="CU125" s="8">
        <v>0.27354575912468138</v>
      </c>
      <c r="CV125" s="9">
        <v>-3.4415361285209653E-2</v>
      </c>
      <c r="CW125">
        <v>0.06</v>
      </c>
      <c r="CX125" t="s">
        <v>6351</v>
      </c>
      <c r="CY125">
        <v>139369158.5457198</v>
      </c>
      <c r="CZ125">
        <v>0.27354575912468138</v>
      </c>
      <c r="DA125" t="s">
        <v>6351</v>
      </c>
      <c r="DB125">
        <v>496508637.551135</v>
      </c>
      <c r="DC125">
        <v>0.2598684711684473</v>
      </c>
      <c r="DD125" t="s">
        <v>6351</v>
      </c>
      <c r="DE125">
        <v>1251626173.1419489</v>
      </c>
      <c r="DF125">
        <v>0.2407202680297196</v>
      </c>
      <c r="DG125" t="s">
        <v>6351</v>
      </c>
      <c r="DH125">
        <v>2706114902.2044563</v>
      </c>
      <c r="DI125">
        <v>0.21883660729974511</v>
      </c>
      <c r="DJ125" t="s">
        <v>6351</v>
      </c>
      <c r="DK125">
        <v>9845934829.9722767</v>
      </c>
      <c r="DL125">
        <v>0.19148203138727696</v>
      </c>
      <c r="DM125">
        <v>115999999.99999999</v>
      </c>
      <c r="DN125">
        <v>0.27354575912468138</v>
      </c>
      <c r="DO125">
        <v>-10788132100</v>
      </c>
      <c r="DP125" t="e">
        <v>#VALUE!</v>
      </c>
      <c r="DQ125">
        <v>124</v>
      </c>
      <c r="DR125">
        <v>-0.76231415571647076</v>
      </c>
      <c r="DS125">
        <v>-3.9765846387147903</v>
      </c>
      <c r="DT125">
        <v>-0.17333333333333334</v>
      </c>
      <c r="DU125">
        <v>-0.30333333333333334</v>
      </c>
      <c r="DV125">
        <v>-0.47666666666666668</v>
      </c>
      <c r="DW125">
        <v>3.1995</v>
      </c>
      <c r="DX125">
        <v>0.23736363636363805</v>
      </c>
      <c r="DY125">
        <v>3.0094490454545455</v>
      </c>
      <c r="DZ125">
        <v>0</v>
      </c>
      <c r="EA125">
        <v>3.0094490454545455</v>
      </c>
      <c r="EB125">
        <v>3</v>
      </c>
      <c r="EC125">
        <v>6.3177672924866497E-3</v>
      </c>
      <c r="ED125">
        <v>0.13338856087783715</v>
      </c>
      <c r="EE125">
        <v>0</v>
      </c>
      <c r="EF125">
        <v>0</v>
      </c>
      <c r="EG125">
        <v>19.047363636363638</v>
      </c>
      <c r="EH125" t="s">
        <v>110</v>
      </c>
      <c r="EI125">
        <v>0</v>
      </c>
      <c r="EJ125">
        <v>0</v>
      </c>
      <c r="EK125">
        <v>0</v>
      </c>
      <c r="EL125">
        <v>0</v>
      </c>
      <c r="EM125">
        <v>0</v>
      </c>
      <c r="EN125">
        <v>0</v>
      </c>
      <c r="EO125">
        <v>0</v>
      </c>
      <c r="EP125">
        <v>0</v>
      </c>
    </row>
    <row r="126" spans="1:146" ht="96" x14ac:dyDescent="0.25">
      <c r="A126" s="7"/>
      <c r="B126" s="7"/>
      <c r="C126" s="7" t="str">
        <f>""&amp;CHAR(10)&amp;Basic_Fundamental_Information_Constructure(F126)&amp;CHAR(10)&amp;Basic_Fundamental_Information_Concatenate("")</f>
        <v xml:space="preserve">
市值72.515855亿, 利润11.72亿; PE6.19; 平均PE16.2; 平均PEG1.01, PB.365; ROIC3.6033%; ROE6.5267%; 股利率0%; 毛利15.3633%; 净利3.0167%; 上一年度营收增25.4%, 利润增-41.43%, 利润增25.61%; 过往5年营收增16.05%, 利润增32.65%
Income profile:
</v>
      </c>
      <c r="D126" s="11">
        <v>751</v>
      </c>
      <c r="E126" t="s">
        <v>2147</v>
      </c>
      <c r="F126">
        <v>3.09</v>
      </c>
      <c r="G126" s="5">
        <v>-1.5900000000000001E-2</v>
      </c>
      <c r="H126" t="s">
        <v>8014</v>
      </c>
      <c r="I126">
        <v>7251585500</v>
      </c>
      <c r="J126">
        <v>6.19</v>
      </c>
      <c r="K126">
        <v>0.36499999999999999</v>
      </c>
      <c r="L126" t="s">
        <v>6350</v>
      </c>
      <c r="M126" t="s">
        <v>9</v>
      </c>
      <c r="N126" t="s">
        <v>9</v>
      </c>
      <c r="O126" t="s">
        <v>9</v>
      </c>
      <c r="P126" t="s">
        <v>9</v>
      </c>
      <c r="Q126" t="s">
        <v>8015</v>
      </c>
      <c r="R126">
        <v>1171837800</v>
      </c>
      <c r="S126" s="5">
        <v>0.25609999999999999</v>
      </c>
      <c r="T126" t="s">
        <v>522</v>
      </c>
      <c r="U126">
        <v>2361875400</v>
      </c>
      <c r="V126">
        <v>2361875400</v>
      </c>
      <c r="W126" t="s">
        <v>9</v>
      </c>
      <c r="X126" t="s">
        <v>9</v>
      </c>
      <c r="Y126" t="s">
        <v>9</v>
      </c>
      <c r="Z126" t="s">
        <v>9</v>
      </c>
      <c r="AA126" t="s">
        <v>9</v>
      </c>
      <c r="AB126" t="s">
        <v>9</v>
      </c>
      <c r="AC126" t="s">
        <v>9</v>
      </c>
      <c r="AD126" t="s">
        <v>2716</v>
      </c>
      <c r="AE126" t="s">
        <v>9</v>
      </c>
      <c r="AF126" t="s">
        <v>9</v>
      </c>
      <c r="AG126" t="s">
        <v>9</v>
      </c>
      <c r="AH126" t="s">
        <v>8016</v>
      </c>
      <c r="AI126" t="s">
        <v>9</v>
      </c>
      <c r="AJ126" t="s">
        <v>9</v>
      </c>
      <c r="AK126" t="s">
        <v>8017</v>
      </c>
      <c r="AL126" t="s">
        <v>9</v>
      </c>
      <c r="AM126" t="s">
        <v>9</v>
      </c>
      <c r="AN126" s="5">
        <v>0.66120000000000001</v>
      </c>
      <c r="AO126" t="s">
        <v>9</v>
      </c>
      <c r="AP126" t="s">
        <v>8018</v>
      </c>
      <c r="AQ126" t="s">
        <v>9</v>
      </c>
      <c r="AR126" t="s">
        <v>8019</v>
      </c>
      <c r="AS126" t="s">
        <v>9</v>
      </c>
      <c r="AT126" t="s">
        <v>9</v>
      </c>
      <c r="AU126" t="s">
        <v>2307</v>
      </c>
      <c r="AV126" t="s">
        <v>8020</v>
      </c>
      <c r="AW126" t="s">
        <v>9</v>
      </c>
      <c r="AX126" t="s">
        <v>2148</v>
      </c>
      <c r="AY126" t="s">
        <v>2150</v>
      </c>
      <c r="AZ126" t="s">
        <v>2151</v>
      </c>
      <c r="BA126" t="s">
        <v>2152</v>
      </c>
      <c r="BB126" t="s">
        <v>2153</v>
      </c>
      <c r="BC126" t="s">
        <v>1074</v>
      </c>
      <c r="BD126" t="s">
        <v>2154</v>
      </c>
      <c r="BE126" t="s">
        <v>2155</v>
      </c>
      <c r="BF126" t="s">
        <v>2034</v>
      </c>
      <c r="BG126" t="s">
        <v>2156</v>
      </c>
      <c r="BH126" t="s">
        <v>2148</v>
      </c>
      <c r="BI126" t="s">
        <v>2157</v>
      </c>
      <c r="BJ126" t="s">
        <v>2150</v>
      </c>
      <c r="BK126" t="s">
        <v>900</v>
      </c>
      <c r="BL126" t="s">
        <v>2158</v>
      </c>
      <c r="BM126" t="s">
        <v>1074</v>
      </c>
      <c r="BN126">
        <v>3.21</v>
      </c>
      <c r="BO126">
        <v>2.46</v>
      </c>
      <c r="BP126">
        <v>5.14</v>
      </c>
      <c r="BQ126">
        <v>5.89</v>
      </c>
      <c r="BR126">
        <v>4.63</v>
      </c>
      <c r="BS126">
        <v>9.06</v>
      </c>
      <c r="BT126" t="s">
        <v>3605</v>
      </c>
      <c r="BU126" t="s">
        <v>1987</v>
      </c>
      <c r="BV126">
        <v>13.97</v>
      </c>
      <c r="BW126">
        <v>15.34</v>
      </c>
      <c r="BX126">
        <v>16.78</v>
      </c>
      <c r="BY126">
        <v>2.56</v>
      </c>
      <c r="BZ126">
        <v>2.63</v>
      </c>
      <c r="CA126">
        <v>3.86</v>
      </c>
      <c r="CB126">
        <v>-0.64</v>
      </c>
      <c r="CC126">
        <v>-1.59</v>
      </c>
      <c r="CD126" t="s">
        <v>8021</v>
      </c>
      <c r="CE126" t="s">
        <v>450</v>
      </c>
      <c r="CF126" s="8" t="s">
        <v>9</v>
      </c>
      <c r="CG126" s="9">
        <v>0.25609999999999999</v>
      </c>
      <c r="CH126" s="8">
        <v>0.25403115153312683</v>
      </c>
      <c r="CI126" s="8">
        <v>-3.2359980046749115E-2</v>
      </c>
      <c r="CJ126" s="8">
        <v>0.30497840046882629</v>
      </c>
      <c r="CK126" s="8">
        <v>-2.6245532557368279E-2</v>
      </c>
      <c r="CL126" s="8">
        <v>0.14540785551071167</v>
      </c>
      <c r="CM126" s="9">
        <v>-0.41429287195205688</v>
      </c>
      <c r="CN126" s="9">
        <v>0.16608394682407379</v>
      </c>
      <c r="CO126" s="9">
        <v>1.0550898313522339</v>
      </c>
      <c r="CP126" s="9">
        <v>0.45470383763313293</v>
      </c>
      <c r="CQ126" s="9">
        <v>-0.56183207035064697</v>
      </c>
      <c r="CR126">
        <v>16.198627326880118</v>
      </c>
      <c r="CS126">
        <v>1.0093195415618152</v>
      </c>
      <c r="CT126">
        <v>0</v>
      </c>
      <c r="CU126" s="8">
        <v>0.16049057468771935</v>
      </c>
      <c r="CV126" s="9">
        <v>0.32654293179512023</v>
      </c>
      <c r="CW126">
        <v>0.06</v>
      </c>
      <c r="CX126">
        <v>5.651576465324931</v>
      </c>
      <c r="CY126">
        <v>1283108446.7301953</v>
      </c>
      <c r="CZ126">
        <v>0.16049057468771935</v>
      </c>
      <c r="DA126">
        <v>1.7407144786224995</v>
      </c>
      <c r="DB126">
        <v>4165867285.5633879</v>
      </c>
      <c r="DC126">
        <v>0.15246604595333338</v>
      </c>
      <c r="DD126">
        <v>0.79007601234399738</v>
      </c>
      <c r="DE126">
        <v>9178339029.0334187</v>
      </c>
      <c r="DF126">
        <v>0.14123170572519303</v>
      </c>
      <c r="DG126">
        <v>0.43169401110184713</v>
      </c>
      <c r="DH126">
        <v>16797975680.716993</v>
      </c>
      <c r="DI126">
        <v>0.12839245975017549</v>
      </c>
      <c r="DJ126">
        <v>0.17948693645108799</v>
      </c>
      <c r="DK126">
        <v>40401745349.172699</v>
      </c>
      <c r="DL126">
        <v>0.11234340228140353</v>
      </c>
      <c r="DM126">
        <v>1172000000</v>
      </c>
      <c r="DN126">
        <v>0.16049057468771935</v>
      </c>
      <c r="DO126">
        <v>7251585500</v>
      </c>
      <c r="DP126" t="e">
        <v>#VALUE!</v>
      </c>
      <c r="DQ126">
        <v>125</v>
      </c>
      <c r="DR126" t="e">
        <v>#VALUE!</v>
      </c>
      <c r="DS126">
        <v>-7.0442931795120234E-2</v>
      </c>
      <c r="DT126" t="e">
        <v>#VALUE!</v>
      </c>
      <c r="DU126">
        <v>0.35333333333333328</v>
      </c>
      <c r="DV126" t="e">
        <v>#VALUE!</v>
      </c>
      <c r="DW126">
        <v>-1.5900000000000001E-2</v>
      </c>
      <c r="DX126">
        <v>0.47381042944785323</v>
      </c>
      <c r="DY126">
        <v>-5.1485858282208589E-3</v>
      </c>
      <c r="DZ126">
        <v>0</v>
      </c>
      <c r="EA126">
        <v>-5.1485858282208589E-3</v>
      </c>
      <c r="EB126">
        <v>0</v>
      </c>
      <c r="EC126">
        <v>2.234711450062099E-2</v>
      </c>
      <c r="ED126">
        <v>6.9012954705400628E-2</v>
      </c>
      <c r="EE126">
        <v>0</v>
      </c>
      <c r="EF126">
        <v>0</v>
      </c>
      <c r="EG126">
        <v>15.323810429447853</v>
      </c>
      <c r="EH126" t="s">
        <v>110</v>
      </c>
      <c r="EI126">
        <v>0</v>
      </c>
      <c r="EJ126">
        <v>0</v>
      </c>
      <c r="EK126">
        <v>0</v>
      </c>
      <c r="EL126">
        <v>0</v>
      </c>
      <c r="EM126">
        <v>0</v>
      </c>
      <c r="EN126">
        <v>0</v>
      </c>
      <c r="EO126">
        <v>0</v>
      </c>
      <c r="EP126">
        <v>0</v>
      </c>
    </row>
    <row r="127" spans="1:146" ht="96" x14ac:dyDescent="0.25">
      <c r="A127" s="7"/>
      <c r="B127" s="7"/>
      <c r="C127" s="7" t="str">
        <f>""&amp;CHAR(10)&amp;Basic_Fundamental_Information_Constructure(F127)&amp;CHAR(10)&amp;Basic_Fundamental_Information_Concatenate("")</f>
        <v xml:space="preserve">
市值602.35204亿, 利润-11.38亿; PE150.5; 平均PE247.54; 平均PEG4.05, PB1.5; ROIC-12.05%; ROE-64.5633%; 股利率0%; 毛利67.25%; 净利-35.0933%; 上一年度营收增156.44%, 利润增94.41%; 当季营收增171.93%, 利润增46%; 过往5年营收增61.19%, 利润增16.47%
Income profile:
</v>
      </c>
      <c r="D127" s="11">
        <v>753</v>
      </c>
      <c r="E127" t="s">
        <v>2160</v>
      </c>
      <c r="F127">
        <v>3.63</v>
      </c>
      <c r="G127" s="5">
        <v>-1.6299999999999999E-2</v>
      </c>
      <c r="H127" t="s">
        <v>8022</v>
      </c>
      <c r="I127">
        <v>60235204000</v>
      </c>
      <c r="J127">
        <v>150.5</v>
      </c>
      <c r="K127">
        <v>1.5</v>
      </c>
      <c r="L127" t="s">
        <v>6350</v>
      </c>
      <c r="M127" t="s">
        <v>8023</v>
      </c>
      <c r="N127" t="s">
        <v>8024</v>
      </c>
      <c r="O127" t="s">
        <v>8025</v>
      </c>
      <c r="P127">
        <v>59.83</v>
      </c>
      <c r="Q127" t="s">
        <v>8026</v>
      </c>
      <c r="R127">
        <v>-1138306140</v>
      </c>
      <c r="S127" s="5">
        <v>0.46</v>
      </c>
      <c r="T127" t="s">
        <v>8027</v>
      </c>
      <c r="U127">
        <v>4955610700</v>
      </c>
      <c r="V127">
        <v>16593720000</v>
      </c>
      <c r="W127">
        <v>9.14</v>
      </c>
      <c r="X127">
        <v>0.12</v>
      </c>
      <c r="Y127">
        <v>-4.87</v>
      </c>
      <c r="Z127" t="s">
        <v>7893</v>
      </c>
      <c r="AA127" t="s">
        <v>8028</v>
      </c>
      <c r="AB127" t="s">
        <v>1882</v>
      </c>
      <c r="AC127" t="s">
        <v>4658</v>
      </c>
      <c r="AD127" t="s">
        <v>8029</v>
      </c>
      <c r="AE127" t="s">
        <v>7996</v>
      </c>
      <c r="AF127" t="s">
        <v>9</v>
      </c>
      <c r="AG127" t="s">
        <v>684</v>
      </c>
      <c r="AH127" t="s">
        <v>8030</v>
      </c>
      <c r="AI127" t="s">
        <v>2738</v>
      </c>
      <c r="AJ127" t="s">
        <v>2343</v>
      </c>
      <c r="AK127" t="s">
        <v>8031</v>
      </c>
      <c r="AL127" t="s">
        <v>9</v>
      </c>
      <c r="AM127" t="s">
        <v>8032</v>
      </c>
      <c r="AN127" s="5">
        <v>0.89729999999999999</v>
      </c>
      <c r="AO127" t="s">
        <v>8033</v>
      </c>
      <c r="AP127" t="s">
        <v>3602</v>
      </c>
      <c r="AQ127" t="s">
        <v>2019</v>
      </c>
      <c r="AR127" t="s">
        <v>8034</v>
      </c>
      <c r="AS127" t="s">
        <v>8035</v>
      </c>
      <c r="AT127" t="s">
        <v>8036</v>
      </c>
      <c r="AU127" t="s">
        <v>7008</v>
      </c>
      <c r="AV127" t="s">
        <v>8037</v>
      </c>
      <c r="AW127" t="s">
        <v>8038</v>
      </c>
      <c r="AX127" t="s">
        <v>2161</v>
      </c>
      <c r="AY127" t="s">
        <v>2165</v>
      </c>
      <c r="AZ127" t="s">
        <v>2166</v>
      </c>
      <c r="BA127" t="s">
        <v>2167</v>
      </c>
      <c r="BB127" t="s">
        <v>2168</v>
      </c>
      <c r="BC127" t="s">
        <v>2169</v>
      </c>
      <c r="BD127" t="s">
        <v>2170</v>
      </c>
      <c r="BE127" t="s">
        <v>2171</v>
      </c>
      <c r="BF127" t="s">
        <v>2172</v>
      </c>
      <c r="BG127" t="s">
        <v>2173</v>
      </c>
      <c r="BH127" t="s">
        <v>2161</v>
      </c>
      <c r="BI127" t="s">
        <v>2174</v>
      </c>
      <c r="BJ127" t="s">
        <v>2165</v>
      </c>
      <c r="BK127" t="s">
        <v>2162</v>
      </c>
      <c r="BL127" t="s">
        <v>2175</v>
      </c>
      <c r="BM127" t="s">
        <v>2169</v>
      </c>
      <c r="BN127">
        <v>-0.6</v>
      </c>
      <c r="BO127">
        <v>-24.59</v>
      </c>
      <c r="BP127">
        <v>-10.96</v>
      </c>
      <c r="BQ127">
        <v>-2.79</v>
      </c>
      <c r="BR127">
        <v>-163.79</v>
      </c>
      <c r="BS127">
        <v>-27.11</v>
      </c>
      <c r="BT127" t="s">
        <v>2176</v>
      </c>
      <c r="BU127" t="s">
        <v>567</v>
      </c>
      <c r="BV127">
        <v>68.540000000000006</v>
      </c>
      <c r="BW127">
        <v>59.55</v>
      </c>
      <c r="BX127">
        <v>73.66</v>
      </c>
      <c r="BY127">
        <v>-1.05</v>
      </c>
      <c r="BZ127">
        <v>-80.28</v>
      </c>
      <c r="CA127">
        <v>-23.95</v>
      </c>
      <c r="CB127">
        <v>-5.96</v>
      </c>
      <c r="CC127">
        <v>-10.37</v>
      </c>
      <c r="CD127" t="s">
        <v>8039</v>
      </c>
      <c r="CE127" t="s">
        <v>76</v>
      </c>
      <c r="CF127" s="8">
        <v>1.7193369469305433</v>
      </c>
      <c r="CG127" s="9">
        <v>0.46</v>
      </c>
      <c r="CH127" s="8">
        <v>1.5643577575683594</v>
      </c>
      <c r="CI127" s="8">
        <v>-0.34045031666755676</v>
      </c>
      <c r="CJ127" s="8">
        <v>9.3303844332695007E-2</v>
      </c>
      <c r="CK127" s="8">
        <v>-0.45118755102157593</v>
      </c>
      <c r="CL127" s="8">
        <v>7.8785337507724762E-2</v>
      </c>
      <c r="CM127" s="9">
        <v>0.94413352012634277</v>
      </c>
      <c r="CN127" s="9">
        <v>-0.18657892942428589</v>
      </c>
      <c r="CO127" s="9">
        <v>-3.3926131725311279</v>
      </c>
      <c r="CP127" s="9">
        <v>-0.14266936480998993</v>
      </c>
      <c r="CQ127" s="9">
        <v>-3.6384541541337967E-2</v>
      </c>
      <c r="CR127">
        <v>247.54193424657532</v>
      </c>
      <c r="CS127">
        <v>4.0453823230425714</v>
      </c>
      <c r="CT127">
        <v>0</v>
      </c>
      <c r="CU127" s="8">
        <v>0.61191233480349183</v>
      </c>
      <c r="CV127" s="9">
        <v>0.16465940810739993</v>
      </c>
      <c r="CW127">
        <v>0.06</v>
      </c>
      <c r="CX127" t="e">
        <v>#VALUE!</v>
      </c>
      <c r="CY127" t="s">
        <v>109</v>
      </c>
      <c r="CZ127">
        <v>0.61191233480349183</v>
      </c>
      <c r="DA127" t="e">
        <v>#VALUE!</v>
      </c>
      <c r="DB127" t="s">
        <v>108</v>
      </c>
      <c r="DC127">
        <v>0.58131671806331719</v>
      </c>
      <c r="DD127" t="e">
        <v>#VALUE!</v>
      </c>
      <c r="DE127" t="s">
        <v>108</v>
      </c>
      <c r="DF127">
        <v>0.53848285462707279</v>
      </c>
      <c r="DG127" t="e">
        <v>#VALUE!</v>
      </c>
      <c r="DH127" t="s">
        <v>108</v>
      </c>
      <c r="DI127">
        <v>0.48952986784279351</v>
      </c>
      <c r="DJ127" t="e">
        <v>#VALUE!</v>
      </c>
      <c r="DK127" t="s">
        <v>108</v>
      </c>
      <c r="DL127">
        <v>0.42833863436244424</v>
      </c>
      <c r="DM127">
        <v>-1138000000</v>
      </c>
      <c r="DN127">
        <v>0.61191233480349183</v>
      </c>
      <c r="DO127">
        <v>352791204000</v>
      </c>
      <c r="DP127" t="e">
        <v>#VALUE!</v>
      </c>
      <c r="DQ127">
        <v>126</v>
      </c>
      <c r="DR127">
        <v>1.1074246121270515</v>
      </c>
      <c r="DS127">
        <v>0.29534059189260009</v>
      </c>
      <c r="DT127">
        <v>0.44166666666666665</v>
      </c>
      <c r="DU127">
        <v>-0.33833333333333343</v>
      </c>
      <c r="DV127">
        <v>0.10333333333333322</v>
      </c>
      <c r="DW127">
        <v>-8.574734811957569</v>
      </c>
      <c r="DX127">
        <v>0.32839775429326123</v>
      </c>
      <c r="DY127">
        <v>-8.05080526669121</v>
      </c>
      <c r="DZ127">
        <v>0</v>
      </c>
      <c r="EA127">
        <v>-8.05080526669121</v>
      </c>
      <c r="EB127">
        <v>8</v>
      </c>
      <c r="EC127">
        <v>4.0326762172677375E-3</v>
      </c>
      <c r="ED127">
        <v>4.5619668163618524E-2</v>
      </c>
      <c r="EE127">
        <v>0</v>
      </c>
      <c r="EF127">
        <v>0</v>
      </c>
      <c r="EG127">
        <v>24.088397754293261</v>
      </c>
      <c r="EH127" t="s">
        <v>110</v>
      </c>
      <c r="EI127">
        <v>0</v>
      </c>
      <c r="EJ127">
        <v>0</v>
      </c>
      <c r="EK127">
        <v>0</v>
      </c>
      <c r="EL127">
        <v>0</v>
      </c>
      <c r="EM127">
        <v>0</v>
      </c>
      <c r="EN127">
        <v>0</v>
      </c>
      <c r="EO127">
        <v>0</v>
      </c>
      <c r="EP127">
        <v>0</v>
      </c>
    </row>
    <row r="128" spans="1:146" ht="96" x14ac:dyDescent="0.25">
      <c r="A128" s="7"/>
      <c r="B128" s="7"/>
      <c r="C128" s="7" t="str">
        <f>""&amp;CHAR(10)&amp;Basic_Fundamental_Information_Constructure(F128)&amp;CHAR(10)&amp;Basic_Fundamental_Information_Concatenate("")</f>
        <v xml:space="preserve">
市值135.77295亿, 利润29.22亿; PE4.65; 平均PE29.51; 平均PEG5.31, PB.142; ROIC3.51%; ROE7.5333%; 股利率0%; 毛利33.6167%; 净利25.6533%; 上一年度营收增25.83%, 利润增-70.06%, 利润增-66.65%; 过往5年营收增5.55%, 利润增-255.76%
Income profile:
</v>
      </c>
      <c r="D128" s="11">
        <v>754</v>
      </c>
      <c r="E128" t="s">
        <v>2177</v>
      </c>
      <c r="F128">
        <v>3.58</v>
      </c>
      <c r="G128" s="5">
        <v>-1.38E-2</v>
      </c>
      <c r="H128" t="s">
        <v>8040</v>
      </c>
      <c r="I128">
        <v>13577295000</v>
      </c>
      <c r="J128">
        <v>4.6500000000000004</v>
      </c>
      <c r="K128">
        <v>0.14199999999999999</v>
      </c>
      <c r="L128" t="s">
        <v>6350</v>
      </c>
      <c r="M128" t="s">
        <v>9</v>
      </c>
      <c r="N128" t="s">
        <v>9</v>
      </c>
      <c r="O128" t="s">
        <v>9</v>
      </c>
      <c r="P128" t="s">
        <v>9</v>
      </c>
      <c r="Q128" t="s">
        <v>8041</v>
      </c>
      <c r="R128">
        <v>2922321000</v>
      </c>
      <c r="S128" s="5">
        <v>-0.66649999999999998</v>
      </c>
      <c r="T128" t="s">
        <v>8042</v>
      </c>
      <c r="U128">
        <v>3792540600</v>
      </c>
      <c r="V128">
        <v>3792540600</v>
      </c>
      <c r="W128" t="s">
        <v>9</v>
      </c>
      <c r="X128" t="s">
        <v>9</v>
      </c>
      <c r="Y128" t="s">
        <v>9</v>
      </c>
      <c r="Z128" t="s">
        <v>9</v>
      </c>
      <c r="AA128" t="s">
        <v>9</v>
      </c>
      <c r="AB128" t="s">
        <v>9</v>
      </c>
      <c r="AC128" t="s">
        <v>9</v>
      </c>
      <c r="AD128" t="s">
        <v>9</v>
      </c>
      <c r="AE128" t="s">
        <v>9</v>
      </c>
      <c r="AF128" t="s">
        <v>9</v>
      </c>
      <c r="AG128" t="s">
        <v>9</v>
      </c>
      <c r="AH128" t="s">
        <v>8043</v>
      </c>
      <c r="AI128" t="s">
        <v>9</v>
      </c>
      <c r="AJ128" t="s">
        <v>9</v>
      </c>
      <c r="AK128" t="s">
        <v>8044</v>
      </c>
      <c r="AL128" t="s">
        <v>9</v>
      </c>
      <c r="AM128" t="s">
        <v>9</v>
      </c>
      <c r="AN128" s="5">
        <v>0.6502</v>
      </c>
      <c r="AO128" t="s">
        <v>9</v>
      </c>
      <c r="AP128" t="s">
        <v>8045</v>
      </c>
      <c r="AQ128" t="s">
        <v>9</v>
      </c>
      <c r="AR128" t="s">
        <v>8046</v>
      </c>
      <c r="AS128" t="s">
        <v>9</v>
      </c>
      <c r="AT128" t="s">
        <v>9</v>
      </c>
      <c r="AU128" t="s">
        <v>4324</v>
      </c>
      <c r="AV128" t="s">
        <v>8047</v>
      </c>
      <c r="AW128" t="s">
        <v>9</v>
      </c>
      <c r="AX128" t="s">
        <v>2178</v>
      </c>
      <c r="AY128" t="s">
        <v>2180</v>
      </c>
      <c r="AZ128" t="s">
        <v>2181</v>
      </c>
      <c r="BA128" t="s">
        <v>2182</v>
      </c>
      <c r="BB128" t="s">
        <v>2183</v>
      </c>
      <c r="BC128" t="s">
        <v>2184</v>
      </c>
      <c r="BD128" t="s">
        <v>2185</v>
      </c>
      <c r="BE128" t="s">
        <v>2186</v>
      </c>
      <c r="BF128" t="s">
        <v>2187</v>
      </c>
      <c r="BG128" t="s">
        <v>554</v>
      </c>
      <c r="BH128" t="s">
        <v>2178</v>
      </c>
      <c r="BI128" t="s">
        <v>9</v>
      </c>
      <c r="BJ128" t="s">
        <v>2180</v>
      </c>
      <c r="BK128" t="s">
        <v>2179</v>
      </c>
      <c r="BL128" t="s">
        <v>9</v>
      </c>
      <c r="BM128" t="s">
        <v>2184</v>
      </c>
      <c r="BN128">
        <v>1.56</v>
      </c>
      <c r="BO128">
        <v>4.32</v>
      </c>
      <c r="BP128">
        <v>4.6500000000000004</v>
      </c>
      <c r="BQ128">
        <v>3.06</v>
      </c>
      <c r="BR128">
        <v>9.41</v>
      </c>
      <c r="BS128">
        <v>10.130000000000001</v>
      </c>
      <c r="BT128" t="s">
        <v>2188</v>
      </c>
      <c r="BU128" t="s">
        <v>410</v>
      </c>
      <c r="BV128">
        <v>27.69</v>
      </c>
      <c r="BW128">
        <v>30.39</v>
      </c>
      <c r="BX128">
        <v>42.77</v>
      </c>
      <c r="BY128">
        <v>9.93</v>
      </c>
      <c r="BZ128">
        <v>33.369999999999997</v>
      </c>
      <c r="CA128">
        <v>33.659999999999997</v>
      </c>
      <c r="CB128">
        <v>0</v>
      </c>
      <c r="CC128">
        <v>-6.77</v>
      </c>
      <c r="CD128" t="s">
        <v>8048</v>
      </c>
      <c r="CE128" t="s">
        <v>8049</v>
      </c>
      <c r="CF128" s="8" t="s">
        <v>9</v>
      </c>
      <c r="CG128" s="9">
        <v>-0.66649999999999998</v>
      </c>
      <c r="CH128" s="8">
        <v>0.25832965970039368</v>
      </c>
      <c r="CI128" s="8">
        <v>-0.11329469829797745</v>
      </c>
      <c r="CJ128" s="8">
        <v>-0.10581590235233307</v>
      </c>
      <c r="CK128" s="8">
        <v>1.5854519605636597</v>
      </c>
      <c r="CL128" s="8">
        <v>-3.833911195397377E-2</v>
      </c>
      <c r="CM128" s="9">
        <v>-0.7005840539932251</v>
      </c>
      <c r="CN128" s="9">
        <v>-0.28421595692634583</v>
      </c>
      <c r="CO128" s="9">
        <v>0.43727594614028931</v>
      </c>
      <c r="CP128" s="9">
        <v>0.64259737730026245</v>
      </c>
      <c r="CQ128" s="9">
        <v>-3.6231332924216986E-3</v>
      </c>
      <c r="CR128">
        <v>29.505050867236676</v>
      </c>
      <c r="CS128">
        <v>5.3124826544481287</v>
      </c>
      <c r="CT128">
        <v>0</v>
      </c>
      <c r="CU128" s="8">
        <v>5.5539100617170337E-2</v>
      </c>
      <c r="CV128" s="9">
        <v>-2.5575763583183289</v>
      </c>
      <c r="CW128">
        <v>0.06</v>
      </c>
      <c r="CX128">
        <v>4.6662132468622479</v>
      </c>
      <c r="CY128">
        <v>2909703067.9277091</v>
      </c>
      <c r="CZ128">
        <v>5.5539100617170337E-2</v>
      </c>
      <c r="DA128">
        <v>1.5702044417350127</v>
      </c>
      <c r="DB128">
        <v>8646832628.3663006</v>
      </c>
      <c r="DC128">
        <v>5.2762145586311815E-2</v>
      </c>
      <c r="DD128">
        <v>0.80343287880395908</v>
      </c>
      <c r="DE128">
        <v>16899103034.234819</v>
      </c>
      <c r="DF128">
        <v>4.8874408543109898E-2</v>
      </c>
      <c r="DG128">
        <v>0.50359785915292077</v>
      </c>
      <c r="DH128">
        <v>26960589194.794743</v>
      </c>
      <c r="DI128">
        <v>4.4431280493736271E-2</v>
      </c>
      <c r="DJ128">
        <v>0.28508106084410306</v>
      </c>
      <c r="DK128">
        <v>47626085576.497696</v>
      </c>
      <c r="DL128">
        <v>3.8877370432019234E-2</v>
      </c>
      <c r="DM128">
        <v>2922000000</v>
      </c>
      <c r="DN128">
        <v>5.5539100617170337E-2</v>
      </c>
      <c r="DO128">
        <v>13577295000</v>
      </c>
      <c r="DP128" t="e">
        <v>#VALUE!</v>
      </c>
      <c r="DQ128">
        <v>127</v>
      </c>
      <c r="DR128" t="e">
        <v>#VALUE!</v>
      </c>
      <c r="DS128">
        <v>1.8910763583183288</v>
      </c>
      <c r="DT128" t="e">
        <v>#VALUE!</v>
      </c>
      <c r="DU128" t="e">
        <v>#VALUE!</v>
      </c>
      <c r="DV128" t="e">
        <v>#VALUE!</v>
      </c>
      <c r="DW128">
        <v>-2.0676999999999999</v>
      </c>
      <c r="DX128">
        <v>0.30238026185529648</v>
      </c>
      <c r="DY128">
        <v>-2.0076081437276034</v>
      </c>
      <c r="DZ128">
        <v>0</v>
      </c>
      <c r="EA128">
        <v>-2.0076081437276034</v>
      </c>
      <c r="EB128">
        <v>2</v>
      </c>
      <c r="EC128">
        <v>2.125171712070795E-3</v>
      </c>
      <c r="ED128">
        <v>1.8910542447455936E-2</v>
      </c>
      <c r="EE128">
        <v>0</v>
      </c>
      <c r="EF128">
        <v>0</v>
      </c>
      <c r="EG128">
        <v>19.112380261855296</v>
      </c>
      <c r="EH128" t="s">
        <v>110</v>
      </c>
      <c r="EI128">
        <v>0</v>
      </c>
      <c r="EJ128">
        <v>0</v>
      </c>
      <c r="EK128">
        <v>0</v>
      </c>
      <c r="EL128">
        <v>0</v>
      </c>
      <c r="EM128">
        <v>0</v>
      </c>
      <c r="EN128">
        <v>0</v>
      </c>
      <c r="EO128">
        <v>0</v>
      </c>
      <c r="EP128">
        <v>0</v>
      </c>
    </row>
    <row r="129" spans="1:146" ht="96" x14ac:dyDescent="0.25">
      <c r="A129" s="7"/>
      <c r="B129" s="7"/>
      <c r="C129" s="7" t="str">
        <f>""&amp;CHAR(10)&amp;Basic_Fundamental_Information_Constructure(F129)&amp;CHAR(10)&amp;Basic_Fundamental_Information_Concatenate("")</f>
        <v xml:space="preserve">
市值2117.3902亿, 利润205.27亿; PE10.23; 平均PE58.41; 平均PEG3.88, PB.546; ROIC4.7833%; ROE4.85%; 毛利80.72%; 净利4.7467%; 上一年度营收增2.01%, 利润增16.67%; 当季营收增-2.25%, 利润增2.75%; 过往5年营收增-15.05%, 利润增-125.61%
Income profile:
</v>
      </c>
      <c r="D129" s="11">
        <v>762</v>
      </c>
      <c r="E129" t="s">
        <v>2189</v>
      </c>
      <c r="F129">
        <v>6.92</v>
      </c>
      <c r="G129" s="5">
        <v>1.32E-2</v>
      </c>
      <c r="H129" t="s">
        <v>8050</v>
      </c>
      <c r="I129">
        <v>211739020000</v>
      </c>
      <c r="J129">
        <v>10.23</v>
      </c>
      <c r="K129">
        <v>0.54600000000000004</v>
      </c>
      <c r="L129" t="s">
        <v>6350</v>
      </c>
      <c r="M129" t="s">
        <v>8051</v>
      </c>
      <c r="N129" t="s">
        <v>8052</v>
      </c>
      <c r="O129" t="s">
        <v>8053</v>
      </c>
      <c r="P129">
        <v>2.34</v>
      </c>
      <c r="Q129" t="s">
        <v>8054</v>
      </c>
      <c r="R129">
        <v>20527441000</v>
      </c>
      <c r="S129" s="5">
        <v>2.75E-2</v>
      </c>
      <c r="T129" t="s">
        <v>8055</v>
      </c>
      <c r="U129">
        <v>30598124000</v>
      </c>
      <c r="V129">
        <v>30598124000</v>
      </c>
      <c r="W129" t="s">
        <v>9</v>
      </c>
      <c r="X129">
        <v>0.15</v>
      </c>
      <c r="Y129">
        <v>6.19</v>
      </c>
      <c r="Z129" t="s">
        <v>8056</v>
      </c>
      <c r="AA129" t="s">
        <v>3646</v>
      </c>
      <c r="AB129" t="s">
        <v>8057</v>
      </c>
      <c r="AC129" t="s">
        <v>8058</v>
      </c>
      <c r="AD129" t="s">
        <v>9</v>
      </c>
      <c r="AE129" t="s">
        <v>8059</v>
      </c>
      <c r="AF129" t="s">
        <v>9</v>
      </c>
      <c r="AG129" t="s">
        <v>1297</v>
      </c>
      <c r="AH129" t="s">
        <v>8060</v>
      </c>
      <c r="AI129" t="s">
        <v>9</v>
      </c>
      <c r="AJ129" t="s">
        <v>9</v>
      </c>
      <c r="AK129" t="s">
        <v>8061</v>
      </c>
      <c r="AL129" t="s">
        <v>9</v>
      </c>
      <c r="AM129" t="s">
        <v>9</v>
      </c>
      <c r="AN129" s="5">
        <v>0.45860000000000001</v>
      </c>
      <c r="AO129" t="s">
        <v>9</v>
      </c>
      <c r="AP129" t="s">
        <v>8062</v>
      </c>
      <c r="AQ129" t="s">
        <v>9</v>
      </c>
      <c r="AR129" t="s">
        <v>8063</v>
      </c>
      <c r="AS129" t="s">
        <v>9</v>
      </c>
      <c r="AT129" t="s">
        <v>9</v>
      </c>
      <c r="AU129" t="s">
        <v>8064</v>
      </c>
      <c r="AV129" t="s">
        <v>8065</v>
      </c>
      <c r="AW129" t="s">
        <v>9</v>
      </c>
      <c r="AX129" t="s">
        <v>2190</v>
      </c>
      <c r="AY129" t="s">
        <v>2193</v>
      </c>
      <c r="AZ129" t="s">
        <v>2194</v>
      </c>
      <c r="BA129" t="s">
        <v>2195</v>
      </c>
      <c r="BB129" t="s">
        <v>2196</v>
      </c>
      <c r="BC129" t="s">
        <v>2197</v>
      </c>
      <c r="BD129" t="s">
        <v>2198</v>
      </c>
      <c r="BE129" t="s">
        <v>2199</v>
      </c>
      <c r="BF129" t="s">
        <v>2200</v>
      </c>
      <c r="BG129" t="s">
        <v>1469</v>
      </c>
      <c r="BH129" t="s">
        <v>2190</v>
      </c>
      <c r="BI129" t="s">
        <v>2201</v>
      </c>
      <c r="BJ129" t="s">
        <v>2193</v>
      </c>
      <c r="BK129" t="s">
        <v>2191</v>
      </c>
      <c r="BL129" t="s">
        <v>2202</v>
      </c>
      <c r="BM129" t="s">
        <v>2197</v>
      </c>
      <c r="BN129">
        <v>5.33</v>
      </c>
      <c r="BO129">
        <v>4.83</v>
      </c>
      <c r="BP129">
        <v>4.1900000000000004</v>
      </c>
      <c r="BQ129">
        <v>5.33</v>
      </c>
      <c r="BR129">
        <v>4.9000000000000004</v>
      </c>
      <c r="BS129">
        <v>4.32</v>
      </c>
      <c r="BT129" t="s">
        <v>8066</v>
      </c>
      <c r="BU129" t="s">
        <v>449</v>
      </c>
      <c r="BV129">
        <v>80.86</v>
      </c>
      <c r="BW129">
        <v>81.02</v>
      </c>
      <c r="BX129">
        <v>80.28</v>
      </c>
      <c r="BY129">
        <v>5.08</v>
      </c>
      <c r="BZ129">
        <v>4.74</v>
      </c>
      <c r="CA129">
        <v>4.42</v>
      </c>
      <c r="CB129">
        <v>2.06</v>
      </c>
      <c r="CC129">
        <v>13.57</v>
      </c>
      <c r="CD129" t="s">
        <v>165</v>
      </c>
      <c r="CE129" t="s">
        <v>8067</v>
      </c>
      <c r="CF129" s="8">
        <v>-2.2498314903539339E-2</v>
      </c>
      <c r="CG129" s="9">
        <v>2.75E-2</v>
      </c>
      <c r="CH129" s="8">
        <v>2.0051877945661545E-2</v>
      </c>
      <c r="CI129" s="8">
        <v>-2.6030293665826321E-3</v>
      </c>
      <c r="CJ129" s="8">
        <v>0.1085532009601593</v>
      </c>
      <c r="CK129" s="8">
        <v>9.3456074595451355E-2</v>
      </c>
      <c r="CL129" s="8">
        <v>5.1624528132379055E-3</v>
      </c>
      <c r="CM129" s="9">
        <v>0.16670458018779755</v>
      </c>
      <c r="CN129" s="9">
        <v>0.18159832060337067</v>
      </c>
      <c r="CO129" s="9">
        <v>0.17605245113372803</v>
      </c>
      <c r="CP129" s="9">
        <v>9.0525388717651367E-2</v>
      </c>
      <c r="CQ129" s="9">
        <v>4.2965331077575684</v>
      </c>
      <c r="CR129">
        <v>58.406739577903195</v>
      </c>
      <c r="CS129">
        <v>3.880059209376066</v>
      </c>
      <c r="CT129" t="e">
        <v>#VALUE!</v>
      </c>
      <c r="CU129" s="8">
        <v>-0.15053053684532641</v>
      </c>
      <c r="CV129" s="9">
        <v>-1.2560837015509605</v>
      </c>
      <c r="CW129">
        <v>0.06</v>
      </c>
      <c r="CX129">
        <v>7.426025235056267</v>
      </c>
      <c r="CY129" t="s">
        <v>8068</v>
      </c>
      <c r="CZ129">
        <v>-0.15053053684532641</v>
      </c>
      <c r="DA129">
        <v>2.4753417450187558</v>
      </c>
      <c r="DB129" t="s">
        <v>8069</v>
      </c>
      <c r="DC129">
        <v>-0.14300401000306009</v>
      </c>
      <c r="DD129">
        <v>1.2376708725093779</v>
      </c>
      <c r="DE129" t="s">
        <v>8070</v>
      </c>
      <c r="DF129">
        <v>-0.13246687242388724</v>
      </c>
      <c r="DG129">
        <v>0.74260252350562672</v>
      </c>
      <c r="DH129" t="s">
        <v>8071</v>
      </c>
      <c r="DI129">
        <v>-0.12042442947626114</v>
      </c>
      <c r="DJ129">
        <v>0.37130126175281336</v>
      </c>
      <c r="DK129" t="s">
        <v>8072</v>
      </c>
      <c r="DL129">
        <v>-0.10537137579172848</v>
      </c>
      <c r="DM129">
        <v>20527000000</v>
      </c>
      <c r="DN129">
        <v>-0.15053053684532641</v>
      </c>
      <c r="DO129">
        <v>152434020000</v>
      </c>
      <c r="DP129" t="e">
        <v>#VALUE!</v>
      </c>
      <c r="DQ129">
        <v>128</v>
      </c>
      <c r="DR129">
        <v>0.12803222194178707</v>
      </c>
      <c r="DS129">
        <v>1.2835837015509606</v>
      </c>
      <c r="DT129">
        <v>-0.75666666666666671</v>
      </c>
      <c r="DU129">
        <v>-0.6166666666666667</v>
      </c>
      <c r="DV129">
        <v>-1.3733333333333335</v>
      </c>
      <c r="DW129">
        <v>2.1356999999999999</v>
      </c>
      <c r="DX129">
        <v>0.49009281534875443</v>
      </c>
      <c r="DY129">
        <v>2.021724595042826</v>
      </c>
      <c r="DZ129">
        <v>0</v>
      </c>
      <c r="EA129">
        <v>2.021724595042826</v>
      </c>
      <c r="EB129">
        <v>2</v>
      </c>
      <c r="EC129">
        <v>6.7651206328858586E-3</v>
      </c>
      <c r="ED129">
        <v>4.2257492648895729E-2</v>
      </c>
      <c r="EE129">
        <v>0</v>
      </c>
      <c r="EF129">
        <v>0</v>
      </c>
      <c r="EG129">
        <v>33.160092815348754</v>
      </c>
      <c r="EH129" t="s">
        <v>110</v>
      </c>
      <c r="EI129">
        <v>1</v>
      </c>
      <c r="EJ129">
        <v>0</v>
      </c>
      <c r="EK129">
        <v>0</v>
      </c>
      <c r="EL129">
        <v>0</v>
      </c>
      <c r="EM129">
        <v>0</v>
      </c>
      <c r="EN129">
        <v>0</v>
      </c>
      <c r="EO129">
        <v>0</v>
      </c>
      <c r="EP129">
        <v>0</v>
      </c>
    </row>
    <row r="130" spans="1:146" ht="96" x14ac:dyDescent="0.25">
      <c r="A130" s="7"/>
      <c r="B130" s="7"/>
      <c r="C130" s="7" t="str">
        <f>""&amp;CHAR(10)&amp;Basic_Fundamental_Information_Constructure(F130)&amp;CHAR(10)&amp;Basic_Fundamental_Information_Concatenate("")</f>
        <v xml:space="preserve">
市值801.67296亿, 利润102.23亿; PE7.89; 平均PE37.48; 平均PEG4.3, PB1.05; ROIC8.2333%; ROE13.5733%; 股利率0%; 毛利37.4633%; 净利6.7%; 上一年度营收增-2.1%, 利润增22.55%; 当季营收增-4.41%, 利润增-2.1%; 过往5年营收增-8.72%, 利润增-1110.72%
Income profile:
</v>
      </c>
      <c r="D130" s="11">
        <v>763</v>
      </c>
      <c r="E130" t="s">
        <v>2203</v>
      </c>
      <c r="F130">
        <v>16.760000000000002</v>
      </c>
      <c r="G130" s="5">
        <v>-2.2200000000000001E-2</v>
      </c>
      <c r="H130" t="s">
        <v>8073</v>
      </c>
      <c r="I130">
        <v>80167296000</v>
      </c>
      <c r="J130">
        <v>7.89</v>
      </c>
      <c r="K130">
        <v>1.05</v>
      </c>
      <c r="L130" t="s">
        <v>6350</v>
      </c>
      <c r="M130" t="s">
        <v>8074</v>
      </c>
      <c r="N130" t="s">
        <v>8075</v>
      </c>
      <c r="O130" t="s">
        <v>8076</v>
      </c>
      <c r="P130">
        <v>4.93</v>
      </c>
      <c r="Q130" t="s">
        <v>8077</v>
      </c>
      <c r="R130">
        <v>10222890400</v>
      </c>
      <c r="S130" s="5">
        <v>-2.1000000000000001E-2</v>
      </c>
      <c r="T130" t="s">
        <v>8078</v>
      </c>
      <c r="U130">
        <v>755502530</v>
      </c>
      <c r="V130">
        <v>4783251600</v>
      </c>
      <c r="W130">
        <v>2.94</v>
      </c>
      <c r="X130">
        <v>0.15</v>
      </c>
      <c r="Y130">
        <v>10.62</v>
      </c>
      <c r="Z130" t="s">
        <v>8079</v>
      </c>
      <c r="AA130" t="s">
        <v>8080</v>
      </c>
      <c r="AB130" t="s">
        <v>6411</v>
      </c>
      <c r="AC130" t="s">
        <v>7716</v>
      </c>
      <c r="AD130" t="s">
        <v>8081</v>
      </c>
      <c r="AE130" t="s">
        <v>8082</v>
      </c>
      <c r="AF130" t="s">
        <v>9</v>
      </c>
      <c r="AG130" t="s">
        <v>381</v>
      </c>
      <c r="AH130" t="s">
        <v>8083</v>
      </c>
      <c r="AI130" t="s">
        <v>8084</v>
      </c>
      <c r="AJ130" t="s">
        <v>8085</v>
      </c>
      <c r="AK130" t="s">
        <v>8086</v>
      </c>
      <c r="AL130" t="s">
        <v>9</v>
      </c>
      <c r="AM130" t="s">
        <v>3083</v>
      </c>
      <c r="AN130" s="5">
        <v>0.65820000000000001</v>
      </c>
      <c r="AO130" t="s">
        <v>8087</v>
      </c>
      <c r="AP130" t="s">
        <v>8088</v>
      </c>
      <c r="AQ130" t="s">
        <v>8089</v>
      </c>
      <c r="AR130" t="s">
        <v>8090</v>
      </c>
      <c r="AS130" t="s">
        <v>8091</v>
      </c>
      <c r="AT130" t="s">
        <v>8092</v>
      </c>
      <c r="AU130" t="s">
        <v>8093</v>
      </c>
      <c r="AV130" t="s">
        <v>8094</v>
      </c>
      <c r="AW130" t="s">
        <v>8095</v>
      </c>
      <c r="AX130" t="s">
        <v>2204</v>
      </c>
      <c r="AY130" t="s">
        <v>2207</v>
      </c>
      <c r="AZ130" t="s">
        <v>2208</v>
      </c>
      <c r="BA130" t="s">
        <v>2209</v>
      </c>
      <c r="BB130" t="s">
        <v>2210</v>
      </c>
      <c r="BC130" t="s">
        <v>2211</v>
      </c>
      <c r="BD130" t="s">
        <v>2212</v>
      </c>
      <c r="BE130" t="s">
        <v>2213</v>
      </c>
      <c r="BF130" t="s">
        <v>2214</v>
      </c>
      <c r="BG130" t="s">
        <v>2215</v>
      </c>
      <c r="BH130" t="s">
        <v>2204</v>
      </c>
      <c r="BI130" t="s">
        <v>2216</v>
      </c>
      <c r="BJ130" t="s">
        <v>2207</v>
      </c>
      <c r="BK130" t="s">
        <v>2205</v>
      </c>
      <c r="BL130" t="s">
        <v>2217</v>
      </c>
      <c r="BM130" t="s">
        <v>2211</v>
      </c>
      <c r="BN130">
        <v>8.2100000000000009</v>
      </c>
      <c r="BO130">
        <v>8.32</v>
      </c>
      <c r="BP130">
        <v>8.17</v>
      </c>
      <c r="BQ130">
        <v>13.71</v>
      </c>
      <c r="BR130">
        <v>13.78</v>
      </c>
      <c r="BS130">
        <v>13.23</v>
      </c>
      <c r="BT130" t="s">
        <v>2218</v>
      </c>
      <c r="BU130" t="s">
        <v>1093</v>
      </c>
      <c r="BV130">
        <v>40.89</v>
      </c>
      <c r="BW130">
        <v>36.700000000000003</v>
      </c>
      <c r="BX130">
        <v>34.799999999999997</v>
      </c>
      <c r="BY130">
        <v>7.52</v>
      </c>
      <c r="BZ130">
        <v>6.39</v>
      </c>
      <c r="CA130">
        <v>6.19</v>
      </c>
      <c r="CB130">
        <v>-5.84</v>
      </c>
      <c r="CC130">
        <v>-6.37</v>
      </c>
      <c r="CD130" t="s">
        <v>8096</v>
      </c>
      <c r="CE130" t="s">
        <v>242</v>
      </c>
      <c r="CF130" s="8">
        <v>-4.4099142597957337E-2</v>
      </c>
      <c r="CG130" s="9">
        <v>-2.1000000000000001E-2</v>
      </c>
      <c r="CH130" s="8">
        <v>-2.1012593060731888E-2</v>
      </c>
      <c r="CI130" s="8">
        <v>-1.1739982292056084E-2</v>
      </c>
      <c r="CJ130" s="8">
        <v>0.15956300497055054</v>
      </c>
      <c r="CK130" s="8">
        <v>0.23353363573551178</v>
      </c>
      <c r="CL130" s="8">
        <v>-0.25367358326911926</v>
      </c>
      <c r="CM130" s="9">
        <v>0.2254854291677475</v>
      </c>
      <c r="CN130" s="9">
        <v>0.64309626817703247</v>
      </c>
      <c r="CO130" s="9">
        <v>-0.11750386655330658</v>
      </c>
      <c r="CP130" s="9">
        <v>1.7234658002853394</v>
      </c>
      <c r="CQ130" s="9">
        <v>-2.4518897533416748</v>
      </c>
      <c r="CR130">
        <v>37.478723374994722</v>
      </c>
      <c r="CS130">
        <v>4.2978318520585139</v>
      </c>
      <c r="CT130">
        <v>0</v>
      </c>
      <c r="CU130" s="8">
        <v>-8.7203791737556463E-2</v>
      </c>
      <c r="CV130" s="9">
        <v>-11.107230335474014</v>
      </c>
      <c r="CW130">
        <v>0.06</v>
      </c>
      <c r="CX130">
        <v>14.801946199745672</v>
      </c>
      <c r="CY130" t="s">
        <v>8097</v>
      </c>
      <c r="CZ130">
        <v>-8.7203791737556463E-2</v>
      </c>
      <c r="DA130">
        <v>4.9339820665818905</v>
      </c>
      <c r="DB130" t="s">
        <v>8098</v>
      </c>
      <c r="DC130">
        <v>-8.2843602150678639E-2</v>
      </c>
      <c r="DD130">
        <v>2.4669910332909453</v>
      </c>
      <c r="DE130" t="s">
        <v>8099</v>
      </c>
      <c r="DF130">
        <v>-7.6739336729049687E-2</v>
      </c>
      <c r="DG130">
        <v>1.4801946199745672</v>
      </c>
      <c r="DH130" t="s">
        <v>8100</v>
      </c>
      <c r="DI130">
        <v>-6.9763033390045179E-2</v>
      </c>
      <c r="DJ130">
        <v>0.74009730998728362</v>
      </c>
      <c r="DK130" t="s">
        <v>8101</v>
      </c>
      <c r="DL130">
        <v>-6.1042654216289523E-2</v>
      </c>
      <c r="DM130">
        <v>10223000000</v>
      </c>
      <c r="DN130">
        <v>-8.7203791737556463E-2</v>
      </c>
      <c r="DO130">
        <v>151320296000</v>
      </c>
      <c r="DP130" t="e">
        <v>#VALUE!</v>
      </c>
      <c r="DQ130">
        <v>129</v>
      </c>
      <c r="DR130">
        <v>4.3104649139599126E-2</v>
      </c>
      <c r="DS130">
        <v>11.086230335474013</v>
      </c>
      <c r="DT130">
        <v>-0.60666666666666669</v>
      </c>
      <c r="DU130">
        <v>4.9999999999999933E-2</v>
      </c>
      <c r="DV130">
        <v>-0.55666666666666675</v>
      </c>
      <c r="DW130">
        <v>-8.9167974882260594</v>
      </c>
      <c r="DX130">
        <v>0.30003876811594232</v>
      </c>
      <c r="DY130">
        <v>-8.1558911155097498</v>
      </c>
      <c r="DZ130">
        <v>0</v>
      </c>
      <c r="EA130">
        <v>-8.1558911155097498</v>
      </c>
      <c r="EB130">
        <v>8</v>
      </c>
      <c r="EC130">
        <v>9.8114638167893994E-3</v>
      </c>
      <c r="ED130">
        <v>5.7701334380988865E-2</v>
      </c>
      <c r="EE130">
        <v>0</v>
      </c>
      <c r="EF130">
        <v>0</v>
      </c>
      <c r="EG130">
        <v>13.170038768115942</v>
      </c>
      <c r="EH130" t="s">
        <v>110</v>
      </c>
      <c r="EI130">
        <v>0</v>
      </c>
      <c r="EJ130">
        <v>0</v>
      </c>
      <c r="EK130">
        <v>0</v>
      </c>
      <c r="EL130">
        <v>0</v>
      </c>
      <c r="EM130">
        <v>0</v>
      </c>
      <c r="EN130">
        <v>0</v>
      </c>
      <c r="EO130">
        <v>0</v>
      </c>
      <c r="EP130">
        <v>0</v>
      </c>
    </row>
    <row r="131" spans="1:146" ht="96" x14ac:dyDescent="0.25">
      <c r="A131" s="7"/>
      <c r="B131" s="7"/>
      <c r="C131" s="7" t="str">
        <f>""&amp;CHAR(10)&amp;Basic_Fundamental_Information_Constructure(F131)&amp;CHAR(10)&amp;Basic_Fundamental_Information_Concatenate("")</f>
        <v xml:space="preserve">
市值256.47822亿, 利润8.82亿; PE29.07; 平均PE133.61; 平均PEG2.74, PB1.23; ROIC6.0833%; ROE6.12%; 股利率0%; 毛利51.33%; 净利13.5633%; 上一年度营收增-10.65%, 利润增-60.99%, 利润增28.6%; 过往5年营收增48.81%, 利润增68.67%
Income profile:
</v>
      </c>
      <c r="D131" s="11">
        <v>772</v>
      </c>
      <c r="E131" t="s">
        <v>2220</v>
      </c>
      <c r="F131">
        <v>25</v>
      </c>
      <c r="G131" s="5">
        <v>-1.5699999999999999E-2</v>
      </c>
      <c r="H131" t="s">
        <v>8102</v>
      </c>
      <c r="I131">
        <v>25647822000</v>
      </c>
      <c r="J131">
        <v>29.07</v>
      </c>
      <c r="K131">
        <v>1.23</v>
      </c>
      <c r="L131" t="s">
        <v>6350</v>
      </c>
      <c r="M131" t="s">
        <v>9</v>
      </c>
      <c r="N131" t="s">
        <v>9</v>
      </c>
      <c r="O131" t="s">
        <v>9</v>
      </c>
      <c r="P131" t="s">
        <v>9</v>
      </c>
      <c r="Q131" t="s">
        <v>8103</v>
      </c>
      <c r="R131">
        <v>882308360</v>
      </c>
      <c r="S131" s="5">
        <v>0.28599999999999998</v>
      </c>
      <c r="T131" t="s">
        <v>168</v>
      </c>
      <c r="U131">
        <v>1023393480</v>
      </c>
      <c r="V131">
        <v>1023393480</v>
      </c>
      <c r="W131" t="s">
        <v>9</v>
      </c>
      <c r="X131" t="s">
        <v>9</v>
      </c>
      <c r="Y131" t="s">
        <v>9</v>
      </c>
      <c r="Z131" t="s">
        <v>9</v>
      </c>
      <c r="AA131" t="s">
        <v>9</v>
      </c>
      <c r="AB131" t="s">
        <v>9</v>
      </c>
      <c r="AC131" t="s">
        <v>9</v>
      </c>
      <c r="AD131" t="s">
        <v>2624</v>
      </c>
      <c r="AE131" t="s">
        <v>9</v>
      </c>
      <c r="AF131" t="s">
        <v>9</v>
      </c>
      <c r="AG131" t="s">
        <v>9</v>
      </c>
      <c r="AH131" t="s">
        <v>8104</v>
      </c>
      <c r="AI131" t="s">
        <v>9</v>
      </c>
      <c r="AJ131" t="s">
        <v>9</v>
      </c>
      <c r="AK131" t="s">
        <v>8105</v>
      </c>
      <c r="AL131" t="s">
        <v>9</v>
      </c>
      <c r="AM131" t="s">
        <v>9</v>
      </c>
      <c r="AN131" s="5">
        <v>0.17960000000000001</v>
      </c>
      <c r="AO131" t="s">
        <v>9</v>
      </c>
      <c r="AP131" t="s">
        <v>3999</v>
      </c>
      <c r="AQ131" t="s">
        <v>9</v>
      </c>
      <c r="AR131" t="s">
        <v>2358</v>
      </c>
      <c r="AS131" t="s">
        <v>9</v>
      </c>
      <c r="AT131" t="s">
        <v>9</v>
      </c>
      <c r="AU131" t="s">
        <v>8106</v>
      </c>
      <c r="AV131" t="s">
        <v>8107</v>
      </c>
      <c r="AW131" t="s">
        <v>9</v>
      </c>
      <c r="AX131" t="s">
        <v>2221</v>
      </c>
      <c r="AY131" t="s">
        <v>2224</v>
      </c>
      <c r="AZ131" t="s">
        <v>2225</v>
      </c>
      <c r="BA131" t="s">
        <v>2226</v>
      </c>
      <c r="BB131" t="s">
        <v>2227</v>
      </c>
      <c r="BC131" t="s">
        <v>2228</v>
      </c>
      <c r="BD131" t="s">
        <v>2229</v>
      </c>
      <c r="BE131" t="s">
        <v>2230</v>
      </c>
      <c r="BF131" t="s">
        <v>2231</v>
      </c>
      <c r="BG131" t="s">
        <v>164</v>
      </c>
      <c r="BH131" t="s">
        <v>2221</v>
      </c>
      <c r="BI131" t="s">
        <v>9</v>
      </c>
      <c r="BJ131" t="s">
        <v>2224</v>
      </c>
      <c r="BK131" t="s">
        <v>2222</v>
      </c>
      <c r="BL131" t="s">
        <v>9</v>
      </c>
      <c r="BM131" t="s">
        <v>2228</v>
      </c>
      <c r="BN131">
        <v>4.3</v>
      </c>
      <c r="BO131">
        <v>3.31</v>
      </c>
      <c r="BP131">
        <v>10.64</v>
      </c>
      <c r="BQ131">
        <v>4.2300000000000004</v>
      </c>
      <c r="BR131">
        <v>3.39</v>
      </c>
      <c r="BS131">
        <v>10.74</v>
      </c>
      <c r="BT131" t="s">
        <v>9</v>
      </c>
      <c r="BU131" t="s">
        <v>743</v>
      </c>
      <c r="BV131">
        <v>48.08</v>
      </c>
      <c r="BW131">
        <v>52.85</v>
      </c>
      <c r="BX131">
        <v>53.06</v>
      </c>
      <c r="BY131">
        <v>11.46</v>
      </c>
      <c r="BZ131">
        <v>7.97</v>
      </c>
      <c r="CA131">
        <v>21.26</v>
      </c>
      <c r="CB131">
        <v>-4.21</v>
      </c>
      <c r="CC131">
        <v>-19.87</v>
      </c>
      <c r="CD131" t="s">
        <v>8108</v>
      </c>
      <c r="CE131" t="s">
        <v>30</v>
      </c>
      <c r="CF131" s="8" t="s">
        <v>9</v>
      </c>
      <c r="CG131" s="9">
        <v>0.28599999999999998</v>
      </c>
      <c r="CH131" s="8">
        <v>-0.10648688673973083</v>
      </c>
      <c r="CI131" s="8">
        <v>-0.18956089019775391</v>
      </c>
      <c r="CJ131" s="8">
        <v>4.4479407370090485E-2</v>
      </c>
      <c r="CK131" s="8">
        <v>0.7713090181350708</v>
      </c>
      <c r="CL131" s="8">
        <v>0.16843172907829285</v>
      </c>
      <c r="CM131" s="9">
        <v>-0.60990709066390991</v>
      </c>
      <c r="CN131" s="9">
        <v>1.4230914115905762</v>
      </c>
      <c r="CO131" s="9">
        <v>-5.3624491691589355</v>
      </c>
      <c r="CP131" s="9">
        <v>0.18129213154315948</v>
      </c>
      <c r="CQ131" s="9">
        <v>0.55472266674041748</v>
      </c>
      <c r="CR131">
        <v>133.61297949773925</v>
      </c>
      <c r="CS131">
        <v>2.7374561988115476</v>
      </c>
      <c r="CT131">
        <v>0</v>
      </c>
      <c r="CU131" s="8">
        <v>0.48809175305068492</v>
      </c>
      <c r="CV131" s="9">
        <v>0.68667581677436829</v>
      </c>
      <c r="CW131">
        <v>0.06</v>
      </c>
      <c r="CX131">
        <v>20.713718087633687</v>
      </c>
      <c r="CY131">
        <v>1238204647.3497207</v>
      </c>
      <c r="CZ131">
        <v>0.48809175305068492</v>
      </c>
      <c r="DA131">
        <v>4.9116854819154891</v>
      </c>
      <c r="DB131">
        <v>5221796488.075964</v>
      </c>
      <c r="DC131">
        <v>0.46368716539815064</v>
      </c>
      <c r="DD131">
        <v>1.4985562144354934</v>
      </c>
      <c r="DE131">
        <v>17115021614.0951</v>
      </c>
      <c r="DF131">
        <v>0.42952074268460272</v>
      </c>
      <c r="DG131">
        <v>0.49065289223062691</v>
      </c>
      <c r="DH131">
        <v>52272843808.988441</v>
      </c>
      <c r="DI131">
        <v>0.39047340244054796</v>
      </c>
      <c r="DJ131">
        <v>5.5313038153265354E-2</v>
      </c>
      <c r="DK131">
        <v>463684925946.99219</v>
      </c>
      <c r="DL131">
        <v>0.34166422713547945</v>
      </c>
      <c r="DM131">
        <v>882000000</v>
      </c>
      <c r="DN131">
        <v>0.48809175305068492</v>
      </c>
      <c r="DO131">
        <v>25647822000</v>
      </c>
      <c r="DP131" t="e">
        <v>#VALUE!</v>
      </c>
      <c r="DQ131">
        <v>130</v>
      </c>
      <c r="DR131" t="e">
        <v>#VALUE!</v>
      </c>
      <c r="DS131">
        <v>-0.40067581677436831</v>
      </c>
      <c r="DT131" t="e">
        <v>#VALUE!</v>
      </c>
      <c r="DU131" t="e">
        <v>#VALUE!</v>
      </c>
      <c r="DV131" t="e">
        <v>#VALUE!</v>
      </c>
      <c r="DW131">
        <v>-8.2118772018117774</v>
      </c>
      <c r="DX131">
        <v>0.39886475409836097</v>
      </c>
      <c r="DY131">
        <v>-8.0251847314924056</v>
      </c>
      <c r="DZ131">
        <v>0</v>
      </c>
      <c r="EA131">
        <v>-8.0251847314924056</v>
      </c>
      <c r="EB131">
        <v>8</v>
      </c>
      <c r="EC131">
        <v>1.4170014059499383E-2</v>
      </c>
      <c r="ED131">
        <v>0.11921123437292175</v>
      </c>
      <c r="EE131">
        <v>0</v>
      </c>
      <c r="EF131">
        <v>0</v>
      </c>
      <c r="EG131">
        <v>28.118864754098361</v>
      </c>
      <c r="EH131" t="s">
        <v>110</v>
      </c>
      <c r="EI131">
        <v>0</v>
      </c>
      <c r="EJ131">
        <v>0</v>
      </c>
      <c r="EK131">
        <v>0</v>
      </c>
      <c r="EL131">
        <v>0</v>
      </c>
      <c r="EM131">
        <v>0</v>
      </c>
      <c r="EN131">
        <v>0</v>
      </c>
      <c r="EO131">
        <v>0</v>
      </c>
      <c r="EP131">
        <v>0</v>
      </c>
    </row>
    <row r="132" spans="1:146" ht="96" x14ac:dyDescent="0.25">
      <c r="A132" s="7"/>
      <c r="B132" s="7"/>
      <c r="C132" s="7" t="str">
        <f>""&amp;CHAR(10)&amp;Basic_Fundamental_Information_Constructure(F132)&amp;CHAR(10)&amp;Basic_Fundamental_Information_Concatenate("")</f>
        <v xml:space="preserve">
市值59.820161亿, 利润9.41亿; PE7.31; 平均PE37.12; 平均PEG11.41, PB.778; ROIC11.77%; ROE13.305%; 股利率0%; 毛利62.3667%; 净利12.5433%; 上一年度营收增2.99%, 利润增-27.62%, 利润增-27.65%; 过往5年营收增3.25%, 利润增47.11%
Income profile:
</v>
      </c>
      <c r="D132" s="11">
        <v>777</v>
      </c>
      <c r="E132" t="s">
        <v>2233</v>
      </c>
      <c r="F132">
        <v>11.26</v>
      </c>
      <c r="G132" s="5">
        <v>-5.3E-3</v>
      </c>
      <c r="H132" t="s">
        <v>6413</v>
      </c>
      <c r="I132">
        <v>5982016100</v>
      </c>
      <c r="J132">
        <v>7.31</v>
      </c>
      <c r="K132">
        <v>0.77800000000000002</v>
      </c>
      <c r="L132" t="s">
        <v>6350</v>
      </c>
      <c r="M132" t="s">
        <v>9</v>
      </c>
      <c r="N132" t="s">
        <v>9</v>
      </c>
      <c r="O132" t="s">
        <v>9</v>
      </c>
      <c r="P132" t="s">
        <v>9</v>
      </c>
      <c r="Q132" t="s">
        <v>2234</v>
      </c>
      <c r="R132">
        <v>940835400</v>
      </c>
      <c r="S132" s="5">
        <v>-0.27650000000000002</v>
      </c>
      <c r="T132" t="s">
        <v>2235</v>
      </c>
      <c r="U132">
        <v>534605530</v>
      </c>
      <c r="V132">
        <v>534605530</v>
      </c>
      <c r="W132" t="s">
        <v>9</v>
      </c>
      <c r="X132" t="s">
        <v>9</v>
      </c>
      <c r="Y132" t="s">
        <v>9</v>
      </c>
      <c r="Z132" t="s">
        <v>9</v>
      </c>
      <c r="AA132" t="s">
        <v>9</v>
      </c>
      <c r="AB132" t="s">
        <v>9</v>
      </c>
      <c r="AC132" t="s">
        <v>9</v>
      </c>
      <c r="AD132" t="s">
        <v>2236</v>
      </c>
      <c r="AE132" t="s">
        <v>9</v>
      </c>
      <c r="AF132" t="s">
        <v>9</v>
      </c>
      <c r="AG132" t="s">
        <v>9</v>
      </c>
      <c r="AH132" t="s">
        <v>2237</v>
      </c>
      <c r="AI132" t="s">
        <v>9</v>
      </c>
      <c r="AJ132" t="s">
        <v>9</v>
      </c>
      <c r="AK132" t="s">
        <v>2238</v>
      </c>
      <c r="AL132" t="s">
        <v>9</v>
      </c>
      <c r="AM132" t="s">
        <v>9</v>
      </c>
      <c r="AN132" s="5">
        <v>0.40179999999999999</v>
      </c>
      <c r="AO132" t="s">
        <v>9</v>
      </c>
      <c r="AP132" t="s">
        <v>2239</v>
      </c>
      <c r="AQ132" t="s">
        <v>9</v>
      </c>
      <c r="AR132" t="s">
        <v>2240</v>
      </c>
      <c r="AS132" t="s">
        <v>9</v>
      </c>
      <c r="AT132" t="s">
        <v>9</v>
      </c>
      <c r="AU132" t="s">
        <v>2241</v>
      </c>
      <c r="AV132" t="s">
        <v>2242</v>
      </c>
      <c r="AW132" t="s">
        <v>9</v>
      </c>
      <c r="AX132" t="s">
        <v>2243</v>
      </c>
      <c r="AY132" t="s">
        <v>1486</v>
      </c>
      <c r="AZ132" t="s">
        <v>2244</v>
      </c>
      <c r="BA132" t="s">
        <v>2245</v>
      </c>
      <c r="BB132" t="s">
        <v>2246</v>
      </c>
      <c r="BC132" t="s">
        <v>77</v>
      </c>
      <c r="BD132" t="s">
        <v>185</v>
      </c>
      <c r="BE132" t="s">
        <v>2247</v>
      </c>
      <c r="BF132" t="s">
        <v>2248</v>
      </c>
      <c r="BG132" t="s">
        <v>2249</v>
      </c>
      <c r="BH132" t="s">
        <v>2234</v>
      </c>
      <c r="BI132" t="s">
        <v>9</v>
      </c>
      <c r="BJ132" t="s">
        <v>2243</v>
      </c>
      <c r="BK132" t="s">
        <v>2235</v>
      </c>
      <c r="BL132" t="s">
        <v>9</v>
      </c>
      <c r="BM132" t="s">
        <v>77</v>
      </c>
      <c r="BN132">
        <v>9.3699999999999992</v>
      </c>
      <c r="BO132">
        <v>12.5</v>
      </c>
      <c r="BP132">
        <v>13.44</v>
      </c>
      <c r="BQ132">
        <v>12.09</v>
      </c>
      <c r="BR132">
        <v>14.52</v>
      </c>
      <c r="BS132" t="s">
        <v>9</v>
      </c>
      <c r="BT132" t="s">
        <v>2250</v>
      </c>
      <c r="BU132" t="s">
        <v>551</v>
      </c>
      <c r="BV132">
        <v>54.86</v>
      </c>
      <c r="BW132">
        <v>64.28</v>
      </c>
      <c r="BX132">
        <v>67.959999999999994</v>
      </c>
      <c r="BY132">
        <v>9.7100000000000009</v>
      </c>
      <c r="BZ132">
        <v>13.98</v>
      </c>
      <c r="CA132">
        <v>13.94</v>
      </c>
      <c r="CB132">
        <v>-4.25</v>
      </c>
      <c r="CC132">
        <v>-1.57</v>
      </c>
      <c r="CD132" t="s">
        <v>6414</v>
      </c>
      <c r="CE132" t="s">
        <v>6415</v>
      </c>
      <c r="CF132" s="8" t="s">
        <v>9</v>
      </c>
      <c r="CG132" s="9">
        <v>-0.27650000000000002</v>
      </c>
      <c r="CH132" s="8">
        <v>2.9944395646452904E-2</v>
      </c>
      <c r="CI132" s="8">
        <v>0.17785368859767914</v>
      </c>
      <c r="CJ132" s="8">
        <v>0.12990422546863556</v>
      </c>
      <c r="CK132" s="8">
        <v>0.12866106629371643</v>
      </c>
      <c r="CL132" s="8">
        <v>0.23700663447380066</v>
      </c>
      <c r="CM132" s="9">
        <v>-0.27615383267402649</v>
      </c>
      <c r="CN132" s="9">
        <v>0.14436618983745575</v>
      </c>
      <c r="CO132" s="9">
        <v>0.25942349433898926</v>
      </c>
      <c r="CP132" s="9">
        <v>0.45249596238136292</v>
      </c>
      <c r="CQ132" s="9">
        <v>25.851232528686523</v>
      </c>
      <c r="CR132">
        <v>37.116902416066822</v>
      </c>
      <c r="CS132">
        <v>11.41438386117817</v>
      </c>
      <c r="CT132">
        <v>0</v>
      </c>
      <c r="CU132" s="8">
        <v>3.2517657428979871E-2</v>
      </c>
      <c r="CV132" s="9">
        <v>0.47110565900802615</v>
      </c>
      <c r="CW132">
        <v>0.06</v>
      </c>
      <c r="CX132">
        <v>6.5262894581977902</v>
      </c>
      <c r="CY132">
        <v>916602939.28365088</v>
      </c>
      <c r="CZ132">
        <v>3.2517657428979871E-2</v>
      </c>
      <c r="DA132">
        <v>2.2398041675185301</v>
      </c>
      <c r="DB132">
        <v>2670776394.9861078</v>
      </c>
      <c r="DC132">
        <v>3.0891774557530876E-2</v>
      </c>
      <c r="DD132">
        <v>1.1754915194118853</v>
      </c>
      <c r="DE132">
        <v>5088948751.4064627</v>
      </c>
      <c r="DF132">
        <v>2.8615538537502285E-2</v>
      </c>
      <c r="DG132">
        <v>0.75717473677289515</v>
      </c>
      <c r="DH132">
        <v>7900443331.6087103</v>
      </c>
      <c r="DI132">
        <v>2.6014125943183898E-2</v>
      </c>
      <c r="DJ132">
        <v>0.45301240184571584</v>
      </c>
      <c r="DK132">
        <v>13204972039.677885</v>
      </c>
      <c r="DL132">
        <v>2.2762360200285908E-2</v>
      </c>
      <c r="DM132">
        <v>941000000</v>
      </c>
      <c r="DN132">
        <v>3.2517657428979871E-2</v>
      </c>
      <c r="DO132">
        <v>5982016100</v>
      </c>
      <c r="DP132" t="e">
        <v>#VALUE!</v>
      </c>
      <c r="DQ132">
        <v>137</v>
      </c>
      <c r="DR132" t="e">
        <v>#VALUE!</v>
      </c>
      <c r="DS132">
        <v>-0.74760565900802622</v>
      </c>
      <c r="DT132" t="e">
        <v>#VALUE!</v>
      </c>
      <c r="DU132" t="e">
        <v>#VALUE!</v>
      </c>
      <c r="DV132" t="e">
        <v>#VALUE!</v>
      </c>
      <c r="DW132">
        <v>-4.3694117647058821</v>
      </c>
      <c r="DX132">
        <v>0.57344358468618994</v>
      </c>
      <c r="DY132">
        <v>-4.0640721006958387</v>
      </c>
      <c r="DZ132">
        <v>0</v>
      </c>
      <c r="EA132">
        <v>-4.0640721006958387</v>
      </c>
      <c r="EB132">
        <v>4</v>
      </c>
      <c r="EC132">
        <v>5.1320082678531212E-3</v>
      </c>
      <c r="ED132">
        <v>2.9588919516040174E-2</v>
      </c>
      <c r="EE132">
        <v>0</v>
      </c>
      <c r="EF132">
        <v>0</v>
      </c>
      <c r="EG132">
        <v>40.17344358468619</v>
      </c>
      <c r="EH132" t="s">
        <v>110</v>
      </c>
      <c r="EI132">
        <v>0</v>
      </c>
      <c r="EJ132">
        <v>0</v>
      </c>
      <c r="EK132">
        <v>0</v>
      </c>
      <c r="EL132">
        <v>0</v>
      </c>
      <c r="EM132">
        <v>0</v>
      </c>
      <c r="EN132">
        <v>0</v>
      </c>
      <c r="EO132">
        <v>0</v>
      </c>
      <c r="EP132">
        <v>0</v>
      </c>
    </row>
    <row r="133" spans="1:146" ht="108" x14ac:dyDescent="0.25">
      <c r="A133" s="7"/>
      <c r="B133" s="7"/>
      <c r="C133" s="7" t="str">
        <f>""&amp;CHAR(10)&amp;Basic_Fundamental_Information_Constructure(F133)&amp;CHAR(10)&amp;Basic_Fundamental_Information_Concatenate("")</f>
        <v xml:space="preserve">
市值370.13985亿, 利润17.04亿; PE21.78; 平均PE96.85; 平均PEG12.33, PB1.91; ROIC4.0467%; ROE4.2%; 股利率0%; 毛利73.6467%; 净利6.7167%; 上一年度营收增75.57%, 利润增92.33%, 利润增1134%; 过往5年营收增7.86%, 利润增14.58%
Income profile:
</v>
      </c>
      <c r="D133" s="11">
        <v>780</v>
      </c>
      <c r="E133" t="s">
        <v>2251</v>
      </c>
      <c r="F133">
        <v>15.92</v>
      </c>
      <c r="G133" s="5">
        <v>-7.4999999999999997E-3</v>
      </c>
      <c r="H133" t="s">
        <v>8109</v>
      </c>
      <c r="I133">
        <v>37013985000</v>
      </c>
      <c r="J133">
        <v>21.78</v>
      </c>
      <c r="K133">
        <v>1.91</v>
      </c>
      <c r="L133" t="s">
        <v>6350</v>
      </c>
      <c r="M133" t="s">
        <v>9</v>
      </c>
      <c r="N133" t="s">
        <v>9</v>
      </c>
      <c r="O133" t="s">
        <v>9</v>
      </c>
      <c r="P133" t="s">
        <v>9</v>
      </c>
      <c r="Q133" t="s">
        <v>8110</v>
      </c>
      <c r="R133">
        <v>1703638400</v>
      </c>
      <c r="S133" s="5">
        <v>11.34</v>
      </c>
      <c r="T133" t="s">
        <v>2136</v>
      </c>
      <c r="U133">
        <v>2269904700</v>
      </c>
      <c r="V133">
        <v>2269904700</v>
      </c>
      <c r="W133" t="s">
        <v>9</v>
      </c>
      <c r="X133" t="s">
        <v>9</v>
      </c>
      <c r="Y133" t="s">
        <v>9</v>
      </c>
      <c r="Z133" t="s">
        <v>9</v>
      </c>
      <c r="AA133" t="s">
        <v>9</v>
      </c>
      <c r="AB133" t="s">
        <v>9</v>
      </c>
      <c r="AC133" t="s">
        <v>9</v>
      </c>
      <c r="AD133" t="s">
        <v>1599</v>
      </c>
      <c r="AE133" t="s">
        <v>9</v>
      </c>
      <c r="AF133" t="s">
        <v>9</v>
      </c>
      <c r="AG133" t="s">
        <v>9</v>
      </c>
      <c r="AH133" t="s">
        <v>8111</v>
      </c>
      <c r="AI133" t="s">
        <v>9</v>
      </c>
      <c r="AJ133" t="s">
        <v>9</v>
      </c>
      <c r="AK133" t="s">
        <v>8112</v>
      </c>
      <c r="AL133" t="s">
        <v>9</v>
      </c>
      <c r="AM133" t="s">
        <v>9</v>
      </c>
      <c r="AN133" s="5">
        <v>0.4153</v>
      </c>
      <c r="AO133" t="s">
        <v>9</v>
      </c>
      <c r="AP133" t="s">
        <v>8113</v>
      </c>
      <c r="AQ133" t="s">
        <v>9</v>
      </c>
      <c r="AR133" t="s">
        <v>8114</v>
      </c>
      <c r="AS133" t="s">
        <v>9</v>
      </c>
      <c r="AT133" t="s">
        <v>9</v>
      </c>
      <c r="AU133" t="s">
        <v>8115</v>
      </c>
      <c r="AV133" t="s">
        <v>8116</v>
      </c>
      <c r="AW133" t="s">
        <v>9</v>
      </c>
      <c r="AX133" t="s">
        <v>2252</v>
      </c>
      <c r="AY133" t="s">
        <v>2258</v>
      </c>
      <c r="AZ133" t="s">
        <v>2259</v>
      </c>
      <c r="BA133" t="s">
        <v>2261</v>
      </c>
      <c r="BB133" t="s">
        <v>103</v>
      </c>
      <c r="BC133" t="s">
        <v>1538</v>
      </c>
      <c r="BD133" t="s">
        <v>1584</v>
      </c>
      <c r="BE133" t="s">
        <v>1297</v>
      </c>
      <c r="BF133" t="s">
        <v>2262</v>
      </c>
      <c r="BG133" t="s">
        <v>2263</v>
      </c>
      <c r="BH133" t="s">
        <v>2252</v>
      </c>
      <c r="BI133" t="s">
        <v>2264</v>
      </c>
      <c r="BJ133" t="s">
        <v>2258</v>
      </c>
      <c r="BK133" t="s">
        <v>2253</v>
      </c>
      <c r="BL133" t="s">
        <v>219</v>
      </c>
      <c r="BM133" t="s">
        <v>1538</v>
      </c>
      <c r="BN133">
        <v>8.1199999999999992</v>
      </c>
      <c r="BO133">
        <v>-0.88</v>
      </c>
      <c r="BP133">
        <v>4.9000000000000004</v>
      </c>
      <c r="BQ133">
        <v>8.7799999999999994</v>
      </c>
      <c r="BR133">
        <v>-0.93</v>
      </c>
      <c r="BS133">
        <v>4.75</v>
      </c>
      <c r="BT133" t="s">
        <v>9</v>
      </c>
      <c r="BU133" t="s">
        <v>567</v>
      </c>
      <c r="BV133">
        <v>73.45</v>
      </c>
      <c r="BW133">
        <v>72.56</v>
      </c>
      <c r="BX133">
        <v>74.930000000000007</v>
      </c>
      <c r="BY133">
        <v>13.16</v>
      </c>
      <c r="BZ133">
        <v>-2.48</v>
      </c>
      <c r="CA133">
        <v>9.4700000000000006</v>
      </c>
      <c r="CB133">
        <v>0.25</v>
      </c>
      <c r="CC133">
        <v>-27.96</v>
      </c>
      <c r="CD133" t="s">
        <v>8117</v>
      </c>
      <c r="CE133" t="s">
        <v>818</v>
      </c>
      <c r="CF133" s="8" t="s">
        <v>9</v>
      </c>
      <c r="CG133" s="9">
        <v>11.34</v>
      </c>
      <c r="CH133" s="8">
        <v>0.75565439462661743</v>
      </c>
      <c r="CI133" s="8">
        <v>-0.19523297250270844</v>
      </c>
      <c r="CJ133" s="8">
        <v>0.30533164739608765</v>
      </c>
      <c r="CK133" s="8">
        <v>0.18165108561515808</v>
      </c>
      <c r="CL133" s="8">
        <v>0.9814569354057312</v>
      </c>
      <c r="CM133" s="9">
        <v>0.92325055599212646</v>
      </c>
      <c r="CN133" s="9">
        <v>1.2717949151992798</v>
      </c>
      <c r="CO133" s="9">
        <v>-0.49284785985946655</v>
      </c>
      <c r="CP133" s="9">
        <v>0.27529022097587585</v>
      </c>
      <c r="CQ133" s="9">
        <v>1.576923131942749</v>
      </c>
      <c r="CR133">
        <v>96.848497740881101</v>
      </c>
      <c r="CS133">
        <v>12.326054144209886</v>
      </c>
      <c r="CT133">
        <v>0</v>
      </c>
      <c r="CU133" s="8">
        <v>7.8572182636708024E-2</v>
      </c>
      <c r="CV133" s="9">
        <v>0.14581222832202911</v>
      </c>
      <c r="CW133">
        <v>0.06</v>
      </c>
      <c r="CX133">
        <v>21.347789127841789</v>
      </c>
      <c r="CY133">
        <v>1733855659.6348591</v>
      </c>
      <c r="CZ133">
        <v>7.8572182636708024E-2</v>
      </c>
      <c r="DA133">
        <v>7.0441823164330382</v>
      </c>
      <c r="DB133">
        <v>5254546707.8062181</v>
      </c>
      <c r="DC133">
        <v>7.4643573504872621E-2</v>
      </c>
      <c r="DD133">
        <v>3.5127139206875846</v>
      </c>
      <c r="DE133">
        <v>10537147583.24379</v>
      </c>
      <c r="DF133">
        <v>6.9143520720303067E-2</v>
      </c>
      <c r="DG133">
        <v>2.1401895842120351</v>
      </c>
      <c r="DH133">
        <v>17294722520.401218</v>
      </c>
      <c r="DI133">
        <v>6.2857746109366425E-2</v>
      </c>
      <c r="DJ133">
        <v>1.1409414906786171</v>
      </c>
      <c r="DK133">
        <v>32441615369.763237</v>
      </c>
      <c r="DL133">
        <v>5.5000527845695611E-2</v>
      </c>
      <c r="DM133">
        <v>1704000000</v>
      </c>
      <c r="DN133">
        <v>7.8572182636708024E-2</v>
      </c>
      <c r="DO133">
        <v>37013985000</v>
      </c>
      <c r="DP133" t="e">
        <v>#VALUE!</v>
      </c>
      <c r="DQ133">
        <v>132</v>
      </c>
      <c r="DR133" t="e">
        <v>#VALUE!</v>
      </c>
      <c r="DS133">
        <v>11.194187771677971</v>
      </c>
      <c r="DT133" t="e">
        <v>#VALUE!</v>
      </c>
      <c r="DU133">
        <v>0.25</v>
      </c>
      <c r="DV133" t="e">
        <v>#VALUE!</v>
      </c>
      <c r="DW133">
        <v>-3.1352619047619048</v>
      </c>
      <c r="DX133">
        <v>0.24988787878787788</v>
      </c>
      <c r="DY133">
        <v>-3.0189215009379509</v>
      </c>
      <c r="DZ133">
        <v>0</v>
      </c>
      <c r="EA133">
        <v>-3.0189215009379509</v>
      </c>
      <c r="EB133">
        <v>3</v>
      </c>
      <c r="EC133">
        <v>2.0336977142696784E-2</v>
      </c>
      <c r="ED133">
        <v>0.14538055276065115</v>
      </c>
      <c r="EE133">
        <v>0</v>
      </c>
      <c r="EF133">
        <v>0</v>
      </c>
      <c r="EG133">
        <v>11.139887878787878</v>
      </c>
      <c r="EH133" t="s">
        <v>110</v>
      </c>
      <c r="EI133">
        <v>0</v>
      </c>
      <c r="EJ133">
        <v>0</v>
      </c>
      <c r="EK133">
        <v>0</v>
      </c>
      <c r="EL133">
        <v>0</v>
      </c>
      <c r="EM133">
        <v>0</v>
      </c>
      <c r="EN133">
        <v>0</v>
      </c>
      <c r="EO133">
        <v>0</v>
      </c>
      <c r="EP133">
        <v>0</v>
      </c>
    </row>
    <row r="134" spans="1:146" ht="96" x14ac:dyDescent="0.25">
      <c r="A134" s="7"/>
      <c r="B134" s="7"/>
      <c r="C134" s="7" t="str">
        <f>""&amp;CHAR(10)&amp;Basic_Fundamental_Information_Constructure(F134)&amp;CHAR(10)&amp;Basic_Fundamental_Information_Concatenate("")</f>
        <v xml:space="preserve">
市值1760.0847亿, 利润106.88亿; PE16.26; 平均PE61.66; 平均PEG1.75, PB.814; ROIC3.2767%; ROE4.4467%; 股利率0%; 毛利100%; 净利9.4533%; 上一年度营收增-.89%, 利润增19.1%; 当季营收增-7.36%, 利润增4.84%; 过往5年营收增35.21%, 利润增60.72%
Income profile:
</v>
      </c>
      <c r="D134" s="11">
        <v>788</v>
      </c>
      <c r="E134" t="s">
        <v>2265</v>
      </c>
      <c r="F134">
        <v>1</v>
      </c>
      <c r="G134" s="5">
        <v>1.01E-2</v>
      </c>
      <c r="H134" t="s">
        <v>1857</v>
      </c>
      <c r="I134">
        <v>176008470000</v>
      </c>
      <c r="J134">
        <v>16.260000000000002</v>
      </c>
      <c r="K134">
        <v>0.81399999999999995</v>
      </c>
      <c r="L134" t="s">
        <v>6350</v>
      </c>
      <c r="M134" t="s">
        <v>8118</v>
      </c>
      <c r="N134" t="s">
        <v>8119</v>
      </c>
      <c r="O134" t="s">
        <v>8120</v>
      </c>
      <c r="P134">
        <v>3.34</v>
      </c>
      <c r="Q134" t="s">
        <v>8121</v>
      </c>
      <c r="R134">
        <v>10687950000</v>
      </c>
      <c r="S134" s="5">
        <v>4.8399999999999999E-2</v>
      </c>
      <c r="T134" t="s">
        <v>8122</v>
      </c>
      <c r="U134">
        <v>46663856000</v>
      </c>
      <c r="V134">
        <v>176008470000</v>
      </c>
      <c r="W134" t="s">
        <v>9</v>
      </c>
      <c r="X134">
        <v>7.0000000000000007E-2</v>
      </c>
      <c r="Y134" t="s">
        <v>9</v>
      </c>
      <c r="Z134" t="s">
        <v>9</v>
      </c>
      <c r="AA134" t="s">
        <v>9</v>
      </c>
      <c r="AB134" t="s">
        <v>9</v>
      </c>
      <c r="AC134" t="s">
        <v>9</v>
      </c>
      <c r="AD134" t="s">
        <v>9</v>
      </c>
      <c r="AE134" t="s">
        <v>9</v>
      </c>
      <c r="AF134" t="s">
        <v>9</v>
      </c>
      <c r="AG134" t="s">
        <v>9</v>
      </c>
      <c r="AH134" t="s">
        <v>17</v>
      </c>
      <c r="AI134" t="s">
        <v>9</v>
      </c>
      <c r="AJ134" t="s">
        <v>9</v>
      </c>
      <c r="AK134" t="s">
        <v>8123</v>
      </c>
      <c r="AL134" t="s">
        <v>9</v>
      </c>
      <c r="AM134" t="s">
        <v>9</v>
      </c>
      <c r="AN134" s="5">
        <v>0.37619999999999998</v>
      </c>
      <c r="AO134" t="s">
        <v>9</v>
      </c>
      <c r="AP134" t="s">
        <v>8124</v>
      </c>
      <c r="AQ134" t="s">
        <v>9</v>
      </c>
      <c r="AR134" t="s">
        <v>8125</v>
      </c>
      <c r="AS134" t="s">
        <v>9</v>
      </c>
      <c r="AT134" t="s">
        <v>9</v>
      </c>
      <c r="AU134" t="s">
        <v>8126</v>
      </c>
      <c r="AV134" t="s">
        <v>8127</v>
      </c>
      <c r="AW134" t="s">
        <v>9</v>
      </c>
      <c r="AX134" t="s">
        <v>2266</v>
      </c>
      <c r="AY134" t="s">
        <v>2268</v>
      </c>
      <c r="AZ134" t="s">
        <v>2269</v>
      </c>
      <c r="BA134" t="s">
        <v>2270</v>
      </c>
      <c r="BB134" t="s">
        <v>2271</v>
      </c>
      <c r="BC134" t="s">
        <v>2272</v>
      </c>
      <c r="BD134" t="s">
        <v>1386</v>
      </c>
      <c r="BE134" t="s">
        <v>2273</v>
      </c>
      <c r="BF134" t="s">
        <v>2274</v>
      </c>
      <c r="BG134" t="s">
        <v>2275</v>
      </c>
      <c r="BH134" t="s">
        <v>2266</v>
      </c>
      <c r="BI134" t="s">
        <v>2276</v>
      </c>
      <c r="BJ134" t="s">
        <v>2268</v>
      </c>
      <c r="BK134" t="s">
        <v>2267</v>
      </c>
      <c r="BL134" t="s">
        <v>2277</v>
      </c>
      <c r="BM134" t="s">
        <v>2272</v>
      </c>
      <c r="BN134">
        <v>3.74</v>
      </c>
      <c r="BO134">
        <v>3.39</v>
      </c>
      <c r="BP134">
        <v>2.7</v>
      </c>
      <c r="BQ134">
        <v>4.93</v>
      </c>
      <c r="BR134">
        <v>4.54</v>
      </c>
      <c r="BS134">
        <v>3.87</v>
      </c>
      <c r="BT134" t="s">
        <v>2278</v>
      </c>
      <c r="BU134" t="s">
        <v>449</v>
      </c>
      <c r="BV134">
        <v>100</v>
      </c>
      <c r="BW134">
        <v>100</v>
      </c>
      <c r="BX134">
        <v>100</v>
      </c>
      <c r="BY134">
        <v>10.37</v>
      </c>
      <c r="BZ134">
        <v>9.5299999999999994</v>
      </c>
      <c r="CA134">
        <v>8.4600000000000009</v>
      </c>
      <c r="CB134">
        <v>1.01</v>
      </c>
      <c r="CC134">
        <v>1.01</v>
      </c>
      <c r="CD134" t="s">
        <v>3660</v>
      </c>
      <c r="CE134" t="s">
        <v>1240</v>
      </c>
      <c r="CF134" s="8">
        <v>-7.3588420750931499E-2</v>
      </c>
      <c r="CG134" s="9">
        <v>4.8399999999999999E-2</v>
      </c>
      <c r="CH134" s="8">
        <v>-8.886583149433136E-3</v>
      </c>
      <c r="CI134" s="8">
        <v>-1.9297709688544273E-2</v>
      </c>
      <c r="CJ134" s="8">
        <v>9.6842586994171143E-2</v>
      </c>
      <c r="CK134" s="8">
        <v>0.18207721412181854</v>
      </c>
      <c r="CL134" s="8">
        <v>-6.6688745282590389E-3</v>
      </c>
      <c r="CM134" s="9">
        <v>0.1909961998462677</v>
      </c>
      <c r="CN134" s="9">
        <v>0.17123466730117798</v>
      </c>
      <c r="CO134" s="9">
        <v>0.31288549304008484</v>
      </c>
      <c r="CP134" s="9">
        <v>0.93437200784683228</v>
      </c>
      <c r="CQ134" s="9">
        <v>0.29540577530860901</v>
      </c>
      <c r="CR134">
        <v>61.656400046707148</v>
      </c>
      <c r="CS134">
        <v>1.7513060063322259</v>
      </c>
      <c r="CT134">
        <v>0</v>
      </c>
      <c r="CU134" s="8">
        <v>0.35205954769626258</v>
      </c>
      <c r="CV134" s="9">
        <v>0.60716212838888173</v>
      </c>
      <c r="CW134">
        <v>0.06</v>
      </c>
      <c r="CX134">
        <v>6.6134757861260862</v>
      </c>
      <c r="CY134">
        <v>13632841929.978918</v>
      </c>
      <c r="CZ134">
        <v>0.35205954769626258</v>
      </c>
      <c r="DA134">
        <v>1.7432508897695109</v>
      </c>
      <c r="DB134">
        <v>51719732672.513268</v>
      </c>
      <c r="DC134">
        <v>0.33445657031144943</v>
      </c>
      <c r="DD134">
        <v>0.62853173069116253</v>
      </c>
      <c r="DE134">
        <v>143446170809.63498</v>
      </c>
      <c r="DF134">
        <v>0.30981240197271109</v>
      </c>
      <c r="DG134">
        <v>0.25694533493247301</v>
      </c>
      <c r="DH134">
        <v>350893586076.17761</v>
      </c>
      <c r="DI134">
        <v>0.28164763815701005</v>
      </c>
      <c r="DJ134">
        <v>5.1405668367455304E-2</v>
      </c>
      <c r="DK134">
        <v>1753901327680.8242</v>
      </c>
      <c r="DL134">
        <v>0.24644168338738379</v>
      </c>
      <c r="DM134">
        <v>10688000000</v>
      </c>
      <c r="DN134">
        <v>0.35205954769626258</v>
      </c>
      <c r="DO134">
        <v>90160470000</v>
      </c>
      <c r="DP134" t="e">
        <v>#VALUE!</v>
      </c>
      <c r="DQ134">
        <v>133</v>
      </c>
      <c r="DR134">
        <v>-0.4256479684471941</v>
      </c>
      <c r="DS134">
        <v>-0.55876212838888173</v>
      </c>
      <c r="DT134">
        <v>-2.3333333333333355E-2</v>
      </c>
      <c r="DU134">
        <v>1.1466666666666667</v>
      </c>
      <c r="DV134">
        <v>1.1233333333333333</v>
      </c>
      <c r="DW134">
        <v>1.01E-2</v>
      </c>
      <c r="DX134">
        <v>0.33520218498881477</v>
      </c>
      <c r="DY134">
        <v>1.4665420683870176E-3</v>
      </c>
      <c r="DZ134">
        <v>0</v>
      </c>
      <c r="EA134">
        <v>1.4665420683870176E-3</v>
      </c>
      <c r="EB134">
        <v>0</v>
      </c>
      <c r="EC134">
        <v>6.1815206961346805E-3</v>
      </c>
      <c r="ED134">
        <v>4.2571814867773131E-2</v>
      </c>
      <c r="EE134">
        <v>0</v>
      </c>
      <c r="EF134">
        <v>0</v>
      </c>
      <c r="EG134">
        <v>19.145202184988815</v>
      </c>
      <c r="EH134" t="s">
        <v>110</v>
      </c>
      <c r="EI134">
        <v>0</v>
      </c>
      <c r="EJ134">
        <v>0</v>
      </c>
      <c r="EK134">
        <v>0</v>
      </c>
      <c r="EL134">
        <v>0</v>
      </c>
      <c r="EM134">
        <v>0</v>
      </c>
      <c r="EN134">
        <v>0</v>
      </c>
      <c r="EO134">
        <v>0</v>
      </c>
      <c r="EP134">
        <v>0</v>
      </c>
    </row>
    <row r="135" spans="1:146" ht="96" x14ac:dyDescent="0.25">
      <c r="A135" s="7"/>
      <c r="B135" s="7"/>
      <c r="C135" s="7" t="str">
        <f>""&amp;CHAR(10)&amp;Basic_Fundamental_Information_Constructure(F135)&amp;CHAR(10)&amp;Basic_Fundamental_Information_Concatenate("")</f>
        <v xml:space="preserve">
市值29.958041亿, 利润2308.80万; PE129.8; 平均PE4.65; 平均PEG1.01, PB.846; ROIC0%; ROE-.92%; 股利率0%; 毛利0%; 净利-15.2833%; 上一年度营收增-11.04%, 利润增-94.96%, 利润增104.2%; 过往5年营收增4.61%, 利润增-38.52%
Income profile:
</v>
      </c>
      <c r="D135" s="11">
        <v>806</v>
      </c>
      <c r="E135" t="s">
        <v>2280</v>
      </c>
      <c r="F135">
        <v>1.64</v>
      </c>
      <c r="G135" s="5">
        <v>-3.5299999999999998E-2</v>
      </c>
      <c r="H135" t="s">
        <v>8128</v>
      </c>
      <c r="I135">
        <v>2995804100</v>
      </c>
      <c r="J135">
        <v>129.80000000000001</v>
      </c>
      <c r="K135">
        <v>0.84599999999999997</v>
      </c>
      <c r="L135" t="s">
        <v>6350</v>
      </c>
      <c r="M135" t="s">
        <v>9</v>
      </c>
      <c r="N135" t="s">
        <v>9</v>
      </c>
      <c r="O135" t="s">
        <v>9</v>
      </c>
      <c r="P135" t="s">
        <v>9</v>
      </c>
      <c r="Q135" t="s">
        <v>3393</v>
      </c>
      <c r="R135">
        <v>23088000</v>
      </c>
      <c r="S135" s="5">
        <v>1.042</v>
      </c>
      <c r="T135" t="s">
        <v>8129</v>
      </c>
      <c r="U135">
        <v>1826709800</v>
      </c>
      <c r="V135">
        <v>1826709800</v>
      </c>
      <c r="W135" t="s">
        <v>9</v>
      </c>
      <c r="X135" t="s">
        <v>9</v>
      </c>
      <c r="Y135" t="s">
        <v>9</v>
      </c>
      <c r="Z135" t="s">
        <v>9</v>
      </c>
      <c r="AA135" t="s">
        <v>9</v>
      </c>
      <c r="AB135" t="s">
        <v>9</v>
      </c>
      <c r="AC135" t="s">
        <v>9</v>
      </c>
      <c r="AD135" t="s">
        <v>8130</v>
      </c>
      <c r="AE135" t="s">
        <v>9</v>
      </c>
      <c r="AF135" t="s">
        <v>9</v>
      </c>
      <c r="AG135" t="s">
        <v>9</v>
      </c>
      <c r="AH135" t="s">
        <v>8131</v>
      </c>
      <c r="AI135" t="s">
        <v>9</v>
      </c>
      <c r="AJ135" t="s">
        <v>9</v>
      </c>
      <c r="AK135" t="s">
        <v>8132</v>
      </c>
      <c r="AL135" t="s">
        <v>9</v>
      </c>
      <c r="AM135" t="s">
        <v>9</v>
      </c>
      <c r="AN135" s="5">
        <v>0.2427</v>
      </c>
      <c r="AO135" t="s">
        <v>9</v>
      </c>
      <c r="AP135" t="s">
        <v>9</v>
      </c>
      <c r="AQ135" t="s">
        <v>9</v>
      </c>
      <c r="AR135" t="s">
        <v>2951</v>
      </c>
      <c r="AS135" t="s">
        <v>9</v>
      </c>
      <c r="AT135" t="s">
        <v>9</v>
      </c>
      <c r="AU135" t="s">
        <v>8133</v>
      </c>
      <c r="AV135" t="s">
        <v>8134</v>
      </c>
      <c r="AW135" t="s">
        <v>9</v>
      </c>
      <c r="AX135" t="s">
        <v>2281</v>
      </c>
      <c r="AY135" t="s">
        <v>2284</v>
      </c>
      <c r="AZ135" t="s">
        <v>2285</v>
      </c>
      <c r="BA135" t="s">
        <v>2286</v>
      </c>
      <c r="BB135" t="s">
        <v>2287</v>
      </c>
      <c r="BC135" t="s">
        <v>86</v>
      </c>
      <c r="BD135" t="s">
        <v>957</v>
      </c>
      <c r="BE135" t="s">
        <v>2288</v>
      </c>
      <c r="BF135" t="s">
        <v>74</v>
      </c>
      <c r="BG135" t="s">
        <v>200</v>
      </c>
      <c r="BH135" t="s">
        <v>2281</v>
      </c>
      <c r="BI135" t="s">
        <v>9</v>
      </c>
      <c r="BJ135" t="s">
        <v>2284</v>
      </c>
      <c r="BK135" t="s">
        <v>2282</v>
      </c>
      <c r="BL135" t="s">
        <v>9</v>
      </c>
      <c r="BM135" t="s">
        <v>86</v>
      </c>
      <c r="BN135" t="s">
        <v>9</v>
      </c>
      <c r="BO135" t="s">
        <v>9</v>
      </c>
      <c r="BP135" t="s">
        <v>9</v>
      </c>
      <c r="BQ135">
        <v>0.65</v>
      </c>
      <c r="BR135">
        <v>-12.11</v>
      </c>
      <c r="BS135">
        <v>8.6999999999999993</v>
      </c>
      <c r="BT135" t="s">
        <v>8135</v>
      </c>
      <c r="BU135" t="s">
        <v>826</v>
      </c>
      <c r="BV135" t="s">
        <v>9</v>
      </c>
      <c r="BW135" t="s">
        <v>9</v>
      </c>
      <c r="BX135" t="s">
        <v>9</v>
      </c>
      <c r="BY135">
        <v>3.93</v>
      </c>
      <c r="BZ135">
        <v>-82.31</v>
      </c>
      <c r="CA135">
        <v>32.53</v>
      </c>
      <c r="CB135">
        <v>-4.6500000000000004</v>
      </c>
      <c r="CC135">
        <v>-20.39</v>
      </c>
      <c r="CD135" t="s">
        <v>8136</v>
      </c>
      <c r="CE135" t="s">
        <v>130</v>
      </c>
      <c r="CF135" s="8" t="s">
        <v>9</v>
      </c>
      <c r="CG135" s="9">
        <v>1.042</v>
      </c>
      <c r="CH135" s="8">
        <v>-0.11043872684240341</v>
      </c>
      <c r="CI135" s="8">
        <v>-0.53020614385604858</v>
      </c>
      <c r="CJ135" s="8">
        <v>-0.46785172820091248</v>
      </c>
      <c r="CK135" s="8">
        <v>0.51085716485977173</v>
      </c>
      <c r="CL135" s="8">
        <v>-0.57963013648986816</v>
      </c>
      <c r="CM135" s="9">
        <v>-0.94958949089050293</v>
      </c>
      <c r="CN135" s="9">
        <v>-0.66787528991699219</v>
      </c>
      <c r="CO135" s="9">
        <v>1.688109278678894</v>
      </c>
      <c r="CP135" s="9">
        <v>1.2401746511459351</v>
      </c>
      <c r="CQ135" s="9">
        <v>-0.88818365335464478</v>
      </c>
      <c r="CR135">
        <v>4.6481550458639678</v>
      </c>
      <c r="CS135">
        <v>1.0090643883001056</v>
      </c>
      <c r="CT135">
        <v>0</v>
      </c>
      <c r="CU135" s="8">
        <v>4.6064008399844168E-2</v>
      </c>
      <c r="CV135" s="9">
        <v>-0.38516967296600341</v>
      </c>
      <c r="CW135">
        <v>0.06</v>
      </c>
      <c r="CX135">
        <v>131.48454341505285</v>
      </c>
      <c r="CY135">
        <v>22784458.326354343</v>
      </c>
      <c r="CZ135">
        <v>4.6064008399844168E-2</v>
      </c>
      <c r="DA135">
        <v>44.604748796315775</v>
      </c>
      <c r="DB135">
        <v>67163344.281572208</v>
      </c>
      <c r="DC135">
        <v>4.3760807979851955E-2</v>
      </c>
      <c r="DD135">
        <v>23.063674793617118</v>
      </c>
      <c r="DE135">
        <v>129892748.09013046</v>
      </c>
      <c r="DF135">
        <v>4.0536327391862866E-2</v>
      </c>
      <c r="DG135">
        <v>14.621633179737202</v>
      </c>
      <c r="DH135">
        <v>204888473.34452444</v>
      </c>
      <c r="DI135">
        <v>3.6851206719875337E-2</v>
      </c>
      <c r="DJ135">
        <v>8.4726481586130813</v>
      </c>
      <c r="DK135">
        <v>353585330.57395297</v>
      </c>
      <c r="DL135">
        <v>3.2244805879890918E-2</v>
      </c>
      <c r="DM135">
        <v>23088000</v>
      </c>
      <c r="DN135">
        <v>4.6064008399844168E-2</v>
      </c>
      <c r="DO135">
        <v>2995804100</v>
      </c>
      <c r="DP135" t="e">
        <v>#VALUE!</v>
      </c>
      <c r="DQ135">
        <v>134</v>
      </c>
      <c r="DR135" t="e">
        <v>#VALUE!</v>
      </c>
      <c r="DS135">
        <v>1.4271696729660035</v>
      </c>
      <c r="DT135" t="e">
        <v>#VALUE!</v>
      </c>
      <c r="DU135" t="e">
        <v>#VALUE!</v>
      </c>
      <c r="DV135" t="e">
        <v>#VALUE!</v>
      </c>
      <c r="DW135">
        <v>-8.228052967140755</v>
      </c>
      <c r="DX135">
        <v>0.27009952606635046</v>
      </c>
      <c r="DY135">
        <v>-8.034230642285852</v>
      </c>
      <c r="DZ135">
        <v>0</v>
      </c>
      <c r="EA135">
        <v>-8.034230642285852</v>
      </c>
      <c r="EB135">
        <v>8</v>
      </c>
      <c r="EC135">
        <v>1.7337729287925208E-2</v>
      </c>
      <c r="ED135">
        <v>0.11550822139345834</v>
      </c>
      <c r="EE135">
        <v>0</v>
      </c>
      <c r="EF135">
        <v>0</v>
      </c>
      <c r="EG135">
        <v>12.15009952606635</v>
      </c>
      <c r="EH135" t="s">
        <v>110</v>
      </c>
      <c r="EI135">
        <v>0</v>
      </c>
      <c r="EJ135">
        <v>0</v>
      </c>
      <c r="EK135">
        <v>0</v>
      </c>
      <c r="EL135">
        <v>0</v>
      </c>
      <c r="EM135">
        <v>0</v>
      </c>
      <c r="EN135">
        <v>0</v>
      </c>
      <c r="EO135">
        <v>0</v>
      </c>
      <c r="EP135">
        <v>0</v>
      </c>
    </row>
    <row r="136" spans="1:146" ht="96" x14ac:dyDescent="0.25">
      <c r="A136" s="7"/>
      <c r="B136" s="7"/>
      <c r="C136" s="7" t="str">
        <f>""&amp;CHAR(10)&amp;Basic_Fundamental_Information_Constructure(F136)&amp;CHAR(10)&amp;Basic_Fundamental_Information_Concatenate("")</f>
        <v xml:space="preserve">
市值118.818888亿, 利润17.31亿; PE6.89; 平均PE40.37; 平均PEG9.32, PB.816; ROIC12.1133%; ROE11.6333%; 股利率0%; 毛利36.8467%; 净利13.02%; 上一年度营收增5.63%, 利润增8.26%; 当季营收增-1.95%, 利润增-2.48%; 过往5年营收增4.33%, 利润增98.55%
Income profile:
</v>
      </c>
      <c r="D136" s="11">
        <v>811</v>
      </c>
      <c r="E136" t="s">
        <v>2290</v>
      </c>
      <c r="F136">
        <v>9.6300000000000008</v>
      </c>
      <c r="G136" s="5">
        <v>5.1999999999999998E-3</v>
      </c>
      <c r="H136" t="s">
        <v>8137</v>
      </c>
      <c r="I136">
        <v>11881888800</v>
      </c>
      <c r="J136">
        <v>6.89</v>
      </c>
      <c r="K136">
        <v>0.81599999999999995</v>
      </c>
      <c r="L136" t="s">
        <v>6350</v>
      </c>
      <c r="M136" t="s">
        <v>8138</v>
      </c>
      <c r="N136" t="s">
        <v>8139</v>
      </c>
      <c r="O136" t="s">
        <v>8140</v>
      </c>
      <c r="P136">
        <v>7.04</v>
      </c>
      <c r="Q136" t="s">
        <v>8141</v>
      </c>
      <c r="R136">
        <v>1731059900</v>
      </c>
      <c r="S136" s="5">
        <v>-2.4799999999999999E-2</v>
      </c>
      <c r="T136" t="s">
        <v>3968</v>
      </c>
      <c r="U136">
        <v>441937100</v>
      </c>
      <c r="V136">
        <v>1233841000</v>
      </c>
      <c r="W136">
        <v>1.68</v>
      </c>
      <c r="X136">
        <v>0.11</v>
      </c>
      <c r="Y136">
        <v>10.11</v>
      </c>
      <c r="Z136" t="s">
        <v>3475</v>
      </c>
      <c r="AA136" t="s">
        <v>8142</v>
      </c>
      <c r="AB136" t="s">
        <v>5336</v>
      </c>
      <c r="AC136" t="s">
        <v>832</v>
      </c>
      <c r="AD136" t="s">
        <v>8143</v>
      </c>
      <c r="AE136" t="s">
        <v>8144</v>
      </c>
      <c r="AF136" t="s">
        <v>9</v>
      </c>
      <c r="AG136" t="s">
        <v>8145</v>
      </c>
      <c r="AH136" t="s">
        <v>8146</v>
      </c>
      <c r="AI136" t="s">
        <v>8147</v>
      </c>
      <c r="AJ136" t="s">
        <v>3001</v>
      </c>
      <c r="AK136" t="s">
        <v>8148</v>
      </c>
      <c r="AL136" t="s">
        <v>9</v>
      </c>
      <c r="AM136" t="s">
        <v>8149</v>
      </c>
      <c r="AN136" s="5">
        <v>0.39029999999999998</v>
      </c>
      <c r="AO136" t="s">
        <v>8150</v>
      </c>
      <c r="AP136" t="s">
        <v>8151</v>
      </c>
      <c r="AQ136" t="s">
        <v>8152</v>
      </c>
      <c r="AR136" t="s">
        <v>8153</v>
      </c>
      <c r="AS136" t="s">
        <v>8154</v>
      </c>
      <c r="AT136" t="s">
        <v>9</v>
      </c>
      <c r="AU136" t="s">
        <v>8155</v>
      </c>
      <c r="AV136" t="s">
        <v>2765</v>
      </c>
      <c r="AW136" t="s">
        <v>8156</v>
      </c>
      <c r="AX136" t="s">
        <v>2291</v>
      </c>
      <c r="AY136" t="s">
        <v>2299</v>
      </c>
      <c r="AZ136" t="s">
        <v>2300</v>
      </c>
      <c r="BA136" t="s">
        <v>2301</v>
      </c>
      <c r="BB136" t="s">
        <v>2302</v>
      </c>
      <c r="BC136" t="s">
        <v>2303</v>
      </c>
      <c r="BD136" t="s">
        <v>2304</v>
      </c>
      <c r="BE136" t="s">
        <v>2305</v>
      </c>
      <c r="BF136" t="s">
        <v>1141</v>
      </c>
      <c r="BG136" t="s">
        <v>2306</v>
      </c>
      <c r="BH136" t="s">
        <v>2291</v>
      </c>
      <c r="BI136" t="s">
        <v>2307</v>
      </c>
      <c r="BJ136" t="s">
        <v>2299</v>
      </c>
      <c r="BK136" t="s">
        <v>2292</v>
      </c>
      <c r="BL136" t="s">
        <v>1303</v>
      </c>
      <c r="BM136" t="s">
        <v>2303</v>
      </c>
      <c r="BN136">
        <v>12.34</v>
      </c>
      <c r="BO136">
        <v>11.77</v>
      </c>
      <c r="BP136">
        <v>12.23</v>
      </c>
      <c r="BQ136">
        <v>12.08</v>
      </c>
      <c r="BR136">
        <v>11.18</v>
      </c>
      <c r="BS136">
        <v>11.64</v>
      </c>
      <c r="BT136" t="s">
        <v>8157</v>
      </c>
      <c r="BU136" t="s">
        <v>743</v>
      </c>
      <c r="BV136">
        <v>37.869999999999997</v>
      </c>
      <c r="BW136">
        <v>36.5</v>
      </c>
      <c r="BX136">
        <v>36.17</v>
      </c>
      <c r="BY136">
        <v>13.76</v>
      </c>
      <c r="BZ136">
        <v>12.78</v>
      </c>
      <c r="CA136">
        <v>12.52</v>
      </c>
      <c r="CB136">
        <v>-2.92</v>
      </c>
      <c r="CC136">
        <v>9.43</v>
      </c>
      <c r="CD136" t="s">
        <v>8158</v>
      </c>
      <c r="CE136" t="s">
        <v>8159</v>
      </c>
      <c r="CF136" s="8">
        <v>-1.9528371407516582E-2</v>
      </c>
      <c r="CG136" s="9">
        <v>-2.4799999999999999E-2</v>
      </c>
      <c r="CH136" s="8">
        <v>5.6261137127876282E-2</v>
      </c>
      <c r="CI136" s="8">
        <v>-3.6856934428215027E-2</v>
      </c>
      <c r="CJ136" s="8">
        <v>0.19423116743564606</v>
      </c>
      <c r="CK136" s="8">
        <v>0.14558520913124084</v>
      </c>
      <c r="CL136" s="8">
        <v>5.8362651616334915E-2</v>
      </c>
      <c r="CM136" s="9">
        <v>8.2551509141921997E-2</v>
      </c>
      <c r="CN136" s="9">
        <v>6.245855987071991E-2</v>
      </c>
      <c r="CO136" s="9">
        <v>0.18224667012691498</v>
      </c>
      <c r="CP136" s="9">
        <v>0.19981144368648529</v>
      </c>
      <c r="CQ136" s="9">
        <v>-4.2418774217367172E-2</v>
      </c>
      <c r="CR136">
        <v>40.369684490963884</v>
      </c>
      <c r="CS136">
        <v>9.3211926126562439</v>
      </c>
      <c r="CT136">
        <v>0</v>
      </c>
      <c r="CU136" s="8">
        <v>4.3309570103883741E-2</v>
      </c>
      <c r="CV136" s="9">
        <v>0.98549253940582271</v>
      </c>
      <c r="CW136">
        <v>0.06</v>
      </c>
      <c r="CX136">
        <v>3.8162352952617926</v>
      </c>
      <c r="CY136">
        <v>1703744213.0658703</v>
      </c>
      <c r="CZ136">
        <v>4.3309570103883741E-2</v>
      </c>
      <c r="DA136">
        <v>1.2976710982674502</v>
      </c>
      <c r="DB136">
        <v>5010428920.4566698</v>
      </c>
      <c r="DC136">
        <v>4.114409159868955E-2</v>
      </c>
      <c r="DD136">
        <v>0.67302424021010565</v>
      </c>
      <c r="DE136">
        <v>9660705233.9901352</v>
      </c>
      <c r="DF136">
        <v>3.8112421691417694E-2</v>
      </c>
      <c r="DG136">
        <v>0.4280719503240894</v>
      </c>
      <c r="DH136">
        <v>15188775613.719799</v>
      </c>
      <c r="DI136">
        <v>3.4647656083106992E-2</v>
      </c>
      <c r="DJ136">
        <v>0.24970218606011069</v>
      </c>
      <c r="DK136">
        <v>26038573801.01112</v>
      </c>
      <c r="DL136">
        <v>3.0316699072718615E-2</v>
      </c>
      <c r="DM136">
        <v>1730999999.9999998</v>
      </c>
      <c r="DN136">
        <v>4.3309570103883741E-2</v>
      </c>
      <c r="DO136">
        <v>6501888800.0000019</v>
      </c>
      <c r="DP136" t="e">
        <v>#VALUE!</v>
      </c>
      <c r="DQ136">
        <v>135</v>
      </c>
      <c r="DR136">
        <v>-6.2837941511400319E-2</v>
      </c>
      <c r="DS136">
        <v>-1.0102925394058226</v>
      </c>
      <c r="DT136">
        <v>-0.25666666666666665</v>
      </c>
      <c r="DU136">
        <v>1.6933333333333334</v>
      </c>
      <c r="DV136">
        <v>1.4366666666666668</v>
      </c>
      <c r="DW136">
        <v>-6.2364372469635629</v>
      </c>
      <c r="DX136">
        <v>0.34201468311441718</v>
      </c>
      <c r="DY136">
        <v>-6.0430350505825183</v>
      </c>
      <c r="DZ136">
        <v>0</v>
      </c>
      <c r="EA136">
        <v>-6.0430350505825183</v>
      </c>
      <c r="EB136">
        <v>6</v>
      </c>
      <c r="EC136">
        <v>7.3844198725767744E-3</v>
      </c>
      <c r="ED136">
        <v>4.0570462482605131E-2</v>
      </c>
      <c r="EE136">
        <v>0</v>
      </c>
      <c r="EF136">
        <v>0</v>
      </c>
      <c r="EG136">
        <v>16.182014683114417</v>
      </c>
      <c r="EH136" t="s">
        <v>110</v>
      </c>
      <c r="EI136">
        <v>0</v>
      </c>
      <c r="EJ136">
        <v>0</v>
      </c>
      <c r="EK136">
        <v>0</v>
      </c>
      <c r="EL136">
        <v>0</v>
      </c>
      <c r="EM136">
        <v>0</v>
      </c>
      <c r="EN136">
        <v>0</v>
      </c>
      <c r="EO136">
        <v>0</v>
      </c>
      <c r="EP136">
        <v>0</v>
      </c>
    </row>
    <row r="137" spans="1:146" x14ac:dyDescent="0.25">
      <c r="A137"/>
      <c r="B137"/>
      <c r="D137" s="11">
        <v>813</v>
      </c>
      <c r="E137" t="s">
        <v>8160</v>
      </c>
      <c r="F137">
        <v>0.74</v>
      </c>
      <c r="G137">
        <v>-2.63E-2</v>
      </c>
      <c r="H137" t="s">
        <v>8161</v>
      </c>
      <c r="I137">
        <v>2810395600</v>
      </c>
      <c r="K137">
        <v>0.17399999999999999</v>
      </c>
      <c r="L137" t="s">
        <v>6350</v>
      </c>
      <c r="M137" t="s">
        <v>9</v>
      </c>
      <c r="N137" t="s">
        <v>9</v>
      </c>
      <c r="O137" t="s">
        <v>9</v>
      </c>
      <c r="P137" s="5" t="s">
        <v>9</v>
      </c>
      <c r="Q137" t="s">
        <v>8162</v>
      </c>
      <c r="R137">
        <v>-23053284000</v>
      </c>
      <c r="S137">
        <v>4.9200000000000001E-2</v>
      </c>
      <c r="T137" t="s">
        <v>8163</v>
      </c>
      <c r="U137">
        <v>3797831900</v>
      </c>
      <c r="V137">
        <v>3797831900</v>
      </c>
      <c r="W137" t="s">
        <v>9</v>
      </c>
      <c r="X137" t="s">
        <v>9</v>
      </c>
      <c r="Y137" t="s">
        <v>9</v>
      </c>
      <c r="Z137" t="s">
        <v>9</v>
      </c>
      <c r="AA137" t="s">
        <v>9</v>
      </c>
      <c r="AB137" t="s">
        <v>9</v>
      </c>
      <c r="AC137" t="s">
        <v>9</v>
      </c>
      <c r="AD137" t="s">
        <v>9</v>
      </c>
      <c r="AE137" t="s">
        <v>9</v>
      </c>
      <c r="AF137" t="s">
        <v>9</v>
      </c>
      <c r="AG137" t="s">
        <v>9</v>
      </c>
      <c r="AH137" t="s">
        <v>8164</v>
      </c>
      <c r="AI137" t="s">
        <v>9</v>
      </c>
      <c r="AJ137" t="s">
        <v>9</v>
      </c>
      <c r="AK137" s="5" t="s">
        <v>8165</v>
      </c>
      <c r="AL137" t="s">
        <v>9</v>
      </c>
      <c r="AM137" t="s">
        <v>9</v>
      </c>
      <c r="AN137">
        <v>0.90569999999999995</v>
      </c>
      <c r="AO137" t="s">
        <v>9</v>
      </c>
      <c r="AP137" t="s">
        <v>8166</v>
      </c>
      <c r="AQ137" t="s">
        <v>9</v>
      </c>
      <c r="AR137" t="s">
        <v>8167</v>
      </c>
      <c r="AS137" t="s">
        <v>9</v>
      </c>
      <c r="AT137" t="s">
        <v>9</v>
      </c>
      <c r="AU137" t="s">
        <v>8168</v>
      </c>
      <c r="AV137" t="s">
        <v>8169</v>
      </c>
      <c r="AW137" t="s">
        <v>9</v>
      </c>
      <c r="AX137" t="s">
        <v>8170</v>
      </c>
      <c r="AY137" t="s">
        <v>8171</v>
      </c>
      <c r="AZ137" t="s">
        <v>8172</v>
      </c>
      <c r="BA137" t="s">
        <v>2209</v>
      </c>
      <c r="BB137" t="s">
        <v>8173</v>
      </c>
      <c r="BC137" t="s">
        <v>8174</v>
      </c>
      <c r="BD137" t="s">
        <v>8175</v>
      </c>
      <c r="BE137" t="s">
        <v>8176</v>
      </c>
      <c r="BF137" t="s">
        <v>6129</v>
      </c>
      <c r="BG137" t="s">
        <v>8177</v>
      </c>
      <c r="BH137" t="s">
        <v>8170</v>
      </c>
      <c r="BI137" t="s">
        <v>9</v>
      </c>
      <c r="BJ137" t="s">
        <v>8171</v>
      </c>
      <c r="BK137" t="s">
        <v>8178</v>
      </c>
      <c r="BL137" t="s">
        <v>9</v>
      </c>
      <c r="BM137" t="s">
        <v>8174</v>
      </c>
      <c r="BN137">
        <v>-7.09</v>
      </c>
      <c r="BO137" t="s">
        <v>9</v>
      </c>
      <c r="BP137" t="s">
        <v>9</v>
      </c>
      <c r="BQ137">
        <v>-142.91</v>
      </c>
      <c r="BR137">
        <v>-58.84</v>
      </c>
      <c r="BS137" t="s">
        <v>9</v>
      </c>
      <c r="BT137" t="s">
        <v>5017</v>
      </c>
      <c r="BU137" t="s">
        <v>410</v>
      </c>
      <c r="BV137">
        <v>9.83</v>
      </c>
      <c r="BW137" t="s">
        <v>9</v>
      </c>
      <c r="BX137" t="s">
        <v>9</v>
      </c>
      <c r="BY137">
        <v>-39.69</v>
      </c>
      <c r="BZ137" t="s">
        <v>9</v>
      </c>
      <c r="CA137" t="s">
        <v>9</v>
      </c>
      <c r="CB137">
        <v>-3.9</v>
      </c>
      <c r="CC137" s="8">
        <v>-30.19</v>
      </c>
      <c r="CD137" s="10" t="s">
        <v>230</v>
      </c>
      <c r="CE137" s="8" t="s">
        <v>8179</v>
      </c>
      <c r="CF137" s="8" t="s">
        <v>9</v>
      </c>
      <c r="CG137" s="8">
        <v>4.9200000000000001E-2</v>
      </c>
      <c r="CH137" s="8">
        <v>-8.3413004875183105E-2</v>
      </c>
      <c r="CI137" s="8">
        <v>-0.46123427152633667</v>
      </c>
      <c r="CJ137" s="9">
        <v>-0.18179848790168762</v>
      </c>
      <c r="CK137" s="9">
        <v>0.65693014860153198</v>
      </c>
      <c r="CL137" s="9">
        <v>0.15314918756484985</v>
      </c>
      <c r="CM137" s="9">
        <v>0.30510923266410828</v>
      </c>
      <c r="CN137" s="9">
        <v>-3.2041726112365723</v>
      </c>
      <c r="CO137">
        <v>0.23591722548007965</v>
      </c>
      <c r="CP137">
        <v>0.21065713465213776</v>
      </c>
      <c r="CQ137">
        <v>7.0106305181980133E-2</v>
      </c>
      <c r="CR137" s="8">
        <v>-0.78153729995774268</v>
      </c>
      <c r="CS137" s="9">
        <v>-0.13243501368100635</v>
      </c>
      <c r="CT137">
        <v>0</v>
      </c>
      <c r="CU137">
        <v>5.9012890793383121E-2</v>
      </c>
      <c r="CV137">
        <v>1.5076656490564346</v>
      </c>
      <c r="CW137">
        <v>0.06</v>
      </c>
      <c r="CX137" t="e">
        <v>#VALUE!</v>
      </c>
      <c r="CY137" t="s">
        <v>109</v>
      </c>
      <c r="CZ137">
        <v>5.9012890793383121E-2</v>
      </c>
      <c r="DA137" t="e">
        <v>#VALUE!</v>
      </c>
      <c r="DB137" t="s">
        <v>108</v>
      </c>
      <c r="DC137">
        <v>5.6062246253713963E-2</v>
      </c>
      <c r="DD137" t="e">
        <v>#VALUE!</v>
      </c>
      <c r="DE137" t="s">
        <v>108</v>
      </c>
      <c r="DF137">
        <v>5.1931343898177149E-2</v>
      </c>
      <c r="DG137" t="e">
        <v>#VALUE!</v>
      </c>
      <c r="DH137" t="s">
        <v>108</v>
      </c>
      <c r="DI137">
        <v>4.72103126347065E-2</v>
      </c>
      <c r="DJ137" t="e">
        <v>#VALUE!</v>
      </c>
      <c r="DK137" t="s">
        <v>108</v>
      </c>
      <c r="DL137">
        <v>4.1309023555368182E-2</v>
      </c>
      <c r="DM137">
        <v>-23053000000</v>
      </c>
      <c r="DN137">
        <v>5.9012890793383121E-2</v>
      </c>
      <c r="DO137">
        <v>2810395600</v>
      </c>
      <c r="DP137" t="e">
        <v>#VALUE!</v>
      </c>
      <c r="DQ137">
        <v>136</v>
      </c>
      <c r="DR137" t="e">
        <v>#VALUE!</v>
      </c>
      <c r="DS137">
        <v>-1.4584656490564347</v>
      </c>
      <c r="DT137" t="e">
        <v>#VALUE!</v>
      </c>
      <c r="DU137" t="e">
        <v>#VALUE!</v>
      </c>
      <c r="DV137" t="e">
        <v>#VALUE!</v>
      </c>
      <c r="DW137">
        <v>-8.1291818482941363</v>
      </c>
      <c r="DX137">
        <v>0.26814195680462533</v>
      </c>
      <c r="DY137">
        <v>-8.0100945224093429</v>
      </c>
      <c r="DZ137">
        <v>0</v>
      </c>
      <c r="EA137">
        <v>-8.0100945224093429</v>
      </c>
      <c r="EB137">
        <v>8</v>
      </c>
      <c r="EC137">
        <v>9.4790925317152663E-2</v>
      </c>
      <c r="ED137">
        <v>1.213060535933673</v>
      </c>
      <c r="EE137">
        <v>0</v>
      </c>
      <c r="EF137">
        <v>0</v>
      </c>
      <c r="EG137">
        <v>19.078141956804625</v>
      </c>
      <c r="EH137" t="s">
        <v>110</v>
      </c>
      <c r="EI137">
        <v>0</v>
      </c>
      <c r="EJ137">
        <v>0</v>
      </c>
      <c r="EK137">
        <v>0</v>
      </c>
      <c r="EL137">
        <v>0</v>
      </c>
      <c r="EM137">
        <v>0</v>
      </c>
      <c r="EN137">
        <v>0</v>
      </c>
      <c r="EO137">
        <v>0</v>
      </c>
      <c r="EP137">
        <v>0</v>
      </c>
    </row>
    <row r="138" spans="1:146" ht="96" x14ac:dyDescent="0.25">
      <c r="A138" s="7"/>
      <c r="B138" s="7"/>
      <c r="C138" s="7" t="str">
        <f>""&amp;CHAR(10)&amp;Basic_Fundamental_Information_Constructure(F138)&amp;CHAR(10)&amp;Basic_Fundamental_Information_Concatenate("")</f>
        <v xml:space="preserve">
市值83.697447亿, 利润-75.60亿; PE; 平均PE-7.46; 平均PEG-.4, PB.194; ROIC.0733%; ROE-1.3267%; 股利率0%; 毛利15.6367%; 净利2.7133%; 上一年度营收增-15.22%, 利润增-231.64%, 利润增-437.8%; 过往5年营收增18.55%, 利润增50.57%
Income profile:
</v>
      </c>
      <c r="D138" s="11">
        <v>817</v>
      </c>
      <c r="E138" t="s">
        <v>2309</v>
      </c>
      <c r="F138">
        <v>0.62</v>
      </c>
      <c r="G138" s="5">
        <v>-3.1300000000000001E-2</v>
      </c>
      <c r="H138" t="s">
        <v>8180</v>
      </c>
      <c r="I138">
        <v>8369744700</v>
      </c>
      <c r="K138">
        <v>0.19400000000000001</v>
      </c>
      <c r="L138" t="s">
        <v>6350</v>
      </c>
      <c r="M138" t="s">
        <v>9</v>
      </c>
      <c r="N138" t="s">
        <v>9</v>
      </c>
      <c r="O138" t="s">
        <v>9</v>
      </c>
      <c r="P138" t="s">
        <v>9</v>
      </c>
      <c r="Q138" t="s">
        <v>8181</v>
      </c>
      <c r="R138">
        <v>-7560101200</v>
      </c>
      <c r="S138" s="5">
        <v>-4.3780000000000001</v>
      </c>
      <c r="T138" t="s">
        <v>8182</v>
      </c>
      <c r="U138">
        <v>13499588000</v>
      </c>
      <c r="V138">
        <v>13499588000</v>
      </c>
      <c r="W138" t="s">
        <v>9</v>
      </c>
      <c r="X138" t="s">
        <v>9</v>
      </c>
      <c r="Y138" t="s">
        <v>9</v>
      </c>
      <c r="Z138" t="s">
        <v>9</v>
      </c>
      <c r="AA138" t="s">
        <v>9</v>
      </c>
      <c r="AB138" t="s">
        <v>9</v>
      </c>
      <c r="AC138" t="s">
        <v>9</v>
      </c>
      <c r="AD138" t="s">
        <v>9</v>
      </c>
      <c r="AE138" t="s">
        <v>9</v>
      </c>
      <c r="AF138" t="s">
        <v>9</v>
      </c>
      <c r="AG138" t="s">
        <v>9</v>
      </c>
      <c r="AH138" t="s">
        <v>8183</v>
      </c>
      <c r="AI138" t="s">
        <v>9</v>
      </c>
      <c r="AJ138" t="s">
        <v>9</v>
      </c>
      <c r="AK138" t="s">
        <v>8184</v>
      </c>
      <c r="AL138" t="s">
        <v>9</v>
      </c>
      <c r="AM138" t="s">
        <v>9</v>
      </c>
      <c r="AN138" s="5">
        <v>0.73019999999999996</v>
      </c>
      <c r="AO138" t="s">
        <v>9</v>
      </c>
      <c r="AP138" t="s">
        <v>3218</v>
      </c>
      <c r="AQ138" t="s">
        <v>9</v>
      </c>
      <c r="AR138" t="s">
        <v>8185</v>
      </c>
      <c r="AS138" t="s">
        <v>9</v>
      </c>
      <c r="AT138" t="s">
        <v>9</v>
      </c>
      <c r="AU138" t="s">
        <v>5992</v>
      </c>
      <c r="AV138" t="s">
        <v>8186</v>
      </c>
      <c r="AW138" t="s">
        <v>9</v>
      </c>
      <c r="AX138" t="s">
        <v>2310</v>
      </c>
      <c r="AY138" t="s">
        <v>2312</v>
      </c>
      <c r="AZ138" t="s">
        <v>2313</v>
      </c>
      <c r="BA138" t="s">
        <v>2314</v>
      </c>
      <c r="BB138" t="s">
        <v>2315</v>
      </c>
      <c r="BC138" t="s">
        <v>2316</v>
      </c>
      <c r="BD138" t="s">
        <v>2317</v>
      </c>
      <c r="BE138" t="s">
        <v>2318</v>
      </c>
      <c r="BF138" t="s">
        <v>2319</v>
      </c>
      <c r="BG138" t="s">
        <v>2320</v>
      </c>
      <c r="BH138" t="s">
        <v>2310</v>
      </c>
      <c r="BI138" t="s">
        <v>9</v>
      </c>
      <c r="BJ138" t="s">
        <v>2312</v>
      </c>
      <c r="BK138" t="s">
        <v>2114</v>
      </c>
      <c r="BL138" t="s">
        <v>9</v>
      </c>
      <c r="BM138" t="s">
        <v>2316</v>
      </c>
      <c r="BN138">
        <v>-4.0999999999999996</v>
      </c>
      <c r="BO138">
        <v>1.21</v>
      </c>
      <c r="BP138">
        <v>3.11</v>
      </c>
      <c r="BQ138">
        <v>-17.55</v>
      </c>
      <c r="BR138">
        <v>4.18</v>
      </c>
      <c r="BS138">
        <v>9.39</v>
      </c>
      <c r="BT138" t="s">
        <v>8187</v>
      </c>
      <c r="BU138" t="s">
        <v>410</v>
      </c>
      <c r="BV138">
        <v>12.46</v>
      </c>
      <c r="BW138">
        <v>15.84</v>
      </c>
      <c r="BX138">
        <v>18.61</v>
      </c>
      <c r="BY138">
        <v>-6.71</v>
      </c>
      <c r="BZ138">
        <v>6.29</v>
      </c>
      <c r="CA138">
        <v>8.56</v>
      </c>
      <c r="CB138">
        <v>-1.59</v>
      </c>
      <c r="CC138">
        <v>-15.07</v>
      </c>
      <c r="CD138" t="s">
        <v>8188</v>
      </c>
      <c r="CE138" t="s">
        <v>8189</v>
      </c>
      <c r="CF138" s="8" t="s">
        <v>9</v>
      </c>
      <c r="CG138" s="9">
        <v>-4.3780000000000001</v>
      </c>
      <c r="CH138" s="8">
        <v>-0.15224888920783997</v>
      </c>
      <c r="CI138" s="8">
        <v>-0.15102739632129669</v>
      </c>
      <c r="CJ138" s="8">
        <v>0.54066890478134155</v>
      </c>
      <c r="CK138" s="8">
        <v>0.62304705381393433</v>
      </c>
      <c r="CL138" s="8">
        <v>0.18372884392738342</v>
      </c>
      <c r="CM138" s="9">
        <v>-2.31638503074646</v>
      </c>
      <c r="CN138" s="9">
        <v>0.24146135151386261</v>
      </c>
      <c r="CO138" s="9">
        <v>-0.35839113593101501</v>
      </c>
      <c r="CP138" s="9">
        <v>0.21523675322532654</v>
      </c>
      <c r="CQ138" s="9">
        <v>0.24407638609409332</v>
      </c>
      <c r="CR138">
        <v>-7.4594354755192054</v>
      </c>
      <c r="CS138">
        <v>-0.4020786152119798</v>
      </c>
      <c r="CT138">
        <v>0</v>
      </c>
      <c r="CU138" s="8">
        <v>0.18552181571722032</v>
      </c>
      <c r="CV138" s="9">
        <v>0.50570099540054803</v>
      </c>
      <c r="CW138">
        <v>0.06</v>
      </c>
      <c r="CX138" t="e">
        <v>#VALUE!</v>
      </c>
      <c r="CY138" t="s">
        <v>109</v>
      </c>
      <c r="CZ138">
        <v>0.18552181571722032</v>
      </c>
      <c r="DA138" t="e">
        <v>#VALUE!</v>
      </c>
      <c r="DB138" t="s">
        <v>108</v>
      </c>
      <c r="DC138">
        <v>0.17624572493135929</v>
      </c>
      <c r="DD138" t="e">
        <v>#VALUE!</v>
      </c>
      <c r="DE138" t="s">
        <v>108</v>
      </c>
      <c r="DF138">
        <v>0.16325919783115389</v>
      </c>
      <c r="DG138" t="e">
        <v>#VALUE!</v>
      </c>
      <c r="DH138" t="s">
        <v>108</v>
      </c>
      <c r="DI138">
        <v>0.14841745257377625</v>
      </c>
      <c r="DJ138" t="e">
        <v>#VALUE!</v>
      </c>
      <c r="DK138" t="s">
        <v>108</v>
      </c>
      <c r="DL138">
        <v>0.12986527100205422</v>
      </c>
      <c r="DM138">
        <v>-7559999999.999999</v>
      </c>
      <c r="DN138">
        <v>0.18552181571722032</v>
      </c>
      <c r="DO138">
        <v>8369744700</v>
      </c>
      <c r="DP138" t="e">
        <v>#VALUE!</v>
      </c>
      <c r="DQ138">
        <v>137</v>
      </c>
      <c r="DR138" t="e">
        <v>#VALUE!</v>
      </c>
      <c r="DS138">
        <v>-4.8837009954005479</v>
      </c>
      <c r="DT138" t="e">
        <v>#VALUE!</v>
      </c>
      <c r="DU138" t="e">
        <v>#VALUE!</v>
      </c>
      <c r="DV138" t="e">
        <v>#VALUE!</v>
      </c>
      <c r="DW138">
        <v>-2.1507000000000001</v>
      </c>
      <c r="DX138">
        <v>0.20508983039610251</v>
      </c>
      <c r="DY138">
        <v>-2.0098090374406925</v>
      </c>
      <c r="DZ138">
        <v>0</v>
      </c>
      <c r="EA138">
        <v>-2.0098090374406925</v>
      </c>
      <c r="EB138">
        <v>2</v>
      </c>
      <c r="EC138">
        <v>7.1118837108213968E-3</v>
      </c>
      <c r="ED138">
        <v>0.10926259379175128</v>
      </c>
      <c r="EE138">
        <v>0</v>
      </c>
      <c r="EF138">
        <v>0</v>
      </c>
      <c r="EG138">
        <v>14.065089830396102</v>
      </c>
      <c r="EH138" t="s">
        <v>110</v>
      </c>
      <c r="EI138">
        <v>0</v>
      </c>
      <c r="EJ138">
        <v>0</v>
      </c>
      <c r="EK138">
        <v>0</v>
      </c>
      <c r="EL138">
        <v>0</v>
      </c>
      <c r="EM138">
        <v>0</v>
      </c>
      <c r="EN138">
        <v>0</v>
      </c>
      <c r="EO138">
        <v>0</v>
      </c>
      <c r="EP138">
        <v>0</v>
      </c>
    </row>
    <row r="139" spans="1:146" ht="96" x14ac:dyDescent="0.25">
      <c r="A139" s="7"/>
      <c r="B139" s="7"/>
      <c r="C139" s="7" t="str">
        <f>""&amp;CHAR(10)&amp;Basic_Fundamental_Information_Constructure(F139)&amp;CHAR(10)&amp;Basic_Fundamental_Information_Concatenate("")</f>
        <v xml:space="preserve">
市值62.612522亿, 利润19.97亿; PE3.14; 平均PE21.12; 平均PEG14.27, PB.36; ROIC8.96%; ROE11.3133%; 股利率0%; 毛利7.0233%; 净利2.2633%; 上一年度营收增9.28%, 利润增25.44%, 利润增-1.45%; 过往5年营收增1.48%, 利润增50.17%
Income profile:
</v>
      </c>
      <c r="D139" s="11">
        <v>819</v>
      </c>
      <c r="E139" t="s">
        <v>2322</v>
      </c>
      <c r="F139">
        <v>5.56</v>
      </c>
      <c r="G139" s="5">
        <v>-1.0699999999999999E-2</v>
      </c>
      <c r="H139" t="s">
        <v>8190</v>
      </c>
      <c r="I139">
        <v>6261252200</v>
      </c>
      <c r="J139">
        <v>3.14</v>
      </c>
      <c r="K139">
        <v>0.36</v>
      </c>
      <c r="L139" t="s">
        <v>6350</v>
      </c>
      <c r="M139" t="s">
        <v>9</v>
      </c>
      <c r="N139" t="s">
        <v>9</v>
      </c>
      <c r="O139" t="s">
        <v>9</v>
      </c>
      <c r="P139" t="s">
        <v>9</v>
      </c>
      <c r="Q139" t="s">
        <v>8191</v>
      </c>
      <c r="R139">
        <v>1997096600</v>
      </c>
      <c r="S139" s="5">
        <v>-1.4500000000000001E-2</v>
      </c>
      <c r="T139" t="s">
        <v>1327</v>
      </c>
      <c r="U139">
        <v>1126124500</v>
      </c>
      <c r="V139">
        <v>1126124500</v>
      </c>
      <c r="W139" t="s">
        <v>9</v>
      </c>
      <c r="X139" t="s">
        <v>9</v>
      </c>
      <c r="Y139" t="s">
        <v>9</v>
      </c>
      <c r="Z139" t="s">
        <v>9</v>
      </c>
      <c r="AA139" t="s">
        <v>9</v>
      </c>
      <c r="AB139" t="s">
        <v>9</v>
      </c>
      <c r="AC139" t="s">
        <v>9</v>
      </c>
      <c r="AD139" t="s">
        <v>8192</v>
      </c>
      <c r="AE139" t="s">
        <v>9</v>
      </c>
      <c r="AF139" t="s">
        <v>9</v>
      </c>
      <c r="AG139" t="s">
        <v>9</v>
      </c>
      <c r="AH139" t="s">
        <v>8193</v>
      </c>
      <c r="AI139" t="s">
        <v>9</v>
      </c>
      <c r="AJ139" t="s">
        <v>9</v>
      </c>
      <c r="AK139" t="s">
        <v>8194</v>
      </c>
      <c r="AL139" t="s">
        <v>9</v>
      </c>
      <c r="AM139" t="s">
        <v>9</v>
      </c>
      <c r="AN139" s="5">
        <v>0.60550000000000004</v>
      </c>
      <c r="AO139" t="s">
        <v>9</v>
      </c>
      <c r="AP139" t="s">
        <v>8195</v>
      </c>
      <c r="AQ139" t="s">
        <v>9</v>
      </c>
      <c r="AR139" t="s">
        <v>8196</v>
      </c>
      <c r="AS139" t="s">
        <v>9</v>
      </c>
      <c r="AT139" t="s">
        <v>9</v>
      </c>
      <c r="AU139" t="s">
        <v>8197</v>
      </c>
      <c r="AV139" t="s">
        <v>9</v>
      </c>
      <c r="AW139" t="s">
        <v>9</v>
      </c>
      <c r="AX139" t="s">
        <v>2323</v>
      </c>
      <c r="AY139" t="s">
        <v>2324</v>
      </c>
      <c r="AZ139" t="s">
        <v>2325</v>
      </c>
      <c r="BA139" t="s">
        <v>2326</v>
      </c>
      <c r="BB139" t="s">
        <v>2327</v>
      </c>
      <c r="BC139" t="s">
        <v>903</v>
      </c>
      <c r="BD139" t="s">
        <v>2328</v>
      </c>
      <c r="BE139" t="s">
        <v>2329</v>
      </c>
      <c r="BF139" t="s">
        <v>2330</v>
      </c>
      <c r="BG139" t="s">
        <v>2331</v>
      </c>
      <c r="BH139" t="s">
        <v>2323</v>
      </c>
      <c r="BI139" t="s">
        <v>9</v>
      </c>
      <c r="BJ139" t="s">
        <v>2324</v>
      </c>
      <c r="BK139" t="s">
        <v>574</v>
      </c>
      <c r="BL139" t="s">
        <v>9</v>
      </c>
      <c r="BM139" t="s">
        <v>903</v>
      </c>
      <c r="BN139">
        <v>8</v>
      </c>
      <c r="BO139">
        <v>9.48</v>
      </c>
      <c r="BP139">
        <v>9.4</v>
      </c>
      <c r="BQ139">
        <v>11.49</v>
      </c>
      <c r="BR139">
        <v>12.44</v>
      </c>
      <c r="BS139">
        <v>10.01</v>
      </c>
      <c r="BT139" t="s">
        <v>706</v>
      </c>
      <c r="BU139" t="s">
        <v>589</v>
      </c>
      <c r="BV139">
        <v>7.11</v>
      </c>
      <c r="BW139">
        <v>8.56</v>
      </c>
      <c r="BX139">
        <v>5.4</v>
      </c>
      <c r="BY139">
        <v>2.19</v>
      </c>
      <c r="BZ139">
        <v>2.79</v>
      </c>
      <c r="CA139">
        <v>1.81</v>
      </c>
      <c r="CB139">
        <v>-0.36</v>
      </c>
      <c r="CC139">
        <v>-8.25</v>
      </c>
      <c r="CD139" t="s">
        <v>8198</v>
      </c>
      <c r="CE139" t="s">
        <v>219</v>
      </c>
      <c r="CF139" s="8" t="s">
        <v>9</v>
      </c>
      <c r="CG139" s="9">
        <v>-1.4500000000000001E-2</v>
      </c>
      <c r="CH139" s="8">
        <v>9.2757426202297211E-2</v>
      </c>
      <c r="CI139" s="8">
        <v>-0.19727766513824463</v>
      </c>
      <c r="CJ139" s="8">
        <v>0.64331620931625366</v>
      </c>
      <c r="CK139" s="8">
        <v>0.61235374212265015</v>
      </c>
      <c r="CL139" s="8">
        <v>0.22669349610805511</v>
      </c>
      <c r="CM139" s="9">
        <v>0.2543969452381134</v>
      </c>
      <c r="CN139" s="9">
        <v>-0.46070459485054016</v>
      </c>
      <c r="CO139" s="9">
        <v>0.57104837894439697</v>
      </c>
      <c r="CP139" s="9">
        <v>0.38876581192016602</v>
      </c>
      <c r="CQ139" s="9">
        <v>-4.2462848126888275E-2</v>
      </c>
      <c r="CR139">
        <v>21.115832419911484</v>
      </c>
      <c r="CS139">
        <v>14.272551141018729</v>
      </c>
      <c r="CT139">
        <v>0</v>
      </c>
      <c r="CU139" s="8">
        <v>1.4794714841991663E-2</v>
      </c>
      <c r="CV139" s="9">
        <v>0.5016778767108917</v>
      </c>
      <c r="CW139">
        <v>0.06</v>
      </c>
      <c r="CX139">
        <v>3.2749962043075533</v>
      </c>
      <c r="CY139">
        <v>1911834948.6221294</v>
      </c>
      <c r="CZ139">
        <v>1.4794714841991663E-2</v>
      </c>
      <c r="DA139">
        <v>1.1412121858695858</v>
      </c>
      <c r="DB139">
        <v>5486492588.7809582</v>
      </c>
      <c r="DC139">
        <v>1.4054979099892079E-2</v>
      </c>
      <c r="DD139">
        <v>0.61057572122278669</v>
      </c>
      <c r="DE139">
        <v>10254669457.640285</v>
      </c>
      <c r="DF139">
        <v>1.3019349060952663E-2</v>
      </c>
      <c r="DG139">
        <v>0.40132223765122094</v>
      </c>
      <c r="DH139">
        <v>15601558081.218258</v>
      </c>
      <c r="DI139">
        <v>1.1835771873593331E-2</v>
      </c>
      <c r="DJ139">
        <v>0.2497446650233732</v>
      </c>
      <c r="DK139">
        <v>25070614418.986767</v>
      </c>
      <c r="DL139">
        <v>1.0356300389394163E-2</v>
      </c>
      <c r="DM139">
        <v>1997000000</v>
      </c>
      <c r="DN139">
        <v>1.4794714841991663E-2</v>
      </c>
      <c r="DO139">
        <v>6261252200</v>
      </c>
      <c r="DP139" t="e">
        <v>#VALUE!</v>
      </c>
      <c r="DQ139">
        <v>138</v>
      </c>
      <c r="DR139" t="e">
        <v>#VALUE!</v>
      </c>
      <c r="DS139">
        <v>-0.51617787671089166</v>
      </c>
      <c r="DT139" t="e">
        <v>#VALUE!</v>
      </c>
      <c r="DU139" t="e">
        <v>#VALUE!</v>
      </c>
      <c r="DV139" t="e">
        <v>#VALUE!</v>
      </c>
      <c r="DW139">
        <v>-2.0825</v>
      </c>
      <c r="DX139">
        <v>0.22188000000000016</v>
      </c>
      <c r="DY139">
        <v>-2.0059301</v>
      </c>
      <c r="DZ139">
        <v>0</v>
      </c>
      <c r="EA139">
        <v>-2.0059301</v>
      </c>
      <c r="EB139">
        <v>2</v>
      </c>
      <c r="EC139">
        <v>7.9786915212305565E-3</v>
      </c>
      <c r="ED139">
        <v>0.11100016028423144</v>
      </c>
      <c r="EE139">
        <v>0</v>
      </c>
      <c r="EF139">
        <v>0</v>
      </c>
      <c r="EG139">
        <v>15.07188</v>
      </c>
      <c r="EH139" t="s">
        <v>110</v>
      </c>
      <c r="EI139">
        <v>0</v>
      </c>
      <c r="EJ139">
        <v>0</v>
      </c>
      <c r="EK139">
        <v>0</v>
      </c>
      <c r="EL139">
        <v>0</v>
      </c>
      <c r="EM139">
        <v>0</v>
      </c>
      <c r="EN139">
        <v>0</v>
      </c>
      <c r="EO139">
        <v>0</v>
      </c>
      <c r="EP139">
        <v>0</v>
      </c>
    </row>
    <row r="140" spans="1:146" ht="84" x14ac:dyDescent="0.25">
      <c r="A140" s="7"/>
      <c r="B140" s="7"/>
      <c r="C140" s="7" t="str">
        <f>""&amp;CHAR(10)&amp;Basic_Fundamental_Information_Constructure(F140)&amp;CHAR(10)&amp;Basic_Fundamental_Information_Concatenate("")</f>
        <v xml:space="preserve">
市值48.84亿, 利润4.06亿; PE12.03; 平均PE8.15; 平均PEG1.41, PB.631; ROIC5.4633%; ROE7.5333%; 股利率0%; 毛利23.09%; 净利10.0533%; 上一年度营收增-.98%, 利润增-50.12%, 利润增-28.56%; 过往5年营收增5.76%, 利润增6.47%
Income profile:
</v>
      </c>
      <c r="D140" s="11">
        <v>826</v>
      </c>
      <c r="E140" t="s">
        <v>2332</v>
      </c>
      <c r="F140">
        <v>1.76</v>
      </c>
      <c r="G140" s="5">
        <v>2.5600000000000001E-2</v>
      </c>
      <c r="H140" t="s">
        <v>8199</v>
      </c>
      <c r="I140">
        <v>4884000000</v>
      </c>
      <c r="J140">
        <v>12.03</v>
      </c>
      <c r="K140">
        <v>0.63100000000000001</v>
      </c>
      <c r="L140" t="s">
        <v>6350</v>
      </c>
      <c r="M140" t="s">
        <v>9</v>
      </c>
      <c r="N140" t="s">
        <v>9</v>
      </c>
      <c r="O140" t="s">
        <v>9</v>
      </c>
      <c r="P140" t="s">
        <v>9</v>
      </c>
      <c r="Q140" t="s">
        <v>8200</v>
      </c>
      <c r="R140">
        <v>405823110</v>
      </c>
      <c r="S140" s="5">
        <v>-0.28560000000000002</v>
      </c>
      <c r="T140" t="s">
        <v>7126</v>
      </c>
      <c r="U140">
        <v>2775000000</v>
      </c>
      <c r="V140">
        <v>2775000000</v>
      </c>
      <c r="W140" t="s">
        <v>9</v>
      </c>
      <c r="X140" t="s">
        <v>9</v>
      </c>
      <c r="Y140" t="s">
        <v>9</v>
      </c>
      <c r="Z140" t="s">
        <v>9</v>
      </c>
      <c r="AA140" t="s">
        <v>9</v>
      </c>
      <c r="AB140" t="s">
        <v>9</v>
      </c>
      <c r="AC140" t="s">
        <v>9</v>
      </c>
      <c r="AD140" t="s">
        <v>2338</v>
      </c>
      <c r="AE140" t="s">
        <v>9</v>
      </c>
      <c r="AF140" t="s">
        <v>9</v>
      </c>
      <c r="AG140" t="s">
        <v>9</v>
      </c>
      <c r="AH140" t="s">
        <v>8201</v>
      </c>
      <c r="AI140" t="s">
        <v>9</v>
      </c>
      <c r="AJ140" t="s">
        <v>9</v>
      </c>
      <c r="AK140" t="s">
        <v>8202</v>
      </c>
      <c r="AL140" t="s">
        <v>9</v>
      </c>
      <c r="AM140" t="s">
        <v>9</v>
      </c>
      <c r="AN140" s="5">
        <v>0.45550000000000002</v>
      </c>
      <c r="AO140" t="s">
        <v>9</v>
      </c>
      <c r="AP140" t="s">
        <v>8203</v>
      </c>
      <c r="AQ140" t="s">
        <v>9</v>
      </c>
      <c r="AR140" t="s">
        <v>8204</v>
      </c>
      <c r="AS140" t="s">
        <v>9</v>
      </c>
      <c r="AT140" t="s">
        <v>9</v>
      </c>
      <c r="AU140" t="s">
        <v>8205</v>
      </c>
      <c r="AV140" t="s">
        <v>8206</v>
      </c>
      <c r="AW140" t="s">
        <v>9</v>
      </c>
      <c r="AX140" t="s">
        <v>2333</v>
      </c>
      <c r="AY140" t="s">
        <v>2340</v>
      </c>
      <c r="AZ140" t="s">
        <v>2341</v>
      </c>
      <c r="BA140" t="s">
        <v>2342</v>
      </c>
      <c r="BB140" t="s">
        <v>2343</v>
      </c>
      <c r="BC140" t="s">
        <v>2344</v>
      </c>
      <c r="BD140" t="s">
        <v>2345</v>
      </c>
      <c r="BE140" t="s">
        <v>2346</v>
      </c>
      <c r="BF140" t="s">
        <v>167</v>
      </c>
      <c r="BG140" t="s">
        <v>2347</v>
      </c>
      <c r="BH140" t="s">
        <v>2333</v>
      </c>
      <c r="BI140" t="s">
        <v>9</v>
      </c>
      <c r="BJ140" t="s">
        <v>2340</v>
      </c>
      <c r="BK140" t="s">
        <v>2334</v>
      </c>
      <c r="BL140" t="s">
        <v>9</v>
      </c>
      <c r="BM140" t="s">
        <v>2344</v>
      </c>
      <c r="BN140">
        <v>3.76</v>
      </c>
      <c r="BO140">
        <v>5.29</v>
      </c>
      <c r="BP140">
        <v>7.34</v>
      </c>
      <c r="BQ140">
        <v>5.24</v>
      </c>
      <c r="BR140">
        <v>7.34</v>
      </c>
      <c r="BS140">
        <v>10.02</v>
      </c>
      <c r="BT140" t="s">
        <v>1416</v>
      </c>
      <c r="BU140" t="s">
        <v>1254</v>
      </c>
      <c r="BV140">
        <v>22.14</v>
      </c>
      <c r="BW140">
        <v>22.67</v>
      </c>
      <c r="BX140">
        <v>24.46</v>
      </c>
      <c r="BY140">
        <v>8.1300000000000008</v>
      </c>
      <c r="BZ140">
        <v>10.34</v>
      </c>
      <c r="CA140">
        <v>11.69</v>
      </c>
      <c r="CB140">
        <v>5.64</v>
      </c>
      <c r="CC140">
        <v>-2.5499999999999998</v>
      </c>
      <c r="CD140" t="s">
        <v>8207</v>
      </c>
      <c r="CE140" t="s">
        <v>2579</v>
      </c>
      <c r="CF140" s="8" t="s">
        <v>9</v>
      </c>
      <c r="CG140" s="9">
        <v>-0.28560000000000002</v>
      </c>
      <c r="CH140" s="8">
        <v>-9.7969714552164078E-3</v>
      </c>
      <c r="CI140" s="8">
        <v>-0.18749113380908966</v>
      </c>
      <c r="CJ140" s="8">
        <v>0.13048364222049713</v>
      </c>
      <c r="CK140" s="8">
        <v>8.831758052110672E-2</v>
      </c>
      <c r="CL140" s="8">
        <v>0.22336333990097046</v>
      </c>
      <c r="CM140" s="9">
        <v>-0.50122851133346558</v>
      </c>
      <c r="CN140" s="9">
        <v>0.27187499403953552</v>
      </c>
      <c r="CO140" s="9">
        <v>0.44796380400657654</v>
      </c>
      <c r="CP140" s="9">
        <v>0.49830508232116699</v>
      </c>
      <c r="CQ140" s="9">
        <v>0.45320197939872742</v>
      </c>
      <c r="CR140">
        <v>8.1490545050055605</v>
      </c>
      <c r="CS140">
        <v>1.4144209558718837</v>
      </c>
      <c r="CT140">
        <v>0</v>
      </c>
      <c r="CU140" s="8">
        <v>5.7614067941904067E-2</v>
      </c>
      <c r="CV140" s="9">
        <v>6.4710456505417818E-2</v>
      </c>
      <c r="CW140">
        <v>0.06</v>
      </c>
      <c r="CX140">
        <v>12.056694815032973</v>
      </c>
      <c r="CY140">
        <v>405086143.00416321</v>
      </c>
      <c r="CZ140">
        <v>5.7614067941904067E-2</v>
      </c>
      <c r="DA140">
        <v>4.0499637622966551</v>
      </c>
      <c r="DB140">
        <v>1205936716.1424623</v>
      </c>
      <c r="DC140">
        <v>5.4733364544808857E-2</v>
      </c>
      <c r="DD140">
        <v>2.0674909114310491</v>
      </c>
      <c r="DE140">
        <v>2362283661.3194375</v>
      </c>
      <c r="DF140">
        <v>5.070037978887558E-2</v>
      </c>
      <c r="DG140">
        <v>1.2926672523615659</v>
      </c>
      <c r="DH140">
        <v>3778234492.3470836</v>
      </c>
      <c r="DI140">
        <v>4.6091254353523257E-2</v>
      </c>
      <c r="DJ140">
        <v>0.72795552073045378</v>
      </c>
      <c r="DK140">
        <v>6709201126.8754978</v>
      </c>
      <c r="DL140">
        <v>4.0329847559332846E-2</v>
      </c>
      <c r="DM140">
        <v>405999999.99999994</v>
      </c>
      <c r="DN140">
        <v>5.7614067941904067E-2</v>
      </c>
      <c r="DO140">
        <v>4884000000</v>
      </c>
      <c r="DP140" t="e">
        <v>#VALUE!</v>
      </c>
      <c r="DQ140">
        <v>139</v>
      </c>
      <c r="DR140" t="e">
        <v>#VALUE!</v>
      </c>
      <c r="DS140">
        <v>-0.35031045650541781</v>
      </c>
      <c r="DT140" t="e">
        <v>#VALUE!</v>
      </c>
      <c r="DU140" t="e">
        <v>#VALUE!</v>
      </c>
      <c r="DV140" t="e">
        <v>#VALUE!</v>
      </c>
      <c r="DW140">
        <v>4.4521276595744679</v>
      </c>
      <c r="DX140">
        <v>0.38754375000000008</v>
      </c>
      <c r="DY140">
        <v>4.0757511635638295</v>
      </c>
      <c r="DZ140">
        <v>0</v>
      </c>
      <c r="EA140">
        <v>4.0757511635638295</v>
      </c>
      <c r="EB140">
        <v>4</v>
      </c>
      <c r="EC140">
        <v>9.6601801801801807E-3</v>
      </c>
      <c r="ED140">
        <v>5.7657657657657659E-2</v>
      </c>
      <c r="EE140">
        <v>0</v>
      </c>
      <c r="EF140">
        <v>0</v>
      </c>
      <c r="EG140">
        <v>22.16754375</v>
      </c>
      <c r="EH140" t="s">
        <v>110</v>
      </c>
      <c r="EI140">
        <v>0</v>
      </c>
      <c r="EJ140">
        <v>0</v>
      </c>
      <c r="EK140">
        <v>0</v>
      </c>
      <c r="EL140">
        <v>0</v>
      </c>
      <c r="EM140">
        <v>0</v>
      </c>
      <c r="EN140">
        <v>0</v>
      </c>
      <c r="EO140">
        <v>0</v>
      </c>
      <c r="EP140">
        <v>0</v>
      </c>
    </row>
    <row r="141" spans="1:146" ht="96" x14ac:dyDescent="0.25">
      <c r="A141" s="7"/>
      <c r="B141" s="7"/>
      <c r="C141" s="7" t="str">
        <f>""&amp;CHAR(10)&amp;Basic_Fundamental_Information_Constructure(F141)&amp;CHAR(10)&amp;Basic_Fundamental_Information_Concatenate("")</f>
        <v xml:space="preserve">
市值1123.23861亿, 利润110.03亿; PE10.21; 平均PE53.36; 平均PEG16.3, PB1.32; ROIC2.95%; ROE7.77%; 毛利39.5133%; 净利6.7267%; 上一年度营收增-.07%, 利润增414.64%, 利润增56.24%; 过往5年营收增3.27%, 利润增-107.66%
Income profile:
</v>
      </c>
      <c r="D141" s="11">
        <v>836</v>
      </c>
      <c r="E141" t="s">
        <v>2348</v>
      </c>
      <c r="F141">
        <v>23.35</v>
      </c>
      <c r="G141" s="5">
        <v>-3.5099999999999999E-2</v>
      </c>
      <c r="H141" t="s">
        <v>8208</v>
      </c>
      <c r="I141">
        <v>112323861000</v>
      </c>
      <c r="J141">
        <v>10.210000000000001</v>
      </c>
      <c r="K141">
        <v>1.32</v>
      </c>
      <c r="L141" t="s">
        <v>6350</v>
      </c>
      <c r="M141" t="s">
        <v>9</v>
      </c>
      <c r="N141" t="s">
        <v>9</v>
      </c>
      <c r="O141" t="s">
        <v>9</v>
      </c>
      <c r="P141" t="s">
        <v>9</v>
      </c>
      <c r="Q141" t="s">
        <v>8209</v>
      </c>
      <c r="R141">
        <v>11003283000</v>
      </c>
      <c r="S141" s="5">
        <v>0.56240000000000001</v>
      </c>
      <c r="T141" t="s">
        <v>8210</v>
      </c>
      <c r="U141">
        <v>4810443700</v>
      </c>
      <c r="V141">
        <v>4810443700</v>
      </c>
      <c r="W141" t="s">
        <v>9</v>
      </c>
      <c r="X141" t="s">
        <v>9</v>
      </c>
      <c r="Y141" t="s">
        <v>9</v>
      </c>
      <c r="Z141" t="s">
        <v>9</v>
      </c>
      <c r="AA141" t="s">
        <v>9</v>
      </c>
      <c r="AB141" t="s">
        <v>9</v>
      </c>
      <c r="AC141" t="s">
        <v>9</v>
      </c>
      <c r="AD141" t="s">
        <v>9</v>
      </c>
      <c r="AE141" t="s">
        <v>9</v>
      </c>
      <c r="AF141" t="s">
        <v>9</v>
      </c>
      <c r="AG141" t="s">
        <v>9</v>
      </c>
      <c r="AH141" t="s">
        <v>8211</v>
      </c>
      <c r="AI141" t="s">
        <v>9</v>
      </c>
      <c r="AJ141" t="s">
        <v>9</v>
      </c>
      <c r="AK141" t="s">
        <v>8212</v>
      </c>
      <c r="AL141" t="s">
        <v>9</v>
      </c>
      <c r="AM141" t="s">
        <v>9</v>
      </c>
      <c r="AN141" s="5">
        <v>0.67569999999999997</v>
      </c>
      <c r="AO141" t="s">
        <v>9</v>
      </c>
      <c r="AP141" t="s">
        <v>8213</v>
      </c>
      <c r="AQ141" t="s">
        <v>9</v>
      </c>
      <c r="AR141" t="s">
        <v>8214</v>
      </c>
      <c r="AS141" t="s">
        <v>9</v>
      </c>
      <c r="AT141" t="s">
        <v>9</v>
      </c>
      <c r="AU141" t="s">
        <v>8215</v>
      </c>
      <c r="AV141" t="s">
        <v>8216</v>
      </c>
      <c r="AW141" t="s">
        <v>9</v>
      </c>
      <c r="AX141" t="s">
        <v>2349</v>
      </c>
      <c r="AY141" t="s">
        <v>2351</v>
      </c>
      <c r="AZ141" t="s">
        <v>2352</v>
      </c>
      <c r="BA141" t="s">
        <v>2353</v>
      </c>
      <c r="BB141" t="s">
        <v>2354</v>
      </c>
      <c r="BC141" t="s">
        <v>6657</v>
      </c>
      <c r="BD141" t="s">
        <v>2356</v>
      </c>
      <c r="BE141" t="s">
        <v>2357</v>
      </c>
      <c r="BF141" t="s">
        <v>2358</v>
      </c>
      <c r="BG141" t="s">
        <v>2359</v>
      </c>
      <c r="BH141" t="s">
        <v>2349</v>
      </c>
      <c r="BI141" t="s">
        <v>9</v>
      </c>
      <c r="BJ141" t="s">
        <v>2351</v>
      </c>
      <c r="BK141" t="s">
        <v>2350</v>
      </c>
      <c r="BL141" t="s">
        <v>9</v>
      </c>
      <c r="BM141" t="s">
        <v>6657</v>
      </c>
      <c r="BN141">
        <v>4.8</v>
      </c>
      <c r="BO141">
        <v>3.26</v>
      </c>
      <c r="BP141">
        <v>0.79</v>
      </c>
      <c r="BQ141">
        <v>12.95</v>
      </c>
      <c r="BR141">
        <v>8.56</v>
      </c>
      <c r="BS141">
        <v>1.8</v>
      </c>
      <c r="BT141" t="s">
        <v>8217</v>
      </c>
      <c r="BU141" t="s">
        <v>392</v>
      </c>
      <c r="BV141">
        <v>46.8</v>
      </c>
      <c r="BW141">
        <v>37.31</v>
      </c>
      <c r="BX141">
        <v>34.43</v>
      </c>
      <c r="BY141">
        <v>11.82</v>
      </c>
      <c r="BZ141">
        <v>7.37</v>
      </c>
      <c r="CA141">
        <v>0.99</v>
      </c>
      <c r="CB141">
        <v>-3.11</v>
      </c>
      <c r="CC141">
        <v>10.07</v>
      </c>
      <c r="CD141" t="s">
        <v>8218</v>
      </c>
      <c r="CE141" t="s">
        <v>4547</v>
      </c>
      <c r="CF141" s="8" t="s">
        <v>9</v>
      </c>
      <c r="CG141" s="9">
        <v>0.56240000000000001</v>
      </c>
      <c r="CH141" s="8">
        <v>-7.216252270154655E-4</v>
      </c>
      <c r="CI141" s="8">
        <v>0.14264065027236938</v>
      </c>
      <c r="CJ141" s="8">
        <v>0.30345678329467773</v>
      </c>
      <c r="CK141" s="8">
        <v>-0.10514688491821289</v>
      </c>
      <c r="CL141" s="8">
        <v>4.948711022734642E-2</v>
      </c>
      <c r="CM141" s="9">
        <v>4.1463980674743652</v>
      </c>
      <c r="CN141" s="9">
        <v>-0.71805357933044434</v>
      </c>
      <c r="CO141" s="9">
        <v>0.15068283677101135</v>
      </c>
      <c r="CP141" s="9">
        <v>0.66835439205169678</v>
      </c>
      <c r="CQ141" s="9">
        <v>-0.14557644724845886</v>
      </c>
      <c r="CR141">
        <v>53.364729273893424</v>
      </c>
      <c r="CS141">
        <v>16.302960176675022</v>
      </c>
      <c r="CT141" t="e">
        <v>#VALUE!</v>
      </c>
      <c r="CU141" s="8">
        <v>3.2733153179287912E-2</v>
      </c>
      <c r="CV141" s="9">
        <v>-1.0766034126281738</v>
      </c>
      <c r="CW141">
        <v>0.06</v>
      </c>
      <c r="CX141">
        <v>10.478006332473216</v>
      </c>
      <c r="CY141">
        <v>10719964985.312927</v>
      </c>
      <c r="CZ141">
        <v>3.2733153179287912E-2</v>
      </c>
      <c r="DA141">
        <v>3.5953578846741183</v>
      </c>
      <c r="DB141">
        <v>31241357495.675564</v>
      </c>
      <c r="DC141">
        <v>3.1096495520323515E-2</v>
      </c>
      <c r="DD141">
        <v>1.8864671246935567</v>
      </c>
      <c r="DE141">
        <v>59541912779.554123</v>
      </c>
      <c r="DF141">
        <v>2.8805174797773364E-2</v>
      </c>
      <c r="DG141">
        <v>1.2148349773562677</v>
      </c>
      <c r="DH141">
        <v>92460180266.162552</v>
      </c>
      <c r="DI141">
        <v>2.6186522543430332E-2</v>
      </c>
      <c r="DJ141">
        <v>0.72646700441907475</v>
      </c>
      <c r="DK141">
        <v>154616603805.45526</v>
      </c>
      <c r="DL141">
        <v>2.2913207225501536E-2</v>
      </c>
      <c r="DM141">
        <v>11003000000</v>
      </c>
      <c r="DN141">
        <v>3.2733153179287912E-2</v>
      </c>
      <c r="DO141">
        <v>112323861000</v>
      </c>
      <c r="DP141" t="e">
        <v>#VALUE!</v>
      </c>
      <c r="DQ141">
        <v>140</v>
      </c>
      <c r="DR141" t="e">
        <v>#VALUE!</v>
      </c>
      <c r="DS141">
        <v>1.6390034126281738</v>
      </c>
      <c r="DT141" t="e">
        <v>#VALUE!</v>
      </c>
      <c r="DU141" t="e">
        <v>#VALUE!</v>
      </c>
      <c r="DV141" t="e">
        <v>#VALUE!</v>
      </c>
      <c r="DW141">
        <v>-6.2359635811836114</v>
      </c>
      <c r="DX141">
        <v>0.57487834101382695</v>
      </c>
      <c r="DY141">
        <v>-6.0365456479933988</v>
      </c>
      <c r="DZ141">
        <v>0</v>
      </c>
      <c r="EA141">
        <v>-6.0365456479933988</v>
      </c>
      <c r="EB141">
        <v>6</v>
      </c>
      <c r="EC141">
        <v>1.3973180893895504E-2</v>
      </c>
      <c r="ED141">
        <v>9.0220367821787412E-2</v>
      </c>
      <c r="EE141">
        <v>0</v>
      </c>
      <c r="EF141">
        <v>0</v>
      </c>
      <c r="EG141">
        <v>42.154878341013827</v>
      </c>
      <c r="EH141" t="s">
        <v>110</v>
      </c>
      <c r="EI141">
        <v>0</v>
      </c>
      <c r="EJ141">
        <v>0</v>
      </c>
      <c r="EK141">
        <v>0</v>
      </c>
      <c r="EL141">
        <v>0</v>
      </c>
      <c r="EM141">
        <v>0</v>
      </c>
      <c r="EN141">
        <v>0</v>
      </c>
      <c r="EO141">
        <v>0</v>
      </c>
      <c r="EP141">
        <v>0</v>
      </c>
    </row>
    <row r="142" spans="1:146" ht="96" x14ac:dyDescent="0.25">
      <c r="A142" s="7"/>
      <c r="B142" s="7"/>
      <c r="C142" s="7" t="str">
        <f>""&amp;CHAR(10)&amp;Basic_Fundamental_Information_Constructure(F142)&amp;CHAR(10)&amp;Basic_Fundamental_Information_Concatenate("")</f>
        <v xml:space="preserve">
市值118.347737亿, 利润14.83亿; PE7.66; 平均PE36.06; 平均PEG9.15, PB.669; ROIC7.7933%; ROE11.75%; 股利率0%; 毛利57.7733%; 净利36.04%; 上一年度营收增11.65%, 利润增-14.77%, 利润增109.4%; 过往5年营收增3.94%, 利润增-6.46%
Income profile:
</v>
      </c>
      <c r="D142" s="11">
        <v>839</v>
      </c>
      <c r="E142" t="s">
        <v>2362</v>
      </c>
      <c r="F142">
        <v>4.5199999999999996</v>
      </c>
      <c r="G142" s="5">
        <v>-1.5299999999999999E-2</v>
      </c>
      <c r="H142" t="s">
        <v>8219</v>
      </c>
      <c r="I142">
        <v>11834773700</v>
      </c>
      <c r="J142">
        <v>7.66</v>
      </c>
      <c r="K142">
        <v>0.66900000000000004</v>
      </c>
      <c r="L142" t="s">
        <v>6350</v>
      </c>
      <c r="M142" t="s">
        <v>9</v>
      </c>
      <c r="N142" t="s">
        <v>9</v>
      </c>
      <c r="O142" t="s">
        <v>9</v>
      </c>
      <c r="P142" t="s">
        <v>9</v>
      </c>
      <c r="Q142" t="s">
        <v>8220</v>
      </c>
      <c r="R142">
        <v>1483431000</v>
      </c>
      <c r="S142" s="5">
        <v>1.0940000000000001</v>
      </c>
      <c r="T142" t="s">
        <v>8221</v>
      </c>
      <c r="U142">
        <v>2618312800</v>
      </c>
      <c r="V142">
        <v>2618312800</v>
      </c>
      <c r="W142" t="s">
        <v>9</v>
      </c>
      <c r="X142" t="s">
        <v>9</v>
      </c>
      <c r="Y142" t="s">
        <v>9</v>
      </c>
      <c r="Z142" t="s">
        <v>9</v>
      </c>
      <c r="AA142" t="s">
        <v>9</v>
      </c>
      <c r="AB142" t="s">
        <v>9</v>
      </c>
      <c r="AC142" t="s">
        <v>9</v>
      </c>
      <c r="AD142" t="s">
        <v>9</v>
      </c>
      <c r="AE142" t="s">
        <v>9</v>
      </c>
      <c r="AF142" t="s">
        <v>9</v>
      </c>
      <c r="AG142" t="s">
        <v>9</v>
      </c>
      <c r="AH142" t="s">
        <v>8222</v>
      </c>
      <c r="AI142" t="s">
        <v>9</v>
      </c>
      <c r="AJ142" t="s">
        <v>9</v>
      </c>
      <c r="AK142" t="s">
        <v>8223</v>
      </c>
      <c r="AL142" t="s">
        <v>9</v>
      </c>
      <c r="AM142" t="s">
        <v>9</v>
      </c>
      <c r="AN142" s="5">
        <v>0.4713</v>
      </c>
      <c r="AO142" t="s">
        <v>9</v>
      </c>
      <c r="AP142" t="s">
        <v>8224</v>
      </c>
      <c r="AQ142" t="s">
        <v>9</v>
      </c>
      <c r="AR142" t="s">
        <v>8225</v>
      </c>
      <c r="AS142" t="s">
        <v>9</v>
      </c>
      <c r="AT142" t="s">
        <v>9</v>
      </c>
      <c r="AU142" t="s">
        <v>8226</v>
      </c>
      <c r="AV142" t="s">
        <v>8227</v>
      </c>
      <c r="AW142" t="s">
        <v>9</v>
      </c>
      <c r="AX142" t="s">
        <v>2363</v>
      </c>
      <c r="AY142" t="s">
        <v>2365</v>
      </c>
      <c r="AZ142" t="s">
        <v>2366</v>
      </c>
      <c r="BA142" t="s">
        <v>9</v>
      </c>
      <c r="BB142" t="s">
        <v>1341</v>
      </c>
      <c r="BC142" t="s">
        <v>2368</v>
      </c>
      <c r="BD142" t="s">
        <v>2369</v>
      </c>
      <c r="BE142" t="s">
        <v>819</v>
      </c>
      <c r="BF142" t="s">
        <v>9</v>
      </c>
      <c r="BG142" t="s">
        <v>2370</v>
      </c>
      <c r="BH142" t="s">
        <v>2363</v>
      </c>
      <c r="BI142" t="s">
        <v>9</v>
      </c>
      <c r="BJ142" t="s">
        <v>2365</v>
      </c>
      <c r="BK142" t="s">
        <v>2364</v>
      </c>
      <c r="BL142" t="s">
        <v>9</v>
      </c>
      <c r="BM142" t="s">
        <v>2368</v>
      </c>
      <c r="BN142">
        <v>5.86</v>
      </c>
      <c r="BO142">
        <v>8.75</v>
      </c>
      <c r="BP142">
        <v>8.77</v>
      </c>
      <c r="BQ142">
        <v>8.86</v>
      </c>
      <c r="BR142">
        <v>13.17</v>
      </c>
      <c r="BS142">
        <v>13.22</v>
      </c>
      <c r="BT142" t="s">
        <v>2891</v>
      </c>
      <c r="BU142" t="s">
        <v>1974</v>
      </c>
      <c r="BV142">
        <v>56.34</v>
      </c>
      <c r="BW142">
        <v>57.91</v>
      </c>
      <c r="BX142">
        <v>59.07</v>
      </c>
      <c r="BY142">
        <v>27.44</v>
      </c>
      <c r="BZ142">
        <v>40.71</v>
      </c>
      <c r="CA142">
        <v>39.97</v>
      </c>
      <c r="CB142">
        <v>-4.03</v>
      </c>
      <c r="CC142">
        <v>-14.12</v>
      </c>
      <c r="CD142" t="s">
        <v>8228</v>
      </c>
      <c r="CE142" t="s">
        <v>5336</v>
      </c>
      <c r="CF142" s="8" t="s">
        <v>9</v>
      </c>
      <c r="CG142" s="9">
        <v>1.0940000000000001</v>
      </c>
      <c r="CH142" s="8">
        <v>0.11651565134525299</v>
      </c>
      <c r="CI142" s="8">
        <v>0.21861614286899567</v>
      </c>
      <c r="CJ142" s="8">
        <v>0.46532371640205383</v>
      </c>
      <c r="CK142" s="8" t="s">
        <v>9</v>
      </c>
      <c r="CL142" s="8" t="s">
        <v>9</v>
      </c>
      <c r="CM142" s="9">
        <v>-0.14770111441612244</v>
      </c>
      <c r="CN142" s="9">
        <v>1.430167555809021</v>
      </c>
      <c r="CO142" s="9">
        <v>0.10323574393987656</v>
      </c>
      <c r="CP142" s="9" t="s">
        <v>9</v>
      </c>
      <c r="CQ142" s="9" t="s">
        <v>9</v>
      </c>
      <c r="CR142">
        <v>36.055126249938752</v>
      </c>
      <c r="CS142">
        <v>9.1490535669931479</v>
      </c>
      <c r="CT142">
        <v>0</v>
      </c>
      <c r="CU142" s="8">
        <v>3.9408585801720616E-2</v>
      </c>
      <c r="CV142" s="9">
        <v>-6.4639939367771154E-2</v>
      </c>
      <c r="CW142">
        <v>0.06</v>
      </c>
      <c r="CX142">
        <v>8.138387646741263</v>
      </c>
      <c r="CY142">
        <v>1454191445.9848599</v>
      </c>
      <c r="CZ142">
        <v>3.9408585801720616E-2</v>
      </c>
      <c r="DA142">
        <v>2.776628921434297</v>
      </c>
      <c r="DB142">
        <v>4262281361.6328044</v>
      </c>
      <c r="DC142">
        <v>3.7438156511634582E-2</v>
      </c>
      <c r="DD142">
        <v>1.4462634201841731</v>
      </c>
      <c r="DE142">
        <v>8183000091.7072983</v>
      </c>
      <c r="DF142">
        <v>3.4679555505514145E-2</v>
      </c>
      <c r="DG142">
        <v>0.92412494128220712</v>
      </c>
      <c r="DH142">
        <v>12806464982.515739</v>
      </c>
      <c r="DI142">
        <v>3.1526868641376493E-2</v>
      </c>
      <c r="DJ142">
        <v>0.54408642737682211</v>
      </c>
      <c r="DK142">
        <v>21751642945.87981</v>
      </c>
      <c r="DL142">
        <v>2.7586010061204428E-2</v>
      </c>
      <c r="DM142">
        <v>1483000000</v>
      </c>
      <c r="DN142">
        <v>3.9408585801720616E-2</v>
      </c>
      <c r="DO142">
        <v>11834773700</v>
      </c>
      <c r="DP142" t="e">
        <v>#VALUE!</v>
      </c>
      <c r="DQ142">
        <v>141</v>
      </c>
      <c r="DR142" t="e">
        <v>#VALUE!</v>
      </c>
      <c r="DS142">
        <v>1.1586399393677713</v>
      </c>
      <c r="DT142" t="e">
        <v>#VALUE!</v>
      </c>
      <c r="DU142" t="e">
        <v>#VALUE!</v>
      </c>
      <c r="DV142" t="e">
        <v>#VALUE!</v>
      </c>
      <c r="DW142">
        <v>-8.2854107648725215</v>
      </c>
      <c r="DX142">
        <v>0.32878141263940619</v>
      </c>
      <c r="DY142">
        <v>-8.0253391708878752</v>
      </c>
      <c r="DZ142">
        <v>0</v>
      </c>
      <c r="EA142">
        <v>-8.0253391708878752</v>
      </c>
      <c r="EB142">
        <v>8</v>
      </c>
      <c r="EC142">
        <v>9.1212172968791194E-3</v>
      </c>
      <c r="ED142">
        <v>0.10273791580593426</v>
      </c>
      <c r="EE142">
        <v>0</v>
      </c>
      <c r="EF142">
        <v>0</v>
      </c>
      <c r="EG142">
        <v>24.088781412639406</v>
      </c>
      <c r="EH142" t="s">
        <v>110</v>
      </c>
      <c r="EI142">
        <v>0</v>
      </c>
      <c r="EJ142">
        <v>0</v>
      </c>
      <c r="EK142">
        <v>0</v>
      </c>
      <c r="EL142">
        <v>0</v>
      </c>
      <c r="EM142">
        <v>0</v>
      </c>
      <c r="EN142">
        <v>0</v>
      </c>
      <c r="EO142">
        <v>0</v>
      </c>
      <c r="EP142">
        <v>0</v>
      </c>
    </row>
    <row r="143" spans="1:146" ht="96" x14ac:dyDescent="0.25">
      <c r="A143" s="7"/>
      <c r="B143" s="7"/>
      <c r="C143" s="7" t="str">
        <f>""&amp;CHAR(10)&amp;Basic_Fundamental_Information_Constructure(F143)&amp;CHAR(10)&amp;Basic_Fundamental_Information_Concatenate("")</f>
        <v xml:space="preserve">
市值101.465557亿, 利润-37.31亿; PE; 平均PE-106.06; 平均PEG-4.12, PB1.71; ROIC-17.3267%; ROE-40.0133%; 股利率0%; 毛利59.6033%; 净利-61.1133%; 上一年度营收增13.11%, 利润增-73.05%, 利润增-9.46%; 过往5年营收增25.76%, 利润增30.12%
Income profile:
</v>
      </c>
      <c r="D143" s="11">
        <v>853</v>
      </c>
      <c r="E143" t="s">
        <v>2371</v>
      </c>
      <c r="F143">
        <v>5.53</v>
      </c>
      <c r="G143" s="5">
        <v>-5.4699999999999999E-2</v>
      </c>
      <c r="H143" t="s">
        <v>8229</v>
      </c>
      <c r="I143">
        <v>10146555700</v>
      </c>
      <c r="K143">
        <v>1.71</v>
      </c>
      <c r="L143" t="s">
        <v>6350</v>
      </c>
      <c r="M143" t="s">
        <v>9</v>
      </c>
      <c r="N143" t="s">
        <v>9</v>
      </c>
      <c r="O143" t="s">
        <v>9</v>
      </c>
      <c r="P143" t="s">
        <v>9</v>
      </c>
      <c r="Q143" t="s">
        <v>8230</v>
      </c>
      <c r="R143">
        <v>-3730760100</v>
      </c>
      <c r="S143" s="5">
        <v>-9.4600000000000004E-2</v>
      </c>
      <c r="T143" t="s">
        <v>8231</v>
      </c>
      <c r="U143">
        <v>1834477400</v>
      </c>
      <c r="V143">
        <v>1834477400</v>
      </c>
      <c r="W143" t="s">
        <v>9</v>
      </c>
      <c r="X143" t="s">
        <v>9</v>
      </c>
      <c r="Y143" t="s">
        <v>9</v>
      </c>
      <c r="Z143" t="s">
        <v>9</v>
      </c>
      <c r="AA143" t="s">
        <v>9</v>
      </c>
      <c r="AB143" t="s">
        <v>9</v>
      </c>
      <c r="AC143" t="s">
        <v>9</v>
      </c>
      <c r="AD143" t="s">
        <v>4203</v>
      </c>
      <c r="AE143" t="s">
        <v>9</v>
      </c>
      <c r="AF143" t="s">
        <v>9</v>
      </c>
      <c r="AG143" t="s">
        <v>9</v>
      </c>
      <c r="AH143" t="s">
        <v>8232</v>
      </c>
      <c r="AI143" t="s">
        <v>9</v>
      </c>
      <c r="AJ143" t="s">
        <v>9</v>
      </c>
      <c r="AK143" t="s">
        <v>8233</v>
      </c>
      <c r="AL143" t="s">
        <v>9</v>
      </c>
      <c r="AM143" t="s">
        <v>9</v>
      </c>
      <c r="AN143" s="5">
        <v>0.64319999999999999</v>
      </c>
      <c r="AO143" t="s">
        <v>9</v>
      </c>
      <c r="AP143" t="s">
        <v>3031</v>
      </c>
      <c r="AQ143" t="s">
        <v>9</v>
      </c>
      <c r="AR143" t="s">
        <v>8234</v>
      </c>
      <c r="AS143" t="s">
        <v>9</v>
      </c>
      <c r="AT143" t="s">
        <v>9</v>
      </c>
      <c r="AU143" t="s">
        <v>8235</v>
      </c>
      <c r="AV143" t="s">
        <v>8236</v>
      </c>
      <c r="AW143" t="s">
        <v>9</v>
      </c>
      <c r="AX143" t="s">
        <v>2372</v>
      </c>
      <c r="AY143" t="s">
        <v>2376</v>
      </c>
      <c r="AZ143" t="s">
        <v>2377</v>
      </c>
      <c r="BA143" t="s">
        <v>2378</v>
      </c>
      <c r="BB143" t="s">
        <v>2379</v>
      </c>
      <c r="BC143" t="s">
        <v>674</v>
      </c>
      <c r="BD143" t="s">
        <v>2380</v>
      </c>
      <c r="BE143" t="s">
        <v>230</v>
      </c>
      <c r="BF143" t="s">
        <v>1003</v>
      </c>
      <c r="BG143" t="s">
        <v>1288</v>
      </c>
      <c r="BH143" t="s">
        <v>2372</v>
      </c>
      <c r="BI143" t="s">
        <v>9</v>
      </c>
      <c r="BJ143" t="s">
        <v>2376</v>
      </c>
      <c r="BK143" t="s">
        <v>2373</v>
      </c>
      <c r="BL143" t="s">
        <v>9</v>
      </c>
      <c r="BM143" t="s">
        <v>674</v>
      </c>
      <c r="BN143">
        <v>-20.11</v>
      </c>
      <c r="BO143">
        <v>-17.649999999999999</v>
      </c>
      <c r="BP143">
        <v>-14.22</v>
      </c>
      <c r="BQ143">
        <v>-63.03</v>
      </c>
      <c r="BR143">
        <v>-38.46</v>
      </c>
      <c r="BS143">
        <v>-18.55</v>
      </c>
      <c r="BT143" t="s">
        <v>2381</v>
      </c>
      <c r="BU143" t="s">
        <v>2382</v>
      </c>
      <c r="BV143">
        <v>55.97</v>
      </c>
      <c r="BW143">
        <v>59.68</v>
      </c>
      <c r="BX143">
        <v>63.16</v>
      </c>
      <c r="BY143">
        <v>-68.28</v>
      </c>
      <c r="BZ143">
        <v>-69.94</v>
      </c>
      <c r="CA143">
        <v>-45.12</v>
      </c>
      <c r="CB143">
        <v>-9.34</v>
      </c>
      <c r="CC143">
        <v>-22.87</v>
      </c>
      <c r="CD143" t="s">
        <v>8237</v>
      </c>
      <c r="CE143" t="s">
        <v>1856</v>
      </c>
      <c r="CF143" s="8" t="s">
        <v>9</v>
      </c>
      <c r="CG143" s="9">
        <v>-9.4600000000000004E-2</v>
      </c>
      <c r="CH143" s="8">
        <v>0.13114999234676361</v>
      </c>
      <c r="CI143" s="8">
        <v>8.1192389130592346E-2</v>
      </c>
      <c r="CJ143" s="8">
        <v>0.20715703070163727</v>
      </c>
      <c r="CK143" s="8">
        <v>-4.099142923951149E-2</v>
      </c>
      <c r="CL143" s="8">
        <v>0.51109194755554199</v>
      </c>
      <c r="CM143" s="9">
        <v>-0.73051953315734863</v>
      </c>
      <c r="CN143" s="9">
        <v>-0.45380976796150208</v>
      </c>
      <c r="CO143" s="9">
        <v>-5.1194448471069336</v>
      </c>
      <c r="CP143" s="9">
        <v>0.92513370513916016</v>
      </c>
      <c r="CQ143" s="9">
        <v>0.27210885286331177</v>
      </c>
      <c r="CR143">
        <v>-106.06155783972125</v>
      </c>
      <c r="CS143">
        <v>-4.1175646795347571</v>
      </c>
      <c r="CT143">
        <v>0</v>
      </c>
      <c r="CU143" s="8">
        <v>0.25758322235196829</v>
      </c>
      <c r="CV143" s="9">
        <v>0.30123582929372789</v>
      </c>
      <c r="CW143">
        <v>0.06</v>
      </c>
      <c r="CX143" t="e">
        <v>#VALUE!</v>
      </c>
      <c r="CY143" t="s">
        <v>109</v>
      </c>
      <c r="CZ143">
        <v>0.25758322235196829</v>
      </c>
      <c r="DA143" t="e">
        <v>#VALUE!</v>
      </c>
      <c r="DB143" t="s">
        <v>108</v>
      </c>
      <c r="DC143">
        <v>0.24470406123436986</v>
      </c>
      <c r="DD143" t="e">
        <v>#VALUE!</v>
      </c>
      <c r="DE143" t="s">
        <v>108</v>
      </c>
      <c r="DF143">
        <v>0.2266732356697321</v>
      </c>
      <c r="DG143" t="e">
        <v>#VALUE!</v>
      </c>
      <c r="DH143" t="s">
        <v>108</v>
      </c>
      <c r="DI143">
        <v>0.20606657788157465</v>
      </c>
      <c r="DJ143" t="e">
        <v>#VALUE!</v>
      </c>
      <c r="DK143" t="s">
        <v>108</v>
      </c>
      <c r="DL143">
        <v>0.18030825564637779</v>
      </c>
      <c r="DM143">
        <v>-3731000000</v>
      </c>
      <c r="DN143">
        <v>0.25758322235196829</v>
      </c>
      <c r="DO143">
        <v>10146555700</v>
      </c>
      <c r="DP143" t="e">
        <v>#VALUE!</v>
      </c>
      <c r="DQ143">
        <v>142</v>
      </c>
      <c r="DR143" t="e">
        <v>#VALUE!</v>
      </c>
      <c r="DS143">
        <v>-0.3958358292937279</v>
      </c>
      <c r="DT143" t="e">
        <v>#VALUE!</v>
      </c>
      <c r="DU143" t="e">
        <v>#VALUE!</v>
      </c>
      <c r="DV143" t="e">
        <v>#VALUE!</v>
      </c>
      <c r="DW143">
        <v>-9.408395277656318</v>
      </c>
      <c r="DX143">
        <v>0.38749071428571313</v>
      </c>
      <c r="DY143">
        <v>-9.0520666056593164</v>
      </c>
      <c r="DZ143">
        <v>0</v>
      </c>
      <c r="EA143">
        <v>-9.0520666056593164</v>
      </c>
      <c r="EB143">
        <v>9</v>
      </c>
      <c r="EC143">
        <v>1.9459165863804046E-2</v>
      </c>
      <c r="ED143">
        <v>0.15263202479354609</v>
      </c>
      <c r="EE143">
        <v>0</v>
      </c>
      <c r="EF143">
        <v>0</v>
      </c>
      <c r="EG143">
        <v>26.127490714285713</v>
      </c>
      <c r="EH143" t="s">
        <v>110</v>
      </c>
      <c r="EI143">
        <v>0</v>
      </c>
      <c r="EJ143">
        <v>0</v>
      </c>
      <c r="EK143">
        <v>0</v>
      </c>
      <c r="EL143">
        <v>0</v>
      </c>
      <c r="EM143">
        <v>0</v>
      </c>
      <c r="EN143">
        <v>0</v>
      </c>
      <c r="EO143">
        <v>0</v>
      </c>
      <c r="EP143">
        <v>0</v>
      </c>
    </row>
    <row r="144" spans="1:146" ht="96" x14ac:dyDescent="0.25">
      <c r="A144" s="7"/>
      <c r="B144" s="7"/>
      <c r="C144" s="7" t="str">
        <f>""&amp;CHAR(10)&amp;Basic_Fundamental_Information_Constructure(F144)&amp;CHAR(10)&amp;Basic_Fundamental_Information_Concatenate("")</f>
        <v xml:space="preserve">
市值84.391065亿, 利润18.57亿; PE5.5; 平均PE-10.63; 平均PEG-.32, PB.66; ROIC5.77%; ROE14.9967%; 股利率0%; 毛利39.3067%; 净利23.4933%; 上一年度营收增9.61%, 利润增9.75%, 利润增-14.89%; 过往5年营收增-33.35%, 利润增-130.91%
Income profile:
</v>
      </c>
      <c r="D144" s="11">
        <v>855</v>
      </c>
      <c r="E144" t="s">
        <v>2383</v>
      </c>
      <c r="F144">
        <v>5.17</v>
      </c>
      <c r="G144" s="5">
        <v>-0.11020000000000001</v>
      </c>
      <c r="H144" t="s">
        <v>8238</v>
      </c>
      <c r="I144">
        <v>8439106500</v>
      </c>
      <c r="J144">
        <v>5.5</v>
      </c>
      <c r="K144">
        <v>0.66</v>
      </c>
      <c r="L144" t="s">
        <v>6350</v>
      </c>
      <c r="M144" t="s">
        <v>9</v>
      </c>
      <c r="N144" t="s">
        <v>9</v>
      </c>
      <c r="O144" t="s">
        <v>9</v>
      </c>
      <c r="P144" t="s">
        <v>9</v>
      </c>
      <c r="Q144" t="s">
        <v>8239</v>
      </c>
      <c r="R144">
        <v>825896000</v>
      </c>
      <c r="S144" s="5">
        <v>-0.1489</v>
      </c>
      <c r="T144" t="s">
        <v>5487</v>
      </c>
      <c r="U144">
        <v>1632322300</v>
      </c>
      <c r="V144">
        <v>1632322300</v>
      </c>
      <c r="W144" t="s">
        <v>9</v>
      </c>
      <c r="X144" t="s">
        <v>9</v>
      </c>
      <c r="Y144" t="s">
        <v>9</v>
      </c>
      <c r="Z144" t="s">
        <v>9</v>
      </c>
      <c r="AA144" t="s">
        <v>9</v>
      </c>
      <c r="AB144" t="s">
        <v>9</v>
      </c>
      <c r="AC144" t="s">
        <v>9</v>
      </c>
      <c r="AD144" t="s">
        <v>9</v>
      </c>
      <c r="AE144" t="s">
        <v>9</v>
      </c>
      <c r="AF144" t="s">
        <v>9</v>
      </c>
      <c r="AG144" t="s">
        <v>9</v>
      </c>
      <c r="AH144" t="s">
        <v>8240</v>
      </c>
      <c r="AI144" t="s">
        <v>9</v>
      </c>
      <c r="AJ144" t="s">
        <v>9</v>
      </c>
      <c r="AK144" t="s">
        <v>8241</v>
      </c>
      <c r="AL144" t="s">
        <v>9</v>
      </c>
      <c r="AM144" t="s">
        <v>9</v>
      </c>
      <c r="AN144" s="5">
        <v>0.66249999999999998</v>
      </c>
      <c r="AO144" t="s">
        <v>9</v>
      </c>
      <c r="AP144" t="s">
        <v>8242</v>
      </c>
      <c r="AQ144" t="s">
        <v>9</v>
      </c>
      <c r="AR144" t="s">
        <v>8243</v>
      </c>
      <c r="AS144" t="s">
        <v>9</v>
      </c>
      <c r="AT144" t="s">
        <v>9</v>
      </c>
      <c r="AU144" t="s">
        <v>8244</v>
      </c>
      <c r="AV144" t="s">
        <v>942</v>
      </c>
      <c r="AW144" t="s">
        <v>9</v>
      </c>
      <c r="AX144" t="s">
        <v>2384</v>
      </c>
      <c r="AY144" t="s">
        <v>2386</v>
      </c>
      <c r="AZ144" t="s">
        <v>2387</v>
      </c>
      <c r="BA144" t="s">
        <v>2388</v>
      </c>
      <c r="BB144" t="s">
        <v>2389</v>
      </c>
      <c r="BC144" t="s">
        <v>2390</v>
      </c>
      <c r="BD144" t="s">
        <v>2391</v>
      </c>
      <c r="BE144" t="s">
        <v>1853</v>
      </c>
      <c r="BF144" t="s">
        <v>2392</v>
      </c>
      <c r="BG144" t="s">
        <v>820</v>
      </c>
      <c r="BH144" t="s">
        <v>2384</v>
      </c>
      <c r="BI144" t="s">
        <v>9</v>
      </c>
      <c r="BJ144" t="s">
        <v>2386</v>
      </c>
      <c r="BK144" t="s">
        <v>2385</v>
      </c>
      <c r="BL144" t="s">
        <v>9</v>
      </c>
      <c r="BM144" t="s">
        <v>2390</v>
      </c>
      <c r="BN144">
        <v>5.2</v>
      </c>
      <c r="BO144">
        <v>5.94</v>
      </c>
      <c r="BP144">
        <v>6.17</v>
      </c>
      <c r="BQ144">
        <v>14.29</v>
      </c>
      <c r="BR144">
        <v>14.6</v>
      </c>
      <c r="BS144">
        <v>16.100000000000001</v>
      </c>
      <c r="BT144" t="s">
        <v>6007</v>
      </c>
      <c r="BU144" t="s">
        <v>392</v>
      </c>
      <c r="BV144">
        <v>37.659999999999997</v>
      </c>
      <c r="BW144">
        <v>38.32</v>
      </c>
      <c r="BX144">
        <v>41.94</v>
      </c>
      <c r="BY144">
        <v>21.76</v>
      </c>
      <c r="BZ144">
        <v>22.99</v>
      </c>
      <c r="CA144">
        <v>25.73</v>
      </c>
      <c r="CB144">
        <v>-18.579999999999998</v>
      </c>
      <c r="CC144">
        <v>-10.55</v>
      </c>
      <c r="CD144" t="s">
        <v>8245</v>
      </c>
      <c r="CE144" t="s">
        <v>23</v>
      </c>
      <c r="CF144" s="8" t="s">
        <v>9</v>
      </c>
      <c r="CG144" s="9">
        <v>-0.1489</v>
      </c>
      <c r="CH144" s="8">
        <v>9.6139051020145416E-2</v>
      </c>
      <c r="CI144" s="8">
        <v>0.25169140100479126</v>
      </c>
      <c r="CJ144" s="8">
        <v>0.19001619517803192</v>
      </c>
      <c r="CK144" s="8">
        <v>0.14696560800075531</v>
      </c>
      <c r="CL144" s="8">
        <v>0.32796072959899902</v>
      </c>
      <c r="CM144" s="9">
        <v>9.7517691552639008E-2</v>
      </c>
      <c r="CN144" s="9">
        <v>3.2336749136447906E-2</v>
      </c>
      <c r="CO144" s="9">
        <v>0.19722434878349304</v>
      </c>
      <c r="CP144" s="9">
        <v>0.19982472062110901</v>
      </c>
      <c r="CQ144" s="9">
        <v>0.33606550097465515</v>
      </c>
      <c r="CR144">
        <v>-10.630829099307158</v>
      </c>
      <c r="CS144">
        <v>-0.31881208224005286</v>
      </c>
      <c r="CT144">
        <v>0</v>
      </c>
      <c r="CU144" s="8">
        <v>-0.33345126146450638</v>
      </c>
      <c r="CV144" s="9">
        <v>-1.3090811133384705</v>
      </c>
      <c r="CW144">
        <v>0.06</v>
      </c>
      <c r="CX144">
        <v>4.5444838449111469</v>
      </c>
      <c r="CY144" t="s">
        <v>8246</v>
      </c>
      <c r="CZ144">
        <v>-0.33345126146450638</v>
      </c>
      <c r="DA144">
        <v>1.5148279483037157</v>
      </c>
      <c r="DB144" t="s">
        <v>8247</v>
      </c>
      <c r="DC144">
        <v>-0.31677869839128103</v>
      </c>
      <c r="DD144">
        <v>0.75741397415185785</v>
      </c>
      <c r="DE144" t="s">
        <v>8248</v>
      </c>
      <c r="DF144">
        <v>-0.29343711008876561</v>
      </c>
      <c r="DG144">
        <v>0.45444838449111469</v>
      </c>
      <c r="DH144" t="s">
        <v>8249</v>
      </c>
      <c r="DI144">
        <v>-0.26676100917160511</v>
      </c>
      <c r="DJ144">
        <v>0.22722419224555734</v>
      </c>
      <c r="DK144" t="s">
        <v>8250</v>
      </c>
      <c r="DL144">
        <v>-0.23341588302515445</v>
      </c>
      <c r="DM144">
        <v>1857000000</v>
      </c>
      <c r="DN144">
        <v>-0.33345126146450638</v>
      </c>
      <c r="DO144">
        <v>8439106500</v>
      </c>
      <c r="DP144" t="e">
        <v>#VALUE!</v>
      </c>
      <c r="DQ144">
        <v>143</v>
      </c>
      <c r="DR144" t="e">
        <v>#VALUE!</v>
      </c>
      <c r="DS144">
        <v>1.1601811133384705</v>
      </c>
      <c r="DT144" t="e">
        <v>#VALUE!</v>
      </c>
      <c r="DU144" t="e">
        <v>#VALUE!</v>
      </c>
      <c r="DV144" t="e">
        <v>#VALUE!</v>
      </c>
      <c r="DW144">
        <v>-5.567814854682454</v>
      </c>
      <c r="DX144">
        <v>0.97318479532164015</v>
      </c>
      <c r="DY144">
        <v>-5.1551183848570119</v>
      </c>
      <c r="DZ144">
        <v>0</v>
      </c>
      <c r="EA144">
        <v>-5.1551183848570119</v>
      </c>
      <c r="EB144">
        <v>5</v>
      </c>
      <c r="EC144">
        <v>2.8618490355734282E-2</v>
      </c>
      <c r="ED144">
        <v>0.10475872320068164</v>
      </c>
      <c r="EE144">
        <v>0</v>
      </c>
      <c r="EF144">
        <v>0</v>
      </c>
      <c r="EG144">
        <v>70.27318479532164</v>
      </c>
      <c r="EH144" t="s">
        <v>110</v>
      </c>
      <c r="EI144">
        <v>0</v>
      </c>
      <c r="EJ144">
        <v>0</v>
      </c>
      <c r="EK144">
        <v>0</v>
      </c>
      <c r="EL144">
        <v>0</v>
      </c>
      <c r="EM144">
        <v>0</v>
      </c>
      <c r="EN144">
        <v>0</v>
      </c>
      <c r="EO144">
        <v>0</v>
      </c>
      <c r="EP144">
        <v>0</v>
      </c>
    </row>
    <row r="145" spans="1:146" ht="96" x14ac:dyDescent="0.25">
      <c r="A145" s="7"/>
      <c r="B145" s="7"/>
      <c r="C145" s="7" t="str">
        <f>""&amp;CHAR(10)&amp;Basic_Fundamental_Information_Constructure(F145)&amp;CHAR(10)&amp;Basic_Fundamental_Information_Concatenate("")</f>
        <v xml:space="preserve">
市值62.073648亿, 利润9.22亿; PE6.73; 平均PE30.76; 平均PEG8.52, PB.755; ROIC6.8633%; ROE12.8567%; 股利率0%; 毛利4.5833%; 净利1.33%; 上一年度营收增-4.44%, 利润增-29.83%, 利润增12.02%; 过往5年营收增-3.61%, 利润增-27%
Income profile:
</v>
      </c>
      <c r="D145" s="11">
        <v>856</v>
      </c>
      <c r="E145" t="s">
        <v>2393</v>
      </c>
      <c r="F145">
        <v>4.32</v>
      </c>
      <c r="G145" s="5">
        <v>-1.5900000000000001E-2</v>
      </c>
      <c r="H145" t="s">
        <v>8251</v>
      </c>
      <c r="I145">
        <v>6207364800</v>
      </c>
      <c r="J145">
        <v>6.73</v>
      </c>
      <c r="K145">
        <v>0.755</v>
      </c>
      <c r="L145" t="s">
        <v>6350</v>
      </c>
      <c r="M145" t="s">
        <v>9</v>
      </c>
      <c r="N145" t="s">
        <v>9</v>
      </c>
      <c r="O145" t="s">
        <v>9</v>
      </c>
      <c r="P145" t="s">
        <v>9</v>
      </c>
      <c r="Q145" t="s">
        <v>8252</v>
      </c>
      <c r="R145">
        <v>922033000</v>
      </c>
      <c r="S145" s="5">
        <v>0.1202</v>
      </c>
      <c r="T145" t="s">
        <v>221</v>
      </c>
      <c r="U145">
        <v>1436890000</v>
      </c>
      <c r="V145">
        <v>1436890000</v>
      </c>
      <c r="W145" t="s">
        <v>9</v>
      </c>
      <c r="X145" t="s">
        <v>9</v>
      </c>
      <c r="Y145" t="s">
        <v>9</v>
      </c>
      <c r="Z145" t="s">
        <v>9</v>
      </c>
      <c r="AA145" t="s">
        <v>9</v>
      </c>
      <c r="AB145" t="s">
        <v>9</v>
      </c>
      <c r="AC145" t="s">
        <v>9</v>
      </c>
      <c r="AD145" t="s">
        <v>9</v>
      </c>
      <c r="AE145" t="s">
        <v>9</v>
      </c>
      <c r="AF145" t="s">
        <v>9</v>
      </c>
      <c r="AG145" t="s">
        <v>9</v>
      </c>
      <c r="AH145" t="s">
        <v>8253</v>
      </c>
      <c r="AI145" t="s">
        <v>9</v>
      </c>
      <c r="AJ145" t="s">
        <v>9</v>
      </c>
      <c r="AK145" t="s">
        <v>8254</v>
      </c>
      <c r="AL145" t="s">
        <v>9</v>
      </c>
      <c r="AM145" t="s">
        <v>9</v>
      </c>
      <c r="AN145" s="5">
        <v>0.76519999999999999</v>
      </c>
      <c r="AO145" t="s">
        <v>9</v>
      </c>
      <c r="AP145" t="s">
        <v>8255</v>
      </c>
      <c r="AQ145" t="s">
        <v>9</v>
      </c>
      <c r="AR145" t="s">
        <v>8256</v>
      </c>
      <c r="AS145" t="s">
        <v>9</v>
      </c>
      <c r="AT145" t="s">
        <v>9</v>
      </c>
      <c r="AU145" t="s">
        <v>2345</v>
      </c>
      <c r="AV145" t="s">
        <v>1133</v>
      </c>
      <c r="AW145" t="s">
        <v>9</v>
      </c>
      <c r="AX145" t="s">
        <v>2394</v>
      </c>
      <c r="AY145" t="s">
        <v>2396</v>
      </c>
      <c r="AZ145" t="s">
        <v>2397</v>
      </c>
      <c r="BA145" t="s">
        <v>2398</v>
      </c>
      <c r="BB145" t="s">
        <v>2399</v>
      </c>
      <c r="BC145" t="s">
        <v>1644</v>
      </c>
      <c r="BD145" t="s">
        <v>2400</v>
      </c>
      <c r="BE145" t="s">
        <v>2401</v>
      </c>
      <c r="BF145" t="s">
        <v>2402</v>
      </c>
      <c r="BG145" t="s">
        <v>2369</v>
      </c>
      <c r="BH145" t="s">
        <v>2394</v>
      </c>
      <c r="BI145" t="s">
        <v>9</v>
      </c>
      <c r="BJ145" t="s">
        <v>2396</v>
      </c>
      <c r="BK145" t="s">
        <v>2395</v>
      </c>
      <c r="BL145" t="s">
        <v>9</v>
      </c>
      <c r="BM145" t="s">
        <v>1644</v>
      </c>
      <c r="BN145">
        <v>5.69</v>
      </c>
      <c r="BO145">
        <v>5.44</v>
      </c>
      <c r="BP145">
        <v>9.4600000000000009</v>
      </c>
      <c r="BQ145">
        <v>11.21</v>
      </c>
      <c r="BR145">
        <v>10.75</v>
      </c>
      <c r="BS145">
        <v>16.61</v>
      </c>
      <c r="BT145" t="s">
        <v>2403</v>
      </c>
      <c r="BU145" t="s">
        <v>551</v>
      </c>
      <c r="BV145">
        <v>4.7300000000000004</v>
      </c>
      <c r="BW145">
        <v>4.37</v>
      </c>
      <c r="BX145">
        <v>4.6500000000000004</v>
      </c>
      <c r="BY145">
        <v>1.25</v>
      </c>
      <c r="BZ145">
        <v>1.06</v>
      </c>
      <c r="CA145">
        <v>1.68</v>
      </c>
      <c r="CB145">
        <v>-6.09</v>
      </c>
      <c r="CC145">
        <v>-10.43</v>
      </c>
      <c r="CD145" t="s">
        <v>8257</v>
      </c>
      <c r="CE145" t="s">
        <v>8258</v>
      </c>
      <c r="CF145" s="8" t="s">
        <v>9</v>
      </c>
      <c r="CG145" s="9">
        <v>0.1202</v>
      </c>
      <c r="CH145" s="8">
        <v>-4.4397663325071335E-2</v>
      </c>
      <c r="CI145" s="8">
        <v>-1.2906099669635296E-2</v>
      </c>
      <c r="CJ145" s="8">
        <v>0.1196792870759964</v>
      </c>
      <c r="CK145" s="8">
        <v>0.11971441656351089</v>
      </c>
      <c r="CL145" s="8">
        <v>0.14555492997169495</v>
      </c>
      <c r="CM145" s="9">
        <v>-0.29832571744918823</v>
      </c>
      <c r="CN145" s="9">
        <v>0.23033708333969116</v>
      </c>
      <c r="CO145" s="9">
        <v>0.31851851940155029</v>
      </c>
      <c r="CP145" s="9">
        <v>9.3117408454418182E-2</v>
      </c>
      <c r="CQ145" s="9">
        <v>3.4916199743747711E-2</v>
      </c>
      <c r="CR145">
        <v>30.757019702511329</v>
      </c>
      <c r="CS145">
        <v>8.523054569668723</v>
      </c>
      <c r="CT145">
        <v>0</v>
      </c>
      <c r="CU145" s="8">
        <v>-3.6086850613355634E-2</v>
      </c>
      <c r="CV145" s="9">
        <v>-0.27001227736473082</v>
      </c>
      <c r="CW145">
        <v>0.06</v>
      </c>
      <c r="CX145">
        <v>6.73249978308026</v>
      </c>
      <c r="CY145" t="s">
        <v>8259</v>
      </c>
      <c r="CZ145">
        <v>-3.6086850613355634E-2</v>
      </c>
      <c r="DA145">
        <v>2.2441665943600868</v>
      </c>
      <c r="DB145" t="s">
        <v>8260</v>
      </c>
      <c r="DC145">
        <v>-3.4282508082687853E-2</v>
      </c>
      <c r="DD145">
        <v>1.1220832971800434</v>
      </c>
      <c r="DE145" t="s">
        <v>8261</v>
      </c>
      <c r="DF145">
        <v>-3.1756428539752961E-2</v>
      </c>
      <c r="DG145">
        <v>0.67324997830802602</v>
      </c>
      <c r="DH145" t="s">
        <v>8262</v>
      </c>
      <c r="DI145">
        <v>-2.886948049068451E-2</v>
      </c>
      <c r="DJ145">
        <v>0.33662498915401301</v>
      </c>
      <c r="DK145" t="s">
        <v>8263</v>
      </c>
      <c r="DL145">
        <v>-2.5260795429348941E-2</v>
      </c>
      <c r="DM145">
        <v>922000000.00000012</v>
      </c>
      <c r="DN145">
        <v>-3.6086850613355634E-2</v>
      </c>
      <c r="DO145">
        <v>6207364800</v>
      </c>
      <c r="DP145" t="e">
        <v>#VALUE!</v>
      </c>
      <c r="DQ145">
        <v>144</v>
      </c>
      <c r="DR145" t="e">
        <v>#VALUE!</v>
      </c>
      <c r="DS145">
        <v>0.39021227736473085</v>
      </c>
      <c r="DT145" t="e">
        <v>#VALUE!</v>
      </c>
      <c r="DU145" t="e">
        <v>#VALUE!</v>
      </c>
      <c r="DV145" t="e">
        <v>#VALUE!</v>
      </c>
      <c r="DW145">
        <v>-9.5838926174496653</v>
      </c>
      <c r="DX145">
        <v>0.37582488515892276</v>
      </c>
      <c r="DY145">
        <v>-9.0968239262337338</v>
      </c>
      <c r="DZ145">
        <v>0</v>
      </c>
      <c r="EA145">
        <v>-9.0968239262337338</v>
      </c>
      <c r="EB145">
        <v>9</v>
      </c>
      <c r="EC145">
        <v>6.9690790526762657E-3</v>
      </c>
      <c r="ED145">
        <v>4.2026738302862431E-2</v>
      </c>
      <c r="EE145">
        <v>0</v>
      </c>
      <c r="EF145">
        <v>0</v>
      </c>
      <c r="EG145">
        <v>21.165824885158923</v>
      </c>
      <c r="EH145" t="s">
        <v>110</v>
      </c>
      <c r="EI145">
        <v>0</v>
      </c>
      <c r="EJ145">
        <v>0</v>
      </c>
      <c r="EK145">
        <v>0</v>
      </c>
      <c r="EL145">
        <v>0</v>
      </c>
      <c r="EM145">
        <v>0</v>
      </c>
      <c r="EN145">
        <v>0</v>
      </c>
      <c r="EO145">
        <v>0</v>
      </c>
      <c r="EP145">
        <v>0</v>
      </c>
    </row>
    <row r="146" spans="1:146" ht="96" x14ac:dyDescent="0.25">
      <c r="A146" s="7"/>
      <c r="B146" s="7"/>
      <c r="C146" s="7" t="str">
        <f>""&amp;CHAR(10)&amp;Basic_Fundamental_Information_Constructure(F146)&amp;CHAR(10)&amp;Basic_Fundamental_Information_Concatenate("")</f>
        <v xml:space="preserve">
市值13854.688亿, 利润1766.48亿; PE7.87; 平均PE47.64; 平均PEG4.96, PB.861; ROIC8.0633%; ROE9.78%; 毛利32.82%; 净利5.1467%; 上一年度营收增-9.67%, 利润增56.52%; 当季营收增-8.86%, 利润增-1.18%; 过往5年营收增-9.6%, 利润增-334.72%
Income profile:
</v>
      </c>
      <c r="D146" s="11">
        <v>857</v>
      </c>
      <c r="E146" t="s">
        <v>2404</v>
      </c>
      <c r="F146">
        <v>7.57</v>
      </c>
      <c r="G146" s="5">
        <v>-1.9400000000000001E-2</v>
      </c>
      <c r="H146" t="s">
        <v>3211</v>
      </c>
      <c r="I146">
        <v>1385468800000</v>
      </c>
      <c r="J146">
        <v>7.87</v>
      </c>
      <c r="K146">
        <v>0.86099999999999999</v>
      </c>
      <c r="L146" t="s">
        <v>6350</v>
      </c>
      <c r="M146" t="s">
        <v>8264</v>
      </c>
      <c r="N146" t="s">
        <v>8265</v>
      </c>
      <c r="O146" t="s">
        <v>8266</v>
      </c>
      <c r="P146">
        <v>10.88</v>
      </c>
      <c r="Q146" t="s">
        <v>8267</v>
      </c>
      <c r="R146">
        <v>176648250000</v>
      </c>
      <c r="S146" s="5">
        <v>-1.18E-2</v>
      </c>
      <c r="T146" t="s">
        <v>8268</v>
      </c>
      <c r="U146">
        <v>21098900000</v>
      </c>
      <c r="V146">
        <v>183020980000</v>
      </c>
      <c r="W146">
        <v>1.85</v>
      </c>
      <c r="X146">
        <v>0.28999999999999998</v>
      </c>
      <c r="Y146">
        <v>7.48</v>
      </c>
      <c r="Z146" t="s">
        <v>8269</v>
      </c>
      <c r="AA146" t="s">
        <v>8270</v>
      </c>
      <c r="AB146" t="s">
        <v>9</v>
      </c>
      <c r="AC146" t="s">
        <v>8271</v>
      </c>
      <c r="AD146" t="s">
        <v>8272</v>
      </c>
      <c r="AE146" t="s">
        <v>8273</v>
      </c>
      <c r="AF146" t="s">
        <v>9</v>
      </c>
      <c r="AG146" t="s">
        <v>993</v>
      </c>
      <c r="AH146" t="s">
        <v>8274</v>
      </c>
      <c r="AI146" t="s">
        <v>8275</v>
      </c>
      <c r="AJ146" t="s">
        <v>8276</v>
      </c>
      <c r="AK146" t="s">
        <v>8277</v>
      </c>
      <c r="AL146" t="s">
        <v>9</v>
      </c>
      <c r="AM146" t="s">
        <v>8278</v>
      </c>
      <c r="AN146" s="5">
        <v>0.38969999999999999</v>
      </c>
      <c r="AO146" t="s">
        <v>8279</v>
      </c>
      <c r="AP146" t="s">
        <v>9</v>
      </c>
      <c r="AQ146" t="s">
        <v>9</v>
      </c>
      <c r="AR146" t="s">
        <v>8280</v>
      </c>
      <c r="AS146" t="s">
        <v>8281</v>
      </c>
      <c r="AT146" t="s">
        <v>8282</v>
      </c>
      <c r="AU146" t="s">
        <v>8283</v>
      </c>
      <c r="AV146" t="s">
        <v>8284</v>
      </c>
      <c r="AW146" t="s">
        <v>8285</v>
      </c>
      <c r="AX146" t="s">
        <v>2405</v>
      </c>
      <c r="AY146" t="s">
        <v>2409</v>
      </c>
      <c r="AZ146" t="s">
        <v>2410</v>
      </c>
      <c r="BA146" t="s">
        <v>2411</v>
      </c>
      <c r="BB146" t="s">
        <v>2412</v>
      </c>
      <c r="BC146" t="s">
        <v>2413</v>
      </c>
      <c r="BD146" t="s">
        <v>2414</v>
      </c>
      <c r="BE146" t="s">
        <v>2415</v>
      </c>
      <c r="BF146" t="s">
        <v>2416</v>
      </c>
      <c r="BG146" t="s">
        <v>2417</v>
      </c>
      <c r="BH146" t="s">
        <v>2405</v>
      </c>
      <c r="BI146" t="s">
        <v>2418</v>
      </c>
      <c r="BJ146" t="s">
        <v>2409</v>
      </c>
      <c r="BK146" t="s">
        <v>2406</v>
      </c>
      <c r="BL146" t="s">
        <v>8286</v>
      </c>
      <c r="BM146" t="s">
        <v>2413</v>
      </c>
      <c r="BN146">
        <v>9.3800000000000008</v>
      </c>
      <c r="BO146">
        <v>9.0299999999999994</v>
      </c>
      <c r="BP146">
        <v>5.78</v>
      </c>
      <c r="BQ146">
        <v>11.14</v>
      </c>
      <c r="BR146">
        <v>10.91</v>
      </c>
      <c r="BS146">
        <v>7.29</v>
      </c>
      <c r="BT146" t="s">
        <v>8287</v>
      </c>
      <c r="BU146" t="s">
        <v>1410</v>
      </c>
      <c r="BV146">
        <v>34.479999999999997</v>
      </c>
      <c r="BW146">
        <v>31.68</v>
      </c>
      <c r="BX146">
        <v>32.299999999999997</v>
      </c>
      <c r="BY146">
        <v>5.99</v>
      </c>
      <c r="BZ146">
        <v>5.0599999999999996</v>
      </c>
      <c r="CA146">
        <v>4.3899999999999997</v>
      </c>
      <c r="CB146">
        <v>-2.95</v>
      </c>
      <c r="CC146">
        <v>3.88</v>
      </c>
      <c r="CD146" t="s">
        <v>4244</v>
      </c>
      <c r="CE146" t="s">
        <v>3297</v>
      </c>
      <c r="CF146" s="8">
        <v>-8.8574591429487121E-2</v>
      </c>
      <c r="CG146" s="9">
        <v>-1.18E-2</v>
      </c>
      <c r="CH146" s="8">
        <v>-9.6722207963466644E-2</v>
      </c>
      <c r="CI146" s="8">
        <v>0.14145451784133911</v>
      </c>
      <c r="CJ146" s="8">
        <v>0.38887399435043335</v>
      </c>
      <c r="CK146" s="8">
        <v>-0.14761321246623993</v>
      </c>
      <c r="CL146" s="8">
        <v>0.11885259300470352</v>
      </c>
      <c r="CM146" s="9">
        <v>0.56516802310943604</v>
      </c>
      <c r="CN146" s="9">
        <v>3.9822099208831787</v>
      </c>
      <c r="CO146" s="9">
        <v>-0.55625855922698975</v>
      </c>
      <c r="CP146" s="9">
        <v>-0.15461936593055725</v>
      </c>
      <c r="CQ146" s="9">
        <v>1.2093075513839722</v>
      </c>
      <c r="CR146">
        <v>47.642125667515145</v>
      </c>
      <c r="CS146">
        <v>4.9643751253191768</v>
      </c>
      <c r="CT146" t="e">
        <v>#VALUE!</v>
      </c>
      <c r="CU146" s="8">
        <v>-9.5968021079897881E-2</v>
      </c>
      <c r="CV146" s="9">
        <v>-3.3471561431884767</v>
      </c>
      <c r="CW146">
        <v>0.06</v>
      </c>
      <c r="CX146">
        <v>4.1349395407816685</v>
      </c>
      <c r="CY146" t="s">
        <v>8288</v>
      </c>
      <c r="CZ146">
        <v>-9.5968021079897881E-2</v>
      </c>
      <c r="DA146">
        <v>1.3783131802605564</v>
      </c>
      <c r="DB146" t="s">
        <v>8289</v>
      </c>
      <c r="DC146">
        <v>-9.1169620025902981E-2</v>
      </c>
      <c r="DD146">
        <v>0.68915659013027819</v>
      </c>
      <c r="DE146" t="s">
        <v>8290</v>
      </c>
      <c r="DF146">
        <v>-8.4451858550310135E-2</v>
      </c>
      <c r="DG146">
        <v>0.41349395407816691</v>
      </c>
      <c r="DH146" t="s">
        <v>8291</v>
      </c>
      <c r="DI146">
        <v>-7.677441686391831E-2</v>
      </c>
      <c r="DJ146">
        <v>0.20674697703908346</v>
      </c>
      <c r="DK146" t="s">
        <v>8292</v>
      </c>
      <c r="DL146">
        <v>-6.7177614755928511E-2</v>
      </c>
      <c r="DM146">
        <v>176648000000</v>
      </c>
      <c r="DN146">
        <v>-9.5968021079897881E-2</v>
      </c>
      <c r="DO146">
        <v>730428800000.00024</v>
      </c>
      <c r="DP146" t="e">
        <v>#VALUE!</v>
      </c>
      <c r="DQ146">
        <v>145</v>
      </c>
      <c r="DR146">
        <v>7.3934296504107599E-3</v>
      </c>
      <c r="DS146">
        <v>3.3353561431884766</v>
      </c>
      <c r="DT146">
        <v>-0.60666666666666669</v>
      </c>
      <c r="DU146">
        <v>-1.3833333333333331</v>
      </c>
      <c r="DV146">
        <v>-1.9899999999999998</v>
      </c>
      <c r="DW146">
        <v>-6.4319180087847734</v>
      </c>
      <c r="DX146">
        <v>0.48645867169493784</v>
      </c>
      <c r="DY146">
        <v>-6.045981417496348</v>
      </c>
      <c r="DZ146">
        <v>0</v>
      </c>
      <c r="EA146">
        <v>-6.045981417496348</v>
      </c>
      <c r="EB146">
        <v>6</v>
      </c>
      <c r="EC146">
        <v>2.1254393895169831E-3</v>
      </c>
      <c r="ED146">
        <v>1.9964924239833051E-2</v>
      </c>
      <c r="EE146">
        <v>0</v>
      </c>
      <c r="EF146">
        <v>0</v>
      </c>
      <c r="EG146">
        <v>38.106458671694938</v>
      </c>
      <c r="EH146" t="s">
        <v>110</v>
      </c>
      <c r="EI146">
        <v>0</v>
      </c>
      <c r="EJ146">
        <v>0</v>
      </c>
      <c r="EK146">
        <v>0</v>
      </c>
      <c r="EL146">
        <v>0</v>
      </c>
      <c r="EM146">
        <v>0</v>
      </c>
      <c r="EN146">
        <v>0</v>
      </c>
      <c r="EO146">
        <v>0</v>
      </c>
      <c r="EP146">
        <v>0</v>
      </c>
    </row>
    <row r="147" spans="1:146" ht="96" x14ac:dyDescent="0.25">
      <c r="A147" s="7"/>
      <c r="B147" s="7"/>
      <c r="C147" s="7" t="str">
        <f>""&amp;CHAR(10)&amp;Basic_Fundamental_Information_Constructure(F147)&amp;CHAR(10)&amp;Basic_Fundamental_Information_Concatenate("")</f>
        <v xml:space="preserve">
市值57.237373亿, 利润-20.10亿; PE; 平均PE-60.46; 平均PEG-1.67, PB.829; ROIC-3.0967%; ROE-6.14%; 股利率0%; 毛利16.52%; 净利-.6467%; 上一年度营收增.05%, 利润增-377.24%, 利润增-674.1%; 过往5年营收增36.21%, 利润增62.99%
Income profile:
</v>
      </c>
      <c r="D147" s="11">
        <v>861</v>
      </c>
      <c r="E147" t="s">
        <v>2420</v>
      </c>
      <c r="F147">
        <v>3.42</v>
      </c>
      <c r="G147" s="5">
        <v>-2.8999999999999998E-3</v>
      </c>
      <c r="H147" t="s">
        <v>8293</v>
      </c>
      <c r="I147">
        <v>5723737300</v>
      </c>
      <c r="K147">
        <v>0.82899999999999996</v>
      </c>
      <c r="L147" t="s">
        <v>6350</v>
      </c>
      <c r="M147" t="s">
        <v>9</v>
      </c>
      <c r="N147" t="s">
        <v>9</v>
      </c>
      <c r="O147" t="s">
        <v>9</v>
      </c>
      <c r="P147" t="s">
        <v>9</v>
      </c>
      <c r="Q147" t="s">
        <v>8294</v>
      </c>
      <c r="R147">
        <v>-2010089900</v>
      </c>
      <c r="S147" s="5">
        <v>-6.7409999999999997</v>
      </c>
      <c r="T147" t="s">
        <v>8295</v>
      </c>
      <c r="U147">
        <v>1673607400</v>
      </c>
      <c r="V147">
        <v>1673607400</v>
      </c>
      <c r="W147" t="s">
        <v>9</v>
      </c>
      <c r="X147" t="s">
        <v>9</v>
      </c>
      <c r="Y147" t="s">
        <v>9</v>
      </c>
      <c r="Z147" t="s">
        <v>9</v>
      </c>
      <c r="AA147" t="s">
        <v>9</v>
      </c>
      <c r="AB147" t="s">
        <v>9</v>
      </c>
      <c r="AC147" t="s">
        <v>9</v>
      </c>
      <c r="AD147" t="s">
        <v>2401</v>
      </c>
      <c r="AE147" t="s">
        <v>9</v>
      </c>
      <c r="AF147" t="s">
        <v>9</v>
      </c>
      <c r="AG147" t="s">
        <v>9</v>
      </c>
      <c r="AH147" t="s">
        <v>8296</v>
      </c>
      <c r="AI147" t="s">
        <v>9</v>
      </c>
      <c r="AJ147" t="s">
        <v>9</v>
      </c>
      <c r="AK147" t="s">
        <v>8297</v>
      </c>
      <c r="AL147" t="s">
        <v>9</v>
      </c>
      <c r="AM147" t="s">
        <v>9</v>
      </c>
      <c r="AN147" s="5">
        <v>0.54530000000000001</v>
      </c>
      <c r="AO147" t="s">
        <v>9</v>
      </c>
      <c r="AP147" t="s">
        <v>1686</v>
      </c>
      <c r="AQ147" t="s">
        <v>9</v>
      </c>
      <c r="AR147" t="s">
        <v>8298</v>
      </c>
      <c r="AS147" t="s">
        <v>9</v>
      </c>
      <c r="AT147" t="s">
        <v>9</v>
      </c>
      <c r="AU147" t="s">
        <v>8299</v>
      </c>
      <c r="AV147" t="s">
        <v>6362</v>
      </c>
      <c r="AW147" t="s">
        <v>9</v>
      </c>
      <c r="AX147" t="s">
        <v>2421</v>
      </c>
      <c r="AY147" t="s">
        <v>2423</v>
      </c>
      <c r="AZ147" t="s">
        <v>2424</v>
      </c>
      <c r="BA147" t="s">
        <v>2425</v>
      </c>
      <c r="BB147" t="s">
        <v>2426</v>
      </c>
      <c r="BC147" t="s">
        <v>7616</v>
      </c>
      <c r="BD147" t="s">
        <v>1216</v>
      </c>
      <c r="BE147" t="s">
        <v>2428</v>
      </c>
      <c r="BF147" t="s">
        <v>148</v>
      </c>
      <c r="BG147" t="s">
        <v>2429</v>
      </c>
      <c r="BH147" t="s">
        <v>2421</v>
      </c>
      <c r="BI147" t="s">
        <v>9</v>
      </c>
      <c r="BJ147" t="s">
        <v>2423</v>
      </c>
      <c r="BK147" t="s">
        <v>2422</v>
      </c>
      <c r="BL147" t="s">
        <v>9</v>
      </c>
      <c r="BM147" t="s">
        <v>7616</v>
      </c>
      <c r="BN147">
        <v>-17.010000000000002</v>
      </c>
      <c r="BO147">
        <v>2.63</v>
      </c>
      <c r="BP147">
        <v>5.09</v>
      </c>
      <c r="BQ147">
        <v>-29.13</v>
      </c>
      <c r="BR147">
        <v>3.71</v>
      </c>
      <c r="BS147">
        <v>7</v>
      </c>
      <c r="BT147" t="s">
        <v>8300</v>
      </c>
      <c r="BU147" t="s">
        <v>551</v>
      </c>
      <c r="BV147">
        <v>14.67</v>
      </c>
      <c r="BW147">
        <v>16.559999999999999</v>
      </c>
      <c r="BX147">
        <v>18.329999999999998</v>
      </c>
      <c r="BY147">
        <v>-9.31</v>
      </c>
      <c r="BZ147">
        <v>2.63</v>
      </c>
      <c r="CA147">
        <v>4.74</v>
      </c>
      <c r="CB147">
        <v>0</v>
      </c>
      <c r="CC147">
        <v>11.4</v>
      </c>
      <c r="CD147" t="s">
        <v>8301</v>
      </c>
      <c r="CE147" t="s">
        <v>15</v>
      </c>
      <c r="CF147" s="8" t="s">
        <v>9</v>
      </c>
      <c r="CG147" s="9">
        <v>-6.7409999999999997</v>
      </c>
      <c r="CH147" s="8">
        <v>5.4933119099587202E-4</v>
      </c>
      <c r="CI147" s="8">
        <v>-4.3972305953502655E-2</v>
      </c>
      <c r="CJ147" s="8">
        <v>5.6760910898447037E-2</v>
      </c>
      <c r="CK147" s="8">
        <v>0.29933130741119385</v>
      </c>
      <c r="CL147" s="8">
        <v>0.15150600671768188</v>
      </c>
      <c r="CM147" s="9">
        <v>-3.772413969039917</v>
      </c>
      <c r="CN147" s="9">
        <v>0.18270799517631531</v>
      </c>
      <c r="CO147" s="9">
        <v>1.0298013687133789</v>
      </c>
      <c r="CP147" s="9">
        <v>1.0133333206176758</v>
      </c>
      <c r="CQ147" s="9">
        <v>1.3631961345672607</v>
      </c>
      <c r="CR147">
        <v>-60.462013732394347</v>
      </c>
      <c r="CS147">
        <v>-1.6697439392900495</v>
      </c>
      <c r="CT147">
        <v>0</v>
      </c>
      <c r="CU147" s="8">
        <v>0.36210350766777993</v>
      </c>
      <c r="CV147" s="9">
        <v>0.62994677424430845</v>
      </c>
      <c r="CW147">
        <v>0.06</v>
      </c>
      <c r="CX147" t="e">
        <v>#VALUE!</v>
      </c>
      <c r="CY147" t="s">
        <v>109</v>
      </c>
      <c r="CZ147">
        <v>0.36210350766777993</v>
      </c>
      <c r="DA147" t="e">
        <v>#VALUE!</v>
      </c>
      <c r="DB147" t="s">
        <v>108</v>
      </c>
      <c r="DC147">
        <v>0.34399833228439092</v>
      </c>
      <c r="DD147" t="e">
        <v>#VALUE!</v>
      </c>
      <c r="DE147" t="s">
        <v>108</v>
      </c>
      <c r="DF147">
        <v>0.31865108674764636</v>
      </c>
      <c r="DG147" t="e">
        <v>#VALUE!</v>
      </c>
      <c r="DH147" t="s">
        <v>108</v>
      </c>
      <c r="DI147">
        <v>0.28968280613422398</v>
      </c>
      <c r="DJ147" t="e">
        <v>#VALUE!</v>
      </c>
      <c r="DK147" t="s">
        <v>108</v>
      </c>
      <c r="DL147">
        <v>0.25347245536744595</v>
      </c>
      <c r="DM147">
        <v>-2010000000.0000002</v>
      </c>
      <c r="DN147">
        <v>0.36210350766777993</v>
      </c>
      <c r="DO147">
        <v>5723737300</v>
      </c>
      <c r="DP147" t="e">
        <v>#VALUE!</v>
      </c>
      <c r="DQ147">
        <v>146</v>
      </c>
      <c r="DR147" t="e">
        <v>#VALUE!</v>
      </c>
      <c r="DS147">
        <v>-7.3709467742443078</v>
      </c>
      <c r="DT147" t="e">
        <v>#VALUE!</v>
      </c>
      <c r="DU147" t="e">
        <v>#VALUE!</v>
      </c>
      <c r="DV147" t="e">
        <v>#VALUE!</v>
      </c>
      <c r="DW147">
        <v>2.1139999999999999</v>
      </c>
      <c r="DX147">
        <v>0.33835638297872306</v>
      </c>
      <c r="DY147">
        <v>2.0123526276595745</v>
      </c>
      <c r="DZ147">
        <v>0</v>
      </c>
      <c r="EA147">
        <v>2.0123526276595745</v>
      </c>
      <c r="EB147">
        <v>2</v>
      </c>
      <c r="EC147">
        <v>1.2171910807755751E-2</v>
      </c>
      <c r="ED147">
        <v>0.11233219929596391</v>
      </c>
      <c r="EE147">
        <v>0</v>
      </c>
      <c r="EF147">
        <v>0</v>
      </c>
      <c r="EG147">
        <v>23.108356382978723</v>
      </c>
      <c r="EH147" t="s">
        <v>110</v>
      </c>
      <c r="EI147">
        <v>1</v>
      </c>
      <c r="EJ147">
        <v>0</v>
      </c>
      <c r="EK147">
        <v>0</v>
      </c>
      <c r="EL147">
        <v>0</v>
      </c>
      <c r="EM147">
        <v>0</v>
      </c>
      <c r="EN147">
        <v>0</v>
      </c>
      <c r="EO147">
        <v>0</v>
      </c>
      <c r="EP147">
        <v>0</v>
      </c>
    </row>
    <row r="148" spans="1:146" ht="96" x14ac:dyDescent="0.25">
      <c r="A148" s="7"/>
      <c r="B148" s="7"/>
      <c r="C148" s="7" t="str">
        <f>""&amp;CHAR(10)&amp;Basic_Fundamental_Information_Constructure(F148)&amp;CHAR(10)&amp;Basic_Fundamental_Information_Concatenate("")</f>
        <v xml:space="preserve">
市值160.27702亿, 利润26.32亿; PE6.09; 平均PE2.74; 平均PEG.15, PB.942; ROIC19.5933%; ROE20.49%; 股利率0%; 毛利76.02%; 净利33.95%; 上一年度营收增-14.91%, 利润增-28.77%, 利润增-28.41%; 过往5年营收增18.49%, 利润增30.62%
Income profile:
</v>
      </c>
      <c r="D148" s="11">
        <v>867</v>
      </c>
      <c r="E148" t="s">
        <v>2430</v>
      </c>
      <c r="F148">
        <v>6.57</v>
      </c>
      <c r="G148" s="5">
        <v>-2.6700000000000002E-2</v>
      </c>
      <c r="H148" t="s">
        <v>8302</v>
      </c>
      <c r="I148">
        <v>16027702000</v>
      </c>
      <c r="J148">
        <v>6.09</v>
      </c>
      <c r="K148">
        <v>0.94199999999999995</v>
      </c>
      <c r="L148" t="s">
        <v>6350</v>
      </c>
      <c r="M148" t="s">
        <v>9</v>
      </c>
      <c r="N148" t="s">
        <v>9</v>
      </c>
      <c r="O148" t="s">
        <v>9</v>
      </c>
      <c r="P148" t="s">
        <v>9</v>
      </c>
      <c r="Q148" t="s">
        <v>8303</v>
      </c>
      <c r="R148">
        <v>2631910400</v>
      </c>
      <c r="S148" s="5">
        <v>-0.28410000000000002</v>
      </c>
      <c r="T148" t="s">
        <v>8304</v>
      </c>
      <c r="U148">
        <v>2451988500</v>
      </c>
      <c r="V148">
        <v>2451988500</v>
      </c>
      <c r="W148" t="s">
        <v>9</v>
      </c>
      <c r="X148" t="s">
        <v>9</v>
      </c>
      <c r="Y148" t="s">
        <v>9</v>
      </c>
      <c r="Z148" t="s">
        <v>9</v>
      </c>
      <c r="AA148" t="s">
        <v>9</v>
      </c>
      <c r="AB148" t="s">
        <v>9</v>
      </c>
      <c r="AC148" t="s">
        <v>9</v>
      </c>
      <c r="AD148" t="s">
        <v>1395</v>
      </c>
      <c r="AE148" t="s">
        <v>9</v>
      </c>
      <c r="AF148" t="s">
        <v>9</v>
      </c>
      <c r="AG148" t="s">
        <v>9</v>
      </c>
      <c r="AH148" t="s">
        <v>8305</v>
      </c>
      <c r="AI148" t="s">
        <v>9</v>
      </c>
      <c r="AJ148" t="s">
        <v>9</v>
      </c>
      <c r="AK148" t="s">
        <v>8306</v>
      </c>
      <c r="AL148" t="s">
        <v>9</v>
      </c>
      <c r="AM148" t="s">
        <v>9</v>
      </c>
      <c r="AN148" s="5">
        <v>0.1226</v>
      </c>
      <c r="AO148" t="s">
        <v>9</v>
      </c>
      <c r="AP148" t="s">
        <v>1805</v>
      </c>
      <c r="AQ148" t="s">
        <v>9</v>
      </c>
      <c r="AR148" t="s">
        <v>8307</v>
      </c>
      <c r="AS148" t="s">
        <v>9</v>
      </c>
      <c r="AT148" t="s">
        <v>9</v>
      </c>
      <c r="AU148" t="s">
        <v>4135</v>
      </c>
      <c r="AV148" t="s">
        <v>8308</v>
      </c>
      <c r="AW148" t="s">
        <v>9</v>
      </c>
      <c r="AX148" t="s">
        <v>2431</v>
      </c>
      <c r="AY148" t="s">
        <v>2433</v>
      </c>
      <c r="AZ148" t="s">
        <v>2434</v>
      </c>
      <c r="BA148" t="s">
        <v>2435</v>
      </c>
      <c r="BB148" t="s">
        <v>2436</v>
      </c>
      <c r="BC148" t="s">
        <v>2437</v>
      </c>
      <c r="BD148" t="s">
        <v>2438</v>
      </c>
      <c r="BE148" t="s">
        <v>2439</v>
      </c>
      <c r="BF148" t="s">
        <v>250</v>
      </c>
      <c r="BG148" t="s">
        <v>2440</v>
      </c>
      <c r="BH148" t="s">
        <v>2431</v>
      </c>
      <c r="BI148" t="s">
        <v>9</v>
      </c>
      <c r="BJ148" t="s">
        <v>2433</v>
      </c>
      <c r="BK148" t="s">
        <v>1986</v>
      </c>
      <c r="BL148" t="s">
        <v>9</v>
      </c>
      <c r="BM148" t="s">
        <v>2437</v>
      </c>
      <c r="BN148">
        <v>14.47</v>
      </c>
      <c r="BO148">
        <v>21.16</v>
      </c>
      <c r="BP148">
        <v>23.15</v>
      </c>
      <c r="BQ148">
        <v>15.47</v>
      </c>
      <c r="BR148">
        <v>22.34</v>
      </c>
      <c r="BS148">
        <v>23.66</v>
      </c>
      <c r="BT148" t="s">
        <v>8309</v>
      </c>
      <c r="BU148" t="s">
        <v>489</v>
      </c>
      <c r="BV148">
        <v>76.239999999999995</v>
      </c>
      <c r="BW148">
        <v>76.89</v>
      </c>
      <c r="BX148">
        <v>74.930000000000007</v>
      </c>
      <c r="BY148">
        <v>29.76</v>
      </c>
      <c r="BZ148">
        <v>35.799999999999997</v>
      </c>
      <c r="CA148">
        <v>36.29</v>
      </c>
      <c r="CB148">
        <v>-6.28</v>
      </c>
      <c r="CC148">
        <v>-11.93</v>
      </c>
      <c r="CD148" t="s">
        <v>8310</v>
      </c>
      <c r="CE148" t="s">
        <v>4638</v>
      </c>
      <c r="CF148" s="8" t="s">
        <v>9</v>
      </c>
      <c r="CG148" s="9">
        <v>-0.28410000000000002</v>
      </c>
      <c r="CH148" s="8">
        <v>-0.14908459782600403</v>
      </c>
      <c r="CI148" s="8">
        <v>1.1166604235768318E-2</v>
      </c>
      <c r="CJ148" s="8">
        <v>0.23311997950077057</v>
      </c>
      <c r="CK148" s="8">
        <v>0.33812838792800903</v>
      </c>
      <c r="CL148" s="8">
        <v>-3.5240974277257919E-2</v>
      </c>
      <c r="CM148" s="9">
        <v>-0.28768607974052429</v>
      </c>
      <c r="CN148" s="9">
        <v>0.22513264417648315</v>
      </c>
      <c r="CO148" s="9">
        <v>0.37654036283493042</v>
      </c>
      <c r="CP148" s="9">
        <v>4.0360905230045319E-2</v>
      </c>
      <c r="CQ148" s="9">
        <v>4.8804782330989838E-2</v>
      </c>
      <c r="CR148">
        <v>2.7407932282611793</v>
      </c>
      <c r="CS148">
        <v>0.14824089888152223</v>
      </c>
      <c r="CT148">
        <v>0</v>
      </c>
      <c r="CU148" s="8">
        <v>0.18488779067993164</v>
      </c>
      <c r="CV148" s="9">
        <v>0.30617426037788392</v>
      </c>
      <c r="CW148">
        <v>0.06</v>
      </c>
      <c r="CX148">
        <v>5.4477104315536327</v>
      </c>
      <c r="CY148">
        <v>2942098740.6316786</v>
      </c>
      <c r="CZ148">
        <v>0.18488779067993164</v>
      </c>
      <c r="DA148">
        <v>1.6442727441982761</v>
      </c>
      <c r="DB148">
        <v>9747593309.293026</v>
      </c>
      <c r="DC148">
        <v>0.17564340114593505</v>
      </c>
      <c r="DD148">
        <v>0.72521034332075751</v>
      </c>
      <c r="DE148">
        <v>22100763106.340603</v>
      </c>
      <c r="DF148">
        <v>0.16270125579833983</v>
      </c>
      <c r="DG148">
        <v>0.38279125858701396</v>
      </c>
      <c r="DH148">
        <v>41870606082.183228</v>
      </c>
      <c r="DI148">
        <v>0.14791023254394531</v>
      </c>
      <c r="DJ148">
        <v>0.14642131999722913</v>
      </c>
      <c r="DK148">
        <v>109462897891.53183</v>
      </c>
      <c r="DL148">
        <v>0.12942145347595213</v>
      </c>
      <c r="DM148">
        <v>2632000000</v>
      </c>
      <c r="DN148">
        <v>0.18488779067993164</v>
      </c>
      <c r="DO148">
        <v>16027702000</v>
      </c>
      <c r="DP148" t="e">
        <v>#VALUE!</v>
      </c>
      <c r="DQ148">
        <v>147</v>
      </c>
      <c r="DR148" t="e">
        <v>#VALUE!</v>
      </c>
      <c r="DS148">
        <v>-0.59027426037788389</v>
      </c>
      <c r="DT148" t="e">
        <v>#VALUE!</v>
      </c>
      <c r="DU148" t="e">
        <v>#VALUE!</v>
      </c>
      <c r="DV148" t="e">
        <v>#VALUE!</v>
      </c>
      <c r="DW148">
        <v>-9.5264040234702438</v>
      </c>
      <c r="DX148">
        <v>0.27365961538461364</v>
      </c>
      <c r="DY148">
        <v>-9.0387747179057314</v>
      </c>
      <c r="DZ148">
        <v>0</v>
      </c>
      <c r="EA148">
        <v>-9.0387747179057314</v>
      </c>
      <c r="EB148">
        <v>9</v>
      </c>
      <c r="EC148">
        <v>1.7183318763526013E-2</v>
      </c>
      <c r="ED148">
        <v>0.23328005004917438</v>
      </c>
      <c r="EE148">
        <v>0</v>
      </c>
      <c r="EF148">
        <v>0</v>
      </c>
      <c r="EG148">
        <v>20.073659615384614</v>
      </c>
      <c r="EH148" t="s">
        <v>110</v>
      </c>
      <c r="EI148">
        <v>0</v>
      </c>
      <c r="EJ148">
        <v>0</v>
      </c>
      <c r="EK148">
        <v>0</v>
      </c>
      <c r="EL148">
        <v>0</v>
      </c>
      <c r="EM148">
        <v>0</v>
      </c>
      <c r="EN148">
        <v>0</v>
      </c>
      <c r="EO148">
        <v>0</v>
      </c>
      <c r="EP148">
        <v>0</v>
      </c>
    </row>
    <row r="149" spans="1:146" ht="96" x14ac:dyDescent="0.25">
      <c r="A149" s="7"/>
      <c r="B149" s="7"/>
      <c r="C149" s="7" t="str">
        <f>""&amp;CHAR(10)&amp;Basic_Fundamental_Information_Constructure(F149)&amp;CHAR(10)&amp;Basic_Fundamental_Information_Concatenate("")</f>
        <v xml:space="preserve">
市值360.35294亿, 利润53.65亿; PE6.72; 平均PE38.04; 平均PEG77.23, PB1.01; ROIC16.18%; ROE21.4833%; 股利率0%; 毛利39.2267%; 净利26.0133%; 上一年度营收增4.09%, 利润增-53.57%, 利润增4.64%; 过往5年营收增.49%, 利润增32.35%
Income profile:
</v>
      </c>
      <c r="D149" s="11">
        <v>868</v>
      </c>
      <c r="E149" t="s">
        <v>2441</v>
      </c>
      <c r="F149">
        <v>8.5299999999999994</v>
      </c>
      <c r="G149" s="5">
        <v>-6.2600000000000003E-2</v>
      </c>
      <c r="H149" t="s">
        <v>8311</v>
      </c>
      <c r="I149">
        <v>36035294000</v>
      </c>
      <c r="J149">
        <v>6.72</v>
      </c>
      <c r="K149">
        <v>1.01</v>
      </c>
      <c r="L149" t="s">
        <v>6350</v>
      </c>
      <c r="M149" t="s">
        <v>9</v>
      </c>
      <c r="N149" t="s">
        <v>9</v>
      </c>
      <c r="O149" t="s">
        <v>9</v>
      </c>
      <c r="P149" t="s">
        <v>9</v>
      </c>
      <c r="Q149" t="s">
        <v>8312</v>
      </c>
      <c r="R149">
        <v>5365114000</v>
      </c>
      <c r="S149" s="5">
        <v>4.6399999999999997E-2</v>
      </c>
      <c r="T149" t="s">
        <v>8313</v>
      </c>
      <c r="U149">
        <v>4224536300</v>
      </c>
      <c r="V149">
        <v>4224536300</v>
      </c>
      <c r="W149" t="s">
        <v>9</v>
      </c>
      <c r="X149" t="s">
        <v>9</v>
      </c>
      <c r="Y149" t="s">
        <v>9</v>
      </c>
      <c r="Z149" t="s">
        <v>9</v>
      </c>
      <c r="AA149" t="s">
        <v>9</v>
      </c>
      <c r="AB149" t="s">
        <v>9</v>
      </c>
      <c r="AC149" t="s">
        <v>9</v>
      </c>
      <c r="AD149" t="s">
        <v>7616</v>
      </c>
      <c r="AE149" t="s">
        <v>9</v>
      </c>
      <c r="AF149" t="s">
        <v>9</v>
      </c>
      <c r="AG149" t="s">
        <v>9</v>
      </c>
      <c r="AH149" t="s">
        <v>8314</v>
      </c>
      <c r="AI149" t="s">
        <v>9</v>
      </c>
      <c r="AJ149" t="s">
        <v>9</v>
      </c>
      <c r="AK149" t="s">
        <v>8315</v>
      </c>
      <c r="AL149" t="s">
        <v>9</v>
      </c>
      <c r="AM149" t="s">
        <v>9</v>
      </c>
      <c r="AN149" s="5">
        <v>0.29420000000000002</v>
      </c>
      <c r="AO149" t="s">
        <v>9</v>
      </c>
      <c r="AP149" t="s">
        <v>1585</v>
      </c>
      <c r="AQ149" t="s">
        <v>9</v>
      </c>
      <c r="AR149" t="s">
        <v>8316</v>
      </c>
      <c r="AS149" t="s">
        <v>9</v>
      </c>
      <c r="AT149" t="s">
        <v>9</v>
      </c>
      <c r="AU149" t="s">
        <v>3920</v>
      </c>
      <c r="AV149" t="s">
        <v>30</v>
      </c>
      <c r="AW149" t="s">
        <v>9</v>
      </c>
      <c r="AX149" t="s">
        <v>2442</v>
      </c>
      <c r="AY149" t="s">
        <v>2446</v>
      </c>
      <c r="AZ149" t="s">
        <v>2447</v>
      </c>
      <c r="BA149" t="s">
        <v>2448</v>
      </c>
      <c r="BB149" t="s">
        <v>2449</v>
      </c>
      <c r="BC149" t="s">
        <v>2450</v>
      </c>
      <c r="BD149" t="s">
        <v>2451</v>
      </c>
      <c r="BE149" t="s">
        <v>1080</v>
      </c>
      <c r="BF149" t="s">
        <v>2452</v>
      </c>
      <c r="BG149" t="s">
        <v>2453</v>
      </c>
      <c r="BH149" t="s">
        <v>2442</v>
      </c>
      <c r="BI149" t="s">
        <v>9</v>
      </c>
      <c r="BJ149" t="s">
        <v>2446</v>
      </c>
      <c r="BK149" t="s">
        <v>2443</v>
      </c>
      <c r="BL149" t="s">
        <v>9</v>
      </c>
      <c r="BM149" t="s">
        <v>2450</v>
      </c>
      <c r="BN149">
        <v>12</v>
      </c>
      <c r="BO149">
        <v>10.73</v>
      </c>
      <c r="BP149">
        <v>25.81</v>
      </c>
      <c r="BQ149">
        <v>15.01</v>
      </c>
      <c r="BR149">
        <v>16.04</v>
      </c>
      <c r="BS149">
        <v>33.4</v>
      </c>
      <c r="BT149" t="s">
        <v>8317</v>
      </c>
      <c r="BU149" t="s">
        <v>589</v>
      </c>
      <c r="BV149">
        <v>32.14</v>
      </c>
      <c r="BW149">
        <v>33.74</v>
      </c>
      <c r="BX149">
        <v>51.8</v>
      </c>
      <c r="BY149">
        <v>20.07</v>
      </c>
      <c r="BZ149">
        <v>19.98</v>
      </c>
      <c r="CA149">
        <v>37.99</v>
      </c>
      <c r="CB149">
        <v>-5.22</v>
      </c>
      <c r="CC149">
        <v>-4.8</v>
      </c>
      <c r="CD149" t="s">
        <v>8318</v>
      </c>
      <c r="CE149" t="s">
        <v>1965</v>
      </c>
      <c r="CF149" s="8" t="s">
        <v>9</v>
      </c>
      <c r="CG149" s="9">
        <v>4.6399999999999997E-2</v>
      </c>
      <c r="CH149" s="8">
        <v>4.0899544954299927E-2</v>
      </c>
      <c r="CI149" s="8">
        <v>-0.15473261475563049</v>
      </c>
      <c r="CJ149" s="8">
        <v>0.63617318868637085</v>
      </c>
      <c r="CK149" s="8">
        <v>0.1624828428030014</v>
      </c>
      <c r="CL149" s="8">
        <v>8.7316721677780151E-2</v>
      </c>
      <c r="CM149" s="9">
        <v>-0.53573900461196899</v>
      </c>
      <c r="CN149" s="9">
        <v>0.79943937063217163</v>
      </c>
      <c r="CO149" s="9">
        <v>0.43412235379219055</v>
      </c>
      <c r="CP149" s="9">
        <v>5.6879915297031403E-2</v>
      </c>
      <c r="CQ149" s="9">
        <v>5.555550754070282E-2</v>
      </c>
      <c r="CR149">
        <v>38.035363293248373</v>
      </c>
      <c r="CS149">
        <v>77.226872484289004</v>
      </c>
      <c r="CT149">
        <v>0</v>
      </c>
      <c r="CU149" s="8">
        <v>4.9251461401581768E-3</v>
      </c>
      <c r="CV149" s="9">
        <v>0.32349255681037903</v>
      </c>
      <c r="CW149">
        <v>0.06</v>
      </c>
      <c r="CX149">
        <v>7.0848473106265732</v>
      </c>
      <c r="CY149">
        <v>5086248499.0961781</v>
      </c>
      <c r="CZ149">
        <v>4.9251461401581768E-3</v>
      </c>
      <c r="DA149">
        <v>2.4898801765371474</v>
      </c>
      <c r="DB149">
        <v>14472702076.015896</v>
      </c>
      <c r="DC149">
        <v>4.6788888331502675E-3</v>
      </c>
      <c r="DD149">
        <v>1.3463639689865254</v>
      </c>
      <c r="DE149">
        <v>26764897776.583805</v>
      </c>
      <c r="DF149">
        <v>4.3341286033391959E-3</v>
      </c>
      <c r="DG149">
        <v>0.89468779041710511</v>
      </c>
      <c r="DH149">
        <v>40276948434.939835</v>
      </c>
      <c r="DI149">
        <v>3.9401169121265414E-3</v>
      </c>
      <c r="DJ149">
        <v>0.56840199457241736</v>
      </c>
      <c r="DK149">
        <v>63397550226.944038</v>
      </c>
      <c r="DL149">
        <v>3.4476022981107233E-3</v>
      </c>
      <c r="DM149">
        <v>5365000000</v>
      </c>
      <c r="DN149">
        <v>4.9251461401581768E-3</v>
      </c>
      <c r="DO149">
        <v>36035294000</v>
      </c>
      <c r="DP149" t="e">
        <v>#VALUE!</v>
      </c>
      <c r="DQ149">
        <v>148</v>
      </c>
      <c r="DR149" t="e">
        <v>#VALUE!</v>
      </c>
      <c r="DS149">
        <v>-0.27709255681037903</v>
      </c>
      <c r="DT149" t="e">
        <v>#VALUE!</v>
      </c>
      <c r="DU149" t="e">
        <v>#VALUE!</v>
      </c>
      <c r="DV149" t="e">
        <v>#VALUE!</v>
      </c>
      <c r="DW149">
        <v>-4.9195402298850572</v>
      </c>
      <c r="DX149">
        <v>0.49273274021352165</v>
      </c>
      <c r="DY149">
        <v>-4.1128576921503663</v>
      </c>
      <c r="DZ149">
        <v>0</v>
      </c>
      <c r="EA149">
        <v>-4.1128576921503663</v>
      </c>
      <c r="EB149">
        <v>4</v>
      </c>
      <c r="EC149">
        <v>8.1637125475759308E-3</v>
      </c>
      <c r="ED149">
        <v>6.6516175988356407E-2</v>
      </c>
      <c r="EE149">
        <v>0</v>
      </c>
      <c r="EF149">
        <v>0</v>
      </c>
      <c r="EG149">
        <v>37.122732740213522</v>
      </c>
      <c r="EH149" t="s">
        <v>110</v>
      </c>
      <c r="EI149">
        <v>0</v>
      </c>
      <c r="EJ149">
        <v>0</v>
      </c>
      <c r="EK149">
        <v>0</v>
      </c>
      <c r="EL149">
        <v>0</v>
      </c>
      <c r="EM149">
        <v>0</v>
      </c>
      <c r="EN149">
        <v>0</v>
      </c>
      <c r="EO149">
        <v>0</v>
      </c>
      <c r="EP149">
        <v>0</v>
      </c>
    </row>
    <row r="150" spans="1:146" ht="96" x14ac:dyDescent="0.25">
      <c r="A150" s="7"/>
      <c r="B150" s="7"/>
      <c r="C150" s="7" t="str">
        <f>""&amp;CHAR(10)&amp;Basic_Fundamental_Information_Constructure(F150)&amp;CHAR(10)&amp;Basic_Fundamental_Information_Concatenate("")</f>
        <v xml:space="preserve">
市值331.66135亿, 利润44.75亿; PE7.05; 平均PE11.67; 平均PEG1.35, PB.891; ROIC9.6667%; ROE12.1067%; 毛利17.9367%; 净利5.6133%; 上一年度营收增-5.49%, 利润增-1.76%; 当季营收增-2.37%, 利润增-2.04%; 过往5年营收增8.67%, 利润增-18.48%
Income profile:
</v>
      </c>
      <c r="D150" s="11">
        <v>874</v>
      </c>
      <c r="E150" t="s">
        <v>2455</v>
      </c>
      <c r="F150">
        <v>20.399999999999999</v>
      </c>
      <c r="G150" s="5">
        <v>1.49E-2</v>
      </c>
      <c r="H150" t="s">
        <v>6418</v>
      </c>
      <c r="I150">
        <v>33166135000</v>
      </c>
      <c r="J150">
        <v>7.05</v>
      </c>
      <c r="K150">
        <v>0.89100000000000001</v>
      </c>
      <c r="L150" t="s">
        <v>6350</v>
      </c>
      <c r="M150" t="s">
        <v>2456</v>
      </c>
      <c r="N150" t="s">
        <v>2457</v>
      </c>
      <c r="O150" t="s">
        <v>2458</v>
      </c>
      <c r="P150">
        <v>5.31</v>
      </c>
      <c r="Q150" t="s">
        <v>2459</v>
      </c>
      <c r="R150">
        <v>2181434900</v>
      </c>
      <c r="S150" s="5">
        <v>-2.0400000000000001E-2</v>
      </c>
      <c r="T150" t="s">
        <v>2460</v>
      </c>
      <c r="U150">
        <v>219900000</v>
      </c>
      <c r="V150">
        <v>1625790900</v>
      </c>
      <c r="W150">
        <v>2.17</v>
      </c>
      <c r="X150">
        <v>0.28999999999999998</v>
      </c>
      <c r="Y150">
        <v>10.93</v>
      </c>
      <c r="Z150" t="s">
        <v>2461</v>
      </c>
      <c r="AA150" t="s">
        <v>2462</v>
      </c>
      <c r="AB150" t="s">
        <v>2463</v>
      </c>
      <c r="AC150" t="s">
        <v>381</v>
      </c>
      <c r="AD150" t="s">
        <v>2464</v>
      </c>
      <c r="AE150" t="s">
        <v>2465</v>
      </c>
      <c r="AF150" t="s">
        <v>9</v>
      </c>
      <c r="AG150" t="s">
        <v>2466</v>
      </c>
      <c r="AH150" t="s">
        <v>2467</v>
      </c>
      <c r="AI150" t="s">
        <v>2468</v>
      </c>
      <c r="AJ150" t="s">
        <v>2469</v>
      </c>
      <c r="AK150" t="s">
        <v>2470</v>
      </c>
      <c r="AL150" t="s">
        <v>9</v>
      </c>
      <c r="AM150" t="s">
        <v>2471</v>
      </c>
      <c r="AN150" s="5">
        <v>0.51670000000000005</v>
      </c>
      <c r="AO150" t="s">
        <v>2472</v>
      </c>
      <c r="AP150" t="s">
        <v>2473</v>
      </c>
      <c r="AQ150" t="s">
        <v>2474</v>
      </c>
      <c r="AR150" t="s">
        <v>2475</v>
      </c>
      <c r="AS150" t="s">
        <v>2476</v>
      </c>
      <c r="AT150" t="s">
        <v>777</v>
      </c>
      <c r="AU150" t="s">
        <v>2477</v>
      </c>
      <c r="AV150" t="s">
        <v>2478</v>
      </c>
      <c r="AW150" t="s">
        <v>2479</v>
      </c>
      <c r="AX150" t="s">
        <v>2480</v>
      </c>
      <c r="AY150" t="s">
        <v>2481</v>
      </c>
      <c r="AZ150" t="s">
        <v>2482</v>
      </c>
      <c r="BA150" t="s">
        <v>2483</v>
      </c>
      <c r="BB150" t="s">
        <v>2484</v>
      </c>
      <c r="BC150" t="s">
        <v>2485</v>
      </c>
      <c r="BD150" t="s">
        <v>2486</v>
      </c>
      <c r="BE150" t="s">
        <v>1745</v>
      </c>
      <c r="BF150" t="s">
        <v>2487</v>
      </c>
      <c r="BG150" t="s">
        <v>2488</v>
      </c>
      <c r="BH150" t="s">
        <v>2459</v>
      </c>
      <c r="BI150" t="s">
        <v>2489</v>
      </c>
      <c r="BJ150" t="s">
        <v>2480</v>
      </c>
      <c r="BK150" t="s">
        <v>2460</v>
      </c>
      <c r="BL150" t="s">
        <v>2490</v>
      </c>
      <c r="BM150" t="s">
        <v>2485</v>
      </c>
      <c r="BN150">
        <v>9.86</v>
      </c>
      <c r="BO150">
        <v>10.17</v>
      </c>
      <c r="BP150">
        <v>8.9700000000000006</v>
      </c>
      <c r="BQ150">
        <v>12.37</v>
      </c>
      <c r="BR150">
        <v>12.8</v>
      </c>
      <c r="BS150">
        <v>11.15</v>
      </c>
      <c r="BT150" t="s">
        <v>2491</v>
      </c>
      <c r="BU150" t="s">
        <v>489</v>
      </c>
      <c r="BV150">
        <v>18.41</v>
      </c>
      <c r="BW150">
        <v>18.82</v>
      </c>
      <c r="BX150">
        <v>16.579999999999998</v>
      </c>
      <c r="BY150">
        <v>6.03</v>
      </c>
      <c r="BZ150">
        <v>5.78</v>
      </c>
      <c r="CA150">
        <v>5.03</v>
      </c>
      <c r="CB150">
        <v>-2.16</v>
      </c>
      <c r="CC150">
        <v>-1.69</v>
      </c>
      <c r="CD150" t="s">
        <v>6419</v>
      </c>
      <c r="CE150" t="s">
        <v>6420</v>
      </c>
      <c r="CF150" s="8">
        <v>-2.3687656231401025E-2</v>
      </c>
      <c r="CG150" s="9">
        <v>-2.0400000000000001E-2</v>
      </c>
      <c r="CH150" s="8">
        <v>-5.4942179471254349E-2</v>
      </c>
      <c r="CI150" s="8">
        <v>0.14946310222148895</v>
      </c>
      <c r="CJ150" s="8">
        <v>1.3176477514207363E-2</v>
      </c>
      <c r="CK150" s="8">
        <v>0.50248509645462036</v>
      </c>
      <c r="CL150" s="8">
        <v>0.91413891315460205</v>
      </c>
      <c r="CM150" s="9">
        <v>-1.7563117668032646E-2</v>
      </c>
      <c r="CN150" s="9">
        <v>0.31079128384590149</v>
      </c>
      <c r="CO150" s="9">
        <v>-2.4971922859549522E-2</v>
      </c>
      <c r="CP150" s="9">
        <v>-9.0352252125740051E-2</v>
      </c>
      <c r="CQ150" s="9">
        <v>0.58495151996612549</v>
      </c>
      <c r="CR150">
        <v>11.665893422441084</v>
      </c>
      <c r="CS150">
        <v>1.3455251749598425</v>
      </c>
      <c r="CT150" t="e">
        <v>#VALUE!</v>
      </c>
      <c r="CU150" s="8">
        <v>8.6701413244009012E-2</v>
      </c>
      <c r="CV150" s="9">
        <v>-0.18480306565761567</v>
      </c>
      <c r="CW150">
        <v>0.06</v>
      </c>
      <c r="CX150">
        <v>7.8413881828626675</v>
      </c>
      <c r="CY150">
        <v>4587725305.9122076</v>
      </c>
      <c r="CZ150">
        <v>8.6701413244009012E-2</v>
      </c>
      <c r="DA150">
        <v>2.5696627095085574</v>
      </c>
      <c r="DB150">
        <v>13999555220.568218</v>
      </c>
      <c r="DC150">
        <v>8.2366342581808555E-2</v>
      </c>
      <c r="DD150">
        <v>1.2697153450418244</v>
      </c>
      <c r="DE150">
        <v>28332440921.090874</v>
      </c>
      <c r="DF150">
        <v>7.6297243654727925E-2</v>
      </c>
      <c r="DG150">
        <v>0.7656969655675695</v>
      </c>
      <c r="DH150">
        <v>46982209173.748428</v>
      </c>
      <c r="DI150">
        <v>6.936113059520721E-2</v>
      </c>
      <c r="DJ150">
        <v>0.39920190903753533</v>
      </c>
      <c r="DK150">
        <v>90115137692.433975</v>
      </c>
      <c r="DL150">
        <v>6.0690989270806302E-2</v>
      </c>
      <c r="DM150">
        <v>4475000000</v>
      </c>
      <c r="DN150">
        <v>8.6701413244009012E-2</v>
      </c>
      <c r="DO150">
        <v>35974135000</v>
      </c>
      <c r="DP150" t="e">
        <v>#VALUE!</v>
      </c>
      <c r="DQ150">
        <v>155</v>
      </c>
      <c r="DR150">
        <v>-0.11038906947541004</v>
      </c>
      <c r="DS150">
        <v>0.16440306565761567</v>
      </c>
      <c r="DT150">
        <v>-0.3066666666666667</v>
      </c>
      <c r="DU150">
        <v>-0.42</v>
      </c>
      <c r="DV150">
        <v>-0.72666666666666668</v>
      </c>
      <c r="DW150">
        <v>-1.6899999999999998E-2</v>
      </c>
      <c r="DX150">
        <v>0.53942504418441473</v>
      </c>
      <c r="DY150">
        <v>-2.8632832467165559E-3</v>
      </c>
      <c r="DZ150">
        <v>0</v>
      </c>
      <c r="EA150">
        <v>-2.8632832467165559E-3</v>
      </c>
      <c r="EB150">
        <v>0</v>
      </c>
      <c r="EC150">
        <v>1.5861203307264175E-3</v>
      </c>
      <c r="ED150">
        <v>9.3617820102203791E-3</v>
      </c>
      <c r="EE150">
        <v>0</v>
      </c>
      <c r="EF150">
        <v>0</v>
      </c>
      <c r="EG150">
        <v>37.169425044184415</v>
      </c>
      <c r="EH150" t="s">
        <v>110</v>
      </c>
      <c r="EI150">
        <v>0</v>
      </c>
      <c r="EJ150">
        <v>0</v>
      </c>
      <c r="EK150">
        <v>0</v>
      </c>
      <c r="EL150">
        <v>0</v>
      </c>
      <c r="EM150">
        <v>0</v>
      </c>
      <c r="EN150">
        <v>0</v>
      </c>
      <c r="EO150">
        <v>0</v>
      </c>
      <c r="EP150">
        <v>0</v>
      </c>
    </row>
    <row r="151" spans="1:146" ht="96" x14ac:dyDescent="0.25">
      <c r="A151" s="7"/>
      <c r="B151" s="7"/>
      <c r="C151" s="7" t="str">
        <f>""&amp;CHAR(10)&amp;Basic_Fundamental_Information_Constructure(F151)&amp;CHAR(10)&amp;Basic_Fundamental_Information_Concatenate("")</f>
        <v xml:space="preserve">
市值188.90802亿, 利润-20.10亿; PE; 平均PE-17.82; 平均PEG-11.75, PB1.36; ROIC-10.4267%; ROE-27.8433%; 股利率0%; 毛利80.0867%; 净利-84.08%; 上一年度营收增228.59%, 利润增51.5%, 利润增74.23%; 过往5年营收增-1.52%, 利润增-574.31%
Income profile:
</v>
      </c>
      <c r="D151" s="11">
        <v>880</v>
      </c>
      <c r="E151" t="s">
        <v>2492</v>
      </c>
      <c r="F151">
        <v>2.66</v>
      </c>
      <c r="G151" s="5">
        <v>-1.4800000000000001E-2</v>
      </c>
      <c r="H151" t="s">
        <v>8319</v>
      </c>
      <c r="I151">
        <v>18890802000</v>
      </c>
      <c r="K151">
        <v>1.36</v>
      </c>
      <c r="L151" t="s">
        <v>6350</v>
      </c>
      <c r="M151" t="s">
        <v>9</v>
      </c>
      <c r="N151" t="s">
        <v>9</v>
      </c>
      <c r="O151" t="s">
        <v>9</v>
      </c>
      <c r="P151" t="s">
        <v>9</v>
      </c>
      <c r="Q151" t="s">
        <v>8320</v>
      </c>
      <c r="R151">
        <v>-2009800000</v>
      </c>
      <c r="S151" s="5">
        <v>0.74229999999999996</v>
      </c>
      <c r="T151" t="s">
        <v>8295</v>
      </c>
      <c r="U151">
        <v>7101805400</v>
      </c>
      <c r="V151">
        <v>7101805400</v>
      </c>
      <c r="W151" t="s">
        <v>9</v>
      </c>
      <c r="X151" t="s">
        <v>9</v>
      </c>
      <c r="Y151" t="s">
        <v>9</v>
      </c>
      <c r="Z151" t="s">
        <v>9</v>
      </c>
      <c r="AA151" t="s">
        <v>9</v>
      </c>
      <c r="AB151" t="s">
        <v>9</v>
      </c>
      <c r="AC151" t="s">
        <v>9</v>
      </c>
      <c r="AD151" t="s">
        <v>9</v>
      </c>
      <c r="AE151" t="s">
        <v>9</v>
      </c>
      <c r="AF151" t="s">
        <v>9</v>
      </c>
      <c r="AG151" t="s">
        <v>9</v>
      </c>
      <c r="AH151" t="s">
        <v>8321</v>
      </c>
      <c r="AI151" t="s">
        <v>9</v>
      </c>
      <c r="AJ151" t="s">
        <v>9</v>
      </c>
      <c r="AK151" t="s">
        <v>8322</v>
      </c>
      <c r="AL151" t="s">
        <v>9</v>
      </c>
      <c r="AM151" t="s">
        <v>9</v>
      </c>
      <c r="AN151" s="5">
        <v>0.71679999999999999</v>
      </c>
      <c r="AO151" t="s">
        <v>9</v>
      </c>
      <c r="AP151" t="s">
        <v>1045</v>
      </c>
      <c r="AQ151" t="s">
        <v>9</v>
      </c>
      <c r="AR151" t="s">
        <v>728</v>
      </c>
      <c r="AS151" t="s">
        <v>9</v>
      </c>
      <c r="AT151" t="s">
        <v>9</v>
      </c>
      <c r="AU151" t="s">
        <v>5822</v>
      </c>
      <c r="AV151" t="s">
        <v>8323</v>
      </c>
      <c r="AW151" t="s">
        <v>9</v>
      </c>
      <c r="AX151" t="s">
        <v>2493</v>
      </c>
      <c r="AY151" t="s">
        <v>2495</v>
      </c>
      <c r="AZ151" t="s">
        <v>2496</v>
      </c>
      <c r="BA151" t="s">
        <v>2497</v>
      </c>
      <c r="BB151" t="s">
        <v>2498</v>
      </c>
      <c r="BC151" t="s">
        <v>2499</v>
      </c>
      <c r="BD151" t="s">
        <v>2500</v>
      </c>
      <c r="BE151" t="s">
        <v>2501</v>
      </c>
      <c r="BF151" t="s">
        <v>2502</v>
      </c>
      <c r="BG151" t="s">
        <v>2503</v>
      </c>
      <c r="BH151" t="s">
        <v>2493</v>
      </c>
      <c r="BI151" t="s">
        <v>9</v>
      </c>
      <c r="BJ151" t="s">
        <v>2495</v>
      </c>
      <c r="BK151" t="s">
        <v>2494</v>
      </c>
      <c r="BL151" t="s">
        <v>2504</v>
      </c>
      <c r="BM151" t="s">
        <v>2499</v>
      </c>
      <c r="BN151">
        <v>-4.47</v>
      </c>
      <c r="BO151">
        <v>-17.2</v>
      </c>
      <c r="BP151">
        <v>-9.61</v>
      </c>
      <c r="BQ151">
        <v>-14.42</v>
      </c>
      <c r="BR151">
        <v>-48.74</v>
      </c>
      <c r="BS151">
        <v>-20.37</v>
      </c>
      <c r="BT151" t="s">
        <v>2505</v>
      </c>
      <c r="BU151" t="s">
        <v>567</v>
      </c>
      <c r="BV151">
        <v>95.19</v>
      </c>
      <c r="BW151">
        <v>89.95</v>
      </c>
      <c r="BX151">
        <v>55.12</v>
      </c>
      <c r="BY151">
        <v>-14.27</v>
      </c>
      <c r="BZ151">
        <v>-196.31</v>
      </c>
      <c r="CA151">
        <v>-41.66</v>
      </c>
      <c r="CB151">
        <v>-3.27</v>
      </c>
      <c r="CC151">
        <v>-13.36</v>
      </c>
      <c r="CD151" t="s">
        <v>8324</v>
      </c>
      <c r="CE151" t="s">
        <v>42</v>
      </c>
      <c r="CF151" s="8" t="s">
        <v>9</v>
      </c>
      <c r="CG151" s="9">
        <v>0.74229999999999996</v>
      </c>
      <c r="CH151" s="8">
        <v>2.2858932018280029</v>
      </c>
      <c r="CI151" s="8">
        <v>-0.32122242450714111</v>
      </c>
      <c r="CJ151" s="8">
        <v>0.42339286208152771</v>
      </c>
      <c r="CK151" s="8">
        <v>-0.76226586103439331</v>
      </c>
      <c r="CL151" s="8">
        <v>0.10979337990283966</v>
      </c>
      <c r="CM151" s="9">
        <v>0.5149613618850708</v>
      </c>
      <c r="CN151" s="9">
        <v>-0.36991739273071289</v>
      </c>
      <c r="CO151" s="9">
        <v>-1.9432491064071655</v>
      </c>
      <c r="CP151" s="9">
        <v>0.12526322901248932</v>
      </c>
      <c r="CQ151" s="9">
        <v>0.45185929536819458</v>
      </c>
      <c r="CR151">
        <v>-17.824863852537799</v>
      </c>
      <c r="CS151">
        <v>-11.746542772806409</v>
      </c>
      <c r="CT151">
        <v>0</v>
      </c>
      <c r="CU151" s="8">
        <v>-1.5174561738967895E-2</v>
      </c>
      <c r="CV151" s="9">
        <v>-5.7431364059448242</v>
      </c>
      <c r="CW151">
        <v>0.06</v>
      </c>
      <c r="CX151" t="e">
        <v>#VALUE!</v>
      </c>
      <c r="CY151" t="s">
        <v>109</v>
      </c>
      <c r="CZ151">
        <v>-1.5174561738967895E-2</v>
      </c>
      <c r="DA151" t="e">
        <v>#VALUE!</v>
      </c>
      <c r="DB151" t="s">
        <v>108</v>
      </c>
      <c r="DC151">
        <v>-1.44158336520195E-2</v>
      </c>
      <c r="DD151" t="e">
        <v>#VALUE!</v>
      </c>
      <c r="DE151" t="s">
        <v>108</v>
      </c>
      <c r="DF151">
        <v>-1.3353614330291749E-2</v>
      </c>
      <c r="DG151" t="e">
        <v>#VALUE!</v>
      </c>
      <c r="DH151" t="s">
        <v>108</v>
      </c>
      <c r="DI151">
        <v>-1.2139649391174318E-2</v>
      </c>
      <c r="DJ151" t="e">
        <v>#VALUE!</v>
      </c>
      <c r="DK151" t="s">
        <v>108</v>
      </c>
      <c r="DL151">
        <v>-1.0622193217277526E-2</v>
      </c>
      <c r="DM151">
        <v>-2010000000.0000002</v>
      </c>
      <c r="DN151">
        <v>-1.5174561738967895E-2</v>
      </c>
      <c r="DO151">
        <v>18890802000</v>
      </c>
      <c r="DP151" t="e">
        <v>#VALUE!</v>
      </c>
      <c r="DQ151">
        <v>150</v>
      </c>
      <c r="DR151" t="e">
        <v>#VALUE!</v>
      </c>
      <c r="DS151">
        <v>6.4854364059448244</v>
      </c>
      <c r="DT151" t="e">
        <v>#VALUE!</v>
      </c>
      <c r="DU151">
        <v>-1.8816666666666668</v>
      </c>
      <c r="DV151" t="e">
        <v>#VALUE!</v>
      </c>
      <c r="DW151">
        <v>-8.2447604790419167</v>
      </c>
      <c r="DX151">
        <v>0.48367738095237856</v>
      </c>
      <c r="DY151">
        <v>-8.0229285206372971</v>
      </c>
      <c r="DZ151">
        <v>0</v>
      </c>
      <c r="EA151">
        <v>-8.0229285206372971</v>
      </c>
      <c r="EB151">
        <v>8</v>
      </c>
      <c r="EC151">
        <v>3.3240420809052301E-3</v>
      </c>
      <c r="ED151">
        <v>3.5483934831557054E-2</v>
      </c>
      <c r="EE151">
        <v>0</v>
      </c>
      <c r="EF151">
        <v>0</v>
      </c>
      <c r="EG151">
        <v>39.093677380952379</v>
      </c>
      <c r="EH151" t="s">
        <v>110</v>
      </c>
      <c r="EI151">
        <v>0</v>
      </c>
      <c r="EJ151">
        <v>0</v>
      </c>
      <c r="EK151">
        <v>0</v>
      </c>
      <c r="EL151">
        <v>0</v>
      </c>
      <c r="EM151">
        <v>0</v>
      </c>
      <c r="EN151">
        <v>0</v>
      </c>
      <c r="EO151">
        <v>0</v>
      </c>
      <c r="EP151">
        <v>0</v>
      </c>
    </row>
    <row r="152" spans="1:146" ht="96" x14ac:dyDescent="0.25">
      <c r="A152" s="7"/>
      <c r="B152" s="7"/>
      <c r="C152" s="7" t="str">
        <f>""&amp;CHAR(10)&amp;Basic_Fundamental_Information_Constructure(F152)&amp;CHAR(10)&amp;Basic_Fundamental_Information_Concatenate("")</f>
        <v xml:space="preserve">
市值264.80919亿, 利润55.01亿; PE4.81; 平均PE27.95; 平均PEG2.95, PB.528; ROIC10.4067%; ROE15.6267%; 股利率0%; 毛利9.0467%; 净利3.7533%; 上一年度营收增-3.13%, 利润增-46.06%, 利润增-27.09%; 过往5年营收增-9.48%, 利润增-8.57%
Income profile:
</v>
      </c>
      <c r="D152" s="11">
        <v>881</v>
      </c>
      <c r="E152" t="s">
        <v>2506</v>
      </c>
      <c r="F152">
        <v>11.1</v>
      </c>
      <c r="G152" s="5">
        <v>-2.12E-2</v>
      </c>
      <c r="H152" t="s">
        <v>8325</v>
      </c>
      <c r="I152">
        <v>26480919000</v>
      </c>
      <c r="J152">
        <v>4.8099999999999996</v>
      </c>
      <c r="K152">
        <v>0.52800000000000002</v>
      </c>
      <c r="L152" t="s">
        <v>6350</v>
      </c>
      <c r="M152" t="s">
        <v>9</v>
      </c>
      <c r="N152" t="s">
        <v>9</v>
      </c>
      <c r="O152" t="s">
        <v>9</v>
      </c>
      <c r="P152" t="s">
        <v>9</v>
      </c>
      <c r="Q152" t="s">
        <v>8326</v>
      </c>
      <c r="R152">
        <v>5500816000</v>
      </c>
      <c r="S152" s="5">
        <v>-0.27089999999999997</v>
      </c>
      <c r="T152" t="s">
        <v>7165</v>
      </c>
      <c r="U152">
        <v>2385668400</v>
      </c>
      <c r="V152">
        <v>2385668400</v>
      </c>
      <c r="W152" t="s">
        <v>9</v>
      </c>
      <c r="X152" t="s">
        <v>9</v>
      </c>
      <c r="Y152" t="s">
        <v>9</v>
      </c>
      <c r="Z152" t="s">
        <v>9</v>
      </c>
      <c r="AA152" t="s">
        <v>9</v>
      </c>
      <c r="AB152" t="s">
        <v>9</v>
      </c>
      <c r="AC152" t="s">
        <v>9</v>
      </c>
      <c r="AD152" t="s">
        <v>9</v>
      </c>
      <c r="AE152" t="s">
        <v>9</v>
      </c>
      <c r="AF152" t="s">
        <v>9</v>
      </c>
      <c r="AG152" t="s">
        <v>9</v>
      </c>
      <c r="AH152" t="s">
        <v>8327</v>
      </c>
      <c r="AI152" t="s">
        <v>9</v>
      </c>
      <c r="AJ152" t="s">
        <v>9</v>
      </c>
      <c r="AK152" t="s">
        <v>8328</v>
      </c>
      <c r="AL152" t="s">
        <v>9</v>
      </c>
      <c r="AM152" t="s">
        <v>9</v>
      </c>
      <c r="AN152" s="5">
        <v>0.55410000000000004</v>
      </c>
      <c r="AO152" t="s">
        <v>9</v>
      </c>
      <c r="AP152" t="s">
        <v>8329</v>
      </c>
      <c r="AQ152" t="s">
        <v>9</v>
      </c>
      <c r="AR152" t="s">
        <v>8330</v>
      </c>
      <c r="AS152" t="s">
        <v>9</v>
      </c>
      <c r="AT152" t="s">
        <v>9</v>
      </c>
      <c r="AU152" t="s">
        <v>8331</v>
      </c>
      <c r="AV152" t="s">
        <v>8332</v>
      </c>
      <c r="AW152" t="s">
        <v>9</v>
      </c>
      <c r="AX152" t="s">
        <v>2507</v>
      </c>
      <c r="AY152" t="s">
        <v>2510</v>
      </c>
      <c r="AZ152" t="s">
        <v>2511</v>
      </c>
      <c r="BA152" t="s">
        <v>2512</v>
      </c>
      <c r="BB152" t="s">
        <v>2513</v>
      </c>
      <c r="BC152" t="s">
        <v>2514</v>
      </c>
      <c r="BD152" t="s">
        <v>2515</v>
      </c>
      <c r="BE152" t="s">
        <v>2516</v>
      </c>
      <c r="BF152" t="s">
        <v>2517</v>
      </c>
      <c r="BG152" t="s">
        <v>2518</v>
      </c>
      <c r="BH152" t="s">
        <v>2507</v>
      </c>
      <c r="BI152" t="s">
        <v>9</v>
      </c>
      <c r="BJ152" t="s">
        <v>2510</v>
      </c>
      <c r="BK152" t="s">
        <v>2508</v>
      </c>
      <c r="BL152" t="s">
        <v>9</v>
      </c>
      <c r="BM152" t="s">
        <v>2514</v>
      </c>
      <c r="BN152">
        <v>6.81</v>
      </c>
      <c r="BO152">
        <v>9.92</v>
      </c>
      <c r="BP152">
        <v>14.49</v>
      </c>
      <c r="BQ152">
        <v>10.96</v>
      </c>
      <c r="BR152">
        <v>15.22</v>
      </c>
      <c r="BS152">
        <v>20.7</v>
      </c>
      <c r="BT152" t="s">
        <v>8333</v>
      </c>
      <c r="BU152" t="s">
        <v>1541</v>
      </c>
      <c r="BV152">
        <v>7.68</v>
      </c>
      <c r="BW152">
        <v>8.91</v>
      </c>
      <c r="BX152">
        <v>10.55</v>
      </c>
      <c r="BY152">
        <v>2.78</v>
      </c>
      <c r="BZ152">
        <v>3.68</v>
      </c>
      <c r="CA152">
        <v>4.8</v>
      </c>
      <c r="CB152">
        <v>-5.48</v>
      </c>
      <c r="CC152">
        <v>-22.18</v>
      </c>
      <c r="CD152" t="s">
        <v>8334</v>
      </c>
      <c r="CE152" t="s">
        <v>140</v>
      </c>
      <c r="CF152" s="8" t="s">
        <v>9</v>
      </c>
      <c r="CG152" s="9">
        <v>-0.27089999999999997</v>
      </c>
      <c r="CH152" s="8">
        <v>-3.1340979039669037E-2</v>
      </c>
      <c r="CI152" s="8">
        <v>-5.3713850677013397E-2</v>
      </c>
      <c r="CJ152" s="8">
        <v>0.21263915300369263</v>
      </c>
      <c r="CK152" s="8">
        <v>0.4414190948009491</v>
      </c>
      <c r="CL152" s="8">
        <v>0.18573650717735291</v>
      </c>
      <c r="CM152" s="9">
        <v>-0.46063336730003357</v>
      </c>
      <c r="CN152" s="9">
        <v>0.54460102319717407</v>
      </c>
      <c r="CO152" s="9">
        <v>0.31246268749237061</v>
      </c>
      <c r="CP152" s="9">
        <v>0.21492396295070648</v>
      </c>
      <c r="CQ152" s="9">
        <v>3.0868807807564735E-2</v>
      </c>
      <c r="CR152">
        <v>27.949455108326237</v>
      </c>
      <c r="CS152">
        <v>2.949323826648917</v>
      </c>
      <c r="CT152">
        <v>0</v>
      </c>
      <c r="CU152" s="8">
        <v>-9.4765636976808315E-2</v>
      </c>
      <c r="CV152" s="9">
        <v>-8.5673737525939944E-2</v>
      </c>
      <c r="CW152">
        <v>0.06</v>
      </c>
      <c r="CX152">
        <v>4.8138373023086709</v>
      </c>
      <c r="CY152" t="s">
        <v>8335</v>
      </c>
      <c r="CZ152">
        <v>-9.4765636976808315E-2</v>
      </c>
      <c r="DA152">
        <v>1.6046124341028905</v>
      </c>
      <c r="DB152" t="s">
        <v>8336</v>
      </c>
      <c r="DC152">
        <v>-9.002735512796789E-2</v>
      </c>
      <c r="DD152">
        <v>0.80230621705144523</v>
      </c>
      <c r="DE152" t="s">
        <v>8337</v>
      </c>
      <c r="DF152">
        <v>-8.3393760539591313E-2</v>
      </c>
      <c r="DG152">
        <v>0.48138373023086711</v>
      </c>
      <c r="DH152" t="s">
        <v>8338</v>
      </c>
      <c r="DI152">
        <v>-7.5812509581446655E-2</v>
      </c>
      <c r="DJ152">
        <v>0.24069186511543356</v>
      </c>
      <c r="DK152" t="s">
        <v>8339</v>
      </c>
      <c r="DL152">
        <v>-6.6335945883765818E-2</v>
      </c>
      <c r="DM152">
        <v>5501000000</v>
      </c>
      <c r="DN152">
        <v>-9.4765636976808315E-2</v>
      </c>
      <c r="DO152">
        <v>26480919000</v>
      </c>
      <c r="DP152" t="e">
        <v>#VALUE!</v>
      </c>
      <c r="DQ152">
        <v>151</v>
      </c>
      <c r="DR152" t="e">
        <v>#VALUE!</v>
      </c>
      <c r="DS152">
        <v>-0.18522626247406004</v>
      </c>
      <c r="DT152" t="e">
        <v>#VALUE!</v>
      </c>
      <c r="DU152" t="e">
        <v>#VALUE!</v>
      </c>
      <c r="DV152" t="e">
        <v>#VALUE!</v>
      </c>
      <c r="DW152">
        <v>-8.2470694319206501</v>
      </c>
      <c r="DX152">
        <v>0.4948240223463678</v>
      </c>
      <c r="DY152">
        <v>-8.0604885321216457</v>
      </c>
      <c r="DZ152">
        <v>0</v>
      </c>
      <c r="EA152">
        <v>-8.0604885321216457</v>
      </c>
      <c r="EB152">
        <v>8</v>
      </c>
      <c r="EC152">
        <v>1.8369485046622572E-2</v>
      </c>
      <c r="ED152">
        <v>7.503138323834109E-2</v>
      </c>
      <c r="EE152">
        <v>0</v>
      </c>
      <c r="EF152">
        <v>0</v>
      </c>
      <c r="EG152">
        <v>25.244824022346368</v>
      </c>
      <c r="EH152" t="s">
        <v>110</v>
      </c>
      <c r="EI152">
        <v>0</v>
      </c>
      <c r="EJ152">
        <v>0</v>
      </c>
      <c r="EK152">
        <v>0</v>
      </c>
      <c r="EL152">
        <v>0</v>
      </c>
      <c r="EM152">
        <v>0</v>
      </c>
      <c r="EN152">
        <v>0</v>
      </c>
      <c r="EO152">
        <v>0</v>
      </c>
      <c r="EP152">
        <v>0</v>
      </c>
    </row>
    <row r="153" spans="1:146" ht="96" x14ac:dyDescent="0.25">
      <c r="A153" s="7"/>
      <c r="B153" s="7"/>
      <c r="C153" s="7" t="str">
        <f>""&amp;CHAR(10)&amp;Basic_Fundamental_Information_Constructure(F153)&amp;CHAR(10)&amp;Basic_Fundamental_Information_Concatenate("")</f>
        <v xml:space="preserve">
市值10345.7712亿, 利润1357.57亿; PE7.29; 平均PE45.38; 平均PEG15.04, PB1.36; ROIC16.57%; ROE18.9767%; 毛利86.29%; 净利33.0033%; 上一年度营收增-5.73%, 利润增57.66%; 当季营收增7.42%, 利润增16.72%; 过往5年营收增-3.02%, 利润增94.63%
Income profile:
</v>
      </c>
      <c r="D153" s="11">
        <v>883</v>
      </c>
      <c r="E153" t="s">
        <v>2520</v>
      </c>
      <c r="F153">
        <v>21.75</v>
      </c>
      <c r="G153" s="5">
        <v>-3.5499999999999997E-2</v>
      </c>
      <c r="H153" t="s">
        <v>8340</v>
      </c>
      <c r="I153">
        <v>1034577120000</v>
      </c>
      <c r="J153">
        <v>7.29</v>
      </c>
      <c r="K153">
        <v>1.36</v>
      </c>
      <c r="L153" t="s">
        <v>6350</v>
      </c>
      <c r="M153" t="s">
        <v>8341</v>
      </c>
      <c r="N153" t="s">
        <v>8342</v>
      </c>
      <c r="O153" t="s">
        <v>8343</v>
      </c>
      <c r="P153">
        <v>14.08</v>
      </c>
      <c r="Q153" t="s">
        <v>8344</v>
      </c>
      <c r="R153">
        <v>135756700000</v>
      </c>
      <c r="S153" s="5">
        <v>0.16719999999999999</v>
      </c>
      <c r="T153" t="s">
        <v>8345</v>
      </c>
      <c r="U153">
        <v>44576764000</v>
      </c>
      <c r="V153">
        <v>47566764000</v>
      </c>
      <c r="W153">
        <v>1.49</v>
      </c>
      <c r="X153">
        <v>0.1</v>
      </c>
      <c r="Y153">
        <v>49.44</v>
      </c>
      <c r="Z153" t="s">
        <v>8346</v>
      </c>
      <c r="AA153" t="s">
        <v>8347</v>
      </c>
      <c r="AB153" t="s">
        <v>4745</v>
      </c>
      <c r="AC153" t="s">
        <v>3339</v>
      </c>
      <c r="AD153" t="s">
        <v>8348</v>
      </c>
      <c r="AE153" t="s">
        <v>7968</v>
      </c>
      <c r="AF153" t="s">
        <v>9</v>
      </c>
      <c r="AG153" t="s">
        <v>8349</v>
      </c>
      <c r="AH153" t="s">
        <v>8350</v>
      </c>
      <c r="AI153" t="s">
        <v>8351</v>
      </c>
      <c r="AJ153" t="s">
        <v>1124</v>
      </c>
      <c r="AK153" t="s">
        <v>8352</v>
      </c>
      <c r="AL153" t="s">
        <v>9</v>
      </c>
      <c r="AM153" t="s">
        <v>8353</v>
      </c>
      <c r="AN153" s="5">
        <v>0.32890000000000003</v>
      </c>
      <c r="AO153" t="s">
        <v>8354</v>
      </c>
      <c r="AP153" t="s">
        <v>8355</v>
      </c>
      <c r="AQ153" t="s">
        <v>4520</v>
      </c>
      <c r="AR153" t="s">
        <v>8356</v>
      </c>
      <c r="AS153" t="s">
        <v>8357</v>
      </c>
      <c r="AT153" t="s">
        <v>8358</v>
      </c>
      <c r="AU153" t="s">
        <v>8359</v>
      </c>
      <c r="AV153" t="s">
        <v>8360</v>
      </c>
      <c r="AW153" t="s">
        <v>8361</v>
      </c>
      <c r="AX153" t="s">
        <v>2521</v>
      </c>
      <c r="AY153" t="s">
        <v>2527</v>
      </c>
      <c r="AZ153" t="s">
        <v>2528</v>
      </c>
      <c r="BA153" t="s">
        <v>2529</v>
      </c>
      <c r="BB153" t="s">
        <v>2530</v>
      </c>
      <c r="BC153" t="s">
        <v>2531</v>
      </c>
      <c r="BD153" t="s">
        <v>2532</v>
      </c>
      <c r="BE153" t="s">
        <v>2533</v>
      </c>
      <c r="BF153" t="s">
        <v>2534</v>
      </c>
      <c r="BG153" t="s">
        <v>2535</v>
      </c>
      <c r="BH153" t="s">
        <v>2521</v>
      </c>
      <c r="BI153" t="s">
        <v>2536</v>
      </c>
      <c r="BJ153" t="s">
        <v>2527</v>
      </c>
      <c r="BK153" t="s">
        <v>2522</v>
      </c>
      <c r="BL153" t="s">
        <v>2537</v>
      </c>
      <c r="BM153" t="s">
        <v>2531</v>
      </c>
      <c r="BN153">
        <v>16.510000000000002</v>
      </c>
      <c r="BO153">
        <v>21.27</v>
      </c>
      <c r="BP153">
        <v>11.93</v>
      </c>
      <c r="BQ153">
        <v>18.579999999999998</v>
      </c>
      <c r="BR153">
        <v>23.73</v>
      </c>
      <c r="BS153">
        <v>14.62</v>
      </c>
      <c r="BT153" t="s">
        <v>8362</v>
      </c>
      <c r="BU153" t="s">
        <v>1410</v>
      </c>
      <c r="BV153">
        <v>80.680000000000007</v>
      </c>
      <c r="BW153">
        <v>85.46</v>
      </c>
      <c r="BX153">
        <v>92.73</v>
      </c>
      <c r="BY153">
        <v>32.409999999999997</v>
      </c>
      <c r="BZ153">
        <v>35.9</v>
      </c>
      <c r="CA153">
        <v>30.7</v>
      </c>
      <c r="CB153">
        <v>-7.45</v>
      </c>
      <c r="CC153">
        <v>15.2</v>
      </c>
      <c r="CD153" t="s">
        <v>4131</v>
      </c>
      <c r="CE153" t="s">
        <v>8363</v>
      </c>
      <c r="CF153" s="8">
        <v>7.415172930219513E-2</v>
      </c>
      <c r="CG153" s="9">
        <v>0.16719999999999999</v>
      </c>
      <c r="CH153" s="8">
        <v>-5.7253476232290268E-2</v>
      </c>
      <c r="CI153" s="8">
        <v>0.58727574348449707</v>
      </c>
      <c r="CJ153" s="8">
        <v>0.62802153825759888</v>
      </c>
      <c r="CK153" s="8">
        <v>-0.31966355443000793</v>
      </c>
      <c r="CL153" s="8">
        <v>0.13311825692653656</v>
      </c>
      <c r="CM153" s="9">
        <v>0.57660818099975586</v>
      </c>
      <c r="CN153" s="9">
        <v>1.8948392868041992</v>
      </c>
      <c r="CO153" s="9">
        <v>-0.56397140026092529</v>
      </c>
      <c r="CP153" s="9">
        <v>0.13742163777351379</v>
      </c>
      <c r="CQ153" s="9">
        <v>1.0272434949874878</v>
      </c>
      <c r="CR153">
        <v>45.382125409244047</v>
      </c>
      <c r="CS153">
        <v>15.04048444404625</v>
      </c>
      <c r="CT153" t="e">
        <v>#VALUE!</v>
      </c>
      <c r="CU153" s="8">
        <v>-3.01733136177063E-2</v>
      </c>
      <c r="CV153" s="9">
        <v>0.94625256101135169</v>
      </c>
      <c r="CW153">
        <v>0.06</v>
      </c>
      <c r="CX153">
        <v>4.7527944783694398</v>
      </c>
      <c r="CY153" t="s">
        <v>8364</v>
      </c>
      <c r="CZ153">
        <v>-3.01733136177063E-2</v>
      </c>
      <c r="DA153">
        <v>1.5842648261231465</v>
      </c>
      <c r="DB153" t="s">
        <v>8365</v>
      </c>
      <c r="DC153">
        <v>-2.8664647936820983E-2</v>
      </c>
      <c r="DD153">
        <v>0.79213241306157323</v>
      </c>
      <c r="DE153" t="s">
        <v>8366</v>
      </c>
      <c r="DF153">
        <v>-2.6552515983581545E-2</v>
      </c>
      <c r="DG153">
        <v>0.47527944783694392</v>
      </c>
      <c r="DH153" t="s">
        <v>8367</v>
      </c>
      <c r="DI153">
        <v>-2.4138650894165042E-2</v>
      </c>
      <c r="DJ153">
        <v>0.23763972391847196</v>
      </c>
      <c r="DK153" t="s">
        <v>8368</v>
      </c>
      <c r="DL153">
        <v>-2.1121319532394409E-2</v>
      </c>
      <c r="DM153">
        <v>135757000000</v>
      </c>
      <c r="DN153">
        <v>-3.01733136177063E-2</v>
      </c>
      <c r="DO153">
        <v>645225120000</v>
      </c>
      <c r="DP153" t="e">
        <v>#VALUE!</v>
      </c>
      <c r="DQ153">
        <v>152</v>
      </c>
      <c r="DR153">
        <v>0.10432504291990143</v>
      </c>
      <c r="DS153">
        <v>-0.77905256101135167</v>
      </c>
      <c r="DT153">
        <v>-0.65666666666666662</v>
      </c>
      <c r="DU153">
        <v>0.70333333333333325</v>
      </c>
      <c r="DV153">
        <v>4.6666666666666634E-2</v>
      </c>
      <c r="DW153">
        <v>-7.3289183222958059</v>
      </c>
      <c r="DX153">
        <v>0.40620743789980596</v>
      </c>
      <c r="DY153">
        <v>-7.0448011219582138</v>
      </c>
      <c r="DZ153">
        <v>0</v>
      </c>
      <c r="EA153">
        <v>-7.0448011219582138</v>
      </c>
      <c r="EB153">
        <v>7</v>
      </c>
      <c r="EC153">
        <v>9.166063934893701E-3</v>
      </c>
      <c r="ED153">
        <v>6.7294886824758565E-2</v>
      </c>
      <c r="EE153">
        <v>0</v>
      </c>
      <c r="EF153">
        <v>0</v>
      </c>
      <c r="EG153">
        <v>27.136207437899806</v>
      </c>
      <c r="EH153" t="s">
        <v>110</v>
      </c>
      <c r="EI153">
        <v>0</v>
      </c>
      <c r="EJ153">
        <v>0</v>
      </c>
      <c r="EK153">
        <v>0</v>
      </c>
      <c r="EL153">
        <v>0</v>
      </c>
      <c r="EM153">
        <v>0</v>
      </c>
      <c r="EN153">
        <v>0</v>
      </c>
      <c r="EO153">
        <v>0</v>
      </c>
      <c r="EP153">
        <v>0</v>
      </c>
    </row>
    <row r="154" spans="1:146" x14ac:dyDescent="0.25">
      <c r="A154"/>
      <c r="B154"/>
      <c r="D154" s="11">
        <v>884</v>
      </c>
      <c r="E154" t="s">
        <v>8369</v>
      </c>
      <c r="F154">
        <v>0.33</v>
      </c>
      <c r="G154">
        <v>-5.7099999999999998E-2</v>
      </c>
      <c r="H154" t="s">
        <v>8370</v>
      </c>
      <c r="I154">
        <v>3436443800</v>
      </c>
      <c r="K154">
        <v>0.155</v>
      </c>
      <c r="L154" t="s">
        <v>6350</v>
      </c>
      <c r="M154" t="s">
        <v>9</v>
      </c>
      <c r="N154" t="s">
        <v>9</v>
      </c>
      <c r="O154" t="s">
        <v>9</v>
      </c>
      <c r="P154" s="5" t="s">
        <v>9</v>
      </c>
      <c r="Q154" t="s">
        <v>8371</v>
      </c>
      <c r="R154">
        <v>-9847465000</v>
      </c>
      <c r="S154">
        <v>0.33100000000000002</v>
      </c>
      <c r="T154" t="s">
        <v>8372</v>
      </c>
      <c r="U154">
        <v>10413466000</v>
      </c>
      <c r="V154">
        <v>10413466000</v>
      </c>
      <c r="W154" t="s">
        <v>9</v>
      </c>
      <c r="X154" t="s">
        <v>9</v>
      </c>
      <c r="Y154" t="s">
        <v>9</v>
      </c>
      <c r="Z154" t="s">
        <v>9</v>
      </c>
      <c r="AA154" t="s">
        <v>9</v>
      </c>
      <c r="AB154" t="s">
        <v>9</v>
      </c>
      <c r="AC154" t="s">
        <v>9</v>
      </c>
      <c r="AD154" t="s">
        <v>9</v>
      </c>
      <c r="AE154" t="s">
        <v>9</v>
      </c>
      <c r="AF154" t="s">
        <v>9</v>
      </c>
      <c r="AG154" t="s">
        <v>9</v>
      </c>
      <c r="AH154" t="s">
        <v>8373</v>
      </c>
      <c r="AI154" t="s">
        <v>9</v>
      </c>
      <c r="AJ154" t="s">
        <v>9</v>
      </c>
      <c r="AK154" s="5" t="s">
        <v>8374</v>
      </c>
      <c r="AL154" t="s">
        <v>9</v>
      </c>
      <c r="AM154" t="s">
        <v>9</v>
      </c>
      <c r="AN154">
        <v>0.78549999999999998</v>
      </c>
      <c r="AO154" t="s">
        <v>9</v>
      </c>
      <c r="AP154" t="s">
        <v>8375</v>
      </c>
      <c r="AQ154" t="s">
        <v>9</v>
      </c>
      <c r="AR154" t="s">
        <v>8376</v>
      </c>
      <c r="AS154" t="s">
        <v>9</v>
      </c>
      <c r="AT154" t="s">
        <v>9</v>
      </c>
      <c r="AU154" t="s">
        <v>8377</v>
      </c>
      <c r="AV154" t="s">
        <v>8378</v>
      </c>
      <c r="AW154" t="s">
        <v>9</v>
      </c>
      <c r="AX154" t="s">
        <v>8379</v>
      </c>
      <c r="AY154" t="s">
        <v>8380</v>
      </c>
      <c r="AZ154" t="s">
        <v>8381</v>
      </c>
      <c r="BA154" t="s">
        <v>8382</v>
      </c>
      <c r="BB154" t="s">
        <v>8383</v>
      </c>
      <c r="BC154" t="s">
        <v>8384</v>
      </c>
      <c r="BD154" t="s">
        <v>8385</v>
      </c>
      <c r="BE154" t="s">
        <v>8386</v>
      </c>
      <c r="BF154" t="s">
        <v>8387</v>
      </c>
      <c r="BG154" t="s">
        <v>2539</v>
      </c>
      <c r="BH154" t="s">
        <v>8379</v>
      </c>
      <c r="BI154" t="s">
        <v>9</v>
      </c>
      <c r="BJ154" t="s">
        <v>8380</v>
      </c>
      <c r="BK154" t="s">
        <v>8388</v>
      </c>
      <c r="BL154" t="s">
        <v>9</v>
      </c>
      <c r="BM154" t="s">
        <v>8384</v>
      </c>
      <c r="BN154">
        <v>-7.18</v>
      </c>
      <c r="BO154">
        <v>-8.8800000000000008</v>
      </c>
      <c r="BP154">
        <v>5.13</v>
      </c>
      <c r="BQ154">
        <v>-44.41</v>
      </c>
      <c r="BR154">
        <v>-44.36</v>
      </c>
      <c r="BS154">
        <v>18.13</v>
      </c>
      <c r="BT154" t="s">
        <v>8389</v>
      </c>
      <c r="BU154" t="s">
        <v>410</v>
      </c>
      <c r="BV154">
        <v>15.64</v>
      </c>
      <c r="BW154">
        <v>4.9000000000000004</v>
      </c>
      <c r="BX154">
        <v>19.29</v>
      </c>
      <c r="BY154">
        <v>-12.08</v>
      </c>
      <c r="BZ154">
        <v>-28.58</v>
      </c>
      <c r="CA154">
        <v>11.43</v>
      </c>
      <c r="CB154">
        <v>-2.94</v>
      </c>
      <c r="CC154" s="8">
        <v>-13.16</v>
      </c>
      <c r="CD154" s="10" t="s">
        <v>8390</v>
      </c>
      <c r="CE154" s="8" t="s">
        <v>8391</v>
      </c>
      <c r="CF154" s="8" t="s">
        <v>9</v>
      </c>
      <c r="CG154" s="8">
        <v>0.33100000000000002</v>
      </c>
      <c r="CH154" s="8">
        <v>0.47136428952217102</v>
      </c>
      <c r="CI154" s="8">
        <v>-0.59470325708389282</v>
      </c>
      <c r="CJ154" s="9">
        <v>0.54298466444015503</v>
      </c>
      <c r="CK154" s="9">
        <v>0.77398419380187988</v>
      </c>
      <c r="CL154" s="9">
        <v>0.26434981822967529</v>
      </c>
      <c r="CM154" s="9">
        <v>-2.0563185214996338</v>
      </c>
      <c r="CN154" s="9">
        <v>-2.6219556108117104E-2</v>
      </c>
      <c r="CO154">
        <v>0.33087727427482605</v>
      </c>
      <c r="CP154">
        <v>0.16788437962532043</v>
      </c>
      <c r="CQ154">
        <v>6.4098097383975983E-2</v>
      </c>
      <c r="CR154" s="8">
        <v>72.600925352112668</v>
      </c>
      <c r="CS154" s="9">
        <v>10.751577524611287</v>
      </c>
      <c r="CT154">
        <v>0</v>
      </c>
      <c r="CU154">
        <v>6.7525835335254664E-2</v>
      </c>
      <c r="CV154">
        <v>2.7162050336599348</v>
      </c>
      <c r="CW154">
        <v>0.06</v>
      </c>
      <c r="CX154" t="e">
        <v>#VALUE!</v>
      </c>
      <c r="CY154" t="s">
        <v>109</v>
      </c>
      <c r="CZ154">
        <v>6.7525835335254664E-2</v>
      </c>
      <c r="DA154" t="e">
        <v>#VALUE!</v>
      </c>
      <c r="DB154" t="s">
        <v>108</v>
      </c>
      <c r="DC154">
        <v>6.4149543568491924E-2</v>
      </c>
      <c r="DD154" t="e">
        <v>#VALUE!</v>
      </c>
      <c r="DE154" t="s">
        <v>108</v>
      </c>
      <c r="DF154">
        <v>5.9422735095024104E-2</v>
      </c>
      <c r="DG154" t="e">
        <v>#VALUE!</v>
      </c>
      <c r="DH154" t="s">
        <v>108</v>
      </c>
      <c r="DI154">
        <v>5.4020668268203731E-2</v>
      </c>
      <c r="DJ154" t="e">
        <v>#VALUE!</v>
      </c>
      <c r="DK154" t="s">
        <v>108</v>
      </c>
      <c r="DL154">
        <v>4.7268084734678265E-2</v>
      </c>
      <c r="DM154">
        <v>-9847000000</v>
      </c>
      <c r="DN154">
        <v>6.7525835335254664E-2</v>
      </c>
      <c r="DO154">
        <v>3436443800</v>
      </c>
      <c r="DP154" t="e">
        <v>#VALUE!</v>
      </c>
      <c r="DQ154">
        <v>153</v>
      </c>
      <c r="DR154" t="e">
        <v>#VALUE!</v>
      </c>
      <c r="DS154">
        <v>-2.3852050336599349</v>
      </c>
      <c r="DT154" t="e">
        <v>#VALUE!</v>
      </c>
      <c r="DU154" t="e">
        <v>#VALUE!</v>
      </c>
      <c r="DV154" t="e">
        <v>#VALUE!</v>
      </c>
      <c r="DW154">
        <v>-8.2234042553191493</v>
      </c>
      <c r="DX154">
        <v>0.24052243353000208</v>
      </c>
      <c r="DY154">
        <v>-8.0112869266396807</v>
      </c>
      <c r="DZ154">
        <v>0</v>
      </c>
      <c r="EA154">
        <v>-8.0112869266396807</v>
      </c>
      <c r="EB154">
        <v>8</v>
      </c>
      <c r="EC154">
        <v>3.9468127134615894E-2</v>
      </c>
      <c r="ED154">
        <v>0.78120003464744581</v>
      </c>
      <c r="EE154">
        <v>0</v>
      </c>
      <c r="EF154">
        <v>0</v>
      </c>
      <c r="EG154">
        <v>19.050522433530002</v>
      </c>
      <c r="EH154" t="s">
        <v>110</v>
      </c>
      <c r="EI154">
        <v>0</v>
      </c>
      <c r="EJ154">
        <v>0</v>
      </c>
      <c r="EK154">
        <v>0</v>
      </c>
      <c r="EL154">
        <v>0</v>
      </c>
      <c r="EM154">
        <v>0</v>
      </c>
      <c r="EN154">
        <v>0</v>
      </c>
      <c r="EO154">
        <v>0</v>
      </c>
      <c r="EP154">
        <v>0</v>
      </c>
    </row>
    <row r="155" spans="1:146" ht="96" x14ac:dyDescent="0.25">
      <c r="A155" s="7"/>
      <c r="B155" s="7"/>
      <c r="C155" s="7" t="str">
        <f>""&amp;CHAR(10)&amp;Basic_Fundamental_Information_Constructure(F155)&amp;CHAR(10)&amp;Basic_Fundamental_Information_Concatenate("")</f>
        <v xml:space="preserve">
市值17.241991亿, 利润-8.23亿; PE; 平均PE2.64; 平均PEG.25, PB.368; ROIC-4.1%; ROE-8.5233%; 毛利15.4733%; 净利-11.05%; 上一年度营收增.86%, 利润增-517.77%; 当季营收增-28.49%, 利润增-25.02%; 过往5年营收增10.5%, 利润增13.77%
Income profile:
</v>
      </c>
      <c r="D155" s="11">
        <v>895</v>
      </c>
      <c r="E155" t="s">
        <v>2540</v>
      </c>
      <c r="F155">
        <v>1.56</v>
      </c>
      <c r="G155" s="5">
        <v>-1.2699999999999999E-2</v>
      </c>
      <c r="H155" t="s">
        <v>8392</v>
      </c>
      <c r="I155">
        <v>1724199100</v>
      </c>
      <c r="K155">
        <v>0.36799999999999999</v>
      </c>
      <c r="L155" t="s">
        <v>6350</v>
      </c>
      <c r="M155" t="s">
        <v>8393</v>
      </c>
      <c r="N155" t="s">
        <v>2729</v>
      </c>
      <c r="O155" t="s">
        <v>1736</v>
      </c>
      <c r="P155">
        <v>-4.66</v>
      </c>
      <c r="Q155" t="s">
        <v>8394</v>
      </c>
      <c r="R155">
        <v>-822665840</v>
      </c>
      <c r="S155" s="6">
        <v>-0.25019999999999998</v>
      </c>
      <c r="T155" t="s">
        <v>4471</v>
      </c>
      <c r="U155">
        <v>200137500</v>
      </c>
      <c r="V155">
        <v>1105255800</v>
      </c>
      <c r="W155">
        <v>2.72</v>
      </c>
      <c r="X155">
        <v>7.0000000000000007E-2</v>
      </c>
      <c r="Y155">
        <v>-24.5</v>
      </c>
      <c r="Z155" t="s">
        <v>8395</v>
      </c>
      <c r="AA155" t="s">
        <v>4734</v>
      </c>
      <c r="AB155" t="s">
        <v>8396</v>
      </c>
      <c r="AC155" t="s">
        <v>1969</v>
      </c>
      <c r="AD155" t="s">
        <v>179</v>
      </c>
      <c r="AE155" t="s">
        <v>8397</v>
      </c>
      <c r="AF155" t="s">
        <v>9</v>
      </c>
      <c r="AG155" t="s">
        <v>8398</v>
      </c>
      <c r="AH155" t="s">
        <v>8399</v>
      </c>
      <c r="AI155" t="s">
        <v>2626</v>
      </c>
      <c r="AJ155" t="s">
        <v>8400</v>
      </c>
      <c r="AK155" t="s">
        <v>8401</v>
      </c>
      <c r="AL155" t="s">
        <v>9</v>
      </c>
      <c r="AM155" t="s">
        <v>5714</v>
      </c>
      <c r="AN155" s="5">
        <v>0.58979999999999999</v>
      </c>
      <c r="AO155" t="s">
        <v>8402</v>
      </c>
      <c r="AP155" t="s">
        <v>4556</v>
      </c>
      <c r="AQ155" t="s">
        <v>1143</v>
      </c>
      <c r="AR155" t="s">
        <v>1264</v>
      </c>
      <c r="AS155" t="s">
        <v>8226</v>
      </c>
      <c r="AT155" t="s">
        <v>5575</v>
      </c>
      <c r="AU155" t="s">
        <v>8403</v>
      </c>
      <c r="AV155" t="s">
        <v>2039</v>
      </c>
      <c r="AW155" t="s">
        <v>8404</v>
      </c>
      <c r="AX155" t="s">
        <v>8405</v>
      </c>
      <c r="AY155" t="s">
        <v>2546</v>
      </c>
      <c r="AZ155" t="s">
        <v>2547</v>
      </c>
      <c r="BA155" t="s">
        <v>2549</v>
      </c>
      <c r="BB155" t="s">
        <v>1036</v>
      </c>
      <c r="BC155" t="s">
        <v>243</v>
      </c>
      <c r="BD155" t="s">
        <v>186</v>
      </c>
      <c r="BE155" t="s">
        <v>951</v>
      </c>
      <c r="BF155" t="s">
        <v>2103</v>
      </c>
      <c r="BG155" t="s">
        <v>2334</v>
      </c>
      <c r="BH155" t="s">
        <v>8405</v>
      </c>
      <c r="BI155" t="s">
        <v>2550</v>
      </c>
      <c r="BJ155" t="s">
        <v>2546</v>
      </c>
      <c r="BK155" t="s">
        <v>2542</v>
      </c>
      <c r="BL155" t="s">
        <v>2551</v>
      </c>
      <c r="BM155" t="s">
        <v>243</v>
      </c>
      <c r="BN155">
        <v>-8.6999999999999993</v>
      </c>
      <c r="BO155">
        <v>-5.5</v>
      </c>
      <c r="BP155">
        <v>1.9</v>
      </c>
      <c r="BQ155">
        <v>-16.690000000000001</v>
      </c>
      <c r="BR155">
        <v>-12.37</v>
      </c>
      <c r="BS155">
        <v>3.49</v>
      </c>
      <c r="BT155" t="s">
        <v>2552</v>
      </c>
      <c r="BU155" t="s">
        <v>589</v>
      </c>
      <c r="BV155">
        <v>3.2</v>
      </c>
      <c r="BW155">
        <v>15.74</v>
      </c>
      <c r="BX155">
        <v>27.48</v>
      </c>
      <c r="BY155">
        <v>-22.37</v>
      </c>
      <c r="BZ155">
        <v>-14.66</v>
      </c>
      <c r="CA155">
        <v>3.88</v>
      </c>
      <c r="CB155">
        <v>-3.11</v>
      </c>
      <c r="CC155">
        <v>-13.33</v>
      </c>
      <c r="CD155" t="s">
        <v>8406</v>
      </c>
      <c r="CE155" t="s">
        <v>8407</v>
      </c>
      <c r="CF155" s="8">
        <v>-0.2848639455782313</v>
      </c>
      <c r="CG155" s="9">
        <v>-0.25019999999999998</v>
      </c>
      <c r="CH155" s="8">
        <v>8.5628768429160118E-3</v>
      </c>
      <c r="CI155" s="8">
        <v>-0.12121216952800751</v>
      </c>
      <c r="CJ155" s="8">
        <v>0.24702006578445435</v>
      </c>
      <c r="CK155" s="8">
        <v>5.4560042917728424E-2</v>
      </c>
      <c r="CL155" s="8">
        <v>6.1894683167338371E-3</v>
      </c>
      <c r="CM155" s="9">
        <v>-5.1776647567749023</v>
      </c>
      <c r="CN155" s="9">
        <v>-0.45730027556419373</v>
      </c>
      <c r="CO155" s="9">
        <v>-0.23417721688747406</v>
      </c>
      <c r="CP155" s="9">
        <v>2.1551724523305893E-2</v>
      </c>
      <c r="CQ155" s="9">
        <v>-0.18309858441352844</v>
      </c>
      <c r="CR155">
        <v>2.6424507279693485</v>
      </c>
      <c r="CS155">
        <v>0.25178073258320322</v>
      </c>
      <c r="CT155" t="e">
        <v>#VALUE!</v>
      </c>
      <c r="CU155" s="8">
        <v>0.1049504742026329</v>
      </c>
      <c r="CV155" s="9">
        <v>0.13773462399840355</v>
      </c>
      <c r="CW155">
        <v>0.06</v>
      </c>
      <c r="CX155" t="e">
        <v>#VALUE!</v>
      </c>
      <c r="CY155" t="s">
        <v>109</v>
      </c>
      <c r="CZ155">
        <v>0.1049504742026329</v>
      </c>
      <c r="DA155" t="e">
        <v>#VALUE!</v>
      </c>
      <c r="DB155" t="s">
        <v>108</v>
      </c>
      <c r="DC155">
        <v>9.9702950492501247E-2</v>
      </c>
      <c r="DD155" t="e">
        <v>#VALUE!</v>
      </c>
      <c r="DE155" t="s">
        <v>108</v>
      </c>
      <c r="DF155">
        <v>9.2356417298316951E-2</v>
      </c>
      <c r="DG155" t="e">
        <v>#VALUE!</v>
      </c>
      <c r="DH155" t="s">
        <v>108</v>
      </c>
      <c r="DI155">
        <v>8.3960379362106319E-2</v>
      </c>
      <c r="DJ155" t="e">
        <v>#VALUE!</v>
      </c>
      <c r="DK155" t="s">
        <v>108</v>
      </c>
      <c r="DL155">
        <v>7.3465331941843029E-2</v>
      </c>
      <c r="DM155">
        <v>-823000000</v>
      </c>
      <c r="DN155">
        <v>0.1049504742026329</v>
      </c>
      <c r="DO155">
        <v>4015199100</v>
      </c>
      <c r="DP155" t="e">
        <v>#VALUE!</v>
      </c>
      <c r="DQ155">
        <v>154</v>
      </c>
      <c r="DR155">
        <v>-0.38981441978086417</v>
      </c>
      <c r="DS155">
        <v>-0.3879346239984035</v>
      </c>
      <c r="DT155">
        <v>-0.44</v>
      </c>
      <c r="DU155">
        <v>-1.2150000000000001</v>
      </c>
      <c r="DV155">
        <v>-1.655</v>
      </c>
      <c r="DW155">
        <v>-8.2333083270817706</v>
      </c>
      <c r="DX155">
        <v>0.43573603414229922</v>
      </c>
      <c r="DY155">
        <v>-8.0130036808839122</v>
      </c>
      <c r="DZ155">
        <v>0</v>
      </c>
      <c r="EA155">
        <v>-8.0130036808839122</v>
      </c>
      <c r="EB155">
        <v>8</v>
      </c>
      <c r="EC155">
        <v>8.7083913063383154E-4</v>
      </c>
      <c r="ED155">
        <v>1.5624346870652025E-2</v>
      </c>
      <c r="EE155">
        <v>0</v>
      </c>
      <c r="EF155">
        <v>0</v>
      </c>
      <c r="EG155">
        <v>38.055736034142299</v>
      </c>
      <c r="EH155" t="s">
        <v>110</v>
      </c>
      <c r="EI155">
        <v>0</v>
      </c>
      <c r="EJ155">
        <v>0</v>
      </c>
      <c r="EK155">
        <v>0</v>
      </c>
      <c r="EL155">
        <v>0</v>
      </c>
      <c r="EM155">
        <v>0</v>
      </c>
      <c r="EN155">
        <v>0</v>
      </c>
      <c r="EO155">
        <v>0</v>
      </c>
      <c r="EP155">
        <v>0</v>
      </c>
    </row>
    <row r="156" spans="1:146" ht="96" x14ac:dyDescent="0.25">
      <c r="A156" s="7"/>
      <c r="B156" s="7"/>
      <c r="C156" s="7" t="str">
        <f>""&amp;CHAR(10)&amp;Basic_Fundamental_Information_Constructure(F156)&amp;CHAR(10)&amp;Basic_Fundamental_Information_Concatenate("")</f>
        <v xml:space="preserve">
市值874.3838亿, 利润59.65亿; PE10.47; 平均PE110.22; 平均PEG336.69, PB.595; ROIC-1.5067%; ROE-5.4033%; 股利率0%; 毛利32.11%; 净利-2.5%; 上一年度营收增.14%, 利润增138.92%; 当季营收增-12.57%, 利润增92.75%; 过往5年营收增-.33%, 利润增-2108.7%
Income profile:
</v>
      </c>
      <c r="D156" s="11">
        <v>902</v>
      </c>
      <c r="E156" t="s">
        <v>2553</v>
      </c>
      <c r="F156">
        <v>5.57</v>
      </c>
      <c r="G156" s="5">
        <v>-2.1100000000000001E-2</v>
      </c>
      <c r="H156" t="s">
        <v>8408</v>
      </c>
      <c r="I156">
        <v>87438380000</v>
      </c>
      <c r="J156">
        <v>10.47</v>
      </c>
      <c r="K156">
        <v>0.59499999999999997</v>
      </c>
      <c r="L156" t="s">
        <v>6350</v>
      </c>
      <c r="M156" t="s">
        <v>8409</v>
      </c>
      <c r="N156" t="s">
        <v>8410</v>
      </c>
      <c r="O156" t="s">
        <v>8411</v>
      </c>
      <c r="P156">
        <v>0.15</v>
      </c>
      <c r="Q156" t="s">
        <v>8412</v>
      </c>
      <c r="R156">
        <v>5964621500</v>
      </c>
      <c r="S156" s="5">
        <v>0.92749999999999999</v>
      </c>
      <c r="T156" t="s">
        <v>6254</v>
      </c>
      <c r="U156">
        <v>4700383400</v>
      </c>
      <c r="V156">
        <v>15698093000</v>
      </c>
      <c r="W156">
        <v>4</v>
      </c>
      <c r="X156">
        <v>0.12</v>
      </c>
      <c r="Y156">
        <v>10.81</v>
      </c>
      <c r="Z156" t="s">
        <v>8413</v>
      </c>
      <c r="AA156" t="s">
        <v>8414</v>
      </c>
      <c r="AB156" t="s">
        <v>8415</v>
      </c>
      <c r="AC156" t="s">
        <v>8416</v>
      </c>
      <c r="AD156" t="s">
        <v>8417</v>
      </c>
      <c r="AE156" t="s">
        <v>893</v>
      </c>
      <c r="AF156" t="s">
        <v>9</v>
      </c>
      <c r="AG156" t="s">
        <v>2802</v>
      </c>
      <c r="AH156" t="s">
        <v>8418</v>
      </c>
      <c r="AI156" t="s">
        <v>8419</v>
      </c>
      <c r="AJ156" t="s">
        <v>8420</v>
      </c>
      <c r="AK156" t="s">
        <v>8421</v>
      </c>
      <c r="AL156" t="s">
        <v>9</v>
      </c>
      <c r="AM156" t="s">
        <v>8422</v>
      </c>
      <c r="AN156" s="5">
        <v>0.67579999999999996</v>
      </c>
      <c r="AO156" t="s">
        <v>8423</v>
      </c>
      <c r="AP156" t="s">
        <v>8424</v>
      </c>
      <c r="AQ156" t="s">
        <v>8425</v>
      </c>
      <c r="AR156" t="s">
        <v>8426</v>
      </c>
      <c r="AS156" t="s">
        <v>8427</v>
      </c>
      <c r="AT156" t="s">
        <v>8428</v>
      </c>
      <c r="AU156" t="s">
        <v>8429</v>
      </c>
      <c r="AV156" t="s">
        <v>8430</v>
      </c>
      <c r="AW156" t="s">
        <v>8431</v>
      </c>
      <c r="AX156" t="s">
        <v>2554</v>
      </c>
      <c r="AY156" t="s">
        <v>2559</v>
      </c>
      <c r="AZ156" t="s">
        <v>2560</v>
      </c>
      <c r="BA156" t="s">
        <v>2561</v>
      </c>
      <c r="BB156" t="s">
        <v>2562</v>
      </c>
      <c r="BC156" t="s">
        <v>8432</v>
      </c>
      <c r="BD156" t="s">
        <v>2563</v>
      </c>
      <c r="BE156" t="s">
        <v>2564</v>
      </c>
      <c r="BF156" t="s">
        <v>1153</v>
      </c>
      <c r="BG156" t="s">
        <v>2385</v>
      </c>
      <c r="BH156" t="s">
        <v>2554</v>
      </c>
      <c r="BI156" t="s">
        <v>2565</v>
      </c>
      <c r="BJ156" t="s">
        <v>2559</v>
      </c>
      <c r="BK156" t="s">
        <v>2555</v>
      </c>
      <c r="BL156" t="s">
        <v>2566</v>
      </c>
      <c r="BM156" t="s">
        <v>8432</v>
      </c>
      <c r="BN156">
        <v>1.29</v>
      </c>
      <c r="BO156">
        <v>-2.4900000000000002</v>
      </c>
      <c r="BP156">
        <v>-3.32</v>
      </c>
      <c r="BQ156">
        <v>3.92</v>
      </c>
      <c r="BR156">
        <v>-8.83</v>
      </c>
      <c r="BS156">
        <v>-11.3</v>
      </c>
      <c r="BT156" t="s">
        <v>2567</v>
      </c>
      <c r="BU156" t="s">
        <v>392</v>
      </c>
      <c r="BV156">
        <v>38.06</v>
      </c>
      <c r="BW156">
        <v>30.49</v>
      </c>
      <c r="BX156">
        <v>27.78</v>
      </c>
      <c r="BY156">
        <v>3.47</v>
      </c>
      <c r="BZ156">
        <v>-4.47</v>
      </c>
      <c r="CA156">
        <v>-6.5</v>
      </c>
      <c r="CB156">
        <v>-1.42</v>
      </c>
      <c r="CC156">
        <v>4.7</v>
      </c>
      <c r="CD156" t="s">
        <v>1692</v>
      </c>
      <c r="CE156" t="s">
        <v>4884</v>
      </c>
      <c r="CF156" s="8">
        <v>-0.12572156833345827</v>
      </c>
      <c r="CG156" s="9">
        <v>0.92749999999999999</v>
      </c>
      <c r="CH156" s="8">
        <v>1.3553512981161475E-3</v>
      </c>
      <c r="CI156" s="8">
        <v>0.1110115572810173</v>
      </c>
      <c r="CJ156" s="8">
        <v>0.24636559188365936</v>
      </c>
      <c r="CK156" s="8">
        <v>3.5094518214464188E-2</v>
      </c>
      <c r="CL156" s="8">
        <v>5.6164659559726715E-2</v>
      </c>
      <c r="CM156" s="9">
        <v>1.3892333507537842</v>
      </c>
      <c r="CN156" s="9">
        <v>-22.167125701904297</v>
      </c>
      <c r="CO156" s="9">
        <v>-0.15420560538768768</v>
      </c>
      <c r="CP156" s="9">
        <v>2.3923445492982864E-2</v>
      </c>
      <c r="CQ156" s="9">
        <v>-0.55860614776611328</v>
      </c>
      <c r="CR156">
        <v>110.22478865364535</v>
      </c>
      <c r="CS156">
        <v>336.69296879510364</v>
      </c>
      <c r="CT156">
        <v>0</v>
      </c>
      <c r="CU156" s="8">
        <v>-3.2737478613853455E-3</v>
      </c>
      <c r="CV156" s="9">
        <v>-21.086977940797805</v>
      </c>
      <c r="CW156">
        <v>0.06</v>
      </c>
      <c r="CX156">
        <v>49.329988264878459</v>
      </c>
      <c r="CY156" t="s">
        <v>8433</v>
      </c>
      <c r="CZ156">
        <v>-3.2737478613853455E-3</v>
      </c>
      <c r="DA156">
        <v>16.443329421626153</v>
      </c>
      <c r="DB156" t="s">
        <v>8434</v>
      </c>
      <c r="DC156">
        <v>-3.1100604683160782E-3</v>
      </c>
      <c r="DD156">
        <v>8.2216647108130765</v>
      </c>
      <c r="DE156" t="s">
        <v>6406</v>
      </c>
      <c r="DF156">
        <v>-2.8808981180191038E-3</v>
      </c>
      <c r="DG156">
        <v>4.9329988264878457</v>
      </c>
      <c r="DH156" t="s">
        <v>8435</v>
      </c>
      <c r="DI156">
        <v>-2.6189982891082764E-3</v>
      </c>
      <c r="DJ156">
        <v>2.4664994132439229</v>
      </c>
      <c r="DK156" t="s">
        <v>8436</v>
      </c>
      <c r="DL156">
        <v>-2.2916235029697418E-3</v>
      </c>
      <c r="DM156">
        <v>5965000000</v>
      </c>
      <c r="DN156">
        <v>-3.2737478613853455E-3</v>
      </c>
      <c r="DO156">
        <v>294253380000</v>
      </c>
      <c r="DP156" t="e">
        <v>#VALUE!</v>
      </c>
      <c r="DQ156">
        <v>155</v>
      </c>
      <c r="DR156">
        <v>-0.12244782047207292</v>
      </c>
      <c r="DS156">
        <v>22.014477940797804</v>
      </c>
      <c r="DT156">
        <v>-0.37333333333333335</v>
      </c>
      <c r="DU156">
        <v>-0.91666666666666663</v>
      </c>
      <c r="DV156">
        <v>-1.29</v>
      </c>
      <c r="DW156">
        <v>1.0469999999999999</v>
      </c>
      <c r="DX156">
        <v>0.47117283950617067</v>
      </c>
      <c r="DY156">
        <v>1.0061651234567901</v>
      </c>
      <c r="DZ156">
        <v>0</v>
      </c>
      <c r="EA156">
        <v>1.0061651234567901</v>
      </c>
      <c r="EB156">
        <v>1</v>
      </c>
      <c r="EC156">
        <v>1.0829340863250077E-2</v>
      </c>
      <c r="ED156">
        <v>8.2557798581012351E-2</v>
      </c>
      <c r="EE156">
        <v>0</v>
      </c>
      <c r="EF156">
        <v>0</v>
      </c>
      <c r="EG156">
        <v>34.131172839506171</v>
      </c>
      <c r="EH156" t="s">
        <v>110</v>
      </c>
      <c r="EI156">
        <v>0</v>
      </c>
      <c r="EJ156">
        <v>0</v>
      </c>
      <c r="EK156">
        <v>0</v>
      </c>
      <c r="EL156">
        <v>0</v>
      </c>
      <c r="EM156">
        <v>0</v>
      </c>
      <c r="EN156">
        <v>0</v>
      </c>
      <c r="EO156">
        <v>0</v>
      </c>
      <c r="EP156">
        <v>0</v>
      </c>
    </row>
    <row r="157" spans="1:146" ht="96" x14ac:dyDescent="0.25">
      <c r="A157" s="7"/>
      <c r="B157" s="7"/>
      <c r="C157" s="7" t="str">
        <f>""&amp;CHAR(10)&amp;Basic_Fundamental_Information_Constructure(F157)&amp;CHAR(10)&amp;Basic_Fundamental_Information_Concatenate("")</f>
        <v xml:space="preserve">
市值39.567437亿, 利润-6.42亿; PE; 平均PE-41.81; 平均PEG-12.67, PB.732; ROIC-12.7%; ROE-13.43%; 股利率0%; 毛利80.36%; 净利-40.7733%; 上一年度营收增-12.3%, 利润增-52.49%, 利润增50.69%; 过往5年营收增3.3%, 利润增113.3%
Income profile:
</v>
      </c>
      <c r="D157" s="11">
        <v>909</v>
      </c>
      <c r="E157" t="s">
        <v>2568</v>
      </c>
      <c r="F157">
        <v>2.02</v>
      </c>
      <c r="G157" s="5">
        <v>-3.8100000000000002E-2</v>
      </c>
      <c r="H157" t="s">
        <v>8437</v>
      </c>
      <c r="I157">
        <v>3956743700</v>
      </c>
      <c r="K157">
        <v>0.73199999999999998</v>
      </c>
      <c r="L157" t="s">
        <v>6350</v>
      </c>
      <c r="M157" t="s">
        <v>9</v>
      </c>
      <c r="N157" t="s">
        <v>9</v>
      </c>
      <c r="O157" t="s">
        <v>9</v>
      </c>
      <c r="P157" t="s">
        <v>9</v>
      </c>
      <c r="Q157" t="s">
        <v>8438</v>
      </c>
      <c r="R157">
        <v>-641971990</v>
      </c>
      <c r="S157" s="5">
        <v>0.50690000000000002</v>
      </c>
      <c r="T157" t="s">
        <v>8439</v>
      </c>
      <c r="U157">
        <v>1942315800</v>
      </c>
      <c r="V157">
        <v>1942315800</v>
      </c>
      <c r="W157" t="s">
        <v>9</v>
      </c>
      <c r="X157" t="s">
        <v>9</v>
      </c>
      <c r="Y157" t="s">
        <v>9</v>
      </c>
      <c r="Z157" t="s">
        <v>9</v>
      </c>
      <c r="AA157" t="s">
        <v>9</v>
      </c>
      <c r="AB157" t="s">
        <v>9</v>
      </c>
      <c r="AC157" t="s">
        <v>9</v>
      </c>
      <c r="AD157" t="s">
        <v>3827</v>
      </c>
      <c r="AE157" t="s">
        <v>9</v>
      </c>
      <c r="AF157" t="s">
        <v>9</v>
      </c>
      <c r="AG157" t="s">
        <v>9</v>
      </c>
      <c r="AH157" t="s">
        <v>8440</v>
      </c>
      <c r="AI157" t="s">
        <v>9</v>
      </c>
      <c r="AJ157" t="s">
        <v>9</v>
      </c>
      <c r="AK157" t="s">
        <v>8441</v>
      </c>
      <c r="AL157" t="s">
        <v>9</v>
      </c>
      <c r="AM157" t="s">
        <v>9</v>
      </c>
      <c r="AN157" s="5">
        <v>0.15690000000000001</v>
      </c>
      <c r="AO157" t="s">
        <v>9</v>
      </c>
      <c r="AP157" t="s">
        <v>8442</v>
      </c>
      <c r="AQ157" t="s">
        <v>9</v>
      </c>
      <c r="AR157" t="s">
        <v>1551</v>
      </c>
      <c r="AS157" t="s">
        <v>9</v>
      </c>
      <c r="AT157" t="s">
        <v>9</v>
      </c>
      <c r="AU157" t="s">
        <v>8443</v>
      </c>
      <c r="AV157" t="s">
        <v>5619</v>
      </c>
      <c r="AW157" t="s">
        <v>9</v>
      </c>
      <c r="AX157" t="s">
        <v>2569</v>
      </c>
      <c r="AY157" t="s">
        <v>2573</v>
      </c>
      <c r="AZ157" t="s">
        <v>2574</v>
      </c>
      <c r="BA157" t="s">
        <v>444</v>
      </c>
      <c r="BB157" t="s">
        <v>2575</v>
      </c>
      <c r="BC157" t="s">
        <v>2576</v>
      </c>
      <c r="BD157" t="s">
        <v>2577</v>
      </c>
      <c r="BE157" t="s">
        <v>625</v>
      </c>
      <c r="BF157" t="s">
        <v>140</v>
      </c>
      <c r="BG157" t="s">
        <v>2578</v>
      </c>
      <c r="BH157" t="s">
        <v>2569</v>
      </c>
      <c r="BI157" t="s">
        <v>9</v>
      </c>
      <c r="BJ157" t="s">
        <v>2573</v>
      </c>
      <c r="BK157" t="s">
        <v>2570</v>
      </c>
      <c r="BL157" t="s">
        <v>9</v>
      </c>
      <c r="BM157" t="s">
        <v>2576</v>
      </c>
      <c r="BN157">
        <v>-11.67</v>
      </c>
      <c r="BO157">
        <v>-20.91</v>
      </c>
      <c r="BP157">
        <v>-5.52</v>
      </c>
      <c r="BQ157">
        <v>-11.87</v>
      </c>
      <c r="BR157">
        <v>-22.62</v>
      </c>
      <c r="BS157">
        <v>-5.8</v>
      </c>
      <c r="BT157" t="s">
        <v>2579</v>
      </c>
      <c r="BU157" t="s">
        <v>551</v>
      </c>
      <c r="BV157">
        <v>79.48</v>
      </c>
      <c r="BW157">
        <v>81.44</v>
      </c>
      <c r="BX157">
        <v>80.16</v>
      </c>
      <c r="BY157">
        <v>-35.799999999999997</v>
      </c>
      <c r="BZ157">
        <v>-63.82</v>
      </c>
      <c r="CA157">
        <v>-22.7</v>
      </c>
      <c r="CB157">
        <v>0.5</v>
      </c>
      <c r="CC157">
        <v>-26.81</v>
      </c>
      <c r="CD157" t="s">
        <v>8444</v>
      </c>
      <c r="CE157" t="s">
        <v>213</v>
      </c>
      <c r="CF157" s="8" t="s">
        <v>9</v>
      </c>
      <c r="CG157" s="9">
        <v>0.50690000000000002</v>
      </c>
      <c r="CH157" s="8">
        <v>-0.12298682332038879</v>
      </c>
      <c r="CI157" s="8">
        <v>-0.2340187281370163</v>
      </c>
      <c r="CJ157" s="8">
        <v>0.31578955054283142</v>
      </c>
      <c r="CK157" s="8">
        <v>0.95668905973434448</v>
      </c>
      <c r="CL157" s="8">
        <v>0.49496403336524963</v>
      </c>
      <c r="CM157" s="9">
        <v>-0.5249406099319458</v>
      </c>
      <c r="CN157" s="9">
        <v>0.49880951642990112</v>
      </c>
      <c r="CO157" s="9">
        <v>-4.4710745811462402</v>
      </c>
      <c r="CP157" s="9">
        <v>0.35195529460906982</v>
      </c>
      <c r="CQ157" s="9">
        <v>1.0410326719284058</v>
      </c>
      <c r="CR157">
        <v>-41.81114867113935</v>
      </c>
      <c r="CS157">
        <v>-12.673213720804133</v>
      </c>
      <c r="CT157">
        <v>0</v>
      </c>
      <c r="CU157" s="8">
        <v>3.2991749048233029E-2</v>
      </c>
      <c r="CV157" s="9">
        <v>1.1329923763871192</v>
      </c>
      <c r="CW157">
        <v>0.06</v>
      </c>
      <c r="CX157" t="e">
        <v>#VALUE!</v>
      </c>
      <c r="CY157" t="s">
        <v>109</v>
      </c>
      <c r="CZ157">
        <v>3.2991749048233029E-2</v>
      </c>
      <c r="DA157" t="e">
        <v>#VALUE!</v>
      </c>
      <c r="DB157" t="s">
        <v>108</v>
      </c>
      <c r="DC157">
        <v>3.1342161595821379E-2</v>
      </c>
      <c r="DD157" t="e">
        <v>#VALUE!</v>
      </c>
      <c r="DE157" t="s">
        <v>108</v>
      </c>
      <c r="DF157">
        <v>2.9032739162445066E-2</v>
      </c>
      <c r="DG157" t="e">
        <v>#VALUE!</v>
      </c>
      <c r="DH157" t="s">
        <v>108</v>
      </c>
      <c r="DI157">
        <v>2.6393399238586426E-2</v>
      </c>
      <c r="DJ157" t="e">
        <v>#VALUE!</v>
      </c>
      <c r="DK157" t="s">
        <v>108</v>
      </c>
      <c r="DL157">
        <v>2.3094224333763118E-2</v>
      </c>
      <c r="DM157">
        <v>-642000000</v>
      </c>
      <c r="DN157">
        <v>3.2991749048233029E-2</v>
      </c>
      <c r="DO157">
        <v>3956743700</v>
      </c>
      <c r="DP157" t="e">
        <v>#VALUE!</v>
      </c>
      <c r="DQ157">
        <v>156</v>
      </c>
      <c r="DR157" t="e">
        <v>#VALUE!</v>
      </c>
      <c r="DS157">
        <v>-0.62609237638711923</v>
      </c>
      <c r="DT157" t="e">
        <v>#VALUE!</v>
      </c>
      <c r="DU157" t="e">
        <v>#VALUE!</v>
      </c>
      <c r="DV157" t="e">
        <v>#VALUE!</v>
      </c>
      <c r="DW157">
        <v>-3.1222559523809523</v>
      </c>
      <c r="DX157">
        <v>0.23412451612903185</v>
      </c>
      <c r="DY157">
        <v>-3.0115072823617512</v>
      </c>
      <c r="DZ157">
        <v>0</v>
      </c>
      <c r="EA157">
        <v>-3.0115072823617512</v>
      </c>
      <c r="EB157">
        <v>3</v>
      </c>
      <c r="EC157">
        <v>1.5022582836426497E-2</v>
      </c>
      <c r="ED157">
        <v>0.15960329417080374</v>
      </c>
      <c r="EE157">
        <v>0</v>
      </c>
      <c r="EF157">
        <v>0</v>
      </c>
      <c r="EG157">
        <v>14.094124516129032</v>
      </c>
      <c r="EH157" t="s">
        <v>110</v>
      </c>
      <c r="EI157">
        <v>0</v>
      </c>
      <c r="EJ157">
        <v>0</v>
      </c>
      <c r="EK157">
        <v>0</v>
      </c>
      <c r="EL157">
        <v>0</v>
      </c>
      <c r="EM157">
        <v>0</v>
      </c>
      <c r="EN157">
        <v>0</v>
      </c>
      <c r="EO157">
        <v>0</v>
      </c>
      <c r="EP157">
        <v>0</v>
      </c>
    </row>
    <row r="158" spans="1:146" ht="96" x14ac:dyDescent="0.25">
      <c r="A158" s="7"/>
      <c r="B158" s="7"/>
      <c r="C158" s="7" t="str">
        <f>""&amp;CHAR(10)&amp;Basic_Fundamental_Information_Constructure(F158)&amp;CHAR(10)&amp;Basic_Fundamental_Information_Concatenate("")</f>
        <v xml:space="preserve">
市值972.95195亿, 利润117.17亿; PE9.34; 平均PE42.07; 平均PEG5.75, PB.484; ROIC10.3967%; ROE10.85%; 毛利21.7933%; 净利13.52%; 上一年度营收增3.78%, 利润增-71.27%; 当季营收增-26.8%, 利润增-44.46%; 过往5年营收增7.32%, 利润增167.74%
Income profile:
</v>
      </c>
      <c r="D158" s="11">
        <v>914</v>
      </c>
      <c r="E158" t="s">
        <v>2580</v>
      </c>
      <c r="F158">
        <v>18.36</v>
      </c>
      <c r="G158" s="5">
        <v>-3.27E-2</v>
      </c>
      <c r="H158" t="s">
        <v>8445</v>
      </c>
      <c r="I158">
        <v>97295195000</v>
      </c>
      <c r="J158">
        <v>9.34</v>
      </c>
      <c r="K158">
        <v>0.48399999999999999</v>
      </c>
      <c r="L158" t="s">
        <v>6350</v>
      </c>
      <c r="M158" t="s">
        <v>5291</v>
      </c>
      <c r="N158" t="s">
        <v>8446</v>
      </c>
      <c r="O158" t="s">
        <v>8447</v>
      </c>
      <c r="P158">
        <v>-32.08</v>
      </c>
      <c r="Q158" t="s">
        <v>8448</v>
      </c>
      <c r="R158">
        <v>11717480200</v>
      </c>
      <c r="S158" s="5">
        <v>-0.4446</v>
      </c>
      <c r="T158" t="s">
        <v>4669</v>
      </c>
      <c r="U158">
        <v>1299600000</v>
      </c>
      <c r="V158">
        <v>5299302600</v>
      </c>
      <c r="W158">
        <v>1.31</v>
      </c>
      <c r="X158">
        <v>0.09</v>
      </c>
      <c r="Y158">
        <v>8.08</v>
      </c>
      <c r="Z158" t="s">
        <v>662</v>
      </c>
      <c r="AA158" t="s">
        <v>8449</v>
      </c>
      <c r="AB158" t="s">
        <v>7009</v>
      </c>
      <c r="AC158" t="s">
        <v>198</v>
      </c>
      <c r="AD158" t="s">
        <v>448</v>
      </c>
      <c r="AE158" t="s">
        <v>8450</v>
      </c>
      <c r="AF158" t="s">
        <v>9</v>
      </c>
      <c r="AG158" t="s">
        <v>669</v>
      </c>
      <c r="AH158" t="s">
        <v>8451</v>
      </c>
      <c r="AI158" t="s">
        <v>8452</v>
      </c>
      <c r="AJ158" t="s">
        <v>8453</v>
      </c>
      <c r="AK158" t="s">
        <v>8454</v>
      </c>
      <c r="AL158" t="s">
        <v>9</v>
      </c>
      <c r="AM158" t="s">
        <v>8455</v>
      </c>
      <c r="AN158" s="5">
        <v>0.18770000000000001</v>
      </c>
      <c r="AO158" t="s">
        <v>2517</v>
      </c>
      <c r="AP158" t="s">
        <v>8456</v>
      </c>
      <c r="AQ158" t="s">
        <v>8457</v>
      </c>
      <c r="AR158" t="s">
        <v>8458</v>
      </c>
      <c r="AS158" t="s">
        <v>8459</v>
      </c>
      <c r="AT158" t="s">
        <v>8460</v>
      </c>
      <c r="AU158" t="s">
        <v>8461</v>
      </c>
      <c r="AV158" t="s">
        <v>8462</v>
      </c>
      <c r="AW158" t="s">
        <v>4118</v>
      </c>
      <c r="AX158" t="s">
        <v>2581</v>
      </c>
      <c r="AY158" t="s">
        <v>2585</v>
      </c>
      <c r="AZ158" t="s">
        <v>2586</v>
      </c>
      <c r="BA158" t="s">
        <v>2587</v>
      </c>
      <c r="BB158" t="s">
        <v>2588</v>
      </c>
      <c r="BC158" t="s">
        <v>2589</v>
      </c>
      <c r="BD158" t="s">
        <v>2590</v>
      </c>
      <c r="BE158" t="s">
        <v>2591</v>
      </c>
      <c r="BF158" t="s">
        <v>2592</v>
      </c>
      <c r="BG158" t="s">
        <v>2593</v>
      </c>
      <c r="BH158" t="s">
        <v>2581</v>
      </c>
      <c r="BI158" t="s">
        <v>2594</v>
      </c>
      <c r="BJ158" t="s">
        <v>2585</v>
      </c>
      <c r="BK158" t="s">
        <v>2582</v>
      </c>
      <c r="BL158" t="s">
        <v>2376</v>
      </c>
      <c r="BM158" t="s">
        <v>2589</v>
      </c>
      <c r="BN158">
        <v>5.17</v>
      </c>
      <c r="BO158">
        <v>7.91</v>
      </c>
      <c r="BP158">
        <v>18.11</v>
      </c>
      <c r="BQ158">
        <v>5.77</v>
      </c>
      <c r="BR158">
        <v>8.64</v>
      </c>
      <c r="BS158">
        <v>18.14</v>
      </c>
      <c r="BT158" t="s">
        <v>8463</v>
      </c>
      <c r="BU158" t="s">
        <v>1446</v>
      </c>
      <c r="BV158">
        <v>15.86</v>
      </c>
      <c r="BW158">
        <v>20.6</v>
      </c>
      <c r="BX158">
        <v>28.92</v>
      </c>
      <c r="BY158">
        <v>7.81</v>
      </c>
      <c r="BZ158">
        <v>12.39</v>
      </c>
      <c r="CA158">
        <v>20.36</v>
      </c>
      <c r="CB158">
        <v>-0.33</v>
      </c>
      <c r="CC158">
        <v>-0.56999999999999995</v>
      </c>
      <c r="CD158" t="s">
        <v>8464</v>
      </c>
      <c r="CE158" t="s">
        <v>43</v>
      </c>
      <c r="CF158" s="8">
        <v>-0.26795580110497236</v>
      </c>
      <c r="CG158" s="9">
        <v>-0.4446</v>
      </c>
      <c r="CH158" s="8">
        <v>3.7801988422870636E-2</v>
      </c>
      <c r="CI158" s="8">
        <v>-0.27584880590438843</v>
      </c>
      <c r="CJ158" s="8">
        <v>-2.1220620721578598E-2</v>
      </c>
      <c r="CK158" s="8">
        <v>0.43726012110710144</v>
      </c>
      <c r="CL158" s="8">
        <v>0.61921584606170654</v>
      </c>
      <c r="CM158" s="9">
        <v>-0.71265661716461182</v>
      </c>
      <c r="CN158" s="9">
        <v>-2.7846060693264008E-2</v>
      </c>
      <c r="CO158" s="9">
        <v>0.1161225438117981</v>
      </c>
      <c r="CP158" s="9">
        <v>0.10542106628417969</v>
      </c>
      <c r="CQ158" s="9">
        <v>0.78358954191207886</v>
      </c>
      <c r="CR158">
        <v>42.06700931041928</v>
      </c>
      <c r="CS158">
        <v>5.7469189120859836</v>
      </c>
      <c r="CT158" t="e">
        <v>#VALUE!</v>
      </c>
      <c r="CU158" s="8">
        <v>7.319923937320709E-2</v>
      </c>
      <c r="CV158" s="9">
        <v>1.6774050325155259</v>
      </c>
      <c r="CW158">
        <v>0.06</v>
      </c>
      <c r="CX158" t="s">
        <v>6351</v>
      </c>
      <c r="CY158">
        <v>11862901403.524401</v>
      </c>
      <c r="CZ158">
        <v>7.319923937320709E-2</v>
      </c>
      <c r="DA158" t="s">
        <v>6351</v>
      </c>
      <c r="DB158">
        <v>35787474348.241508</v>
      </c>
      <c r="DC158">
        <v>6.9539277404546726E-2</v>
      </c>
      <c r="DD158" t="s">
        <v>6351</v>
      </c>
      <c r="DE158">
        <v>71334072481.960861</v>
      </c>
      <c r="DF158">
        <v>6.4415330648422239E-2</v>
      </c>
      <c r="DG158" t="s">
        <v>6351</v>
      </c>
      <c r="DH158">
        <v>116297732425.10718</v>
      </c>
      <c r="DI158">
        <v>5.8559391498565677E-2</v>
      </c>
      <c r="DJ158" t="s">
        <v>6351</v>
      </c>
      <c r="DK158">
        <v>215030173881.93527</v>
      </c>
      <c r="DL158">
        <v>5.1239467561244957E-2</v>
      </c>
      <c r="DM158">
        <v>11717000000</v>
      </c>
      <c r="DN158">
        <v>7.319923937320709E-2</v>
      </c>
      <c r="DO158">
        <v>-67873805000.000031</v>
      </c>
      <c r="DP158" t="e">
        <v>#VALUE!</v>
      </c>
      <c r="DQ158">
        <v>157</v>
      </c>
      <c r="DR158">
        <v>-0.34115504047817946</v>
      </c>
      <c r="DS158">
        <v>-2.122005032515526</v>
      </c>
      <c r="DT158">
        <v>-0.28999999999999998</v>
      </c>
      <c r="DU158">
        <v>1.2283333333333333</v>
      </c>
      <c r="DV158">
        <v>0.93833333333333324</v>
      </c>
      <c r="DW158">
        <v>-5.6999999999999993E-3</v>
      </c>
      <c r="DX158">
        <v>0.31796764705882186</v>
      </c>
      <c r="DY158">
        <v>-9.0041558823529392E-4</v>
      </c>
      <c r="DZ158">
        <v>0</v>
      </c>
      <c r="EA158">
        <v>-9.0041558823529392E-4</v>
      </c>
      <c r="EB158">
        <v>0</v>
      </c>
      <c r="EC158">
        <v>8.1080857696256108E-3</v>
      </c>
      <c r="ED158">
        <v>5.1327508642363621E-2</v>
      </c>
      <c r="EE158">
        <v>0</v>
      </c>
      <c r="EF158">
        <v>0</v>
      </c>
      <c r="EG158">
        <v>16.157967647058822</v>
      </c>
      <c r="EH158" t="s">
        <v>110</v>
      </c>
      <c r="EI158">
        <v>0</v>
      </c>
      <c r="EJ158">
        <v>0</v>
      </c>
      <c r="EK158">
        <v>0</v>
      </c>
      <c r="EL158">
        <v>0</v>
      </c>
      <c r="EM158">
        <v>0</v>
      </c>
      <c r="EN158">
        <v>0</v>
      </c>
      <c r="EO158">
        <v>0</v>
      </c>
      <c r="EP158">
        <v>0</v>
      </c>
    </row>
    <row r="159" spans="1:146" ht="96" x14ac:dyDescent="0.25">
      <c r="A159" s="7"/>
      <c r="B159" s="7"/>
      <c r="C159" s="7" t="str">
        <f>""&amp;CHAR(10)&amp;Basic_Fundamental_Information_Constructure(F159)&amp;CHAR(10)&amp;Basic_Fundamental_Information_Concatenate("")</f>
        <v xml:space="preserve">
市值567.63152亿, 利润67.97亿; PE8.46; 平均PE49.52; 平均PEG2.52, PB.734; ROIC3.3333%; ROE8.5767%; 股利率0%; 毛利75.8%; 净利17.7233%; 上一年度营收增-8.25%, 利润增-22.67%; 当季营收增-17.12%, 利润增-3.18%; 过往5年营收增19.62%, 利润增42.23%
Income profile:
</v>
      </c>
      <c r="D159" s="11">
        <v>916</v>
      </c>
      <c r="E159" t="s">
        <v>2596</v>
      </c>
      <c r="F159">
        <v>6.79</v>
      </c>
      <c r="G159" s="5">
        <v>-1.8800000000000001E-2</v>
      </c>
      <c r="H159" t="s">
        <v>8465</v>
      </c>
      <c r="I159">
        <v>56763152000</v>
      </c>
      <c r="J159">
        <v>8.4600000000000009</v>
      </c>
      <c r="K159">
        <v>0.73399999999999999</v>
      </c>
      <c r="L159" t="s">
        <v>6350</v>
      </c>
      <c r="M159" t="s">
        <v>9</v>
      </c>
      <c r="N159" t="s">
        <v>9</v>
      </c>
      <c r="O159" t="s">
        <v>8466</v>
      </c>
      <c r="P159">
        <v>0.1</v>
      </c>
      <c r="Q159" t="s">
        <v>8467</v>
      </c>
      <c r="R159">
        <v>6796854400</v>
      </c>
      <c r="S159" s="5">
        <v>-3.1800000000000002E-2</v>
      </c>
      <c r="T159" t="s">
        <v>8468</v>
      </c>
      <c r="U159">
        <v>3317882000</v>
      </c>
      <c r="V159">
        <v>8359816200</v>
      </c>
      <c r="W159" t="s">
        <v>9</v>
      </c>
      <c r="X159">
        <v>0.04</v>
      </c>
      <c r="Y159">
        <v>32.549999999999997</v>
      </c>
      <c r="Z159" t="s">
        <v>8466</v>
      </c>
      <c r="AA159" t="s">
        <v>9</v>
      </c>
      <c r="AB159" t="s">
        <v>9</v>
      </c>
      <c r="AC159" t="s">
        <v>9</v>
      </c>
      <c r="AD159" t="s">
        <v>24</v>
      </c>
      <c r="AE159" t="s">
        <v>8469</v>
      </c>
      <c r="AF159" t="s">
        <v>9</v>
      </c>
      <c r="AG159" t="s">
        <v>167</v>
      </c>
      <c r="AH159" t="s">
        <v>8470</v>
      </c>
      <c r="AI159" t="s">
        <v>9</v>
      </c>
      <c r="AJ159" t="s">
        <v>9</v>
      </c>
      <c r="AK159" t="s">
        <v>8471</v>
      </c>
      <c r="AL159" t="s">
        <v>9</v>
      </c>
      <c r="AM159" t="s">
        <v>9</v>
      </c>
      <c r="AN159" s="5">
        <v>0.64319999999999999</v>
      </c>
      <c r="AO159" t="s">
        <v>9</v>
      </c>
      <c r="AP159" t="s">
        <v>4537</v>
      </c>
      <c r="AQ159" t="s">
        <v>9</v>
      </c>
      <c r="AR159" t="s">
        <v>8472</v>
      </c>
      <c r="AS159" t="s">
        <v>9</v>
      </c>
      <c r="AT159" t="s">
        <v>9</v>
      </c>
      <c r="AU159" t="s">
        <v>8473</v>
      </c>
      <c r="AV159" t="s">
        <v>8474</v>
      </c>
      <c r="AW159" t="s">
        <v>9</v>
      </c>
      <c r="AX159" t="s">
        <v>2597</v>
      </c>
      <c r="AY159" t="s">
        <v>2600</v>
      </c>
      <c r="AZ159" t="s">
        <v>2601</v>
      </c>
      <c r="BA159" t="s">
        <v>2602</v>
      </c>
      <c r="BB159" t="s">
        <v>2603</v>
      </c>
      <c r="BC159" t="s">
        <v>8475</v>
      </c>
      <c r="BD159" t="s">
        <v>2604</v>
      </c>
      <c r="BE159" t="s">
        <v>2605</v>
      </c>
      <c r="BF159" t="s">
        <v>2606</v>
      </c>
      <c r="BG159" t="s">
        <v>2607</v>
      </c>
      <c r="BH159" t="s">
        <v>2597</v>
      </c>
      <c r="BI159" t="s">
        <v>2608</v>
      </c>
      <c r="BJ159" t="s">
        <v>2600</v>
      </c>
      <c r="BK159" t="s">
        <v>2598</v>
      </c>
      <c r="BL159" t="s">
        <v>2609</v>
      </c>
      <c r="BM159" t="s">
        <v>8475</v>
      </c>
      <c r="BN159">
        <v>3.25</v>
      </c>
      <c r="BO159">
        <v>2.73</v>
      </c>
      <c r="BP159">
        <v>4.0199999999999996</v>
      </c>
      <c r="BQ159">
        <v>8.7799999999999994</v>
      </c>
      <c r="BR159">
        <v>7.16</v>
      </c>
      <c r="BS159">
        <v>9.7899999999999991</v>
      </c>
      <c r="BT159" t="s">
        <v>8476</v>
      </c>
      <c r="BU159" t="s">
        <v>392</v>
      </c>
      <c r="BV159">
        <v>82.27</v>
      </c>
      <c r="BW159">
        <v>74.7</v>
      </c>
      <c r="BX159">
        <v>70.430000000000007</v>
      </c>
      <c r="BY159">
        <v>18.25</v>
      </c>
      <c r="BZ159">
        <v>15.38</v>
      </c>
      <c r="CA159">
        <v>19.54</v>
      </c>
      <c r="CB159">
        <v>-7.11</v>
      </c>
      <c r="CC159">
        <v>8.73</v>
      </c>
      <c r="CD159" t="s">
        <v>2113</v>
      </c>
      <c r="CE159" t="s">
        <v>4653</v>
      </c>
      <c r="CF159" s="8">
        <v>-0.17116626468528748</v>
      </c>
      <c r="CG159" s="9">
        <v>-3.1800000000000002E-2</v>
      </c>
      <c r="CH159" s="8">
        <v>-8.2480907440185547E-2</v>
      </c>
      <c r="CI159" s="8">
        <v>-7.8958675265312195E-2</v>
      </c>
      <c r="CJ159" s="8">
        <v>0.42891010642051697</v>
      </c>
      <c r="CK159" s="8">
        <v>0.13722752034664154</v>
      </c>
      <c r="CL159" s="8">
        <v>1.9061828032135963E-2</v>
      </c>
      <c r="CM159" s="9">
        <v>-0.22673487663269043</v>
      </c>
      <c r="CN159" s="9">
        <v>0.5604473352432251</v>
      </c>
      <c r="CO159" s="9">
        <v>0.16552865505218506</v>
      </c>
      <c r="CP159" s="9">
        <v>8.1692077219486237E-2</v>
      </c>
      <c r="CQ159" s="9">
        <v>1.0402445681393147E-2</v>
      </c>
      <c r="CR159">
        <v>49.52050712139097</v>
      </c>
      <c r="CS159">
        <v>2.5238039434094341</v>
      </c>
      <c r="CT159">
        <v>0</v>
      </c>
      <c r="CU159" s="8">
        <v>0.19621376395225526</v>
      </c>
      <c r="CV159" s="9">
        <v>0.42234799265861511</v>
      </c>
      <c r="CW159">
        <v>0.06</v>
      </c>
      <c r="CX159">
        <v>7.4002484991687396</v>
      </c>
      <c r="CY159">
        <v>7670438635.456111</v>
      </c>
      <c r="CZ159">
        <v>0.19621376395225526</v>
      </c>
      <c r="DA159">
        <v>2.2127880501360959</v>
      </c>
      <c r="DB159">
        <v>25652322189.876621</v>
      </c>
      <c r="DC159">
        <v>0.18640307575464249</v>
      </c>
      <c r="DD159">
        <v>0.96297149864300724</v>
      </c>
      <c r="DE159">
        <v>58945827659.478043</v>
      </c>
      <c r="DF159">
        <v>0.17266811227798462</v>
      </c>
      <c r="DG159">
        <v>0.50005525436604414</v>
      </c>
      <c r="DH159">
        <v>113513759738.33673</v>
      </c>
      <c r="DI159">
        <v>0.15697101116180423</v>
      </c>
      <c r="DJ159">
        <v>0.18378205160584618</v>
      </c>
      <c r="DK159">
        <v>308861238102.50433</v>
      </c>
      <c r="DL159">
        <v>0.13734963476657866</v>
      </c>
      <c r="DM159">
        <v>6797000000</v>
      </c>
      <c r="DN159">
        <v>0.19621376395225526</v>
      </c>
      <c r="DO159">
        <v>56763152000</v>
      </c>
      <c r="DP159" t="e">
        <v>#VALUE!</v>
      </c>
      <c r="DQ159">
        <v>158</v>
      </c>
      <c r="DR159">
        <v>-0.36738002863754271</v>
      </c>
      <c r="DS159">
        <v>-0.45414799265861511</v>
      </c>
      <c r="DT159">
        <v>7.6666666666666661E-2</v>
      </c>
      <c r="DU159">
        <v>1.1366666666666667</v>
      </c>
      <c r="DV159">
        <v>1.2133333333333334</v>
      </c>
      <c r="DW159">
        <v>-7.4488636363636367</v>
      </c>
      <c r="DX159">
        <v>0.3845123258306522</v>
      </c>
      <c r="DY159">
        <v>-7.0603776917080774</v>
      </c>
      <c r="DZ159">
        <v>0</v>
      </c>
      <c r="EA159">
        <v>-7.0603776917080774</v>
      </c>
      <c r="EB159">
        <v>7</v>
      </c>
      <c r="EC159">
        <v>3.0024583554839397E-2</v>
      </c>
      <c r="ED159">
        <v>0.2232106490570929</v>
      </c>
      <c r="EE159">
        <v>0</v>
      </c>
      <c r="EF159">
        <v>0</v>
      </c>
      <c r="EG159">
        <v>25.134512325830652</v>
      </c>
      <c r="EH159" t="s">
        <v>110</v>
      </c>
      <c r="EI159">
        <v>0</v>
      </c>
      <c r="EJ159">
        <v>0</v>
      </c>
      <c r="EK159">
        <v>0</v>
      </c>
      <c r="EL159">
        <v>0</v>
      </c>
      <c r="EM159">
        <v>0</v>
      </c>
      <c r="EN159">
        <v>0</v>
      </c>
      <c r="EO159">
        <v>0</v>
      </c>
      <c r="EP159">
        <v>0</v>
      </c>
    </row>
    <row r="160" spans="1:146" ht="96" x14ac:dyDescent="0.25">
      <c r="A160" s="7"/>
      <c r="B160" s="7"/>
      <c r="C160" s="7" t="str">
        <f>""&amp;CHAR(10)&amp;Basic_Fundamental_Information_Constructure(F160)&amp;CHAR(10)&amp;Basic_Fundamental_Information_Concatenate("")</f>
        <v xml:space="preserve">
市值390.48761亿, 利润31.10亿; PE11.27; 平均PE27.6; 平均PEG1.9, PB2.53; ROIC12.9533%; ROE14.25%; 股利率0%; 毛利20.3167%; 净利4.4333%; 上一年度营收增12.2%, 利润增161.13%; 当季营收增12.22%, 利润增50.5%; 过往5年营收增14.51%, 利润增12.94%
Income profile:
</v>
      </c>
      <c r="D160" s="11">
        <v>921</v>
      </c>
      <c r="E160" t="s">
        <v>2611</v>
      </c>
      <c r="F160">
        <v>28.15</v>
      </c>
      <c r="G160" s="5">
        <v>-0.10349999999999999</v>
      </c>
      <c r="H160" t="s">
        <v>8477</v>
      </c>
      <c r="I160">
        <v>39048761000</v>
      </c>
      <c r="J160">
        <v>11.27</v>
      </c>
      <c r="K160">
        <v>2.5299999999999998</v>
      </c>
      <c r="L160" t="s">
        <v>6350</v>
      </c>
      <c r="M160" t="s">
        <v>9</v>
      </c>
      <c r="N160" t="s">
        <v>9</v>
      </c>
      <c r="O160" t="s">
        <v>8478</v>
      </c>
      <c r="P160">
        <v>20.87</v>
      </c>
      <c r="Q160" t="s">
        <v>8479</v>
      </c>
      <c r="R160">
        <v>2557800000</v>
      </c>
      <c r="S160" s="5">
        <v>0.505</v>
      </c>
      <c r="T160" t="s">
        <v>6309</v>
      </c>
      <c r="U160">
        <v>459589810</v>
      </c>
      <c r="V160">
        <v>1387935400</v>
      </c>
      <c r="W160">
        <v>4.87</v>
      </c>
      <c r="X160">
        <v>0.35</v>
      </c>
      <c r="Y160" t="s">
        <v>9</v>
      </c>
      <c r="Z160" t="s">
        <v>9</v>
      </c>
      <c r="AA160" t="s">
        <v>9</v>
      </c>
      <c r="AB160" t="s">
        <v>9</v>
      </c>
      <c r="AC160" t="s">
        <v>9</v>
      </c>
      <c r="AD160" t="s">
        <v>8480</v>
      </c>
      <c r="AE160" t="s">
        <v>9</v>
      </c>
      <c r="AF160" t="s">
        <v>9</v>
      </c>
      <c r="AG160" t="s">
        <v>9</v>
      </c>
      <c r="AH160" t="s">
        <v>17</v>
      </c>
      <c r="AI160" t="s">
        <v>9</v>
      </c>
      <c r="AJ160" t="s">
        <v>9</v>
      </c>
      <c r="AK160" t="s">
        <v>8481</v>
      </c>
      <c r="AL160" t="s">
        <v>9</v>
      </c>
      <c r="AM160" t="s">
        <v>9</v>
      </c>
      <c r="AN160" s="5">
        <v>0</v>
      </c>
      <c r="AO160" t="s">
        <v>9</v>
      </c>
      <c r="AP160" t="s">
        <v>8482</v>
      </c>
      <c r="AQ160" t="s">
        <v>9</v>
      </c>
      <c r="AR160" t="s">
        <v>8483</v>
      </c>
      <c r="AS160" t="s">
        <v>9</v>
      </c>
      <c r="AT160" t="s">
        <v>9</v>
      </c>
      <c r="AU160" t="s">
        <v>4370</v>
      </c>
      <c r="AV160" t="s">
        <v>8484</v>
      </c>
      <c r="AW160" t="s">
        <v>9</v>
      </c>
      <c r="AX160" t="s">
        <v>2612</v>
      </c>
      <c r="AY160" t="s">
        <v>2615</v>
      </c>
      <c r="AZ160" t="s">
        <v>2616</v>
      </c>
      <c r="BA160" t="s">
        <v>2617</v>
      </c>
      <c r="BB160" t="s">
        <v>2618</v>
      </c>
      <c r="BC160" t="s">
        <v>1184</v>
      </c>
      <c r="BD160" t="s">
        <v>2619</v>
      </c>
      <c r="BE160" t="s">
        <v>2620</v>
      </c>
      <c r="BF160" t="s">
        <v>1634</v>
      </c>
      <c r="BG160" t="s">
        <v>2621</v>
      </c>
      <c r="BH160" t="s">
        <v>2612</v>
      </c>
      <c r="BI160" t="s">
        <v>2622</v>
      </c>
      <c r="BJ160" t="s">
        <v>2615</v>
      </c>
      <c r="BK160" t="s">
        <v>843</v>
      </c>
      <c r="BL160" t="s">
        <v>2096</v>
      </c>
      <c r="BM160" t="s">
        <v>1184</v>
      </c>
      <c r="BN160">
        <v>19.48</v>
      </c>
      <c r="BO160">
        <v>10.94</v>
      </c>
      <c r="BP160">
        <v>8.44</v>
      </c>
      <c r="BQ160">
        <v>20.89</v>
      </c>
      <c r="BR160">
        <v>12.46</v>
      </c>
      <c r="BS160">
        <v>9.4</v>
      </c>
      <c r="BT160" t="s">
        <v>4675</v>
      </c>
      <c r="BU160" t="s">
        <v>1987</v>
      </c>
      <c r="BV160">
        <v>21.55</v>
      </c>
      <c r="BW160">
        <v>20.170000000000002</v>
      </c>
      <c r="BX160">
        <v>19.23</v>
      </c>
      <c r="BY160">
        <v>5.64</v>
      </c>
      <c r="BZ160">
        <v>4.17</v>
      </c>
      <c r="CA160">
        <v>3.49</v>
      </c>
      <c r="CB160">
        <v>-12.85</v>
      </c>
      <c r="CC160">
        <v>-25.13</v>
      </c>
      <c r="CD160" t="s">
        <v>8485</v>
      </c>
      <c r="CE160" t="s">
        <v>760</v>
      </c>
      <c r="CF160" s="8">
        <v>0.12222566783325212</v>
      </c>
      <c r="CG160" s="9">
        <v>0.505</v>
      </c>
      <c r="CH160" s="8">
        <v>0.12195881456136703</v>
      </c>
      <c r="CI160" s="8">
        <v>1.0055674239993095E-2</v>
      </c>
      <c r="CJ160" s="8">
        <v>0.43553858995437622</v>
      </c>
      <c r="CK160" s="8">
        <v>0.3969082236289978</v>
      </c>
      <c r="CL160" s="8">
        <v>2.1520324051380157E-2</v>
      </c>
      <c r="CM160" s="9">
        <v>1.6112509965896606</v>
      </c>
      <c r="CN160" s="9">
        <v>-0.3671625554561615</v>
      </c>
      <c r="CO160" s="9">
        <v>-6.0878243297338486E-2</v>
      </c>
      <c r="CP160" s="9">
        <v>0.27806121110916138</v>
      </c>
      <c r="CQ160" s="9">
        <v>-0.35206612944602966</v>
      </c>
      <c r="CR160">
        <v>27.602799952874644</v>
      </c>
      <c r="CS160">
        <v>1.9026387179805337</v>
      </c>
      <c r="CT160">
        <v>0</v>
      </c>
      <c r="CU160" s="8">
        <v>0.14507641252130271</v>
      </c>
      <c r="CV160" s="9">
        <v>0.12937305271625518</v>
      </c>
      <c r="CW160">
        <v>0.06</v>
      </c>
      <c r="CX160">
        <v>11.623000754269111</v>
      </c>
      <c r="CY160">
        <v>3359610983.9068408</v>
      </c>
      <c r="CZ160">
        <v>0.14507641252130271</v>
      </c>
      <c r="DA160">
        <v>3.6262848482293655</v>
      </c>
      <c r="DB160">
        <v>10768255290.00201</v>
      </c>
      <c r="DC160">
        <v>0.13782259189523757</v>
      </c>
      <c r="DD160">
        <v>1.675754086319637</v>
      </c>
      <c r="DE160">
        <v>23302202464.420399</v>
      </c>
      <c r="DF160">
        <v>0.12766724301874638</v>
      </c>
      <c r="DG160">
        <v>0.93540055368558161</v>
      </c>
      <c r="DH160">
        <v>41745496991.789841</v>
      </c>
      <c r="DI160">
        <v>0.11606113001704217</v>
      </c>
      <c r="DJ160">
        <v>0.40911587229016255</v>
      </c>
      <c r="DK160">
        <v>95446702620.975174</v>
      </c>
      <c r="DL160">
        <v>0.1015534887649119</v>
      </c>
      <c r="DM160">
        <v>3110000000</v>
      </c>
      <c r="DN160">
        <v>0.14507641252130271</v>
      </c>
      <c r="DO160">
        <v>39048761000</v>
      </c>
      <c r="DP160" t="e">
        <v>#VALUE!</v>
      </c>
      <c r="DQ160">
        <v>159</v>
      </c>
      <c r="DR160">
        <v>-2.2850744688050595E-2</v>
      </c>
      <c r="DS160">
        <v>0.37562694728374479</v>
      </c>
      <c r="DT160">
        <v>-0.15666666666666665</v>
      </c>
      <c r="DU160">
        <v>0.8833333333333333</v>
      </c>
      <c r="DV160">
        <v>0.72666666666666668</v>
      </c>
      <c r="DW160">
        <v>-9.5113410266613609</v>
      </c>
      <c r="DX160">
        <v>1.2163815126050372</v>
      </c>
      <c r="DY160">
        <v>-9.0799642832063192</v>
      </c>
      <c r="DZ160">
        <v>0</v>
      </c>
      <c r="EA160">
        <v>-9.0799642832063192</v>
      </c>
      <c r="EB160">
        <v>9</v>
      </c>
      <c r="EC160">
        <v>1.3407972734177686E-2</v>
      </c>
      <c r="ED160">
        <v>8.573886075677585E-2</v>
      </c>
      <c r="EE160">
        <v>0</v>
      </c>
      <c r="EF160">
        <v>0</v>
      </c>
      <c r="EG160">
        <v>106.15638151260504</v>
      </c>
      <c r="EH160" t="s">
        <v>110</v>
      </c>
      <c r="EI160">
        <v>0</v>
      </c>
      <c r="EJ160">
        <v>0</v>
      </c>
      <c r="EK160">
        <v>0</v>
      </c>
      <c r="EL160">
        <v>0</v>
      </c>
      <c r="EM160">
        <v>0</v>
      </c>
      <c r="EN160">
        <v>0</v>
      </c>
      <c r="EO160">
        <v>0</v>
      </c>
      <c r="EP160">
        <v>0</v>
      </c>
    </row>
    <row r="161" spans="1:146" ht="84" x14ac:dyDescent="0.25">
      <c r="C161" s="7" t="str">
        <f>""&amp;CHAR(10)&amp;Basic_Fundamental_Information_Constructure(F161)&amp;CHAR(10)&amp;Basic_Fundamental_Information_Concatenate("")</f>
        <v xml:space="preserve">
市值67.094032亿, 利润--; PE; 平均PE-42.36; 平均PEG-5.38, PB.869; ROIC0%; ROE0%; 股利率0%; 毛利0%; 净利0%, 利润增-114%; 过往5年营收增7.87%, 利润增-217.71%
Income profile:
</v>
      </c>
      <c r="D161" s="11">
        <v>933</v>
      </c>
      <c r="E161" t="s">
        <v>6364</v>
      </c>
      <c r="F161">
        <v>0.69</v>
      </c>
      <c r="G161">
        <v>-1.43E-2</v>
      </c>
      <c r="H161" t="s">
        <v>8486</v>
      </c>
      <c r="I161">
        <v>6709403200</v>
      </c>
      <c r="K161">
        <v>0.86899999999999999</v>
      </c>
      <c r="L161" t="s">
        <v>6350</v>
      </c>
      <c r="M161" t="s">
        <v>9</v>
      </c>
      <c r="N161" t="s">
        <v>9</v>
      </c>
      <c r="O161" t="s">
        <v>9</v>
      </c>
      <c r="P161" s="5" t="s">
        <v>9</v>
      </c>
      <c r="Q161" t="s">
        <v>9</v>
      </c>
      <c r="R161">
        <v>-118990000</v>
      </c>
      <c r="S161">
        <v>-1.1399999999999999</v>
      </c>
      <c r="T161" t="s">
        <v>9</v>
      </c>
      <c r="U161">
        <v>9722276700</v>
      </c>
      <c r="V161">
        <v>9722276700</v>
      </c>
      <c r="W161" t="s">
        <v>9</v>
      </c>
      <c r="X161" t="s">
        <v>9</v>
      </c>
      <c r="Y161" t="s">
        <v>9</v>
      </c>
      <c r="Z161" t="s">
        <v>9</v>
      </c>
      <c r="AA161" t="s">
        <v>9</v>
      </c>
      <c r="AB161" t="s">
        <v>9</v>
      </c>
      <c r="AC161" t="s">
        <v>9</v>
      </c>
      <c r="AD161" t="s">
        <v>9</v>
      </c>
      <c r="AE161" t="s">
        <v>9</v>
      </c>
      <c r="AF161" t="s">
        <v>9</v>
      </c>
      <c r="AG161" t="s">
        <v>9</v>
      </c>
      <c r="AH161" t="s">
        <v>8487</v>
      </c>
      <c r="AI161" t="s">
        <v>9</v>
      </c>
      <c r="AJ161" t="s">
        <v>9</v>
      </c>
      <c r="AK161" s="5" t="s">
        <v>8488</v>
      </c>
      <c r="AL161" t="s">
        <v>9</v>
      </c>
      <c r="AM161" t="s">
        <v>9</v>
      </c>
      <c r="AN161">
        <v>0.38469999999999999</v>
      </c>
      <c r="AO161" t="s">
        <v>9</v>
      </c>
      <c r="AP161" t="s">
        <v>9</v>
      </c>
      <c r="AQ161" t="s">
        <v>9</v>
      </c>
      <c r="AR161" t="s">
        <v>9</v>
      </c>
      <c r="AS161" t="s">
        <v>9</v>
      </c>
      <c r="AT161" t="s">
        <v>9</v>
      </c>
      <c r="AU161" t="s">
        <v>9</v>
      </c>
      <c r="AV161" t="s">
        <v>9</v>
      </c>
      <c r="AW161" t="s">
        <v>9</v>
      </c>
      <c r="AX161" t="s">
        <v>9</v>
      </c>
      <c r="AY161" t="s">
        <v>9</v>
      </c>
      <c r="AZ161" t="s">
        <v>9</v>
      </c>
      <c r="BA161" t="s">
        <v>9</v>
      </c>
      <c r="BB161" t="s">
        <v>9</v>
      </c>
      <c r="BC161" t="s">
        <v>9</v>
      </c>
      <c r="BD161" t="s">
        <v>9</v>
      </c>
      <c r="BE161" t="s">
        <v>9</v>
      </c>
      <c r="BF161" t="s">
        <v>9</v>
      </c>
      <c r="BG161" t="s">
        <v>9</v>
      </c>
      <c r="BH161" t="s">
        <v>9</v>
      </c>
      <c r="BI161" t="s">
        <v>9</v>
      </c>
      <c r="BJ161" t="s">
        <v>9</v>
      </c>
      <c r="BK161" t="s">
        <v>9</v>
      </c>
      <c r="BL161" t="s">
        <v>9</v>
      </c>
      <c r="BM161" t="s">
        <v>9</v>
      </c>
      <c r="BN161" t="s">
        <v>9</v>
      </c>
      <c r="BO161" t="s">
        <v>9</v>
      </c>
      <c r="BP161" t="s">
        <v>9</v>
      </c>
      <c r="BQ161" t="s">
        <v>9</v>
      </c>
      <c r="BR161" t="s">
        <v>9</v>
      </c>
      <c r="BS161" t="s">
        <v>9</v>
      </c>
      <c r="BT161" t="s">
        <v>9</v>
      </c>
      <c r="BU161" t="s">
        <v>9</v>
      </c>
      <c r="BV161" t="s">
        <v>9</v>
      </c>
      <c r="BW161" t="s">
        <v>9</v>
      </c>
      <c r="BX161" t="s">
        <v>9</v>
      </c>
      <c r="BY161" t="s">
        <v>9</v>
      </c>
      <c r="BZ161" t="s">
        <v>9</v>
      </c>
      <c r="CA161" t="s">
        <v>9</v>
      </c>
      <c r="CB161">
        <v>0</v>
      </c>
      <c r="CC161" s="8">
        <v>-13.75</v>
      </c>
      <c r="CD161" s="10" t="s">
        <v>8489</v>
      </c>
      <c r="CE161" s="8" t="s">
        <v>8490</v>
      </c>
      <c r="CF161" s="8" t="s">
        <v>9</v>
      </c>
      <c r="CG161" s="8">
        <v>-1.1399999999999999</v>
      </c>
      <c r="CH161" s="8" t="s">
        <v>9</v>
      </c>
      <c r="CI161" s="8" t="s">
        <v>9</v>
      </c>
      <c r="CJ161" s="9" t="s">
        <v>9</v>
      </c>
      <c r="CK161" s="9" t="s">
        <v>9</v>
      </c>
      <c r="CL161" s="9" t="s">
        <v>9</v>
      </c>
      <c r="CM161" s="9" t="s">
        <v>9</v>
      </c>
      <c r="CN161" s="9" t="s">
        <v>9</v>
      </c>
      <c r="CO161" t="s">
        <v>9</v>
      </c>
      <c r="CP161" t="s">
        <v>9</v>
      </c>
      <c r="CQ161" t="s">
        <v>9</v>
      </c>
      <c r="CR161" s="8">
        <v>-42.356391485140861</v>
      </c>
      <c r="CS161" s="9">
        <v>-5.3834486573828881</v>
      </c>
      <c r="CT161">
        <v>0</v>
      </c>
      <c r="CU161">
        <v>7.8678917884826657E-2</v>
      </c>
      <c r="CV161">
        <v>-2.1770679593086242</v>
      </c>
      <c r="CW161">
        <v>0.06</v>
      </c>
      <c r="CX161" t="e">
        <v>#DIV/0!</v>
      </c>
      <c r="CY161">
        <v>0</v>
      </c>
      <c r="CZ161">
        <v>7.8678917884826657E-2</v>
      </c>
      <c r="DA161" t="e">
        <v>#DIV/0!</v>
      </c>
      <c r="DB161">
        <v>0</v>
      </c>
      <c r="DC161">
        <v>7.4744971990585315E-2</v>
      </c>
      <c r="DD161" t="e">
        <v>#DIV/0!</v>
      </c>
      <c r="DE161">
        <v>0</v>
      </c>
      <c r="DF161">
        <v>6.9237447738647456E-2</v>
      </c>
      <c r="DG161" t="e">
        <v>#DIV/0!</v>
      </c>
      <c r="DH161">
        <v>0</v>
      </c>
      <c r="DI161">
        <v>6.2943134307861331E-2</v>
      </c>
      <c r="DJ161" t="e">
        <v>#DIV/0!</v>
      </c>
      <c r="DK161">
        <v>0</v>
      </c>
      <c r="DL161">
        <v>5.5075242519378655E-2</v>
      </c>
      <c r="DM161">
        <v>0</v>
      </c>
      <c r="DN161">
        <v>7.8678917884826657E-2</v>
      </c>
      <c r="DO161">
        <v>6709403200</v>
      </c>
      <c r="DP161" t="e">
        <v>#VALUE!</v>
      </c>
      <c r="DQ161">
        <v>160</v>
      </c>
      <c r="DR161" t="e">
        <v>#VALUE!</v>
      </c>
      <c r="DS161">
        <v>1.0370679593086243</v>
      </c>
      <c r="DT161" t="e">
        <v>#VALUE!</v>
      </c>
      <c r="DU161" t="e">
        <v>#VALUE!</v>
      </c>
      <c r="DV161" t="e">
        <v>#VALUE!</v>
      </c>
      <c r="DW161">
        <v>-2.1375000000000002</v>
      </c>
      <c r="DX161">
        <v>0.53196159931029818</v>
      </c>
      <c r="DY161">
        <v>-2.0153947199051658</v>
      </c>
      <c r="DZ161">
        <v>0</v>
      </c>
      <c r="EA161">
        <v>-2.0153947199051658</v>
      </c>
      <c r="EB161">
        <v>2</v>
      </c>
      <c r="EC161">
        <v>7.693979744476929E-4</v>
      </c>
      <c r="ED161">
        <v>6.8719809219171882E-3</v>
      </c>
      <c r="EE161">
        <v>0</v>
      </c>
      <c r="EF161">
        <v>0</v>
      </c>
      <c r="EG161">
        <v>42.111961599310298</v>
      </c>
      <c r="EH161" t="s">
        <v>110</v>
      </c>
      <c r="EI161">
        <v>0</v>
      </c>
      <c r="EJ161">
        <v>0</v>
      </c>
      <c r="EK161">
        <v>0</v>
      </c>
      <c r="EL161">
        <v>0</v>
      </c>
      <c r="EM161">
        <v>0</v>
      </c>
      <c r="EN161">
        <v>0</v>
      </c>
      <c r="EO161">
        <v>0</v>
      </c>
      <c r="EP161">
        <v>0</v>
      </c>
    </row>
    <row r="162" spans="1:146" ht="96" x14ac:dyDescent="0.25">
      <c r="A162" s="7"/>
      <c r="B162" s="7"/>
      <c r="C162" s="7" t="str">
        <f>""&amp;CHAR(10)&amp;Basic_Fundamental_Information_Constructure(F162)&amp;CHAR(10)&amp;Basic_Fundamental_Information_Concatenate("")</f>
        <v xml:space="preserve">
市值96.96024亿, 利润12.99亿; PE7.47; 平均PE45.17; 平均PEG2.02, PB.625; ROIC6.14%; ROE6.0467%; 股利率0%; 毛利44.5233%; 净利147.7267%; 上一年度营收增-.97%, 利润增23.71%, 利润增198.6%; 过往5年营收增22.39%, 利润增-90.54%
Income profile:
</v>
      </c>
      <c r="D162" s="11">
        <v>934</v>
      </c>
      <c r="E162" t="s">
        <v>2623</v>
      </c>
      <c r="F162">
        <v>3.9</v>
      </c>
      <c r="G162" s="5">
        <v>-1.7600000000000001E-2</v>
      </c>
      <c r="H162" t="s">
        <v>8491</v>
      </c>
      <c r="I162">
        <v>9696024000</v>
      </c>
      <c r="J162">
        <v>7.47</v>
      </c>
      <c r="K162">
        <v>0.625</v>
      </c>
      <c r="L162" t="s">
        <v>6350</v>
      </c>
      <c r="M162" t="s">
        <v>9</v>
      </c>
      <c r="N162" t="s">
        <v>9</v>
      </c>
      <c r="O162" t="s">
        <v>9</v>
      </c>
      <c r="P162" t="s">
        <v>9</v>
      </c>
      <c r="Q162" t="s">
        <v>6348</v>
      </c>
      <c r="R162">
        <v>1298612000</v>
      </c>
      <c r="S162" s="5">
        <v>1.986</v>
      </c>
      <c r="T162" t="s">
        <v>2796</v>
      </c>
      <c r="U162">
        <v>2486160000</v>
      </c>
      <c r="V162">
        <v>2486160000</v>
      </c>
      <c r="W162" t="s">
        <v>9</v>
      </c>
      <c r="X162" t="s">
        <v>9</v>
      </c>
      <c r="Y162" t="s">
        <v>9</v>
      </c>
      <c r="Z162" t="s">
        <v>9</v>
      </c>
      <c r="AA162" t="s">
        <v>9</v>
      </c>
      <c r="AB162" t="s">
        <v>9</v>
      </c>
      <c r="AC162" t="s">
        <v>9</v>
      </c>
      <c r="AD162" t="s">
        <v>9</v>
      </c>
      <c r="AE162" t="s">
        <v>9</v>
      </c>
      <c r="AF162" t="s">
        <v>9</v>
      </c>
      <c r="AG162" t="s">
        <v>9</v>
      </c>
      <c r="AH162" t="s">
        <v>8492</v>
      </c>
      <c r="AI162" t="s">
        <v>9</v>
      </c>
      <c r="AJ162" t="s">
        <v>9</v>
      </c>
      <c r="AK162" t="s">
        <v>8493</v>
      </c>
      <c r="AL162" t="s">
        <v>9</v>
      </c>
      <c r="AM162" t="s">
        <v>9</v>
      </c>
      <c r="AN162" s="5">
        <v>3.1899999999999998E-2</v>
      </c>
      <c r="AO162" t="s">
        <v>9</v>
      </c>
      <c r="AP162" t="s">
        <v>8494</v>
      </c>
      <c r="AQ162" t="s">
        <v>9</v>
      </c>
      <c r="AR162" t="s">
        <v>74</v>
      </c>
      <c r="AS162" t="s">
        <v>9</v>
      </c>
      <c r="AT162" t="s">
        <v>9</v>
      </c>
      <c r="AU162" t="s">
        <v>1313</v>
      </c>
      <c r="AV162" t="s">
        <v>8495</v>
      </c>
      <c r="AW162" t="s">
        <v>9</v>
      </c>
      <c r="AX162" t="s">
        <v>2624</v>
      </c>
      <c r="AY162" t="s">
        <v>2626</v>
      </c>
      <c r="AZ162" t="s">
        <v>2627</v>
      </c>
      <c r="BA162" t="s">
        <v>2628</v>
      </c>
      <c r="BB162" t="s">
        <v>2629</v>
      </c>
      <c r="BC162" t="s">
        <v>2630</v>
      </c>
      <c r="BD162" t="s">
        <v>2631</v>
      </c>
      <c r="BE162" t="s">
        <v>2632</v>
      </c>
      <c r="BF162" t="s">
        <v>2633</v>
      </c>
      <c r="BG162" t="s">
        <v>2634</v>
      </c>
      <c r="BH162" t="s">
        <v>2624</v>
      </c>
      <c r="BI162" t="s">
        <v>9</v>
      </c>
      <c r="BJ162" t="s">
        <v>2626</v>
      </c>
      <c r="BK162" t="s">
        <v>2625</v>
      </c>
      <c r="BL162" t="s">
        <v>9</v>
      </c>
      <c r="BM162" t="s">
        <v>2630</v>
      </c>
      <c r="BN162">
        <v>8.5500000000000007</v>
      </c>
      <c r="BO162">
        <v>2.88</v>
      </c>
      <c r="BP162">
        <v>6.99</v>
      </c>
      <c r="BQ162">
        <v>8.3699999999999992</v>
      </c>
      <c r="BR162">
        <v>2.93</v>
      </c>
      <c r="BS162">
        <v>6.84</v>
      </c>
      <c r="BT162" t="s">
        <v>2813</v>
      </c>
      <c r="BU162" t="s">
        <v>1410</v>
      </c>
      <c r="BV162">
        <v>42.36</v>
      </c>
      <c r="BW162">
        <v>46.71</v>
      </c>
      <c r="BX162">
        <v>44.5</v>
      </c>
      <c r="BY162">
        <v>212.91</v>
      </c>
      <c r="BZ162">
        <v>65.36</v>
      </c>
      <c r="CA162">
        <v>164.91</v>
      </c>
      <c r="CB162">
        <v>-2.5</v>
      </c>
      <c r="CC162">
        <v>1.83</v>
      </c>
      <c r="CD162" t="s">
        <v>8496</v>
      </c>
      <c r="CE162" t="s">
        <v>182</v>
      </c>
      <c r="CF162" s="8" t="s">
        <v>9</v>
      </c>
      <c r="CG162" s="9">
        <v>1.986</v>
      </c>
      <c r="CH162" s="8">
        <v>-9.7402594983577728E-3</v>
      </c>
      <c r="CI162" s="8">
        <v>-3.2967034727334976E-2</v>
      </c>
      <c r="CJ162" s="8">
        <v>-0.46739131212234497</v>
      </c>
      <c r="CK162" s="8">
        <v>-0.27777779102325439</v>
      </c>
      <c r="CL162" s="8">
        <v>-4.2220901697874069E-2</v>
      </c>
      <c r="CM162" s="9">
        <v>0.23714292049407959</v>
      </c>
      <c r="CN162" s="9">
        <v>-0.54387491941452026</v>
      </c>
      <c r="CO162" s="9">
        <v>0.79143989086151123</v>
      </c>
      <c r="CP162" s="9">
        <v>1.8224988132715225E-2</v>
      </c>
      <c r="CQ162" s="9">
        <v>4.4701986014842987E-2</v>
      </c>
      <c r="CR162">
        <v>45.169237477516759</v>
      </c>
      <c r="CS162">
        <v>2.0178295384385572</v>
      </c>
      <c r="CT162">
        <v>0</v>
      </c>
      <c r="CU162" s="8">
        <v>0.22385061085224151</v>
      </c>
      <c r="CV162" s="9">
        <v>-0.90537987872958181</v>
      </c>
      <c r="CW162">
        <v>0.06</v>
      </c>
      <c r="CX162">
        <v>6.4649026126135496</v>
      </c>
      <c r="CY162">
        <v>1499794286.3179827</v>
      </c>
      <c r="CZ162">
        <v>0.22385061085224151</v>
      </c>
      <c r="DA162">
        <v>1.8896510093796044</v>
      </c>
      <c r="DB162">
        <v>5131118895.432085</v>
      </c>
      <c r="DC162">
        <v>0.21265808030962943</v>
      </c>
      <c r="DD162">
        <v>0.79574759063049394</v>
      </c>
      <c r="DE162">
        <v>12184798438.808414</v>
      </c>
      <c r="DF162">
        <v>0.19698853754997253</v>
      </c>
      <c r="DG162">
        <v>0.39679103596571336</v>
      </c>
      <c r="DH162">
        <v>24436096386.10342</v>
      </c>
      <c r="DI162">
        <v>0.17908048868179322</v>
      </c>
      <c r="DJ162">
        <v>0.13187999915678264</v>
      </c>
      <c r="DK162">
        <v>73521565529.228546</v>
      </c>
      <c r="DL162">
        <v>0.15669542759656904</v>
      </c>
      <c r="DM162">
        <v>1299000000</v>
      </c>
      <c r="DN162">
        <v>0.22385061085224151</v>
      </c>
      <c r="DO162">
        <v>9696024000</v>
      </c>
      <c r="DP162" t="e">
        <v>#VALUE!</v>
      </c>
      <c r="DQ162">
        <v>161</v>
      </c>
      <c r="DR162" t="e">
        <v>#VALUE!</v>
      </c>
      <c r="DS162">
        <v>2.8913798787295817</v>
      </c>
      <c r="DT162" t="e">
        <v>#VALUE!</v>
      </c>
      <c r="DU162" t="e">
        <v>#VALUE!</v>
      </c>
      <c r="DV162" t="e">
        <v>#VALUE!</v>
      </c>
      <c r="DW162">
        <v>-4.7320000000000002</v>
      </c>
      <c r="DX162">
        <v>0.32924402985074608</v>
      </c>
      <c r="DY162">
        <v>-4.1458466298507464</v>
      </c>
      <c r="DZ162">
        <v>0</v>
      </c>
      <c r="EA162">
        <v>-4.1458466298507464</v>
      </c>
      <c r="EB162">
        <v>4</v>
      </c>
      <c r="EC162">
        <v>1.0738930720468514E-2</v>
      </c>
      <c r="ED162">
        <v>5.3898381439649909E-2</v>
      </c>
      <c r="EE162">
        <v>0</v>
      </c>
      <c r="EF162">
        <v>0</v>
      </c>
      <c r="EG162">
        <v>13.199244029850746</v>
      </c>
      <c r="EH162" t="s">
        <v>110</v>
      </c>
      <c r="EI162">
        <v>0</v>
      </c>
      <c r="EJ162">
        <v>0</v>
      </c>
      <c r="EK162">
        <v>0</v>
      </c>
      <c r="EL162">
        <v>0</v>
      </c>
      <c r="EM162">
        <v>0</v>
      </c>
      <c r="EN162">
        <v>0</v>
      </c>
      <c r="EO162">
        <v>0</v>
      </c>
      <c r="EP162">
        <v>0</v>
      </c>
    </row>
    <row r="163" spans="1:146" ht="96" x14ac:dyDescent="0.25">
      <c r="A163" s="7"/>
      <c r="B163" s="7"/>
      <c r="C163" s="7" t="str">
        <f>""&amp;CHAR(10)&amp;Basic_Fundamental_Information_Constructure(F163)&amp;CHAR(10)&amp;Basic_Fundamental_Information_Concatenate("")</f>
        <v xml:space="preserve">
市值14300.628亿, 利润3590.53亿; PE4.07; 平均PE23.94; 平均PEG8.16, PB.417; ROIC0%; ROE11.03%; 毛利0%; 净利42.3467%; 上一年度营收增-5.54%, 利润增-1.59%; 当季营收增-17.75%, 利润增-7.68%; 过往5年营收增-2.93%, 利润增-377.58%
Income profile:
</v>
      </c>
      <c r="D163" s="11">
        <v>939</v>
      </c>
      <c r="E163" t="s">
        <v>2635</v>
      </c>
      <c r="F163">
        <v>5.72</v>
      </c>
      <c r="G163" s="5">
        <v>-1.21E-2</v>
      </c>
      <c r="H163" t="s">
        <v>3742</v>
      </c>
      <c r="I163">
        <v>1430062800000</v>
      </c>
      <c r="J163">
        <v>4.07</v>
      </c>
      <c r="K163">
        <v>0.41699999999999998</v>
      </c>
      <c r="L163" t="s">
        <v>6350</v>
      </c>
      <c r="M163" t="s">
        <v>8497</v>
      </c>
      <c r="N163" t="s">
        <v>8498</v>
      </c>
      <c r="O163" t="s">
        <v>8499</v>
      </c>
      <c r="P163" t="s">
        <v>9</v>
      </c>
      <c r="Q163" t="s">
        <v>8500</v>
      </c>
      <c r="R163">
        <v>359052640000</v>
      </c>
      <c r="S163" s="5">
        <v>-7.6799999999999993E-2</v>
      </c>
      <c r="T163" t="s">
        <v>8501</v>
      </c>
      <c r="U163">
        <v>240417320000</v>
      </c>
      <c r="V163">
        <v>250010980000</v>
      </c>
      <c r="W163">
        <v>12.25</v>
      </c>
      <c r="X163">
        <v>0</v>
      </c>
      <c r="Y163">
        <v>51.75</v>
      </c>
      <c r="Z163" t="s">
        <v>9</v>
      </c>
      <c r="AA163" t="s">
        <v>9</v>
      </c>
      <c r="AB163" t="s">
        <v>9</v>
      </c>
      <c r="AC163" t="s">
        <v>9</v>
      </c>
      <c r="AD163" t="s">
        <v>9</v>
      </c>
      <c r="AE163" t="s">
        <v>9</v>
      </c>
      <c r="AF163" t="s">
        <v>9</v>
      </c>
      <c r="AG163" t="s">
        <v>8502</v>
      </c>
      <c r="AH163" t="s">
        <v>8503</v>
      </c>
      <c r="AI163" t="s">
        <v>9</v>
      </c>
      <c r="AJ163" t="s">
        <v>9</v>
      </c>
      <c r="AK163" t="s">
        <v>8504</v>
      </c>
      <c r="AL163" t="s">
        <v>9</v>
      </c>
      <c r="AM163" t="s">
        <v>8505</v>
      </c>
      <c r="AN163" s="5">
        <v>0.91790000000000005</v>
      </c>
      <c r="AO163" t="s">
        <v>9</v>
      </c>
      <c r="AP163" t="s">
        <v>9</v>
      </c>
      <c r="AQ163" t="s">
        <v>9</v>
      </c>
      <c r="AR163" t="s">
        <v>9</v>
      </c>
      <c r="AS163" t="s">
        <v>9</v>
      </c>
      <c r="AT163" t="s">
        <v>9</v>
      </c>
      <c r="AU163" t="s">
        <v>8506</v>
      </c>
      <c r="AV163" t="s">
        <v>8507</v>
      </c>
      <c r="AW163" t="s">
        <v>8508</v>
      </c>
      <c r="AX163" t="s">
        <v>8509</v>
      </c>
      <c r="AY163" t="s">
        <v>2637</v>
      </c>
      <c r="AZ163" t="s">
        <v>2638</v>
      </c>
      <c r="BA163" t="s">
        <v>2639</v>
      </c>
      <c r="BB163" t="s">
        <v>2640</v>
      </c>
      <c r="BC163" t="s">
        <v>2641</v>
      </c>
      <c r="BD163" t="s">
        <v>2642</v>
      </c>
      <c r="BE163" t="s">
        <v>2643</v>
      </c>
      <c r="BF163" t="s">
        <v>2644</v>
      </c>
      <c r="BG163" t="s">
        <v>2645</v>
      </c>
      <c r="BH163" t="s">
        <v>8509</v>
      </c>
      <c r="BI163" t="s">
        <v>2646</v>
      </c>
      <c r="BJ163" t="s">
        <v>2637</v>
      </c>
      <c r="BK163" t="s">
        <v>2636</v>
      </c>
      <c r="BL163" t="s">
        <v>8510</v>
      </c>
      <c r="BM163" t="s">
        <v>2641</v>
      </c>
      <c r="BN163" t="s">
        <v>9</v>
      </c>
      <c r="BO163" t="s">
        <v>9</v>
      </c>
      <c r="BP163" t="s">
        <v>9</v>
      </c>
      <c r="BQ163">
        <v>10.4</v>
      </c>
      <c r="BR163">
        <v>11.18</v>
      </c>
      <c r="BS163">
        <v>11.51</v>
      </c>
      <c r="BT163" t="s">
        <v>8511</v>
      </c>
      <c r="BU163" t="s">
        <v>422</v>
      </c>
      <c r="BV163" t="s">
        <v>9</v>
      </c>
      <c r="BW163" t="s">
        <v>9</v>
      </c>
      <c r="BX163" t="s">
        <v>9</v>
      </c>
      <c r="BY163">
        <v>44.63</v>
      </c>
      <c r="BZ163">
        <v>42.11</v>
      </c>
      <c r="CA163">
        <v>40.299999999999997</v>
      </c>
      <c r="CB163">
        <v>-1.21</v>
      </c>
      <c r="CC163">
        <v>2.88</v>
      </c>
      <c r="CD163" t="s">
        <v>1689</v>
      </c>
      <c r="CE163" t="s">
        <v>8512</v>
      </c>
      <c r="CF163" s="8">
        <v>-0.17752688001773526</v>
      </c>
      <c r="CG163" s="9">
        <v>-7.6799999999999993E-2</v>
      </c>
      <c r="CH163" s="8">
        <v>-5.5363975465297699E-2</v>
      </c>
      <c r="CI163" s="8">
        <v>-6.4016476273536682E-2</v>
      </c>
      <c r="CJ163" s="8">
        <v>9.3693569302558899E-2</v>
      </c>
      <c r="CK163" s="8">
        <v>0.17656762897968292</v>
      </c>
      <c r="CL163" s="8">
        <v>6.318219006061554E-3</v>
      </c>
      <c r="CM163" s="9">
        <v>-1.5942687168717384E-2</v>
      </c>
      <c r="CN163" s="9">
        <v>0.15333428978919983</v>
      </c>
      <c r="CO163" s="9">
        <v>7.7351458370685577E-2</v>
      </c>
      <c r="CP163" s="9">
        <v>2.8647506609559059E-2</v>
      </c>
      <c r="CQ163" s="9">
        <v>-1.2890806421637535E-2</v>
      </c>
      <c r="CR163">
        <v>23.941867112157812</v>
      </c>
      <c r="CS163">
        <v>8.1602212905737712</v>
      </c>
      <c r="CT163" t="e">
        <v>#VALUE!</v>
      </c>
      <c r="CU163" s="8">
        <v>-2.9339727759361268E-2</v>
      </c>
      <c r="CV163" s="9">
        <v>-3.7758192300796507</v>
      </c>
      <c r="CW163">
        <v>0.06</v>
      </c>
      <c r="CX163">
        <v>103.7288082817857</v>
      </c>
      <c r="CY163" t="s">
        <v>8513</v>
      </c>
      <c r="CZ163">
        <v>-2.9339727759361268E-2</v>
      </c>
      <c r="DA163">
        <v>34.576269427261899</v>
      </c>
      <c r="DB163" t="s">
        <v>8514</v>
      </c>
      <c r="DC163">
        <v>-2.7872741371393204E-2</v>
      </c>
      <c r="DD163">
        <v>17.288134713630949</v>
      </c>
      <c r="DE163" t="s">
        <v>8515</v>
      </c>
      <c r="DF163">
        <v>-2.5818960428237916E-2</v>
      </c>
      <c r="DG163">
        <v>10.37288082817857</v>
      </c>
      <c r="DH163" t="s">
        <v>8516</v>
      </c>
      <c r="DI163">
        <v>-2.3471782207489016E-2</v>
      </c>
      <c r="DJ163">
        <v>5.1864404140892848</v>
      </c>
      <c r="DK163" t="s">
        <v>8517</v>
      </c>
      <c r="DL163">
        <v>-2.0537809431552888E-2</v>
      </c>
      <c r="DM163">
        <v>359053000000</v>
      </c>
      <c r="DN163">
        <v>-2.9339727759361268E-2</v>
      </c>
      <c r="DO163">
        <v>37244139800000</v>
      </c>
      <c r="DP163" t="e">
        <v>#VALUE!</v>
      </c>
      <c r="DQ163">
        <v>162</v>
      </c>
      <c r="DR163">
        <v>-0.14818715225837398</v>
      </c>
      <c r="DS163">
        <v>3.6990192300796507</v>
      </c>
      <c r="DT163">
        <v>-0.34</v>
      </c>
      <c r="DU163">
        <v>-1.0666666666666667</v>
      </c>
      <c r="DV163">
        <v>-1.4066666666666667</v>
      </c>
      <c r="DW163">
        <v>1.0287999999999999</v>
      </c>
      <c r="DX163">
        <v>0.35545454832329337</v>
      </c>
      <c r="DY163">
        <v>1.0041890909917108</v>
      </c>
      <c r="DZ163">
        <v>0</v>
      </c>
      <c r="EA163">
        <v>1.0041890909917108</v>
      </c>
      <c r="EB163">
        <v>1</v>
      </c>
      <c r="EC163">
        <v>7.5516683307269147E-3</v>
      </c>
      <c r="ED163">
        <v>5.1917719773747546E-2</v>
      </c>
      <c r="EE163">
        <v>0</v>
      </c>
      <c r="EF163">
        <v>0</v>
      </c>
      <c r="EG163">
        <v>21.145454548323293</v>
      </c>
      <c r="EH163" t="s">
        <v>110</v>
      </c>
      <c r="EI163">
        <v>0</v>
      </c>
      <c r="EJ163">
        <v>0</v>
      </c>
      <c r="EK163">
        <v>0</v>
      </c>
      <c r="EL163">
        <v>0</v>
      </c>
      <c r="EM163">
        <v>0</v>
      </c>
      <c r="EN163">
        <v>0</v>
      </c>
      <c r="EO163">
        <v>0</v>
      </c>
      <c r="EP163">
        <v>0</v>
      </c>
    </row>
    <row r="164" spans="1:146" ht="96" x14ac:dyDescent="0.25">
      <c r="A164" s="7"/>
      <c r="B164" s="7"/>
      <c r="C164" s="7" t="str">
        <f>""&amp;CHAR(10)&amp;Basic_Fundamental_Information_Constructure(F164)&amp;CHAR(10)&amp;Basic_Fundamental_Information_Concatenate("")</f>
        <v xml:space="preserve">
市值16070.707亿, 利润1444.42亿; PE11.14; 平均PE62; 平均PEG3.27, PB1.09; ROIC9.9567%; ROE9.7067%; 毛利87.14%; 净利13.3933%; 上一年度营收增4.64%, 利润增1.56%; 当季营收增1.46%, 利润增-.44%; 过往5年营收增18.96%, 利润增23.77%
Income profile:
</v>
      </c>
      <c r="D164" s="11">
        <v>941</v>
      </c>
      <c r="E164" t="s">
        <v>2649</v>
      </c>
      <c r="F164">
        <v>75</v>
      </c>
      <c r="G164" s="5">
        <v>6.0000000000000001E-3</v>
      </c>
      <c r="H164" t="s">
        <v>8518</v>
      </c>
      <c r="I164">
        <v>1607070700000</v>
      </c>
      <c r="J164">
        <v>11.14</v>
      </c>
      <c r="K164">
        <v>1.0900000000000001</v>
      </c>
      <c r="L164" t="s">
        <v>6350</v>
      </c>
      <c r="M164" t="s">
        <v>8519</v>
      </c>
      <c r="N164" t="s">
        <v>8520</v>
      </c>
      <c r="O164" t="s">
        <v>8521</v>
      </c>
      <c r="P164">
        <v>5.17</v>
      </c>
      <c r="Q164" t="s">
        <v>8522</v>
      </c>
      <c r="R164">
        <v>144441890000</v>
      </c>
      <c r="S164" s="5">
        <v>-4.45E-3</v>
      </c>
      <c r="T164" t="s">
        <v>8523</v>
      </c>
      <c r="U164">
        <v>20496709000</v>
      </c>
      <c r="V164">
        <v>21399477000</v>
      </c>
      <c r="W164">
        <v>1.48</v>
      </c>
      <c r="X164">
        <v>0.13</v>
      </c>
      <c r="Y164">
        <v>13.44</v>
      </c>
      <c r="Z164" t="s">
        <v>8524</v>
      </c>
      <c r="AA164" t="s">
        <v>8525</v>
      </c>
      <c r="AB164" t="s">
        <v>8526</v>
      </c>
      <c r="AC164" t="s">
        <v>8527</v>
      </c>
      <c r="AD164" t="s">
        <v>8528</v>
      </c>
      <c r="AE164" t="s">
        <v>1784</v>
      </c>
      <c r="AF164" t="s">
        <v>9</v>
      </c>
      <c r="AG164" t="s">
        <v>8529</v>
      </c>
      <c r="AH164" t="s">
        <v>8530</v>
      </c>
      <c r="AI164" t="s">
        <v>8531</v>
      </c>
      <c r="AJ164" t="s">
        <v>8532</v>
      </c>
      <c r="AK164" t="s">
        <v>8533</v>
      </c>
      <c r="AL164" t="s">
        <v>9</v>
      </c>
      <c r="AM164" t="s">
        <v>8534</v>
      </c>
      <c r="AN164" s="5">
        <v>0.32190000000000002</v>
      </c>
      <c r="AO164" t="s">
        <v>9</v>
      </c>
      <c r="AP164" t="s">
        <v>8535</v>
      </c>
      <c r="AQ164" t="s">
        <v>8536</v>
      </c>
      <c r="AR164" t="s">
        <v>8537</v>
      </c>
      <c r="AS164" t="s">
        <v>8538</v>
      </c>
      <c r="AT164" t="s">
        <v>9</v>
      </c>
      <c r="AU164" t="s">
        <v>8539</v>
      </c>
      <c r="AV164" t="s">
        <v>8540</v>
      </c>
      <c r="AW164" t="s">
        <v>8541</v>
      </c>
      <c r="AX164" t="s">
        <v>2650</v>
      </c>
      <c r="AY164" t="s">
        <v>2653</v>
      </c>
      <c r="AZ164" t="s">
        <v>2654</v>
      </c>
      <c r="BA164" t="s">
        <v>2655</v>
      </c>
      <c r="BB164" t="s">
        <v>2656</v>
      </c>
      <c r="BC164" t="s">
        <v>2657</v>
      </c>
      <c r="BD164" t="s">
        <v>2658</v>
      </c>
      <c r="BE164" t="s">
        <v>2659</v>
      </c>
      <c r="BF164" t="s">
        <v>2660</v>
      </c>
      <c r="BG164" t="s">
        <v>2661</v>
      </c>
      <c r="BH164" t="s">
        <v>2650</v>
      </c>
      <c r="BI164" t="s">
        <v>2662</v>
      </c>
      <c r="BJ164" t="s">
        <v>2653</v>
      </c>
      <c r="BK164" t="s">
        <v>2651</v>
      </c>
      <c r="BL164" t="s">
        <v>2663</v>
      </c>
      <c r="BM164" t="s">
        <v>2657</v>
      </c>
      <c r="BN164">
        <v>9.99</v>
      </c>
      <c r="BO164">
        <v>10.02</v>
      </c>
      <c r="BP164">
        <v>9.86</v>
      </c>
      <c r="BQ164">
        <v>9.82</v>
      </c>
      <c r="BR164">
        <v>9.67</v>
      </c>
      <c r="BS164">
        <v>9.6300000000000008</v>
      </c>
      <c r="BT164" t="s">
        <v>8542</v>
      </c>
      <c r="BU164" t="s">
        <v>449</v>
      </c>
      <c r="BV164">
        <v>85.85</v>
      </c>
      <c r="BW164">
        <v>86.9</v>
      </c>
      <c r="BX164">
        <v>88.67</v>
      </c>
      <c r="BY164">
        <v>13.07</v>
      </c>
      <c r="BZ164">
        <v>13.4</v>
      </c>
      <c r="CA164">
        <v>13.71</v>
      </c>
      <c r="CB164">
        <v>0.94</v>
      </c>
      <c r="CC164">
        <v>5.19</v>
      </c>
      <c r="CD164" t="s">
        <v>8543</v>
      </c>
      <c r="CE164" t="s">
        <v>8544</v>
      </c>
      <c r="CF164" s="8">
        <v>1.4596457184439006E-2</v>
      </c>
      <c r="CG164" s="9">
        <v>-4.45E-3</v>
      </c>
      <c r="CH164" s="8">
        <v>4.6421989798545837E-2</v>
      </c>
      <c r="CI164" s="8">
        <v>1.793600432574749E-2</v>
      </c>
      <c r="CJ164" s="8">
        <v>0.13460835814476013</v>
      </c>
      <c r="CK164" s="8">
        <v>9.1211326420307159E-2</v>
      </c>
      <c r="CL164" s="8">
        <v>-5.5034764111042023E-2</v>
      </c>
      <c r="CM164" s="9">
        <v>1.560225710272789E-2</v>
      </c>
      <c r="CN164" s="9">
        <v>0.10646655410528183</v>
      </c>
      <c r="CO164" s="9">
        <v>7.8601367771625519E-2</v>
      </c>
      <c r="CP164" s="9">
        <v>-0.11136049777269363</v>
      </c>
      <c r="CQ164" s="9">
        <v>-2.1195678040385246E-2</v>
      </c>
      <c r="CR164">
        <v>61.996799351897693</v>
      </c>
      <c r="CS164">
        <v>3.2699908927658092</v>
      </c>
      <c r="CT164" t="e">
        <v>#VALUE!</v>
      </c>
      <c r="CU164" s="8">
        <v>0.18959318660199642</v>
      </c>
      <c r="CV164" s="9">
        <v>0.23770571649074554</v>
      </c>
      <c r="CW164">
        <v>0.06</v>
      </c>
      <c r="CX164">
        <v>5.1008626386382039</v>
      </c>
      <c r="CY164">
        <v>162101150055.81659</v>
      </c>
      <c r="CZ164">
        <v>0.18959318660199642</v>
      </c>
      <c r="DA164">
        <v>1.5336021641770281</v>
      </c>
      <c r="DB164">
        <v>539159189595.76642</v>
      </c>
      <c r="DC164">
        <v>0.18011352727189658</v>
      </c>
      <c r="DD164">
        <v>0.67264981020548609</v>
      </c>
      <c r="DE164">
        <v>1229251368921.677</v>
      </c>
      <c r="DF164">
        <v>0.16684200420975684</v>
      </c>
      <c r="DG164">
        <v>0.35265447176825598</v>
      </c>
      <c r="DH164">
        <v>2344662456296.2056</v>
      </c>
      <c r="DI164">
        <v>0.15167454928159715</v>
      </c>
      <c r="DJ164">
        <v>0.13268468372536801</v>
      </c>
      <c r="DK164">
        <v>6231734340275.7295</v>
      </c>
      <c r="DL164">
        <v>0.13271523062139748</v>
      </c>
      <c r="DM164">
        <v>144442000000</v>
      </c>
      <c r="DN164">
        <v>0.18959318660199642</v>
      </c>
      <c r="DO164">
        <v>826855700000</v>
      </c>
      <c r="DP164" t="e">
        <v>#VALUE!</v>
      </c>
      <c r="DQ164">
        <v>163</v>
      </c>
      <c r="DR164">
        <v>-0.17499672941755742</v>
      </c>
      <c r="DS164">
        <v>-0.24215571649074555</v>
      </c>
      <c r="DT164">
        <v>0.10999999999999995</v>
      </c>
      <c r="DU164">
        <v>1.1499999999999999</v>
      </c>
      <c r="DV164">
        <v>1.2599999999999998</v>
      </c>
      <c r="DW164">
        <v>1.0519000000000001</v>
      </c>
      <c r="DX164">
        <v>0.5583883845050206</v>
      </c>
      <c r="DY164">
        <v>1.0071823571558107</v>
      </c>
      <c r="DZ164">
        <v>0</v>
      </c>
      <c r="EA164">
        <v>1.0071823571558107</v>
      </c>
      <c r="EB164">
        <v>1</v>
      </c>
      <c r="EC164">
        <v>4.5074325881889546E-3</v>
      </c>
      <c r="ED164">
        <v>3.2570889466130411E-2</v>
      </c>
      <c r="EE164">
        <v>0</v>
      </c>
      <c r="EF164">
        <v>0</v>
      </c>
      <c r="EG164">
        <v>42.138388384505021</v>
      </c>
      <c r="EH164" t="s">
        <v>110</v>
      </c>
      <c r="EI164">
        <v>0</v>
      </c>
      <c r="EJ164">
        <v>0</v>
      </c>
      <c r="EK164">
        <v>0</v>
      </c>
      <c r="EL164">
        <v>0</v>
      </c>
      <c r="EM164">
        <v>0</v>
      </c>
      <c r="EN164">
        <v>0</v>
      </c>
      <c r="EO164">
        <v>0</v>
      </c>
      <c r="EP164">
        <v>0</v>
      </c>
    </row>
    <row r="165" spans="1:146" ht="108" x14ac:dyDescent="0.25">
      <c r="A165" s="7"/>
      <c r="B165" s="7"/>
      <c r="C165" s="7" t="str">
        <f>""&amp;CHAR(10)&amp;Basic_Fundamental_Information_Constructure(F165)&amp;CHAR(10)&amp;Basic_Fundamental_Information_Concatenate("")</f>
        <v xml:space="preserve">
市值147.19926亿, 利润23.61亿; PE6.4; 平均PE27.68; 平均PEG11.58, PB.629; ROIC4.25%; ROE10.5767%; 股利率0%; 毛利27.4033%; 净利15.2667%; 上一年度营收增6.11%, 利润增-12.39%; 当季营收增9.12%, 利润增-6.47%; 过往5年营收增2.39%, 利润增171.99%
Income profile:
</v>
      </c>
      <c r="D165" s="11">
        <v>956</v>
      </c>
      <c r="E165" t="s">
        <v>2664</v>
      </c>
      <c r="F165">
        <v>3.5</v>
      </c>
      <c r="G165" s="5">
        <v>-1.9599999999999999E-2</v>
      </c>
      <c r="H165" t="s">
        <v>8545</v>
      </c>
      <c r="I165">
        <v>14719926000</v>
      </c>
      <c r="J165">
        <v>6.4</v>
      </c>
      <c r="K165">
        <v>0.629</v>
      </c>
      <c r="L165" t="s">
        <v>6350</v>
      </c>
      <c r="M165" t="s">
        <v>8546</v>
      </c>
      <c r="N165" t="s">
        <v>8547</v>
      </c>
      <c r="O165" t="s">
        <v>8548</v>
      </c>
      <c r="P165">
        <v>20.55</v>
      </c>
      <c r="Q165" t="s">
        <v>8549</v>
      </c>
      <c r="R165">
        <v>2361120000</v>
      </c>
      <c r="S165" s="5">
        <v>-6.4699999999999994E-2</v>
      </c>
      <c r="T165" t="s">
        <v>8550</v>
      </c>
      <c r="U165">
        <v>1839004400</v>
      </c>
      <c r="V165">
        <v>4187093100</v>
      </c>
      <c r="W165">
        <v>3.68</v>
      </c>
      <c r="X165">
        <v>0.1</v>
      </c>
      <c r="Y165">
        <v>15.54</v>
      </c>
      <c r="Z165" t="s">
        <v>2390</v>
      </c>
      <c r="AA165" t="s">
        <v>8551</v>
      </c>
      <c r="AB165" t="s">
        <v>8552</v>
      </c>
      <c r="AC165" t="s">
        <v>896</v>
      </c>
      <c r="AD165" t="s">
        <v>8553</v>
      </c>
      <c r="AE165" t="s">
        <v>1156</v>
      </c>
      <c r="AF165" t="s">
        <v>9</v>
      </c>
      <c r="AG165" t="s">
        <v>1288</v>
      </c>
      <c r="AH165" t="s">
        <v>8554</v>
      </c>
      <c r="AI165" t="s">
        <v>8555</v>
      </c>
      <c r="AJ165" t="s">
        <v>8556</v>
      </c>
      <c r="AK165" t="s">
        <v>8557</v>
      </c>
      <c r="AL165" t="s">
        <v>9</v>
      </c>
      <c r="AM165" t="s">
        <v>8558</v>
      </c>
      <c r="AN165" s="5">
        <v>0.66349999999999998</v>
      </c>
      <c r="AO165" t="s">
        <v>7241</v>
      </c>
      <c r="AP165" t="s">
        <v>5197</v>
      </c>
      <c r="AQ165" t="s">
        <v>2104</v>
      </c>
      <c r="AR165" t="s">
        <v>2689</v>
      </c>
      <c r="AS165" t="s">
        <v>8559</v>
      </c>
      <c r="AT165" t="s">
        <v>8560</v>
      </c>
      <c r="AU165" t="s">
        <v>8561</v>
      </c>
      <c r="AV165" t="s">
        <v>5498</v>
      </c>
      <c r="AW165" t="s">
        <v>8562</v>
      </c>
      <c r="AX165" t="s">
        <v>2665</v>
      </c>
      <c r="AY165" t="s">
        <v>2670</v>
      </c>
      <c r="AZ165" t="s">
        <v>2671</v>
      </c>
      <c r="BA165" t="s">
        <v>2672</v>
      </c>
      <c r="BB165" t="s">
        <v>2673</v>
      </c>
      <c r="BC165" t="s">
        <v>8563</v>
      </c>
      <c r="BD165" t="s">
        <v>8564</v>
      </c>
      <c r="BE165" t="s">
        <v>2674</v>
      </c>
      <c r="BF165" t="s">
        <v>2675</v>
      </c>
      <c r="BG165" t="s">
        <v>2676</v>
      </c>
      <c r="BH165" t="s">
        <v>2665</v>
      </c>
      <c r="BI165" t="s">
        <v>2677</v>
      </c>
      <c r="BJ165" t="s">
        <v>2670</v>
      </c>
      <c r="BK165" t="s">
        <v>2666</v>
      </c>
      <c r="BL165" t="s">
        <v>2678</v>
      </c>
      <c r="BM165" t="s">
        <v>8563</v>
      </c>
      <c r="BN165">
        <v>3.85</v>
      </c>
      <c r="BO165">
        <v>4.1900000000000004</v>
      </c>
      <c r="BP165">
        <v>4.71</v>
      </c>
      <c r="BQ165">
        <v>9.85</v>
      </c>
      <c r="BR165">
        <v>10.91</v>
      </c>
      <c r="BS165">
        <v>10.97</v>
      </c>
      <c r="BT165" t="s">
        <v>2679</v>
      </c>
      <c r="BU165" t="s">
        <v>392</v>
      </c>
      <c r="BV165">
        <v>24.72</v>
      </c>
      <c r="BW165">
        <v>28</v>
      </c>
      <c r="BX165">
        <v>29.49</v>
      </c>
      <c r="BY165">
        <v>13.54</v>
      </c>
      <c r="BZ165">
        <v>15.24</v>
      </c>
      <c r="CA165">
        <v>17.02</v>
      </c>
      <c r="CB165">
        <v>-8.85</v>
      </c>
      <c r="CC165">
        <v>1.01</v>
      </c>
      <c r="CD165" t="s">
        <v>8565</v>
      </c>
      <c r="CE165" t="s">
        <v>3644</v>
      </c>
      <c r="CF165" s="8">
        <v>9.121274409044193E-2</v>
      </c>
      <c r="CG165" s="9">
        <v>-6.4699999999999994E-2</v>
      </c>
      <c r="CH165" s="8">
        <v>6.1149194836616516E-2</v>
      </c>
      <c r="CI165" s="8">
        <v>5.9507530182600021E-2</v>
      </c>
      <c r="CJ165" s="8">
        <v>0.32438972592353821</v>
      </c>
      <c r="CK165" s="8">
        <v>0.30929741263389587</v>
      </c>
      <c r="CL165" s="8">
        <v>0.34239450097084045</v>
      </c>
      <c r="CM165" s="9">
        <v>-0.12393325567245483</v>
      </c>
      <c r="CN165" s="9">
        <v>0.49722224473953247</v>
      </c>
      <c r="CO165" s="9">
        <v>0.13851997256278992</v>
      </c>
      <c r="CP165" s="9">
        <v>9.487529844045639E-2</v>
      </c>
      <c r="CQ165" s="9">
        <v>0.28127765655517578</v>
      </c>
      <c r="CR165">
        <v>27.675242556765319</v>
      </c>
      <c r="CS165">
        <v>11.582393708402561</v>
      </c>
      <c r="CT165">
        <v>0</v>
      </c>
      <c r="CU165" s="8">
        <v>2.3894234001636504E-2</v>
      </c>
      <c r="CV165" s="9">
        <v>1.7198703777045012</v>
      </c>
      <c r="CW165">
        <v>0.06</v>
      </c>
      <c r="CX165">
        <v>18.783789693805055</v>
      </c>
      <c r="CY165">
        <v>2280579515.5451546</v>
      </c>
      <c r="CZ165">
        <v>2.3894234001636504E-2</v>
      </c>
      <c r="DA165">
        <v>6.4944303253973645</v>
      </c>
      <c r="DB165">
        <v>6596102175.8099995</v>
      </c>
      <c r="DC165">
        <v>2.2699522301554677E-2</v>
      </c>
      <c r="DD165">
        <v>3.4405920734394533</v>
      </c>
      <c r="DE165">
        <v>12450742513.388474</v>
      </c>
      <c r="DF165">
        <v>2.1026925921440124E-2</v>
      </c>
      <c r="DG165">
        <v>2.2382992874674708</v>
      </c>
      <c r="DH165">
        <v>19138605029.209064</v>
      </c>
      <c r="DI165">
        <v>1.9115387201309203E-2</v>
      </c>
      <c r="DJ165">
        <v>1.3655298564998011</v>
      </c>
      <c r="DK165">
        <v>31370918618.94873</v>
      </c>
      <c r="DL165">
        <v>1.6725963801145553E-2</v>
      </c>
      <c r="DM165">
        <v>2361000000</v>
      </c>
      <c r="DN165">
        <v>2.3894234001636504E-2</v>
      </c>
      <c r="DO165">
        <v>42837926000</v>
      </c>
      <c r="DP165" t="e">
        <v>#VALUE!</v>
      </c>
      <c r="DQ165">
        <v>164</v>
      </c>
      <c r="DR165">
        <v>6.7318510088805433E-2</v>
      </c>
      <c r="DS165">
        <v>-1.7845703777045012</v>
      </c>
      <c r="DT165">
        <v>-0.44</v>
      </c>
      <c r="DU165">
        <v>0.95666666666666667</v>
      </c>
      <c r="DV165">
        <v>0.51666666666666661</v>
      </c>
      <c r="DW165">
        <v>-5.1141242937853111</v>
      </c>
      <c r="DX165">
        <v>0.29833333333333323</v>
      </c>
      <c r="DY165">
        <v>-5.0180696798493409</v>
      </c>
      <c r="DZ165">
        <v>0</v>
      </c>
      <c r="EA165">
        <v>-5.0180696798493409</v>
      </c>
      <c r="EB165">
        <v>5</v>
      </c>
      <c r="EC165">
        <v>1.3159487664604353E-2</v>
      </c>
      <c r="ED165">
        <v>8.3112553671185391E-2</v>
      </c>
      <c r="EE165">
        <v>0</v>
      </c>
      <c r="EF165">
        <v>0</v>
      </c>
      <c r="EG165">
        <v>14.158333333333333</v>
      </c>
      <c r="EH165" t="s">
        <v>110</v>
      </c>
      <c r="EI165">
        <v>0</v>
      </c>
      <c r="EJ165">
        <v>0</v>
      </c>
      <c r="EK165">
        <v>0</v>
      </c>
      <c r="EL165">
        <v>0</v>
      </c>
      <c r="EM165">
        <v>0</v>
      </c>
      <c r="EN165">
        <v>0</v>
      </c>
      <c r="EO165">
        <v>0</v>
      </c>
      <c r="EP165">
        <v>0</v>
      </c>
    </row>
    <row r="166" spans="1:146" ht="96" x14ac:dyDescent="0.25">
      <c r="A166" s="7"/>
      <c r="B166" s="7"/>
      <c r="C166" s="7" t="str">
        <f>""&amp;CHAR(10)&amp;Basic_Fundamental_Information_Constructure(F166)&amp;CHAR(10)&amp;Basic_Fundamental_Information_Concatenate("")</f>
        <v xml:space="preserve">
市值737.65627亿, 利润140.86亿; PE5.24; 平均PE21.52; 平均PEG1.49, PB.443; ROIC6.3333%; ROE14.8967%; 毛利21.1333%; 净利12.27%; 上一年度营收增-29.91%, 利润增-51.78%, 利润增-48.75%; 过往5年营收增14.4%, 利润增13.36%
Income profile:
</v>
      </c>
      <c r="D166" s="11">
        <v>960</v>
      </c>
      <c r="E166" t="s">
        <v>2680</v>
      </c>
      <c r="F166">
        <v>10.9</v>
      </c>
      <c r="G166" s="5">
        <v>-3.8800000000000001E-2</v>
      </c>
      <c r="H166" t="s">
        <v>8566</v>
      </c>
      <c r="I166">
        <v>73765627000</v>
      </c>
      <c r="J166">
        <v>5.24</v>
      </c>
      <c r="K166">
        <v>0.443</v>
      </c>
      <c r="L166" t="s">
        <v>6350</v>
      </c>
      <c r="M166" t="s">
        <v>9</v>
      </c>
      <c r="N166" t="s">
        <v>9</v>
      </c>
      <c r="O166" t="s">
        <v>9</v>
      </c>
      <c r="P166" t="s">
        <v>9</v>
      </c>
      <c r="Q166" t="s">
        <v>8567</v>
      </c>
      <c r="R166">
        <v>14086182000</v>
      </c>
      <c r="S166" s="5">
        <v>-0.48749999999999999</v>
      </c>
      <c r="T166" t="s">
        <v>4283</v>
      </c>
      <c r="U166">
        <v>6767286700</v>
      </c>
      <c r="V166">
        <v>6767286700</v>
      </c>
      <c r="W166" t="s">
        <v>9</v>
      </c>
      <c r="X166" t="s">
        <v>9</v>
      </c>
      <c r="Y166" t="s">
        <v>9</v>
      </c>
      <c r="Z166" t="s">
        <v>9</v>
      </c>
      <c r="AA166" t="s">
        <v>9</v>
      </c>
      <c r="AB166" t="s">
        <v>9</v>
      </c>
      <c r="AC166" t="s">
        <v>9</v>
      </c>
      <c r="AD166" t="s">
        <v>9</v>
      </c>
      <c r="AE166" t="s">
        <v>9</v>
      </c>
      <c r="AF166" t="s">
        <v>9</v>
      </c>
      <c r="AG166" t="s">
        <v>9</v>
      </c>
      <c r="AH166" t="s">
        <v>8568</v>
      </c>
      <c r="AI166" t="s">
        <v>9</v>
      </c>
      <c r="AJ166" t="s">
        <v>9</v>
      </c>
      <c r="AK166" t="s">
        <v>8569</v>
      </c>
      <c r="AL166" t="s">
        <v>9</v>
      </c>
      <c r="AM166" t="s">
        <v>9</v>
      </c>
      <c r="AN166" s="5">
        <v>0.66239999999999999</v>
      </c>
      <c r="AO166" t="s">
        <v>9</v>
      </c>
      <c r="AP166" t="s">
        <v>8570</v>
      </c>
      <c r="AQ166" t="s">
        <v>9</v>
      </c>
      <c r="AR166" t="s">
        <v>8571</v>
      </c>
      <c r="AS166" t="s">
        <v>9</v>
      </c>
      <c r="AT166" t="s">
        <v>9</v>
      </c>
      <c r="AU166" t="s">
        <v>8572</v>
      </c>
      <c r="AV166" t="s">
        <v>8573</v>
      </c>
      <c r="AW166" t="s">
        <v>9</v>
      </c>
      <c r="AX166" t="s">
        <v>2681</v>
      </c>
      <c r="AY166" t="s">
        <v>2683</v>
      </c>
      <c r="AZ166" t="s">
        <v>2684</v>
      </c>
      <c r="BA166" t="s">
        <v>2685</v>
      </c>
      <c r="BB166" t="s">
        <v>2686</v>
      </c>
      <c r="BC166" t="s">
        <v>2687</v>
      </c>
      <c r="BD166" t="s">
        <v>2688</v>
      </c>
      <c r="BE166" t="s">
        <v>2689</v>
      </c>
      <c r="BF166" t="s">
        <v>2690</v>
      </c>
      <c r="BG166" t="s">
        <v>2691</v>
      </c>
      <c r="BH166" t="s">
        <v>2681</v>
      </c>
      <c r="BI166" t="s">
        <v>9</v>
      </c>
      <c r="BJ166" t="s">
        <v>2683</v>
      </c>
      <c r="BK166" t="s">
        <v>2682</v>
      </c>
      <c r="BL166" t="s">
        <v>9</v>
      </c>
      <c r="BM166" t="s">
        <v>2687</v>
      </c>
      <c r="BN166">
        <v>3.69</v>
      </c>
      <c r="BO166">
        <v>7.28</v>
      </c>
      <c r="BP166">
        <v>8.0299999999999994</v>
      </c>
      <c r="BQ166">
        <v>8.4600000000000009</v>
      </c>
      <c r="BR166">
        <v>17.14</v>
      </c>
      <c r="BS166">
        <v>19.09</v>
      </c>
      <c r="BT166" t="s">
        <v>8574</v>
      </c>
      <c r="BU166" t="s">
        <v>410</v>
      </c>
      <c r="BV166">
        <v>16.920000000000002</v>
      </c>
      <c r="BW166">
        <v>21.17</v>
      </c>
      <c r="BX166">
        <v>25.31</v>
      </c>
      <c r="BY166">
        <v>9.48</v>
      </c>
      <c r="BZ166">
        <v>13.1</v>
      </c>
      <c r="CA166">
        <v>14.23</v>
      </c>
      <c r="CB166">
        <v>-4.22</v>
      </c>
      <c r="CC166">
        <v>-12.38</v>
      </c>
      <c r="CD166" t="s">
        <v>8575</v>
      </c>
      <c r="CE166" t="s">
        <v>1142</v>
      </c>
      <c r="CF166" s="8" t="s">
        <v>9</v>
      </c>
      <c r="CG166" s="9">
        <v>-0.48749999999999999</v>
      </c>
      <c r="CH166" s="8">
        <v>-0.29908162355422974</v>
      </c>
      <c r="CI166" s="8">
        <v>3.3412221819162369E-2</v>
      </c>
      <c r="CJ166" s="8">
        <v>0.24350115656852722</v>
      </c>
      <c r="CK166" s="8">
        <v>0.66829979419708252</v>
      </c>
      <c r="CL166" s="8">
        <v>0.52582424879074097</v>
      </c>
      <c r="CM166" s="9">
        <v>-0.51775139570236206</v>
      </c>
      <c r="CN166" s="9">
        <v>0.22520972788333893</v>
      </c>
      <c r="CO166" s="9">
        <v>0.163437619805336</v>
      </c>
      <c r="CP166" s="9">
        <v>0.10840054601430893</v>
      </c>
      <c r="CQ166" s="9">
        <v>0.22398033738136292</v>
      </c>
      <c r="CR166">
        <v>21.52170007293946</v>
      </c>
      <c r="CS166">
        <v>1.4942942399602634</v>
      </c>
      <c r="CT166" t="e">
        <v>#VALUE!</v>
      </c>
      <c r="CU166" s="8">
        <v>0.14402585178613664</v>
      </c>
      <c r="CV166" s="9">
        <v>0.13358608484268189</v>
      </c>
      <c r="CW166">
        <v>0.06</v>
      </c>
      <c r="CX166">
        <v>4.8521741637299556</v>
      </c>
      <c r="CY166">
        <v>15202592592.697662</v>
      </c>
      <c r="CZ166">
        <v>0.14402585178613664</v>
      </c>
      <c r="DA166">
        <v>1.5151704256908607</v>
      </c>
      <c r="DB166">
        <v>48684706188.325745</v>
      </c>
      <c r="DC166">
        <v>0.13682455919682979</v>
      </c>
      <c r="DD166">
        <v>0.70103574353941778</v>
      </c>
      <c r="DE166">
        <v>105223774507.65791</v>
      </c>
      <c r="DF166">
        <v>0.12674274957180023</v>
      </c>
      <c r="DG166">
        <v>0.39188082686097192</v>
      </c>
      <c r="DH166">
        <v>188234845758.78455</v>
      </c>
      <c r="DI166">
        <v>0.11522068142890932</v>
      </c>
      <c r="DJ166">
        <v>0.17197891485902539</v>
      </c>
      <c r="DK166">
        <v>428922505183.07538</v>
      </c>
      <c r="DL166">
        <v>0.10081809625029564</v>
      </c>
      <c r="DM166">
        <v>14086000000.000002</v>
      </c>
      <c r="DN166">
        <v>0.14402585178613664</v>
      </c>
      <c r="DO166">
        <v>73765627000</v>
      </c>
      <c r="DP166" t="e">
        <v>#VALUE!</v>
      </c>
      <c r="DQ166">
        <v>165</v>
      </c>
      <c r="DR166" t="e">
        <v>#VALUE!</v>
      </c>
      <c r="DS166">
        <v>-0.62108608484268191</v>
      </c>
      <c r="DT166" t="e">
        <v>#VALUE!</v>
      </c>
      <c r="DU166" t="e">
        <v>#VALUE!</v>
      </c>
      <c r="DV166" t="e">
        <v>#VALUE!</v>
      </c>
      <c r="DW166">
        <v>-8.340872374798062</v>
      </c>
      <c r="DX166">
        <v>0.34713226744185888</v>
      </c>
      <c r="DY166">
        <v>-8.0365184304204078</v>
      </c>
      <c r="DZ166">
        <v>0</v>
      </c>
      <c r="EA166">
        <v>-8.0365184304204078</v>
      </c>
      <c r="EB166">
        <v>8</v>
      </c>
      <c r="EC166">
        <v>1.089166208962301E-2</v>
      </c>
      <c r="ED166">
        <v>0.10166556117683029</v>
      </c>
      <c r="EE166">
        <v>0</v>
      </c>
      <c r="EF166">
        <v>0</v>
      </c>
      <c r="EG166">
        <v>24.107132267441859</v>
      </c>
      <c r="EH166" t="s">
        <v>110</v>
      </c>
      <c r="EI166">
        <v>0</v>
      </c>
      <c r="EJ166">
        <v>0</v>
      </c>
      <c r="EK166">
        <v>0</v>
      </c>
      <c r="EL166">
        <v>0</v>
      </c>
      <c r="EM166">
        <v>0</v>
      </c>
      <c r="EN166">
        <v>0</v>
      </c>
      <c r="EO166">
        <v>0</v>
      </c>
      <c r="EP166">
        <v>0</v>
      </c>
    </row>
    <row r="167" spans="1:146" ht="96" x14ac:dyDescent="0.25">
      <c r="A167" s="7"/>
      <c r="B167" s="7"/>
      <c r="C167" s="7" t="str">
        <f>""&amp;CHAR(10)&amp;Basic_Fundamental_Information_Constructure(F167)&amp;CHAR(10)&amp;Basic_Fundamental_Information_Concatenate("")</f>
        <v xml:space="preserve">
市值288.24029亿, 利润53.74亿; PE5.36; 平均PE41.41; 平均PEG8.35, PB.365; ROIC0%; ROE6.3433%; 股利率0%; 毛利0%; 净利4.11%; 上一年度营收增13.9%, 利润增-28.48%, 利润增25.07%; 过往5年营收增4.96%, 利润增-388.86%
Income profile:
</v>
      </c>
      <c r="D167" s="11">
        <v>966</v>
      </c>
      <c r="E167" t="s">
        <v>2692</v>
      </c>
      <c r="F167">
        <v>8.02</v>
      </c>
      <c r="G167" s="5">
        <v>-2.5499999999999998E-2</v>
      </c>
      <c r="H167" t="s">
        <v>8576</v>
      </c>
      <c r="I167">
        <v>28824029000</v>
      </c>
      <c r="J167">
        <v>5.36</v>
      </c>
      <c r="K167">
        <v>0.36499999999999999</v>
      </c>
      <c r="L167" t="s">
        <v>6350</v>
      </c>
      <c r="M167" t="s">
        <v>9</v>
      </c>
      <c r="N167" t="s">
        <v>9</v>
      </c>
      <c r="O167" t="s">
        <v>9</v>
      </c>
      <c r="P167" t="s">
        <v>9</v>
      </c>
      <c r="Q167" t="s">
        <v>8577</v>
      </c>
      <c r="R167">
        <v>5373949000</v>
      </c>
      <c r="S167" s="5">
        <v>0.25069999999999998</v>
      </c>
      <c r="T167" t="s">
        <v>4562</v>
      </c>
      <c r="U167">
        <v>3594018500</v>
      </c>
      <c r="V167">
        <v>3594018500</v>
      </c>
      <c r="W167" t="s">
        <v>9</v>
      </c>
      <c r="X167" t="s">
        <v>9</v>
      </c>
      <c r="Y167" t="s">
        <v>9</v>
      </c>
      <c r="Z167" t="s">
        <v>9</v>
      </c>
      <c r="AA167" t="s">
        <v>9</v>
      </c>
      <c r="AB167" t="s">
        <v>9</v>
      </c>
      <c r="AC167" t="s">
        <v>9</v>
      </c>
      <c r="AD167" t="s">
        <v>9</v>
      </c>
      <c r="AE167" t="s">
        <v>9</v>
      </c>
      <c r="AF167" t="s">
        <v>9</v>
      </c>
      <c r="AG167" t="s">
        <v>9</v>
      </c>
      <c r="AH167" t="s">
        <v>8578</v>
      </c>
      <c r="AI167" t="s">
        <v>9</v>
      </c>
      <c r="AJ167" t="s">
        <v>9</v>
      </c>
      <c r="AK167" t="s">
        <v>8579</v>
      </c>
      <c r="AL167" t="s">
        <v>9</v>
      </c>
      <c r="AM167" t="s">
        <v>9</v>
      </c>
      <c r="AN167" s="5">
        <v>0.91220000000000001</v>
      </c>
      <c r="AO167" t="s">
        <v>9</v>
      </c>
      <c r="AP167" t="s">
        <v>9</v>
      </c>
      <c r="AQ167" t="s">
        <v>9</v>
      </c>
      <c r="AR167" t="s">
        <v>9</v>
      </c>
      <c r="AS167" t="s">
        <v>9</v>
      </c>
      <c r="AT167" t="s">
        <v>9</v>
      </c>
      <c r="AU167" t="s">
        <v>8580</v>
      </c>
      <c r="AV167" t="s">
        <v>8581</v>
      </c>
      <c r="AW167" t="s">
        <v>9</v>
      </c>
      <c r="AX167" t="s">
        <v>8582</v>
      </c>
      <c r="AY167" t="s">
        <v>2694</v>
      </c>
      <c r="AZ167" t="s">
        <v>2695</v>
      </c>
      <c r="BA167" t="s">
        <v>2696</v>
      </c>
      <c r="BB167" t="s">
        <v>2697</v>
      </c>
      <c r="BC167" t="s">
        <v>2698</v>
      </c>
      <c r="BD167" t="s">
        <v>2699</v>
      </c>
      <c r="BE167" t="s">
        <v>2700</v>
      </c>
      <c r="BF167" t="s">
        <v>2701</v>
      </c>
      <c r="BG167" t="s">
        <v>2702</v>
      </c>
      <c r="BH167" t="s">
        <v>8582</v>
      </c>
      <c r="BI167" t="s">
        <v>9</v>
      </c>
      <c r="BJ167" t="s">
        <v>2694</v>
      </c>
      <c r="BK167" t="s">
        <v>2693</v>
      </c>
      <c r="BL167" t="s">
        <v>9</v>
      </c>
      <c r="BM167" t="s">
        <v>2698</v>
      </c>
      <c r="BN167" t="s">
        <v>9</v>
      </c>
      <c r="BO167" t="s">
        <v>9</v>
      </c>
      <c r="BP167" t="s">
        <v>9</v>
      </c>
      <c r="BQ167">
        <v>6.8</v>
      </c>
      <c r="BR167">
        <v>3.7</v>
      </c>
      <c r="BS167">
        <v>8.5299999999999994</v>
      </c>
      <c r="BT167" t="s">
        <v>8583</v>
      </c>
      <c r="BU167" t="s">
        <v>2704</v>
      </c>
      <c r="BV167" t="s">
        <v>9</v>
      </c>
      <c r="BW167" t="s">
        <v>9</v>
      </c>
      <c r="BX167" t="s">
        <v>9</v>
      </c>
      <c r="BY167">
        <v>7</v>
      </c>
      <c r="BZ167">
        <v>1.86</v>
      </c>
      <c r="CA167">
        <v>3.47</v>
      </c>
      <c r="CB167">
        <v>-6.74</v>
      </c>
      <c r="CC167">
        <v>-4.41</v>
      </c>
      <c r="CD167" t="s">
        <v>8584</v>
      </c>
      <c r="CE167" t="s">
        <v>3167</v>
      </c>
      <c r="CF167" s="8" t="s">
        <v>9</v>
      </c>
      <c r="CG167" s="9">
        <v>0.25069999999999998</v>
      </c>
      <c r="CH167" s="8">
        <v>0.13900530338287354</v>
      </c>
      <c r="CI167" s="8">
        <v>-0.59196853637695313</v>
      </c>
      <c r="CJ167" s="8">
        <v>0.16935503482818604</v>
      </c>
      <c r="CK167" s="8">
        <v>0.26420697569847107</v>
      </c>
      <c r="CL167" s="8">
        <v>8.9556396007537842E-2</v>
      </c>
      <c r="CM167" s="9">
        <v>-0.2848016619682312</v>
      </c>
      <c r="CN167" s="9">
        <v>0.14735068380832672</v>
      </c>
      <c r="CO167" s="9">
        <v>-0.2584078311920166</v>
      </c>
      <c r="CP167" s="9">
        <v>0.33257880806922913</v>
      </c>
      <c r="CQ167" s="9">
        <v>0.12684915959835052</v>
      </c>
      <c r="CR167">
        <v>41.410420591999561</v>
      </c>
      <c r="CS167">
        <v>8.3489270352839871</v>
      </c>
      <c r="CT167">
        <v>0</v>
      </c>
      <c r="CU167" s="8">
        <v>4.9599691573530433E-2</v>
      </c>
      <c r="CV167" s="9">
        <v>-3.888585126399994</v>
      </c>
      <c r="CW167">
        <v>0.06</v>
      </c>
      <c r="CX167">
        <v>5.4167550241522457</v>
      </c>
      <c r="CY167">
        <v>5321272398.6001434</v>
      </c>
      <c r="CZ167">
        <v>4.9599691573530433E-2</v>
      </c>
      <c r="DA167">
        <v>1.8320325948232989</v>
      </c>
      <c r="DB167">
        <v>15733360356.931915</v>
      </c>
      <c r="DC167">
        <v>4.7119706994853912E-2</v>
      </c>
      <c r="DD167">
        <v>0.94359247097700583</v>
      </c>
      <c r="DE167">
        <v>30547116352.20583</v>
      </c>
      <c r="DF167">
        <v>4.364772858470678E-2</v>
      </c>
      <c r="DG167">
        <v>0.59569036478010251</v>
      </c>
      <c r="DH167">
        <v>48387603198.249329</v>
      </c>
      <c r="DI167">
        <v>3.9679753258824349E-2</v>
      </c>
      <c r="DJ167">
        <v>0.34221655127262934</v>
      </c>
      <c r="DK167">
        <v>84227454495.726959</v>
      </c>
      <c r="DL167">
        <v>3.47197841014713E-2</v>
      </c>
      <c r="DM167">
        <v>5374000000</v>
      </c>
      <c r="DN167">
        <v>4.9599691573530433E-2</v>
      </c>
      <c r="DO167">
        <v>28824029000</v>
      </c>
      <c r="DP167" t="e">
        <v>#VALUE!</v>
      </c>
      <c r="DQ167">
        <v>166</v>
      </c>
      <c r="DR167" t="e">
        <v>#VALUE!</v>
      </c>
      <c r="DS167">
        <v>4.1392851263999937</v>
      </c>
      <c r="DT167" t="e">
        <v>#VALUE!</v>
      </c>
      <c r="DU167" t="e">
        <v>#VALUE!</v>
      </c>
      <c r="DV167" t="e">
        <v>#VALUE!</v>
      </c>
      <c r="DW167">
        <v>-5.6543026706231458</v>
      </c>
      <c r="DX167">
        <v>0.3765458955223886</v>
      </c>
      <c r="DY167">
        <v>-5.0893423441029277</v>
      </c>
      <c r="DZ167">
        <v>0</v>
      </c>
      <c r="EA167">
        <v>-5.0893423441029277</v>
      </c>
      <c r="EB167">
        <v>5</v>
      </c>
      <c r="EC167">
        <v>1.0182001010846216E-2</v>
      </c>
      <c r="ED167">
        <v>7.456834181571409E-2</v>
      </c>
      <c r="EE167">
        <v>0</v>
      </c>
      <c r="EF167">
        <v>0</v>
      </c>
      <c r="EG167">
        <v>24.136545895522389</v>
      </c>
      <c r="EH167" t="s">
        <v>110</v>
      </c>
      <c r="EI167">
        <v>0</v>
      </c>
      <c r="EJ167">
        <v>0</v>
      </c>
      <c r="EK167">
        <v>0</v>
      </c>
      <c r="EL167">
        <v>0</v>
      </c>
      <c r="EM167">
        <v>0</v>
      </c>
      <c r="EN167">
        <v>0</v>
      </c>
      <c r="EO167">
        <v>0</v>
      </c>
      <c r="EP167">
        <v>0</v>
      </c>
    </row>
    <row r="168" spans="1:146" ht="96" x14ac:dyDescent="0.25">
      <c r="A168" s="7"/>
      <c r="B168" s="7"/>
      <c r="C168" s="7" t="str">
        <f>""&amp;CHAR(10)&amp;Basic_Fundamental_Information_Constructure(F168)&amp;CHAR(10)&amp;Basic_Fundamental_Information_Concatenate("")</f>
        <v xml:space="preserve">
市值347.48578亿, 利润41.87亿; PE8.3; 平均PE50.69; 平均PEG7.67, PB1.09; ROIC11.45%; ROE14.0633%; 股利率0%; 毛利34.53%; 净利24.5133%; 上一年度营收增29.62%, 利润增-14.97%, 利润增9.61%; 过往5年营收增6.61%, 利润增-14.1%
Income profile:
</v>
      </c>
      <c r="D168" s="11">
        <v>968</v>
      </c>
      <c r="E168" t="s">
        <v>2705</v>
      </c>
      <c r="F168">
        <v>3.9</v>
      </c>
      <c r="G168" s="5">
        <v>-2.5000000000000001E-2</v>
      </c>
      <c r="H168" t="s">
        <v>8585</v>
      </c>
      <c r="I168">
        <v>34748578000</v>
      </c>
      <c r="J168">
        <v>8.3000000000000007</v>
      </c>
      <c r="K168">
        <v>1.0900000000000001</v>
      </c>
      <c r="L168" t="s">
        <v>6350</v>
      </c>
      <c r="M168" t="s">
        <v>9</v>
      </c>
      <c r="N168" t="s">
        <v>9</v>
      </c>
      <c r="O168" t="s">
        <v>9</v>
      </c>
      <c r="P168" t="s">
        <v>9</v>
      </c>
      <c r="Q168" t="s">
        <v>8586</v>
      </c>
      <c r="R168">
        <v>4187127000</v>
      </c>
      <c r="S168" s="5">
        <v>9.6100000000000005E-2</v>
      </c>
      <c r="T168" t="s">
        <v>8587</v>
      </c>
      <c r="U168">
        <v>8909888800</v>
      </c>
      <c r="V168">
        <v>8909888800</v>
      </c>
      <c r="W168" t="s">
        <v>9</v>
      </c>
      <c r="X168" t="s">
        <v>9</v>
      </c>
      <c r="Y168" t="s">
        <v>9</v>
      </c>
      <c r="Z168" t="s">
        <v>9</v>
      </c>
      <c r="AA168" t="s">
        <v>9</v>
      </c>
      <c r="AB168" t="s">
        <v>9</v>
      </c>
      <c r="AC168" t="s">
        <v>9</v>
      </c>
      <c r="AD168" t="s">
        <v>2239</v>
      </c>
      <c r="AE168" t="s">
        <v>9</v>
      </c>
      <c r="AF168" t="s">
        <v>9</v>
      </c>
      <c r="AG168" t="s">
        <v>9</v>
      </c>
      <c r="AH168" t="s">
        <v>8588</v>
      </c>
      <c r="AI168" t="s">
        <v>9</v>
      </c>
      <c r="AJ168" t="s">
        <v>9</v>
      </c>
      <c r="AK168" t="s">
        <v>8589</v>
      </c>
      <c r="AL168" t="s">
        <v>9</v>
      </c>
      <c r="AM168" t="s">
        <v>9</v>
      </c>
      <c r="AN168" s="5">
        <v>0.3735</v>
      </c>
      <c r="AO168" t="s">
        <v>9</v>
      </c>
      <c r="AP168" t="s">
        <v>3830</v>
      </c>
      <c r="AQ168" t="s">
        <v>9</v>
      </c>
      <c r="AR168" t="s">
        <v>8590</v>
      </c>
      <c r="AS168" t="s">
        <v>9</v>
      </c>
      <c r="AT168" t="s">
        <v>9</v>
      </c>
      <c r="AU168" t="s">
        <v>8591</v>
      </c>
      <c r="AV168" t="s">
        <v>8592</v>
      </c>
      <c r="AW168" t="s">
        <v>9</v>
      </c>
      <c r="AX168" t="s">
        <v>2706</v>
      </c>
      <c r="AY168" t="s">
        <v>2710</v>
      </c>
      <c r="AZ168" t="s">
        <v>2711</v>
      </c>
      <c r="BA168" t="s">
        <v>2712</v>
      </c>
      <c r="BB168" t="s">
        <v>2713</v>
      </c>
      <c r="BC168" t="s">
        <v>795</v>
      </c>
      <c r="BD168" t="s">
        <v>2714</v>
      </c>
      <c r="BE168" t="s">
        <v>2715</v>
      </c>
      <c r="BF168" t="s">
        <v>248</v>
      </c>
      <c r="BG168" t="s">
        <v>2716</v>
      </c>
      <c r="BH168" t="s">
        <v>2706</v>
      </c>
      <c r="BI168" t="s">
        <v>9</v>
      </c>
      <c r="BJ168" t="s">
        <v>2710</v>
      </c>
      <c r="BK168" t="s">
        <v>2707</v>
      </c>
      <c r="BL168" t="s">
        <v>9</v>
      </c>
      <c r="BM168" t="s">
        <v>795</v>
      </c>
      <c r="BN168">
        <v>10.43</v>
      </c>
      <c r="BO168">
        <v>10.039999999999999</v>
      </c>
      <c r="BP168">
        <v>13.88</v>
      </c>
      <c r="BQ168">
        <v>13.1</v>
      </c>
      <c r="BR168">
        <v>12.84</v>
      </c>
      <c r="BS168">
        <v>16.25</v>
      </c>
      <c r="BT168" t="s">
        <v>8593</v>
      </c>
      <c r="BU168" t="s">
        <v>589</v>
      </c>
      <c r="BV168">
        <v>26.62</v>
      </c>
      <c r="BW168">
        <v>29.98</v>
      </c>
      <c r="BX168">
        <v>46.99</v>
      </c>
      <c r="BY168">
        <v>17.649999999999999</v>
      </c>
      <c r="BZ168">
        <v>21.15</v>
      </c>
      <c r="CA168">
        <v>34.74</v>
      </c>
      <c r="CB168">
        <v>-12.16</v>
      </c>
      <c r="CC168">
        <v>-29.6</v>
      </c>
      <c r="CD168" t="s">
        <v>1003</v>
      </c>
      <c r="CE168" t="s">
        <v>8594</v>
      </c>
      <c r="CF168" s="8" t="s">
        <v>9</v>
      </c>
      <c r="CG168" s="9">
        <v>9.6100000000000005E-2</v>
      </c>
      <c r="CH168" s="8">
        <v>0.29619348049163818</v>
      </c>
      <c r="CI168" s="8">
        <v>0.27880480885505676</v>
      </c>
      <c r="CJ168" s="8">
        <v>0.30440080165863037</v>
      </c>
      <c r="CK168" s="8">
        <v>0.60531806945800781</v>
      </c>
      <c r="CL168" s="8">
        <v>-0.19470977783203125</v>
      </c>
      <c r="CM168" s="9">
        <v>-0.14967508614063263</v>
      </c>
      <c r="CN168" s="9">
        <v>7.9587884247303009E-2</v>
      </c>
      <c r="CO168" s="9">
        <v>0.88783109188079834</v>
      </c>
      <c r="CP168" s="9">
        <v>0.29683300852775574</v>
      </c>
      <c r="CQ168" s="9">
        <v>-0.20111489295959473</v>
      </c>
      <c r="CR168">
        <v>50.690850474106497</v>
      </c>
      <c r="CS168">
        <v>7.6697850784068606</v>
      </c>
      <c r="CT168">
        <v>0</v>
      </c>
      <c r="CU168" s="8">
        <v>6.609161789529025E-2</v>
      </c>
      <c r="CV168" s="9">
        <v>-0.1410194754600525</v>
      </c>
      <c r="CW168">
        <v>0.06</v>
      </c>
      <c r="CX168">
        <v>8.2517376619074199</v>
      </c>
      <c r="CY168">
        <v>4211061890.6863956</v>
      </c>
      <c r="CZ168">
        <v>6.609161789529025E-2</v>
      </c>
      <c r="DA168">
        <v>2.751889913533895</v>
      </c>
      <c r="DB168">
        <v>12627168633.856037</v>
      </c>
      <c r="DC168">
        <v>6.2787037000525736E-2</v>
      </c>
      <c r="DD168">
        <v>1.3916206217510547</v>
      </c>
      <c r="DE168">
        <v>24969864240.928249</v>
      </c>
      <c r="DF168">
        <v>5.8160623747855418E-2</v>
      </c>
      <c r="DG168">
        <v>0.86112501468886093</v>
      </c>
      <c r="DH168">
        <v>40352535819.151939</v>
      </c>
      <c r="DI168">
        <v>5.2873294316232201E-2</v>
      </c>
      <c r="DJ168">
        <v>0.47451945210341312</v>
      </c>
      <c r="DK168">
        <v>73228985336.574066</v>
      </c>
      <c r="DL168">
        <v>4.6264132526703174E-2</v>
      </c>
      <c r="DM168">
        <v>4186999999.9999995</v>
      </c>
      <c r="DN168">
        <v>6.609161789529025E-2</v>
      </c>
      <c r="DO168">
        <v>34748578000</v>
      </c>
      <c r="DP168" t="e">
        <v>#VALUE!</v>
      </c>
      <c r="DQ168">
        <v>167</v>
      </c>
      <c r="DR168" t="e">
        <v>#VALUE!</v>
      </c>
      <c r="DS168">
        <v>0.23711947546005252</v>
      </c>
      <c r="DT168" t="e">
        <v>#VALUE!</v>
      </c>
      <c r="DU168" t="e">
        <v>#VALUE!</v>
      </c>
      <c r="DV168" t="e">
        <v>#VALUE!</v>
      </c>
      <c r="DW168">
        <v>-9.4108108108108102</v>
      </c>
      <c r="DX168">
        <v>0.36965645336966757</v>
      </c>
      <c r="DY168">
        <v>-9.0573723808437556</v>
      </c>
      <c r="DZ168">
        <v>0</v>
      </c>
      <c r="EA168">
        <v>-9.0573723808437556</v>
      </c>
      <c r="EB168">
        <v>9</v>
      </c>
      <c r="EC168">
        <v>2.0987916257720299E-2</v>
      </c>
      <c r="ED168">
        <v>0.15028245919298117</v>
      </c>
      <c r="EE168">
        <v>0</v>
      </c>
      <c r="EF168">
        <v>0</v>
      </c>
      <c r="EG168">
        <v>23.139656453369668</v>
      </c>
      <c r="EH168" t="s">
        <v>110</v>
      </c>
      <c r="EI168">
        <v>0</v>
      </c>
      <c r="EJ168">
        <v>0</v>
      </c>
      <c r="EK168">
        <v>0</v>
      </c>
      <c r="EL168">
        <v>0</v>
      </c>
      <c r="EM168">
        <v>0</v>
      </c>
      <c r="EN168">
        <v>0</v>
      </c>
      <c r="EO168">
        <v>0</v>
      </c>
      <c r="EP168">
        <v>0</v>
      </c>
    </row>
    <row r="169" spans="1:146" ht="96" x14ac:dyDescent="0.25">
      <c r="A169" s="7"/>
      <c r="B169" s="7"/>
      <c r="C169" s="7" t="str">
        <f>""&amp;CHAR(10)&amp;Basic_Fundamental_Information_Constructure(F169)&amp;CHAR(10)&amp;Basic_Fundamental_Information_Concatenate("")</f>
        <v xml:space="preserve">
市值490.35234亿, 利润9.86亿; PE61.71; 平均PE158.47; 平均PEG32.41, PB6.76; ROIC9.6733%; ROE14.0167%; 股利率0%; 毛利81.8967%; 净利9.7767%; 上一年度营收增17.28%, 利润增-28.45%, 利润增-40.71%; 过往5年营收增4.89%, 利润增-147.36%
Income profile:
</v>
      </c>
      <c r="D169" s="11">
        <v>973</v>
      </c>
      <c r="E169" t="s">
        <v>2718</v>
      </c>
      <c r="F169">
        <v>33.200000000000003</v>
      </c>
      <c r="G169" s="5">
        <v>-1.5E-3</v>
      </c>
      <c r="H169" t="s">
        <v>8595</v>
      </c>
      <c r="I169">
        <v>49035234000</v>
      </c>
      <c r="J169">
        <v>61.71</v>
      </c>
      <c r="K169">
        <v>6.76</v>
      </c>
      <c r="L169" t="s">
        <v>6350</v>
      </c>
      <c r="M169" t="s">
        <v>9</v>
      </c>
      <c r="N169" t="s">
        <v>9</v>
      </c>
      <c r="O169" t="s">
        <v>9</v>
      </c>
      <c r="P169" t="s">
        <v>9</v>
      </c>
      <c r="Q169" t="s">
        <v>8596</v>
      </c>
      <c r="R169">
        <v>282286720</v>
      </c>
      <c r="S169" s="5">
        <v>-0.40710000000000002</v>
      </c>
      <c r="T169" t="s">
        <v>5164</v>
      </c>
      <c r="U169">
        <v>1476964900</v>
      </c>
      <c r="V169">
        <v>1476964900</v>
      </c>
      <c r="W169" t="s">
        <v>9</v>
      </c>
      <c r="X169" t="s">
        <v>9</v>
      </c>
      <c r="Y169" t="s">
        <v>9</v>
      </c>
      <c r="Z169" t="s">
        <v>9</v>
      </c>
      <c r="AA169" t="s">
        <v>9</v>
      </c>
      <c r="AB169" t="s">
        <v>9</v>
      </c>
      <c r="AC169" t="s">
        <v>9</v>
      </c>
      <c r="AD169" t="s">
        <v>179</v>
      </c>
      <c r="AE169" t="s">
        <v>9</v>
      </c>
      <c r="AF169" t="s">
        <v>9</v>
      </c>
      <c r="AG169" t="s">
        <v>9</v>
      </c>
      <c r="AH169" t="s">
        <v>8597</v>
      </c>
      <c r="AI169" t="s">
        <v>9</v>
      </c>
      <c r="AJ169" t="s">
        <v>9</v>
      </c>
      <c r="AK169" t="s">
        <v>8598</v>
      </c>
      <c r="AL169" t="s">
        <v>9</v>
      </c>
      <c r="AM169" t="s">
        <v>9</v>
      </c>
      <c r="AN169" s="5">
        <v>0.67579999999999996</v>
      </c>
      <c r="AO169" t="s">
        <v>9</v>
      </c>
      <c r="AP169" t="s">
        <v>6080</v>
      </c>
      <c r="AQ169" t="s">
        <v>9</v>
      </c>
      <c r="AR169" t="s">
        <v>8599</v>
      </c>
      <c r="AS169" t="s">
        <v>9</v>
      </c>
      <c r="AT169" t="s">
        <v>9</v>
      </c>
      <c r="AU169" t="s">
        <v>5842</v>
      </c>
      <c r="AV169" t="s">
        <v>6342</v>
      </c>
      <c r="AW169" t="s">
        <v>9</v>
      </c>
      <c r="AX169" t="s">
        <v>593</v>
      </c>
      <c r="AY169" t="s">
        <v>2130</v>
      </c>
      <c r="AZ169" t="s">
        <v>2723</v>
      </c>
      <c r="BA169" t="s">
        <v>2724</v>
      </c>
      <c r="BB169" t="s">
        <v>2725</v>
      </c>
      <c r="BC169" t="s">
        <v>120</v>
      </c>
      <c r="BD169" t="s">
        <v>2726</v>
      </c>
      <c r="BE169" t="s">
        <v>2727</v>
      </c>
      <c r="BF169" t="s">
        <v>2728</v>
      </c>
      <c r="BG169" t="s">
        <v>523</v>
      </c>
      <c r="BH169" t="s">
        <v>593</v>
      </c>
      <c r="BI169" t="s">
        <v>9</v>
      </c>
      <c r="BJ169" t="s">
        <v>2130</v>
      </c>
      <c r="BK169" t="s">
        <v>2719</v>
      </c>
      <c r="BL169" t="s">
        <v>9</v>
      </c>
      <c r="BM169" t="s">
        <v>120</v>
      </c>
      <c r="BN169">
        <v>6.4</v>
      </c>
      <c r="BO169">
        <v>13.24</v>
      </c>
      <c r="BP169">
        <v>9.3800000000000008</v>
      </c>
      <c r="BQ169">
        <v>10.11</v>
      </c>
      <c r="BR169">
        <v>19.059999999999999</v>
      </c>
      <c r="BS169">
        <v>12.88</v>
      </c>
      <c r="BT169" t="s">
        <v>8600</v>
      </c>
      <c r="BU169" t="s">
        <v>1541</v>
      </c>
      <c r="BV169">
        <v>80.489999999999995</v>
      </c>
      <c r="BW169">
        <v>82.15</v>
      </c>
      <c r="BX169">
        <v>83.05</v>
      </c>
      <c r="BY169">
        <v>5.54</v>
      </c>
      <c r="BZ169">
        <v>13.58</v>
      </c>
      <c r="CA169">
        <v>10.210000000000001</v>
      </c>
      <c r="CB169">
        <v>0.45</v>
      </c>
      <c r="CC169">
        <v>3.11</v>
      </c>
      <c r="CD169" t="s">
        <v>8601</v>
      </c>
      <c r="CE169" t="s">
        <v>8602</v>
      </c>
      <c r="CF169" s="8" t="s">
        <v>9</v>
      </c>
      <c r="CG169" s="9">
        <v>-0.40710000000000002</v>
      </c>
      <c r="CH169" s="8">
        <v>0.17279435694217682</v>
      </c>
      <c r="CI169" s="8">
        <v>0.11178489029407501</v>
      </c>
      <c r="CJ169" s="8">
        <v>-1.4264423225540668E-4</v>
      </c>
      <c r="CK169" s="8">
        <v>0.10012557357549667</v>
      </c>
      <c r="CL169" s="8">
        <v>0.15896688401699066</v>
      </c>
      <c r="CM169" s="9">
        <v>-0.28447026014328003</v>
      </c>
      <c r="CN169" s="9">
        <v>0.38911288976669312</v>
      </c>
      <c r="CO169" s="9">
        <v>-4.8897411674261093E-2</v>
      </c>
      <c r="CP169" s="9">
        <v>0.12150537967681885</v>
      </c>
      <c r="CQ169" s="9">
        <v>-0.15145985782146454</v>
      </c>
      <c r="CR169">
        <v>158.47077429040081</v>
      </c>
      <c r="CS169">
        <v>32.410836705197617</v>
      </c>
      <c r="CT169">
        <v>0</v>
      </c>
      <c r="CU169" s="8">
        <v>4.8894379287958145E-2</v>
      </c>
      <c r="CV169" s="9">
        <v>-1.473578578233719</v>
      </c>
      <c r="CW169">
        <v>0.06</v>
      </c>
      <c r="CX169">
        <v>50.258028038550528</v>
      </c>
      <c r="CY169">
        <v>975669677.33766675</v>
      </c>
      <c r="CZ169">
        <v>4.8894379287958145E-2</v>
      </c>
      <c r="DA169">
        <v>17.008310203416887</v>
      </c>
      <c r="DB169">
        <v>2883016208.7559443</v>
      </c>
      <c r="DC169">
        <v>4.6449660323560238E-2</v>
      </c>
      <c r="DD169">
        <v>8.7670018705737256</v>
      </c>
      <c r="DE169">
        <v>5593158838.5518456</v>
      </c>
      <c r="DF169">
        <v>4.3027053773403171E-2</v>
      </c>
      <c r="DG169">
        <v>5.5392814063412601</v>
      </c>
      <c r="DH169">
        <v>8852273499.5671883</v>
      </c>
      <c r="DI169">
        <v>3.9115503430366516E-2</v>
      </c>
      <c r="DJ169">
        <v>3.187750784168474</v>
      </c>
      <c r="DK169">
        <v>15382392577.088131</v>
      </c>
      <c r="DL169">
        <v>3.4226065501570702E-2</v>
      </c>
      <c r="DM169">
        <v>986000000</v>
      </c>
      <c r="DN169">
        <v>4.8894379287958145E-2</v>
      </c>
      <c r="DO169">
        <v>49035234000</v>
      </c>
      <c r="DP169" t="e">
        <v>#VALUE!</v>
      </c>
      <c r="DQ169">
        <v>168</v>
      </c>
      <c r="DR169" t="e">
        <v>#VALUE!</v>
      </c>
      <c r="DS169">
        <v>1.0664785782337189</v>
      </c>
      <c r="DT169" t="e">
        <v>#VALUE!</v>
      </c>
      <c r="DU169" t="e">
        <v>#VALUE!</v>
      </c>
      <c r="DV169" t="e">
        <v>#VALUE!</v>
      </c>
      <c r="DW169">
        <v>1.0310999999999999</v>
      </c>
      <c r="DX169">
        <v>0.21778936845852565</v>
      </c>
      <c r="DY169">
        <v>1.0042852493590602</v>
      </c>
      <c r="DZ169">
        <v>0</v>
      </c>
      <c r="EA169">
        <v>1.0042852493590602</v>
      </c>
      <c r="EB169">
        <v>1</v>
      </c>
      <c r="EC169">
        <v>6.3147743050630386E-3</v>
      </c>
      <c r="ED169">
        <v>4.5829186597460776E-2</v>
      </c>
      <c r="EE169">
        <v>0</v>
      </c>
      <c r="EF169">
        <v>0</v>
      </c>
      <c r="EG169">
        <v>8.1377893684585256</v>
      </c>
      <c r="EH169" t="s">
        <v>110</v>
      </c>
      <c r="EI169">
        <v>0</v>
      </c>
      <c r="EJ169">
        <v>0</v>
      </c>
      <c r="EK169">
        <v>0</v>
      </c>
      <c r="EL169">
        <v>0</v>
      </c>
      <c r="EM169">
        <v>0</v>
      </c>
      <c r="EN169">
        <v>0</v>
      </c>
      <c r="EO169">
        <v>0</v>
      </c>
      <c r="EP169">
        <v>0</v>
      </c>
    </row>
    <row r="170" spans="1:146" ht="156" x14ac:dyDescent="0.25">
      <c r="A170" s="7"/>
      <c r="B170" s="7"/>
      <c r="C170" s="7" t="str">
        <f>"公司主营业务是从事基于多种技术节点和技术平台的集成电路晶圆代工业务，并提供设计服务与IP支持、光掩模制造等配套服务。"&amp;CHAR(10)&amp;Basic_Fundamental_Information_Constructure(F170)&amp;CHAR(10)&amp;Basic_Fundamental_Information_Concatenate("中国内地、中国香港 11.04亿 75.50
美国 2.87亿 19.60
欧洲及亚洲 0.72亿 4.90")</f>
        <v>公司主营业务是从事基于多种技术节点和技术平台的集成电路晶圆代工业务，并提供设计服务与IP支持、光掩模制造等配套服务。
市值1347.7777亿, 利润70.50亿; PE23.25; 平均PE89.97; 平均PEG37.78, PB.857; ROIC5.9267%; ROE7.9667%; 股利率0%; 毛利29.34%; 净利26.8767%; 上一年度营收增-13.05%, 利润增-46.87%, 利润增-50.34%; 过往5年营收增2.38%, 利润增-10.85%
Income profile:
中国内地、中国香港 11.04亿 75.50
美国 2.87亿 19.60
欧洲及亚洲 0.72亿 4.90</v>
      </c>
      <c r="D170" s="11">
        <v>981</v>
      </c>
      <c r="E170" t="s">
        <v>2730</v>
      </c>
      <c r="F170">
        <v>16.940000000000001</v>
      </c>
      <c r="G170" s="5">
        <v>-4.2900000000000001E-2</v>
      </c>
      <c r="H170" t="s">
        <v>8603</v>
      </c>
      <c r="I170">
        <v>134777770000</v>
      </c>
      <c r="J170">
        <v>23.25</v>
      </c>
      <c r="K170">
        <v>0.85699999999999998</v>
      </c>
      <c r="L170" t="s">
        <v>6350</v>
      </c>
      <c r="M170" t="s">
        <v>9</v>
      </c>
      <c r="N170" t="s">
        <v>9</v>
      </c>
      <c r="O170" t="s">
        <v>9</v>
      </c>
      <c r="P170" t="s">
        <v>9</v>
      </c>
      <c r="Q170" t="s">
        <v>8604</v>
      </c>
      <c r="R170">
        <v>7049630600</v>
      </c>
      <c r="S170" s="5">
        <v>-0.50339999999999996</v>
      </c>
      <c r="T170" t="s">
        <v>8605</v>
      </c>
      <c r="U170">
        <v>5980966700</v>
      </c>
      <c r="V170">
        <v>7954575900</v>
      </c>
      <c r="W170" t="s">
        <v>9</v>
      </c>
      <c r="X170" t="s">
        <v>9</v>
      </c>
      <c r="Y170" t="s">
        <v>9</v>
      </c>
      <c r="Z170" t="s">
        <v>9</v>
      </c>
      <c r="AA170" t="s">
        <v>9</v>
      </c>
      <c r="AB170" t="s">
        <v>9</v>
      </c>
      <c r="AC170" t="s">
        <v>9</v>
      </c>
      <c r="AD170" t="s">
        <v>8606</v>
      </c>
      <c r="AE170" t="s">
        <v>9</v>
      </c>
      <c r="AF170" t="s">
        <v>9</v>
      </c>
      <c r="AG170" t="s">
        <v>9</v>
      </c>
      <c r="AH170" t="s">
        <v>8607</v>
      </c>
      <c r="AI170" t="s">
        <v>9</v>
      </c>
      <c r="AJ170" t="s">
        <v>9</v>
      </c>
      <c r="AK170" t="s">
        <v>8608</v>
      </c>
      <c r="AL170" t="s">
        <v>9</v>
      </c>
      <c r="AM170" t="s">
        <v>9</v>
      </c>
      <c r="AN170" s="5">
        <v>0.35449999999999998</v>
      </c>
      <c r="AO170" t="s">
        <v>9</v>
      </c>
      <c r="AP170" t="s">
        <v>8609</v>
      </c>
      <c r="AQ170" t="s">
        <v>9</v>
      </c>
      <c r="AR170" t="s">
        <v>8610</v>
      </c>
      <c r="AS170" t="s">
        <v>9</v>
      </c>
      <c r="AT170" t="s">
        <v>9</v>
      </c>
      <c r="AU170" t="s">
        <v>8611</v>
      </c>
      <c r="AV170" t="s">
        <v>8612</v>
      </c>
      <c r="AW170" t="s">
        <v>9</v>
      </c>
      <c r="AX170" t="s">
        <v>2732</v>
      </c>
      <c r="AY170" t="s">
        <v>2734</v>
      </c>
      <c r="AZ170" t="s">
        <v>2735</v>
      </c>
      <c r="BA170" t="s">
        <v>2737</v>
      </c>
      <c r="BB170" t="s">
        <v>2738</v>
      </c>
      <c r="BC170" t="s">
        <v>2739</v>
      </c>
      <c r="BD170" t="s">
        <v>8613</v>
      </c>
      <c r="BE170" t="s">
        <v>2740</v>
      </c>
      <c r="BF170" t="s">
        <v>2630</v>
      </c>
      <c r="BG170" t="s">
        <v>2741</v>
      </c>
      <c r="BH170" t="s">
        <v>2732</v>
      </c>
      <c r="BI170" t="s">
        <v>2742</v>
      </c>
      <c r="BJ170" t="s">
        <v>2734</v>
      </c>
      <c r="BK170" t="s">
        <v>2733</v>
      </c>
      <c r="BL170" t="s">
        <v>72</v>
      </c>
      <c r="BM170" t="s">
        <v>2739</v>
      </c>
      <c r="BN170">
        <v>3.11</v>
      </c>
      <c r="BO170">
        <v>7.06</v>
      </c>
      <c r="BP170">
        <v>7.61</v>
      </c>
      <c r="BQ170">
        <v>4.49</v>
      </c>
      <c r="BR170">
        <v>9.49</v>
      </c>
      <c r="BS170">
        <v>9.92</v>
      </c>
      <c r="BT170" t="s">
        <v>9</v>
      </c>
      <c r="BU170" t="s">
        <v>1595</v>
      </c>
      <c r="BV170">
        <v>19.260000000000002</v>
      </c>
      <c r="BW170">
        <v>37.97</v>
      </c>
      <c r="BX170">
        <v>30.79</v>
      </c>
      <c r="BY170">
        <v>17.8</v>
      </c>
      <c r="BZ170">
        <v>30.22</v>
      </c>
      <c r="CA170">
        <v>32.61</v>
      </c>
      <c r="CB170">
        <v>-11.49</v>
      </c>
      <c r="CC170">
        <v>3.93</v>
      </c>
      <c r="CD170" t="s">
        <v>137</v>
      </c>
      <c r="CE170" t="s">
        <v>8614</v>
      </c>
      <c r="CF170" s="8" t="s">
        <v>9</v>
      </c>
      <c r="CG170" s="9">
        <v>-0.50339999999999996</v>
      </c>
      <c r="CH170" s="8">
        <v>-0.13051591813564301</v>
      </c>
      <c r="CI170" s="8">
        <v>0.33796674013137817</v>
      </c>
      <c r="CJ170" s="8">
        <v>0.40124136209487915</v>
      </c>
      <c r="CK170" s="8">
        <v>0.15078639984130859</v>
      </c>
      <c r="CL170" s="8">
        <v>8.6204715073108673E-2</v>
      </c>
      <c r="CM170" s="9">
        <v>-0.46872645616531372</v>
      </c>
      <c r="CN170" s="9">
        <v>1.41888427734375</v>
      </c>
      <c r="CO170" s="9">
        <v>2.0027368068695068</v>
      </c>
      <c r="CP170" s="9">
        <v>0.74000006914138794</v>
      </c>
      <c r="CQ170" s="9">
        <v>-0.25213676691055298</v>
      </c>
      <c r="CR170">
        <v>89.971809078771699</v>
      </c>
      <c r="CS170">
        <v>37.777432889586038</v>
      </c>
      <c r="CT170">
        <v>0</v>
      </c>
      <c r="CU170" s="8">
        <v>2.3816284537315369E-2</v>
      </c>
      <c r="CV170" s="9">
        <v>-0.10849752277135849</v>
      </c>
      <c r="CW170">
        <v>0.06</v>
      </c>
      <c r="CX170">
        <v>19.793061842749399</v>
      </c>
      <c r="CY170">
        <v>6809344156.5925207</v>
      </c>
      <c r="CZ170">
        <v>2.3816284537315369E-2</v>
      </c>
      <c r="DA170">
        <v>6.8438409147825583</v>
      </c>
      <c r="DB170">
        <v>19693293821.146942</v>
      </c>
      <c r="DC170">
        <v>2.2625470310449598E-2</v>
      </c>
      <c r="DD170">
        <v>3.6260085185855884</v>
      </c>
      <c r="DE170">
        <v>37169733416.007889</v>
      </c>
      <c r="DF170">
        <v>2.0958330392837524E-2</v>
      </c>
      <c r="DG170">
        <v>2.3591329282137767</v>
      </c>
      <c r="DH170">
        <v>57130214405.530472</v>
      </c>
      <c r="DI170">
        <v>1.9053027629852295E-2</v>
      </c>
      <c r="DJ170">
        <v>1.4394967202776365</v>
      </c>
      <c r="DK170">
        <v>93628396717.712097</v>
      </c>
      <c r="DL170">
        <v>1.6671399176120757E-2</v>
      </c>
      <c r="DM170">
        <v>7050000000</v>
      </c>
      <c r="DN170">
        <v>2.3816284537315369E-2</v>
      </c>
      <c r="DO170">
        <v>134777770000</v>
      </c>
      <c r="DP170" t="e">
        <v>#VALUE!</v>
      </c>
      <c r="DQ170">
        <v>169</v>
      </c>
      <c r="DR170" t="e">
        <v>#VALUE!</v>
      </c>
      <c r="DS170">
        <v>-0.39490247722864147</v>
      </c>
      <c r="DT170" t="e">
        <v>#VALUE!</v>
      </c>
      <c r="DU170">
        <v>0.45</v>
      </c>
      <c r="DV170" t="e">
        <v>#VALUE!</v>
      </c>
      <c r="DW170">
        <v>-5.342036553524804</v>
      </c>
      <c r="DX170">
        <v>0.35440886699507473</v>
      </c>
      <c r="DY170">
        <v>-5.0562338422359128</v>
      </c>
      <c r="DZ170">
        <v>0</v>
      </c>
      <c r="EA170">
        <v>-5.0562338422359128</v>
      </c>
      <c r="EB170">
        <v>5</v>
      </c>
      <c r="EC170">
        <v>3.3565585815832119E-2</v>
      </c>
      <c r="ED170">
        <v>0.20415921859517361</v>
      </c>
      <c r="EE170">
        <v>0</v>
      </c>
      <c r="EF170">
        <v>0</v>
      </c>
      <c r="EG170">
        <v>19.164408866995075</v>
      </c>
      <c r="EH170" t="s">
        <v>110</v>
      </c>
      <c r="EI170">
        <v>0</v>
      </c>
      <c r="EJ170">
        <v>0</v>
      </c>
      <c r="EK170">
        <v>0</v>
      </c>
      <c r="EL170">
        <v>0</v>
      </c>
      <c r="EM170">
        <v>0</v>
      </c>
      <c r="EN170">
        <v>0</v>
      </c>
      <c r="EO170">
        <v>0</v>
      </c>
      <c r="EP170">
        <v>0</v>
      </c>
    </row>
    <row r="171" spans="1:146" ht="96" x14ac:dyDescent="0.25">
      <c r="A171" s="7"/>
      <c r="B171" s="7"/>
      <c r="C171" s="7" t="str">
        <f>""&amp;CHAR(10)&amp;Basic_Fundamental_Information_Constructure(F171)&amp;CHAR(10)&amp;Basic_Fundamental_Information_Concatenate("")</f>
        <v xml:space="preserve">
市值65.336021亿, 利润12.01亿; PE5.44; 平均PE28.86; 平均PEG24.98, PB1.05; ROIC26.4933%; ROE24.7733%; 股利率0%; 毛利4.26%; 净利3.3267%; 上一年度营收增41.66%, 利润增20.34%, 利润增-.49%; 过往5年营收增1.16%, 利润增-14.33%
Income profile:
</v>
      </c>
      <c r="D171" s="11">
        <v>990</v>
      </c>
      <c r="E171" t="s">
        <v>2744</v>
      </c>
      <c r="F171">
        <v>0.48499999999999999</v>
      </c>
      <c r="G171" s="5">
        <v>2.1100000000000001E-2</v>
      </c>
      <c r="H171" t="s">
        <v>8615</v>
      </c>
      <c r="I171">
        <v>6533602100</v>
      </c>
      <c r="J171">
        <v>5.44</v>
      </c>
      <c r="K171">
        <v>1.05</v>
      </c>
      <c r="L171" t="s">
        <v>6350</v>
      </c>
      <c r="M171" t="s">
        <v>9</v>
      </c>
      <c r="N171" t="s">
        <v>9</v>
      </c>
      <c r="O171" t="s">
        <v>9</v>
      </c>
      <c r="P171" t="s">
        <v>9</v>
      </c>
      <c r="Q171" t="s">
        <v>8616</v>
      </c>
      <c r="R171">
        <v>1200955000</v>
      </c>
      <c r="S171" s="5">
        <v>-4.8599999999999997E-3</v>
      </c>
      <c r="T171" t="s">
        <v>2464</v>
      </c>
      <c r="U171">
        <v>13471345000</v>
      </c>
      <c r="V171">
        <v>13471345000</v>
      </c>
      <c r="W171" t="s">
        <v>9</v>
      </c>
      <c r="X171" t="s">
        <v>9</v>
      </c>
      <c r="Y171" t="s">
        <v>9</v>
      </c>
      <c r="Z171" t="s">
        <v>9</v>
      </c>
      <c r="AA171" t="s">
        <v>9</v>
      </c>
      <c r="AB171" t="s">
        <v>9</v>
      </c>
      <c r="AC171" t="s">
        <v>9</v>
      </c>
      <c r="AD171" t="s">
        <v>9</v>
      </c>
      <c r="AE171" t="s">
        <v>9</v>
      </c>
      <c r="AF171" t="s">
        <v>9</v>
      </c>
      <c r="AG171" t="s">
        <v>9</v>
      </c>
      <c r="AH171" t="s">
        <v>8617</v>
      </c>
      <c r="AI171" t="s">
        <v>9</v>
      </c>
      <c r="AJ171" t="s">
        <v>9</v>
      </c>
      <c r="AK171" t="s">
        <v>8618</v>
      </c>
      <c r="AL171" t="s">
        <v>9</v>
      </c>
      <c r="AM171" t="s">
        <v>9</v>
      </c>
      <c r="AN171" s="5">
        <v>0.55479999999999996</v>
      </c>
      <c r="AO171" t="s">
        <v>9</v>
      </c>
      <c r="AP171" t="s">
        <v>5369</v>
      </c>
      <c r="AQ171" t="s">
        <v>9</v>
      </c>
      <c r="AR171" t="s">
        <v>869</v>
      </c>
      <c r="AS171" t="s">
        <v>9</v>
      </c>
      <c r="AT171" t="s">
        <v>9</v>
      </c>
      <c r="AU171" t="s">
        <v>8619</v>
      </c>
      <c r="AV171" t="s">
        <v>8620</v>
      </c>
      <c r="AW171" t="s">
        <v>9</v>
      </c>
      <c r="AX171" t="s">
        <v>2745</v>
      </c>
      <c r="AY171" t="s">
        <v>2747</v>
      </c>
      <c r="AZ171" t="s">
        <v>2748</v>
      </c>
      <c r="BA171" t="s">
        <v>2749</v>
      </c>
      <c r="BB171" t="s">
        <v>2750</v>
      </c>
      <c r="BC171" t="s">
        <v>171</v>
      </c>
      <c r="BD171" t="s">
        <v>75</v>
      </c>
      <c r="BE171" t="s">
        <v>2543</v>
      </c>
      <c r="BF171" t="s">
        <v>2751</v>
      </c>
      <c r="BG171" t="s">
        <v>2752</v>
      </c>
      <c r="BH171" t="s">
        <v>2745</v>
      </c>
      <c r="BI171" t="s">
        <v>9</v>
      </c>
      <c r="BJ171" t="s">
        <v>2747</v>
      </c>
      <c r="BK171" t="s">
        <v>2241</v>
      </c>
      <c r="BL171" t="s">
        <v>9</v>
      </c>
      <c r="BM171" t="s">
        <v>171</v>
      </c>
      <c r="BN171">
        <v>19.73</v>
      </c>
      <c r="BO171">
        <v>25.29</v>
      </c>
      <c r="BP171">
        <v>34.46</v>
      </c>
      <c r="BQ171">
        <v>19.37</v>
      </c>
      <c r="BR171">
        <v>26.32</v>
      </c>
      <c r="BS171">
        <v>28.63</v>
      </c>
      <c r="BT171" t="s">
        <v>158</v>
      </c>
      <c r="BU171" t="s">
        <v>937</v>
      </c>
      <c r="BV171">
        <v>3.22</v>
      </c>
      <c r="BW171">
        <v>5.32</v>
      </c>
      <c r="BX171">
        <v>4.24</v>
      </c>
      <c r="BY171">
        <v>2.5</v>
      </c>
      <c r="BZ171">
        <v>4.01</v>
      </c>
      <c r="CA171">
        <v>3.47</v>
      </c>
      <c r="CB171">
        <v>-10.19</v>
      </c>
      <c r="CC171">
        <v>-24.22</v>
      </c>
      <c r="CD171" t="s">
        <v>8621</v>
      </c>
      <c r="CE171" t="s">
        <v>130</v>
      </c>
      <c r="CF171" s="8" t="s">
        <v>9</v>
      </c>
      <c r="CG171" s="9">
        <v>-4.8599999999999997E-3</v>
      </c>
      <c r="CH171" s="8">
        <v>0.41661763191223145</v>
      </c>
      <c r="CI171" s="8">
        <v>0.12833018600940704</v>
      </c>
      <c r="CJ171" s="8">
        <v>1.1822247505187988</v>
      </c>
      <c r="CK171" s="8">
        <v>2.6665127277374268</v>
      </c>
      <c r="CL171" s="8">
        <v>-0.19651146233081818</v>
      </c>
      <c r="CM171" s="9">
        <v>0.20340675115585327</v>
      </c>
      <c r="CN171" s="9">
        <v>1.2376681566238403</v>
      </c>
      <c r="CO171" s="9">
        <v>2.0547945499420166</v>
      </c>
      <c r="CP171" s="9">
        <v>1.3589097261428833</v>
      </c>
      <c r="CQ171" s="9">
        <v>1.8991053104400635</v>
      </c>
      <c r="CR171">
        <v>28.859316618881433</v>
      </c>
      <c r="CS171">
        <v>24.982060871755312</v>
      </c>
      <c r="CT171">
        <v>0</v>
      </c>
      <c r="CU171" s="8">
        <v>1.1552015971392392E-2</v>
      </c>
      <c r="CV171" s="9">
        <v>-0.14333993792533875</v>
      </c>
      <c r="CW171">
        <v>0.06</v>
      </c>
      <c r="CX171">
        <v>5.7006886230872373</v>
      </c>
      <c r="CY171">
        <v>1146107519.9826813</v>
      </c>
      <c r="CZ171">
        <v>1.1552015971392392E-2</v>
      </c>
      <c r="DA171">
        <v>1.9920271653386514</v>
      </c>
      <c r="DB171">
        <v>3279876004.546989</v>
      </c>
      <c r="DC171">
        <v>1.0974415172822773E-2</v>
      </c>
      <c r="DD171">
        <v>1.0695155200047588</v>
      </c>
      <c r="DE171">
        <v>6108936221.8613987</v>
      </c>
      <c r="DF171">
        <v>1.0165774054825305E-2</v>
      </c>
      <c r="DG171">
        <v>0.70552720422474635</v>
      </c>
      <c r="DH171">
        <v>9260595567.2245274</v>
      </c>
      <c r="DI171">
        <v>9.2416127771139146E-3</v>
      </c>
      <c r="DJ171">
        <v>0.44208912404712269</v>
      </c>
      <c r="DK171">
        <v>14778925208.989256</v>
      </c>
      <c r="DL171">
        <v>8.086411179974674E-3</v>
      </c>
      <c r="DM171">
        <v>1201000000</v>
      </c>
      <c r="DN171">
        <v>1.1552015971392392E-2</v>
      </c>
      <c r="DO171">
        <v>6533602100</v>
      </c>
      <c r="DP171" t="e">
        <v>#VALUE!</v>
      </c>
      <c r="DQ171">
        <v>170</v>
      </c>
      <c r="DR171" t="e">
        <v>#VALUE!</v>
      </c>
      <c r="DS171">
        <v>0.13847993792533875</v>
      </c>
      <c r="DT171" t="e">
        <v>#VALUE!</v>
      </c>
      <c r="DU171" t="e">
        <v>#VALUE!</v>
      </c>
      <c r="DV171" t="e">
        <v>#VALUE!</v>
      </c>
      <c r="DW171">
        <v>-9.4207266721717584</v>
      </c>
      <c r="DX171">
        <v>0.46213270142180052</v>
      </c>
      <c r="DY171">
        <v>-9.1355298194668926</v>
      </c>
      <c r="DZ171">
        <v>0</v>
      </c>
      <c r="EA171">
        <v>-9.1355298194668926</v>
      </c>
      <c r="EB171">
        <v>9</v>
      </c>
      <c r="EC171">
        <v>5.0455244075480214E-3</v>
      </c>
      <c r="ED171">
        <v>1.5662875533215131E-2</v>
      </c>
      <c r="EE171">
        <v>0</v>
      </c>
      <c r="EF171">
        <v>0</v>
      </c>
      <c r="EG171">
        <v>14.322132701421801</v>
      </c>
      <c r="EH171" t="s">
        <v>110</v>
      </c>
      <c r="EI171">
        <v>0</v>
      </c>
      <c r="EJ171">
        <v>0</v>
      </c>
      <c r="EK171">
        <v>0</v>
      </c>
      <c r="EL171">
        <v>0</v>
      </c>
      <c r="EM171">
        <v>0</v>
      </c>
      <c r="EN171">
        <v>0</v>
      </c>
      <c r="EO171">
        <v>0</v>
      </c>
      <c r="EP171">
        <v>0</v>
      </c>
    </row>
    <row r="172" spans="1:146" ht="96" x14ac:dyDescent="0.25">
      <c r="A172" s="7"/>
      <c r="B172" s="7"/>
      <c r="C172" s="7" t="str">
        <f>""&amp;CHAR(10)&amp;Basic_Fundamental_Information_Constructure(F172)&amp;CHAR(10)&amp;Basic_Fundamental_Information_Concatenate("")</f>
        <v xml:space="preserve">
市值297.95804亿, 利润-2.32亿; PE28.45; 平均PE-722.84; 平均PEG-950.43, PB.353; ROIC-2.3367%; ROE-14.4367%; 股利率0%; 毛利34.2133%; 净利-3.2467%; 上一年度营收增1.9%, 利润增98.2%; 当季营收增-9.88%, 利润增817.5%; 过往5年营收增.76%, 利润增-373.83%
Income profile:
</v>
      </c>
      <c r="D172" s="11">
        <v>991</v>
      </c>
      <c r="E172" t="s">
        <v>2754</v>
      </c>
      <c r="F172">
        <v>1.61</v>
      </c>
      <c r="G172" s="5">
        <v>-2.4199999999999999E-2</v>
      </c>
      <c r="H172" t="s">
        <v>8622</v>
      </c>
      <c r="I172">
        <v>29795804000</v>
      </c>
      <c r="J172">
        <v>28.45</v>
      </c>
      <c r="K172">
        <v>0.35299999999999998</v>
      </c>
      <c r="L172" t="s">
        <v>6350</v>
      </c>
      <c r="M172" t="s">
        <v>8623</v>
      </c>
      <c r="N172" t="s">
        <v>8624</v>
      </c>
      <c r="O172" t="s">
        <v>8625</v>
      </c>
      <c r="P172">
        <v>9.58</v>
      </c>
      <c r="Q172" t="s">
        <v>8626</v>
      </c>
      <c r="R172">
        <v>1141875000</v>
      </c>
      <c r="S172" s="5">
        <v>8.1750000000000007</v>
      </c>
      <c r="T172" t="s">
        <v>8627</v>
      </c>
      <c r="U172">
        <v>6110621400</v>
      </c>
      <c r="V172">
        <v>18506711000</v>
      </c>
      <c r="W172">
        <v>3.92</v>
      </c>
      <c r="X172">
        <v>0.1</v>
      </c>
      <c r="Y172">
        <v>6.95</v>
      </c>
      <c r="Z172" t="s">
        <v>8628</v>
      </c>
      <c r="AA172" t="s">
        <v>8629</v>
      </c>
      <c r="AB172" t="s">
        <v>8630</v>
      </c>
      <c r="AC172" t="s">
        <v>8631</v>
      </c>
      <c r="AD172" t="s">
        <v>1681</v>
      </c>
      <c r="AE172" t="s">
        <v>6259</v>
      </c>
      <c r="AF172" t="s">
        <v>9</v>
      </c>
      <c r="AG172" t="s">
        <v>175</v>
      </c>
      <c r="AH172" t="s">
        <v>8632</v>
      </c>
      <c r="AI172" t="s">
        <v>8633</v>
      </c>
      <c r="AJ172" t="s">
        <v>8634</v>
      </c>
      <c r="AK172" t="s">
        <v>8635</v>
      </c>
      <c r="AL172" t="s">
        <v>9</v>
      </c>
      <c r="AM172" t="s">
        <v>8636</v>
      </c>
      <c r="AN172" s="5">
        <v>0.69450000000000001</v>
      </c>
      <c r="AO172" t="s">
        <v>4529</v>
      </c>
      <c r="AP172" t="s">
        <v>8637</v>
      </c>
      <c r="AQ172" t="s">
        <v>8638</v>
      </c>
      <c r="AR172" t="s">
        <v>8639</v>
      </c>
      <c r="AS172" t="s">
        <v>8640</v>
      </c>
      <c r="AT172" t="s">
        <v>8641</v>
      </c>
      <c r="AU172" t="s">
        <v>8642</v>
      </c>
      <c r="AV172" t="s">
        <v>8643</v>
      </c>
      <c r="AW172" t="s">
        <v>2373</v>
      </c>
      <c r="AX172" t="s">
        <v>2755</v>
      </c>
      <c r="AY172" t="s">
        <v>2758</v>
      </c>
      <c r="AZ172" t="s">
        <v>2759</v>
      </c>
      <c r="BA172" t="s">
        <v>2760</v>
      </c>
      <c r="BB172" t="s">
        <v>2761</v>
      </c>
      <c r="BC172" t="s">
        <v>8644</v>
      </c>
      <c r="BD172" t="s">
        <v>1233</v>
      </c>
      <c r="BE172" t="s">
        <v>2762</v>
      </c>
      <c r="BF172" t="s">
        <v>1275</v>
      </c>
      <c r="BG172" t="s">
        <v>2763</v>
      </c>
      <c r="BH172" t="s">
        <v>2755</v>
      </c>
      <c r="BI172" t="s">
        <v>2764</v>
      </c>
      <c r="BJ172" t="s">
        <v>2758</v>
      </c>
      <c r="BK172" t="s">
        <v>2756</v>
      </c>
      <c r="BL172" t="s">
        <v>6265</v>
      </c>
      <c r="BM172" t="s">
        <v>8644</v>
      </c>
      <c r="BN172">
        <v>-0.12</v>
      </c>
      <c r="BO172">
        <v>-0.92</v>
      </c>
      <c r="BP172">
        <v>-5.97</v>
      </c>
      <c r="BQ172">
        <v>-0.78</v>
      </c>
      <c r="BR172">
        <v>-6.14</v>
      </c>
      <c r="BS172">
        <v>-36.39</v>
      </c>
      <c r="BT172" t="s">
        <v>8645</v>
      </c>
      <c r="BU172" t="s">
        <v>392</v>
      </c>
      <c r="BV172">
        <v>39.020000000000003</v>
      </c>
      <c r="BW172">
        <v>34.43</v>
      </c>
      <c r="BX172">
        <v>29.19</v>
      </c>
      <c r="BY172">
        <v>2.56</v>
      </c>
      <c r="BZ172">
        <v>-0.68</v>
      </c>
      <c r="CA172">
        <v>-11.62</v>
      </c>
      <c r="CB172">
        <v>-4.7300000000000004</v>
      </c>
      <c r="CC172">
        <v>-4.17</v>
      </c>
      <c r="CD172" t="s">
        <v>8646</v>
      </c>
      <c r="CE172" t="s">
        <v>1343</v>
      </c>
      <c r="CF172" s="8">
        <v>-9.8785447351066064E-2</v>
      </c>
      <c r="CG172" s="9">
        <v>8.1750000000000007</v>
      </c>
      <c r="CH172" s="8">
        <v>1.9016403704881668E-2</v>
      </c>
      <c r="CI172" s="8">
        <v>4.0059037506580353E-2</v>
      </c>
      <c r="CJ172" s="8">
        <v>0.11534282565116882</v>
      </c>
      <c r="CK172" s="8">
        <v>5.6849703192710876E-2</v>
      </c>
      <c r="CL172" s="8">
        <v>5.3542591631412506E-2</v>
      </c>
      <c r="CM172" s="9">
        <v>0.98202532529830933</v>
      </c>
      <c r="CN172" s="9">
        <v>-6.9179277420043945</v>
      </c>
      <c r="CO172" s="9">
        <v>3.9908466339111328</v>
      </c>
      <c r="CP172" s="9">
        <v>-0.68852460384368896</v>
      </c>
      <c r="CQ172" s="9">
        <v>-0.21707585453987122</v>
      </c>
      <c r="CR172">
        <v>-722.84442949313302</v>
      </c>
      <c r="CS172">
        <v>-950.43267061182019</v>
      </c>
      <c r="CT172">
        <v>0</v>
      </c>
      <c r="CU172" s="8">
        <v>7.6054248958826063E-3</v>
      </c>
      <c r="CV172" s="9">
        <v>-3.738313976675272</v>
      </c>
      <c r="CW172">
        <v>0.06</v>
      </c>
      <c r="CX172" t="e">
        <v>#VALUE!</v>
      </c>
      <c r="CY172" t="s">
        <v>108</v>
      </c>
      <c r="CZ172">
        <v>7.6054248958826063E-3</v>
      </c>
      <c r="DA172" t="e">
        <v>#VALUE!</v>
      </c>
      <c r="DB172" t="s">
        <v>108</v>
      </c>
      <c r="DC172">
        <v>7.2251536510884755E-3</v>
      </c>
      <c r="DD172" t="e">
        <v>#VALUE!</v>
      </c>
      <c r="DE172" t="s">
        <v>108</v>
      </c>
      <c r="DF172">
        <v>6.6927739083766933E-3</v>
      </c>
      <c r="DG172" t="e">
        <v>#VALUE!</v>
      </c>
      <c r="DH172" t="s">
        <v>108</v>
      </c>
      <c r="DI172">
        <v>6.0843399167060854E-3</v>
      </c>
      <c r="DJ172" t="e">
        <v>#VALUE!</v>
      </c>
      <c r="DK172" t="s">
        <v>108</v>
      </c>
      <c r="DL172">
        <v>5.3237974271178245E-3</v>
      </c>
      <c r="DM172">
        <v>-231999999.99999997</v>
      </c>
      <c r="DN172">
        <v>7.6054248958826063E-3</v>
      </c>
      <c r="DO172">
        <v>158249804000</v>
      </c>
      <c r="DP172" t="e">
        <v>#VALUE!</v>
      </c>
      <c r="DQ172">
        <v>171</v>
      </c>
      <c r="DR172">
        <v>-0.10639087224694867</v>
      </c>
      <c r="DS172">
        <v>11.913313976675273</v>
      </c>
      <c r="DT172">
        <v>-0.3066666666666667</v>
      </c>
      <c r="DU172">
        <v>-0.54999999999999993</v>
      </c>
      <c r="DV172">
        <v>-0.85666666666666669</v>
      </c>
      <c r="DW172">
        <v>-4.8816067653276951</v>
      </c>
      <c r="DX172">
        <v>0.40194098650306825</v>
      </c>
      <c r="DY172">
        <v>-4.0986879310185609</v>
      </c>
      <c r="DZ172">
        <v>0</v>
      </c>
      <c r="EA172">
        <v>-4.0986879310185609</v>
      </c>
      <c r="EB172">
        <v>4</v>
      </c>
      <c r="EC172">
        <v>4.9296657844821803E-3</v>
      </c>
      <c r="ED172">
        <v>4.4038078943362764E-2</v>
      </c>
      <c r="EE172">
        <v>0</v>
      </c>
      <c r="EF172">
        <v>0</v>
      </c>
      <c r="EG172">
        <v>29.111940986503068</v>
      </c>
      <c r="EH172" t="s">
        <v>110</v>
      </c>
      <c r="EI172">
        <v>0</v>
      </c>
      <c r="EJ172">
        <v>0</v>
      </c>
      <c r="EK172">
        <v>0</v>
      </c>
      <c r="EL172">
        <v>0</v>
      </c>
      <c r="EM172">
        <v>0</v>
      </c>
      <c r="EN172">
        <v>0</v>
      </c>
      <c r="EO172">
        <v>0</v>
      </c>
      <c r="EP172">
        <v>0</v>
      </c>
    </row>
    <row r="173" spans="1:146" ht="96" x14ac:dyDescent="0.25">
      <c r="A173" s="7"/>
      <c r="B173" s="7"/>
      <c r="C173" s="7" t="str">
        <f>""&amp;CHAR(10)&amp;Basic_Fundamental_Information_Constructure(F173)&amp;CHAR(10)&amp;Basic_Fundamental_Information_Concatenate("")</f>
        <v xml:space="preserve">
市值1386.8409亿, 利润126.24亿; PE17.54; 平均PE67.43; 平均PEG4.84, PB3.17; ROIC19.3767%; ROE34.1833%; 毛利16.6167%; 净利2.6233%; 上一年度营收增-13.27%, 利润增37.8%; 当季营收增-23.12%, 利润增-48.93%; 过往5年营收增13.93%, 利润增-256.19%
Income profile:
</v>
      </c>
      <c r="D173" s="11">
        <v>992</v>
      </c>
      <c r="E173" t="s">
        <v>2767</v>
      </c>
      <c r="F173">
        <v>11.18</v>
      </c>
      <c r="G173" s="5">
        <v>-1.7600000000000001E-2</v>
      </c>
      <c r="H173" t="s">
        <v>8647</v>
      </c>
      <c r="I173">
        <v>138684090000</v>
      </c>
      <c r="J173">
        <v>17.54</v>
      </c>
      <c r="K173">
        <v>3.17</v>
      </c>
      <c r="L173" t="s">
        <v>6350</v>
      </c>
      <c r="M173" t="s">
        <v>8648</v>
      </c>
      <c r="N173" t="s">
        <v>8649</v>
      </c>
      <c r="O173" t="s">
        <v>8650</v>
      </c>
      <c r="P173">
        <v>-23.92</v>
      </c>
      <c r="Q173" t="s">
        <v>8651</v>
      </c>
      <c r="R173">
        <v>5958090200</v>
      </c>
      <c r="S173" s="5">
        <v>-0.48930000000000001</v>
      </c>
      <c r="T173" t="s">
        <v>8652</v>
      </c>
      <c r="U173">
        <v>12404659300</v>
      </c>
      <c r="V173">
        <v>12404659300</v>
      </c>
      <c r="W173">
        <v>7.01</v>
      </c>
      <c r="X173">
        <v>0.34</v>
      </c>
      <c r="Y173">
        <v>1.8</v>
      </c>
      <c r="Z173" t="s">
        <v>8653</v>
      </c>
      <c r="AA173" t="s">
        <v>8654</v>
      </c>
      <c r="AB173" t="s">
        <v>8655</v>
      </c>
      <c r="AC173" t="s">
        <v>8656</v>
      </c>
      <c r="AD173" t="s">
        <v>8657</v>
      </c>
      <c r="AE173" t="s">
        <v>1756</v>
      </c>
      <c r="AF173" t="s">
        <v>9</v>
      </c>
      <c r="AG173" t="s">
        <v>8658</v>
      </c>
      <c r="AH173" t="s">
        <v>8659</v>
      </c>
      <c r="AI173" t="s">
        <v>8660</v>
      </c>
      <c r="AJ173" t="s">
        <v>8661</v>
      </c>
      <c r="AK173" t="s">
        <v>8662</v>
      </c>
      <c r="AL173" t="s">
        <v>9</v>
      </c>
      <c r="AM173" t="s">
        <v>8663</v>
      </c>
      <c r="AN173" s="5">
        <v>0.84530000000000005</v>
      </c>
      <c r="AO173" t="s">
        <v>6411</v>
      </c>
      <c r="AP173" t="s">
        <v>8664</v>
      </c>
      <c r="AQ173" t="s">
        <v>8665</v>
      </c>
      <c r="AR173" t="s">
        <v>8666</v>
      </c>
      <c r="AS173" t="s">
        <v>8667</v>
      </c>
      <c r="AT173" t="s">
        <v>8668</v>
      </c>
      <c r="AU173" t="s">
        <v>8669</v>
      </c>
      <c r="AV173" t="s">
        <v>8670</v>
      </c>
      <c r="AW173" t="s">
        <v>8671</v>
      </c>
      <c r="AX173" t="s">
        <v>2768</v>
      </c>
      <c r="AY173" t="s">
        <v>2770</v>
      </c>
      <c r="AZ173" t="s">
        <v>2771</v>
      </c>
      <c r="BA173" t="s">
        <v>2772</v>
      </c>
      <c r="BB173" t="s">
        <v>2773</v>
      </c>
      <c r="BC173" t="s">
        <v>2774</v>
      </c>
      <c r="BD173" t="s">
        <v>2775</v>
      </c>
      <c r="BE173" t="s">
        <v>2776</v>
      </c>
      <c r="BF173" t="s">
        <v>2777</v>
      </c>
      <c r="BG173" t="s">
        <v>2778</v>
      </c>
      <c r="BH173" t="s">
        <v>2768</v>
      </c>
      <c r="BI173" t="s">
        <v>2779</v>
      </c>
      <c r="BJ173" t="s">
        <v>2770</v>
      </c>
      <c r="BK173" t="s">
        <v>2769</v>
      </c>
      <c r="BL173" t="s">
        <v>2780</v>
      </c>
      <c r="BM173" t="s">
        <v>2774</v>
      </c>
      <c r="BN173">
        <v>17.850000000000001</v>
      </c>
      <c r="BO173">
        <v>25.22</v>
      </c>
      <c r="BP173">
        <v>15.06</v>
      </c>
      <c r="BQ173">
        <v>28.77</v>
      </c>
      <c r="BR173">
        <v>40.67</v>
      </c>
      <c r="BS173">
        <v>33.11</v>
      </c>
      <c r="BT173" t="s">
        <v>8672</v>
      </c>
      <c r="BU173" t="s">
        <v>1093</v>
      </c>
      <c r="BV173">
        <v>16.95</v>
      </c>
      <c r="BW173">
        <v>16.82</v>
      </c>
      <c r="BX173">
        <v>16.079999999999998</v>
      </c>
      <c r="BY173">
        <v>2.71</v>
      </c>
      <c r="BZ173">
        <v>3</v>
      </c>
      <c r="CA173">
        <v>2.16</v>
      </c>
      <c r="CB173">
        <v>-7.14</v>
      </c>
      <c r="CC173">
        <v>9.18</v>
      </c>
      <c r="CD173" t="s">
        <v>1157</v>
      </c>
      <c r="CE173" t="s">
        <v>8673</v>
      </c>
      <c r="CF173" s="8">
        <v>-0.23123607297948887</v>
      </c>
      <c r="CG173" s="9">
        <v>-0.48930000000000001</v>
      </c>
      <c r="CH173" s="8">
        <v>-0.13272008299827576</v>
      </c>
      <c r="CI173" s="8">
        <v>0.18754278123378754</v>
      </c>
      <c r="CJ173" s="8">
        <v>0.20077547430992126</v>
      </c>
      <c r="CK173" s="8">
        <v>0.10493829846382141</v>
      </c>
      <c r="CL173" s="8">
        <v>6.4513407647609711E-2</v>
      </c>
      <c r="CM173" s="9">
        <v>0.37801551818847656</v>
      </c>
      <c r="CN173" s="9">
        <v>0.77607595920562744</v>
      </c>
      <c r="CO173" s="9">
        <v>0.1019013449549675</v>
      </c>
      <c r="CP173" s="9">
        <v>4.1500673294067383</v>
      </c>
      <c r="CQ173" s="9">
        <v>-1.3573833703994751</v>
      </c>
      <c r="CR173">
        <v>67.426176275680334</v>
      </c>
      <c r="CS173">
        <v>4.8417820162831253</v>
      </c>
      <c r="CT173" t="e">
        <v>#VALUE!</v>
      </c>
      <c r="CU173" s="8">
        <v>0.13925900845788419</v>
      </c>
      <c r="CV173" s="9">
        <v>-2.5619053661823274</v>
      </c>
      <c r="CW173">
        <v>0.06</v>
      </c>
      <c r="CX173">
        <v>25.358996681701818</v>
      </c>
      <c r="CY173">
        <v>13567929927.143705</v>
      </c>
      <c r="CZ173">
        <v>0.13925900845788419</v>
      </c>
      <c r="DA173">
        <v>7.9504040438768468</v>
      </c>
      <c r="DB173">
        <v>43276931348.538353</v>
      </c>
      <c r="DC173">
        <v>0.13229605803498998</v>
      </c>
      <c r="DD173">
        <v>3.6988876650396851</v>
      </c>
      <c r="DE173">
        <v>93019610531.023926</v>
      </c>
      <c r="DF173">
        <v>0.12254792744293809</v>
      </c>
      <c r="DG173">
        <v>2.0812199048145716</v>
      </c>
      <c r="DH173">
        <v>165320872246.15274</v>
      </c>
      <c r="DI173">
        <v>0.11140720676630736</v>
      </c>
      <c r="DJ173">
        <v>0.9274212799127014</v>
      </c>
      <c r="DK173">
        <v>370995466086.76843</v>
      </c>
      <c r="DL173">
        <v>9.7481305920518929E-2</v>
      </c>
      <c r="DM173">
        <v>12624000000</v>
      </c>
      <c r="DN173">
        <v>0.13925900845788419</v>
      </c>
      <c r="DO173">
        <v>344069090000</v>
      </c>
      <c r="DP173" t="e">
        <v>#VALUE!</v>
      </c>
      <c r="DQ173">
        <v>172</v>
      </c>
      <c r="DR173">
        <v>-0.37049508143737309</v>
      </c>
      <c r="DS173">
        <v>2.0726053661823274</v>
      </c>
      <c r="DT173">
        <v>-0.62333333333333341</v>
      </c>
      <c r="DU173">
        <v>-0.47833333333333355</v>
      </c>
      <c r="DV173">
        <v>-1.101666666666667</v>
      </c>
      <c r="DW173">
        <v>-7.4375</v>
      </c>
      <c r="DX173">
        <v>0.36467975407386333</v>
      </c>
      <c r="DY173">
        <v>-7.0545473924073159</v>
      </c>
      <c r="DZ173">
        <v>0</v>
      </c>
      <c r="EA173">
        <v>-7.0545473924073159</v>
      </c>
      <c r="EB173">
        <v>7</v>
      </c>
      <c r="EC173">
        <v>2.3539542113824925E-2</v>
      </c>
      <c r="ED173">
        <v>0.18880002613211633</v>
      </c>
      <c r="EE173">
        <v>0</v>
      </c>
      <c r="EF173">
        <v>0</v>
      </c>
      <c r="EG173">
        <v>24.124679754073863</v>
      </c>
      <c r="EH173" t="s">
        <v>110</v>
      </c>
      <c r="EI173">
        <v>0</v>
      </c>
      <c r="EJ173">
        <v>0</v>
      </c>
      <c r="EK173">
        <v>0</v>
      </c>
      <c r="EL173">
        <v>0</v>
      </c>
      <c r="EM173">
        <v>0</v>
      </c>
      <c r="EN173">
        <v>0</v>
      </c>
      <c r="EO173">
        <v>0</v>
      </c>
      <c r="EP173">
        <v>0</v>
      </c>
    </row>
    <row r="174" spans="1:146" ht="96" x14ac:dyDescent="0.25">
      <c r="A174" s="7"/>
      <c r="B174" s="7"/>
      <c r="C174" s="7" t="str">
        <f>""&amp;CHAR(10)&amp;Basic_Fundamental_Information_Constructure(F174)&amp;CHAR(10)&amp;Basic_Fundamental_Information_Concatenate("")</f>
        <v xml:space="preserve">
市值153.91901亿, 利润18.17亿; PE8.61; 平均PE112.98; 平均PEG.26, PB1.09; ROIC9.0033%; ROE12.7967%; 股利率0%; 毛利46.3467%; 净利30.2567%; 上一年度营收增23.77%, 利润增-1.84%; 当季营收增16.67%, 利润增-5.59%; 过往5年营收增437.2%, 利润增-188.41%
Income profile:
</v>
      </c>
      <c r="D174" s="11">
        <v>995</v>
      </c>
      <c r="E174" t="s">
        <v>2782</v>
      </c>
      <c r="F174">
        <v>9.2799999999999994</v>
      </c>
      <c r="G174" s="5">
        <v>-1.0699999999999999E-2</v>
      </c>
      <c r="H174" t="s">
        <v>8674</v>
      </c>
      <c r="I174">
        <v>15391901000</v>
      </c>
      <c r="J174">
        <v>8.61</v>
      </c>
      <c r="K174">
        <v>1.0900000000000001</v>
      </c>
      <c r="L174" t="s">
        <v>6350</v>
      </c>
      <c r="M174" t="s">
        <v>8675</v>
      </c>
      <c r="N174" t="s">
        <v>8676</v>
      </c>
      <c r="O174" t="s">
        <v>957</v>
      </c>
      <c r="P174">
        <v>12.38</v>
      </c>
      <c r="Q174" t="s">
        <v>8677</v>
      </c>
      <c r="R174">
        <v>1817199200</v>
      </c>
      <c r="S174" s="5">
        <v>-5.5899999999999998E-2</v>
      </c>
      <c r="T174" t="s">
        <v>1151</v>
      </c>
      <c r="U174">
        <v>493010000</v>
      </c>
      <c r="V174">
        <v>1658610000</v>
      </c>
      <c r="W174">
        <v>1.73</v>
      </c>
      <c r="X174">
        <v>0.06</v>
      </c>
      <c r="Y174">
        <v>49</v>
      </c>
      <c r="Z174" t="s">
        <v>2056</v>
      </c>
      <c r="AA174" t="s">
        <v>226</v>
      </c>
      <c r="AB174" t="s">
        <v>9</v>
      </c>
      <c r="AC174" t="s">
        <v>8678</v>
      </c>
      <c r="AD174" t="s">
        <v>9</v>
      </c>
      <c r="AE174" t="s">
        <v>8679</v>
      </c>
      <c r="AF174" t="s">
        <v>9</v>
      </c>
      <c r="AG174" t="s">
        <v>8680</v>
      </c>
      <c r="AH174" t="s">
        <v>8681</v>
      </c>
      <c r="AI174" t="s">
        <v>4548</v>
      </c>
      <c r="AJ174" t="s">
        <v>9</v>
      </c>
      <c r="AK174" t="s">
        <v>8682</v>
      </c>
      <c r="AL174" t="s">
        <v>9</v>
      </c>
      <c r="AM174" t="s">
        <v>5587</v>
      </c>
      <c r="AN174" s="5">
        <v>0.35539999999999999</v>
      </c>
      <c r="AO174" t="s">
        <v>9</v>
      </c>
      <c r="AP174" t="s">
        <v>1142</v>
      </c>
      <c r="AQ174" t="s">
        <v>2069</v>
      </c>
      <c r="AR174" t="s">
        <v>8683</v>
      </c>
      <c r="AS174" t="s">
        <v>2033</v>
      </c>
      <c r="AT174" t="s">
        <v>8684</v>
      </c>
      <c r="AU174" t="s">
        <v>1970</v>
      </c>
      <c r="AV174" t="s">
        <v>8685</v>
      </c>
      <c r="AW174" t="s">
        <v>6163</v>
      </c>
      <c r="AX174" t="s">
        <v>2783</v>
      </c>
      <c r="AY174" t="s">
        <v>2790</v>
      </c>
      <c r="AZ174" t="s">
        <v>2791</v>
      </c>
      <c r="BA174" t="s">
        <v>2792</v>
      </c>
      <c r="BB174" t="s">
        <v>2793</v>
      </c>
      <c r="BC174" t="s">
        <v>2794</v>
      </c>
      <c r="BD174" t="s">
        <v>211</v>
      </c>
      <c r="BE174" t="s">
        <v>2795</v>
      </c>
      <c r="BF174" t="s">
        <v>429</v>
      </c>
      <c r="BG174" t="s">
        <v>2796</v>
      </c>
      <c r="BH174" t="s">
        <v>2783</v>
      </c>
      <c r="BI174" t="s">
        <v>2797</v>
      </c>
      <c r="BJ174" t="s">
        <v>2790</v>
      </c>
      <c r="BK174" t="s">
        <v>2784</v>
      </c>
      <c r="BL174" t="s">
        <v>2798</v>
      </c>
      <c r="BM174" t="s">
        <v>2794</v>
      </c>
      <c r="BN174">
        <v>8.7799999999999994</v>
      </c>
      <c r="BO174">
        <v>8.24</v>
      </c>
      <c r="BP174">
        <v>9.99</v>
      </c>
      <c r="BQ174">
        <v>13.07</v>
      </c>
      <c r="BR174">
        <v>12.09</v>
      </c>
      <c r="BS174">
        <v>13.23</v>
      </c>
      <c r="BT174" t="s">
        <v>8686</v>
      </c>
      <c r="BU174" t="s">
        <v>687</v>
      </c>
      <c r="BV174">
        <v>39.11</v>
      </c>
      <c r="BW174">
        <v>42.68</v>
      </c>
      <c r="BX174">
        <v>57.25</v>
      </c>
      <c r="BY174">
        <v>25.28</v>
      </c>
      <c r="BZ174">
        <v>27.19</v>
      </c>
      <c r="CA174">
        <v>38.299999999999997</v>
      </c>
      <c r="CB174">
        <v>-5.79</v>
      </c>
      <c r="CC174">
        <v>-0.53</v>
      </c>
      <c r="CD174" t="s">
        <v>8687</v>
      </c>
      <c r="CE174" t="s">
        <v>8688</v>
      </c>
      <c r="CF174" s="8">
        <v>0.16666666666666666</v>
      </c>
      <c r="CG174" s="9">
        <v>-5.5899999999999998E-2</v>
      </c>
      <c r="CH174" s="8">
        <v>0.23769798874855042</v>
      </c>
      <c r="CI174" s="8">
        <v>0.19031207263469696</v>
      </c>
      <c r="CJ174" s="8">
        <v>0.37284371256828308</v>
      </c>
      <c r="CK174" s="8">
        <v>-0.18558810651302338</v>
      </c>
      <c r="CL174" s="8">
        <v>-0.14576072990894318</v>
      </c>
      <c r="CM174" s="9">
        <v>-1.8368449062108994E-2</v>
      </c>
      <c r="CN174" s="9">
        <v>0.79013544321060181</v>
      </c>
      <c r="CO174" s="9">
        <v>-0.15106731653213501</v>
      </c>
      <c r="CP174" s="9">
        <v>-4.0944881737232208E-2</v>
      </c>
      <c r="CQ174" s="9">
        <v>-2.2324914112687111E-2</v>
      </c>
      <c r="CR174">
        <v>112.98013194801936</v>
      </c>
      <c r="CS174">
        <v>0.25841896901599121</v>
      </c>
      <c r="CT174">
        <v>0</v>
      </c>
      <c r="CU174" s="8">
        <v>4.3719751834869385</v>
      </c>
      <c r="CV174" s="9">
        <v>-1.8840570598840714</v>
      </c>
      <c r="CW174">
        <v>0.06</v>
      </c>
      <c r="CX174">
        <v>0.90427461941034037</v>
      </c>
      <c r="CY174">
        <v>9208376328.6752529</v>
      </c>
      <c r="CZ174">
        <v>4.3719751834869385</v>
      </c>
      <c r="DA174">
        <v>3.1956283081133886E-2</v>
      </c>
      <c r="DB174">
        <v>260571637160.01675</v>
      </c>
      <c r="DC174">
        <v>4.153376424312591</v>
      </c>
      <c r="DD174">
        <v>3.9158136379535539E-4</v>
      </c>
      <c r="DE174">
        <v>21264804124722.672</v>
      </c>
      <c r="DF174">
        <v>3.8473381614685058</v>
      </c>
      <c r="DG174">
        <v>1.8521329817811093E-6</v>
      </c>
      <c r="DH174">
        <v>4495844025191113.5</v>
      </c>
      <c r="DI174">
        <v>3.4975801467895509</v>
      </c>
      <c r="DJ174">
        <v>7.3200869420661557E-12</v>
      </c>
      <c r="DK174">
        <v>1.1375412704660669E+21</v>
      </c>
      <c r="DL174">
        <v>3.0603826284408568</v>
      </c>
      <c r="DM174">
        <v>1817000000.0000002</v>
      </c>
      <c r="DN174">
        <v>4.3719751834869385</v>
      </c>
      <c r="DO174">
        <v>8326901000.0000019</v>
      </c>
      <c r="DP174" t="e">
        <v>#VALUE!</v>
      </c>
      <c r="DQ174">
        <v>173</v>
      </c>
      <c r="DR174">
        <v>-4.2053085168202715</v>
      </c>
      <c r="DS174">
        <v>1.8281570598840713</v>
      </c>
      <c r="DT174">
        <v>-0.38150000000000012</v>
      </c>
      <c r="DU174">
        <v>-0.5</v>
      </c>
      <c r="DV174">
        <v>-0.88150000000000017</v>
      </c>
      <c r="DW174">
        <v>-4.0915371329879102</v>
      </c>
      <c r="DX174">
        <v>0.27074369713474755</v>
      </c>
      <c r="DY174">
        <v>-4.0101371605321958</v>
      </c>
      <c r="DZ174">
        <v>0</v>
      </c>
      <c r="EA174">
        <v>-4.0101371605321958</v>
      </c>
      <c r="EB174">
        <v>4</v>
      </c>
      <c r="EC174">
        <v>4.7853925877692771E-3</v>
      </c>
      <c r="ED174">
        <v>4.3211424023730717E-2</v>
      </c>
      <c r="EE174">
        <v>0</v>
      </c>
      <c r="EF174">
        <v>0</v>
      </c>
      <c r="EG174">
        <v>16.110743697134748</v>
      </c>
      <c r="EH174" t="s">
        <v>110</v>
      </c>
      <c r="EI174">
        <v>0</v>
      </c>
      <c r="EJ174">
        <v>0</v>
      </c>
      <c r="EK174">
        <v>0</v>
      </c>
      <c r="EL174">
        <v>0</v>
      </c>
      <c r="EM174">
        <v>0</v>
      </c>
      <c r="EN174">
        <v>0</v>
      </c>
      <c r="EO174">
        <v>0</v>
      </c>
      <c r="EP174">
        <v>0</v>
      </c>
    </row>
    <row r="175" spans="1:146" ht="96" x14ac:dyDescent="0.25">
      <c r="A175" s="7"/>
      <c r="B175" s="7"/>
      <c r="C175" s="7" t="str">
        <f>""&amp;CHAR(10)&amp;Basic_Fundamental_Information_Constructure(F175)&amp;CHAR(10)&amp;Basic_Fundamental_Information_Concatenate("")</f>
        <v xml:space="preserve">
市值2662.1357亿, 利润682.14亿; PE3.97; 平均PE23.46; 平均PEG4.01, PB.322; ROIC0%; ROE8.5633%; 毛利0%; 净利33.06%; 上一年度营收增-7.29%, 利润增5.85%; 当季营收增-18.4%, 利润增-5.4%; 过往5年营收增5.85%, 利润增-64.44%
Income profile:
</v>
      </c>
      <c r="D175" s="11">
        <v>998</v>
      </c>
      <c r="E175" t="s">
        <v>2799</v>
      </c>
      <c r="F175">
        <v>4.9800000000000004</v>
      </c>
      <c r="G175" s="5">
        <v>2E-3</v>
      </c>
      <c r="H175" t="s">
        <v>8689</v>
      </c>
      <c r="I175">
        <v>266213570000</v>
      </c>
      <c r="J175">
        <v>3.97</v>
      </c>
      <c r="K175">
        <v>0.32200000000000001</v>
      </c>
      <c r="L175" t="s">
        <v>6350</v>
      </c>
      <c r="M175" t="s">
        <v>8690</v>
      </c>
      <c r="N175" t="s">
        <v>8691</v>
      </c>
      <c r="O175" t="s">
        <v>8692</v>
      </c>
      <c r="P175" t="s">
        <v>9</v>
      </c>
      <c r="Q175" t="s">
        <v>8693</v>
      </c>
      <c r="R175">
        <v>68214334000</v>
      </c>
      <c r="S175" s="5">
        <v>-5.3999999999999999E-2</v>
      </c>
      <c r="T175" t="s">
        <v>8694</v>
      </c>
      <c r="U175">
        <v>14882163000</v>
      </c>
      <c r="V175">
        <v>53292771000</v>
      </c>
      <c r="W175">
        <v>11.82</v>
      </c>
      <c r="X175">
        <v>0.01</v>
      </c>
      <c r="Y175">
        <v>29.31</v>
      </c>
      <c r="Z175" t="s">
        <v>9</v>
      </c>
      <c r="AA175" t="s">
        <v>9</v>
      </c>
      <c r="AB175" t="s">
        <v>9</v>
      </c>
      <c r="AC175" t="s">
        <v>9</v>
      </c>
      <c r="AD175" t="s">
        <v>9</v>
      </c>
      <c r="AE175" t="s">
        <v>9</v>
      </c>
      <c r="AF175" t="s">
        <v>9</v>
      </c>
      <c r="AG175" t="s">
        <v>3689</v>
      </c>
      <c r="AH175" t="s">
        <v>8695</v>
      </c>
      <c r="AI175" t="s">
        <v>9</v>
      </c>
      <c r="AJ175" t="s">
        <v>9</v>
      </c>
      <c r="AK175" t="s">
        <v>8696</v>
      </c>
      <c r="AL175" t="s">
        <v>9</v>
      </c>
      <c r="AM175" t="s">
        <v>8697</v>
      </c>
      <c r="AN175" s="5">
        <v>0.91349999999999998</v>
      </c>
      <c r="AO175" t="s">
        <v>9</v>
      </c>
      <c r="AP175" t="s">
        <v>9</v>
      </c>
      <c r="AQ175" t="s">
        <v>9</v>
      </c>
      <c r="AR175" t="s">
        <v>9</v>
      </c>
      <c r="AS175" t="s">
        <v>9</v>
      </c>
      <c r="AT175" t="s">
        <v>9</v>
      </c>
      <c r="AU175" t="s">
        <v>8698</v>
      </c>
      <c r="AV175" t="s">
        <v>8699</v>
      </c>
      <c r="AW175" t="s">
        <v>2843</v>
      </c>
      <c r="AX175" t="s">
        <v>2800</v>
      </c>
      <c r="AY175" t="s">
        <v>2803</v>
      </c>
      <c r="AZ175" t="s">
        <v>2804</v>
      </c>
      <c r="BA175" t="s">
        <v>2805</v>
      </c>
      <c r="BB175" t="s">
        <v>2806</v>
      </c>
      <c r="BC175" t="s">
        <v>2807</v>
      </c>
      <c r="BD175" t="s">
        <v>8700</v>
      </c>
      <c r="BE175" t="s">
        <v>2808</v>
      </c>
      <c r="BF175" t="s">
        <v>2809</v>
      </c>
      <c r="BG175" t="s">
        <v>2810</v>
      </c>
      <c r="BH175" t="s">
        <v>2800</v>
      </c>
      <c r="BI175" t="s">
        <v>2811</v>
      </c>
      <c r="BJ175" t="s">
        <v>2803</v>
      </c>
      <c r="BK175" t="s">
        <v>2801</v>
      </c>
      <c r="BL175" t="s">
        <v>2812</v>
      </c>
      <c r="BM175" t="s">
        <v>2807</v>
      </c>
      <c r="BN175" t="s">
        <v>9</v>
      </c>
      <c r="BO175" t="s">
        <v>9</v>
      </c>
      <c r="BP175" t="s">
        <v>9</v>
      </c>
      <c r="BQ175">
        <v>8.68</v>
      </c>
      <c r="BR175">
        <v>8.61</v>
      </c>
      <c r="BS175">
        <v>8.4</v>
      </c>
      <c r="BT175" t="s">
        <v>8701</v>
      </c>
      <c r="BU175" t="s">
        <v>422</v>
      </c>
      <c r="BV175" t="s">
        <v>9</v>
      </c>
      <c r="BW175" t="s">
        <v>9</v>
      </c>
      <c r="BX175" t="s">
        <v>9</v>
      </c>
      <c r="BY175">
        <v>36.9</v>
      </c>
      <c r="BZ175">
        <v>32.56</v>
      </c>
      <c r="CA175">
        <v>29.72</v>
      </c>
      <c r="CB175">
        <v>-1.19</v>
      </c>
      <c r="CC175">
        <v>2.0499999999999998</v>
      </c>
      <c r="CD175" t="s">
        <v>254</v>
      </c>
      <c r="CE175" t="s">
        <v>6314</v>
      </c>
      <c r="CF175" s="8">
        <v>-0.18397586322494133</v>
      </c>
      <c r="CG175" s="9">
        <v>-5.3999999999999999E-2</v>
      </c>
      <c r="CH175" s="8">
        <v>-7.286401093006134E-2</v>
      </c>
      <c r="CI175" s="8">
        <v>-6.0956709086894989E-2</v>
      </c>
      <c r="CJ175" s="8">
        <v>6.2157239764928818E-2</v>
      </c>
      <c r="CK175" s="8">
        <v>0.2254527360200882</v>
      </c>
      <c r="CL175" s="8">
        <v>-3.0212005600333214E-2</v>
      </c>
      <c r="CM175" s="9">
        <v>5.8451145887374878E-2</v>
      </c>
      <c r="CN175" s="9">
        <v>0.176211878657341</v>
      </c>
      <c r="CO175" s="9">
        <v>2.1152831614017487E-2</v>
      </c>
      <c r="CP175" s="9">
        <v>5.8678515255451202E-2</v>
      </c>
      <c r="CQ175" s="9">
        <v>-6.8388399668037891E-3</v>
      </c>
      <c r="CR175">
        <v>23.462665610036812</v>
      </c>
      <c r="CS175">
        <v>4.014011874197001</v>
      </c>
      <c r="CT175" t="e">
        <v>#VALUE!</v>
      </c>
      <c r="CU175" s="8">
        <v>5.8451908826828006E-2</v>
      </c>
      <c r="CV175" s="9">
        <v>-0.64435662180185316</v>
      </c>
      <c r="CW175">
        <v>0.06</v>
      </c>
      <c r="CX175">
        <v>122.68684038059817</v>
      </c>
      <c r="CY175">
        <v>68114375951.616272</v>
      </c>
      <c r="CZ175">
        <v>5.8451908826828006E-2</v>
      </c>
      <c r="DA175">
        <v>41.182294457835518</v>
      </c>
      <c r="DB175">
        <v>202920640532.93689</v>
      </c>
      <c r="DC175">
        <v>5.5529313385486605E-2</v>
      </c>
      <c r="DD175">
        <v>21.003829634714371</v>
      </c>
      <c r="DE175">
        <v>397867327784.27637</v>
      </c>
      <c r="DF175">
        <v>5.1437679767608643E-2</v>
      </c>
      <c r="DG175">
        <v>13.118976299146386</v>
      </c>
      <c r="DH175">
        <v>636996163377.75903</v>
      </c>
      <c r="DI175">
        <v>4.6761527061462409E-2</v>
      </c>
      <c r="DJ175">
        <v>7.3722191790472538</v>
      </c>
      <c r="DK175">
        <v>1133544373416.1985</v>
      </c>
      <c r="DL175">
        <v>4.09163361787796E-2</v>
      </c>
      <c r="DM175">
        <v>68214000000</v>
      </c>
      <c r="DN175">
        <v>5.8451908826828006E-2</v>
      </c>
      <c r="DO175">
        <v>8356737570000</v>
      </c>
      <c r="DP175" t="e">
        <v>#VALUE!</v>
      </c>
      <c r="DQ175">
        <v>174</v>
      </c>
      <c r="DR175">
        <v>-0.24242777205176935</v>
      </c>
      <c r="DS175">
        <v>0.59035662180185311</v>
      </c>
      <c r="DT175">
        <v>-0.38999999999999996</v>
      </c>
      <c r="DU175">
        <v>-1.1066666666666671</v>
      </c>
      <c r="DV175">
        <v>-1.496666666666667</v>
      </c>
      <c r="DW175">
        <v>2.0499999999999997E-2</v>
      </c>
      <c r="DX175">
        <v>0.36392561983470895</v>
      </c>
      <c r="DY175">
        <v>3.1554752066115695E-3</v>
      </c>
      <c r="DZ175">
        <v>0</v>
      </c>
      <c r="EA175">
        <v>3.1554752066115695E-3</v>
      </c>
      <c r="EB175">
        <v>0</v>
      </c>
      <c r="EC175">
        <v>2.7958763863113818E-3</v>
      </c>
      <c r="ED175">
        <v>1.8163814375499448E-2</v>
      </c>
      <c r="EE175">
        <v>0</v>
      </c>
      <c r="EF175">
        <v>0</v>
      </c>
      <c r="EG175">
        <v>21.153925619834709</v>
      </c>
      <c r="EH175" t="s">
        <v>110</v>
      </c>
      <c r="EI175">
        <v>0</v>
      </c>
      <c r="EJ175">
        <v>0</v>
      </c>
      <c r="EK175">
        <v>0</v>
      </c>
      <c r="EL175">
        <v>0</v>
      </c>
      <c r="EM175">
        <v>0</v>
      </c>
      <c r="EN175">
        <v>0</v>
      </c>
      <c r="EO175">
        <v>0</v>
      </c>
      <c r="EP175">
        <v>0</v>
      </c>
    </row>
    <row r="176" spans="1:146" ht="108" x14ac:dyDescent="0.25">
      <c r="A176" s="7"/>
      <c r="B176" s="7"/>
      <c r="C176" s="7" t="str">
        <f>""&amp;CHAR(10)&amp;Basic_Fundamental_Information_Constructure(F176)&amp;CHAR(10)&amp;Basic_Fundamental_Information_Concatenate("")</f>
        <v xml:space="preserve">
市值2012.7423亿, 利润70.11亿; PE16.16; 平均PE152.02; 平均PEG26.47, PB3.57; ROIC39.3267%; ROE-64.8267%; 股利率0%; 毛利45.76%; 净利-35.06%; 上一年度营收增17.07%, 利润增107.33%, 利润增145.4%; 过往5年营收增5.74%, 利润增119.4%
Income profile:
</v>
      </c>
      <c r="D176" s="11">
        <v>1024</v>
      </c>
      <c r="E176" t="s">
        <v>2816</v>
      </c>
      <c r="F176">
        <v>46.4</v>
      </c>
      <c r="G176" s="5">
        <v>-2.3199999999999998E-2</v>
      </c>
      <c r="H176" t="s">
        <v>8702</v>
      </c>
      <c r="I176">
        <v>201274230000</v>
      </c>
      <c r="J176">
        <v>16.16</v>
      </c>
      <c r="K176">
        <v>3.57</v>
      </c>
      <c r="L176" t="s">
        <v>6350</v>
      </c>
      <c r="M176" t="s">
        <v>9</v>
      </c>
      <c r="N176" t="s">
        <v>9</v>
      </c>
      <c r="O176" t="s">
        <v>9</v>
      </c>
      <c r="P176" t="s">
        <v>9</v>
      </c>
      <c r="Q176" t="s">
        <v>8703</v>
      </c>
      <c r="R176">
        <v>7011295200</v>
      </c>
      <c r="S176" s="5">
        <v>1.454</v>
      </c>
      <c r="T176" t="s">
        <v>8704</v>
      </c>
      <c r="U176">
        <v>4337665200</v>
      </c>
      <c r="V176">
        <v>4337665200</v>
      </c>
      <c r="W176" t="s">
        <v>9</v>
      </c>
      <c r="X176" t="s">
        <v>9</v>
      </c>
      <c r="Y176" t="s">
        <v>9</v>
      </c>
      <c r="Z176" t="s">
        <v>9</v>
      </c>
      <c r="AA176" t="s">
        <v>9</v>
      </c>
      <c r="AB176" t="s">
        <v>9</v>
      </c>
      <c r="AC176" t="s">
        <v>9</v>
      </c>
      <c r="AD176" t="s">
        <v>8705</v>
      </c>
      <c r="AE176" t="s">
        <v>9</v>
      </c>
      <c r="AF176" t="s">
        <v>9</v>
      </c>
      <c r="AG176" t="s">
        <v>9</v>
      </c>
      <c r="AH176" t="s">
        <v>8706</v>
      </c>
      <c r="AI176" t="s">
        <v>9</v>
      </c>
      <c r="AJ176" t="s">
        <v>9</v>
      </c>
      <c r="AK176" t="s">
        <v>8707</v>
      </c>
      <c r="AL176" t="s">
        <v>9</v>
      </c>
      <c r="AM176" t="s">
        <v>9</v>
      </c>
      <c r="AN176" s="5">
        <v>0.5383</v>
      </c>
      <c r="AO176" t="s">
        <v>9</v>
      </c>
      <c r="AP176" t="s">
        <v>8708</v>
      </c>
      <c r="AQ176" t="s">
        <v>9</v>
      </c>
      <c r="AR176" t="s">
        <v>8709</v>
      </c>
      <c r="AS176" t="s">
        <v>9</v>
      </c>
      <c r="AT176" t="s">
        <v>9</v>
      </c>
      <c r="AU176" t="s">
        <v>8710</v>
      </c>
      <c r="AV176" t="s">
        <v>8711</v>
      </c>
      <c r="AW176" t="s">
        <v>9</v>
      </c>
      <c r="AX176" t="s">
        <v>8712</v>
      </c>
      <c r="AY176" t="s">
        <v>2818</v>
      </c>
      <c r="AZ176" t="s">
        <v>2819</v>
      </c>
      <c r="BA176" t="s">
        <v>2820</v>
      </c>
      <c r="BB176" t="s">
        <v>2821</v>
      </c>
      <c r="BC176" t="s">
        <v>2822</v>
      </c>
      <c r="BD176" t="s">
        <v>2823</v>
      </c>
      <c r="BE176" t="s">
        <v>2824</v>
      </c>
      <c r="BF176" t="s">
        <v>2825</v>
      </c>
      <c r="BG176" t="s">
        <v>2826</v>
      </c>
      <c r="BH176" t="s">
        <v>8712</v>
      </c>
      <c r="BI176" t="s">
        <v>2827</v>
      </c>
      <c r="BJ176" t="s">
        <v>2818</v>
      </c>
      <c r="BK176" t="s">
        <v>2817</v>
      </c>
      <c r="BL176" t="s">
        <v>2828</v>
      </c>
      <c r="BM176" t="s">
        <v>2822</v>
      </c>
      <c r="BN176">
        <v>14.39</v>
      </c>
      <c r="BO176">
        <v>-32.24</v>
      </c>
      <c r="BP176">
        <v>135.83000000000001</v>
      </c>
      <c r="BQ176">
        <v>13.04</v>
      </c>
      <c r="BR176">
        <v>-34.369999999999997</v>
      </c>
      <c r="BS176">
        <v>-173.15</v>
      </c>
      <c r="BT176" t="s">
        <v>9</v>
      </c>
      <c r="BU176" t="s">
        <v>551</v>
      </c>
      <c r="BV176">
        <v>50.58</v>
      </c>
      <c r="BW176">
        <v>44.73</v>
      </c>
      <c r="BX176">
        <v>41.97</v>
      </c>
      <c r="BY176">
        <v>5.64</v>
      </c>
      <c r="BZ176">
        <v>-14.53</v>
      </c>
      <c r="CA176">
        <v>-96.29</v>
      </c>
      <c r="CB176">
        <v>-6.26</v>
      </c>
      <c r="CC176">
        <v>-19.3</v>
      </c>
      <c r="CD176" t="s">
        <v>141</v>
      </c>
      <c r="CE176" t="s">
        <v>3760</v>
      </c>
      <c r="CF176" s="8" t="s">
        <v>9</v>
      </c>
      <c r="CG176" s="9">
        <v>1.454</v>
      </c>
      <c r="CH176" s="8">
        <v>0.17071376740932465</v>
      </c>
      <c r="CI176" s="8">
        <v>7.0142246782779694E-2</v>
      </c>
      <c r="CJ176" s="8">
        <v>0.4172292947769165</v>
      </c>
      <c r="CK176" s="8">
        <v>2.0308473110198975</v>
      </c>
      <c r="CL176" s="8">
        <v>1.3118623495101929</v>
      </c>
      <c r="CM176" s="9">
        <v>1.0733360052108765</v>
      </c>
      <c r="CN176" s="9">
        <v>0.31231203675270081</v>
      </c>
      <c r="CO176" s="9">
        <v>-5.3302211761474609</v>
      </c>
      <c r="CP176" s="9">
        <v>-0.55179482698440552</v>
      </c>
      <c r="CQ176" s="9">
        <v>0.41111847758293152</v>
      </c>
      <c r="CR176">
        <v>152.01981117824772</v>
      </c>
      <c r="CS176">
        <v>26.468295742330834</v>
      </c>
      <c r="CT176">
        <v>0</v>
      </c>
      <c r="CU176" s="8">
        <v>5.7434680592268708E-2</v>
      </c>
      <c r="CV176" s="9">
        <v>1.1939512133598327</v>
      </c>
      <c r="CW176">
        <v>0.06</v>
      </c>
      <c r="CX176">
        <v>28.777994297806192</v>
      </c>
      <c r="CY176">
        <v>6994032590.2192411</v>
      </c>
      <c r="CZ176">
        <v>5.7434680592268708E-2</v>
      </c>
      <c r="DA176">
        <v>9.6682937873791204</v>
      </c>
      <c r="DB176">
        <v>20817967929.640396</v>
      </c>
      <c r="DC176">
        <v>5.4562946562655271E-2</v>
      </c>
      <c r="DD176">
        <v>4.9366108639966289</v>
      </c>
      <c r="DE176">
        <v>40771743113.867897</v>
      </c>
      <c r="DF176">
        <v>5.0542518921196461E-2</v>
      </c>
      <c r="DG176">
        <v>3.0872124490233941</v>
      </c>
      <c r="DH176">
        <v>65196105976.986099</v>
      </c>
      <c r="DI176">
        <v>4.5947744473814972E-2</v>
      </c>
      <c r="DJ176">
        <v>1.7393268523758429</v>
      </c>
      <c r="DK176">
        <v>115719612863.48703</v>
      </c>
      <c r="DL176">
        <v>4.020427641458809E-2</v>
      </c>
      <c r="DM176">
        <v>7011000000</v>
      </c>
      <c r="DN176">
        <v>5.7434680592268708E-2</v>
      </c>
      <c r="DO176">
        <v>201274230000</v>
      </c>
      <c r="DP176" t="e">
        <v>#VALUE!</v>
      </c>
      <c r="DQ176">
        <v>175</v>
      </c>
      <c r="DR176" t="e">
        <v>#VALUE!</v>
      </c>
      <c r="DS176">
        <v>0.26004878664016728</v>
      </c>
      <c r="DT176" t="e">
        <v>#VALUE!</v>
      </c>
      <c r="DU176">
        <v>1.3049999999999999</v>
      </c>
      <c r="DV176" t="e">
        <v>#VALUE!</v>
      </c>
      <c r="DW176">
        <v>-9.3243523316062173</v>
      </c>
      <c r="DX176">
        <v>0.30955823293172646</v>
      </c>
      <c r="DY176">
        <v>-9.0452660382462486</v>
      </c>
      <c r="DZ176">
        <v>0</v>
      </c>
      <c r="EA176">
        <v>-9.0452660382462486</v>
      </c>
      <c r="EB176">
        <v>9</v>
      </c>
      <c r="EC176">
        <v>3.2044889033851665E-2</v>
      </c>
      <c r="ED176">
        <v>0.22961661494759902</v>
      </c>
      <c r="EE176">
        <v>0</v>
      </c>
      <c r="EF176">
        <v>0</v>
      </c>
      <c r="EG176">
        <v>17.139558232931726</v>
      </c>
      <c r="EH176" t="s">
        <v>110</v>
      </c>
      <c r="EI176">
        <v>0</v>
      </c>
      <c r="EJ176">
        <v>0</v>
      </c>
      <c r="EK176">
        <v>0</v>
      </c>
      <c r="EL176">
        <v>0</v>
      </c>
      <c r="EM176">
        <v>0</v>
      </c>
      <c r="EN176">
        <v>0</v>
      </c>
      <c r="EO176">
        <v>0</v>
      </c>
      <c r="EP176">
        <v>0</v>
      </c>
    </row>
    <row r="177" spans="1:146" ht="96" x14ac:dyDescent="0.25">
      <c r="A177" s="7"/>
      <c r="B177" s="7"/>
      <c r="C177" s="7" t="str">
        <f>""&amp;CHAR(10)&amp;Basic_Fundamental_Information_Constructure(F177)&amp;CHAR(10)&amp;Basic_Fundamental_Information_Concatenate("")</f>
        <v xml:space="preserve">
市值95.387511亿, 利润9.64亿; PE9.9; 平均PE-65.79; 平均PEG-5.31, PB.19; ROIC2.3167%; ROE7.6433%; 股利率0%; 毛利14.66%; 净利3.0567%; 上一年度营收增.73%, 利润增-90.84%, 利润增204.4%; 过往5年营收增-12.4%, 利润增-359.74%
Income profile:
</v>
      </c>
      <c r="D177" s="11">
        <v>1030</v>
      </c>
      <c r="E177" t="s">
        <v>2829</v>
      </c>
      <c r="F177">
        <v>1.35</v>
      </c>
      <c r="G177" s="5">
        <v>-3.5700000000000003E-2</v>
      </c>
      <c r="H177" t="s">
        <v>8713</v>
      </c>
      <c r="I177">
        <v>9538751100</v>
      </c>
      <c r="J177">
        <v>9.9</v>
      </c>
      <c r="K177">
        <v>0.19</v>
      </c>
      <c r="L177" t="s">
        <v>6350</v>
      </c>
      <c r="M177" t="s">
        <v>9</v>
      </c>
      <c r="N177" t="s">
        <v>9</v>
      </c>
      <c r="O177" t="s">
        <v>9</v>
      </c>
      <c r="P177" t="s">
        <v>9</v>
      </c>
      <c r="Q177" t="s">
        <v>8714</v>
      </c>
      <c r="R177">
        <v>963884280</v>
      </c>
      <c r="S177" s="5">
        <v>2.044</v>
      </c>
      <c r="T177" t="s">
        <v>8715</v>
      </c>
      <c r="U177">
        <v>7065741500</v>
      </c>
      <c r="V177">
        <v>7065741500</v>
      </c>
      <c r="W177" t="s">
        <v>9</v>
      </c>
      <c r="X177" t="s">
        <v>9</v>
      </c>
      <c r="Y177" t="s">
        <v>9</v>
      </c>
      <c r="Z177" t="s">
        <v>9</v>
      </c>
      <c r="AA177" t="s">
        <v>9</v>
      </c>
      <c r="AB177" t="s">
        <v>9</v>
      </c>
      <c r="AC177" t="s">
        <v>9</v>
      </c>
      <c r="AD177" t="s">
        <v>9</v>
      </c>
      <c r="AE177" t="s">
        <v>9</v>
      </c>
      <c r="AF177" t="s">
        <v>9</v>
      </c>
      <c r="AG177" t="s">
        <v>9</v>
      </c>
      <c r="AH177" t="s">
        <v>8716</v>
      </c>
      <c r="AI177" t="s">
        <v>9</v>
      </c>
      <c r="AJ177" t="s">
        <v>9</v>
      </c>
      <c r="AK177" t="s">
        <v>8717</v>
      </c>
      <c r="AL177" t="s">
        <v>9</v>
      </c>
      <c r="AM177" t="s">
        <v>9</v>
      </c>
      <c r="AN177" s="5">
        <v>0.76</v>
      </c>
      <c r="AO177" t="s">
        <v>9</v>
      </c>
      <c r="AP177" t="s">
        <v>452</v>
      </c>
      <c r="AQ177" t="s">
        <v>9</v>
      </c>
      <c r="AR177" t="s">
        <v>8718</v>
      </c>
      <c r="AS177" t="s">
        <v>9</v>
      </c>
      <c r="AT177" t="s">
        <v>9</v>
      </c>
      <c r="AU177" t="s">
        <v>3097</v>
      </c>
      <c r="AV177" t="s">
        <v>3914</v>
      </c>
      <c r="AW177" t="s">
        <v>9</v>
      </c>
      <c r="AX177" t="s">
        <v>2830</v>
      </c>
      <c r="AY177" t="s">
        <v>2832</v>
      </c>
      <c r="AZ177" t="s">
        <v>2833</v>
      </c>
      <c r="BA177" t="s">
        <v>2834</v>
      </c>
      <c r="BB177" t="s">
        <v>2835</v>
      </c>
      <c r="BC177" t="s">
        <v>2836</v>
      </c>
      <c r="BD177" t="s">
        <v>2837</v>
      </c>
      <c r="BE177" t="s">
        <v>2838</v>
      </c>
      <c r="BF177" t="s">
        <v>2839</v>
      </c>
      <c r="BG177" t="s">
        <v>2614</v>
      </c>
      <c r="BH177" t="s">
        <v>2830</v>
      </c>
      <c r="BI177" t="s">
        <v>9</v>
      </c>
      <c r="BJ177" t="s">
        <v>2832</v>
      </c>
      <c r="BK177" t="s">
        <v>2831</v>
      </c>
      <c r="BL177" t="s">
        <v>9</v>
      </c>
      <c r="BM177" t="s">
        <v>2836</v>
      </c>
      <c r="BN177">
        <v>0.75</v>
      </c>
      <c r="BO177">
        <v>0.21</v>
      </c>
      <c r="BP177">
        <v>5.99</v>
      </c>
      <c r="BQ177">
        <v>1.92</v>
      </c>
      <c r="BR177">
        <v>0.63</v>
      </c>
      <c r="BS177">
        <v>20.38</v>
      </c>
      <c r="BT177" t="s">
        <v>2840</v>
      </c>
      <c r="BU177" t="s">
        <v>410</v>
      </c>
      <c r="BV177">
        <v>13.57</v>
      </c>
      <c r="BW177">
        <v>13.68</v>
      </c>
      <c r="BX177">
        <v>16.73</v>
      </c>
      <c r="BY177">
        <v>0.65</v>
      </c>
      <c r="BZ177">
        <v>0.64</v>
      </c>
      <c r="CA177">
        <v>7.88</v>
      </c>
      <c r="CB177">
        <v>0</v>
      </c>
      <c r="CC177">
        <v>-9.4</v>
      </c>
      <c r="CD177" t="s">
        <v>141</v>
      </c>
      <c r="CE177" t="s">
        <v>77</v>
      </c>
      <c r="CF177" s="8" t="s">
        <v>9</v>
      </c>
      <c r="CG177" s="9">
        <v>2.044</v>
      </c>
      <c r="CH177" s="8">
        <v>7.3325405828654766E-3</v>
      </c>
      <c r="CI177" s="8">
        <v>-0.36671352386474609</v>
      </c>
      <c r="CJ177" s="8">
        <v>0.19200265407562256</v>
      </c>
      <c r="CK177" s="8">
        <v>1.7921730279922485</v>
      </c>
      <c r="CL177" s="8">
        <v>0.27452540397644043</v>
      </c>
      <c r="CM177" s="9">
        <v>-0.90835630893707275</v>
      </c>
      <c r="CN177" s="9">
        <v>-0.13288271427154541</v>
      </c>
      <c r="CO177" s="9">
        <v>0.38957613706588745</v>
      </c>
      <c r="CP177" s="9">
        <v>0.13406085968017578</v>
      </c>
      <c r="CQ177" s="9">
        <v>0.69223994016647339</v>
      </c>
      <c r="CR177">
        <v>-65.791273652007575</v>
      </c>
      <c r="CS177">
        <v>-5.3066122354345389</v>
      </c>
      <c r="CT177">
        <v>0</v>
      </c>
      <c r="CU177" s="8">
        <v>-0.12397980242967606</v>
      </c>
      <c r="CV177" s="9">
        <v>-3.5974467992782593</v>
      </c>
      <c r="CW177">
        <v>0.06</v>
      </c>
      <c r="CX177">
        <v>9.8949700207468876</v>
      </c>
      <c r="CY177" t="s">
        <v>8719</v>
      </c>
      <c r="CZ177">
        <v>-0.12397980242967606</v>
      </c>
      <c r="DA177">
        <v>3.2983233402489627</v>
      </c>
      <c r="DB177" t="s">
        <v>8720</v>
      </c>
      <c r="DC177">
        <v>-0.11778081230819225</v>
      </c>
      <c r="DD177">
        <v>1.6491616701244813</v>
      </c>
      <c r="DE177" t="s">
        <v>8721</v>
      </c>
      <c r="DF177">
        <v>-0.10910222613811493</v>
      </c>
      <c r="DG177">
        <v>0.98949700207468883</v>
      </c>
      <c r="DH177" t="s">
        <v>8722</v>
      </c>
      <c r="DI177">
        <v>-9.9183841943740858E-2</v>
      </c>
      <c r="DJ177">
        <v>0.49474850103734441</v>
      </c>
      <c r="DK177" t="s">
        <v>8723</v>
      </c>
      <c r="DL177">
        <v>-8.6785861700773237E-2</v>
      </c>
      <c r="DM177">
        <v>964000000</v>
      </c>
      <c r="DN177">
        <v>-0.12397980242967606</v>
      </c>
      <c r="DO177">
        <v>9538751100</v>
      </c>
      <c r="DP177" t="e">
        <v>#VALUE!</v>
      </c>
      <c r="DQ177">
        <v>176</v>
      </c>
      <c r="DR177" t="e">
        <v>#VALUE!</v>
      </c>
      <c r="DS177">
        <v>5.6414467992782598</v>
      </c>
      <c r="DT177" t="e">
        <v>#VALUE!</v>
      </c>
      <c r="DU177" t="e">
        <v>#VALUE!</v>
      </c>
      <c r="DV177" t="e">
        <v>#VALUE!</v>
      </c>
      <c r="DW177">
        <v>-2.0939999999999999</v>
      </c>
      <c r="DX177">
        <v>0.3069230769230778</v>
      </c>
      <c r="DY177">
        <v>-2.0100507692307694</v>
      </c>
      <c r="DZ177">
        <v>0</v>
      </c>
      <c r="EA177">
        <v>-2.0100507692307694</v>
      </c>
      <c r="EB177">
        <v>2</v>
      </c>
      <c r="EC177">
        <v>1.9672386825926196E-2</v>
      </c>
      <c r="ED177">
        <v>0.1839863516093817</v>
      </c>
      <c r="EE177">
        <v>0</v>
      </c>
      <c r="EF177">
        <v>0</v>
      </c>
      <c r="EG177">
        <v>20.106923076923078</v>
      </c>
      <c r="EH177" t="s">
        <v>110</v>
      </c>
      <c r="EI177">
        <v>0</v>
      </c>
      <c r="EJ177">
        <v>0</v>
      </c>
      <c r="EK177">
        <v>0</v>
      </c>
      <c r="EL177">
        <v>0</v>
      </c>
      <c r="EM177">
        <v>0</v>
      </c>
      <c r="EN177">
        <v>0</v>
      </c>
      <c r="EO177">
        <v>0</v>
      </c>
      <c r="EP177">
        <v>0</v>
      </c>
    </row>
    <row r="178" spans="1:146" ht="96" x14ac:dyDescent="0.25">
      <c r="A178" s="7"/>
      <c r="B178" s="7"/>
      <c r="C178" s="7" t="str">
        <f>""&amp;CHAR(10)&amp;Basic_Fundamental_Information_Constructure(F178)&amp;CHAR(10)&amp;Basic_Fundamental_Information_Concatenate("")</f>
        <v xml:space="preserve">
市值93.023266亿, 利润6.32亿; PE14.16; 平均PE1.64; 平均PEG.34, PB1.03; ROIC1.5467%; ROE5.6433%; 股利率0%; 毛利7.0633%; 净利.5633%; 上一年度营收增5.35%, 利润增267.44%; 当季营收增5.48%, 利润增15.41%; 过往5年营收增4.84%, 利润增-6.68%
Income profile:
</v>
      </c>
      <c r="D178" s="11">
        <v>1033</v>
      </c>
      <c r="E178" t="s">
        <v>2842</v>
      </c>
      <c r="F178">
        <v>0.49</v>
      </c>
      <c r="G178" s="5">
        <v>-3.9199999999999999E-2</v>
      </c>
      <c r="H178" t="s">
        <v>8724</v>
      </c>
      <c r="I178">
        <v>9302326600</v>
      </c>
      <c r="J178">
        <v>14.16</v>
      </c>
      <c r="K178">
        <v>1.03</v>
      </c>
      <c r="L178" t="s">
        <v>6350</v>
      </c>
      <c r="M178" t="s">
        <v>8725</v>
      </c>
      <c r="N178" t="s">
        <v>8726</v>
      </c>
      <c r="O178" t="s">
        <v>8727</v>
      </c>
      <c r="P178">
        <v>3.3</v>
      </c>
      <c r="Q178" t="s">
        <v>8728</v>
      </c>
      <c r="R178">
        <v>631502180</v>
      </c>
      <c r="S178" s="5">
        <v>0.15409999999999999</v>
      </c>
      <c r="T178" t="s">
        <v>734</v>
      </c>
      <c r="U178">
        <v>5414961500</v>
      </c>
      <c r="V178">
        <v>18984340000</v>
      </c>
      <c r="W178">
        <v>8.9</v>
      </c>
      <c r="X178">
        <v>0.25</v>
      </c>
      <c r="Y178">
        <v>1.91</v>
      </c>
      <c r="Z178" t="s">
        <v>5844</v>
      </c>
      <c r="AA178" t="s">
        <v>8729</v>
      </c>
      <c r="AB178" t="s">
        <v>8730</v>
      </c>
      <c r="AC178" t="s">
        <v>3610</v>
      </c>
      <c r="AD178" t="s">
        <v>2297</v>
      </c>
      <c r="AE178" t="s">
        <v>3770</v>
      </c>
      <c r="AF178" t="s">
        <v>9</v>
      </c>
      <c r="AG178" t="s">
        <v>8731</v>
      </c>
      <c r="AH178" t="s">
        <v>8732</v>
      </c>
      <c r="AI178" t="s">
        <v>1599</v>
      </c>
      <c r="AJ178" t="s">
        <v>8733</v>
      </c>
      <c r="AK178" t="s">
        <v>8734</v>
      </c>
      <c r="AL178" t="s">
        <v>9</v>
      </c>
      <c r="AM178" t="s">
        <v>538</v>
      </c>
      <c r="AN178" s="5">
        <v>0.88759999999999994</v>
      </c>
      <c r="AO178" t="s">
        <v>8735</v>
      </c>
      <c r="AP178" t="s">
        <v>8736</v>
      </c>
      <c r="AQ178" t="s">
        <v>8737</v>
      </c>
      <c r="AR178" t="s">
        <v>8738</v>
      </c>
      <c r="AS178" t="s">
        <v>8739</v>
      </c>
      <c r="AT178" t="s">
        <v>3965</v>
      </c>
      <c r="AU178" t="s">
        <v>2983</v>
      </c>
      <c r="AV178" t="s">
        <v>8740</v>
      </c>
      <c r="AW178" t="s">
        <v>8741</v>
      </c>
      <c r="AX178" t="s">
        <v>2844</v>
      </c>
      <c r="AY178" t="s">
        <v>2848</v>
      </c>
      <c r="AZ178" t="s">
        <v>2849</v>
      </c>
      <c r="BA178" t="s">
        <v>2850</v>
      </c>
      <c r="BB178" t="s">
        <v>2851</v>
      </c>
      <c r="BC178" t="s">
        <v>202</v>
      </c>
      <c r="BD178" t="s">
        <v>2852</v>
      </c>
      <c r="BE178" t="s">
        <v>2853</v>
      </c>
      <c r="BF178" t="s">
        <v>2854</v>
      </c>
      <c r="BG178" t="s">
        <v>2855</v>
      </c>
      <c r="BH178" t="s">
        <v>2844</v>
      </c>
      <c r="BI178" t="s">
        <v>2856</v>
      </c>
      <c r="BJ178" t="s">
        <v>2848</v>
      </c>
      <c r="BK178" t="s">
        <v>2845</v>
      </c>
      <c r="BL178" t="s">
        <v>8742</v>
      </c>
      <c r="BM178" t="s">
        <v>202</v>
      </c>
      <c r="BN178">
        <v>2.0299999999999998</v>
      </c>
      <c r="BO178">
        <v>2.1</v>
      </c>
      <c r="BP178">
        <v>0.51</v>
      </c>
      <c r="BQ178">
        <v>7.18</v>
      </c>
      <c r="BR178">
        <v>7.7</v>
      </c>
      <c r="BS178">
        <v>2.0499999999999998</v>
      </c>
      <c r="BT178" t="s">
        <v>2857</v>
      </c>
      <c r="BU178" t="s">
        <v>1410</v>
      </c>
      <c r="BV178">
        <v>6.81</v>
      </c>
      <c r="BW178">
        <v>7.57</v>
      </c>
      <c r="BX178">
        <v>6.81</v>
      </c>
      <c r="BY178">
        <v>0.72</v>
      </c>
      <c r="BZ178">
        <v>0.77</v>
      </c>
      <c r="CA178">
        <v>0.2</v>
      </c>
      <c r="CB178">
        <v>-5.77</v>
      </c>
      <c r="CC178">
        <v>-15.52</v>
      </c>
      <c r="CD178" t="s">
        <v>8743</v>
      </c>
      <c r="CE178" t="s">
        <v>1288</v>
      </c>
      <c r="CF178" s="8">
        <v>5.4807590374218174E-2</v>
      </c>
      <c r="CG178" s="9">
        <v>0.15409999999999999</v>
      </c>
      <c r="CH178" s="8">
        <v>5.3494822233915329E-2</v>
      </c>
      <c r="CI178" s="8">
        <v>-2.2550296038389206E-2</v>
      </c>
      <c r="CJ178" s="8">
        <v>4.9373313784599304E-2</v>
      </c>
      <c r="CK178" s="8">
        <v>0.22001355886459351</v>
      </c>
      <c r="CL178" s="8">
        <v>0.14154031872749329</v>
      </c>
      <c r="CM178" s="9">
        <v>2.6744186878204346</v>
      </c>
      <c r="CN178" s="9">
        <v>5.0380420684814453</v>
      </c>
      <c r="CO178" s="9">
        <v>-1.0386173725128174</v>
      </c>
      <c r="CP178" s="9">
        <v>3.0402932167053223</v>
      </c>
      <c r="CQ178" s="9">
        <v>1.0215572118759155</v>
      </c>
      <c r="CR178">
        <v>1.6387433453712674</v>
      </c>
      <c r="CS178">
        <v>0.33840534522587734</v>
      </c>
      <c r="CT178">
        <v>0</v>
      </c>
      <c r="CU178" s="8">
        <v>4.8425456881523131E-2</v>
      </c>
      <c r="CV178" s="9">
        <v>-6.6765793575905258E-2</v>
      </c>
      <c r="CW178">
        <v>0.06</v>
      </c>
      <c r="CX178">
        <v>114.71356080618813</v>
      </c>
      <c r="CY178">
        <v>625098951.65011573</v>
      </c>
      <c r="CZ178">
        <v>4.8425456881523131E-2</v>
      </c>
      <c r="DA178">
        <v>38.836895900608177</v>
      </c>
      <c r="DB178">
        <v>1846371213.1761045</v>
      </c>
      <c r="DC178">
        <v>4.6004184037446973E-2</v>
      </c>
      <c r="DD178">
        <v>20.029011392490609</v>
      </c>
      <c r="DE178">
        <v>3580173039.7379932</v>
      </c>
      <c r="DF178">
        <v>4.2614402055740352E-2</v>
      </c>
      <c r="DG178">
        <v>12.662080541942874</v>
      </c>
      <c r="DH178">
        <v>5663155147.5660734</v>
      </c>
      <c r="DI178">
        <v>3.8740365505218505E-2</v>
      </c>
      <c r="DJ178">
        <v>7.2951445969594069</v>
      </c>
      <c r="DK178">
        <v>9829459258.4069386</v>
      </c>
      <c r="DL178">
        <v>3.3897819817066188E-2</v>
      </c>
      <c r="DM178">
        <v>632000000</v>
      </c>
      <c r="DN178">
        <v>4.8425456881523131E-2</v>
      </c>
      <c r="DO178">
        <v>71707326600</v>
      </c>
      <c r="DP178" t="e">
        <v>#VALUE!</v>
      </c>
      <c r="DQ178">
        <v>177</v>
      </c>
      <c r="DR178">
        <v>6.3821334926950427E-3</v>
      </c>
      <c r="DS178">
        <v>0.22086579357590524</v>
      </c>
      <c r="DT178">
        <v>-0.34</v>
      </c>
      <c r="DU178">
        <v>-0.13333333333333333</v>
      </c>
      <c r="DV178">
        <v>-0.47333333333333338</v>
      </c>
      <c r="DW178">
        <v>-8.3717783505154646</v>
      </c>
      <c r="DX178">
        <v>0.51210748299319597</v>
      </c>
      <c r="DY178">
        <v>-8.0677036196437335</v>
      </c>
      <c r="DZ178">
        <v>0</v>
      </c>
      <c r="EA178">
        <v>-8.0677036196437335</v>
      </c>
      <c r="EB178">
        <v>8</v>
      </c>
      <c r="EC178">
        <v>1.4100990605941529E-3</v>
      </c>
      <c r="ED178">
        <v>7.7432241521169553E-3</v>
      </c>
      <c r="EE178">
        <v>0</v>
      </c>
      <c r="EF178">
        <v>0</v>
      </c>
      <c r="EG178">
        <v>33.182107482993196</v>
      </c>
      <c r="EH178" t="s">
        <v>110</v>
      </c>
      <c r="EI178">
        <v>0</v>
      </c>
      <c r="EJ178">
        <v>0</v>
      </c>
      <c r="EK178">
        <v>0</v>
      </c>
      <c r="EL178">
        <v>0</v>
      </c>
      <c r="EM178">
        <v>0</v>
      </c>
      <c r="EN178">
        <v>0</v>
      </c>
      <c r="EO178">
        <v>0</v>
      </c>
      <c r="EP178">
        <v>0</v>
      </c>
    </row>
    <row r="179" spans="1:146" ht="96" x14ac:dyDescent="0.25">
      <c r="A179" s="7"/>
      <c r="B179" s="7"/>
      <c r="C179" s="7" t="str">
        <f>""&amp;CHAR(10)&amp;Basic_Fundamental_Information_Constructure(F179)&amp;CHAR(10)&amp;Basic_Fundamental_Information_Concatenate("")</f>
        <v xml:space="preserve">
市值1087.21212亿, 利润80.27亿; PE13.54; 平均PE83.15; 平均PEG6.12, PB.882; ROIC5.2833%; ROE6.4967%; 毛利32.4367%; 净利125.8733%; 上一年度营收增-9.45%, 利润增6.81%, 利润增3.6%; 过往5年营收增13.59%, 利润增-45.61%
Income profile:
</v>
      </c>
      <c r="D179" s="11">
        <v>1038</v>
      </c>
      <c r="E179" t="s">
        <v>2858</v>
      </c>
      <c r="F179">
        <v>43.15</v>
      </c>
      <c r="G179" s="5">
        <v>-1.37E-2</v>
      </c>
      <c r="H179" t="s">
        <v>8744</v>
      </c>
      <c r="I179">
        <v>108721212000</v>
      </c>
      <c r="J179">
        <v>13.54</v>
      </c>
      <c r="K179">
        <v>0.88200000000000001</v>
      </c>
      <c r="L179" t="s">
        <v>6350</v>
      </c>
      <c r="M179" t="s">
        <v>9</v>
      </c>
      <c r="N179" t="s">
        <v>9</v>
      </c>
      <c r="O179" t="s">
        <v>9</v>
      </c>
      <c r="P179" t="s">
        <v>9</v>
      </c>
      <c r="Q179" t="s">
        <v>8745</v>
      </c>
      <c r="R179">
        <v>8027000000</v>
      </c>
      <c r="S179" s="5">
        <v>3.5999999999999997E-2</v>
      </c>
      <c r="T179" t="s">
        <v>8746</v>
      </c>
      <c r="U179">
        <v>2519610900</v>
      </c>
      <c r="V179">
        <v>2519610900</v>
      </c>
      <c r="W179" t="s">
        <v>9</v>
      </c>
      <c r="X179" t="s">
        <v>9</v>
      </c>
      <c r="Y179" t="s">
        <v>9</v>
      </c>
      <c r="Z179" t="s">
        <v>9</v>
      </c>
      <c r="AA179" t="s">
        <v>9</v>
      </c>
      <c r="AB179" t="s">
        <v>9</v>
      </c>
      <c r="AC179" t="s">
        <v>9</v>
      </c>
      <c r="AD179" t="s">
        <v>9</v>
      </c>
      <c r="AE179" t="s">
        <v>9</v>
      </c>
      <c r="AF179" t="s">
        <v>9</v>
      </c>
      <c r="AG179" t="s">
        <v>9</v>
      </c>
      <c r="AH179" t="s">
        <v>8747</v>
      </c>
      <c r="AI179" t="s">
        <v>9</v>
      </c>
      <c r="AJ179" t="s">
        <v>9</v>
      </c>
      <c r="AK179" t="s">
        <v>8748</v>
      </c>
      <c r="AL179" t="s">
        <v>9</v>
      </c>
      <c r="AM179" t="s">
        <v>9</v>
      </c>
      <c r="AN179" s="5">
        <v>0.19650000000000001</v>
      </c>
      <c r="AO179" t="s">
        <v>9</v>
      </c>
      <c r="AP179" t="s">
        <v>2802</v>
      </c>
      <c r="AQ179" t="s">
        <v>9</v>
      </c>
      <c r="AR179" t="s">
        <v>8749</v>
      </c>
      <c r="AS179" t="s">
        <v>9</v>
      </c>
      <c r="AT179" t="s">
        <v>9</v>
      </c>
      <c r="AU179" t="s">
        <v>5277</v>
      </c>
      <c r="AV179" t="s">
        <v>1669</v>
      </c>
      <c r="AW179" t="s">
        <v>9</v>
      </c>
      <c r="AX179" t="s">
        <v>2859</v>
      </c>
      <c r="AY179" t="s">
        <v>2862</v>
      </c>
      <c r="AZ179" t="s">
        <v>2668</v>
      </c>
      <c r="BA179" t="s">
        <v>2863</v>
      </c>
      <c r="BB179" t="s">
        <v>1014</v>
      </c>
      <c r="BC179" t="s">
        <v>2864</v>
      </c>
      <c r="BD179" t="s">
        <v>2865</v>
      </c>
      <c r="BE179" t="s">
        <v>2866</v>
      </c>
      <c r="BF179" t="s">
        <v>2867</v>
      </c>
      <c r="BG179" t="s">
        <v>2868</v>
      </c>
      <c r="BH179" t="s">
        <v>2859</v>
      </c>
      <c r="BI179" t="s">
        <v>9</v>
      </c>
      <c r="BJ179" t="s">
        <v>2862</v>
      </c>
      <c r="BK179" t="s">
        <v>2860</v>
      </c>
      <c r="BL179" t="s">
        <v>9</v>
      </c>
      <c r="BM179" t="s">
        <v>2864</v>
      </c>
      <c r="BN179">
        <v>5.41</v>
      </c>
      <c r="BO179">
        <v>5.26</v>
      </c>
      <c r="BP179">
        <v>5.18</v>
      </c>
      <c r="BQ179">
        <v>6.51</v>
      </c>
      <c r="BR179">
        <v>6.49</v>
      </c>
      <c r="BS179">
        <v>6.49</v>
      </c>
      <c r="BT179" t="s">
        <v>8750</v>
      </c>
      <c r="BU179" t="s">
        <v>392</v>
      </c>
      <c r="BV179">
        <v>28.93</v>
      </c>
      <c r="BW179">
        <v>34.03</v>
      </c>
      <c r="BX179">
        <v>34.35</v>
      </c>
      <c r="BY179">
        <v>141.22</v>
      </c>
      <c r="BZ179">
        <v>123.55</v>
      </c>
      <c r="CA179">
        <v>112.85</v>
      </c>
      <c r="CB179">
        <v>-0.92</v>
      </c>
      <c r="CC179">
        <v>-8.8699999999999992</v>
      </c>
      <c r="CD179" t="s">
        <v>8751</v>
      </c>
      <c r="CE179" t="s">
        <v>8752</v>
      </c>
      <c r="CF179" s="8" t="s">
        <v>9</v>
      </c>
      <c r="CG179" s="9">
        <v>3.5999999999999997E-2</v>
      </c>
      <c r="CH179" s="8">
        <v>-9.448222815990448E-2</v>
      </c>
      <c r="CI179" s="8">
        <v>-6.1435859650373459E-2</v>
      </c>
      <c r="CJ179" s="8">
        <v>-1.8657773733139038E-2</v>
      </c>
      <c r="CK179" s="8">
        <v>4.6160211786627769E-3</v>
      </c>
      <c r="CL179" s="8">
        <v>0.18833114206790924</v>
      </c>
      <c r="CM179" s="9">
        <v>6.8130411207675934E-2</v>
      </c>
      <c r="CN179" s="9">
        <v>2.6639318093657494E-2</v>
      </c>
      <c r="CO179" s="9">
        <v>-0.30325531959533691</v>
      </c>
      <c r="CP179" s="9">
        <v>6.0328044928610325E-3</v>
      </c>
      <c r="CQ179" s="9">
        <v>1.8233209848403931E-2</v>
      </c>
      <c r="CR179">
        <v>83.147092567281902</v>
      </c>
      <c r="CS179">
        <v>6.1161535654469494</v>
      </c>
      <c r="CT179" t="e">
        <v>#VALUE!</v>
      </c>
      <c r="CU179" s="8">
        <v>0.13594670519232749</v>
      </c>
      <c r="CV179" s="9">
        <v>-0.4560794711112976</v>
      </c>
      <c r="CW179">
        <v>0.06</v>
      </c>
      <c r="CX179">
        <v>12.638889917798721</v>
      </c>
      <c r="CY179">
        <v>8602117172.2441635</v>
      </c>
      <c r="CZ179">
        <v>0.13594670519232749</v>
      </c>
      <c r="DA179">
        <v>3.9734774345349986</v>
      </c>
      <c r="DB179">
        <v>27361728810.905716</v>
      </c>
      <c r="DC179">
        <v>0.12914936993271112</v>
      </c>
      <c r="DD179">
        <v>1.855751161562373</v>
      </c>
      <c r="DE179">
        <v>58586094004.363533</v>
      </c>
      <c r="DF179">
        <v>0.1196331005692482</v>
      </c>
      <c r="DG179">
        <v>1.0488793688708462</v>
      </c>
      <c r="DH179">
        <v>103654638680.74937</v>
      </c>
      <c r="DI179">
        <v>0.108757364153862</v>
      </c>
      <c r="DJ179">
        <v>0.47234002994431384</v>
      </c>
      <c r="DK179">
        <v>230175731692.30988</v>
      </c>
      <c r="DL179">
        <v>9.5162693634629231E-2</v>
      </c>
      <c r="DM179">
        <v>8027000000</v>
      </c>
      <c r="DN179">
        <v>0.13594670519232749</v>
      </c>
      <c r="DO179">
        <v>108721212000</v>
      </c>
      <c r="DP179" t="e">
        <v>#VALUE!</v>
      </c>
      <c r="DQ179">
        <v>178</v>
      </c>
      <c r="DR179" t="e">
        <v>#VALUE!</v>
      </c>
      <c r="DS179">
        <v>0.49207947111129757</v>
      </c>
      <c r="DT179" t="e">
        <v>#VALUE!</v>
      </c>
      <c r="DU179" t="e">
        <v>#VALUE!</v>
      </c>
      <c r="DV179" t="e">
        <v>#VALUE!</v>
      </c>
      <c r="DW179">
        <v>-2.0886999999999998</v>
      </c>
      <c r="DX179">
        <v>0.49807626341497041</v>
      </c>
      <c r="DY179">
        <v>-2.0166823645649079</v>
      </c>
      <c r="DZ179">
        <v>0</v>
      </c>
      <c r="EA179">
        <v>-2.0166823645649079</v>
      </c>
      <c r="EB179">
        <v>2</v>
      </c>
      <c r="EC179">
        <v>3.8908388592857729E-3</v>
      </c>
      <c r="ED179">
        <v>2.0687559337038905E-2</v>
      </c>
      <c r="EE179">
        <v>0</v>
      </c>
      <c r="EF179">
        <v>0</v>
      </c>
      <c r="EG179">
        <v>31.18807626341497</v>
      </c>
      <c r="EH179" t="s">
        <v>110</v>
      </c>
      <c r="EI179">
        <v>0</v>
      </c>
      <c r="EJ179">
        <v>0</v>
      </c>
      <c r="EK179">
        <v>0</v>
      </c>
      <c r="EL179">
        <v>0</v>
      </c>
      <c r="EM179">
        <v>0</v>
      </c>
      <c r="EN179">
        <v>0</v>
      </c>
      <c r="EO179">
        <v>0</v>
      </c>
      <c r="EP179">
        <v>0</v>
      </c>
    </row>
    <row r="180" spans="1:146" ht="96" x14ac:dyDescent="0.25">
      <c r="A180" s="7"/>
      <c r="B180" s="7"/>
      <c r="C180" s="7" t="str">
        <f>""&amp;CHAR(10)&amp;Basic_Fundamental_Information_Constructure(F180)&amp;CHAR(10)&amp;Basic_Fundamental_Information_Concatenate("")</f>
        <v xml:space="preserve">
市值280.07114亿, 利润30.70亿; PE9.12; 平均PE-47.62; 平均PEG-2.4, PB1.25; ROIC7.1767%; ROE13.5967%; 毛利35.0267%; 净利12.0867%; 上一年度营收增2.12%, 利润增-23.42%, 利润增41.35%; 过往5年营收增-19.81%, 利润增-74.13%
Income profile:
</v>
      </c>
      <c r="D180" s="11">
        <v>1044</v>
      </c>
      <c r="E180" t="s">
        <v>2869</v>
      </c>
      <c r="F180">
        <v>24.1</v>
      </c>
      <c r="G180" s="5">
        <v>-2.4299999999999999E-2</v>
      </c>
      <c r="H180" t="s">
        <v>8753</v>
      </c>
      <c r="I180">
        <v>28007114000</v>
      </c>
      <c r="J180">
        <v>9.1199999999999992</v>
      </c>
      <c r="K180">
        <v>1.25</v>
      </c>
      <c r="L180" t="s">
        <v>6350</v>
      </c>
      <c r="M180" t="s">
        <v>9</v>
      </c>
      <c r="N180" t="s">
        <v>9</v>
      </c>
      <c r="O180" t="s">
        <v>9</v>
      </c>
      <c r="P180" t="s">
        <v>9</v>
      </c>
      <c r="Q180" t="s">
        <v>8754</v>
      </c>
      <c r="R180">
        <v>3069944300</v>
      </c>
      <c r="S180" s="5">
        <v>0.41349999999999998</v>
      </c>
      <c r="T180" t="s">
        <v>8755</v>
      </c>
      <c r="U180">
        <v>1162120920</v>
      </c>
      <c r="V180">
        <v>1162120920</v>
      </c>
      <c r="W180" t="s">
        <v>9</v>
      </c>
      <c r="X180" t="s">
        <v>9</v>
      </c>
      <c r="Y180" t="s">
        <v>9</v>
      </c>
      <c r="Z180" t="s">
        <v>9</v>
      </c>
      <c r="AA180" t="s">
        <v>9</v>
      </c>
      <c r="AB180" t="s">
        <v>9</v>
      </c>
      <c r="AC180" t="s">
        <v>9</v>
      </c>
      <c r="AD180" t="s">
        <v>102</v>
      </c>
      <c r="AE180" t="s">
        <v>9</v>
      </c>
      <c r="AF180" t="s">
        <v>9</v>
      </c>
      <c r="AG180" t="s">
        <v>9</v>
      </c>
      <c r="AH180" t="s">
        <v>8756</v>
      </c>
      <c r="AI180" t="s">
        <v>9</v>
      </c>
      <c r="AJ180" t="s">
        <v>9</v>
      </c>
      <c r="AK180" t="s">
        <v>8757</v>
      </c>
      <c r="AL180" t="s">
        <v>9</v>
      </c>
      <c r="AM180" t="s">
        <v>9</v>
      </c>
      <c r="AN180" s="5">
        <v>0.48699999999999999</v>
      </c>
      <c r="AO180" t="s">
        <v>9</v>
      </c>
      <c r="AP180" t="s">
        <v>3588</v>
      </c>
      <c r="AQ180" t="s">
        <v>9</v>
      </c>
      <c r="AR180" t="s">
        <v>8758</v>
      </c>
      <c r="AS180" t="s">
        <v>9</v>
      </c>
      <c r="AT180" t="s">
        <v>9</v>
      </c>
      <c r="AU180" t="s">
        <v>1032</v>
      </c>
      <c r="AV180" t="s">
        <v>4117</v>
      </c>
      <c r="AW180" t="s">
        <v>9</v>
      </c>
      <c r="AX180" t="s">
        <v>2870</v>
      </c>
      <c r="AY180" t="s">
        <v>2871</v>
      </c>
      <c r="AZ180" t="s">
        <v>2872</v>
      </c>
      <c r="BA180" t="s">
        <v>2873</v>
      </c>
      <c r="BB180" t="s">
        <v>2874</v>
      </c>
      <c r="BC180" t="s">
        <v>1008</v>
      </c>
      <c r="BD180" t="s">
        <v>2215</v>
      </c>
      <c r="BE180" t="s">
        <v>2875</v>
      </c>
      <c r="BF180" t="s">
        <v>2876</v>
      </c>
      <c r="BG180" t="s">
        <v>2614</v>
      </c>
      <c r="BH180" t="s">
        <v>2870</v>
      </c>
      <c r="BI180" t="s">
        <v>9</v>
      </c>
      <c r="BJ180" t="s">
        <v>2871</v>
      </c>
      <c r="BK180" t="s">
        <v>1722</v>
      </c>
      <c r="BL180" t="s">
        <v>9</v>
      </c>
      <c r="BM180" t="s">
        <v>1008</v>
      </c>
      <c r="BN180">
        <v>7.87</v>
      </c>
      <c r="BO180">
        <v>5.21</v>
      </c>
      <c r="BP180">
        <v>8.4499999999999993</v>
      </c>
      <c r="BQ180">
        <v>13.73</v>
      </c>
      <c r="BR180">
        <v>9.86</v>
      </c>
      <c r="BS180">
        <v>17.2</v>
      </c>
      <c r="BT180" t="s">
        <v>8759</v>
      </c>
      <c r="BU180" t="s">
        <v>2877</v>
      </c>
      <c r="BV180">
        <v>33.700000000000003</v>
      </c>
      <c r="BW180">
        <v>34</v>
      </c>
      <c r="BX180">
        <v>37.380000000000003</v>
      </c>
      <c r="BY180">
        <v>11.81</v>
      </c>
      <c r="BZ180">
        <v>8.6199999999999992</v>
      </c>
      <c r="CA180">
        <v>15.83</v>
      </c>
      <c r="CB180">
        <v>-0.82</v>
      </c>
      <c r="CC180">
        <v>-13.71</v>
      </c>
      <c r="CD180" t="s">
        <v>8760</v>
      </c>
      <c r="CE180" t="s">
        <v>8761</v>
      </c>
      <c r="CF180" s="8" t="s">
        <v>9</v>
      </c>
      <c r="CG180" s="9">
        <v>0.41349999999999998</v>
      </c>
      <c r="CH180" s="8">
        <v>2.1204862743616104E-2</v>
      </c>
      <c r="CI180" s="8">
        <v>2.1604639478027821E-3</v>
      </c>
      <c r="CJ180" s="8">
        <v>-4.5372709631919861E-2</v>
      </c>
      <c r="CK180" s="8">
        <v>0.14175620675086975</v>
      </c>
      <c r="CL180" s="8">
        <v>7.7551230788230896E-2</v>
      </c>
      <c r="CM180" s="9">
        <v>-0.23422294855117798</v>
      </c>
      <c r="CN180" s="9">
        <v>-0.26802998781204224</v>
      </c>
      <c r="CO180" s="9">
        <v>0.25417909026145935</v>
      </c>
      <c r="CP180" s="9">
        <v>9.4775622710585594E-3</v>
      </c>
      <c r="CQ180" s="9">
        <v>-4.9021776765584946E-2</v>
      </c>
      <c r="CR180">
        <v>-47.617649192405786</v>
      </c>
      <c r="CS180">
        <v>-2.4038869112702801</v>
      </c>
      <c r="CT180" t="e">
        <v>#VALUE!</v>
      </c>
      <c r="CU180" s="8">
        <v>-0.19808606207370758</v>
      </c>
      <c r="CV180" s="9">
        <v>-0.74126609563827517</v>
      </c>
      <c r="CW180">
        <v>0.06</v>
      </c>
      <c r="CX180">
        <v>9.122838436482084</v>
      </c>
      <c r="CY180" t="s">
        <v>8762</v>
      </c>
      <c r="CZ180">
        <v>-0.19808606207370758</v>
      </c>
      <c r="DA180">
        <v>3.0409461454940283</v>
      </c>
      <c r="DB180" t="s">
        <v>8763</v>
      </c>
      <c r="DC180">
        <v>-0.18818175897002218</v>
      </c>
      <c r="DD180">
        <v>1.5204730727470142</v>
      </c>
      <c r="DE180" t="s">
        <v>8764</v>
      </c>
      <c r="DF180">
        <v>-0.17431573462486266</v>
      </c>
      <c r="DG180">
        <v>0.91228384364820847</v>
      </c>
      <c r="DH180" t="s">
        <v>8765</v>
      </c>
      <c r="DI180">
        <v>-0.15846884965896607</v>
      </c>
      <c r="DJ180">
        <v>0.45614192182410424</v>
      </c>
      <c r="DK180" t="s">
        <v>8766</v>
      </c>
      <c r="DL180">
        <v>-0.13866024345159531</v>
      </c>
      <c r="DM180">
        <v>3070000000</v>
      </c>
      <c r="DN180">
        <v>-0.19808606207370758</v>
      </c>
      <c r="DO180">
        <v>28007114000</v>
      </c>
      <c r="DP180" t="e">
        <v>#VALUE!</v>
      </c>
      <c r="DQ180">
        <v>179</v>
      </c>
      <c r="DR180" t="e">
        <v>#VALUE!</v>
      </c>
      <c r="DS180">
        <v>1.154766095638275</v>
      </c>
      <c r="DT180" t="e">
        <v>#VALUE!</v>
      </c>
      <c r="DU180" t="e">
        <v>#VALUE!</v>
      </c>
      <c r="DV180" t="e">
        <v>#VALUE!</v>
      </c>
      <c r="DW180">
        <v>-2.1371000000000002</v>
      </c>
      <c r="DX180">
        <v>0.29858899322709187</v>
      </c>
      <c r="DY180">
        <v>-2.0203715509714342</v>
      </c>
      <c r="DZ180">
        <v>0</v>
      </c>
      <c r="EA180">
        <v>-2.0203715509714342</v>
      </c>
      <c r="EB180">
        <v>2</v>
      </c>
      <c r="EC180">
        <v>6.809360251427192E-3</v>
      </c>
      <c r="ED180">
        <v>4.5826814648513514E-2</v>
      </c>
      <c r="EE180">
        <v>0</v>
      </c>
      <c r="EF180">
        <v>0</v>
      </c>
      <c r="EG180">
        <v>15.148588993227092</v>
      </c>
      <c r="EH180" t="s">
        <v>110</v>
      </c>
      <c r="EI180">
        <v>0</v>
      </c>
      <c r="EJ180">
        <v>0</v>
      </c>
      <c r="EK180">
        <v>0</v>
      </c>
      <c r="EL180">
        <v>0</v>
      </c>
      <c r="EM180">
        <v>0</v>
      </c>
      <c r="EN180">
        <v>0</v>
      </c>
      <c r="EO180">
        <v>0</v>
      </c>
      <c r="EP180">
        <v>0</v>
      </c>
    </row>
    <row r="181" spans="1:146" ht="96" x14ac:dyDescent="0.25">
      <c r="A181" s="7"/>
      <c r="B181" s="7"/>
      <c r="C181" s="7" t="str">
        <f>""&amp;CHAR(10)&amp;Basic_Fundamental_Information_Constructure(F181)&amp;CHAR(10)&amp;Basic_Fundamental_Information_Concatenate("")</f>
        <v xml:space="preserve">
市值68.097705亿, 利润8.39亿; PE8.12; 平均PE48.33; 平均PEG50, PB.535; ROIC3.2567%; ROE7.7833%; 股利率0%; 毛利55.4867%; 净利33.0433%; 上一年度营收增17.2%, 利润增-53.23%, 利润增64.12%; 过往5年营收增-.97%, 利润增-139.79%
Income profile:
</v>
      </c>
      <c r="D181" s="11">
        <v>1052</v>
      </c>
      <c r="E181" t="s">
        <v>2878</v>
      </c>
      <c r="F181">
        <v>4.07</v>
      </c>
      <c r="G181" s="5">
        <v>-9.7000000000000003E-3</v>
      </c>
      <c r="H181" t="s">
        <v>8767</v>
      </c>
      <c r="I181">
        <v>6809770500</v>
      </c>
      <c r="J181">
        <v>8.1199999999999992</v>
      </c>
      <c r="K181">
        <v>0.53500000000000003</v>
      </c>
      <c r="L181" t="s">
        <v>6350</v>
      </c>
      <c r="M181" t="s">
        <v>9</v>
      </c>
      <c r="N181" t="s">
        <v>9</v>
      </c>
      <c r="O181" t="s">
        <v>9</v>
      </c>
      <c r="P181" t="s">
        <v>9</v>
      </c>
      <c r="Q181" t="s">
        <v>8768</v>
      </c>
      <c r="R181">
        <v>838931730</v>
      </c>
      <c r="S181" s="5">
        <v>0.64119999999999999</v>
      </c>
      <c r="T181" t="s">
        <v>5777</v>
      </c>
      <c r="U181">
        <v>1673162300</v>
      </c>
      <c r="V181">
        <v>1673162300</v>
      </c>
      <c r="W181" t="s">
        <v>9</v>
      </c>
      <c r="X181" t="s">
        <v>9</v>
      </c>
      <c r="Y181" t="s">
        <v>9</v>
      </c>
      <c r="Z181" t="s">
        <v>9</v>
      </c>
      <c r="AA181" t="s">
        <v>9</v>
      </c>
      <c r="AB181" t="s">
        <v>9</v>
      </c>
      <c r="AC181" t="s">
        <v>9</v>
      </c>
      <c r="AD181" t="s">
        <v>9</v>
      </c>
      <c r="AE181" t="s">
        <v>9</v>
      </c>
      <c r="AF181" t="s">
        <v>9</v>
      </c>
      <c r="AG181" t="s">
        <v>9</v>
      </c>
      <c r="AH181" t="s">
        <v>8769</v>
      </c>
      <c r="AI181" t="s">
        <v>9</v>
      </c>
      <c r="AJ181" t="s">
        <v>9</v>
      </c>
      <c r="AK181" t="s">
        <v>8770</v>
      </c>
      <c r="AL181" t="s">
        <v>9</v>
      </c>
      <c r="AM181" t="s">
        <v>9</v>
      </c>
      <c r="AN181" s="5">
        <v>0.59319999999999995</v>
      </c>
      <c r="AO181" t="s">
        <v>9</v>
      </c>
      <c r="AP181" t="s">
        <v>543</v>
      </c>
      <c r="AQ181" t="s">
        <v>9</v>
      </c>
      <c r="AR181" t="s">
        <v>8771</v>
      </c>
      <c r="AS181" t="s">
        <v>9</v>
      </c>
      <c r="AT181" t="s">
        <v>9</v>
      </c>
      <c r="AU181" t="s">
        <v>8772</v>
      </c>
      <c r="AV181" t="s">
        <v>8773</v>
      </c>
      <c r="AW181" t="s">
        <v>9</v>
      </c>
      <c r="AX181" t="s">
        <v>495</v>
      </c>
      <c r="AY181" t="s">
        <v>2880</v>
      </c>
      <c r="AZ181" t="s">
        <v>2881</v>
      </c>
      <c r="BA181" t="s">
        <v>2882</v>
      </c>
      <c r="BB181" t="s">
        <v>2883</v>
      </c>
      <c r="BC181" t="s">
        <v>2884</v>
      </c>
      <c r="BD181" t="s">
        <v>1717</v>
      </c>
      <c r="BE181" t="s">
        <v>622</v>
      </c>
      <c r="BF181" t="s">
        <v>2885</v>
      </c>
      <c r="BG181" t="s">
        <v>185</v>
      </c>
      <c r="BH181" t="s">
        <v>495</v>
      </c>
      <c r="BI181" t="s">
        <v>9</v>
      </c>
      <c r="BJ181" t="s">
        <v>2880</v>
      </c>
      <c r="BK181" t="s">
        <v>2879</v>
      </c>
      <c r="BL181" t="s">
        <v>9</v>
      </c>
      <c r="BM181" t="s">
        <v>2884</v>
      </c>
      <c r="BN181">
        <v>2.99</v>
      </c>
      <c r="BO181">
        <v>1.58</v>
      </c>
      <c r="BP181">
        <v>5.2</v>
      </c>
      <c r="BQ181">
        <v>6.59</v>
      </c>
      <c r="BR181">
        <v>4.03</v>
      </c>
      <c r="BS181">
        <v>12.73</v>
      </c>
      <c r="BT181" t="s">
        <v>8774</v>
      </c>
      <c r="BU181" t="s">
        <v>687</v>
      </c>
      <c r="BV181">
        <v>54.13</v>
      </c>
      <c r="BW181">
        <v>52.28</v>
      </c>
      <c r="BX181">
        <v>60.05</v>
      </c>
      <c r="BY181">
        <v>28.28</v>
      </c>
      <c r="BZ181">
        <v>22.43</v>
      </c>
      <c r="CA181">
        <v>48.42</v>
      </c>
      <c r="CB181">
        <v>-1.69</v>
      </c>
      <c r="CC181">
        <v>-1.93</v>
      </c>
      <c r="CD181" t="s">
        <v>8775</v>
      </c>
      <c r="CE181" t="s">
        <v>8776</v>
      </c>
      <c r="CF181" s="8" t="s">
        <v>9</v>
      </c>
      <c r="CG181" s="9">
        <v>0.64119999999999999</v>
      </c>
      <c r="CH181" s="8">
        <v>0.17196768522262573</v>
      </c>
      <c r="CI181" s="8">
        <v>-0.18155747652053833</v>
      </c>
      <c r="CJ181" s="8">
        <v>0.30258625745773315</v>
      </c>
      <c r="CK181" s="8">
        <v>7.3411516845226288E-2</v>
      </c>
      <c r="CL181" s="8">
        <v>6.172444554977119E-4</v>
      </c>
      <c r="CM181" s="9">
        <v>-0.5323299765586853</v>
      </c>
      <c r="CN181" s="9">
        <v>8.3926706314086914</v>
      </c>
      <c r="CO181" s="9">
        <v>-0.84972459077835083</v>
      </c>
      <c r="CP181" s="9">
        <v>5.9166718274354935E-2</v>
      </c>
      <c r="CQ181" s="9">
        <v>5.6338027119636536E-2</v>
      </c>
      <c r="CR181">
        <v>48.32543415703811</v>
      </c>
      <c r="CS181">
        <v>49.998550619714059</v>
      </c>
      <c r="CT181">
        <v>0</v>
      </c>
      <c r="CU181" s="8">
        <v>-9.6653670072555549E-3</v>
      </c>
      <c r="CV181" s="9">
        <v>-1.3978756338357925</v>
      </c>
      <c r="CW181">
        <v>0.06</v>
      </c>
      <c r="CX181">
        <v>8.1165321811680577</v>
      </c>
      <c r="CY181" t="s">
        <v>8777</v>
      </c>
      <c r="CZ181">
        <v>-9.6653670072555549E-3</v>
      </c>
      <c r="DA181">
        <v>2.7055107270560192</v>
      </c>
      <c r="DB181" t="s">
        <v>8778</v>
      </c>
      <c r="DC181">
        <v>-9.1820986568927759E-3</v>
      </c>
      <c r="DD181">
        <v>1.3527553635280096</v>
      </c>
      <c r="DE181" t="s">
        <v>8779</v>
      </c>
      <c r="DF181">
        <v>-8.5055229663848885E-3</v>
      </c>
      <c r="DG181">
        <v>0.81165321811680569</v>
      </c>
      <c r="DH181" t="s">
        <v>8780</v>
      </c>
      <c r="DI181">
        <v>-7.7322936058044443E-3</v>
      </c>
      <c r="DJ181">
        <v>0.40582660905840284</v>
      </c>
      <c r="DK181" t="s">
        <v>8781</v>
      </c>
      <c r="DL181">
        <v>-6.7657569050788881E-3</v>
      </c>
      <c r="DM181">
        <v>839000000</v>
      </c>
      <c r="DN181">
        <v>-9.6653670072555549E-3</v>
      </c>
      <c r="DO181">
        <v>6809770500</v>
      </c>
      <c r="DP181" t="e">
        <v>#VALUE!</v>
      </c>
      <c r="DQ181">
        <v>180</v>
      </c>
      <c r="DR181" t="e">
        <v>#VALUE!</v>
      </c>
      <c r="DS181">
        <v>2.0390756338357923</v>
      </c>
      <c r="DT181" t="e">
        <v>#VALUE!</v>
      </c>
      <c r="DU181" t="e">
        <v>#VALUE!</v>
      </c>
      <c r="DV181" t="e">
        <v>#VALUE!</v>
      </c>
      <c r="DW181">
        <v>-1.9299999999999998E-2</v>
      </c>
      <c r="DX181">
        <v>0.21221059620478677</v>
      </c>
      <c r="DY181">
        <v>-1.5866645067523937E-3</v>
      </c>
      <c r="DZ181">
        <v>0</v>
      </c>
      <c r="EA181">
        <v>-1.5866645067523937E-3</v>
      </c>
      <c r="EB181">
        <v>0</v>
      </c>
      <c r="EC181">
        <v>4.3070537747593287E-3</v>
      </c>
      <c r="ED181">
        <v>5.2390494335187929E-2</v>
      </c>
      <c r="EE181">
        <v>0</v>
      </c>
      <c r="EF181">
        <v>0</v>
      </c>
      <c r="EG181">
        <v>13.082210596204787</v>
      </c>
      <c r="EH181" t="s">
        <v>110</v>
      </c>
      <c r="EI181">
        <v>0</v>
      </c>
      <c r="EJ181">
        <v>0</v>
      </c>
      <c r="EK181">
        <v>0</v>
      </c>
      <c r="EL181">
        <v>0</v>
      </c>
      <c r="EM181">
        <v>0</v>
      </c>
      <c r="EN181">
        <v>0</v>
      </c>
      <c r="EO181">
        <v>0</v>
      </c>
      <c r="EP181">
        <v>0</v>
      </c>
    </row>
    <row r="182" spans="1:146" ht="96" x14ac:dyDescent="0.25">
      <c r="A182" s="7"/>
      <c r="B182" s="7"/>
      <c r="C182" s="7" t="str">
        <f>""&amp;CHAR(10)&amp;Basic_Fundamental_Information_Constructure(F182)&amp;CHAR(10)&amp;Basic_Fundamental_Information_Concatenate("")</f>
        <v xml:space="preserve">
市值52.619753亿, 利润-16.38亿; PE; 平均PE5.29; 平均PEG2.05, PB.25; ROIC-.2833%; ROE-.7167%; 股利率0%; 毛利2.2467%; 净利-.2967%; 上一年度营收增4.46%, 利润增-158.82%; 当季营收增-22.47%, 利润增-198.7%; 过往5年营收增2.57%, 利润增11.61%
Income profile:
</v>
      </c>
      <c r="D182" s="11">
        <v>1053</v>
      </c>
      <c r="E182" t="s">
        <v>2886</v>
      </c>
      <c r="F182">
        <v>0.59</v>
      </c>
      <c r="G182" s="5">
        <v>-1.67E-2</v>
      </c>
      <c r="H182" t="s">
        <v>8782</v>
      </c>
      <c r="I182">
        <v>5261975300</v>
      </c>
      <c r="K182">
        <v>0.25</v>
      </c>
      <c r="L182" t="s">
        <v>6350</v>
      </c>
      <c r="M182" t="s">
        <v>8783</v>
      </c>
      <c r="N182" t="s">
        <v>8784</v>
      </c>
      <c r="O182" t="s">
        <v>6218</v>
      </c>
      <c r="P182">
        <v>-26.11</v>
      </c>
      <c r="Q182" t="s">
        <v>8785</v>
      </c>
      <c r="R182">
        <v>-1638179800</v>
      </c>
      <c r="S182" s="5">
        <v>-1.9870000000000001</v>
      </c>
      <c r="T182" t="s">
        <v>3586</v>
      </c>
      <c r="U182">
        <v>538127200</v>
      </c>
      <c r="V182">
        <v>8918602300</v>
      </c>
      <c r="W182">
        <v>1.91</v>
      </c>
      <c r="X182">
        <v>0.21</v>
      </c>
      <c r="Y182">
        <v>-4.21</v>
      </c>
      <c r="Z182" t="s">
        <v>7138</v>
      </c>
      <c r="AA182" t="s">
        <v>8786</v>
      </c>
      <c r="AB182" t="s">
        <v>8787</v>
      </c>
      <c r="AC182" t="s">
        <v>8788</v>
      </c>
      <c r="AD182" t="s">
        <v>8789</v>
      </c>
      <c r="AE182" t="s">
        <v>8790</v>
      </c>
      <c r="AF182" t="s">
        <v>9</v>
      </c>
      <c r="AG182" t="s">
        <v>8791</v>
      </c>
      <c r="AH182" t="s">
        <v>8792</v>
      </c>
      <c r="AI182" t="s">
        <v>1850</v>
      </c>
      <c r="AJ182" t="s">
        <v>3261</v>
      </c>
      <c r="AK182" t="s">
        <v>8793</v>
      </c>
      <c r="AL182" t="s">
        <v>9</v>
      </c>
      <c r="AM182" t="s">
        <v>8794</v>
      </c>
      <c r="AN182" s="5">
        <v>0.47560000000000002</v>
      </c>
      <c r="AO182" t="s">
        <v>3677</v>
      </c>
      <c r="AP182" t="s">
        <v>3163</v>
      </c>
      <c r="AQ182" t="s">
        <v>8795</v>
      </c>
      <c r="AR182" t="s">
        <v>8796</v>
      </c>
      <c r="AS182" t="s">
        <v>8797</v>
      </c>
      <c r="AT182" t="s">
        <v>881</v>
      </c>
      <c r="AU182" t="s">
        <v>1661</v>
      </c>
      <c r="AV182" t="s">
        <v>8798</v>
      </c>
      <c r="AW182" t="s">
        <v>47</v>
      </c>
      <c r="AX182" t="s">
        <v>2887</v>
      </c>
      <c r="AY182" t="s">
        <v>2892</v>
      </c>
      <c r="AZ182" t="s">
        <v>2893</v>
      </c>
      <c r="BA182" t="s">
        <v>2894</v>
      </c>
      <c r="BB182" t="s">
        <v>2895</v>
      </c>
      <c r="BC182" t="s">
        <v>2609</v>
      </c>
      <c r="BD182" t="s">
        <v>223</v>
      </c>
      <c r="BE182" t="s">
        <v>211</v>
      </c>
      <c r="BF182" t="s">
        <v>2896</v>
      </c>
      <c r="BG182" t="s">
        <v>1183</v>
      </c>
      <c r="BH182" t="s">
        <v>2887</v>
      </c>
      <c r="BI182" t="s">
        <v>2897</v>
      </c>
      <c r="BJ182" t="s">
        <v>2892</v>
      </c>
      <c r="BK182" t="s">
        <v>2888</v>
      </c>
      <c r="BL182" t="s">
        <v>232</v>
      </c>
      <c r="BM182" t="s">
        <v>2609</v>
      </c>
      <c r="BN182">
        <v>-6.16</v>
      </c>
      <c r="BO182">
        <v>-3.88</v>
      </c>
      <c r="BP182">
        <v>9.19</v>
      </c>
      <c r="BQ182">
        <v>-7.53</v>
      </c>
      <c r="BR182">
        <v>-4.78</v>
      </c>
      <c r="BS182">
        <v>10.16</v>
      </c>
      <c r="BT182" t="s">
        <v>2898</v>
      </c>
      <c r="BU182" t="s">
        <v>1254</v>
      </c>
      <c r="BV182">
        <v>-2.19</v>
      </c>
      <c r="BW182">
        <v>-0.49</v>
      </c>
      <c r="BX182">
        <v>9.42</v>
      </c>
      <c r="BY182">
        <v>-3.82</v>
      </c>
      <c r="BZ182">
        <v>-2.8</v>
      </c>
      <c r="CA182">
        <v>5.73</v>
      </c>
      <c r="CB182">
        <v>-4.84</v>
      </c>
      <c r="CC182">
        <v>-6.35</v>
      </c>
      <c r="CD182" t="s">
        <v>8799</v>
      </c>
      <c r="CE182" t="s">
        <v>8800</v>
      </c>
      <c r="CF182" s="8">
        <v>-0.22474323062558357</v>
      </c>
      <c r="CG182" s="9">
        <v>-1.9870000000000001</v>
      </c>
      <c r="CH182" s="8">
        <v>4.4646676629781723E-2</v>
      </c>
      <c r="CI182" s="8">
        <v>-0.15473884344100952</v>
      </c>
      <c r="CJ182" s="8">
        <v>0.67671817541122437</v>
      </c>
      <c r="CK182" s="8">
        <v>0.12441323697566986</v>
      </c>
      <c r="CL182" s="8">
        <v>0.62425965070724487</v>
      </c>
      <c r="CM182" s="9">
        <v>-1.5881508588790894</v>
      </c>
      <c r="CN182" s="9">
        <v>2.6596584320068359</v>
      </c>
      <c r="CO182" s="9">
        <v>-0.26402321457862854</v>
      </c>
      <c r="CP182" s="9">
        <v>-0.49214145541191101</v>
      </c>
      <c r="CQ182" s="9">
        <v>4.3020834922790527</v>
      </c>
      <c r="CR182">
        <v>5.2866463161419954</v>
      </c>
      <c r="CS182">
        <v>2.0532542026480085</v>
      </c>
      <c r="CT182">
        <v>0</v>
      </c>
      <c r="CU182" s="8">
        <v>2.5747646391391755E-2</v>
      </c>
      <c r="CV182" s="9">
        <v>0.11614695712924003</v>
      </c>
      <c r="CW182">
        <v>0.06</v>
      </c>
      <c r="CX182" t="e">
        <v>#VALUE!</v>
      </c>
      <c r="CY182" t="s">
        <v>109</v>
      </c>
      <c r="CZ182">
        <v>2.5747646391391755E-2</v>
      </c>
      <c r="DA182" t="e">
        <v>#VALUE!</v>
      </c>
      <c r="DB182" t="s">
        <v>108</v>
      </c>
      <c r="DC182">
        <v>2.4460264071822165E-2</v>
      </c>
      <c r="DD182" t="e">
        <v>#VALUE!</v>
      </c>
      <c r="DE182" t="s">
        <v>108</v>
      </c>
      <c r="DF182">
        <v>2.2657928824424745E-2</v>
      </c>
      <c r="DG182" t="e">
        <v>#VALUE!</v>
      </c>
      <c r="DH182" t="s">
        <v>108</v>
      </c>
      <c r="DI182">
        <v>2.0598117113113407E-2</v>
      </c>
      <c r="DJ182" t="e">
        <v>#VALUE!</v>
      </c>
      <c r="DK182" t="s">
        <v>108</v>
      </c>
      <c r="DL182">
        <v>1.8023352473974227E-2</v>
      </c>
      <c r="DM182">
        <v>-1638000000</v>
      </c>
      <c r="DN182">
        <v>2.5747646391391755E-2</v>
      </c>
      <c r="DO182">
        <v>3301975300</v>
      </c>
      <c r="DP182" t="e">
        <v>#VALUE!</v>
      </c>
      <c r="DQ182">
        <v>181</v>
      </c>
      <c r="DR182">
        <v>-0.25049087701697531</v>
      </c>
      <c r="DS182">
        <v>-2.10314695712924</v>
      </c>
      <c r="DT182">
        <v>-0.24</v>
      </c>
      <c r="DU182">
        <v>-1.2649999999999999</v>
      </c>
      <c r="DV182">
        <v>-1.5049999999999999</v>
      </c>
      <c r="DW182">
        <v>-8.7622047244094485</v>
      </c>
      <c r="DX182">
        <v>1.0545379297470805</v>
      </c>
      <c r="DY182">
        <v>-8.0568131622009229</v>
      </c>
      <c r="DZ182">
        <v>0</v>
      </c>
      <c r="EA182">
        <v>-8.0568131622009229</v>
      </c>
      <c r="EB182">
        <v>8</v>
      </c>
      <c r="EC182">
        <v>7.8797100303485898E-4</v>
      </c>
      <c r="ED182">
        <v>1.0571409827299956E-2</v>
      </c>
      <c r="EE182">
        <v>0</v>
      </c>
      <c r="EF182">
        <v>0</v>
      </c>
      <c r="EG182">
        <v>98.074537929747081</v>
      </c>
      <c r="EH182" t="s">
        <v>110</v>
      </c>
      <c r="EI182">
        <v>0</v>
      </c>
      <c r="EJ182">
        <v>0</v>
      </c>
      <c r="EK182">
        <v>0</v>
      </c>
      <c r="EL182">
        <v>0</v>
      </c>
      <c r="EM182">
        <v>0</v>
      </c>
      <c r="EN182">
        <v>0</v>
      </c>
      <c r="EO182">
        <v>0</v>
      </c>
      <c r="EP182">
        <v>0</v>
      </c>
    </row>
    <row r="183" spans="1:146" ht="96" x14ac:dyDescent="0.25">
      <c r="A183" s="7"/>
      <c r="B183" s="7"/>
      <c r="C183" s="7" t="str">
        <f>""&amp;CHAR(10)&amp;Basic_Fundamental_Information_Constructure(F183)&amp;CHAR(10)&amp;Basic_Fundamental_Information_Concatenate("")</f>
        <v xml:space="preserve">
市值534.56678亿, 利润-45.38亿; PE; 平均PE39.25; 平均PEG2.16, PB1.32; ROIC-10.0933%; ROE-36.0767%; 股利率0%; 毛利30.27%; 净利-17.14%; 上一年度营收增78.51%, 利润增69.39%; 当季营收增81.78%, 利润增137.6%; 过往5年营收增18.14%, 利润增-18.29%
Income profile:
</v>
      </c>
      <c r="D183" s="11">
        <v>1055</v>
      </c>
      <c r="E183" t="s">
        <v>2899</v>
      </c>
      <c r="F183">
        <v>2.95</v>
      </c>
      <c r="G183" s="5">
        <v>3.3999999999999998E-3</v>
      </c>
      <c r="H183" t="s">
        <v>8801</v>
      </c>
      <c r="I183">
        <v>53456678000</v>
      </c>
      <c r="K183">
        <v>1.32</v>
      </c>
      <c r="L183" t="s">
        <v>6350</v>
      </c>
      <c r="M183" t="s">
        <v>8802</v>
      </c>
      <c r="N183" t="s">
        <v>8803</v>
      </c>
      <c r="O183" t="s">
        <v>8804</v>
      </c>
      <c r="P183">
        <v>30.97</v>
      </c>
      <c r="Q183" t="s">
        <v>8805</v>
      </c>
      <c r="R183">
        <v>-4538268000</v>
      </c>
      <c r="S183" s="5">
        <v>1.3759999999999999</v>
      </c>
      <c r="T183" t="s">
        <v>8806</v>
      </c>
      <c r="U183">
        <v>4643997300</v>
      </c>
      <c r="V183">
        <v>18120908000</v>
      </c>
      <c r="W183">
        <v>8.36</v>
      </c>
      <c r="X183">
        <v>0.14000000000000001</v>
      </c>
      <c r="Y183">
        <v>3.42</v>
      </c>
      <c r="Z183" t="s">
        <v>8807</v>
      </c>
      <c r="AA183" t="s">
        <v>8808</v>
      </c>
      <c r="AB183" t="s">
        <v>6941</v>
      </c>
      <c r="AC183" t="s">
        <v>3014</v>
      </c>
      <c r="AD183" t="s">
        <v>3606</v>
      </c>
      <c r="AE183" t="s">
        <v>8809</v>
      </c>
      <c r="AF183" t="s">
        <v>9</v>
      </c>
      <c r="AG183" t="s">
        <v>1279</v>
      </c>
      <c r="AH183" t="s">
        <v>8810</v>
      </c>
      <c r="AI183" t="s">
        <v>8811</v>
      </c>
      <c r="AJ183" t="s">
        <v>8812</v>
      </c>
      <c r="AK183" t="s">
        <v>8813</v>
      </c>
      <c r="AL183" t="s">
        <v>9</v>
      </c>
      <c r="AM183" t="s">
        <v>8814</v>
      </c>
      <c r="AN183" s="5">
        <v>0.83030000000000004</v>
      </c>
      <c r="AO183" t="s">
        <v>8815</v>
      </c>
      <c r="AP183" t="s">
        <v>5643</v>
      </c>
      <c r="AQ183" t="s">
        <v>8816</v>
      </c>
      <c r="AR183" t="s">
        <v>8817</v>
      </c>
      <c r="AS183" t="s">
        <v>8818</v>
      </c>
      <c r="AT183" t="s">
        <v>8819</v>
      </c>
      <c r="AU183" t="s">
        <v>8820</v>
      </c>
      <c r="AV183" t="s">
        <v>8821</v>
      </c>
      <c r="AW183" t="s">
        <v>8822</v>
      </c>
      <c r="AX183" t="s">
        <v>2900</v>
      </c>
      <c r="AY183" t="s">
        <v>2906</v>
      </c>
      <c r="AZ183" t="s">
        <v>2907</v>
      </c>
      <c r="BA183" t="s">
        <v>2908</v>
      </c>
      <c r="BB183" t="s">
        <v>2909</v>
      </c>
      <c r="BC183" t="s">
        <v>2910</v>
      </c>
      <c r="BD183" t="s">
        <v>2911</v>
      </c>
      <c r="BE183" t="s">
        <v>2912</v>
      </c>
      <c r="BF183" t="s">
        <v>2913</v>
      </c>
      <c r="BG183" t="s">
        <v>2914</v>
      </c>
      <c r="BH183" t="s">
        <v>2900</v>
      </c>
      <c r="BI183" t="s">
        <v>2915</v>
      </c>
      <c r="BJ183" t="s">
        <v>2906</v>
      </c>
      <c r="BK183" t="s">
        <v>2901</v>
      </c>
      <c r="BL183" t="s">
        <v>2916</v>
      </c>
      <c r="BM183" t="s">
        <v>2910</v>
      </c>
      <c r="BN183">
        <v>-2.54</v>
      </c>
      <c r="BO183">
        <v>-20.010000000000002</v>
      </c>
      <c r="BP183">
        <v>-7.73</v>
      </c>
      <c r="BQ183">
        <v>-11.17</v>
      </c>
      <c r="BR183">
        <v>-79.22</v>
      </c>
      <c r="BS183">
        <v>-17.84</v>
      </c>
      <c r="BT183" t="s">
        <v>2917</v>
      </c>
      <c r="BU183" t="s">
        <v>567</v>
      </c>
      <c r="BV183">
        <v>35.42</v>
      </c>
      <c r="BW183">
        <v>21.03</v>
      </c>
      <c r="BX183">
        <v>34.36</v>
      </c>
      <c r="BY183">
        <v>-1.85</v>
      </c>
      <c r="BZ183">
        <v>-38.729999999999997</v>
      </c>
      <c r="CA183">
        <v>-10.84</v>
      </c>
      <c r="CB183">
        <v>-4.22</v>
      </c>
      <c r="CC183">
        <v>-3.59</v>
      </c>
      <c r="CD183" t="s">
        <v>8823</v>
      </c>
      <c r="CE183" t="s">
        <v>39</v>
      </c>
      <c r="CF183" s="8">
        <v>0.81778906279607377</v>
      </c>
      <c r="CG183" s="9">
        <v>1.3759999999999999</v>
      </c>
      <c r="CH183" s="8">
        <v>0.78507500886917114</v>
      </c>
      <c r="CI183" s="8">
        <v>-0.21092213690280914</v>
      </c>
      <c r="CJ183" s="8">
        <v>0.12816908955574036</v>
      </c>
      <c r="CK183" s="8">
        <v>-0.32536125183105469</v>
      </c>
      <c r="CL183" s="8">
        <v>6.7233562469482422E-2</v>
      </c>
      <c r="CM183" s="9">
        <v>0.69387483596801758</v>
      </c>
      <c r="CN183" s="9">
        <v>-0.14656965434551239</v>
      </c>
      <c r="CO183" s="9">
        <v>-5.3827118873596191</v>
      </c>
      <c r="CP183" s="9">
        <v>-0.10497569292783737</v>
      </c>
      <c r="CQ183" s="9">
        <v>-0.53882747888565063</v>
      </c>
      <c r="CR183">
        <v>39.253465671276466</v>
      </c>
      <c r="CS183">
        <v>2.1638021459930643</v>
      </c>
      <c r="CT183">
        <v>0</v>
      </c>
      <c r="CU183" s="8">
        <v>0.18140968084335327</v>
      </c>
      <c r="CV183" s="9">
        <v>-0.18290949761867523</v>
      </c>
      <c r="CW183">
        <v>0.06</v>
      </c>
      <c r="CX183" t="e">
        <v>#VALUE!</v>
      </c>
      <c r="CY183" t="s">
        <v>109</v>
      </c>
      <c r="CZ183">
        <v>0.18140968084335327</v>
      </c>
      <c r="DA183" t="e">
        <v>#VALUE!</v>
      </c>
      <c r="DB183" t="s">
        <v>108</v>
      </c>
      <c r="DC183">
        <v>0.17233919680118559</v>
      </c>
      <c r="DD183" t="e">
        <v>#VALUE!</v>
      </c>
      <c r="DE183" t="s">
        <v>108</v>
      </c>
      <c r="DF183">
        <v>0.15964051914215088</v>
      </c>
      <c r="DG183" t="e">
        <v>#VALUE!</v>
      </c>
      <c r="DH183" t="s">
        <v>108</v>
      </c>
      <c r="DI183">
        <v>0.14512774467468262</v>
      </c>
      <c r="DJ183" t="e">
        <v>#VALUE!</v>
      </c>
      <c r="DK183" t="s">
        <v>108</v>
      </c>
      <c r="DL183">
        <v>0.12698677659034727</v>
      </c>
      <c r="DM183">
        <v>-4538000000</v>
      </c>
      <c r="DN183">
        <v>0.18140968084335327</v>
      </c>
      <c r="DO183">
        <v>276966678000</v>
      </c>
      <c r="DP183" t="e">
        <v>#VALUE!</v>
      </c>
      <c r="DQ183">
        <v>182</v>
      </c>
      <c r="DR183">
        <v>0.63637938195272048</v>
      </c>
      <c r="DS183">
        <v>1.558909497618675</v>
      </c>
      <c r="DT183">
        <v>0.12666666666666662</v>
      </c>
      <c r="DU183">
        <v>-0.79</v>
      </c>
      <c r="DV183">
        <v>-0.66333333333333344</v>
      </c>
      <c r="DW183">
        <v>-4.8507109004739339</v>
      </c>
      <c r="DX183">
        <v>0.39276092896174974</v>
      </c>
      <c r="DY183">
        <v>-4.1044340604200658</v>
      </c>
      <c r="DZ183">
        <v>0</v>
      </c>
      <c r="EA183">
        <v>-4.1044340604200658</v>
      </c>
      <c r="EB183">
        <v>4</v>
      </c>
      <c r="EC183">
        <v>2.4794839199007027E-3</v>
      </c>
      <c r="ED183">
        <v>2.0197663384196863E-2</v>
      </c>
      <c r="EE183">
        <v>0</v>
      </c>
      <c r="EF183">
        <v>0</v>
      </c>
      <c r="EG183">
        <v>27.12276092896175</v>
      </c>
      <c r="EH183" t="s">
        <v>110</v>
      </c>
      <c r="EI183">
        <v>0</v>
      </c>
      <c r="EJ183">
        <v>0</v>
      </c>
      <c r="EK183">
        <v>0</v>
      </c>
      <c r="EL183">
        <v>0</v>
      </c>
      <c r="EM183">
        <v>0</v>
      </c>
      <c r="EN183">
        <v>0</v>
      </c>
      <c r="EO183">
        <v>0</v>
      </c>
      <c r="EP183">
        <v>0</v>
      </c>
    </row>
    <row r="184" spans="1:146" ht="96" x14ac:dyDescent="0.25">
      <c r="A184" s="7"/>
      <c r="B184" s="7"/>
      <c r="C184" s="7" t="str">
        <f>""&amp;CHAR(10)&amp;Basic_Fundamental_Information_Constructure(F184)&amp;CHAR(10)&amp;Basic_Fundamental_Information_Concatenate("")</f>
        <v xml:space="preserve">
市值16.370384亿, 利润8463.14万; PE16.75; 平均PE18.7; 平均PEG2.78, PB.827; ROIC2.6833%; ROE2.9567%; 毛利19.8633%; 净利2.7433%; 上一年度营收增27.48%, 利润增102.35%; 当季营收增65.83%, 利润增126.6%; 过往5年营收增6.73%, 利润增-18.38%
Income profile:
</v>
      </c>
      <c r="D184" s="11">
        <v>1057</v>
      </c>
      <c r="E184" t="s">
        <v>2918</v>
      </c>
      <c r="F184">
        <v>1.99</v>
      </c>
      <c r="G184" s="5">
        <v>-1.9699999999999999E-2</v>
      </c>
      <c r="H184" t="s">
        <v>8824</v>
      </c>
      <c r="I184">
        <v>1637038400</v>
      </c>
      <c r="J184">
        <v>16.75</v>
      </c>
      <c r="K184">
        <v>0.82699999999999996</v>
      </c>
      <c r="L184" t="s">
        <v>6350</v>
      </c>
      <c r="M184" t="s">
        <v>185</v>
      </c>
      <c r="N184" t="s">
        <v>8825</v>
      </c>
      <c r="O184" t="s">
        <v>6423</v>
      </c>
      <c r="P184">
        <v>43.03</v>
      </c>
      <c r="Q184" t="s">
        <v>7136</v>
      </c>
      <c r="R184">
        <v>84631401</v>
      </c>
      <c r="S184" s="5">
        <v>1.266</v>
      </c>
      <c r="T184" t="s">
        <v>8826</v>
      </c>
      <c r="U184">
        <v>216785000</v>
      </c>
      <c r="V184">
        <v>822632380</v>
      </c>
      <c r="W184">
        <v>1.57</v>
      </c>
      <c r="X184">
        <v>0.18</v>
      </c>
      <c r="Y184">
        <v>5.03</v>
      </c>
      <c r="Z184" t="s">
        <v>1205</v>
      </c>
      <c r="AA184" t="s">
        <v>1033</v>
      </c>
      <c r="AB184" t="s">
        <v>8827</v>
      </c>
      <c r="AC184" t="s">
        <v>8828</v>
      </c>
      <c r="AD184" t="s">
        <v>123</v>
      </c>
      <c r="AE184" t="s">
        <v>8829</v>
      </c>
      <c r="AF184" t="s">
        <v>9</v>
      </c>
      <c r="AG184" t="s">
        <v>8830</v>
      </c>
      <c r="AH184" t="s">
        <v>8831</v>
      </c>
      <c r="AI184" t="s">
        <v>5197</v>
      </c>
      <c r="AJ184" t="s">
        <v>4246</v>
      </c>
      <c r="AK184" t="s">
        <v>8832</v>
      </c>
      <c r="AL184" t="s">
        <v>9</v>
      </c>
      <c r="AM184" t="s">
        <v>5783</v>
      </c>
      <c r="AN184" s="5">
        <v>0.36559999999999998</v>
      </c>
      <c r="AO184" t="s">
        <v>2579</v>
      </c>
      <c r="AP184" t="s">
        <v>4293</v>
      </c>
      <c r="AQ184" t="s">
        <v>5193</v>
      </c>
      <c r="AR184" t="s">
        <v>6359</v>
      </c>
      <c r="AS184" t="s">
        <v>5794</v>
      </c>
      <c r="AT184" t="s">
        <v>8833</v>
      </c>
      <c r="AU184" t="s">
        <v>8834</v>
      </c>
      <c r="AV184" t="s">
        <v>8835</v>
      </c>
      <c r="AW184" t="s">
        <v>8836</v>
      </c>
      <c r="AX184" t="s">
        <v>2921</v>
      </c>
      <c r="AY184" t="s">
        <v>2927</v>
      </c>
      <c r="AZ184" t="s">
        <v>1702</v>
      </c>
      <c r="BA184" t="s">
        <v>2929</v>
      </c>
      <c r="BB184" t="s">
        <v>2930</v>
      </c>
      <c r="BC184" t="s">
        <v>2931</v>
      </c>
      <c r="BD184" t="s">
        <v>2932</v>
      </c>
      <c r="BE184" t="s">
        <v>47</v>
      </c>
      <c r="BF184" t="s">
        <v>2933</v>
      </c>
      <c r="BG184" t="s">
        <v>2934</v>
      </c>
      <c r="BH184" t="s">
        <v>2921</v>
      </c>
      <c r="BI184" t="s">
        <v>2935</v>
      </c>
      <c r="BJ184" t="s">
        <v>2927</v>
      </c>
      <c r="BK184" t="s">
        <v>2922</v>
      </c>
      <c r="BL184" t="s">
        <v>2936</v>
      </c>
      <c r="BM184" t="s">
        <v>2931</v>
      </c>
      <c r="BN184">
        <v>4.76</v>
      </c>
      <c r="BO184">
        <v>1.01</v>
      </c>
      <c r="BP184">
        <v>2.2799999999999998</v>
      </c>
      <c r="BQ184">
        <v>5.25</v>
      </c>
      <c r="BR184">
        <v>1.1399999999999999</v>
      </c>
      <c r="BS184">
        <v>2.48</v>
      </c>
      <c r="BT184" t="s">
        <v>2937</v>
      </c>
      <c r="BU184" t="s">
        <v>861</v>
      </c>
      <c r="BV184">
        <v>20.059999999999999</v>
      </c>
      <c r="BW184">
        <v>18.87</v>
      </c>
      <c r="BX184">
        <v>20.66</v>
      </c>
      <c r="BY184">
        <v>4.7</v>
      </c>
      <c r="BZ184">
        <v>1.33</v>
      </c>
      <c r="CA184">
        <v>2.2000000000000002</v>
      </c>
      <c r="CB184">
        <v>-5.69</v>
      </c>
      <c r="CC184">
        <v>-15.68</v>
      </c>
      <c r="CD184" t="s">
        <v>8837</v>
      </c>
      <c r="CE184" t="s">
        <v>1255</v>
      </c>
      <c r="CF184" s="8">
        <v>0.65830721003134796</v>
      </c>
      <c r="CG184" s="9">
        <v>1.266</v>
      </c>
      <c r="CH184" s="8">
        <v>0.27477473020553589</v>
      </c>
      <c r="CI184" s="8">
        <v>8.8997848331928253E-2</v>
      </c>
      <c r="CJ184" s="8">
        <v>9.6848681569099426E-2</v>
      </c>
      <c r="CK184" s="8">
        <v>8.5270823910832405E-3</v>
      </c>
      <c r="CL184" s="8">
        <v>-6.7919075489044189E-2</v>
      </c>
      <c r="CM184" s="9">
        <v>1.0234934091567993</v>
      </c>
      <c r="CN184" s="9">
        <v>-0.14090579748153687</v>
      </c>
      <c r="CO184" s="9">
        <v>1.2471284866333008</v>
      </c>
      <c r="CP184" s="9">
        <v>-24.771598815917969</v>
      </c>
      <c r="CQ184" s="9">
        <v>-0.78832942247390747</v>
      </c>
      <c r="CR184">
        <v>18.698293492358381</v>
      </c>
      <c r="CS184">
        <v>2.7762966615839906</v>
      </c>
      <c r="CT184" t="e">
        <v>#VALUE!</v>
      </c>
      <c r="CU184" s="8">
        <v>6.7349767591804263E-2</v>
      </c>
      <c r="CV184" s="9">
        <v>-0.18380725383758545</v>
      </c>
      <c r="CW184">
        <v>0.06</v>
      </c>
      <c r="CX184">
        <v>9.4115844209434361</v>
      </c>
      <c r="CY184">
        <v>85218212.378272653</v>
      </c>
      <c r="CZ184">
        <v>6.7349767591804263E-2</v>
      </c>
      <c r="DA184">
        <v>3.1353302128261973</v>
      </c>
      <c r="DB184">
        <v>255806676.03015882</v>
      </c>
      <c r="DC184">
        <v>6.3982279212214041E-2</v>
      </c>
      <c r="DD184">
        <v>1.5832971193897374</v>
      </c>
      <c r="DE184">
        <v>506562154.49260461</v>
      </c>
      <c r="DF184">
        <v>5.9267795480787755E-2</v>
      </c>
      <c r="DG184">
        <v>0.97821621199372544</v>
      </c>
      <c r="DH184">
        <v>819898903.90933788</v>
      </c>
      <c r="DI184">
        <v>5.3879814073443416E-2</v>
      </c>
      <c r="DJ184">
        <v>0.5372790253230384</v>
      </c>
      <c r="DK184">
        <v>1492778169.62569</v>
      </c>
      <c r="DL184">
        <v>4.7144837314262979E-2</v>
      </c>
      <c r="DM184">
        <v>84631400</v>
      </c>
      <c r="DN184">
        <v>6.7349767591804263E-2</v>
      </c>
      <c r="DO184">
        <v>802038400</v>
      </c>
      <c r="DP184" t="e">
        <v>#VALUE!</v>
      </c>
      <c r="DQ184">
        <v>183</v>
      </c>
      <c r="DR184">
        <v>0.59095744243954373</v>
      </c>
      <c r="DS184">
        <v>1.4498072538375855</v>
      </c>
      <c r="DT184">
        <v>-0.3066666666666667</v>
      </c>
      <c r="DU184">
        <v>-0.61983333333333346</v>
      </c>
      <c r="DV184">
        <v>-0.9265000000000001</v>
      </c>
      <c r="DW184">
        <v>-8.3628826530612237</v>
      </c>
      <c r="DX184">
        <v>0.20374999999999979</v>
      </c>
      <c r="DY184">
        <v>-8.0376490752551017</v>
      </c>
      <c r="DZ184">
        <v>0</v>
      </c>
      <c r="EA184">
        <v>-8.0376490752551017</v>
      </c>
      <c r="EB184">
        <v>8</v>
      </c>
      <c r="EC184">
        <v>1.8665688797710588E-2</v>
      </c>
      <c r="ED184">
        <v>0.17991025347190928</v>
      </c>
      <c r="EE184">
        <v>0</v>
      </c>
      <c r="EF184">
        <v>0</v>
      </c>
      <c r="EG184">
        <v>10.10375</v>
      </c>
      <c r="EH184" t="s">
        <v>110</v>
      </c>
      <c r="EI184">
        <v>0</v>
      </c>
      <c r="EJ184">
        <v>0</v>
      </c>
      <c r="EK184">
        <v>0</v>
      </c>
      <c r="EL184">
        <v>0</v>
      </c>
      <c r="EM184">
        <v>0</v>
      </c>
      <c r="EN184">
        <v>0</v>
      </c>
      <c r="EO184">
        <v>0</v>
      </c>
      <c r="EP184">
        <v>0</v>
      </c>
    </row>
    <row r="185" spans="1:146" ht="96" x14ac:dyDescent="0.25">
      <c r="A185" s="7"/>
      <c r="B185" s="7"/>
      <c r="C185" s="7" t="str">
        <f>""&amp;CHAR(10)&amp;Basic_Fundamental_Information_Constructure(F185)&amp;CHAR(10)&amp;Basic_Fundamental_Information_Concatenate("")</f>
        <v xml:space="preserve">
市值123.315711亿, 利润-3.33亿; PE40.15; 平均PE18.07; 平均PEG1.39, PB.727; ROIC-.5133%; ROE-.52%; 毛利40.5167%; 净利-2.5967%; 上一年度营收增-10.66%, 利润增-192.11%, 利润增2117%; 过往5年营收增12.97%, 利润增-86.42%
Income profile:
</v>
      </c>
      <c r="D185" s="11">
        <v>1060</v>
      </c>
      <c r="E185" t="s">
        <v>2938</v>
      </c>
      <c r="F185">
        <v>0.41499999999999998</v>
      </c>
      <c r="G185" s="5">
        <v>-2.35E-2</v>
      </c>
      <c r="H185" t="s">
        <v>8838</v>
      </c>
      <c r="I185">
        <v>12331571100</v>
      </c>
      <c r="J185">
        <v>40.15</v>
      </c>
      <c r="K185">
        <v>0.72699999999999998</v>
      </c>
      <c r="L185" t="s">
        <v>6350</v>
      </c>
      <c r="M185" t="s">
        <v>9</v>
      </c>
      <c r="N185" t="s">
        <v>9</v>
      </c>
      <c r="O185" t="s">
        <v>9</v>
      </c>
      <c r="P185" t="s">
        <v>9</v>
      </c>
      <c r="Q185" t="s">
        <v>8839</v>
      </c>
      <c r="R185">
        <v>498061930</v>
      </c>
      <c r="S185" s="5">
        <v>21.17</v>
      </c>
      <c r="T185" t="s">
        <v>8840</v>
      </c>
      <c r="U185">
        <v>29488769000</v>
      </c>
      <c r="V185">
        <v>29488769000</v>
      </c>
      <c r="W185" t="s">
        <v>9</v>
      </c>
      <c r="X185" t="s">
        <v>9</v>
      </c>
      <c r="Y185" t="s">
        <v>9</v>
      </c>
      <c r="Z185" t="s">
        <v>9</v>
      </c>
      <c r="AA185" t="s">
        <v>9</v>
      </c>
      <c r="AB185" t="s">
        <v>9</v>
      </c>
      <c r="AC185" t="s">
        <v>9</v>
      </c>
      <c r="AD185" t="s">
        <v>9</v>
      </c>
      <c r="AE185" t="s">
        <v>9</v>
      </c>
      <c r="AF185" t="s">
        <v>9</v>
      </c>
      <c r="AG185" t="s">
        <v>9</v>
      </c>
      <c r="AH185" t="s">
        <v>8841</v>
      </c>
      <c r="AI185" t="s">
        <v>9</v>
      </c>
      <c r="AJ185" t="s">
        <v>9</v>
      </c>
      <c r="AK185" t="s">
        <v>8842</v>
      </c>
      <c r="AL185" t="s">
        <v>9</v>
      </c>
      <c r="AM185" t="s">
        <v>9</v>
      </c>
      <c r="AN185" s="5">
        <v>0.16650000000000001</v>
      </c>
      <c r="AO185" t="s">
        <v>9</v>
      </c>
      <c r="AP185" t="s">
        <v>133</v>
      </c>
      <c r="AQ185" t="s">
        <v>9</v>
      </c>
      <c r="AR185" t="s">
        <v>5828</v>
      </c>
      <c r="AS185" t="s">
        <v>9</v>
      </c>
      <c r="AT185" t="s">
        <v>9</v>
      </c>
      <c r="AU185" t="s">
        <v>7442</v>
      </c>
      <c r="AV185" t="s">
        <v>8741</v>
      </c>
      <c r="AW185" t="s">
        <v>9</v>
      </c>
      <c r="AX185" t="s">
        <v>2939</v>
      </c>
      <c r="AY185" t="s">
        <v>408</v>
      </c>
      <c r="AZ185" t="s">
        <v>2940</v>
      </c>
      <c r="BA185" t="s">
        <v>9</v>
      </c>
      <c r="BB185" t="s">
        <v>9</v>
      </c>
      <c r="BC185" t="s">
        <v>2941</v>
      </c>
      <c r="BD185" t="s">
        <v>2942</v>
      </c>
      <c r="BE185" t="s">
        <v>2943</v>
      </c>
      <c r="BF185" t="s">
        <v>9</v>
      </c>
      <c r="BG185" t="s">
        <v>9</v>
      </c>
      <c r="BH185" t="s">
        <v>2939</v>
      </c>
      <c r="BI185" t="s">
        <v>9</v>
      </c>
      <c r="BJ185" t="s">
        <v>408</v>
      </c>
      <c r="BK185" t="s">
        <v>1303</v>
      </c>
      <c r="BL185" t="s">
        <v>9</v>
      </c>
      <c r="BM185" t="s">
        <v>2941</v>
      </c>
      <c r="BN185">
        <v>-2.0699999999999998</v>
      </c>
      <c r="BO185">
        <v>1.22</v>
      </c>
      <c r="BP185">
        <v>-0.69</v>
      </c>
      <c r="BQ185">
        <v>-2.0699999999999998</v>
      </c>
      <c r="BR185">
        <v>1.21</v>
      </c>
      <c r="BS185">
        <v>-0.7</v>
      </c>
      <c r="BT185" t="s">
        <v>2944</v>
      </c>
      <c r="BU185" t="s">
        <v>743</v>
      </c>
      <c r="BV185">
        <v>32.08</v>
      </c>
      <c r="BW185">
        <v>40.94</v>
      </c>
      <c r="BX185">
        <v>48.53</v>
      </c>
      <c r="BY185">
        <v>-7.92</v>
      </c>
      <c r="BZ185">
        <v>4.2300000000000004</v>
      </c>
      <c r="CA185">
        <v>-4.0999999999999996</v>
      </c>
      <c r="CB185">
        <v>-6.74</v>
      </c>
      <c r="CC185">
        <v>-13.54</v>
      </c>
      <c r="CD185" t="s">
        <v>3884</v>
      </c>
      <c r="CE185" t="s">
        <v>823</v>
      </c>
      <c r="CF185" s="8" t="s">
        <v>9</v>
      </c>
      <c r="CG185" s="9">
        <v>21.17</v>
      </c>
      <c r="CH185" s="8">
        <v>-0.10657193511724472</v>
      </c>
      <c r="CI185" s="8">
        <v>0.33018314838409424</v>
      </c>
      <c r="CJ185" s="8">
        <v>7.9031236469745636E-2</v>
      </c>
      <c r="CK185" s="8" t="s">
        <v>9</v>
      </c>
      <c r="CL185" s="8" t="s">
        <v>9</v>
      </c>
      <c r="CM185" s="9">
        <v>-1.9210525751113892</v>
      </c>
      <c r="CN185" s="9">
        <v>0.90923565626144409</v>
      </c>
      <c r="CO185" s="9">
        <v>-3.2432432174682617</v>
      </c>
      <c r="CP185" s="9" t="s">
        <v>9</v>
      </c>
      <c r="CQ185" s="9" t="s">
        <v>9</v>
      </c>
      <c r="CR185">
        <v>18.068236043956045</v>
      </c>
      <c r="CS185">
        <v>1.393471816030571</v>
      </c>
      <c r="CT185" t="e">
        <v>#VALUE!</v>
      </c>
      <c r="CU185" s="8">
        <v>0.12966344805900007</v>
      </c>
      <c r="CV185" s="9">
        <v>-0.86416369676589966</v>
      </c>
      <c r="CW185">
        <v>0.06</v>
      </c>
      <c r="CX185" t="e">
        <v>#VALUE!</v>
      </c>
      <c r="CY185" t="s">
        <v>108</v>
      </c>
      <c r="CZ185">
        <v>0.12966344805900007</v>
      </c>
      <c r="DA185" t="e">
        <v>#VALUE!</v>
      </c>
      <c r="DB185" t="s">
        <v>108</v>
      </c>
      <c r="DC185">
        <v>0.12318027565605005</v>
      </c>
      <c r="DD185" t="e">
        <v>#VALUE!</v>
      </c>
      <c r="DE185" t="s">
        <v>108</v>
      </c>
      <c r="DF185">
        <v>0.11410383429192006</v>
      </c>
      <c r="DG185" t="e">
        <v>#VALUE!</v>
      </c>
      <c r="DH185" t="s">
        <v>108</v>
      </c>
      <c r="DI185">
        <v>0.10373075844720006</v>
      </c>
      <c r="DJ185" t="e">
        <v>#VALUE!</v>
      </c>
      <c r="DK185" t="s">
        <v>108</v>
      </c>
      <c r="DL185">
        <v>9.0764413641300043E-2</v>
      </c>
      <c r="DM185">
        <v>-333000000</v>
      </c>
      <c r="DN185">
        <v>0.12966344805900007</v>
      </c>
      <c r="DO185">
        <v>12331571100</v>
      </c>
      <c r="DP185" t="e">
        <v>#VALUE!</v>
      </c>
      <c r="DQ185">
        <v>184</v>
      </c>
      <c r="DR185" t="e">
        <v>#VALUE!</v>
      </c>
      <c r="DS185">
        <v>22.034163696765901</v>
      </c>
      <c r="DT185" t="e">
        <v>#VALUE!</v>
      </c>
      <c r="DU185" t="e">
        <v>#VALUE!</v>
      </c>
      <c r="DV185" t="e">
        <v>#VALUE!</v>
      </c>
      <c r="DW185">
        <v>-9.4977843426883304</v>
      </c>
      <c r="DX185">
        <v>0.21728654754865373</v>
      </c>
      <c r="DY185">
        <v>-9.0534055635508075</v>
      </c>
      <c r="DZ185">
        <v>0</v>
      </c>
      <c r="EA185">
        <v>-9.0534055635508075</v>
      </c>
      <c r="EB185">
        <v>9</v>
      </c>
      <c r="EC185">
        <v>8.1386917168363316E-3</v>
      </c>
      <c r="ED185">
        <v>7.5859389044011974E-2</v>
      </c>
      <c r="EE185">
        <v>0</v>
      </c>
      <c r="EF185">
        <v>0</v>
      </c>
      <c r="EG185">
        <v>11.107286547548654</v>
      </c>
      <c r="EH185" t="s">
        <v>110</v>
      </c>
      <c r="EI185">
        <v>0</v>
      </c>
      <c r="EJ185">
        <v>0</v>
      </c>
      <c r="EK185">
        <v>0</v>
      </c>
      <c r="EL185">
        <v>0</v>
      </c>
      <c r="EM185">
        <v>0</v>
      </c>
      <c r="EN185">
        <v>0</v>
      </c>
      <c r="EO185">
        <v>0</v>
      </c>
      <c r="EP185">
        <v>0</v>
      </c>
    </row>
    <row r="186" spans="1:146" ht="96" x14ac:dyDescent="0.25">
      <c r="A186" s="7"/>
      <c r="B186" s="7"/>
      <c r="C186" s="7" t="str">
        <f>""&amp;CHAR(10)&amp;Basic_Fundamental_Information_Constructure(F186)&amp;CHAR(10)&amp;Basic_Fundamental_Information_Concatenate("")</f>
        <v xml:space="preserve">
市值49.311128亿, 利润9.48亿; PE5.02; 平均PE17.29; 平均PEG.24, PB.488; ROIC5.0667%; ROE9.36%; 股利率0%; 毛利33.57%; 净利17.9067%; 上一年度营收增.24%, 利润增11.66%; 当季营收增-11.51%, 利润增14.18%; 过往5年营收增71.06%, 利润增58.99%
Income profile:
</v>
      </c>
      <c r="D186" s="11">
        <v>1065</v>
      </c>
      <c r="E186" t="s">
        <v>2945</v>
      </c>
      <c r="F186">
        <v>3.14</v>
      </c>
      <c r="G186" s="5">
        <v>3.2000000000000002E-3</v>
      </c>
      <c r="H186" t="s">
        <v>8843</v>
      </c>
      <c r="I186">
        <v>4931112800</v>
      </c>
      <c r="J186">
        <v>5.0199999999999996</v>
      </c>
      <c r="K186">
        <v>0.48799999999999999</v>
      </c>
      <c r="L186" t="s">
        <v>6350</v>
      </c>
      <c r="M186" t="s">
        <v>3456</v>
      </c>
      <c r="N186" t="s">
        <v>8844</v>
      </c>
      <c r="O186" t="s">
        <v>1187</v>
      </c>
      <c r="P186">
        <v>10.61</v>
      </c>
      <c r="Q186" t="s">
        <v>8845</v>
      </c>
      <c r="R186">
        <v>710092750</v>
      </c>
      <c r="S186" s="5">
        <v>0.14180000000000001</v>
      </c>
      <c r="T186" t="s">
        <v>1733</v>
      </c>
      <c r="U186">
        <v>340000000</v>
      </c>
      <c r="V186">
        <v>1570418100</v>
      </c>
      <c r="W186">
        <v>2.63</v>
      </c>
      <c r="X186">
        <v>0.04</v>
      </c>
      <c r="Y186">
        <v>28.03</v>
      </c>
      <c r="Z186" t="s">
        <v>2103</v>
      </c>
      <c r="AA186" t="s">
        <v>8544</v>
      </c>
      <c r="AB186" t="s">
        <v>8846</v>
      </c>
      <c r="AC186" t="s">
        <v>8847</v>
      </c>
      <c r="AD186" t="s">
        <v>8848</v>
      </c>
      <c r="AE186" t="s">
        <v>8849</v>
      </c>
      <c r="AF186" t="s">
        <v>9</v>
      </c>
      <c r="AG186" t="s">
        <v>8850</v>
      </c>
      <c r="AH186" t="s">
        <v>8851</v>
      </c>
      <c r="AI186" t="s">
        <v>4502</v>
      </c>
      <c r="AJ186" t="s">
        <v>396</v>
      </c>
      <c r="AK186" t="s">
        <v>8852</v>
      </c>
      <c r="AL186" t="s">
        <v>9</v>
      </c>
      <c r="AM186" t="s">
        <v>498</v>
      </c>
      <c r="AN186" s="5">
        <v>0.57550000000000001</v>
      </c>
      <c r="AO186" t="s">
        <v>8853</v>
      </c>
      <c r="AP186" t="s">
        <v>3360</v>
      </c>
      <c r="AQ186" t="s">
        <v>3992</v>
      </c>
      <c r="AR186" t="s">
        <v>6120</v>
      </c>
      <c r="AS186" t="s">
        <v>8854</v>
      </c>
      <c r="AT186" t="s">
        <v>4290</v>
      </c>
      <c r="AU186" t="s">
        <v>2928</v>
      </c>
      <c r="AV186" t="s">
        <v>8855</v>
      </c>
      <c r="AW186" t="s">
        <v>8856</v>
      </c>
      <c r="AX186" t="s">
        <v>2947</v>
      </c>
      <c r="AY186" t="s">
        <v>1491</v>
      </c>
      <c r="AZ186" t="s">
        <v>2952</v>
      </c>
      <c r="BA186" t="s">
        <v>2953</v>
      </c>
      <c r="BB186" t="s">
        <v>480</v>
      </c>
      <c r="BC186" t="s">
        <v>2954</v>
      </c>
      <c r="BD186" t="s">
        <v>2955</v>
      </c>
      <c r="BE186" t="s">
        <v>1258</v>
      </c>
      <c r="BF186" t="s">
        <v>2419</v>
      </c>
      <c r="BG186" t="s">
        <v>2956</v>
      </c>
      <c r="BH186" t="s">
        <v>2947</v>
      </c>
      <c r="BI186" t="s">
        <v>2957</v>
      </c>
      <c r="BJ186" t="s">
        <v>1491</v>
      </c>
      <c r="BK186" t="s">
        <v>1201</v>
      </c>
      <c r="BL186" t="s">
        <v>1838</v>
      </c>
      <c r="BM186" t="s">
        <v>2954</v>
      </c>
      <c r="BN186">
        <v>5.17</v>
      </c>
      <c r="BO186">
        <v>4.82</v>
      </c>
      <c r="BP186">
        <v>5.21</v>
      </c>
      <c r="BQ186">
        <v>9.48</v>
      </c>
      <c r="BR186">
        <v>8.86</v>
      </c>
      <c r="BS186">
        <v>9.74</v>
      </c>
      <c r="BT186" t="s">
        <v>4135</v>
      </c>
      <c r="BU186" t="s">
        <v>392</v>
      </c>
      <c r="BV186">
        <v>38.4</v>
      </c>
      <c r="BW186">
        <v>33.299999999999997</v>
      </c>
      <c r="BX186">
        <v>29.01</v>
      </c>
      <c r="BY186">
        <v>19.559999999999999</v>
      </c>
      <c r="BZ186">
        <v>18.149999999999999</v>
      </c>
      <c r="CA186">
        <v>16.010000000000002</v>
      </c>
      <c r="CB186">
        <v>0</v>
      </c>
      <c r="CC186">
        <v>-2.82</v>
      </c>
      <c r="CD186" t="s">
        <v>8857</v>
      </c>
      <c r="CE186" t="s">
        <v>8858</v>
      </c>
      <c r="CF186" s="8">
        <v>-0.11509146341463415</v>
      </c>
      <c r="CG186" s="9">
        <v>0.14180000000000001</v>
      </c>
      <c r="CH186" s="8">
        <v>2.3762884084135294E-3</v>
      </c>
      <c r="CI186" s="8">
        <v>-8.1651203334331512E-2</v>
      </c>
      <c r="CJ186" s="8">
        <v>0.39179947972297668</v>
      </c>
      <c r="CK186" s="8">
        <v>0.41765338182449341</v>
      </c>
      <c r="CL186" s="8">
        <v>0.20336790382862091</v>
      </c>
      <c r="CM186" s="9">
        <v>0.11660777032375336</v>
      </c>
      <c r="CN186" s="9">
        <v>0.25036817789077759</v>
      </c>
      <c r="CO186" s="9">
        <v>0.19753086566925049</v>
      </c>
      <c r="CP186" s="9">
        <v>-7.0052538067102432E-3</v>
      </c>
      <c r="CQ186" s="9">
        <v>-6.2397371977567673E-2</v>
      </c>
      <c r="CR186">
        <v>17.294618419685882</v>
      </c>
      <c r="CS186">
        <v>0.24338822735649035</v>
      </c>
      <c r="CT186">
        <v>0</v>
      </c>
      <c r="CU186" s="8">
        <v>0.71057744277641177</v>
      </c>
      <c r="CV186" s="9">
        <v>0.58992708921432491</v>
      </c>
      <c r="CW186">
        <v>0.06</v>
      </c>
      <c r="CX186">
        <v>5.849062167958774</v>
      </c>
      <c r="CY186">
        <v>1529837184.6717341</v>
      </c>
      <c r="CZ186">
        <v>0.71057744277641177</v>
      </c>
      <c r="DA186">
        <v>1.1764196873662123</v>
      </c>
      <c r="DB186">
        <v>7606224968.9421482</v>
      </c>
      <c r="DC186">
        <v>0.67504857063759116</v>
      </c>
      <c r="DD186">
        <v>0.27369657180329537</v>
      </c>
      <c r="DE186">
        <v>32693550894.860943</v>
      </c>
      <c r="DF186">
        <v>0.62530814964324233</v>
      </c>
      <c r="DG186">
        <v>6.20504766910802E-2</v>
      </c>
      <c r="DH186">
        <v>144206995291.08206</v>
      </c>
      <c r="DI186">
        <v>0.56846195422112944</v>
      </c>
      <c r="DJ186">
        <v>2.7557332654492691E-3</v>
      </c>
      <c r="DK186">
        <v>3247089590342.1855</v>
      </c>
      <c r="DL186">
        <v>0.49740420994348822</v>
      </c>
      <c r="DM186">
        <v>948000000</v>
      </c>
      <c r="DN186">
        <v>0.71057744277641177</v>
      </c>
      <c r="DO186">
        <v>8948112800</v>
      </c>
      <c r="DP186" t="e">
        <v>#VALUE!</v>
      </c>
      <c r="DQ186">
        <v>185</v>
      </c>
      <c r="DR186">
        <v>-0.82566890619104594</v>
      </c>
      <c r="DS186">
        <v>-0.44812708921432487</v>
      </c>
      <c r="DT186">
        <v>0.64666666666666661</v>
      </c>
      <c r="DU186">
        <v>1.3833333333333331</v>
      </c>
      <c r="DV186">
        <v>2.0299999999999998</v>
      </c>
      <c r="DW186">
        <v>-1.0282</v>
      </c>
      <c r="DX186">
        <v>0.67265037664430793</v>
      </c>
      <c r="DY186">
        <v>-1.0045867406213693</v>
      </c>
      <c r="DZ186">
        <v>0</v>
      </c>
      <c r="EA186">
        <v>-1.0045867406213693</v>
      </c>
      <c r="EB186">
        <v>1</v>
      </c>
      <c r="EC186">
        <v>8.2907857468020774E-4</v>
      </c>
      <c r="ED186">
        <v>5.0973049788460793E-3</v>
      </c>
      <c r="EE186">
        <v>0</v>
      </c>
      <c r="EF186">
        <v>0</v>
      </c>
      <c r="EG186">
        <v>51.162650376644308</v>
      </c>
      <c r="EH186" t="s">
        <v>110</v>
      </c>
      <c r="EI186">
        <v>0</v>
      </c>
      <c r="EJ186">
        <v>0</v>
      </c>
      <c r="EK186">
        <v>0</v>
      </c>
      <c r="EL186">
        <v>0</v>
      </c>
      <c r="EM186">
        <v>0</v>
      </c>
      <c r="EN186">
        <v>0</v>
      </c>
      <c r="EO186">
        <v>0</v>
      </c>
      <c r="EP186">
        <v>0</v>
      </c>
    </row>
    <row r="187" spans="1:146" ht="96" x14ac:dyDescent="0.25">
      <c r="A187" s="7"/>
      <c r="B187" s="7"/>
      <c r="C187" s="7" t="str">
        <f>""&amp;CHAR(10)&amp;Basic_Fundamental_Information_Constructure(F187)&amp;CHAR(10)&amp;Basic_Fundamental_Information_Concatenate("")</f>
        <v xml:space="preserve">
市值173.68403亿, 利润21.94亿; PE7.91; 平均PE10.68; 平均PEG18.33, PB.706; ROIC9.4867%; ROE11.0467%; 股利率0%; 毛利52.57%; 净利18.4267%; 上一年度营收增-6.49%, 利润增-21.28%, 利润增-29.62%; 过往5年营收增.58%, 利润增20.25%
Income profile:
</v>
      </c>
      <c r="D187" s="11">
        <v>1066</v>
      </c>
      <c r="E187" t="s">
        <v>2958</v>
      </c>
      <c r="F187">
        <v>3.8</v>
      </c>
      <c r="G187" s="5">
        <v>-2.3099999999999999E-2</v>
      </c>
      <c r="H187" t="s">
        <v>6472</v>
      </c>
      <c r="I187">
        <v>17368403000</v>
      </c>
      <c r="J187">
        <v>7.91</v>
      </c>
      <c r="K187">
        <v>0.70599999999999996</v>
      </c>
      <c r="L187" t="s">
        <v>6350</v>
      </c>
      <c r="M187" t="s">
        <v>9</v>
      </c>
      <c r="N187" t="s">
        <v>9</v>
      </c>
      <c r="O187" t="s">
        <v>9</v>
      </c>
      <c r="P187" t="s">
        <v>9</v>
      </c>
      <c r="Q187" t="s">
        <v>8859</v>
      </c>
      <c r="R187">
        <v>2194489400</v>
      </c>
      <c r="S187" s="5">
        <v>-0.29620000000000002</v>
      </c>
      <c r="T187" t="s">
        <v>3258</v>
      </c>
      <c r="U187">
        <v>4522332300</v>
      </c>
      <c r="V187">
        <v>4570632300</v>
      </c>
      <c r="W187" t="s">
        <v>9</v>
      </c>
      <c r="X187" t="s">
        <v>9</v>
      </c>
      <c r="Y187" t="s">
        <v>9</v>
      </c>
      <c r="Z187" t="s">
        <v>9</v>
      </c>
      <c r="AA187" t="s">
        <v>9</v>
      </c>
      <c r="AB187" t="s">
        <v>9</v>
      </c>
      <c r="AC187" t="s">
        <v>9</v>
      </c>
      <c r="AD187" t="s">
        <v>91</v>
      </c>
      <c r="AE187" t="s">
        <v>9</v>
      </c>
      <c r="AF187" t="s">
        <v>9</v>
      </c>
      <c r="AG187" t="s">
        <v>9</v>
      </c>
      <c r="AH187" t="s">
        <v>8860</v>
      </c>
      <c r="AI187" t="s">
        <v>9</v>
      </c>
      <c r="AJ187" t="s">
        <v>9</v>
      </c>
      <c r="AK187" t="s">
        <v>8861</v>
      </c>
      <c r="AL187" t="s">
        <v>9</v>
      </c>
      <c r="AM187" t="s">
        <v>9</v>
      </c>
      <c r="AN187" s="5">
        <v>0.28739999999999999</v>
      </c>
      <c r="AO187" t="s">
        <v>9</v>
      </c>
      <c r="AP187" t="s">
        <v>8862</v>
      </c>
      <c r="AQ187" t="s">
        <v>9</v>
      </c>
      <c r="AR187" t="s">
        <v>8863</v>
      </c>
      <c r="AS187" t="s">
        <v>9</v>
      </c>
      <c r="AT187" t="s">
        <v>9</v>
      </c>
      <c r="AU187" t="s">
        <v>6219</v>
      </c>
      <c r="AV187" t="s">
        <v>8864</v>
      </c>
      <c r="AW187" t="s">
        <v>9</v>
      </c>
      <c r="AX187" t="s">
        <v>8865</v>
      </c>
      <c r="AY187" t="s">
        <v>2963</v>
      </c>
      <c r="AZ187" t="s">
        <v>2964</v>
      </c>
      <c r="BA187" t="s">
        <v>2965</v>
      </c>
      <c r="BB187" t="s">
        <v>2966</v>
      </c>
      <c r="BC187" t="s">
        <v>2953</v>
      </c>
      <c r="BD187" t="s">
        <v>2968</v>
      </c>
      <c r="BE187" t="s">
        <v>2969</v>
      </c>
      <c r="BF187" t="s">
        <v>484</v>
      </c>
      <c r="BG187" t="s">
        <v>2970</v>
      </c>
      <c r="BH187" t="s">
        <v>8865</v>
      </c>
      <c r="BI187" t="s">
        <v>9</v>
      </c>
      <c r="BJ187" t="s">
        <v>2963</v>
      </c>
      <c r="BK187" t="s">
        <v>2000</v>
      </c>
      <c r="BL187" t="s">
        <v>9</v>
      </c>
      <c r="BM187" t="s">
        <v>2953</v>
      </c>
      <c r="BN187">
        <v>7.61</v>
      </c>
      <c r="BO187">
        <v>11.01</v>
      </c>
      <c r="BP187">
        <v>9.84</v>
      </c>
      <c r="BQ187">
        <v>8.92</v>
      </c>
      <c r="BR187">
        <v>12.57</v>
      </c>
      <c r="BS187">
        <v>11.65</v>
      </c>
      <c r="BT187" t="s">
        <v>8866</v>
      </c>
      <c r="BU187" t="s">
        <v>2382</v>
      </c>
      <c r="BV187">
        <v>50.21</v>
      </c>
      <c r="BW187">
        <v>52.23</v>
      </c>
      <c r="BX187">
        <v>55.27</v>
      </c>
      <c r="BY187">
        <v>15.58</v>
      </c>
      <c r="BZ187">
        <v>21.25</v>
      </c>
      <c r="CA187">
        <v>18.45</v>
      </c>
      <c r="CB187">
        <v>-6.17</v>
      </c>
      <c r="CC187">
        <v>-27.85</v>
      </c>
      <c r="CD187" t="s">
        <v>8867</v>
      </c>
      <c r="CE187" t="s">
        <v>701</v>
      </c>
      <c r="CF187" s="8" t="s">
        <v>9</v>
      </c>
      <c r="CG187" s="9">
        <v>-0.29620000000000002</v>
      </c>
      <c r="CH187" s="8">
        <v>-6.4930073916912079E-2</v>
      </c>
      <c r="CI187" s="8">
        <v>-4.1115365922451019E-2</v>
      </c>
      <c r="CJ187" s="8">
        <v>0.16754497587680817</v>
      </c>
      <c r="CK187" s="8">
        <v>0.38115647435188293</v>
      </c>
      <c r="CL187" s="8">
        <v>0.32953342795372009</v>
      </c>
      <c r="CM187" s="9">
        <v>-0.2127736508846283</v>
      </c>
      <c r="CN187" s="9">
        <v>0.120627261698246</v>
      </c>
      <c r="CO187" s="9">
        <v>0.20611059665679932</v>
      </c>
      <c r="CP187" s="9">
        <v>0.22957667708396912</v>
      </c>
      <c r="CQ187" s="9">
        <v>-0.19063709676265717</v>
      </c>
      <c r="CR187">
        <v>10.681674661746618</v>
      </c>
      <c r="CS187">
        <v>18.334265872154155</v>
      </c>
      <c r="CT187">
        <v>0</v>
      </c>
      <c r="CU187" s="8">
        <v>5.82607164978981E-3</v>
      </c>
      <c r="CV187" s="9">
        <v>0.20250741988420487</v>
      </c>
      <c r="CW187">
        <v>0.06</v>
      </c>
      <c r="CX187">
        <v>8.3426925871765985</v>
      </c>
      <c r="CY187">
        <v>2081870189.8109798</v>
      </c>
      <c r="CZ187">
        <v>5.82607164978981E-3</v>
      </c>
      <c r="DA187">
        <v>2.929657440843195</v>
      </c>
      <c r="DB187">
        <v>5928475717.9669237</v>
      </c>
      <c r="DC187">
        <v>5.5347680673003196E-3</v>
      </c>
      <c r="DD187">
        <v>1.5826373209684612</v>
      </c>
      <c r="DE187">
        <v>10974341859.556158</v>
      </c>
      <c r="DF187">
        <v>5.1269430518150324E-3</v>
      </c>
      <c r="DG187">
        <v>1.0506555180246735</v>
      </c>
      <c r="DH187">
        <v>16531015829.673798</v>
      </c>
      <c r="DI187">
        <v>4.6608573198318485E-3</v>
      </c>
      <c r="DJ187">
        <v>0.66625503671880615</v>
      </c>
      <c r="DK187">
        <v>26068700486.733219</v>
      </c>
      <c r="DL187">
        <v>4.0782501548528669E-3</v>
      </c>
      <c r="DM187">
        <v>2194000000</v>
      </c>
      <c r="DN187">
        <v>5.82607164978981E-3</v>
      </c>
      <c r="DO187">
        <v>17368403000</v>
      </c>
      <c r="DP187" t="e">
        <v>#VALUE!</v>
      </c>
      <c r="DQ187">
        <v>186</v>
      </c>
      <c r="DR187" t="e">
        <v>#VALUE!</v>
      </c>
      <c r="DS187">
        <v>-0.49870741988420486</v>
      </c>
      <c r="DT187" t="e">
        <v>#VALUE!</v>
      </c>
      <c r="DU187" t="e">
        <v>#VALUE!</v>
      </c>
      <c r="DV187" t="e">
        <v>#VALUE!</v>
      </c>
      <c r="DW187">
        <v>-9.2215439856373429</v>
      </c>
      <c r="DX187">
        <v>0.40171591836734699</v>
      </c>
      <c r="DY187">
        <v>-9.0601970275162138</v>
      </c>
      <c r="DZ187">
        <v>0</v>
      </c>
      <c r="EA187">
        <v>-9.0601970275162138</v>
      </c>
      <c r="EB187">
        <v>9</v>
      </c>
      <c r="EC187">
        <v>1.4564811962668711E-2</v>
      </c>
      <c r="ED187">
        <v>5.3603086820175852E-2</v>
      </c>
      <c r="EE187">
        <v>0</v>
      </c>
      <c r="EF187">
        <v>0</v>
      </c>
      <c r="EG187">
        <v>13.271715918367347</v>
      </c>
      <c r="EH187" t="s">
        <v>110</v>
      </c>
      <c r="EI187">
        <v>0</v>
      </c>
      <c r="EJ187">
        <v>0</v>
      </c>
      <c r="EK187">
        <v>0</v>
      </c>
      <c r="EL187">
        <v>0</v>
      </c>
      <c r="EM187">
        <v>0</v>
      </c>
      <c r="EN187">
        <v>0</v>
      </c>
      <c r="EO187">
        <v>0</v>
      </c>
      <c r="EP187">
        <v>0</v>
      </c>
    </row>
    <row r="188" spans="1:146" ht="96" x14ac:dyDescent="0.25">
      <c r="A188" s="7"/>
      <c r="B188" s="7"/>
      <c r="C188" s="7" t="str">
        <f>""&amp;CHAR(10)&amp;Basic_Fundamental_Information_Constructure(F188)&amp;CHAR(10)&amp;Basic_Fundamental_Information_Concatenate("")</f>
        <v xml:space="preserve">
市值159.3231亿, 利润7.44亿; PE21.42; 平均PE9.17; 平均PEG.84, PB.954; ROIC3.4467%; ROE4.5867%; 股利率0%; 毛利17.9367%; 净利1.18%; 上一年度营收增10.7%, 利润增-37.16%, 利润增66.37%; 过往5年营收增10.89%, 利润增55.95%
Income profile:
</v>
      </c>
      <c r="D188" s="11">
        <v>1070</v>
      </c>
      <c r="E188" t="s">
        <v>2971</v>
      </c>
      <c r="F188">
        <v>6.32</v>
      </c>
      <c r="G188" s="5">
        <v>0</v>
      </c>
      <c r="H188" t="s">
        <v>8868</v>
      </c>
      <c r="I188">
        <v>15932310000</v>
      </c>
      <c r="J188">
        <v>21.42</v>
      </c>
      <c r="K188">
        <v>0.95399999999999996</v>
      </c>
      <c r="L188" t="s">
        <v>6350</v>
      </c>
      <c r="M188" t="s">
        <v>9</v>
      </c>
      <c r="N188" t="s">
        <v>9</v>
      </c>
      <c r="O188" t="s">
        <v>9</v>
      </c>
      <c r="P188" t="s">
        <v>9</v>
      </c>
      <c r="Q188" t="s">
        <v>8869</v>
      </c>
      <c r="R188">
        <v>743633000</v>
      </c>
      <c r="S188" s="5">
        <v>0.66369999999999996</v>
      </c>
      <c r="T188" t="s">
        <v>8870</v>
      </c>
      <c r="U188">
        <v>2511587900</v>
      </c>
      <c r="V188">
        <v>2511587900</v>
      </c>
      <c r="W188" t="s">
        <v>9</v>
      </c>
      <c r="X188" t="s">
        <v>9</v>
      </c>
      <c r="Y188" t="s">
        <v>9</v>
      </c>
      <c r="Z188" t="s">
        <v>9</v>
      </c>
      <c r="AA188" t="s">
        <v>9</v>
      </c>
      <c r="AB188" t="s">
        <v>9</v>
      </c>
      <c r="AC188" t="s">
        <v>9</v>
      </c>
      <c r="AD188" t="s">
        <v>6272</v>
      </c>
      <c r="AE188" t="s">
        <v>9</v>
      </c>
      <c r="AF188" t="s">
        <v>9</v>
      </c>
      <c r="AG188" t="s">
        <v>9</v>
      </c>
      <c r="AH188" t="s">
        <v>8871</v>
      </c>
      <c r="AI188" t="s">
        <v>9</v>
      </c>
      <c r="AJ188" t="s">
        <v>9</v>
      </c>
      <c r="AK188" t="s">
        <v>8872</v>
      </c>
      <c r="AL188" t="s">
        <v>9</v>
      </c>
      <c r="AM188" t="s">
        <v>9</v>
      </c>
      <c r="AN188" s="5">
        <v>0.73280000000000001</v>
      </c>
      <c r="AO188" t="s">
        <v>9</v>
      </c>
      <c r="AP188" t="s">
        <v>8873</v>
      </c>
      <c r="AQ188" t="s">
        <v>9</v>
      </c>
      <c r="AR188" t="s">
        <v>8874</v>
      </c>
      <c r="AS188" t="s">
        <v>9</v>
      </c>
      <c r="AT188" t="s">
        <v>9</v>
      </c>
      <c r="AU188" t="s">
        <v>8875</v>
      </c>
      <c r="AV188" t="s">
        <v>8876</v>
      </c>
      <c r="AW188" t="s">
        <v>9</v>
      </c>
      <c r="AX188" t="s">
        <v>2972</v>
      </c>
      <c r="AY188" t="s">
        <v>2973</v>
      </c>
      <c r="AZ188" t="s">
        <v>2974</v>
      </c>
      <c r="BA188" t="s">
        <v>2975</v>
      </c>
      <c r="BB188" t="s">
        <v>2976</v>
      </c>
      <c r="BC188" t="s">
        <v>191</v>
      </c>
      <c r="BD188" t="s">
        <v>2977</v>
      </c>
      <c r="BE188" t="s">
        <v>2978</v>
      </c>
      <c r="BF188" t="s">
        <v>2979</v>
      </c>
      <c r="BG188" t="s">
        <v>1343</v>
      </c>
      <c r="BH188" t="s">
        <v>2972</v>
      </c>
      <c r="BI188" t="s">
        <v>9</v>
      </c>
      <c r="BJ188" t="s">
        <v>2973</v>
      </c>
      <c r="BK188" t="s">
        <v>2538</v>
      </c>
      <c r="BL188" t="s">
        <v>9</v>
      </c>
      <c r="BM188" t="s">
        <v>191</v>
      </c>
      <c r="BN188">
        <v>3.34</v>
      </c>
      <c r="BO188">
        <v>1.91</v>
      </c>
      <c r="BP188">
        <v>5.09</v>
      </c>
      <c r="BQ188">
        <v>4.45</v>
      </c>
      <c r="BR188">
        <v>2.72</v>
      </c>
      <c r="BS188">
        <v>6.59</v>
      </c>
      <c r="BT188" t="s">
        <v>5523</v>
      </c>
      <c r="BU188" t="s">
        <v>1987</v>
      </c>
      <c r="BV188">
        <v>18.68</v>
      </c>
      <c r="BW188">
        <v>18.38</v>
      </c>
      <c r="BX188">
        <v>16.75</v>
      </c>
      <c r="BY188">
        <v>1.05</v>
      </c>
      <c r="BZ188">
        <v>0.78</v>
      </c>
      <c r="CA188">
        <v>1.71</v>
      </c>
      <c r="CB188">
        <v>-3.36</v>
      </c>
      <c r="CC188">
        <v>1.28</v>
      </c>
      <c r="CD188" t="s">
        <v>8877</v>
      </c>
      <c r="CE188" t="s">
        <v>4661</v>
      </c>
      <c r="CF188" s="8" t="s">
        <v>9</v>
      </c>
      <c r="CG188" s="9">
        <v>0.66369999999999996</v>
      </c>
      <c r="CH188" s="8">
        <v>0.10700622946023941</v>
      </c>
      <c r="CI188" s="8">
        <v>-4.6708635985851288E-2</v>
      </c>
      <c r="CJ188" s="8">
        <v>0.29607442021369934</v>
      </c>
      <c r="CK188" s="8">
        <v>0.26692554354667664</v>
      </c>
      <c r="CL188" s="8">
        <v>0.11660374701023102</v>
      </c>
      <c r="CM188" s="9">
        <v>-0.37162160873413086</v>
      </c>
      <c r="CN188" s="9">
        <v>-0.67101973295211792</v>
      </c>
      <c r="CO188" s="9">
        <v>0.57920140027999878</v>
      </c>
      <c r="CP188" s="9">
        <v>1.1892412900924683</v>
      </c>
      <c r="CQ188" s="9">
        <v>0.277300626039505</v>
      </c>
      <c r="CR188">
        <v>9.1652790028763196</v>
      </c>
      <c r="CS188">
        <v>0.84151058271036294</v>
      </c>
      <c r="CT188">
        <v>0</v>
      </c>
      <c r="CU188" s="8">
        <v>0.10891460180282593</v>
      </c>
      <c r="CV188" s="9">
        <v>0.55953312963247304</v>
      </c>
      <c r="CW188">
        <v>0.06</v>
      </c>
      <c r="CX188">
        <v>20.469798877266346</v>
      </c>
      <c r="CY188">
        <v>778332512.96349287</v>
      </c>
      <c r="CZ188">
        <v>0.10891460180282593</v>
      </c>
      <c r="DA188">
        <v>6.5832798874586986</v>
      </c>
      <c r="DB188">
        <v>2420117368.9047341</v>
      </c>
      <c r="DC188">
        <v>0.10346887171268462</v>
      </c>
      <c r="DD188">
        <v>3.1717802831640567</v>
      </c>
      <c r="DE188">
        <v>5023144284.1641245</v>
      </c>
      <c r="DF188">
        <v>9.5844849586486813E-2</v>
      </c>
      <c r="DG188">
        <v>1.8586281935019451</v>
      </c>
      <c r="DH188">
        <v>8572080234.0682487</v>
      </c>
      <c r="DI188">
        <v>8.7131681442260744E-2</v>
      </c>
      <c r="DJ188">
        <v>0.90922779454044733</v>
      </c>
      <c r="DK188">
        <v>17522902506.57449</v>
      </c>
      <c r="DL188">
        <v>7.6240221261978144E-2</v>
      </c>
      <c r="DM188">
        <v>744000000</v>
      </c>
      <c r="DN188">
        <v>0.10891460180282593</v>
      </c>
      <c r="DO188">
        <v>15932310000</v>
      </c>
      <c r="DP188" t="e">
        <v>#VALUE!</v>
      </c>
      <c r="DQ188">
        <v>187</v>
      </c>
      <c r="DR188" t="e">
        <v>#VALUE!</v>
      </c>
      <c r="DS188">
        <v>0.10416687036752692</v>
      </c>
      <c r="DT188" t="e">
        <v>#VALUE!</v>
      </c>
      <c r="DU188" t="e">
        <v>#VALUE!</v>
      </c>
      <c r="DV188" t="e">
        <v>#VALUE!</v>
      </c>
      <c r="DW188">
        <v>-4.3809523809523814</v>
      </c>
      <c r="DX188">
        <v>0.4772156862745105</v>
      </c>
      <c r="DY188">
        <v>-4.0827488328664803</v>
      </c>
      <c r="DZ188">
        <v>0</v>
      </c>
      <c r="EA188">
        <v>-4.0827488328664803</v>
      </c>
      <c r="EB188">
        <v>4</v>
      </c>
      <c r="EC188">
        <v>2.2053777214008714E-2</v>
      </c>
      <c r="ED188">
        <v>0.10152939500942809</v>
      </c>
      <c r="EE188">
        <v>0</v>
      </c>
      <c r="EF188">
        <v>0</v>
      </c>
      <c r="EG188">
        <v>26.21721568627451</v>
      </c>
      <c r="EH188" t="s">
        <v>110</v>
      </c>
      <c r="EI188">
        <v>0</v>
      </c>
      <c r="EJ188">
        <v>0</v>
      </c>
      <c r="EK188">
        <v>0</v>
      </c>
      <c r="EL188">
        <v>0</v>
      </c>
      <c r="EM188">
        <v>0</v>
      </c>
      <c r="EN188">
        <v>0</v>
      </c>
      <c r="EO188">
        <v>0</v>
      </c>
      <c r="EP188">
        <v>0</v>
      </c>
    </row>
    <row r="189" spans="1:146" ht="96" x14ac:dyDescent="0.25">
      <c r="A189" s="7"/>
      <c r="B189" s="7"/>
      <c r="C189" s="7" t="str">
        <f>""&amp;CHAR(10)&amp;Basic_Fundamental_Information_Constructure(F189)&amp;CHAR(10)&amp;Basic_Fundamental_Information_Concatenate("")</f>
        <v xml:space="preserve">
市值463.30852亿, 利润39.39亿; PE9.96; 平均PE45.58; 平均PEG.47, PB.583; ROIC-.3467%; ROE-1.1167%; 股利率0%; 毛利20.11%; 净利-.6267%; 上一年度营收增6.71%, 利润增175.17%; 当季营收增-6.06%, 利润增54.96%; 过往5年营收增96.7%, 利润增2.54%
Income profile:
</v>
      </c>
      <c r="D189" s="11">
        <v>1071</v>
      </c>
      <c r="E189" t="s">
        <v>2980</v>
      </c>
      <c r="F189">
        <v>4.53</v>
      </c>
      <c r="G189" s="5">
        <v>-3.2099999999999997E-2</v>
      </c>
      <c r="H189" t="s">
        <v>8878</v>
      </c>
      <c r="I189">
        <v>46330852000</v>
      </c>
      <c r="J189">
        <v>9.9600000000000009</v>
      </c>
      <c r="K189">
        <v>0.58299999999999996</v>
      </c>
      <c r="L189" t="s">
        <v>6350</v>
      </c>
      <c r="M189" t="s">
        <v>9</v>
      </c>
      <c r="N189" t="s">
        <v>9</v>
      </c>
      <c r="O189" t="s">
        <v>8879</v>
      </c>
      <c r="P189">
        <v>-3.21</v>
      </c>
      <c r="Q189" t="s">
        <v>8880</v>
      </c>
      <c r="R189">
        <v>3939326200</v>
      </c>
      <c r="S189" s="5">
        <v>0.54959999999999998</v>
      </c>
      <c r="T189" t="s">
        <v>7309</v>
      </c>
      <c r="U189">
        <v>1717233600</v>
      </c>
      <c r="V189">
        <v>10227561100</v>
      </c>
      <c r="W189">
        <v>3.01</v>
      </c>
      <c r="X189">
        <v>0.14000000000000001</v>
      </c>
      <c r="Y189" t="s">
        <v>9</v>
      </c>
      <c r="Z189" t="s">
        <v>9</v>
      </c>
      <c r="AA189" t="s">
        <v>9</v>
      </c>
      <c r="AB189" t="s">
        <v>9</v>
      </c>
      <c r="AC189" t="s">
        <v>9</v>
      </c>
      <c r="AD189" t="s">
        <v>3316</v>
      </c>
      <c r="AE189" t="s">
        <v>9</v>
      </c>
      <c r="AF189" t="s">
        <v>9</v>
      </c>
      <c r="AG189" t="s">
        <v>9</v>
      </c>
      <c r="AH189" t="s">
        <v>17</v>
      </c>
      <c r="AI189" t="s">
        <v>9</v>
      </c>
      <c r="AJ189" t="s">
        <v>9</v>
      </c>
      <c r="AK189" t="s">
        <v>8881</v>
      </c>
      <c r="AL189" t="s">
        <v>9</v>
      </c>
      <c r="AM189" t="s">
        <v>9</v>
      </c>
      <c r="AN189" s="5">
        <v>0</v>
      </c>
      <c r="AO189" t="s">
        <v>9</v>
      </c>
      <c r="AP189" t="s">
        <v>9</v>
      </c>
      <c r="AQ189" t="s">
        <v>9</v>
      </c>
      <c r="AR189" t="s">
        <v>9</v>
      </c>
      <c r="AS189" t="s">
        <v>9</v>
      </c>
      <c r="AT189" t="s">
        <v>9</v>
      </c>
      <c r="AU189" t="s">
        <v>8882</v>
      </c>
      <c r="AV189" t="s">
        <v>8883</v>
      </c>
      <c r="AW189" t="s">
        <v>9</v>
      </c>
      <c r="AX189" t="s">
        <v>2981</v>
      </c>
      <c r="AY189" t="s">
        <v>2984</v>
      </c>
      <c r="AZ189" t="s">
        <v>2985</v>
      </c>
      <c r="BA189" t="s">
        <v>2986</v>
      </c>
      <c r="BB189" t="s">
        <v>2987</v>
      </c>
      <c r="BC189" t="s">
        <v>8884</v>
      </c>
      <c r="BD189" t="s">
        <v>2988</v>
      </c>
      <c r="BE189" t="s">
        <v>2989</v>
      </c>
      <c r="BF189" t="s">
        <v>2990</v>
      </c>
      <c r="BG189" t="s">
        <v>950</v>
      </c>
      <c r="BH189" t="s">
        <v>2981</v>
      </c>
      <c r="BI189" t="s">
        <v>2991</v>
      </c>
      <c r="BJ189" t="s">
        <v>2984</v>
      </c>
      <c r="BK189" t="s">
        <v>2982</v>
      </c>
      <c r="BL189" t="s">
        <v>223</v>
      </c>
      <c r="BM189" t="s">
        <v>8884</v>
      </c>
      <c r="BN189">
        <v>1.91</v>
      </c>
      <c r="BO189">
        <v>-0.51</v>
      </c>
      <c r="BP189">
        <v>-2.44</v>
      </c>
      <c r="BQ189">
        <v>5.0199999999999996</v>
      </c>
      <c r="BR189">
        <v>-1.52</v>
      </c>
      <c r="BS189">
        <v>-6.85</v>
      </c>
      <c r="BT189" t="s">
        <v>2992</v>
      </c>
      <c r="BU189" t="s">
        <v>392</v>
      </c>
      <c r="BV189">
        <v>26.17</v>
      </c>
      <c r="BW189">
        <v>19.98</v>
      </c>
      <c r="BX189">
        <v>14.18</v>
      </c>
      <c r="BY189">
        <v>4.22</v>
      </c>
      <c r="BZ189">
        <v>-0.88</v>
      </c>
      <c r="CA189">
        <v>-5.22</v>
      </c>
      <c r="CB189">
        <v>-6.21</v>
      </c>
      <c r="CC189">
        <v>-1.41</v>
      </c>
      <c r="CD189" t="s">
        <v>8885</v>
      </c>
      <c r="CE189" t="s">
        <v>5597</v>
      </c>
      <c r="CF189" s="8">
        <v>-6.055660297717861E-2</v>
      </c>
      <c r="CG189" s="9">
        <v>0.54959999999999998</v>
      </c>
      <c r="CH189" s="8">
        <v>6.7085601389408112E-2</v>
      </c>
      <c r="CI189" s="8">
        <v>-3.3712025731801987E-2</v>
      </c>
      <c r="CJ189" s="8">
        <v>0.1659395843744278</v>
      </c>
      <c r="CK189" s="8">
        <v>5.7155199348926544E-2</v>
      </c>
      <c r="CL189" s="8">
        <v>5.8105725795030594E-2</v>
      </c>
      <c r="CM189" s="9">
        <v>1.7517175674438477</v>
      </c>
      <c r="CN189" s="9">
        <v>-2.3533058166503906</v>
      </c>
      <c r="CO189" s="9">
        <v>2.3526284843683243E-2</v>
      </c>
      <c r="CP189" s="9">
        <v>1.2982989549636841</v>
      </c>
      <c r="CQ189" s="9">
        <v>2.1472277641296387</v>
      </c>
      <c r="CR189">
        <v>45.582152234603505</v>
      </c>
      <c r="CS189">
        <v>0.47136685614362855</v>
      </c>
      <c r="CT189">
        <v>0</v>
      </c>
      <c r="CU189" s="8">
        <v>0.96702073216438289</v>
      </c>
      <c r="CV189" s="9">
        <v>2.5356775522232054E-2</v>
      </c>
      <c r="CW189">
        <v>0.06</v>
      </c>
      <c r="CX189">
        <v>6.3384232188349134</v>
      </c>
      <c r="CY189">
        <v>7309523267.9202871</v>
      </c>
      <c r="CZ189">
        <v>0.96702073216438289</v>
      </c>
      <c r="DA189">
        <v>1.0676507143722453</v>
      </c>
      <c r="DB189">
        <v>43395139792.737831</v>
      </c>
      <c r="DC189">
        <v>0.91866969555616373</v>
      </c>
      <c r="DD189">
        <v>0.18376798402348443</v>
      </c>
      <c r="DE189">
        <v>252116015998.08157</v>
      </c>
      <c r="DF189">
        <v>0.85097824430465696</v>
      </c>
      <c r="DG189">
        <v>2.7674705940885818E-2</v>
      </c>
      <c r="DH189">
        <v>1674122648275.4465</v>
      </c>
      <c r="DI189">
        <v>0.77361658573150638</v>
      </c>
      <c r="DJ189">
        <v>4.4889240847466224E-4</v>
      </c>
      <c r="DK189">
        <v>103211484813103.37</v>
      </c>
      <c r="DL189">
        <v>0.67691451251506796</v>
      </c>
      <c r="DM189">
        <v>3939000000</v>
      </c>
      <c r="DN189">
        <v>0.96702073216438289</v>
      </c>
      <c r="DO189">
        <v>46330852000</v>
      </c>
      <c r="DP189" t="e">
        <v>#VALUE!</v>
      </c>
      <c r="DQ189">
        <v>188</v>
      </c>
      <c r="DR189">
        <v>-1.0275773351415616</v>
      </c>
      <c r="DS189">
        <v>0.52424322447776794</v>
      </c>
      <c r="DT189">
        <v>-0.60666666666666669</v>
      </c>
      <c r="DU189">
        <v>0.75</v>
      </c>
      <c r="DV189">
        <v>0.14333333333333331</v>
      </c>
      <c r="DW189">
        <v>-5.2270531400966185</v>
      </c>
      <c r="DX189">
        <v>0.34678806995230471</v>
      </c>
      <c r="DY189">
        <v>-5.0287876294094609</v>
      </c>
      <c r="DZ189">
        <v>0</v>
      </c>
      <c r="EA189">
        <v>-5.0287876294094609</v>
      </c>
      <c r="EB189">
        <v>5</v>
      </c>
      <c r="EC189">
        <v>7.797528581862982E-3</v>
      </c>
      <c r="ED189">
        <v>6.1500488127125441E-2</v>
      </c>
      <c r="EE189">
        <v>0</v>
      </c>
      <c r="EF189">
        <v>0</v>
      </c>
      <c r="EG189">
        <v>22.126788069952305</v>
      </c>
      <c r="EH189" t="s">
        <v>110</v>
      </c>
      <c r="EI189">
        <v>0</v>
      </c>
      <c r="EJ189">
        <v>0</v>
      </c>
      <c r="EK189">
        <v>0</v>
      </c>
      <c r="EL189">
        <v>0</v>
      </c>
      <c r="EM189">
        <v>0</v>
      </c>
      <c r="EN189">
        <v>0</v>
      </c>
      <c r="EO189">
        <v>0</v>
      </c>
      <c r="EP189">
        <v>0</v>
      </c>
    </row>
    <row r="190" spans="1:146" ht="96" x14ac:dyDescent="0.25">
      <c r="A190" s="7"/>
      <c r="B190" s="7"/>
      <c r="C190" s="7" t="str">
        <f>""&amp;CHAR(10)&amp;Basic_Fundamental_Information_Constructure(F190)&amp;CHAR(10)&amp;Basic_Fundamental_Information_Concatenate("")</f>
        <v xml:space="preserve">
市值369.73544亿, 利润38.92亿; PE9.98; 平均PE54.72; 平均PEG3.14, PB.899; ROIC8.1867%; ROE8.2433%; 股利率0%; 毛利18.29%; 净利5.54%; 上一年度营收增6.59%, 利润增38.85%; 当季营收增-6.48%, 利润增-16.12%; 过往5年营收增17.43%, 利润增-458.86%
Income profile:
</v>
      </c>
      <c r="D190" s="11">
        <v>1072</v>
      </c>
      <c r="E190" t="s">
        <v>2993</v>
      </c>
      <c r="F190">
        <v>11.86</v>
      </c>
      <c r="G190" s="5">
        <v>-2.47E-2</v>
      </c>
      <c r="H190" t="s">
        <v>8886</v>
      </c>
      <c r="I190">
        <v>36973544000</v>
      </c>
      <c r="J190">
        <v>9.98</v>
      </c>
      <c r="K190">
        <v>0.89900000000000002</v>
      </c>
      <c r="L190" t="s">
        <v>6350</v>
      </c>
      <c r="M190" t="s">
        <v>8887</v>
      </c>
      <c r="N190" t="s">
        <v>8888</v>
      </c>
      <c r="O190" t="s">
        <v>8889</v>
      </c>
      <c r="P190">
        <v>2.2799999999999998</v>
      </c>
      <c r="Q190" t="s">
        <v>8890</v>
      </c>
      <c r="R190">
        <v>3891941400</v>
      </c>
      <c r="S190" s="5">
        <v>-0.16120000000000001</v>
      </c>
      <c r="T190" t="s">
        <v>4047</v>
      </c>
      <c r="U190">
        <v>340000000</v>
      </c>
      <c r="V190">
        <v>3117499500</v>
      </c>
      <c r="W190">
        <v>3.36</v>
      </c>
      <c r="X190">
        <v>0.12</v>
      </c>
      <c r="Y190">
        <v>7.56</v>
      </c>
      <c r="Z190" t="s">
        <v>8891</v>
      </c>
      <c r="AA190" t="s">
        <v>8892</v>
      </c>
      <c r="AB190" t="s">
        <v>39</v>
      </c>
      <c r="AC190" t="s">
        <v>8893</v>
      </c>
      <c r="AD190" t="s">
        <v>4466</v>
      </c>
      <c r="AE190" t="s">
        <v>8894</v>
      </c>
      <c r="AF190" t="s">
        <v>9</v>
      </c>
      <c r="AG190" t="s">
        <v>98</v>
      </c>
      <c r="AH190" t="s">
        <v>8895</v>
      </c>
      <c r="AI190" t="s">
        <v>8896</v>
      </c>
      <c r="AJ190" t="s">
        <v>8897</v>
      </c>
      <c r="AK190" t="s">
        <v>8898</v>
      </c>
      <c r="AL190" t="s">
        <v>9</v>
      </c>
      <c r="AM190" t="s">
        <v>8899</v>
      </c>
      <c r="AN190" s="5">
        <v>0.67090000000000005</v>
      </c>
      <c r="AO190" t="s">
        <v>8900</v>
      </c>
      <c r="AP190" t="s">
        <v>2764</v>
      </c>
      <c r="AQ190" t="s">
        <v>8901</v>
      </c>
      <c r="AR190" t="s">
        <v>8902</v>
      </c>
      <c r="AS190" t="s">
        <v>8903</v>
      </c>
      <c r="AT190" t="s">
        <v>2557</v>
      </c>
      <c r="AU190" t="s">
        <v>8904</v>
      </c>
      <c r="AV190" t="s">
        <v>8905</v>
      </c>
      <c r="AW190" t="s">
        <v>8906</v>
      </c>
      <c r="AX190" t="s">
        <v>8907</v>
      </c>
      <c r="AY190" t="s">
        <v>2996</v>
      </c>
      <c r="AZ190" t="s">
        <v>2997</v>
      </c>
      <c r="BA190" t="s">
        <v>2998</v>
      </c>
      <c r="BB190" t="s">
        <v>2999</v>
      </c>
      <c r="BC190" t="s">
        <v>3000</v>
      </c>
      <c r="BD190" t="s">
        <v>3001</v>
      </c>
      <c r="BE190" t="s">
        <v>3002</v>
      </c>
      <c r="BF190" t="s">
        <v>2632</v>
      </c>
      <c r="BG190" t="s">
        <v>3003</v>
      </c>
      <c r="BH190" t="s">
        <v>8907</v>
      </c>
      <c r="BI190" t="s">
        <v>3004</v>
      </c>
      <c r="BJ190" t="s">
        <v>2996</v>
      </c>
      <c r="BK190" t="s">
        <v>2994</v>
      </c>
      <c r="BL190" t="s">
        <v>151</v>
      </c>
      <c r="BM190" t="s">
        <v>3000</v>
      </c>
      <c r="BN190">
        <v>9.49</v>
      </c>
      <c r="BO190">
        <v>8.14</v>
      </c>
      <c r="BP190">
        <v>6.93</v>
      </c>
      <c r="BQ190">
        <v>9.5299999999999994</v>
      </c>
      <c r="BR190">
        <v>8.16</v>
      </c>
      <c r="BS190">
        <v>7.04</v>
      </c>
      <c r="BT190" t="s">
        <v>3295</v>
      </c>
      <c r="BU190" t="s">
        <v>589</v>
      </c>
      <c r="BV190">
        <v>18.36</v>
      </c>
      <c r="BW190">
        <v>17.78</v>
      </c>
      <c r="BX190">
        <v>18.73</v>
      </c>
      <c r="BY190">
        <v>6.04</v>
      </c>
      <c r="BZ190">
        <v>5.47</v>
      </c>
      <c r="CA190">
        <v>5.1100000000000003</v>
      </c>
      <c r="CB190">
        <v>-8.49</v>
      </c>
      <c r="CC190">
        <v>-1.98</v>
      </c>
      <c r="CD190" t="s">
        <v>8908</v>
      </c>
      <c r="CE190" t="s">
        <v>212</v>
      </c>
      <c r="CF190" s="8">
        <v>-6.4820168844686124E-2</v>
      </c>
      <c r="CG190" s="9">
        <v>-0.16120000000000001</v>
      </c>
      <c r="CH190" s="8">
        <v>6.5922588109970093E-2</v>
      </c>
      <c r="CI190" s="8">
        <v>6.5687157213687897E-2</v>
      </c>
      <c r="CJ190" s="8">
        <v>0.31943568587303162</v>
      </c>
      <c r="CK190" s="8">
        <v>0.27688610553741455</v>
      </c>
      <c r="CL190" s="8">
        <v>-0.13720057904720306</v>
      </c>
      <c r="CM190" s="9">
        <v>0.38851228356361389</v>
      </c>
      <c r="CN190" s="9">
        <v>0.26318159699440002</v>
      </c>
      <c r="CO190" s="9">
        <v>0.55392163991928101</v>
      </c>
      <c r="CP190" s="9">
        <v>0.11128409951925278</v>
      </c>
      <c r="CQ190" s="9">
        <v>1.3406889513134956E-2</v>
      </c>
      <c r="CR190">
        <v>54.724243459035982</v>
      </c>
      <c r="CS190">
        <v>3.1404252075139221</v>
      </c>
      <c r="CT190">
        <v>0</v>
      </c>
      <c r="CU190" s="8">
        <v>0.17425743280909956</v>
      </c>
      <c r="CV190" s="9">
        <v>-4.5886138349771501</v>
      </c>
      <c r="CW190">
        <v>0.06</v>
      </c>
      <c r="CX190">
        <v>19.551009261726204</v>
      </c>
      <c r="CY190">
        <v>4311518800.4651089</v>
      </c>
      <c r="CZ190">
        <v>0.17425743280909956</v>
      </c>
      <c r="DA190">
        <v>5.9532762297900845</v>
      </c>
      <c r="DB190">
        <v>14159353731.679987</v>
      </c>
      <c r="DC190">
        <v>0.16554456116864458</v>
      </c>
      <c r="DD190">
        <v>2.6587958401752285</v>
      </c>
      <c r="DE190">
        <v>31704030345.72393</v>
      </c>
      <c r="DF190">
        <v>0.15334654087200761</v>
      </c>
      <c r="DG190">
        <v>1.4248511081093196</v>
      </c>
      <c r="DH190">
        <v>59160247355.145142</v>
      </c>
      <c r="DI190">
        <v>0.13940594624727964</v>
      </c>
      <c r="DJ190">
        <v>0.56545075051138693</v>
      </c>
      <c r="DK190">
        <v>149074952900.4339</v>
      </c>
      <c r="DL190">
        <v>0.12198020296636967</v>
      </c>
      <c r="DM190">
        <v>3892000000</v>
      </c>
      <c r="DN190">
        <v>0.17425743280909956</v>
      </c>
      <c r="DO190">
        <v>84294544000</v>
      </c>
      <c r="DP190" t="e">
        <v>#VALUE!</v>
      </c>
      <c r="DQ190">
        <v>189</v>
      </c>
      <c r="DR190">
        <v>-0.23907760165378567</v>
      </c>
      <c r="DS190">
        <v>4.4274138349771501</v>
      </c>
      <c r="DT190">
        <v>-2.3333333333333355E-2</v>
      </c>
      <c r="DU190">
        <v>8.3333333333333301E-2</v>
      </c>
      <c r="DV190">
        <v>5.9999999999999942E-2</v>
      </c>
      <c r="DW190">
        <v>-5.2332155477031801</v>
      </c>
      <c r="DX190">
        <v>0.3006565217391296</v>
      </c>
      <c r="DY190">
        <v>-5.0374675987094788</v>
      </c>
      <c r="DZ190">
        <v>0</v>
      </c>
      <c r="EA190">
        <v>-5.0374675987094788</v>
      </c>
      <c r="EB190">
        <v>5</v>
      </c>
      <c r="EC190">
        <v>5.9263842704706127E-3</v>
      </c>
      <c r="ED190">
        <v>3.6888538394312491E-2</v>
      </c>
      <c r="EE190">
        <v>0</v>
      </c>
      <c r="EF190">
        <v>0</v>
      </c>
      <c r="EG190">
        <v>14.16065652173913</v>
      </c>
      <c r="EH190" t="s">
        <v>110</v>
      </c>
      <c r="EI190">
        <v>0</v>
      </c>
      <c r="EJ190">
        <v>0</v>
      </c>
      <c r="EK190">
        <v>0</v>
      </c>
      <c r="EL190">
        <v>0</v>
      </c>
      <c r="EM190">
        <v>0</v>
      </c>
      <c r="EN190">
        <v>0</v>
      </c>
      <c r="EO190">
        <v>0</v>
      </c>
      <c r="EP190">
        <v>0</v>
      </c>
    </row>
    <row r="191" spans="1:146" ht="96" x14ac:dyDescent="0.25">
      <c r="A191" s="7"/>
      <c r="B191" s="7"/>
      <c r="C191" s="7" t="str">
        <f>""&amp;CHAR(10)&amp;Basic_Fundamental_Information_Constructure(F191)&amp;CHAR(10)&amp;Basic_Fundamental_Information_Concatenate("")</f>
        <v xml:space="preserve">
市值92.584216亿, 利润15.75亿; PE5.88; 平均PE34.9; 平均PEG1.98, PB.405; ROIC3.1633%; ROE5.6167%; 股利率0%; 毛利9.5733%; 净利8.01%; 上一年度营收增-1.15%, 利润增25.7%, 利润增63.2%; 过往5年营收增17.63%, 利润增4.86%
Income profile:
</v>
      </c>
      <c r="D191" s="11">
        <v>1083</v>
      </c>
      <c r="E191" t="s">
        <v>3005</v>
      </c>
      <c r="F191">
        <v>2.76</v>
      </c>
      <c r="G191" s="5">
        <v>-2.1299999999999999E-2</v>
      </c>
      <c r="H191" t="s">
        <v>8909</v>
      </c>
      <c r="I191">
        <v>9258421600</v>
      </c>
      <c r="J191">
        <v>5.88</v>
      </c>
      <c r="K191">
        <v>0.40500000000000003</v>
      </c>
      <c r="L191" t="s">
        <v>6350</v>
      </c>
      <c r="M191" t="s">
        <v>9</v>
      </c>
      <c r="N191" t="s">
        <v>9</v>
      </c>
      <c r="O191" t="s">
        <v>9</v>
      </c>
      <c r="P191" t="s">
        <v>9</v>
      </c>
      <c r="Q191" t="s">
        <v>8910</v>
      </c>
      <c r="R191">
        <v>1574623000</v>
      </c>
      <c r="S191" s="5">
        <v>0.63200000000000001</v>
      </c>
      <c r="T191" t="s">
        <v>8911</v>
      </c>
      <c r="U191">
        <v>3354500600</v>
      </c>
      <c r="V191">
        <v>3354500600</v>
      </c>
      <c r="W191" t="s">
        <v>9</v>
      </c>
      <c r="X191" t="s">
        <v>9</v>
      </c>
      <c r="Y191" t="s">
        <v>9</v>
      </c>
      <c r="Z191" t="s">
        <v>9</v>
      </c>
      <c r="AA191" t="s">
        <v>9</v>
      </c>
      <c r="AB191" t="s">
        <v>9</v>
      </c>
      <c r="AC191" t="s">
        <v>9</v>
      </c>
      <c r="AD191" t="s">
        <v>9</v>
      </c>
      <c r="AE191" t="s">
        <v>9</v>
      </c>
      <c r="AF191" t="s">
        <v>9</v>
      </c>
      <c r="AG191" t="s">
        <v>9</v>
      </c>
      <c r="AH191" t="s">
        <v>8912</v>
      </c>
      <c r="AI191" t="s">
        <v>9</v>
      </c>
      <c r="AJ191" t="s">
        <v>9</v>
      </c>
      <c r="AK191" t="s">
        <v>8913</v>
      </c>
      <c r="AL191" t="s">
        <v>9</v>
      </c>
      <c r="AM191" t="s">
        <v>9</v>
      </c>
      <c r="AN191" s="5">
        <v>0.52810000000000001</v>
      </c>
      <c r="AO191" t="s">
        <v>9</v>
      </c>
      <c r="AP191" t="s">
        <v>2367</v>
      </c>
      <c r="AQ191" t="s">
        <v>9</v>
      </c>
      <c r="AR191" t="s">
        <v>8914</v>
      </c>
      <c r="AS191" t="s">
        <v>9</v>
      </c>
      <c r="AT191" t="s">
        <v>9</v>
      </c>
      <c r="AU191" t="s">
        <v>1702</v>
      </c>
      <c r="AV191" t="s">
        <v>8915</v>
      </c>
      <c r="AW191" t="s">
        <v>9</v>
      </c>
      <c r="AX191" t="s">
        <v>3006</v>
      </c>
      <c r="AY191" t="s">
        <v>3009</v>
      </c>
      <c r="AZ191" t="s">
        <v>3010</v>
      </c>
      <c r="BA191" t="s">
        <v>3011</v>
      </c>
      <c r="BB191" t="s">
        <v>3012</v>
      </c>
      <c r="BC191" t="s">
        <v>3013</v>
      </c>
      <c r="BD191" t="s">
        <v>2255</v>
      </c>
      <c r="BE191" t="s">
        <v>1492</v>
      </c>
      <c r="BF191" t="s">
        <v>3014</v>
      </c>
      <c r="BG191" t="s">
        <v>790</v>
      </c>
      <c r="BH191" t="s">
        <v>3006</v>
      </c>
      <c r="BI191" t="s">
        <v>9</v>
      </c>
      <c r="BJ191" t="s">
        <v>3009</v>
      </c>
      <c r="BK191" t="s">
        <v>3007</v>
      </c>
      <c r="BL191" t="s">
        <v>9</v>
      </c>
      <c r="BM191" t="s">
        <v>3013</v>
      </c>
      <c r="BN191">
        <v>3.82</v>
      </c>
      <c r="BO191">
        <v>2.31</v>
      </c>
      <c r="BP191">
        <v>3.36</v>
      </c>
      <c r="BQ191">
        <v>6.89</v>
      </c>
      <c r="BR191">
        <v>4.49</v>
      </c>
      <c r="BS191">
        <v>5.47</v>
      </c>
      <c r="BT191" t="s">
        <v>3015</v>
      </c>
      <c r="BU191" t="s">
        <v>392</v>
      </c>
      <c r="BV191">
        <v>8.39</v>
      </c>
      <c r="BW191">
        <v>8.0299999999999994</v>
      </c>
      <c r="BX191">
        <v>12.3</v>
      </c>
      <c r="BY191">
        <v>9.1300000000000008</v>
      </c>
      <c r="BZ191">
        <v>5.98</v>
      </c>
      <c r="CA191">
        <v>8.92</v>
      </c>
      <c r="CB191">
        <v>-3.16</v>
      </c>
      <c r="CC191">
        <v>-9.51</v>
      </c>
      <c r="CD191" t="s">
        <v>8916</v>
      </c>
      <c r="CE191" t="s">
        <v>8917</v>
      </c>
      <c r="CF191" s="8" t="s">
        <v>9</v>
      </c>
      <c r="CG191" s="9">
        <v>0.63200000000000001</v>
      </c>
      <c r="CH191" s="8">
        <v>-1.150799822062254E-2</v>
      </c>
      <c r="CI191" s="8">
        <v>0.1721460223197937</v>
      </c>
      <c r="CJ191" s="8">
        <v>0.33517852425575256</v>
      </c>
      <c r="CK191" s="8">
        <v>8.8148012757301331E-2</v>
      </c>
      <c r="CL191" s="8">
        <v>0.34554785490036011</v>
      </c>
      <c r="CM191" s="9">
        <v>0.25698336958885193</v>
      </c>
      <c r="CN191" s="9">
        <v>-0.13407057523727417</v>
      </c>
      <c r="CO191" s="9">
        <v>0.10626915842294693</v>
      </c>
      <c r="CP191" s="9">
        <v>6.8627454340457916E-2</v>
      </c>
      <c r="CQ191" s="9">
        <v>-0.10329665988683701</v>
      </c>
      <c r="CR191">
        <v>34.897264250182417</v>
      </c>
      <c r="CS191">
        <v>1.9793341298545624</v>
      </c>
      <c r="CT191">
        <v>0</v>
      </c>
      <c r="CU191" s="8">
        <v>0.17630810141563416</v>
      </c>
      <c r="CV191" s="9">
        <v>4.8616211488842966E-2</v>
      </c>
      <c r="CW191">
        <v>0.06</v>
      </c>
      <c r="CX191">
        <v>5.297136599139467</v>
      </c>
      <c r="CY191">
        <v>1747816282.7637961</v>
      </c>
      <c r="CZ191">
        <v>0.17630810141563416</v>
      </c>
      <c r="DA191">
        <v>1.6102339743092289</v>
      </c>
      <c r="DB191">
        <v>5749736838.0714684</v>
      </c>
      <c r="DC191">
        <v>0.16749269634485245</v>
      </c>
      <c r="DD191">
        <v>0.71741482685202018</v>
      </c>
      <c r="DE191">
        <v>12905255444.225321</v>
      </c>
      <c r="DF191">
        <v>0.15515112924575805</v>
      </c>
      <c r="DG191">
        <v>0.38334497514388133</v>
      </c>
      <c r="DH191">
        <v>24151670689.109791</v>
      </c>
      <c r="DI191">
        <v>0.14104648113250734</v>
      </c>
      <c r="DJ191">
        <v>0.15106218972309285</v>
      </c>
      <c r="DK191">
        <v>61288808383.959671</v>
      </c>
      <c r="DL191">
        <v>0.1234156709909439</v>
      </c>
      <c r="DM191">
        <v>1575000000</v>
      </c>
      <c r="DN191">
        <v>0.17630810141563416</v>
      </c>
      <c r="DO191">
        <v>9258421600</v>
      </c>
      <c r="DP191" t="e">
        <v>#VALUE!</v>
      </c>
      <c r="DQ191">
        <v>190</v>
      </c>
      <c r="DR191" t="e">
        <v>#VALUE!</v>
      </c>
      <c r="DS191">
        <v>0.58338378851115702</v>
      </c>
      <c r="DT191" t="e">
        <v>#VALUE!</v>
      </c>
      <c r="DU191" t="e">
        <v>#VALUE!</v>
      </c>
      <c r="DV191" t="e">
        <v>#VALUE!</v>
      </c>
      <c r="DW191">
        <v>-8.3322818086225023</v>
      </c>
      <c r="DX191">
        <v>0.33555811976193362</v>
      </c>
      <c r="DY191">
        <v>-8.0683032238115366</v>
      </c>
      <c r="DZ191">
        <v>0</v>
      </c>
      <c r="EA191">
        <v>-8.0683032238115366</v>
      </c>
      <c r="EB191">
        <v>8</v>
      </c>
      <c r="EC191">
        <v>5.0450430684078574E-3</v>
      </c>
      <c r="ED191">
        <v>2.454314660131526E-2</v>
      </c>
      <c r="EE191">
        <v>0</v>
      </c>
      <c r="EF191">
        <v>0</v>
      </c>
      <c r="EG191">
        <v>13.205558119761934</v>
      </c>
      <c r="EH191" t="s">
        <v>110</v>
      </c>
      <c r="EI191">
        <v>0</v>
      </c>
      <c r="EJ191">
        <v>0</v>
      </c>
      <c r="EK191">
        <v>0</v>
      </c>
      <c r="EL191">
        <v>0</v>
      </c>
      <c r="EM191">
        <v>0</v>
      </c>
      <c r="EN191">
        <v>0</v>
      </c>
      <c r="EO191">
        <v>0</v>
      </c>
      <c r="EP191">
        <v>0</v>
      </c>
    </row>
    <row r="192" spans="1:146" ht="96" x14ac:dyDescent="0.25">
      <c r="A192" s="7"/>
      <c r="B192" s="7"/>
      <c r="C192" s="7" t="str">
        <f>""&amp;CHAR(10)&amp;Basic_Fundamental_Information_Constructure(F192)&amp;CHAR(10)&amp;Basic_Fundamental_Information_Concatenate("")</f>
        <v xml:space="preserve">
市值6983.7848亿, 利润708.42亿; PE10.52; 平均PE59.35; 平均PEG32.87, PB1.51; ROIC14.1867%; ROE15.8867%; 毛利31.7%; 净利21.63%; 上一年度营收增-3.24%, 利润增12.51%; 当季营收增-8.64%, 利润增-18.94%; 过往5年营收增-1.81%, 利润增-1839.22%
Income profile:
</v>
      </c>
      <c r="D192" s="11">
        <v>1088</v>
      </c>
      <c r="E192" t="s">
        <v>3016</v>
      </c>
      <c r="F192">
        <v>35.15</v>
      </c>
      <c r="G192" s="5">
        <v>-5.5300000000000002E-2</v>
      </c>
      <c r="H192" t="s">
        <v>8918</v>
      </c>
      <c r="I192">
        <v>698378480000</v>
      </c>
      <c r="J192">
        <v>10.52</v>
      </c>
      <c r="K192">
        <v>1.51</v>
      </c>
      <c r="L192" t="s">
        <v>6350</v>
      </c>
      <c r="M192" t="s">
        <v>8919</v>
      </c>
      <c r="N192" t="s">
        <v>8920</v>
      </c>
      <c r="O192" t="s">
        <v>8921</v>
      </c>
      <c r="P192">
        <v>0.7</v>
      </c>
      <c r="Q192" t="s">
        <v>8922</v>
      </c>
      <c r="R192">
        <v>70841925000</v>
      </c>
      <c r="S192" s="5">
        <v>-0.18940000000000001</v>
      </c>
      <c r="T192" t="s">
        <v>8923</v>
      </c>
      <c r="U192">
        <v>3377482000</v>
      </c>
      <c r="V192">
        <v>19868520000</v>
      </c>
      <c r="W192">
        <v>1.53</v>
      </c>
      <c r="X192">
        <v>0.14000000000000001</v>
      </c>
      <c r="Y192">
        <v>27.07</v>
      </c>
      <c r="Z192" t="s">
        <v>8924</v>
      </c>
      <c r="AA192" t="s">
        <v>8925</v>
      </c>
      <c r="AB192" t="s">
        <v>107</v>
      </c>
      <c r="AC192" t="s">
        <v>5500</v>
      </c>
      <c r="AD192" t="s">
        <v>8926</v>
      </c>
      <c r="AE192" t="s">
        <v>8927</v>
      </c>
      <c r="AF192" t="s">
        <v>9</v>
      </c>
      <c r="AG192" t="s">
        <v>2049</v>
      </c>
      <c r="AH192" t="s">
        <v>8928</v>
      </c>
      <c r="AI192" t="s">
        <v>8929</v>
      </c>
      <c r="AJ192" t="s">
        <v>8930</v>
      </c>
      <c r="AK192" t="s">
        <v>8931</v>
      </c>
      <c r="AL192" t="s">
        <v>9</v>
      </c>
      <c r="AM192" t="s">
        <v>8932</v>
      </c>
      <c r="AN192" s="5">
        <v>0.23449999999999999</v>
      </c>
      <c r="AO192" t="s">
        <v>704</v>
      </c>
      <c r="AP192" t="s">
        <v>8933</v>
      </c>
      <c r="AQ192" t="s">
        <v>2747</v>
      </c>
      <c r="AR192" t="s">
        <v>8934</v>
      </c>
      <c r="AS192" t="s">
        <v>8935</v>
      </c>
      <c r="AT192" t="s">
        <v>8936</v>
      </c>
      <c r="AU192" t="s">
        <v>8937</v>
      </c>
      <c r="AV192" t="s">
        <v>8938</v>
      </c>
      <c r="AW192" t="s">
        <v>8939</v>
      </c>
      <c r="AX192" t="s">
        <v>3017</v>
      </c>
      <c r="AY192" t="s">
        <v>3020</v>
      </c>
      <c r="AZ192" t="s">
        <v>3021</v>
      </c>
      <c r="BA192" t="s">
        <v>3022</v>
      </c>
      <c r="BB192" t="s">
        <v>3023</v>
      </c>
      <c r="BC192" t="s">
        <v>8940</v>
      </c>
      <c r="BD192" t="s">
        <v>3024</v>
      </c>
      <c r="BE192" t="s">
        <v>3025</v>
      </c>
      <c r="BF192" t="s">
        <v>3026</v>
      </c>
      <c r="BG192" t="s">
        <v>2076</v>
      </c>
      <c r="BH192" t="s">
        <v>3017</v>
      </c>
      <c r="BI192" t="s">
        <v>3027</v>
      </c>
      <c r="BJ192" t="s">
        <v>3020</v>
      </c>
      <c r="BK192" t="s">
        <v>2615</v>
      </c>
      <c r="BL192" t="s">
        <v>8941</v>
      </c>
      <c r="BM192" t="s">
        <v>8940</v>
      </c>
      <c r="BN192">
        <v>14.36</v>
      </c>
      <c r="BO192">
        <v>16.32</v>
      </c>
      <c r="BP192">
        <v>11.88</v>
      </c>
      <c r="BQ192">
        <v>15.71</v>
      </c>
      <c r="BR192">
        <v>18.37</v>
      </c>
      <c r="BS192">
        <v>13.58</v>
      </c>
      <c r="BT192" t="s">
        <v>8942</v>
      </c>
      <c r="BU192" t="s">
        <v>1919</v>
      </c>
      <c r="BV192">
        <v>32.22</v>
      </c>
      <c r="BW192">
        <v>34.22</v>
      </c>
      <c r="BX192">
        <v>28.66</v>
      </c>
      <c r="BY192">
        <v>21.92</v>
      </c>
      <c r="BZ192">
        <v>24.77</v>
      </c>
      <c r="CA192">
        <v>18.2</v>
      </c>
      <c r="CB192">
        <v>-7.03</v>
      </c>
      <c r="CC192">
        <v>6.33</v>
      </c>
      <c r="CD192" t="s">
        <v>1969</v>
      </c>
      <c r="CE192" t="s">
        <v>819</v>
      </c>
      <c r="CF192" s="8">
        <v>-8.6361527756301223E-2</v>
      </c>
      <c r="CG192" s="9">
        <v>-0.18940000000000001</v>
      </c>
      <c r="CH192" s="8">
        <v>-3.2392658293247223E-2</v>
      </c>
      <c r="CI192" s="8">
        <v>-5.4315067827701569E-2</v>
      </c>
      <c r="CJ192" s="8">
        <v>0.47824668884277344</v>
      </c>
      <c r="CK192" s="8">
        <v>-7.5419418513774872E-2</v>
      </c>
      <c r="CL192" s="8">
        <v>8.3259958773851395E-3</v>
      </c>
      <c r="CM192" s="9">
        <v>0.12508334219455719</v>
      </c>
      <c r="CN192" s="9">
        <v>0.47364723682403564</v>
      </c>
      <c r="CO192" s="9">
        <v>-8.3247460424900055E-2</v>
      </c>
      <c r="CP192" s="9">
        <v>-7.2551459074020386E-2</v>
      </c>
      <c r="CQ192" s="9">
        <v>-0.12298214435577393</v>
      </c>
      <c r="CR192">
        <v>59.348231305041253</v>
      </c>
      <c r="CS192">
        <v>32.868356634652443</v>
      </c>
      <c r="CT192" t="e">
        <v>#VALUE!</v>
      </c>
      <c r="CU192" s="8">
        <v>-1.8056342750787734E-2</v>
      </c>
      <c r="CV192" s="9">
        <v>-18.392173570394515</v>
      </c>
      <c r="CW192">
        <v>0.06</v>
      </c>
      <c r="CX192">
        <v>4.5510217102848589</v>
      </c>
      <c r="CY192" t="s">
        <v>8943</v>
      </c>
      <c r="CZ192">
        <v>-1.8056342750787734E-2</v>
      </c>
      <c r="DA192">
        <v>1.5170072367616199</v>
      </c>
      <c r="DB192" t="s">
        <v>8944</v>
      </c>
      <c r="DC192">
        <v>-1.7153525613248347E-2</v>
      </c>
      <c r="DD192">
        <v>0.75850361838080993</v>
      </c>
      <c r="DE192" t="s">
        <v>8945</v>
      </c>
      <c r="DF192">
        <v>-1.5889581620693205E-2</v>
      </c>
      <c r="DG192">
        <v>0.45510217102848594</v>
      </c>
      <c r="DH192" t="s">
        <v>8946</v>
      </c>
      <c r="DI192">
        <v>-1.4445074200630188E-2</v>
      </c>
      <c r="DJ192">
        <v>0.22755108551424297</v>
      </c>
      <c r="DK192" t="s">
        <v>8947</v>
      </c>
      <c r="DL192">
        <v>-1.2639439925551412E-2</v>
      </c>
      <c r="DM192">
        <v>70842000000</v>
      </c>
      <c r="DN192">
        <v>-1.8056342750787734E-2</v>
      </c>
      <c r="DO192">
        <v>322403480000</v>
      </c>
      <c r="DP192" t="e">
        <v>#VALUE!</v>
      </c>
      <c r="DQ192">
        <v>191</v>
      </c>
      <c r="DR192">
        <v>-6.8305185005513497E-2</v>
      </c>
      <c r="DS192">
        <v>18.202773570394516</v>
      </c>
      <c r="DT192">
        <v>-0.45666666666666672</v>
      </c>
      <c r="DU192">
        <v>-0.40000000000000008</v>
      </c>
      <c r="DV192">
        <v>-0.8566666666666668</v>
      </c>
      <c r="DW192">
        <v>-5.9004267425320061</v>
      </c>
      <c r="DX192">
        <v>0.80184899845916957</v>
      </c>
      <c r="DY192">
        <v>-5.1817502361659367</v>
      </c>
      <c r="DZ192">
        <v>0</v>
      </c>
      <c r="EA192">
        <v>-5.1817502361659367</v>
      </c>
      <c r="EB192">
        <v>5</v>
      </c>
      <c r="EC192">
        <v>6.5933446477140726E-3</v>
      </c>
      <c r="ED192">
        <v>3.2664737987530022E-2</v>
      </c>
      <c r="EE192">
        <v>0</v>
      </c>
      <c r="EF192">
        <v>0</v>
      </c>
      <c r="EG192">
        <v>60.20184899845917</v>
      </c>
      <c r="EH192" t="s">
        <v>110</v>
      </c>
      <c r="EI192">
        <v>0</v>
      </c>
      <c r="EJ192">
        <v>0</v>
      </c>
      <c r="EK192">
        <v>0</v>
      </c>
      <c r="EL192">
        <v>0</v>
      </c>
      <c r="EM192">
        <v>0</v>
      </c>
      <c r="EN192">
        <v>0</v>
      </c>
      <c r="EO192">
        <v>0</v>
      </c>
      <c r="EP192">
        <v>0</v>
      </c>
    </row>
    <row r="193" spans="1:146" ht="96" x14ac:dyDescent="0.25">
      <c r="A193" s="7"/>
      <c r="B193" s="7"/>
      <c r="C193" s="7" t="str">
        <f>""&amp;CHAR(10)&amp;Basic_Fundamental_Information_Constructure(F193)&amp;CHAR(10)&amp;Basic_Fundamental_Information_Concatenate("")</f>
        <v xml:space="preserve">
市值753.02261亿, 利润64.38亿; PE11.51; 平均PE47.95; 平均PEG41.8, PB2.07; ROIC21.0333%; ROE19.81%; 股利率0%; 毛利72.7633%; 净利19.9533%; 上一年度营收增-1.21%, 利润增-6.21%, 利润增-6.31%; 过往5年营收增1.15%, 利润增-2.1%
Income profile:
</v>
      </c>
      <c r="D193" s="11">
        <v>1093</v>
      </c>
      <c r="E193" t="s">
        <v>3028</v>
      </c>
      <c r="F193">
        <v>6.33</v>
      </c>
      <c r="G193" s="5">
        <v>-3.3599999999999998E-2</v>
      </c>
      <c r="H193" t="s">
        <v>8948</v>
      </c>
      <c r="I193">
        <v>75302261000</v>
      </c>
      <c r="J193">
        <v>11.51</v>
      </c>
      <c r="K193">
        <v>2.0699999999999998</v>
      </c>
      <c r="L193" t="s">
        <v>6350</v>
      </c>
      <c r="M193" t="s">
        <v>9</v>
      </c>
      <c r="N193" t="s">
        <v>9</v>
      </c>
      <c r="O193" t="s">
        <v>9</v>
      </c>
      <c r="P193" t="s">
        <v>9</v>
      </c>
      <c r="Q193" t="s">
        <v>5214</v>
      </c>
      <c r="R193">
        <v>6438338900</v>
      </c>
      <c r="S193" s="5">
        <v>-6.3100000000000003E-2</v>
      </c>
      <c r="T193" t="s">
        <v>8949</v>
      </c>
      <c r="U193">
        <v>11896091700</v>
      </c>
      <c r="V193">
        <v>11896091700</v>
      </c>
      <c r="W193" t="s">
        <v>9</v>
      </c>
      <c r="X193" t="s">
        <v>9</v>
      </c>
      <c r="Y193" t="s">
        <v>9</v>
      </c>
      <c r="Z193" t="s">
        <v>9</v>
      </c>
      <c r="AA193" t="s">
        <v>9</v>
      </c>
      <c r="AB193" t="s">
        <v>9</v>
      </c>
      <c r="AC193" t="s">
        <v>9</v>
      </c>
      <c r="AD193" t="s">
        <v>8950</v>
      </c>
      <c r="AE193" t="s">
        <v>9</v>
      </c>
      <c r="AF193" t="s">
        <v>9</v>
      </c>
      <c r="AG193" t="s">
        <v>9</v>
      </c>
      <c r="AH193" t="s">
        <v>8951</v>
      </c>
      <c r="AI193" t="s">
        <v>9</v>
      </c>
      <c r="AJ193" t="s">
        <v>9</v>
      </c>
      <c r="AK193" t="s">
        <v>8952</v>
      </c>
      <c r="AL193" t="s">
        <v>9</v>
      </c>
      <c r="AM193" t="s">
        <v>9</v>
      </c>
      <c r="AN193" s="5">
        <v>0.24340000000000001</v>
      </c>
      <c r="AO193" t="s">
        <v>9</v>
      </c>
      <c r="AP193" t="s">
        <v>8953</v>
      </c>
      <c r="AQ193" t="s">
        <v>9</v>
      </c>
      <c r="AR193" t="s">
        <v>8954</v>
      </c>
      <c r="AS193" t="s">
        <v>9</v>
      </c>
      <c r="AT193" t="s">
        <v>9</v>
      </c>
      <c r="AU193" t="s">
        <v>4014</v>
      </c>
      <c r="AV193" t="s">
        <v>1704</v>
      </c>
      <c r="AW193" t="s">
        <v>9</v>
      </c>
      <c r="AX193" t="s">
        <v>3029</v>
      </c>
      <c r="AY193" t="s">
        <v>3034</v>
      </c>
      <c r="AZ193" t="s">
        <v>3035</v>
      </c>
      <c r="BA193" t="s">
        <v>3036</v>
      </c>
      <c r="BB193" t="s">
        <v>3037</v>
      </c>
      <c r="BC193" t="s">
        <v>3038</v>
      </c>
      <c r="BD193" t="s">
        <v>3039</v>
      </c>
      <c r="BE193" t="s">
        <v>3040</v>
      </c>
      <c r="BF193" t="s">
        <v>3041</v>
      </c>
      <c r="BG193" t="s">
        <v>2294</v>
      </c>
      <c r="BH193" t="s">
        <v>3029</v>
      </c>
      <c r="BI193" t="s">
        <v>3042</v>
      </c>
      <c r="BJ193" t="s">
        <v>3034</v>
      </c>
      <c r="BK193" t="s">
        <v>3030</v>
      </c>
      <c r="BL193" t="s">
        <v>3043</v>
      </c>
      <c r="BM193" t="s">
        <v>3038</v>
      </c>
      <c r="BN193">
        <v>18.34</v>
      </c>
      <c r="BO193">
        <v>21.61</v>
      </c>
      <c r="BP193">
        <v>23.15</v>
      </c>
      <c r="BQ193">
        <v>17.690000000000001</v>
      </c>
      <c r="BR193">
        <v>20.170000000000002</v>
      </c>
      <c r="BS193">
        <v>21.57</v>
      </c>
      <c r="BT193" t="s">
        <v>8955</v>
      </c>
      <c r="BU193" t="s">
        <v>489</v>
      </c>
      <c r="BV193">
        <v>70.510000000000005</v>
      </c>
      <c r="BW193">
        <v>71.94</v>
      </c>
      <c r="BX193">
        <v>75.84</v>
      </c>
      <c r="BY193">
        <v>19.309999999999999</v>
      </c>
      <c r="BZ193">
        <v>20.14</v>
      </c>
      <c r="CA193">
        <v>20.41</v>
      </c>
      <c r="CB193">
        <v>-1.71</v>
      </c>
      <c r="CC193">
        <v>-3.95</v>
      </c>
      <c r="CD193" t="s">
        <v>2283</v>
      </c>
      <c r="CE193" t="s">
        <v>2255</v>
      </c>
      <c r="CF193" s="8" t="s">
        <v>9</v>
      </c>
      <c r="CG193" s="9">
        <v>-6.3100000000000003E-2</v>
      </c>
      <c r="CH193" s="8">
        <v>-1.2149040587246418E-2</v>
      </c>
      <c r="CI193" s="8">
        <v>2.27705929428339E-2</v>
      </c>
      <c r="CJ193" s="8">
        <v>0.14780183136463165</v>
      </c>
      <c r="CK193" s="8">
        <v>0.47377556562423706</v>
      </c>
      <c r="CL193" s="8">
        <v>0.30453333258628845</v>
      </c>
      <c r="CM193" s="9">
        <v>-6.2062919139862061E-2</v>
      </c>
      <c r="CN193" s="9">
        <v>0.11609753966331482</v>
      </c>
      <c r="CO193" s="9">
        <v>0.48157072067260742</v>
      </c>
      <c r="CP193" s="9">
        <v>0.18329533934593201</v>
      </c>
      <c r="CQ193" s="9">
        <v>0.26596894860267639</v>
      </c>
      <c r="CR193">
        <v>47.947953517987905</v>
      </c>
      <c r="CS193">
        <v>41.801178892690807</v>
      </c>
      <c r="CT193">
        <v>0</v>
      </c>
      <c r="CU193" s="8">
        <v>1.1470478773117066E-2</v>
      </c>
      <c r="CV193" s="9">
        <v>-2.1022215485572815E-2</v>
      </c>
      <c r="CW193">
        <v>0.06</v>
      </c>
      <c r="CX193">
        <v>12.257720024251778</v>
      </c>
      <c r="CY193">
        <v>6143251832.3974781</v>
      </c>
      <c r="CZ193">
        <v>1.1470478773117066E-2</v>
      </c>
      <c r="DA193">
        <v>4.2835922906320238</v>
      </c>
      <c r="DB193">
        <v>17579231610.039505</v>
      </c>
      <c r="DC193">
        <v>1.0896954834461212E-2</v>
      </c>
      <c r="DD193">
        <v>2.3000543749393079</v>
      </c>
      <c r="DE193">
        <v>32739339478.436035</v>
      </c>
      <c r="DF193">
        <v>1.0094021320343018E-2</v>
      </c>
      <c r="DG193">
        <v>1.5174143807750644</v>
      </c>
      <c r="DH193">
        <v>49625377190.334213</v>
      </c>
      <c r="DI193">
        <v>9.1763830184936526E-3</v>
      </c>
      <c r="DJ193">
        <v>0.9509878955784965</v>
      </c>
      <c r="DK193">
        <v>79183196074.428268</v>
      </c>
      <c r="DL193">
        <v>8.0293351411819466E-3</v>
      </c>
      <c r="DM193">
        <v>6438000000</v>
      </c>
      <c r="DN193">
        <v>1.1470478773117066E-2</v>
      </c>
      <c r="DO193">
        <v>75302261000</v>
      </c>
      <c r="DP193" t="e">
        <v>#VALUE!</v>
      </c>
      <c r="DQ193">
        <v>192</v>
      </c>
      <c r="DR193" t="e">
        <v>#VALUE!</v>
      </c>
      <c r="DS193">
        <v>-4.2077784514427188E-2</v>
      </c>
      <c r="DT193" t="e">
        <v>#VALUE!</v>
      </c>
      <c r="DU193">
        <v>0.19999999999999998</v>
      </c>
      <c r="DV193" t="e">
        <v>#VALUE!</v>
      </c>
      <c r="DW193">
        <v>-1.0395000000000001</v>
      </c>
      <c r="DX193">
        <v>0.3524049686289446</v>
      </c>
      <c r="DY193">
        <v>-1.0064149962608433</v>
      </c>
      <c r="DZ193">
        <v>0</v>
      </c>
      <c r="EA193">
        <v>-1.0064149962608433</v>
      </c>
      <c r="EB193">
        <v>1</v>
      </c>
      <c r="EC193">
        <v>1.9754387064787E-2</v>
      </c>
      <c r="ED193">
        <v>0.12163658758615656</v>
      </c>
      <c r="EE193">
        <v>0</v>
      </c>
      <c r="EF193">
        <v>0</v>
      </c>
      <c r="EG193">
        <v>19.162404968628945</v>
      </c>
      <c r="EH193" t="s">
        <v>110</v>
      </c>
      <c r="EI193">
        <v>0</v>
      </c>
      <c r="EJ193">
        <v>0</v>
      </c>
      <c r="EK193">
        <v>0</v>
      </c>
      <c r="EL193">
        <v>0</v>
      </c>
      <c r="EM193">
        <v>0</v>
      </c>
      <c r="EN193">
        <v>0</v>
      </c>
      <c r="EO193">
        <v>0</v>
      </c>
      <c r="EP193">
        <v>0</v>
      </c>
    </row>
    <row r="194" spans="1:146" ht="96" x14ac:dyDescent="0.25">
      <c r="A194" s="7"/>
      <c r="B194" s="7"/>
      <c r="C194" s="7" t="str">
        <f>""&amp;CHAR(10)&amp;Basic_Fundamental_Information_Constructure(F194)&amp;CHAR(10)&amp;Basic_Fundamental_Information_Concatenate("")</f>
        <v xml:space="preserve">
市值641.29485亿, 利润99.25亿; PE6.65; 平均PE38.4; 平均PEG12.24, PB.781; ROIC6.4933%; ROE12.4033%; 股利率0%; 毛利8.39%; 净利2.5433%; 上一年度营收增4.99%, 利润增4.47%; 当季营收增.95%, 利润增-15.73%; 过往5年营收增3.14%, 利润增53.36%
Income profile:
</v>
      </c>
      <c r="D194" s="11">
        <v>1099</v>
      </c>
      <c r="E194" t="s">
        <v>3044</v>
      </c>
      <c r="F194">
        <v>20.55</v>
      </c>
      <c r="G194" s="5">
        <v>-1.67E-2</v>
      </c>
      <c r="H194" t="s">
        <v>8956</v>
      </c>
      <c r="I194">
        <v>64129485000</v>
      </c>
      <c r="J194">
        <v>6.65</v>
      </c>
      <c r="K194">
        <v>0.78100000000000003</v>
      </c>
      <c r="L194" t="s">
        <v>6350</v>
      </c>
      <c r="M194" t="s">
        <v>8957</v>
      </c>
      <c r="N194" t="s">
        <v>8958</v>
      </c>
      <c r="O194" t="s">
        <v>8959</v>
      </c>
      <c r="P194">
        <v>1.2</v>
      </c>
      <c r="Q194" t="s">
        <v>8960</v>
      </c>
      <c r="R194">
        <v>9924731700</v>
      </c>
      <c r="S194" s="5">
        <v>-0.1573</v>
      </c>
      <c r="T194" t="s">
        <v>8961</v>
      </c>
      <c r="U194">
        <v>1341810740</v>
      </c>
      <c r="V194">
        <v>3120656200</v>
      </c>
      <c r="W194">
        <v>5.43</v>
      </c>
      <c r="X194">
        <v>0.37</v>
      </c>
      <c r="Y194">
        <v>2.11</v>
      </c>
      <c r="Z194" t="s">
        <v>8962</v>
      </c>
      <c r="AA194" t="s">
        <v>8963</v>
      </c>
      <c r="AB194" t="s">
        <v>8964</v>
      </c>
      <c r="AC194" t="s">
        <v>8965</v>
      </c>
      <c r="AD194" t="s">
        <v>9</v>
      </c>
      <c r="AE194" t="s">
        <v>1564</v>
      </c>
      <c r="AF194" t="s">
        <v>9</v>
      </c>
      <c r="AG194" t="s">
        <v>8966</v>
      </c>
      <c r="AH194" t="s">
        <v>8967</v>
      </c>
      <c r="AI194" t="s">
        <v>8968</v>
      </c>
      <c r="AJ194" t="s">
        <v>8969</v>
      </c>
      <c r="AK194" t="s">
        <v>8970</v>
      </c>
      <c r="AL194" t="s">
        <v>9</v>
      </c>
      <c r="AM194" t="s">
        <v>8971</v>
      </c>
      <c r="AN194" s="5">
        <v>0.7026</v>
      </c>
      <c r="AO194" t="s">
        <v>8972</v>
      </c>
      <c r="AP194" t="s">
        <v>8973</v>
      </c>
      <c r="AQ194" t="s">
        <v>8974</v>
      </c>
      <c r="AR194" t="s">
        <v>8975</v>
      </c>
      <c r="AS194" t="s">
        <v>8976</v>
      </c>
      <c r="AT194" t="s">
        <v>8977</v>
      </c>
      <c r="AU194" t="s">
        <v>8978</v>
      </c>
      <c r="AV194" t="s">
        <v>8979</v>
      </c>
      <c r="AW194" t="s">
        <v>242</v>
      </c>
      <c r="AX194" t="s">
        <v>3045</v>
      </c>
      <c r="AY194" t="s">
        <v>3047</v>
      </c>
      <c r="AZ194" t="s">
        <v>3048</v>
      </c>
      <c r="BA194" t="s">
        <v>3049</v>
      </c>
      <c r="BB194" t="s">
        <v>3050</v>
      </c>
      <c r="BC194" t="s">
        <v>3051</v>
      </c>
      <c r="BD194" t="s">
        <v>8980</v>
      </c>
      <c r="BE194" t="s">
        <v>3052</v>
      </c>
      <c r="BF194" t="s">
        <v>3053</v>
      </c>
      <c r="BG194" t="s">
        <v>3054</v>
      </c>
      <c r="BH194" t="s">
        <v>3045</v>
      </c>
      <c r="BI194" t="s">
        <v>3055</v>
      </c>
      <c r="BJ194" t="s">
        <v>3047</v>
      </c>
      <c r="BK194" t="s">
        <v>897</v>
      </c>
      <c r="BL194" t="s">
        <v>1923</v>
      </c>
      <c r="BM194" t="s">
        <v>3051</v>
      </c>
      <c r="BN194">
        <v>6.56</v>
      </c>
      <c r="BO194">
        <v>6.6</v>
      </c>
      <c r="BP194">
        <v>6.32</v>
      </c>
      <c r="BQ194">
        <v>12.14</v>
      </c>
      <c r="BR194">
        <v>12.53</v>
      </c>
      <c r="BS194">
        <v>12.54</v>
      </c>
      <c r="BT194" t="s">
        <v>8981</v>
      </c>
      <c r="BU194" t="s">
        <v>489</v>
      </c>
      <c r="BV194">
        <v>8.1300000000000008</v>
      </c>
      <c r="BW194">
        <v>8.59</v>
      </c>
      <c r="BX194">
        <v>8.4499999999999993</v>
      </c>
      <c r="BY194">
        <v>2.52</v>
      </c>
      <c r="BZ194">
        <v>2.6</v>
      </c>
      <c r="CA194">
        <v>2.5099999999999998</v>
      </c>
      <c r="CB194">
        <v>-7.22</v>
      </c>
      <c r="CC194">
        <v>-4.83</v>
      </c>
      <c r="CD194" t="s">
        <v>8982</v>
      </c>
      <c r="CE194" t="s">
        <v>1075</v>
      </c>
      <c r="CF194" s="8">
        <v>9.5363074041750814E-3</v>
      </c>
      <c r="CG194" s="9">
        <v>-0.1573</v>
      </c>
      <c r="CH194" s="8">
        <v>4.9900654703378677E-2</v>
      </c>
      <c r="CI194" s="8">
        <v>-2.3743469268083572E-2</v>
      </c>
      <c r="CJ194" s="8">
        <v>0.17284154891967773</v>
      </c>
      <c r="CK194" s="8">
        <v>0.38677769899368286</v>
      </c>
      <c r="CL194" s="8">
        <v>6.1111476272344589E-2</v>
      </c>
      <c r="CM194" s="9">
        <v>4.47368323802948E-2</v>
      </c>
      <c r="CN194" s="9">
        <v>0.10903573781251907</v>
      </c>
      <c r="CO194" s="9">
        <v>0.22599117457866669</v>
      </c>
      <c r="CP194" s="9">
        <v>5.1467210054397583E-2</v>
      </c>
      <c r="CQ194" s="9">
        <v>-5.9835449792444706E-3</v>
      </c>
      <c r="CR194">
        <v>38.402294239627572</v>
      </c>
      <c r="CS194">
        <v>12.243717781731318</v>
      </c>
      <c r="CT194">
        <v>0</v>
      </c>
      <c r="CU194" s="8">
        <v>3.1364896614104507E-2</v>
      </c>
      <c r="CV194" s="9">
        <v>0.53355349320918322</v>
      </c>
      <c r="CW194">
        <v>0.06</v>
      </c>
      <c r="CX194">
        <v>25.331617894697558</v>
      </c>
      <c r="CY194">
        <v>9656883583.8631954</v>
      </c>
      <c r="CZ194">
        <v>3.1364896614104507E-2</v>
      </c>
      <c r="DA194">
        <v>8.7023384545752069</v>
      </c>
      <c r="DB194">
        <v>28110201215.098686</v>
      </c>
      <c r="DC194">
        <v>2.979665178339928E-2</v>
      </c>
      <c r="DD194">
        <v>4.5729094661356946</v>
      </c>
      <c r="DE194">
        <v>53494276851.870026</v>
      </c>
      <c r="DF194">
        <v>2.7601109020411966E-2</v>
      </c>
      <c r="DG194">
        <v>2.949505727643785</v>
      </c>
      <c r="DH194">
        <v>82937450403.060745</v>
      </c>
      <c r="DI194">
        <v>2.5091917291283607E-2</v>
      </c>
      <c r="DJ194">
        <v>1.7693437770069833</v>
      </c>
      <c r="DK194">
        <v>138257182227.07745</v>
      </c>
      <c r="DL194">
        <v>2.1955427629873153E-2</v>
      </c>
      <c r="DM194">
        <v>9925000000</v>
      </c>
      <c r="DN194">
        <v>3.1364896614104507E-2</v>
      </c>
      <c r="DO194">
        <v>244624485000</v>
      </c>
      <c r="DP194" t="e">
        <v>#VALUE!</v>
      </c>
      <c r="DQ194">
        <v>193</v>
      </c>
      <c r="DR194">
        <v>-2.1828589209929423E-2</v>
      </c>
      <c r="DS194">
        <v>-0.69085349320918321</v>
      </c>
      <c r="DT194">
        <v>-0.47333333333333333</v>
      </c>
      <c r="DU194">
        <v>0.17833333333333326</v>
      </c>
      <c r="DV194">
        <v>-0.29500000000000004</v>
      </c>
      <c r="DW194">
        <v>-5.6689750692520775</v>
      </c>
      <c r="DX194">
        <v>0.32550923913043533</v>
      </c>
      <c r="DY194">
        <v>-5.0906523026315789</v>
      </c>
      <c r="DZ194">
        <v>0</v>
      </c>
      <c r="EA194">
        <v>-5.0906523026315789</v>
      </c>
      <c r="EB194">
        <v>5</v>
      </c>
      <c r="EC194">
        <v>7.9898900750425498E-3</v>
      </c>
      <c r="ED194">
        <v>5.8961958065101822E-2</v>
      </c>
      <c r="EE194">
        <v>0</v>
      </c>
      <c r="EF194">
        <v>0</v>
      </c>
      <c r="EG194">
        <v>19.135509239130435</v>
      </c>
      <c r="EH194" t="s">
        <v>110</v>
      </c>
      <c r="EI194">
        <v>0</v>
      </c>
      <c r="EJ194">
        <v>0</v>
      </c>
      <c r="EK194">
        <v>0</v>
      </c>
      <c r="EL194">
        <v>0</v>
      </c>
      <c r="EM194">
        <v>0</v>
      </c>
      <c r="EN194">
        <v>0</v>
      </c>
      <c r="EO194">
        <v>0</v>
      </c>
      <c r="EP194">
        <v>0</v>
      </c>
    </row>
    <row r="195" spans="1:146" ht="96" x14ac:dyDescent="0.25">
      <c r="A195" s="7"/>
      <c r="B195" s="7"/>
      <c r="C195" s="7" t="str">
        <f>""&amp;CHAR(10)&amp;Basic_Fundamental_Information_Constructure(F195)&amp;CHAR(10)&amp;Basic_Fundamental_Information_Concatenate("")</f>
        <v xml:space="preserve">
市值27.570321亿, 利润4.33亿; PE6.7; 平均PE48.18; 平均PEG1.74, PB.553; ROIC5.5367%; ROE8.3567%; 股利率0%; 毛利15.11%; 净利8.6633%; 上一年度营收增27.53%, 利润增38.34%; 当季营收增25.14%, 利润增-148.2%; 过往5年营收增27.73%, 利润增-7.25%
Income profile:
</v>
      </c>
      <c r="D195" s="11">
        <v>1108</v>
      </c>
      <c r="E195" t="s">
        <v>3056</v>
      </c>
      <c r="F195">
        <v>4.2699999999999996</v>
      </c>
      <c r="G195" s="5">
        <v>-1.3899999999999999E-2</v>
      </c>
      <c r="H195" t="s">
        <v>8983</v>
      </c>
      <c r="I195">
        <v>2757032100</v>
      </c>
      <c r="J195">
        <v>6.7</v>
      </c>
      <c r="K195">
        <v>0.55300000000000005</v>
      </c>
      <c r="L195" t="s">
        <v>6350</v>
      </c>
      <c r="M195" t="s">
        <v>8984</v>
      </c>
      <c r="N195" t="s">
        <v>8985</v>
      </c>
      <c r="O195" t="s">
        <v>5041</v>
      </c>
      <c r="P195">
        <v>0.8</v>
      </c>
      <c r="Q195" t="s">
        <v>4229</v>
      </c>
      <c r="R195">
        <v>432692680</v>
      </c>
      <c r="S195" s="5">
        <v>-1.482</v>
      </c>
      <c r="T195" t="s">
        <v>3662</v>
      </c>
      <c r="U195">
        <v>250000000</v>
      </c>
      <c r="V195">
        <v>645674960</v>
      </c>
      <c r="W195">
        <v>2.68</v>
      </c>
      <c r="X195">
        <v>0.12</v>
      </c>
      <c r="Y195">
        <v>0.34</v>
      </c>
      <c r="Z195" t="s">
        <v>116</v>
      </c>
      <c r="AA195" t="s">
        <v>8893</v>
      </c>
      <c r="AB195" t="s">
        <v>8986</v>
      </c>
      <c r="AC195" t="s">
        <v>8987</v>
      </c>
      <c r="AD195" t="s">
        <v>246</v>
      </c>
      <c r="AE195" t="s">
        <v>8988</v>
      </c>
      <c r="AF195" t="s">
        <v>9</v>
      </c>
      <c r="AG195" t="s">
        <v>8989</v>
      </c>
      <c r="AH195" t="s">
        <v>8990</v>
      </c>
      <c r="AI195" t="s">
        <v>3683</v>
      </c>
      <c r="AJ195" t="s">
        <v>8991</v>
      </c>
      <c r="AK195" t="s">
        <v>8992</v>
      </c>
      <c r="AL195" t="s">
        <v>9</v>
      </c>
      <c r="AM195" t="s">
        <v>154</v>
      </c>
      <c r="AN195" s="5">
        <v>0.59119999999999995</v>
      </c>
      <c r="AO195" t="s">
        <v>8993</v>
      </c>
      <c r="AP195" t="s">
        <v>850</v>
      </c>
      <c r="AQ195" t="s">
        <v>1973</v>
      </c>
      <c r="AR195" t="s">
        <v>8994</v>
      </c>
      <c r="AS195" t="s">
        <v>2714</v>
      </c>
      <c r="AT195" t="s">
        <v>8995</v>
      </c>
      <c r="AU195" t="s">
        <v>121</v>
      </c>
      <c r="AV195" t="s">
        <v>8996</v>
      </c>
      <c r="AW195" t="s">
        <v>5927</v>
      </c>
      <c r="AX195" t="s">
        <v>3058</v>
      </c>
      <c r="AY195" t="s">
        <v>3063</v>
      </c>
      <c r="AZ195" t="s">
        <v>796</v>
      </c>
      <c r="BA195" t="s">
        <v>3065</v>
      </c>
      <c r="BB195" t="s">
        <v>3066</v>
      </c>
      <c r="BC195" t="s">
        <v>1273</v>
      </c>
      <c r="BD195" t="s">
        <v>1383</v>
      </c>
      <c r="BE195" t="s">
        <v>3067</v>
      </c>
      <c r="BF195" t="s">
        <v>3068</v>
      </c>
      <c r="BG195" t="s">
        <v>26</v>
      </c>
      <c r="BH195" t="s">
        <v>3058</v>
      </c>
      <c r="BI195" t="s">
        <v>3069</v>
      </c>
      <c r="BJ195" t="s">
        <v>3063</v>
      </c>
      <c r="BK195" t="s">
        <v>1564</v>
      </c>
      <c r="BL195" t="s">
        <v>1133</v>
      </c>
      <c r="BM195" t="s">
        <v>1273</v>
      </c>
      <c r="BN195">
        <v>5.08</v>
      </c>
      <c r="BO195">
        <v>6.18</v>
      </c>
      <c r="BP195">
        <v>5.35</v>
      </c>
      <c r="BQ195">
        <v>8.5299999999999994</v>
      </c>
      <c r="BR195">
        <v>9.66</v>
      </c>
      <c r="BS195">
        <v>6.88</v>
      </c>
      <c r="BT195" t="s">
        <v>9</v>
      </c>
      <c r="BU195" t="s">
        <v>589</v>
      </c>
      <c r="BV195">
        <v>10.98</v>
      </c>
      <c r="BW195">
        <v>11.18</v>
      </c>
      <c r="BX195">
        <v>23.17</v>
      </c>
      <c r="BY195">
        <v>7.1</v>
      </c>
      <c r="BZ195">
        <v>9.1999999999999993</v>
      </c>
      <c r="CA195">
        <v>9.69</v>
      </c>
      <c r="CB195">
        <v>-3.61</v>
      </c>
      <c r="CC195">
        <v>-17.25</v>
      </c>
      <c r="CD195" t="s">
        <v>8997</v>
      </c>
      <c r="CE195" t="s">
        <v>8998</v>
      </c>
      <c r="CF195" s="8">
        <v>0.25141930251419303</v>
      </c>
      <c r="CG195" s="9">
        <v>-1.482</v>
      </c>
      <c r="CH195" s="8">
        <v>0.27526196837425232</v>
      </c>
      <c r="CI195" s="8">
        <v>0.28356516361236572</v>
      </c>
      <c r="CJ195" s="8">
        <v>0.10115457326173782</v>
      </c>
      <c r="CK195" s="8">
        <v>1.4946776628494263</v>
      </c>
      <c r="CL195" s="8">
        <v>-0.11327046900987625</v>
      </c>
      <c r="CM195" s="9">
        <v>0.38338658213615417</v>
      </c>
      <c r="CN195" s="9">
        <v>-0.29504504799842834</v>
      </c>
      <c r="CO195" s="9">
        <v>6.3577055931091309</v>
      </c>
      <c r="CP195" s="9">
        <v>2.3875365257263184</v>
      </c>
      <c r="CQ195" s="9">
        <v>-0.83034473657608032</v>
      </c>
      <c r="CR195">
        <v>48.179422133267472</v>
      </c>
      <c r="CS195">
        <v>1.7373701373794972</v>
      </c>
      <c r="CT195">
        <v>0</v>
      </c>
      <c r="CU195" s="8">
        <v>0.27731236480176447</v>
      </c>
      <c r="CV195" s="9">
        <v>-7.246705293655395E-2</v>
      </c>
      <c r="CW195">
        <v>0.06</v>
      </c>
      <c r="CX195">
        <v>9.9469720253189422</v>
      </c>
      <c r="CY195">
        <v>521770050.90487176</v>
      </c>
      <c r="CZ195">
        <v>0.27731236480176447</v>
      </c>
      <c r="DA195">
        <v>2.7836047552441019</v>
      </c>
      <c r="DB195">
        <v>1864500371.4059513</v>
      </c>
      <c r="DC195">
        <v>0.26344674656167621</v>
      </c>
      <c r="DD195">
        <v>1.0992127658274948</v>
      </c>
      <c r="DE195">
        <v>4721590088.2418413</v>
      </c>
      <c r="DF195">
        <v>0.24403488102555274</v>
      </c>
      <c r="DG195">
        <v>0.50546307773980637</v>
      </c>
      <c r="DH195">
        <v>10267875792.644218</v>
      </c>
      <c r="DI195">
        <v>0.22184989184141157</v>
      </c>
      <c r="DJ195">
        <v>0.13688179652243823</v>
      </c>
      <c r="DK195">
        <v>37916160014.375824</v>
      </c>
      <c r="DL195">
        <v>0.19411865536123513</v>
      </c>
      <c r="DM195">
        <v>433000000</v>
      </c>
      <c r="DN195">
        <v>0.27731236480176447</v>
      </c>
      <c r="DO195">
        <v>5190032100</v>
      </c>
      <c r="DP195" t="e">
        <v>#VALUE!</v>
      </c>
      <c r="DQ195">
        <v>194</v>
      </c>
      <c r="DR195">
        <v>-2.5893062287571433E-2</v>
      </c>
      <c r="DS195">
        <v>-1.4095329470634461</v>
      </c>
      <c r="DT195">
        <v>-0.20499999999999999</v>
      </c>
      <c r="DU195">
        <v>-0.14666666666666675</v>
      </c>
      <c r="DV195">
        <v>-0.35166666666666674</v>
      </c>
      <c r="DW195">
        <v>-8.2092753623188415</v>
      </c>
      <c r="DX195">
        <v>0.21293540766456651</v>
      </c>
      <c r="DY195">
        <v>-8.0131708302416857</v>
      </c>
      <c r="DZ195">
        <v>0</v>
      </c>
      <c r="EA195">
        <v>-8.0131708302416857</v>
      </c>
      <c r="EB195">
        <v>8</v>
      </c>
      <c r="EC195">
        <v>2.1001279033648758E-3</v>
      </c>
      <c r="ED195">
        <v>3.3369576543590913E-2</v>
      </c>
      <c r="EE195">
        <v>0</v>
      </c>
      <c r="EF195">
        <v>0</v>
      </c>
      <c r="EG195">
        <v>15.062935407664567</v>
      </c>
      <c r="EH195" t="s">
        <v>110</v>
      </c>
      <c r="EI195">
        <v>0</v>
      </c>
      <c r="EJ195">
        <v>0</v>
      </c>
      <c r="EK195">
        <v>0</v>
      </c>
      <c r="EL195">
        <v>0</v>
      </c>
      <c r="EM195">
        <v>0</v>
      </c>
      <c r="EN195">
        <v>0</v>
      </c>
      <c r="EO195">
        <v>0</v>
      </c>
      <c r="EP195">
        <v>0</v>
      </c>
    </row>
    <row r="196" spans="1:146" ht="84" x14ac:dyDescent="0.25">
      <c r="A196" s="7"/>
      <c r="B196" s="7"/>
      <c r="C196" s="7" t="str">
        <f>""&amp;CHAR(10)&amp;Basic_Fundamental_Information_Constructure(F196)&amp;CHAR(10)&amp;Basic_Fundamental_Information_Concatenate("")</f>
        <v xml:space="preserve">
市值1893.2645亿, 利润343.83亿; PE5.51; 平均PE33.43; 平均PEG32.24, PB.652; ROIC7.1267%; ROE12.55%; 毛利26.1133%; 净利16.0367%; 上一年度营收增17.86%, 利润增-13.34%, 利润增8.5%; 过往5年营收增-1.04%, 利润增-99.88%
Income profile:
</v>
      </c>
      <c r="D196" s="11">
        <v>1109</v>
      </c>
      <c r="E196" t="s">
        <v>3070</v>
      </c>
      <c r="F196">
        <v>26.55</v>
      </c>
      <c r="G196" s="5">
        <v>-3.1E-2</v>
      </c>
      <c r="H196" t="s">
        <v>8999</v>
      </c>
      <c r="I196">
        <v>189326450000</v>
      </c>
      <c r="J196">
        <v>5.51</v>
      </c>
      <c r="K196">
        <v>0.65200000000000002</v>
      </c>
      <c r="L196" t="s">
        <v>6350</v>
      </c>
      <c r="M196" t="s">
        <v>9</v>
      </c>
      <c r="N196" t="s">
        <v>9</v>
      </c>
      <c r="O196" t="s">
        <v>9</v>
      </c>
      <c r="P196" t="s">
        <v>9</v>
      </c>
      <c r="Q196" t="s">
        <v>9000</v>
      </c>
      <c r="R196">
        <v>34382721000</v>
      </c>
      <c r="S196" s="5">
        <v>8.5000000000000006E-2</v>
      </c>
      <c r="T196" t="s">
        <v>9001</v>
      </c>
      <c r="U196">
        <v>7130939600</v>
      </c>
      <c r="V196">
        <v>7130939600</v>
      </c>
      <c r="W196" t="s">
        <v>9</v>
      </c>
      <c r="X196" t="s">
        <v>9</v>
      </c>
      <c r="Y196" t="s">
        <v>9</v>
      </c>
      <c r="Z196" t="s">
        <v>9</v>
      </c>
      <c r="AA196" t="s">
        <v>9</v>
      </c>
      <c r="AB196" t="s">
        <v>9</v>
      </c>
      <c r="AC196" t="s">
        <v>9</v>
      </c>
      <c r="AD196" t="s">
        <v>9</v>
      </c>
      <c r="AE196" t="s">
        <v>9</v>
      </c>
      <c r="AF196" t="s">
        <v>9</v>
      </c>
      <c r="AG196" t="s">
        <v>9</v>
      </c>
      <c r="AH196" t="s">
        <v>9002</v>
      </c>
      <c r="AI196" t="s">
        <v>9</v>
      </c>
      <c r="AJ196" t="s">
        <v>9</v>
      </c>
      <c r="AK196" t="s">
        <v>9003</v>
      </c>
      <c r="AL196" t="s">
        <v>9</v>
      </c>
      <c r="AM196" t="s">
        <v>9</v>
      </c>
      <c r="AN196" s="5">
        <v>0.67749999999999999</v>
      </c>
      <c r="AO196" t="s">
        <v>9</v>
      </c>
      <c r="AP196" t="s">
        <v>9004</v>
      </c>
      <c r="AQ196" t="s">
        <v>9</v>
      </c>
      <c r="AR196" t="s">
        <v>9005</v>
      </c>
      <c r="AS196" t="s">
        <v>9</v>
      </c>
      <c r="AT196" t="s">
        <v>9</v>
      </c>
      <c r="AU196" t="s">
        <v>9006</v>
      </c>
      <c r="AV196" t="s">
        <v>9007</v>
      </c>
      <c r="AW196" t="s">
        <v>9</v>
      </c>
      <c r="AX196" t="s">
        <v>3071</v>
      </c>
      <c r="AY196" t="s">
        <v>3073</v>
      </c>
      <c r="AZ196" t="s">
        <v>3074</v>
      </c>
      <c r="BA196" t="s">
        <v>3075</v>
      </c>
      <c r="BB196" t="s">
        <v>3076</v>
      </c>
      <c r="BC196" t="s">
        <v>3077</v>
      </c>
      <c r="BD196" t="s">
        <v>3078</v>
      </c>
      <c r="BE196" t="s">
        <v>3079</v>
      </c>
      <c r="BF196" t="s">
        <v>3080</v>
      </c>
      <c r="BG196" t="s">
        <v>3081</v>
      </c>
      <c r="BH196" t="s">
        <v>3071</v>
      </c>
      <c r="BI196" t="s">
        <v>9</v>
      </c>
      <c r="BJ196" t="s">
        <v>3073</v>
      </c>
      <c r="BK196" t="s">
        <v>3072</v>
      </c>
      <c r="BL196" t="s">
        <v>9</v>
      </c>
      <c r="BM196" t="s">
        <v>3077</v>
      </c>
      <c r="BN196">
        <v>6.55</v>
      </c>
      <c r="BO196">
        <v>6.47</v>
      </c>
      <c r="BP196">
        <v>8.36</v>
      </c>
      <c r="BQ196">
        <v>11.84</v>
      </c>
      <c r="BR196">
        <v>11.51</v>
      </c>
      <c r="BS196">
        <v>14.3</v>
      </c>
      <c r="BT196" t="s">
        <v>6426</v>
      </c>
      <c r="BU196" t="s">
        <v>410</v>
      </c>
      <c r="BV196">
        <v>25.15</v>
      </c>
      <c r="BW196">
        <v>26.22</v>
      </c>
      <c r="BX196">
        <v>26.97</v>
      </c>
      <c r="BY196">
        <v>14.85</v>
      </c>
      <c r="BZ196">
        <v>15.63</v>
      </c>
      <c r="CA196">
        <v>17.63</v>
      </c>
      <c r="CB196">
        <v>-2.57</v>
      </c>
      <c r="CC196">
        <v>-9.8000000000000007</v>
      </c>
      <c r="CD196" t="s">
        <v>9008</v>
      </c>
      <c r="CE196" t="s">
        <v>218</v>
      </c>
      <c r="CF196" s="8" t="s">
        <v>9</v>
      </c>
      <c r="CG196" s="9">
        <v>8.5000000000000006E-2</v>
      </c>
      <c r="CH196" s="8">
        <v>0.17856375873088837</v>
      </c>
      <c r="CI196" s="8">
        <v>-0.10064798593521118</v>
      </c>
      <c r="CJ196" s="8">
        <v>0.21339407563209534</v>
      </c>
      <c r="CK196" s="8">
        <v>0.55124431848526001</v>
      </c>
      <c r="CL196" s="8">
        <v>0.12900608777999878</v>
      </c>
      <c r="CM196" s="9">
        <v>-0.13338372111320496</v>
      </c>
      <c r="CN196" s="9">
        <v>0.11666199564933777</v>
      </c>
      <c r="CO196" s="9">
        <v>0.10889165103435516</v>
      </c>
      <c r="CP196" s="9">
        <v>0.16103200614452362</v>
      </c>
      <c r="CQ196" s="9">
        <v>0.16901774704456329</v>
      </c>
      <c r="CR196">
        <v>33.433166553845247</v>
      </c>
      <c r="CS196">
        <v>32.244652322000448</v>
      </c>
      <c r="CT196" t="e">
        <v>#VALUE!</v>
      </c>
      <c r="CU196" s="8">
        <v>-1.0368592664599418E-2</v>
      </c>
      <c r="CV196" s="9">
        <v>-0.99882640242576604</v>
      </c>
      <c r="CW196">
        <v>0.06</v>
      </c>
      <c r="CX196">
        <v>5.5063970566849898</v>
      </c>
      <c r="CY196" t="s">
        <v>9009</v>
      </c>
      <c r="CZ196">
        <v>-1.0368592664599418E-2</v>
      </c>
      <c r="DA196">
        <v>1.8354656855616631</v>
      </c>
      <c r="DB196" t="s">
        <v>9010</v>
      </c>
      <c r="DC196">
        <v>-9.8501630313694473E-3</v>
      </c>
      <c r="DD196">
        <v>0.91773284278083156</v>
      </c>
      <c r="DE196" t="s">
        <v>9011</v>
      </c>
      <c r="DF196">
        <v>-9.1243615448474875E-3</v>
      </c>
      <c r="DG196">
        <v>0.55063970566849896</v>
      </c>
      <c r="DH196" t="s">
        <v>9012</v>
      </c>
      <c r="DI196">
        <v>-8.2948741316795343E-3</v>
      </c>
      <c r="DJ196">
        <v>0.27531985283424948</v>
      </c>
      <c r="DK196" t="s">
        <v>9013</v>
      </c>
      <c r="DL196">
        <v>-7.2580148652195923E-3</v>
      </c>
      <c r="DM196">
        <v>34383000000</v>
      </c>
      <c r="DN196">
        <v>-1.0368592664599418E-2</v>
      </c>
      <c r="DO196">
        <v>189326450000</v>
      </c>
      <c r="DP196" t="e">
        <v>#VALUE!</v>
      </c>
      <c r="DQ196">
        <v>195</v>
      </c>
      <c r="DR196" t="e">
        <v>#VALUE!</v>
      </c>
      <c r="DS196">
        <v>1.083826402425766</v>
      </c>
      <c r="DT196" t="e">
        <v>#VALUE!</v>
      </c>
      <c r="DU196" t="e">
        <v>#VALUE!</v>
      </c>
      <c r="DV196" t="e">
        <v>#VALUE!</v>
      </c>
      <c r="DW196">
        <v>-8.2622448979591834</v>
      </c>
      <c r="DX196">
        <v>0.35150731707316907</v>
      </c>
      <c r="DY196">
        <v>-8.0292422249875557</v>
      </c>
      <c r="DZ196">
        <v>0</v>
      </c>
      <c r="EA196">
        <v>-8.0292422249875557</v>
      </c>
      <c r="EB196">
        <v>8</v>
      </c>
      <c r="EC196">
        <v>8.3345818831504336E-3</v>
      </c>
      <c r="ED196">
        <v>7.4744708256959572E-2</v>
      </c>
      <c r="EE196">
        <v>0</v>
      </c>
      <c r="EF196">
        <v>0</v>
      </c>
      <c r="EG196">
        <v>24.111507317073169</v>
      </c>
      <c r="EH196" t="s">
        <v>110</v>
      </c>
      <c r="EI196">
        <v>0</v>
      </c>
      <c r="EJ196">
        <v>0</v>
      </c>
      <c r="EK196">
        <v>0</v>
      </c>
      <c r="EL196">
        <v>0</v>
      </c>
      <c r="EM196">
        <v>0</v>
      </c>
      <c r="EN196">
        <v>0</v>
      </c>
      <c r="EO196">
        <v>0</v>
      </c>
      <c r="EP196">
        <v>0</v>
      </c>
    </row>
    <row r="197" spans="1:146" ht="96" x14ac:dyDescent="0.25">
      <c r="A197" s="7"/>
      <c r="B197" s="7"/>
      <c r="C197" s="7" t="str">
        <f>""&amp;CHAR(10)&amp;Basic_Fundamental_Information_Constructure(F197)&amp;CHAR(10)&amp;Basic_Fundamental_Information_Concatenate("")</f>
        <v xml:space="preserve">
市值57.584073亿, 利润6.38亿; PE9.03; 平均PE9.87; 平均PEG3.32, PB.835; ROIC3.7633%; ROE9.28%; 股利率0%; 毛利60.8733%; 净利4.4567%; 上一年度营收增5.92%, 利润增2.41%, 利润增-7.58%; 过往5年营收增2.97%, 利润增2.78%
Income profile:
</v>
      </c>
      <c r="D197" s="11">
        <v>1112</v>
      </c>
      <c r="E197" t="s">
        <v>3082</v>
      </c>
      <c r="F197">
        <v>8.92</v>
      </c>
      <c r="G197" s="5">
        <v>-2.1899999999999999E-2</v>
      </c>
      <c r="H197" t="s">
        <v>9014</v>
      </c>
      <c r="I197">
        <v>5758407300</v>
      </c>
      <c r="J197">
        <v>9.0299999999999994</v>
      </c>
      <c r="K197">
        <v>0.83499999999999996</v>
      </c>
      <c r="L197" t="s">
        <v>6350</v>
      </c>
      <c r="M197" t="s">
        <v>9</v>
      </c>
      <c r="N197" t="s">
        <v>9</v>
      </c>
      <c r="O197" t="s">
        <v>9</v>
      </c>
      <c r="P197" t="s">
        <v>9</v>
      </c>
      <c r="Q197" t="s">
        <v>9015</v>
      </c>
      <c r="R197">
        <v>637818490</v>
      </c>
      <c r="S197" s="5">
        <v>-7.5800000000000006E-2</v>
      </c>
      <c r="T197" t="s">
        <v>9016</v>
      </c>
      <c r="U197">
        <v>645561350</v>
      </c>
      <c r="V197">
        <v>645561350</v>
      </c>
      <c r="W197" t="s">
        <v>9</v>
      </c>
      <c r="X197" t="s">
        <v>9</v>
      </c>
      <c r="Y197" t="s">
        <v>9</v>
      </c>
      <c r="Z197" t="s">
        <v>9</v>
      </c>
      <c r="AA197" t="s">
        <v>9</v>
      </c>
      <c r="AB197" t="s">
        <v>9</v>
      </c>
      <c r="AC197" t="s">
        <v>9</v>
      </c>
      <c r="AD197" t="s">
        <v>7248</v>
      </c>
      <c r="AE197" t="s">
        <v>9</v>
      </c>
      <c r="AF197" t="s">
        <v>9</v>
      </c>
      <c r="AG197" t="s">
        <v>9</v>
      </c>
      <c r="AH197" t="s">
        <v>9017</v>
      </c>
      <c r="AI197" t="s">
        <v>9</v>
      </c>
      <c r="AJ197" t="s">
        <v>9</v>
      </c>
      <c r="AK197" t="s">
        <v>9018</v>
      </c>
      <c r="AL197" t="s">
        <v>9</v>
      </c>
      <c r="AM197" t="s">
        <v>9</v>
      </c>
      <c r="AN197" s="5">
        <v>0.68589999999999995</v>
      </c>
      <c r="AO197" t="s">
        <v>9</v>
      </c>
      <c r="AP197" t="s">
        <v>2392</v>
      </c>
      <c r="AQ197" t="s">
        <v>9</v>
      </c>
      <c r="AR197" t="s">
        <v>9019</v>
      </c>
      <c r="AS197" t="s">
        <v>9</v>
      </c>
      <c r="AT197" t="s">
        <v>9</v>
      </c>
      <c r="AU197" t="s">
        <v>3741</v>
      </c>
      <c r="AV197" t="s">
        <v>9020</v>
      </c>
      <c r="AW197" t="s">
        <v>9</v>
      </c>
      <c r="AX197" t="s">
        <v>3083</v>
      </c>
      <c r="AY197" t="s">
        <v>3085</v>
      </c>
      <c r="AZ197" t="s">
        <v>3086</v>
      </c>
      <c r="BA197" t="s">
        <v>3088</v>
      </c>
      <c r="BB197" t="s">
        <v>3089</v>
      </c>
      <c r="BC197" t="s">
        <v>3090</v>
      </c>
      <c r="BD197" t="s">
        <v>3091</v>
      </c>
      <c r="BE197" t="s">
        <v>3092</v>
      </c>
      <c r="BF197" t="s">
        <v>3093</v>
      </c>
      <c r="BG197" t="s">
        <v>3094</v>
      </c>
      <c r="BH197" t="s">
        <v>3083</v>
      </c>
      <c r="BI197" t="s">
        <v>9</v>
      </c>
      <c r="BJ197" t="s">
        <v>3085</v>
      </c>
      <c r="BK197" t="s">
        <v>949</v>
      </c>
      <c r="BL197" t="s">
        <v>9</v>
      </c>
      <c r="BM197" t="s">
        <v>3090</v>
      </c>
      <c r="BN197">
        <v>3.72</v>
      </c>
      <c r="BO197">
        <v>3.93</v>
      </c>
      <c r="BP197">
        <v>3.64</v>
      </c>
      <c r="BQ197">
        <v>9.24</v>
      </c>
      <c r="BR197">
        <v>9.9600000000000009</v>
      </c>
      <c r="BS197">
        <v>8.64</v>
      </c>
      <c r="BT197" t="s">
        <v>2546</v>
      </c>
      <c r="BU197" t="s">
        <v>2877</v>
      </c>
      <c r="BV197">
        <v>59.56</v>
      </c>
      <c r="BW197">
        <v>60.3</v>
      </c>
      <c r="BX197">
        <v>62.76</v>
      </c>
      <c r="BY197">
        <v>4.18</v>
      </c>
      <c r="BZ197">
        <v>4.79</v>
      </c>
      <c r="CA197">
        <v>4.4000000000000004</v>
      </c>
      <c r="CB197">
        <v>-6.4</v>
      </c>
      <c r="CC197">
        <v>-18.91</v>
      </c>
      <c r="CD197" t="s">
        <v>9021</v>
      </c>
      <c r="CE197" t="s">
        <v>9022</v>
      </c>
      <c r="CF197" s="8" t="s">
        <v>9</v>
      </c>
      <c r="CG197" s="9">
        <v>-7.5800000000000006E-2</v>
      </c>
      <c r="CH197" s="8">
        <v>5.9182696044445038E-2</v>
      </c>
      <c r="CI197" s="8">
        <v>1.9306888803839684E-2</v>
      </c>
      <c r="CJ197" s="8">
        <v>5.9731747955083847E-2</v>
      </c>
      <c r="CK197" s="8">
        <v>0.15653973817825317</v>
      </c>
      <c r="CL197" s="8">
        <v>0.18864619731903076</v>
      </c>
      <c r="CM197" s="9">
        <v>2.4077046662569046E-2</v>
      </c>
      <c r="CN197" s="9">
        <v>-0.5402214527130127</v>
      </c>
      <c r="CO197" s="9">
        <v>0.206589475274086</v>
      </c>
      <c r="CP197" s="9">
        <v>0.16979172825813293</v>
      </c>
      <c r="CQ197" s="9">
        <v>-0.14132378995418549</v>
      </c>
      <c r="CR197">
        <v>9.8687357326478153</v>
      </c>
      <c r="CS197">
        <v>3.3211134739162604</v>
      </c>
      <c r="CT197">
        <v>0</v>
      </c>
      <c r="CU197" s="8">
        <v>2.9715141654014586E-2</v>
      </c>
      <c r="CV197" s="9">
        <v>2.7764505892992019E-2</v>
      </c>
      <c r="CW197">
        <v>0.06</v>
      </c>
      <c r="CX197">
        <v>9.2911713059416936</v>
      </c>
      <c r="CY197">
        <v>619771943.75024652</v>
      </c>
      <c r="CZ197">
        <v>2.9715141654014586E-2</v>
      </c>
      <c r="DA197">
        <v>3.196377831137335</v>
      </c>
      <c r="DB197">
        <v>1801541496.0974886</v>
      </c>
      <c r="DC197">
        <v>2.8229384571313857E-2</v>
      </c>
      <c r="DD197">
        <v>1.6826627336442641</v>
      </c>
      <c r="DE197">
        <v>3422199342.0681529</v>
      </c>
      <c r="DF197">
        <v>2.6149324655532834E-2</v>
      </c>
      <c r="DG197">
        <v>1.0873807036685241</v>
      </c>
      <c r="DH197">
        <v>5295668095.4266653</v>
      </c>
      <c r="DI197">
        <v>2.377211332321167E-2</v>
      </c>
      <c r="DJ197">
        <v>0.65475666182146719</v>
      </c>
      <c r="DK197">
        <v>8794728844.729414</v>
      </c>
      <c r="DL197">
        <v>2.0800599157810209E-2</v>
      </c>
      <c r="DM197">
        <v>638000000</v>
      </c>
      <c r="DN197">
        <v>2.9715141654014586E-2</v>
      </c>
      <c r="DO197">
        <v>5758407300</v>
      </c>
      <c r="DP197" t="e">
        <v>#VALUE!</v>
      </c>
      <c r="DQ197">
        <v>196</v>
      </c>
      <c r="DR197" t="e">
        <v>#VALUE!</v>
      </c>
      <c r="DS197">
        <v>-0.10356450589299203</v>
      </c>
      <c r="DT197" t="e">
        <v>#VALUE!</v>
      </c>
      <c r="DU197" t="e">
        <v>#VALUE!</v>
      </c>
      <c r="DV197" t="e">
        <v>#VALUE!</v>
      </c>
      <c r="DW197">
        <v>-9.3384452670544693</v>
      </c>
      <c r="DX197">
        <v>0.21611691284849555</v>
      </c>
      <c r="DY197">
        <v>-9.0359147669080055</v>
      </c>
      <c r="DZ197">
        <v>0</v>
      </c>
      <c r="EA197">
        <v>-9.0359147669080055</v>
      </c>
      <c r="EB197">
        <v>9</v>
      </c>
      <c r="EC197">
        <v>2.0966248986250494E-3</v>
      </c>
      <c r="ED197">
        <v>1.9757688405602349E-2</v>
      </c>
      <c r="EE197">
        <v>0</v>
      </c>
      <c r="EF197">
        <v>0</v>
      </c>
      <c r="EG197">
        <v>11.106116912848496</v>
      </c>
      <c r="EH197" t="s">
        <v>110</v>
      </c>
      <c r="EI197">
        <v>0</v>
      </c>
      <c r="EJ197">
        <v>0</v>
      </c>
      <c r="EK197">
        <v>0</v>
      </c>
      <c r="EL197">
        <v>0</v>
      </c>
      <c r="EM197">
        <v>0</v>
      </c>
      <c r="EN197">
        <v>0</v>
      </c>
      <c r="EO197">
        <v>0</v>
      </c>
      <c r="EP197">
        <v>0</v>
      </c>
    </row>
    <row r="198" spans="1:146" ht="96" x14ac:dyDescent="0.25">
      <c r="A198" s="7"/>
      <c r="B198" s="7"/>
      <c r="C198" s="7" t="str">
        <f>""&amp;CHAR(10)&amp;Basic_Fundamental_Information_Constructure(F198)&amp;CHAR(10)&amp;Basic_Fundamental_Information_Concatenate("")</f>
        <v xml:space="preserve">
市值1023.40646亿, 利润173.40亿; PE5.9; 平均PE4.45; 平均PEG4.34, PB.265; ROIC4.66%; ROE5.4867%; 毛利73.5533%; 净利37.6%; 上一年度营收增-16.15%, 利润增-18.37%, 利润增-20.03%; 过往5年营收增1.02%, 利润增2.54%
Income profile:
</v>
      </c>
      <c r="D198" s="11">
        <v>1113</v>
      </c>
      <c r="E198" t="s">
        <v>3095</v>
      </c>
      <c r="F198">
        <v>29.15</v>
      </c>
      <c r="G198" s="5">
        <v>-1.8499999999999999E-2</v>
      </c>
      <c r="H198" t="s">
        <v>9023</v>
      </c>
      <c r="I198">
        <v>102340646000</v>
      </c>
      <c r="J198">
        <v>5.9</v>
      </c>
      <c r="K198">
        <v>0.26500000000000001</v>
      </c>
      <c r="L198" t="s">
        <v>6350</v>
      </c>
      <c r="M198" t="s">
        <v>9</v>
      </c>
      <c r="N198" t="s">
        <v>9</v>
      </c>
      <c r="O198" t="s">
        <v>9</v>
      </c>
      <c r="P198" t="s">
        <v>9</v>
      </c>
      <c r="Q198" t="s">
        <v>9024</v>
      </c>
      <c r="R198">
        <v>17340000000</v>
      </c>
      <c r="S198" s="5">
        <v>-0.20030000000000001</v>
      </c>
      <c r="T198" t="s">
        <v>9025</v>
      </c>
      <c r="U198">
        <v>3526260300</v>
      </c>
      <c r="V198">
        <v>3526260300</v>
      </c>
      <c r="W198" t="s">
        <v>9</v>
      </c>
      <c r="X198" t="s">
        <v>9</v>
      </c>
      <c r="Y198" t="s">
        <v>9</v>
      </c>
      <c r="Z198" t="s">
        <v>9</v>
      </c>
      <c r="AA198" t="s">
        <v>9</v>
      </c>
      <c r="AB198" t="s">
        <v>9</v>
      </c>
      <c r="AC198" t="s">
        <v>9</v>
      </c>
      <c r="AD198" t="s">
        <v>9</v>
      </c>
      <c r="AE198" t="s">
        <v>9</v>
      </c>
      <c r="AF198" t="s">
        <v>9</v>
      </c>
      <c r="AG198" t="s">
        <v>9</v>
      </c>
      <c r="AH198" t="s">
        <v>9026</v>
      </c>
      <c r="AI198" t="s">
        <v>9</v>
      </c>
      <c r="AJ198" t="s">
        <v>9</v>
      </c>
      <c r="AK198" t="s">
        <v>9027</v>
      </c>
      <c r="AL198" t="s">
        <v>9</v>
      </c>
      <c r="AM198" t="s">
        <v>9</v>
      </c>
      <c r="AN198" s="5">
        <v>0.21510000000000001</v>
      </c>
      <c r="AO198" t="s">
        <v>9</v>
      </c>
      <c r="AP198" t="s">
        <v>4622</v>
      </c>
      <c r="AQ198" t="s">
        <v>9</v>
      </c>
      <c r="AR198" t="s">
        <v>9028</v>
      </c>
      <c r="AS198" t="s">
        <v>9</v>
      </c>
      <c r="AT198" t="s">
        <v>9</v>
      </c>
      <c r="AU198" t="s">
        <v>832</v>
      </c>
      <c r="AV198" t="s">
        <v>9029</v>
      </c>
      <c r="AW198" t="s">
        <v>9</v>
      </c>
      <c r="AX198" t="s">
        <v>9030</v>
      </c>
      <c r="AY198" t="s">
        <v>3098</v>
      </c>
      <c r="AZ198" t="s">
        <v>3099</v>
      </c>
      <c r="BA198" t="s">
        <v>3100</v>
      </c>
      <c r="BB198" t="s">
        <v>3101</v>
      </c>
      <c r="BC198" t="s">
        <v>5696</v>
      </c>
      <c r="BD198" t="s">
        <v>3102</v>
      </c>
      <c r="BE198" t="s">
        <v>3103</v>
      </c>
      <c r="BF198" t="s">
        <v>3104</v>
      </c>
      <c r="BG198" t="s">
        <v>3105</v>
      </c>
      <c r="BH198" t="s">
        <v>9030</v>
      </c>
      <c r="BI198" t="s">
        <v>9</v>
      </c>
      <c r="BJ198" t="s">
        <v>3098</v>
      </c>
      <c r="BK198" t="s">
        <v>3096</v>
      </c>
      <c r="BL198" t="s">
        <v>9</v>
      </c>
      <c r="BM198" t="s">
        <v>5696</v>
      </c>
      <c r="BN198">
        <v>3.99</v>
      </c>
      <c r="BO198">
        <v>4.84</v>
      </c>
      <c r="BP198">
        <v>5.15</v>
      </c>
      <c r="BQ198">
        <v>4.49</v>
      </c>
      <c r="BR198">
        <v>5.71</v>
      </c>
      <c r="BS198">
        <v>6.26</v>
      </c>
      <c r="BT198" t="s">
        <v>9031</v>
      </c>
      <c r="BU198" t="s">
        <v>410</v>
      </c>
      <c r="BV198">
        <v>79.39</v>
      </c>
      <c r="BW198">
        <v>72.180000000000007</v>
      </c>
      <c r="BX198">
        <v>69.09</v>
      </c>
      <c r="BY198">
        <v>37.090000000000003</v>
      </c>
      <c r="BZ198">
        <v>38.409999999999997</v>
      </c>
      <c r="CA198">
        <v>37.299999999999997</v>
      </c>
      <c r="CB198">
        <v>-0.51</v>
      </c>
      <c r="CC198">
        <v>-13.19</v>
      </c>
      <c r="CD198" t="s">
        <v>107</v>
      </c>
      <c r="CE198" t="s">
        <v>2129</v>
      </c>
      <c r="CF198" s="8" t="s">
        <v>9</v>
      </c>
      <c r="CG198" s="9">
        <v>-0.20030000000000001</v>
      </c>
      <c r="CH198" s="8">
        <v>-0.16148094832897186</v>
      </c>
      <c r="CI198" s="8">
        <v>-0.12246902287006378</v>
      </c>
      <c r="CJ198" s="8">
        <v>7.3196835815906525E-2</v>
      </c>
      <c r="CK198" s="8">
        <v>0.18775810301303864</v>
      </c>
      <c r="CL198" s="8">
        <v>-0.12473496794700623</v>
      </c>
      <c r="CM198" s="9">
        <v>-0.18365423381328583</v>
      </c>
      <c r="CN198" s="9">
        <v>0.30057552456855774</v>
      </c>
      <c r="CO198" s="9">
        <v>-0.43941786885261536</v>
      </c>
      <c r="CP198" s="9">
        <v>-0.27377417683601379</v>
      </c>
      <c r="CQ198" s="9">
        <v>0.33168455958366394</v>
      </c>
      <c r="CR198">
        <v>4.4500447581638714</v>
      </c>
      <c r="CS198">
        <v>4.3449835234090504</v>
      </c>
      <c r="CT198" t="e">
        <v>#VALUE!</v>
      </c>
      <c r="CU198" s="8">
        <v>1.0241798925562762E-2</v>
      </c>
      <c r="CV198" s="9">
        <v>2.5418448448181152E-2</v>
      </c>
      <c r="CW198">
        <v>0.06</v>
      </c>
      <c r="CX198">
        <v>6.1926935989208607</v>
      </c>
      <c r="CY198">
        <v>16526030937.140808</v>
      </c>
      <c r="CZ198">
        <v>1.0241798925562762E-2</v>
      </c>
      <c r="DA198">
        <v>2.1663947761658768</v>
      </c>
      <c r="DB198">
        <v>47240072366.276772</v>
      </c>
      <c r="DC198">
        <v>9.729708979284624E-3</v>
      </c>
      <c r="DD198">
        <v>1.1647749683439621</v>
      </c>
      <c r="DE198">
        <v>87863019708.866592</v>
      </c>
      <c r="DF198">
        <v>9.0127830544952311E-3</v>
      </c>
      <c r="DG198">
        <v>0.76948708759709916</v>
      </c>
      <c r="DH198">
        <v>132998522846.66954</v>
      </c>
      <c r="DI198">
        <v>8.193439140450209E-3</v>
      </c>
      <c r="DJ198">
        <v>0.48349837448711541</v>
      </c>
      <c r="DK198">
        <v>211666990832.30783</v>
      </c>
      <c r="DL198">
        <v>7.1692592478939327E-3</v>
      </c>
      <c r="DM198">
        <v>17340000000</v>
      </c>
      <c r="DN198">
        <v>1.0241798925562762E-2</v>
      </c>
      <c r="DO198">
        <v>102340646000</v>
      </c>
      <c r="DP198" t="e">
        <v>#VALUE!</v>
      </c>
      <c r="DQ198">
        <v>197</v>
      </c>
      <c r="DR198" t="e">
        <v>#VALUE!</v>
      </c>
      <c r="DS198">
        <v>-0.22571844844818115</v>
      </c>
      <c r="DT198" t="e">
        <v>#VALUE!</v>
      </c>
      <c r="DU198" t="e">
        <v>#VALUE!</v>
      </c>
      <c r="DV198" t="e">
        <v>#VALUE!</v>
      </c>
      <c r="DW198">
        <v>-2.1318999999999999</v>
      </c>
      <c r="DX198">
        <v>0.43477987421383685</v>
      </c>
      <c r="DY198">
        <v>-2.0481144654088048</v>
      </c>
      <c r="DZ198">
        <v>0</v>
      </c>
      <c r="EA198">
        <v>-2.0481144654088048</v>
      </c>
      <c r="EB198">
        <v>2</v>
      </c>
      <c r="EC198">
        <v>3.2896040034253851E-2</v>
      </c>
      <c r="ED198">
        <v>9.0180523542178662E-2</v>
      </c>
      <c r="EE198">
        <v>0</v>
      </c>
      <c r="EF198">
        <v>0</v>
      </c>
      <c r="EG198">
        <v>7.3647798742138368</v>
      </c>
      <c r="EH198" t="s">
        <v>110</v>
      </c>
      <c r="EI198">
        <v>0</v>
      </c>
      <c r="EJ198">
        <v>0</v>
      </c>
      <c r="EK198">
        <v>0</v>
      </c>
      <c r="EL198">
        <v>0</v>
      </c>
      <c r="EM198">
        <v>0</v>
      </c>
      <c r="EN198">
        <v>0</v>
      </c>
      <c r="EO198">
        <v>0</v>
      </c>
      <c r="EP198">
        <v>0</v>
      </c>
    </row>
    <row r="199" spans="1:146" ht="96" x14ac:dyDescent="0.25">
      <c r="A199" s="7"/>
      <c r="B199" s="7"/>
      <c r="C199" s="7" t="str">
        <f>""&amp;CHAR(10)&amp;Basic_Fundamental_Information_Constructure(F199)&amp;CHAR(10)&amp;Basic_Fundamental_Information_Concatenate("")</f>
        <v xml:space="preserve">
市值430.86601亿, 利润84.79亿; PE5.08; 平均PE26.56; 平均PEG12.82, PB.769; ROIC14.825%; ROE19.0933%; 股利率0%; 毛利23.275%; 净利660.96%; 上一年度营收增-3.68%, 利润增-42.11%, 利润增5.17%; 过往5年营收增2.07%, 利润增-7.09%
Income profile:
</v>
      </c>
      <c r="D199" s="11">
        <v>1114</v>
      </c>
      <c r="E199" t="s">
        <v>3106</v>
      </c>
      <c r="F199">
        <v>8.5399999999999991</v>
      </c>
      <c r="G199" s="5">
        <v>-3.5000000000000001E-3</v>
      </c>
      <c r="H199" t="s">
        <v>9032</v>
      </c>
      <c r="I199">
        <v>43086601000</v>
      </c>
      <c r="J199">
        <v>5.08</v>
      </c>
      <c r="K199">
        <v>0.76900000000000002</v>
      </c>
      <c r="L199" t="s">
        <v>6350</v>
      </c>
      <c r="M199" t="s">
        <v>9</v>
      </c>
      <c r="N199" t="s">
        <v>9</v>
      </c>
      <c r="O199" t="s">
        <v>9</v>
      </c>
      <c r="P199" t="s">
        <v>9</v>
      </c>
      <c r="Q199" t="s">
        <v>9033</v>
      </c>
      <c r="R199">
        <v>8479099300</v>
      </c>
      <c r="S199" s="5">
        <v>5.1700000000000003E-2</v>
      </c>
      <c r="T199" t="s">
        <v>9034</v>
      </c>
      <c r="U199">
        <v>5045269400</v>
      </c>
      <c r="V199">
        <v>5045269400</v>
      </c>
      <c r="W199" t="s">
        <v>9</v>
      </c>
      <c r="X199" t="s">
        <v>9</v>
      </c>
      <c r="Y199" t="s">
        <v>9</v>
      </c>
      <c r="Z199" t="s">
        <v>9</v>
      </c>
      <c r="AA199" t="s">
        <v>9</v>
      </c>
      <c r="AB199" t="s">
        <v>9</v>
      </c>
      <c r="AC199" t="s">
        <v>9</v>
      </c>
      <c r="AD199" t="s">
        <v>9035</v>
      </c>
      <c r="AE199" t="s">
        <v>9</v>
      </c>
      <c r="AF199" t="s">
        <v>9</v>
      </c>
      <c r="AG199" t="s">
        <v>9</v>
      </c>
      <c r="AH199" t="s">
        <v>9036</v>
      </c>
      <c r="AI199" t="s">
        <v>9</v>
      </c>
      <c r="AJ199" t="s">
        <v>9</v>
      </c>
      <c r="AK199" t="s">
        <v>9037</v>
      </c>
      <c r="AL199" t="s">
        <v>9</v>
      </c>
      <c r="AM199" t="s">
        <v>9</v>
      </c>
      <c r="AN199" s="5">
        <v>5.9200000000000003E-2</v>
      </c>
      <c r="AO199" t="s">
        <v>9</v>
      </c>
      <c r="AP199" t="s">
        <v>2089</v>
      </c>
      <c r="AQ199" t="s">
        <v>9</v>
      </c>
      <c r="AR199" t="s">
        <v>9038</v>
      </c>
      <c r="AS199" t="s">
        <v>9</v>
      </c>
      <c r="AT199" t="s">
        <v>9</v>
      </c>
      <c r="AU199" t="s">
        <v>2068</v>
      </c>
      <c r="AV199" t="s">
        <v>9039</v>
      </c>
      <c r="AW199" t="s">
        <v>9</v>
      </c>
      <c r="AX199" t="s">
        <v>428</v>
      </c>
      <c r="AY199" t="s">
        <v>3110</v>
      </c>
      <c r="AZ199" t="s">
        <v>1877</v>
      </c>
      <c r="BA199" t="s">
        <v>3112</v>
      </c>
      <c r="BB199" t="s">
        <v>3113</v>
      </c>
      <c r="BC199" t="s">
        <v>9040</v>
      </c>
      <c r="BD199" t="s">
        <v>9041</v>
      </c>
      <c r="BE199" t="s">
        <v>3114</v>
      </c>
      <c r="BF199" t="s">
        <v>3115</v>
      </c>
      <c r="BG199" t="s">
        <v>1586</v>
      </c>
      <c r="BH199" t="s">
        <v>428</v>
      </c>
      <c r="BI199" t="s">
        <v>9</v>
      </c>
      <c r="BJ199" t="s">
        <v>3110</v>
      </c>
      <c r="BK199" t="s">
        <v>3107</v>
      </c>
      <c r="BL199" t="s">
        <v>9</v>
      </c>
      <c r="BM199" t="s">
        <v>9040</v>
      </c>
      <c r="BN199">
        <v>14.9</v>
      </c>
      <c r="BO199">
        <v>14.75</v>
      </c>
      <c r="BP199" t="s">
        <v>9</v>
      </c>
      <c r="BQ199">
        <v>15.13</v>
      </c>
      <c r="BR199">
        <v>13.89</v>
      </c>
      <c r="BS199">
        <v>28.26</v>
      </c>
      <c r="BT199" t="s">
        <v>9042</v>
      </c>
      <c r="BU199" t="s">
        <v>861</v>
      </c>
      <c r="BV199">
        <v>25.72</v>
      </c>
      <c r="BW199">
        <v>20.83</v>
      </c>
      <c r="BX199" t="s">
        <v>9</v>
      </c>
      <c r="BY199">
        <v>689.86</v>
      </c>
      <c r="BZ199">
        <v>632.05999999999995</v>
      </c>
      <c r="CA199" t="s">
        <v>9</v>
      </c>
      <c r="CB199">
        <v>3.89</v>
      </c>
      <c r="CC199">
        <v>30.98</v>
      </c>
      <c r="CD199" t="s">
        <v>1075</v>
      </c>
      <c r="CE199" t="s">
        <v>8715</v>
      </c>
      <c r="CF199" s="8" t="s">
        <v>9</v>
      </c>
      <c r="CG199" s="9">
        <v>5.1700000000000003E-2</v>
      </c>
      <c r="CH199" s="8">
        <v>-3.6833904683589935E-2</v>
      </c>
      <c r="CI199" s="8">
        <v>-0.51353412866592407</v>
      </c>
      <c r="CJ199" s="8">
        <v>-0.29546064138412476</v>
      </c>
      <c r="CK199" s="8">
        <v>-0.2530096173286438</v>
      </c>
      <c r="CL199" s="8">
        <v>-0.2163521945476532</v>
      </c>
      <c r="CM199" s="9">
        <v>-0.42107057571411133</v>
      </c>
      <c r="CN199" s="9">
        <v>1094.2818603515625</v>
      </c>
      <c r="CO199" s="9">
        <v>-0.99823051691055298</v>
      </c>
      <c r="CP199" s="9">
        <v>0.14016301929950714</v>
      </c>
      <c r="CQ199" s="9">
        <v>0.26319795846939087</v>
      </c>
      <c r="CR199">
        <v>26.563872379778051</v>
      </c>
      <c r="CS199">
        <v>12.81974264132359</v>
      </c>
      <c r="CT199">
        <v>0</v>
      </c>
      <c r="CU199" s="8">
        <v>2.0721065253019331E-2</v>
      </c>
      <c r="CV199" s="9">
        <v>-7.0868998765945435E-2</v>
      </c>
      <c r="CW199">
        <v>0.06</v>
      </c>
      <c r="CX199">
        <v>5.2771129196371911</v>
      </c>
      <c r="CY199">
        <v>8164805577.6229744</v>
      </c>
      <c r="CZ199">
        <v>2.0721065253019331E-2</v>
      </c>
      <c r="DA199">
        <v>1.8295251146415117</v>
      </c>
      <c r="DB199">
        <v>23550702122.196693</v>
      </c>
      <c r="DC199">
        <v>1.9685011990368362E-2</v>
      </c>
      <c r="DD199">
        <v>0.97258274738511519</v>
      </c>
      <c r="DE199">
        <v>44301218704.36483</v>
      </c>
      <c r="DF199">
        <v>1.8234537422657012E-2</v>
      </c>
      <c r="DG199">
        <v>0.6350076602771132</v>
      </c>
      <c r="DH199">
        <v>67852096431.714363</v>
      </c>
      <c r="DI199">
        <v>1.6576852202415466E-2</v>
      </c>
      <c r="DJ199">
        <v>0.39012601884157128</v>
      </c>
      <c r="DK199">
        <v>110442777254.23207</v>
      </c>
      <c r="DL199">
        <v>1.4504745677113531E-2</v>
      </c>
      <c r="DM199">
        <v>8479000000.000001</v>
      </c>
      <c r="DN199">
        <v>2.0721065253019331E-2</v>
      </c>
      <c r="DO199">
        <v>43086601000</v>
      </c>
      <c r="DP199" t="e">
        <v>#VALUE!</v>
      </c>
      <c r="DQ199">
        <v>198</v>
      </c>
      <c r="DR199" t="e">
        <v>#VALUE!</v>
      </c>
      <c r="DS199">
        <v>0.12256899876594543</v>
      </c>
      <c r="DT199" t="e">
        <v>#VALUE!</v>
      </c>
      <c r="DU199" t="e">
        <v>#VALUE!</v>
      </c>
      <c r="DV199" t="e">
        <v>#VALUE!</v>
      </c>
      <c r="DW199">
        <v>8.125564880568108</v>
      </c>
      <c r="DX199">
        <v>0.5208713692946052</v>
      </c>
      <c r="DY199">
        <v>8.0239667406893478</v>
      </c>
      <c r="DZ199">
        <v>0</v>
      </c>
      <c r="EA199">
        <v>8.0239667406893478</v>
      </c>
      <c r="EB199">
        <v>8</v>
      </c>
      <c r="EC199">
        <v>3.6469806746097642E-2</v>
      </c>
      <c r="ED199">
        <v>0.19107007447412025</v>
      </c>
      <c r="EE199">
        <v>0</v>
      </c>
      <c r="EF199">
        <v>0</v>
      </c>
      <c r="EG199">
        <v>33.190871369294605</v>
      </c>
      <c r="EH199" t="s">
        <v>110</v>
      </c>
      <c r="EI199">
        <v>0</v>
      </c>
      <c r="EJ199">
        <v>0</v>
      </c>
      <c r="EK199">
        <v>0</v>
      </c>
      <c r="EL199">
        <v>0</v>
      </c>
      <c r="EM199">
        <v>0</v>
      </c>
      <c r="EN199">
        <v>0</v>
      </c>
      <c r="EO199">
        <v>0</v>
      </c>
      <c r="EP199">
        <v>0</v>
      </c>
    </row>
    <row r="200" spans="1:146" ht="96" x14ac:dyDescent="0.25">
      <c r="A200" s="7"/>
      <c r="B200" s="7"/>
      <c r="C200" s="7" t="str">
        <f>""&amp;CHAR(10)&amp;Basic_Fundamental_Information_Constructure(F200)&amp;CHAR(10)&amp;Basic_Fundamental_Information_Concatenate("")</f>
        <v xml:space="preserve">
市值55.409634亿, 利润1.92亿; PE28.86; 平均PE32.18; 平均PEG3.66, PB.451; ROIC3.1767%; ROE5.31%; 股利率0%; 毛利2.95%; 净利6.9%; 上一年度营收增6.37%, 利润增-84.62%, 利润增-69.74%; 过往5年营收增8.8%, 利润增27.56%
Income profile:
</v>
      </c>
      <c r="D200" s="11">
        <v>1117</v>
      </c>
      <c r="E200" t="s">
        <v>3116</v>
      </c>
      <c r="F200">
        <v>0.7</v>
      </c>
      <c r="G200" s="5">
        <v>1.4500000000000001E-2</v>
      </c>
      <c r="H200" t="s">
        <v>9043</v>
      </c>
      <c r="I200">
        <v>5540963400</v>
      </c>
      <c r="J200">
        <v>28.86</v>
      </c>
      <c r="K200">
        <v>0.45100000000000001</v>
      </c>
      <c r="L200" t="s">
        <v>6350</v>
      </c>
      <c r="M200" t="s">
        <v>9</v>
      </c>
      <c r="N200" t="s">
        <v>9</v>
      </c>
      <c r="O200" t="s">
        <v>9</v>
      </c>
      <c r="P200" t="s">
        <v>9</v>
      </c>
      <c r="Q200" t="s">
        <v>9044</v>
      </c>
      <c r="R200">
        <v>192009300</v>
      </c>
      <c r="S200" s="5">
        <v>-0.69740000000000002</v>
      </c>
      <c r="T200" t="s">
        <v>179</v>
      </c>
      <c r="U200">
        <v>7915662000</v>
      </c>
      <c r="V200">
        <v>7915662000</v>
      </c>
      <c r="W200" t="s">
        <v>9</v>
      </c>
      <c r="X200" t="s">
        <v>9</v>
      </c>
      <c r="Y200" t="s">
        <v>9</v>
      </c>
      <c r="Z200" t="s">
        <v>9</v>
      </c>
      <c r="AA200" t="s">
        <v>9</v>
      </c>
      <c r="AB200" t="s">
        <v>9</v>
      </c>
      <c r="AC200" t="s">
        <v>9</v>
      </c>
      <c r="AD200" t="s">
        <v>9</v>
      </c>
      <c r="AE200" t="s">
        <v>9</v>
      </c>
      <c r="AF200" t="s">
        <v>9</v>
      </c>
      <c r="AG200" t="s">
        <v>9</v>
      </c>
      <c r="AH200" t="s">
        <v>9045</v>
      </c>
      <c r="AI200" t="s">
        <v>9</v>
      </c>
      <c r="AJ200" t="s">
        <v>9</v>
      </c>
      <c r="AK200" t="s">
        <v>9046</v>
      </c>
      <c r="AL200" t="s">
        <v>9</v>
      </c>
      <c r="AM200" t="s">
        <v>9</v>
      </c>
      <c r="AN200" s="5">
        <v>0.62280000000000002</v>
      </c>
      <c r="AO200" t="s">
        <v>9</v>
      </c>
      <c r="AP200" t="s">
        <v>9047</v>
      </c>
      <c r="AQ200" t="s">
        <v>9</v>
      </c>
      <c r="AR200" t="s">
        <v>9048</v>
      </c>
      <c r="AS200" t="s">
        <v>9</v>
      </c>
      <c r="AT200" t="s">
        <v>9</v>
      </c>
      <c r="AU200" t="s">
        <v>9049</v>
      </c>
      <c r="AV200" t="s">
        <v>9050</v>
      </c>
      <c r="AW200" t="s">
        <v>9</v>
      </c>
      <c r="AX200" t="s">
        <v>3117</v>
      </c>
      <c r="AY200" t="s">
        <v>3119</v>
      </c>
      <c r="AZ200" t="s">
        <v>3120</v>
      </c>
      <c r="BA200" t="s">
        <v>3122</v>
      </c>
      <c r="BB200" t="s">
        <v>628</v>
      </c>
      <c r="BC200" t="s">
        <v>3123</v>
      </c>
      <c r="BD200" t="s">
        <v>3124</v>
      </c>
      <c r="BE200" t="s">
        <v>3125</v>
      </c>
      <c r="BF200" t="s">
        <v>3126</v>
      </c>
      <c r="BG200" t="s">
        <v>3127</v>
      </c>
      <c r="BH200" t="s">
        <v>3117</v>
      </c>
      <c r="BI200" t="s">
        <v>9</v>
      </c>
      <c r="BJ200" t="s">
        <v>3119</v>
      </c>
      <c r="BK200" t="s">
        <v>3118</v>
      </c>
      <c r="BL200" t="s">
        <v>9</v>
      </c>
      <c r="BM200" t="s">
        <v>3123</v>
      </c>
      <c r="BN200">
        <v>0.75</v>
      </c>
      <c r="BO200">
        <v>2.61</v>
      </c>
      <c r="BP200">
        <v>6.17</v>
      </c>
      <c r="BQ200">
        <v>1.56</v>
      </c>
      <c r="BR200">
        <v>4.99</v>
      </c>
      <c r="BS200">
        <v>9.3800000000000008</v>
      </c>
      <c r="BT200" t="s">
        <v>3128</v>
      </c>
      <c r="BU200" t="s">
        <v>759</v>
      </c>
      <c r="BV200">
        <v>3.34</v>
      </c>
      <c r="BW200">
        <v>3.09</v>
      </c>
      <c r="BX200">
        <v>2.42</v>
      </c>
      <c r="BY200">
        <v>1.38</v>
      </c>
      <c r="BZ200">
        <v>4.72</v>
      </c>
      <c r="CA200">
        <v>14.6</v>
      </c>
      <c r="CB200">
        <v>0</v>
      </c>
      <c r="CC200">
        <v>-0.71</v>
      </c>
      <c r="CD200" t="s">
        <v>9051</v>
      </c>
      <c r="CE200" t="s">
        <v>2064</v>
      </c>
      <c r="CF200" s="8" t="s">
        <v>9</v>
      </c>
      <c r="CG200" s="9">
        <v>-0.69740000000000002</v>
      </c>
      <c r="CH200" s="8">
        <v>6.3662603497505188E-2</v>
      </c>
      <c r="CI200" s="8">
        <v>0.60013842582702637</v>
      </c>
      <c r="CJ200" s="8">
        <v>0.20791530609130859</v>
      </c>
      <c r="CK200" s="8">
        <v>0.27143862843513489</v>
      </c>
      <c r="CL200" s="8">
        <v>-1.5867447480559349E-2</v>
      </c>
      <c r="CM200" s="9">
        <v>-0.8461538553237915</v>
      </c>
      <c r="CN200" s="9">
        <v>0.35947713255882263</v>
      </c>
      <c r="CO200" s="9">
        <v>1.4094488620758057</v>
      </c>
      <c r="CP200" s="9">
        <v>1.674336314201355</v>
      </c>
      <c r="CQ200" s="9">
        <v>0.51668089628219604</v>
      </c>
      <c r="CR200">
        <v>32.183717715392063</v>
      </c>
      <c r="CS200">
        <v>3.6571116456901755</v>
      </c>
      <c r="CT200">
        <v>0</v>
      </c>
      <c r="CU200" s="8">
        <v>8.8003104180097574E-2</v>
      </c>
      <c r="CV200" s="9">
        <v>0.27557450234889985</v>
      </c>
      <c r="CW200">
        <v>0.06</v>
      </c>
      <c r="CX200">
        <v>28.116404558011546</v>
      </c>
      <c r="CY200">
        <v>197072260.37979123</v>
      </c>
      <c r="CZ200">
        <v>8.8003104180097574E-2</v>
      </c>
      <c r="DA200">
        <v>9.2037320060900374</v>
      </c>
      <c r="DB200">
        <v>602034413.46766591</v>
      </c>
      <c r="DC200">
        <v>8.3602948971092689E-2</v>
      </c>
      <c r="DD200">
        <v>4.541035968056601</v>
      </c>
      <c r="DE200">
        <v>1220198086.7311499</v>
      </c>
      <c r="DF200">
        <v>7.7442731678485865E-2</v>
      </c>
      <c r="DG200">
        <v>2.7339236204873902</v>
      </c>
      <c r="DH200">
        <v>2026744038.6692972</v>
      </c>
      <c r="DI200">
        <v>7.040248334407806E-2</v>
      </c>
      <c r="DJ200">
        <v>1.4202025403538185</v>
      </c>
      <c r="DK200">
        <v>3901530410.3170848</v>
      </c>
      <c r="DL200">
        <v>6.1602172926068295E-2</v>
      </c>
      <c r="DM200">
        <v>192000000</v>
      </c>
      <c r="DN200">
        <v>8.8003104180097574E-2</v>
      </c>
      <c r="DO200">
        <v>5540963400</v>
      </c>
      <c r="DP200" t="e">
        <v>#VALUE!</v>
      </c>
      <c r="DQ200">
        <v>199</v>
      </c>
      <c r="DR200" t="e">
        <v>#VALUE!</v>
      </c>
      <c r="DS200">
        <v>-0.97297450234889982</v>
      </c>
      <c r="DT200" t="e">
        <v>#VALUE!</v>
      </c>
      <c r="DU200" t="e">
        <v>#VALUE!</v>
      </c>
      <c r="DV200" t="e">
        <v>#VALUE!</v>
      </c>
      <c r="DW200">
        <v>-7.0999999999999995E-3</v>
      </c>
      <c r="DX200">
        <v>0.24315445544554443</v>
      </c>
      <c r="DY200">
        <v>-1.3003966336633662E-3</v>
      </c>
      <c r="DZ200">
        <v>0</v>
      </c>
      <c r="EA200">
        <v>-1.3003966336633662E-3</v>
      </c>
      <c r="EB200">
        <v>0</v>
      </c>
      <c r="EC200">
        <v>4.673923671829343E-3</v>
      </c>
      <c r="ED200">
        <v>2.5519027972644614E-2</v>
      </c>
      <c r="EE200">
        <v>0</v>
      </c>
      <c r="EF200">
        <v>0</v>
      </c>
      <c r="EG200">
        <v>6.1831544554455444</v>
      </c>
      <c r="EH200" t="s">
        <v>110</v>
      </c>
      <c r="EI200">
        <v>0</v>
      </c>
      <c r="EJ200">
        <v>0</v>
      </c>
      <c r="EK200">
        <v>0</v>
      </c>
      <c r="EL200">
        <v>0</v>
      </c>
      <c r="EM200">
        <v>0</v>
      </c>
      <c r="EN200">
        <v>0</v>
      </c>
      <c r="EO200">
        <v>0</v>
      </c>
      <c r="EP200">
        <v>0</v>
      </c>
    </row>
    <row r="201" spans="1:146" ht="96" x14ac:dyDescent="0.25">
      <c r="A201" s="7"/>
      <c r="B201" s="7"/>
      <c r="C201" s="7" t="str">
        <f>""&amp;CHAR(10)&amp;Basic_Fundamental_Information_Constructure(F201)&amp;CHAR(10)&amp;Basic_Fundamental_Information_Concatenate("")</f>
        <v xml:space="preserve">
市值46.157998亿, 利润-6.10亿; PE; 平均PE-15.31; 平均PEG-.89, PB2.56; ROIC-26%; ROE-63.8733%; 股利率0%; 毛利30.7867%; 净利-43.2133%; 上一年度营收增-31.26%, 利润增-216.06%, 利润增78.31%; 过往5年营收增17.19%, 利润增-122.75%
Income profile:
</v>
      </c>
      <c r="D201" s="11">
        <v>1119</v>
      </c>
      <c r="E201" t="s">
        <v>3129</v>
      </c>
      <c r="F201">
        <v>2.94</v>
      </c>
      <c r="G201" s="5">
        <v>3.3999999999999998E-3</v>
      </c>
      <c r="H201" t="s">
        <v>9052</v>
      </c>
      <c r="I201">
        <v>4615799800</v>
      </c>
      <c r="K201">
        <v>2.56</v>
      </c>
      <c r="L201" t="s">
        <v>6350</v>
      </c>
      <c r="M201" t="s">
        <v>9</v>
      </c>
      <c r="N201" t="s">
        <v>9</v>
      </c>
      <c r="O201" t="s">
        <v>9</v>
      </c>
      <c r="P201" t="s">
        <v>9</v>
      </c>
      <c r="Q201" t="s">
        <v>5848</v>
      </c>
      <c r="R201">
        <v>-609867580</v>
      </c>
      <c r="S201" s="6">
        <v>0.78310000000000002</v>
      </c>
      <c r="T201" t="s">
        <v>9053</v>
      </c>
      <c r="U201">
        <v>1574575500</v>
      </c>
      <c r="V201">
        <v>1574575500</v>
      </c>
      <c r="W201" t="s">
        <v>9</v>
      </c>
      <c r="X201" t="s">
        <v>9</v>
      </c>
      <c r="Y201" t="s">
        <v>9</v>
      </c>
      <c r="Z201" t="s">
        <v>9</v>
      </c>
      <c r="AA201" t="s">
        <v>9</v>
      </c>
      <c r="AB201" t="s">
        <v>9</v>
      </c>
      <c r="AC201" t="s">
        <v>9</v>
      </c>
      <c r="AD201" t="s">
        <v>1301</v>
      </c>
      <c r="AE201" t="s">
        <v>9</v>
      </c>
      <c r="AF201" t="s">
        <v>9</v>
      </c>
      <c r="AG201" t="s">
        <v>9</v>
      </c>
      <c r="AH201" t="s">
        <v>9054</v>
      </c>
      <c r="AI201" t="s">
        <v>9</v>
      </c>
      <c r="AJ201" t="s">
        <v>9</v>
      </c>
      <c r="AK201" t="s">
        <v>9055</v>
      </c>
      <c r="AL201" t="s">
        <v>9</v>
      </c>
      <c r="AM201" t="s">
        <v>9</v>
      </c>
      <c r="AN201" s="5">
        <v>0.52980000000000005</v>
      </c>
      <c r="AO201" t="s">
        <v>9</v>
      </c>
      <c r="AP201" t="s">
        <v>32</v>
      </c>
      <c r="AQ201" t="s">
        <v>9</v>
      </c>
      <c r="AR201" t="s">
        <v>9056</v>
      </c>
      <c r="AS201" t="s">
        <v>9</v>
      </c>
      <c r="AT201" t="s">
        <v>9</v>
      </c>
      <c r="AU201" t="s">
        <v>4245</v>
      </c>
      <c r="AV201" t="s">
        <v>4708</v>
      </c>
      <c r="AW201" t="s">
        <v>9</v>
      </c>
      <c r="AX201" t="s">
        <v>3130</v>
      </c>
      <c r="AY201" t="s">
        <v>3133</v>
      </c>
      <c r="AZ201" t="s">
        <v>3134</v>
      </c>
      <c r="BA201" t="s">
        <v>3135</v>
      </c>
      <c r="BB201" t="s">
        <v>3136</v>
      </c>
      <c r="BC201" t="s">
        <v>163</v>
      </c>
      <c r="BD201" t="s">
        <v>3137</v>
      </c>
      <c r="BE201" t="s">
        <v>3138</v>
      </c>
      <c r="BF201" t="s">
        <v>1965</v>
      </c>
      <c r="BG201" t="s">
        <v>572</v>
      </c>
      <c r="BH201" t="s">
        <v>3130</v>
      </c>
      <c r="BI201" t="s">
        <v>9</v>
      </c>
      <c r="BJ201" t="s">
        <v>3133</v>
      </c>
      <c r="BK201" t="s">
        <v>3131</v>
      </c>
      <c r="BL201" t="s">
        <v>9</v>
      </c>
      <c r="BM201" t="s">
        <v>163</v>
      </c>
      <c r="BN201">
        <v>-18.63</v>
      </c>
      <c r="BO201">
        <v>-56.57</v>
      </c>
      <c r="BP201">
        <v>-2.8</v>
      </c>
      <c r="BQ201">
        <v>-33.81</v>
      </c>
      <c r="BR201">
        <v>-153.81</v>
      </c>
      <c r="BS201">
        <v>-4</v>
      </c>
      <c r="BT201" t="s">
        <v>9</v>
      </c>
      <c r="BU201" t="s">
        <v>551</v>
      </c>
      <c r="BV201">
        <v>35.119999999999997</v>
      </c>
      <c r="BW201">
        <v>15.41</v>
      </c>
      <c r="BX201">
        <v>41.83</v>
      </c>
      <c r="BY201">
        <v>-29</v>
      </c>
      <c r="BZ201">
        <v>-94.73</v>
      </c>
      <c r="CA201">
        <v>-5.91</v>
      </c>
      <c r="CB201">
        <v>0.68</v>
      </c>
      <c r="CC201">
        <v>-1.34</v>
      </c>
      <c r="CD201" t="s">
        <v>9057</v>
      </c>
      <c r="CE201" t="s">
        <v>3452</v>
      </c>
      <c r="CF201" s="8" t="s">
        <v>9</v>
      </c>
      <c r="CG201" s="9">
        <v>0.78310000000000002</v>
      </c>
      <c r="CH201" s="8">
        <v>-0.31258106231689453</v>
      </c>
      <c r="CI201" s="8">
        <v>-4.5201200991868973E-2</v>
      </c>
      <c r="CJ201" s="8">
        <v>-0.15643772482872009</v>
      </c>
      <c r="CK201" s="8">
        <v>0.42236253619194031</v>
      </c>
      <c r="CL201" s="8">
        <v>0.27341532707214355</v>
      </c>
      <c r="CM201" s="9">
        <v>-2.1606216430664062</v>
      </c>
      <c r="CN201" s="9">
        <v>0.63307982683181763</v>
      </c>
      <c r="CO201" s="9">
        <v>-2.3350253105163574</v>
      </c>
      <c r="CP201" s="9">
        <v>0.4021352231502533</v>
      </c>
      <c r="CQ201" s="9">
        <v>0.56111109256744385</v>
      </c>
      <c r="CR201">
        <v>-15.30945207296849</v>
      </c>
      <c r="CS201">
        <v>-0.89068252144015347</v>
      </c>
      <c r="CT201">
        <v>0</v>
      </c>
      <c r="CU201" s="8">
        <v>0.17188450098037719</v>
      </c>
      <c r="CV201" s="9">
        <v>-1.2274705737829208</v>
      </c>
      <c r="CW201">
        <v>0.06</v>
      </c>
      <c r="CX201" t="e">
        <v>#VALUE!</v>
      </c>
      <c r="CY201" t="s">
        <v>109</v>
      </c>
      <c r="CZ201">
        <v>0.17188450098037719</v>
      </c>
      <c r="DA201" t="e">
        <v>#VALUE!</v>
      </c>
      <c r="DB201" t="s">
        <v>108</v>
      </c>
      <c r="DC201">
        <v>0.16329027593135834</v>
      </c>
      <c r="DD201" t="e">
        <v>#VALUE!</v>
      </c>
      <c r="DE201" t="s">
        <v>108</v>
      </c>
      <c r="DF201">
        <v>0.15125836086273192</v>
      </c>
      <c r="DG201" t="e">
        <v>#VALUE!</v>
      </c>
      <c r="DH201" t="s">
        <v>108</v>
      </c>
      <c r="DI201">
        <v>0.13750760078430177</v>
      </c>
      <c r="DJ201" t="e">
        <v>#VALUE!</v>
      </c>
      <c r="DK201" t="s">
        <v>108</v>
      </c>
      <c r="DL201">
        <v>0.12031915068626403</v>
      </c>
      <c r="DM201">
        <v>-610000000</v>
      </c>
      <c r="DN201">
        <v>0.17188450098037719</v>
      </c>
      <c r="DO201">
        <v>4615799800</v>
      </c>
      <c r="DP201" t="e">
        <v>#VALUE!</v>
      </c>
      <c r="DQ201">
        <v>200</v>
      </c>
      <c r="DR201" t="e">
        <v>#VALUE!</v>
      </c>
      <c r="DS201">
        <v>2.0105705737829207</v>
      </c>
      <c r="DT201" t="e">
        <v>#VALUE!</v>
      </c>
      <c r="DU201" t="e">
        <v>#VALUE!</v>
      </c>
      <c r="DV201" t="e">
        <v>#VALUE!</v>
      </c>
      <c r="DW201">
        <v>-1.34E-2</v>
      </c>
      <c r="DX201">
        <v>0.31724651162790735</v>
      </c>
      <c r="DY201">
        <v>-1.8391032558139535E-3</v>
      </c>
      <c r="DZ201">
        <v>0</v>
      </c>
      <c r="EA201">
        <v>-1.8391032558139535E-3</v>
      </c>
      <c r="EB201">
        <v>0</v>
      </c>
      <c r="EC201">
        <v>1.8740289049334249E-2</v>
      </c>
      <c r="ED201">
        <v>0.13654473856604527</v>
      </c>
      <c r="EE201">
        <v>0</v>
      </c>
      <c r="EF201">
        <v>0</v>
      </c>
      <c r="EG201">
        <v>18.137246511627907</v>
      </c>
      <c r="EH201" t="s">
        <v>110</v>
      </c>
      <c r="EI201">
        <v>0</v>
      </c>
      <c r="EJ201">
        <v>0</v>
      </c>
      <c r="EK201">
        <v>0</v>
      </c>
      <c r="EL201">
        <v>0</v>
      </c>
      <c r="EM201">
        <v>0</v>
      </c>
      <c r="EN201">
        <v>0</v>
      </c>
      <c r="EO201">
        <v>0</v>
      </c>
      <c r="EP201">
        <v>0</v>
      </c>
    </row>
    <row r="202" spans="1:146" ht="96" x14ac:dyDescent="0.25">
      <c r="A202" s="7"/>
      <c r="B202" s="7"/>
      <c r="C202" s="7" t="str">
        <f>""&amp;CHAR(10)&amp;Basic_Fundamental_Information_Constructure(F202)&amp;CHAR(10)&amp;Basic_Fundamental_Information_Concatenate("")</f>
        <v xml:space="preserve">
市值339.60367亿, 利润11.72亿; PE28.98; 平均PE75.02; 平均PEG7.85, PB; ROIC-10.37%; ROE29.02%; 毛利86.1733%; 净利-82.2133%; 上一年度营收增308.01%, 利润增122.63%, 利润增116%; 过往5年营收增9.56%, 利润增40.06%
Income profile:
</v>
      </c>
      <c r="D202" s="11">
        <v>1128</v>
      </c>
      <c r="E202" t="s">
        <v>3139</v>
      </c>
      <c r="F202">
        <v>6.47</v>
      </c>
      <c r="G202" s="5">
        <v>-1.2200000000000001E-2</v>
      </c>
      <c r="H202" t="s">
        <v>9058</v>
      </c>
      <c r="I202">
        <v>33960367000</v>
      </c>
      <c r="J202">
        <v>28.98</v>
      </c>
      <c r="L202" t="s">
        <v>6350</v>
      </c>
      <c r="M202" t="s">
        <v>9</v>
      </c>
      <c r="N202" t="s">
        <v>9</v>
      </c>
      <c r="O202" t="s">
        <v>9</v>
      </c>
      <c r="P202" t="s">
        <v>9</v>
      </c>
      <c r="Q202" t="s">
        <v>9059</v>
      </c>
      <c r="R202">
        <v>1171656000</v>
      </c>
      <c r="S202" s="5">
        <v>1.1599999999999999</v>
      </c>
      <c r="T202" t="s">
        <v>522</v>
      </c>
      <c r="U202">
        <v>5248027600</v>
      </c>
      <c r="V202">
        <v>5248027600</v>
      </c>
      <c r="W202" t="s">
        <v>9</v>
      </c>
      <c r="X202" t="s">
        <v>9</v>
      </c>
      <c r="Y202" t="s">
        <v>9</v>
      </c>
      <c r="Z202" t="s">
        <v>9</v>
      </c>
      <c r="AA202" t="s">
        <v>9</v>
      </c>
      <c r="AB202" t="s">
        <v>9</v>
      </c>
      <c r="AC202" t="s">
        <v>9</v>
      </c>
      <c r="AD202" t="s">
        <v>9</v>
      </c>
      <c r="AE202" t="s">
        <v>9</v>
      </c>
      <c r="AF202" t="s">
        <v>9</v>
      </c>
      <c r="AG202" t="s">
        <v>9</v>
      </c>
      <c r="AH202" t="s">
        <v>9060</v>
      </c>
      <c r="AI202" t="s">
        <v>9</v>
      </c>
      <c r="AJ202" t="s">
        <v>9</v>
      </c>
      <c r="AK202" t="s">
        <v>9061</v>
      </c>
      <c r="AL202" t="s">
        <v>9</v>
      </c>
      <c r="AM202" t="s">
        <v>9</v>
      </c>
      <c r="AN202" s="5">
        <v>1.3527</v>
      </c>
      <c r="AO202" t="s">
        <v>9</v>
      </c>
      <c r="AP202" t="s">
        <v>3866</v>
      </c>
      <c r="AQ202" t="s">
        <v>9</v>
      </c>
      <c r="AR202" t="s">
        <v>4920</v>
      </c>
      <c r="AS202" t="s">
        <v>9</v>
      </c>
      <c r="AT202" t="s">
        <v>9</v>
      </c>
      <c r="AU202" t="s">
        <v>3604</v>
      </c>
      <c r="AV202" t="s">
        <v>9062</v>
      </c>
      <c r="AW202" t="s">
        <v>9</v>
      </c>
      <c r="AX202" t="s">
        <v>3140</v>
      </c>
      <c r="AY202" t="s">
        <v>3146</v>
      </c>
      <c r="AZ202" t="s">
        <v>1380</v>
      </c>
      <c r="BA202" t="s">
        <v>3147</v>
      </c>
      <c r="BB202" t="s">
        <v>3148</v>
      </c>
      <c r="BC202" t="s">
        <v>3149</v>
      </c>
      <c r="BD202" t="s">
        <v>3150</v>
      </c>
      <c r="BE202" t="s">
        <v>3151</v>
      </c>
      <c r="BF202" t="s">
        <v>3152</v>
      </c>
      <c r="BG202" t="s">
        <v>3153</v>
      </c>
      <c r="BH202" t="s">
        <v>3140</v>
      </c>
      <c r="BI202" t="s">
        <v>3154</v>
      </c>
      <c r="BJ202" t="s">
        <v>3146</v>
      </c>
      <c r="BK202" t="s">
        <v>3141</v>
      </c>
      <c r="BL202" t="s">
        <v>3155</v>
      </c>
      <c r="BM202" t="s">
        <v>3149</v>
      </c>
      <c r="BN202">
        <v>3.45</v>
      </c>
      <c r="BO202">
        <v>-21.72</v>
      </c>
      <c r="BP202">
        <v>-12.84</v>
      </c>
      <c r="BQ202">
        <v>-7.41</v>
      </c>
      <c r="BR202">
        <v>42.79</v>
      </c>
      <c r="BS202">
        <v>51.68</v>
      </c>
      <c r="BT202" t="s">
        <v>3156</v>
      </c>
      <c r="BU202" t="s">
        <v>567</v>
      </c>
      <c r="BV202">
        <v>100</v>
      </c>
      <c r="BW202">
        <v>100</v>
      </c>
      <c r="BX202">
        <v>58.52</v>
      </c>
      <c r="BY202">
        <v>8.24</v>
      </c>
      <c r="BZ202">
        <v>-210.71</v>
      </c>
      <c r="CA202">
        <v>-44.17</v>
      </c>
      <c r="CB202">
        <v>-3.86</v>
      </c>
      <c r="CC202">
        <v>-19.98</v>
      </c>
      <c r="CD202" t="s">
        <v>9063</v>
      </c>
      <c r="CE202" t="s">
        <v>1157</v>
      </c>
      <c r="CF202" s="8" t="s">
        <v>9</v>
      </c>
      <c r="CG202" s="9">
        <v>1.1599999999999999</v>
      </c>
      <c r="CH202" s="8">
        <v>3.0801033973693848</v>
      </c>
      <c r="CI202" s="8">
        <v>-0.49242204427719116</v>
      </c>
      <c r="CJ202" s="8">
        <v>0.64044946432113647</v>
      </c>
      <c r="CK202" s="8">
        <v>-0.79757064580917358</v>
      </c>
      <c r="CL202" s="8">
        <v>0.19479624927043915</v>
      </c>
      <c r="CM202" s="9">
        <v>1.226298451423645</v>
      </c>
      <c r="CN202" s="9">
        <v>0.282388836145401</v>
      </c>
      <c r="CO202" s="9">
        <v>-2.4271306991577148</v>
      </c>
      <c r="CP202" s="9">
        <v>-0.19023221731185913</v>
      </c>
      <c r="CQ202" s="9">
        <v>0.68783789873123169</v>
      </c>
      <c r="CR202">
        <v>75.02290206185566</v>
      </c>
      <c r="CS202">
        <v>7.8511964809186257</v>
      </c>
      <c r="CT202" t="e">
        <v>#VALUE!</v>
      </c>
      <c r="CU202" s="8">
        <v>9.555601142346859E-2</v>
      </c>
      <c r="CV202" s="9">
        <v>0.40059253536164763</v>
      </c>
      <c r="CW202">
        <v>0.06</v>
      </c>
      <c r="CX202">
        <v>28.035999415801086</v>
      </c>
      <c r="CY202">
        <v>1211312873.0078351</v>
      </c>
      <c r="CZ202">
        <v>9.555601142346859E-2</v>
      </c>
      <c r="DA202">
        <v>9.118927041351256</v>
      </c>
      <c r="DB202">
        <v>3724162595.6651697</v>
      </c>
      <c r="DC202">
        <v>9.0778210852295149E-2</v>
      </c>
      <c r="DD202">
        <v>4.4608393837465279</v>
      </c>
      <c r="DE202">
        <v>7612999276.2657347</v>
      </c>
      <c r="DF202">
        <v>8.4089290052652366E-2</v>
      </c>
      <c r="DG202">
        <v>2.659792784691021</v>
      </c>
      <c r="DH202">
        <v>12768049900.528271</v>
      </c>
      <c r="DI202">
        <v>7.6444809138774883E-2</v>
      </c>
      <c r="DJ202">
        <v>1.3526034870864982</v>
      </c>
      <c r="DK202">
        <v>25107407547.167038</v>
      </c>
      <c r="DL202">
        <v>6.6889207996428002E-2</v>
      </c>
      <c r="DM202">
        <v>1172000000</v>
      </c>
      <c r="DN202">
        <v>9.555601142346859E-2</v>
      </c>
      <c r="DO202">
        <v>33960367000</v>
      </c>
      <c r="DP202" t="e">
        <v>#VALUE!</v>
      </c>
      <c r="DQ202">
        <v>201</v>
      </c>
      <c r="DR202" t="e">
        <v>#VALUE!</v>
      </c>
      <c r="DS202">
        <v>0.75940746463835229</v>
      </c>
      <c r="DT202" t="e">
        <v>#VALUE!</v>
      </c>
      <c r="DU202">
        <v>1.0999999999999999</v>
      </c>
      <c r="DV202" t="e">
        <v>#VALUE!</v>
      </c>
      <c r="DW202">
        <v>-8.1931931931931938</v>
      </c>
      <c r="DX202">
        <v>0.32967123287671157</v>
      </c>
      <c r="DY202">
        <v>-8.0269835314766826</v>
      </c>
      <c r="DZ202">
        <v>0</v>
      </c>
      <c r="EA202">
        <v>-8.0269835314766826</v>
      </c>
      <c r="EB202">
        <v>8</v>
      </c>
      <c r="EC202">
        <v>7.771300593007552E-3</v>
      </c>
      <c r="ED202">
        <v>5.5639951283792788E-2</v>
      </c>
      <c r="EE202">
        <v>0</v>
      </c>
      <c r="EF202">
        <v>0</v>
      </c>
      <c r="EG202">
        <v>19.139671232876712</v>
      </c>
      <c r="EH202" t="s">
        <v>110</v>
      </c>
      <c r="EI202">
        <v>0</v>
      </c>
      <c r="EJ202">
        <v>0</v>
      </c>
      <c r="EK202">
        <v>0</v>
      </c>
      <c r="EL202">
        <v>0</v>
      </c>
      <c r="EM202">
        <v>0</v>
      </c>
      <c r="EN202">
        <v>0</v>
      </c>
      <c r="EO202">
        <v>0</v>
      </c>
      <c r="EP202">
        <v>0</v>
      </c>
    </row>
    <row r="203" spans="1:146" ht="96" x14ac:dyDescent="0.25">
      <c r="A203" s="7"/>
      <c r="B203" s="7"/>
      <c r="C203" s="7" t="str">
        <f>""&amp;CHAR(10)&amp;Basic_Fundamental_Information_Constructure(F203)&amp;CHAR(10)&amp;Basic_Fundamental_Information_Concatenate("")</f>
        <v xml:space="preserve">
市值353.51453亿, 利润16.48亿; PE7.17; 平均PE110.66; 平均PEG2.05, PB.944; ROIC-.76%; ROE-6.405%; 股利率0%; 毛利3.2933%; 净利-3.7%; 上一年度营收增35.28%, 利润增126.99%; 当季营收增49.29%, 利润增3952%; 过往5年营收增53.94%, 利润增227.8%
Income profile:
</v>
      </c>
      <c r="D203" s="11">
        <v>1138</v>
      </c>
      <c r="E203" t="s">
        <v>3160</v>
      </c>
      <c r="F203">
        <v>7.41</v>
      </c>
      <c r="G203" s="5">
        <v>2.63E-2</v>
      </c>
      <c r="H203" t="s">
        <v>6427</v>
      </c>
      <c r="I203">
        <v>35351453000</v>
      </c>
      <c r="J203">
        <v>7.17</v>
      </c>
      <c r="K203">
        <v>0.94399999999999995</v>
      </c>
      <c r="L203" t="s">
        <v>6350</v>
      </c>
      <c r="M203" t="s">
        <v>3161</v>
      </c>
      <c r="N203" t="s">
        <v>3162</v>
      </c>
      <c r="O203" t="s">
        <v>3163</v>
      </c>
      <c r="P203">
        <v>61.91</v>
      </c>
      <c r="Q203" t="s">
        <v>2423</v>
      </c>
      <c r="R203">
        <v>1648287200</v>
      </c>
      <c r="S203" s="6">
        <v>39.520000000000003</v>
      </c>
      <c r="T203" t="s">
        <v>3164</v>
      </c>
      <c r="U203">
        <v>1296000000</v>
      </c>
      <c r="V203">
        <v>4770776400</v>
      </c>
      <c r="W203">
        <v>2.1</v>
      </c>
      <c r="X203">
        <v>0.08</v>
      </c>
      <c r="Y203">
        <v>27.73</v>
      </c>
      <c r="Z203" t="s">
        <v>3165</v>
      </c>
      <c r="AA203" t="s">
        <v>1175</v>
      </c>
      <c r="AB203" t="s">
        <v>3166</v>
      </c>
      <c r="AC203" t="s">
        <v>3167</v>
      </c>
      <c r="AD203" t="s">
        <v>3168</v>
      </c>
      <c r="AE203" t="s">
        <v>3169</v>
      </c>
      <c r="AF203" t="s">
        <v>9</v>
      </c>
      <c r="AG203" t="s">
        <v>3170</v>
      </c>
      <c r="AH203" t="s">
        <v>3171</v>
      </c>
      <c r="AI203" t="s">
        <v>3172</v>
      </c>
      <c r="AJ203" t="s">
        <v>2550</v>
      </c>
      <c r="AK203" t="s">
        <v>3173</v>
      </c>
      <c r="AL203" t="s">
        <v>9</v>
      </c>
      <c r="AM203" t="s">
        <v>3174</v>
      </c>
      <c r="AN203" s="5">
        <v>0.49359999999999998</v>
      </c>
      <c r="AO203" t="s">
        <v>3175</v>
      </c>
      <c r="AP203" t="s">
        <v>3176</v>
      </c>
      <c r="AQ203" t="s">
        <v>3177</v>
      </c>
      <c r="AR203" t="s">
        <v>3178</v>
      </c>
      <c r="AS203" t="s">
        <v>3179</v>
      </c>
      <c r="AT203" t="s">
        <v>3180</v>
      </c>
      <c r="AU203" t="s">
        <v>3181</v>
      </c>
      <c r="AV203" t="s">
        <v>3182</v>
      </c>
      <c r="AW203" t="s">
        <v>3183</v>
      </c>
      <c r="AX203" t="s">
        <v>3184</v>
      </c>
      <c r="AY203" t="s">
        <v>3185</v>
      </c>
      <c r="AZ203" t="s">
        <v>3186</v>
      </c>
      <c r="BA203" t="s">
        <v>3187</v>
      </c>
      <c r="BB203" t="s">
        <v>3188</v>
      </c>
      <c r="BC203" t="s">
        <v>3189</v>
      </c>
      <c r="BD203" t="s">
        <v>3190</v>
      </c>
      <c r="BE203" t="s">
        <v>156</v>
      </c>
      <c r="BF203" t="s">
        <v>3191</v>
      </c>
      <c r="BG203" t="s">
        <v>3192</v>
      </c>
      <c r="BH203" t="s">
        <v>2423</v>
      </c>
      <c r="BI203" t="s">
        <v>3193</v>
      </c>
      <c r="BJ203" t="s">
        <v>3184</v>
      </c>
      <c r="BK203" t="s">
        <v>3164</v>
      </c>
      <c r="BL203" t="s">
        <v>3194</v>
      </c>
      <c r="BM203" t="s">
        <v>3189</v>
      </c>
      <c r="BN203">
        <v>2.59</v>
      </c>
      <c r="BO203">
        <v>-8.94</v>
      </c>
      <c r="BP203">
        <v>4.07</v>
      </c>
      <c r="BQ203">
        <v>4.63</v>
      </c>
      <c r="BR203">
        <v>-17.440000000000001</v>
      </c>
      <c r="BS203" t="s">
        <v>9</v>
      </c>
      <c r="BT203" t="s">
        <v>114</v>
      </c>
      <c r="BU203" t="s">
        <v>687</v>
      </c>
      <c r="BV203">
        <v>18.36</v>
      </c>
      <c r="BW203">
        <v>-32.340000000000003</v>
      </c>
      <c r="BX203">
        <v>23.86</v>
      </c>
      <c r="BY203">
        <v>9.6300000000000008</v>
      </c>
      <c r="BZ203">
        <v>-36.909999999999997</v>
      </c>
      <c r="CA203">
        <v>16.18</v>
      </c>
      <c r="CB203">
        <v>-5.61</v>
      </c>
      <c r="CC203">
        <v>-9.52</v>
      </c>
      <c r="CD203" t="s">
        <v>6428</v>
      </c>
      <c r="CE203" t="s">
        <v>6015</v>
      </c>
      <c r="CF203" s="8">
        <v>0.49286883329436504</v>
      </c>
      <c r="CG203" s="9">
        <v>39.520000000000003</v>
      </c>
      <c r="CH203" s="8">
        <v>0.35277405381202698</v>
      </c>
      <c r="CI203" s="8">
        <v>-0.20149558782577515</v>
      </c>
      <c r="CJ203" s="8">
        <v>0.26459264755249023</v>
      </c>
      <c r="CK203" s="8">
        <v>0.11294183880090714</v>
      </c>
      <c r="CL203" s="8">
        <v>0.20903906226158142</v>
      </c>
      <c r="CM203" s="9">
        <v>1.2699426412582397</v>
      </c>
      <c r="CN203" s="9">
        <v>-3.1511623859405518</v>
      </c>
      <c r="CO203" s="9">
        <v>5.1428570747375488</v>
      </c>
      <c r="CP203" s="9">
        <v>4.433408260345459</v>
      </c>
      <c r="CQ203" s="9">
        <v>-0.96004253625869751</v>
      </c>
      <c r="CR203">
        <v>110.66461937709494</v>
      </c>
      <c r="CS203">
        <v>2.0514815211325721</v>
      </c>
      <c r="CT203">
        <v>0</v>
      </c>
      <c r="CU203" s="8">
        <v>0.53943756371736529</v>
      </c>
      <c r="CV203" s="9">
        <v>2.2779622673988342</v>
      </c>
      <c r="CW203">
        <v>0.06</v>
      </c>
      <c r="CX203">
        <v>14.350129729623674</v>
      </c>
      <c r="CY203">
        <v>2393389721.703979</v>
      </c>
      <c r="CZ203">
        <v>0.53943756371736529</v>
      </c>
      <c r="DA203">
        <v>3.2728648385886849</v>
      </c>
      <c r="DB203">
        <v>10494002867.167086</v>
      </c>
      <c r="DC203">
        <v>0.51246568553149696</v>
      </c>
      <c r="DD203">
        <v>0.93756010259844469</v>
      </c>
      <c r="DE203">
        <v>36632801358.346725</v>
      </c>
      <c r="DF203">
        <v>0.47470505607128144</v>
      </c>
      <c r="DG203">
        <v>0.28195786535294382</v>
      </c>
      <c r="DH203">
        <v>121810586688.21919</v>
      </c>
      <c r="DI203">
        <v>0.43155005097389226</v>
      </c>
      <c r="DJ203">
        <v>2.556202895174816E-2</v>
      </c>
      <c r="DK203">
        <v>1343612162588.1794</v>
      </c>
      <c r="DL203">
        <v>0.37760629460215567</v>
      </c>
      <c r="DM203">
        <v>1648000000</v>
      </c>
      <c r="DN203">
        <v>0.53943756371736529</v>
      </c>
      <c r="DO203">
        <v>34345453000</v>
      </c>
      <c r="DP203" t="e">
        <v>#VALUE!</v>
      </c>
      <c r="DQ203">
        <v>208</v>
      </c>
      <c r="DR203">
        <v>-4.6568730423000249E-2</v>
      </c>
      <c r="DS203">
        <v>37.242037732601169</v>
      </c>
      <c r="DT203">
        <v>0.15999999999999992</v>
      </c>
      <c r="DU203">
        <v>0.24499999999999986</v>
      </c>
      <c r="DV203">
        <v>0.4049999999999998</v>
      </c>
      <c r="DW203">
        <v>-8.5892857142857135</v>
      </c>
      <c r="DX203">
        <v>0.28176557788944862</v>
      </c>
      <c r="DY203">
        <v>-8.059969001256281</v>
      </c>
      <c r="DZ203">
        <v>0</v>
      </c>
      <c r="EA203">
        <v>-8.059969001256281</v>
      </c>
      <c r="EB203">
        <v>8</v>
      </c>
      <c r="EC203">
        <v>8.489750221787799E-3</v>
      </c>
      <c r="ED203">
        <v>8.3424576343590531E-2</v>
      </c>
      <c r="EE203">
        <v>0</v>
      </c>
      <c r="EF203">
        <v>0</v>
      </c>
      <c r="EG203">
        <v>18.101765577889449</v>
      </c>
      <c r="EH203" t="s">
        <v>110</v>
      </c>
      <c r="EI203">
        <v>0</v>
      </c>
      <c r="EJ203">
        <v>0</v>
      </c>
      <c r="EK203">
        <v>0</v>
      </c>
      <c r="EL203">
        <v>0</v>
      </c>
      <c r="EM203">
        <v>0</v>
      </c>
      <c r="EN203">
        <v>0</v>
      </c>
      <c r="EO203">
        <v>0</v>
      </c>
      <c r="EP203">
        <v>0</v>
      </c>
    </row>
    <row r="204" spans="1:146" ht="108" x14ac:dyDescent="0.25">
      <c r="A204" s="7"/>
      <c r="B204" s="7"/>
      <c r="C204" s="7" t="str">
        <f>""&amp;CHAR(10)&amp;Basic_Fundamental_Information_Constructure(F204)&amp;CHAR(10)&amp;Basic_Fundamental_Information_Concatenate("")</f>
        <v xml:space="preserve">
市值433.89961亿, 利润38.92亿; PE10.98; 平均PE14.78; 平均PEG.66, PB.703; ROIC5.5133%; ROE7.2267%; 股利率0%; 毛利24.3267%; 净利7.83%; 上一年度营收增9.88%, 利润增-49.57%; 当季营收增2.81%, 利润增6.69%; 过往5年营收增22.33%, 利润增38.21%
Income profile:
</v>
      </c>
      <c r="D204" s="11">
        <v>1157</v>
      </c>
      <c r="E204" t="s">
        <v>3195</v>
      </c>
      <c r="F204">
        <v>5</v>
      </c>
      <c r="G204" s="5">
        <v>-6.3700000000000007E-2</v>
      </c>
      <c r="H204" t="s">
        <v>9064</v>
      </c>
      <c r="I204">
        <v>43389961000</v>
      </c>
      <c r="J204">
        <v>10.98</v>
      </c>
      <c r="K204">
        <v>0.70299999999999996</v>
      </c>
      <c r="L204" t="s">
        <v>6350</v>
      </c>
      <c r="M204" t="s">
        <v>9065</v>
      </c>
      <c r="N204" t="s">
        <v>9066</v>
      </c>
      <c r="O204" t="s">
        <v>9067</v>
      </c>
      <c r="P204">
        <v>12.93</v>
      </c>
      <c r="Q204" t="s">
        <v>9068</v>
      </c>
      <c r="R204">
        <v>3891510000</v>
      </c>
      <c r="S204" s="5">
        <v>6.6900000000000001E-2</v>
      </c>
      <c r="T204" t="s">
        <v>4047</v>
      </c>
      <c r="U204">
        <v>1581964500</v>
      </c>
      <c r="V204">
        <v>8677992200</v>
      </c>
      <c r="W204">
        <v>2.33</v>
      </c>
      <c r="X204">
        <v>0.09</v>
      </c>
      <c r="Y204">
        <v>10</v>
      </c>
      <c r="Z204" t="s">
        <v>9069</v>
      </c>
      <c r="AA204" t="s">
        <v>9070</v>
      </c>
      <c r="AB204" t="s">
        <v>2903</v>
      </c>
      <c r="AC204" t="s">
        <v>9071</v>
      </c>
      <c r="AD204" t="s">
        <v>2607</v>
      </c>
      <c r="AE204" t="s">
        <v>9072</v>
      </c>
      <c r="AF204" t="s">
        <v>9</v>
      </c>
      <c r="AG204" t="s">
        <v>629</v>
      </c>
      <c r="AH204" t="s">
        <v>9073</v>
      </c>
      <c r="AI204" t="s">
        <v>9074</v>
      </c>
      <c r="AJ204" t="s">
        <v>9075</v>
      </c>
      <c r="AK204" t="s">
        <v>9076</v>
      </c>
      <c r="AL204" t="s">
        <v>9</v>
      </c>
      <c r="AM204" t="s">
        <v>9077</v>
      </c>
      <c r="AN204" s="5">
        <v>0.54849999999999999</v>
      </c>
      <c r="AO204" t="s">
        <v>6178</v>
      </c>
      <c r="AP204" t="s">
        <v>9078</v>
      </c>
      <c r="AQ204" t="s">
        <v>9079</v>
      </c>
      <c r="AR204" t="s">
        <v>9080</v>
      </c>
      <c r="AS204" t="s">
        <v>9081</v>
      </c>
      <c r="AT204" t="s">
        <v>9082</v>
      </c>
      <c r="AU204" t="s">
        <v>3923</v>
      </c>
      <c r="AV204" t="s">
        <v>121</v>
      </c>
      <c r="AW204" t="s">
        <v>9083</v>
      </c>
      <c r="AX204" t="s">
        <v>3196</v>
      </c>
      <c r="AY204" t="s">
        <v>3201</v>
      </c>
      <c r="AZ204" t="s">
        <v>3202</v>
      </c>
      <c r="BA204" t="s">
        <v>3203</v>
      </c>
      <c r="BB204" t="s">
        <v>3204</v>
      </c>
      <c r="BC204" t="s">
        <v>3205</v>
      </c>
      <c r="BD204" t="s">
        <v>83</v>
      </c>
      <c r="BE204" t="s">
        <v>3206</v>
      </c>
      <c r="BF204" t="s">
        <v>3207</v>
      </c>
      <c r="BG204" t="s">
        <v>3208</v>
      </c>
      <c r="BH204" t="s">
        <v>3196</v>
      </c>
      <c r="BI204" t="s">
        <v>3209</v>
      </c>
      <c r="BJ204" t="s">
        <v>3201</v>
      </c>
      <c r="BK204" t="s">
        <v>1374</v>
      </c>
      <c r="BL204" t="s">
        <v>3094</v>
      </c>
      <c r="BM204" t="s">
        <v>3205</v>
      </c>
      <c r="BN204">
        <v>4.57</v>
      </c>
      <c r="BO204">
        <v>3.08</v>
      </c>
      <c r="BP204">
        <v>8.89</v>
      </c>
      <c r="BQ204">
        <v>6.3</v>
      </c>
      <c r="BR204">
        <v>4.29</v>
      </c>
      <c r="BS204">
        <v>11.09</v>
      </c>
      <c r="BT204" t="s">
        <v>9084</v>
      </c>
      <c r="BU204" t="s">
        <v>589</v>
      </c>
      <c r="BV204">
        <v>27.54</v>
      </c>
      <c r="BW204">
        <v>21.83</v>
      </c>
      <c r="BX204">
        <v>23.61</v>
      </c>
      <c r="BY204">
        <v>8.1</v>
      </c>
      <c r="BZ204">
        <v>5.83</v>
      </c>
      <c r="CA204">
        <v>9.56</v>
      </c>
      <c r="CB204">
        <v>-9.09</v>
      </c>
      <c r="CC204">
        <v>-20</v>
      </c>
      <c r="CD204" t="s">
        <v>9085</v>
      </c>
      <c r="CE204" t="s">
        <v>3690</v>
      </c>
      <c r="CF204" s="8">
        <v>2.8101327685916756E-2</v>
      </c>
      <c r="CG204" s="9">
        <v>6.6900000000000001E-2</v>
      </c>
      <c r="CH204" s="8">
        <v>9.8799124360084534E-2</v>
      </c>
      <c r="CI204" s="8">
        <v>-0.42867574095726013</v>
      </c>
      <c r="CJ204" s="8">
        <v>5.9263244271278381E-2</v>
      </c>
      <c r="CK204" s="8">
        <v>1.3750686645507813</v>
      </c>
      <c r="CL204" s="8">
        <v>0.32245925068855286</v>
      </c>
      <c r="CM204" s="9">
        <v>-0.49572429060935974</v>
      </c>
      <c r="CN204" s="9">
        <v>-0.11246553808450699</v>
      </c>
      <c r="CO204" s="9">
        <v>0.77614390850067139</v>
      </c>
      <c r="CP204" s="9">
        <v>1.1176470518112183</v>
      </c>
      <c r="CQ204" s="9">
        <v>0.43691739439964294</v>
      </c>
      <c r="CR204">
        <v>14.776919400613009</v>
      </c>
      <c r="CS204">
        <v>0.661726818097503</v>
      </c>
      <c r="CT204">
        <v>0</v>
      </c>
      <c r="CU204" s="8">
        <v>0.22330845594406129</v>
      </c>
      <c r="CV204" s="9">
        <v>0.38213602006435393</v>
      </c>
      <c r="CW204">
        <v>0.06</v>
      </c>
      <c r="CX204">
        <v>12.757750944679929</v>
      </c>
      <c r="CY204">
        <v>4491619349.560648</v>
      </c>
      <c r="CZ204">
        <v>0.22330845594406129</v>
      </c>
      <c r="DA204">
        <v>3.7306694328683316</v>
      </c>
      <c r="DB204">
        <v>15359967435.105211</v>
      </c>
      <c r="DC204">
        <v>0.21214303314685823</v>
      </c>
      <c r="DD204">
        <v>1.572033274257457</v>
      </c>
      <c r="DE204">
        <v>36451493704.588921</v>
      </c>
      <c r="DF204">
        <v>0.19651144123077394</v>
      </c>
      <c r="DG204">
        <v>0.78450890239210902</v>
      </c>
      <c r="DH204">
        <v>73043098459.779037</v>
      </c>
      <c r="DI204">
        <v>0.17864676475524904</v>
      </c>
      <c r="DJ204">
        <v>0.26126930270094151</v>
      </c>
      <c r="DK204">
        <v>219325272458.78207</v>
      </c>
      <c r="DL204">
        <v>0.15631591916084289</v>
      </c>
      <c r="DM204">
        <v>3892000000</v>
      </c>
      <c r="DN204">
        <v>0.22330845594406129</v>
      </c>
      <c r="DO204">
        <v>57302961000</v>
      </c>
      <c r="DP204" t="e">
        <v>#VALUE!</v>
      </c>
      <c r="DQ204">
        <v>203</v>
      </c>
      <c r="DR204">
        <v>-0.19520712825814454</v>
      </c>
      <c r="DS204">
        <v>-0.31523602006435392</v>
      </c>
      <c r="DT204">
        <v>0.22666666666666657</v>
      </c>
      <c r="DU204">
        <v>1.1666666666666665</v>
      </c>
      <c r="DV204">
        <v>1.3933333333333331</v>
      </c>
      <c r="DW204">
        <v>-9.4544999999999995</v>
      </c>
      <c r="DX204">
        <v>1.0800096774193553</v>
      </c>
      <c r="DY204">
        <v>-9.0999943983870963</v>
      </c>
      <c r="DZ204">
        <v>0</v>
      </c>
      <c r="EA204">
        <v>-9.0999943983870963</v>
      </c>
      <c r="EB204">
        <v>9</v>
      </c>
      <c r="EC204">
        <v>7.0733757976873968E-3</v>
      </c>
      <c r="ED204">
        <v>3.2150293935502727E-2</v>
      </c>
      <c r="EE204">
        <v>0</v>
      </c>
      <c r="EF204">
        <v>0</v>
      </c>
      <c r="EG204">
        <v>86.220009677419355</v>
      </c>
      <c r="EH204" t="s">
        <v>110</v>
      </c>
      <c r="EI204">
        <v>0</v>
      </c>
      <c r="EJ204">
        <v>0</v>
      </c>
      <c r="EK204">
        <v>0</v>
      </c>
      <c r="EL204">
        <v>0</v>
      </c>
      <c r="EM204">
        <v>0</v>
      </c>
      <c r="EN204">
        <v>0</v>
      </c>
      <c r="EO204">
        <v>0</v>
      </c>
      <c r="EP204">
        <v>0</v>
      </c>
    </row>
    <row r="205" spans="1:146" ht="84" x14ac:dyDescent="0.25">
      <c r="C205" s="7" t="str">
        <f>""&amp;CHAR(10)&amp;Basic_Fundamental_Information_Constructure(F205)&amp;CHAR(10)&amp;Basic_Fundamental_Information_Concatenate("")</f>
        <v xml:space="preserve">
市值189.257亿, 利润4.97亿; PE38.07; 平均PE-159.94; 平均PEG-200.66, PB4.88; ROIC7.35%; ROE12.1567%; 股利率0%; 毛利2.7133%; 净利8.4933%; 上一年度营收增101.78%, 利润增179.21%, 利润增-3.46%; 过往5年营收增.8%, 利润增121.86%
Income profile:
</v>
      </c>
      <c r="D205" s="11">
        <v>1164</v>
      </c>
      <c r="E205" t="s">
        <v>6366</v>
      </c>
      <c r="F205">
        <v>2.4900000000000002</v>
      </c>
      <c r="G205">
        <v>-3.49E-2</v>
      </c>
      <c r="H205" t="s">
        <v>9086</v>
      </c>
      <c r="I205">
        <v>18925700000</v>
      </c>
      <c r="J205">
        <v>38.07</v>
      </c>
      <c r="K205">
        <v>4.88</v>
      </c>
      <c r="L205" t="s">
        <v>6350</v>
      </c>
      <c r="M205" t="s">
        <v>9</v>
      </c>
      <c r="N205" t="s">
        <v>9</v>
      </c>
      <c r="O205" t="s">
        <v>9</v>
      </c>
      <c r="P205" s="5" t="s">
        <v>9</v>
      </c>
      <c r="Q205" t="s">
        <v>2721</v>
      </c>
      <c r="R205">
        <v>497099000</v>
      </c>
      <c r="S205">
        <v>-3.4599999999999999E-2</v>
      </c>
      <c r="T205" t="s">
        <v>2572</v>
      </c>
      <c r="U205">
        <v>7600682600</v>
      </c>
      <c r="V205">
        <v>7600682600</v>
      </c>
      <c r="W205" t="s">
        <v>9</v>
      </c>
      <c r="X205" t="s">
        <v>9</v>
      </c>
      <c r="Y205" t="s">
        <v>9</v>
      </c>
      <c r="Z205" t="s">
        <v>9</v>
      </c>
      <c r="AA205" t="s">
        <v>9</v>
      </c>
      <c r="AB205" t="s">
        <v>9</v>
      </c>
      <c r="AC205" t="s">
        <v>9</v>
      </c>
      <c r="AD205" t="s">
        <v>9</v>
      </c>
      <c r="AE205" t="s">
        <v>9</v>
      </c>
      <c r="AF205" t="s">
        <v>9</v>
      </c>
      <c r="AG205" t="s">
        <v>9</v>
      </c>
      <c r="AH205" t="s">
        <v>9087</v>
      </c>
      <c r="AI205" t="s">
        <v>9</v>
      </c>
      <c r="AJ205" t="s">
        <v>9</v>
      </c>
      <c r="AK205" s="5" t="s">
        <v>9088</v>
      </c>
      <c r="AL205" t="s">
        <v>9</v>
      </c>
      <c r="AM205" t="s">
        <v>9</v>
      </c>
      <c r="AN205">
        <v>0.42520000000000002</v>
      </c>
      <c r="AO205" t="s">
        <v>9</v>
      </c>
      <c r="AP205" t="s">
        <v>4547</v>
      </c>
      <c r="AQ205" t="s">
        <v>9</v>
      </c>
      <c r="AR205" t="s">
        <v>1172</v>
      </c>
      <c r="AS205" t="s">
        <v>9</v>
      </c>
      <c r="AT205" t="s">
        <v>9</v>
      </c>
      <c r="AU205" t="s">
        <v>3576</v>
      </c>
      <c r="AV205" t="s">
        <v>1280</v>
      </c>
      <c r="AW205" t="s">
        <v>9</v>
      </c>
      <c r="AX205" t="s">
        <v>9089</v>
      </c>
      <c r="AY205" t="s">
        <v>9090</v>
      </c>
      <c r="AZ205" t="s">
        <v>9091</v>
      </c>
      <c r="BA205" t="s">
        <v>3142</v>
      </c>
      <c r="BB205" t="s">
        <v>102</v>
      </c>
      <c r="BC205" t="s">
        <v>142</v>
      </c>
      <c r="BD205" t="s">
        <v>1805</v>
      </c>
      <c r="BE205" t="s">
        <v>2579</v>
      </c>
      <c r="BF205" t="s">
        <v>30</v>
      </c>
      <c r="BG205" t="s">
        <v>9092</v>
      </c>
      <c r="BH205" t="s">
        <v>9089</v>
      </c>
      <c r="BI205" t="s">
        <v>9</v>
      </c>
      <c r="BJ205" t="s">
        <v>9090</v>
      </c>
      <c r="BK205" t="s">
        <v>6073</v>
      </c>
      <c r="BL205" t="s">
        <v>9</v>
      </c>
      <c r="BM205" t="s">
        <v>142</v>
      </c>
      <c r="BN205">
        <v>8.73</v>
      </c>
      <c r="BO205">
        <v>9.42</v>
      </c>
      <c r="BP205">
        <v>3.9</v>
      </c>
      <c r="BQ205">
        <v>12.81</v>
      </c>
      <c r="BR205">
        <v>15.38</v>
      </c>
      <c r="BS205">
        <v>8.2799999999999994</v>
      </c>
      <c r="BT205" t="s">
        <v>1043</v>
      </c>
      <c r="BU205" t="s">
        <v>1254</v>
      </c>
      <c r="BV205">
        <v>1.79</v>
      </c>
      <c r="BW205">
        <v>4.0599999999999996</v>
      </c>
      <c r="BX205">
        <v>2.29</v>
      </c>
      <c r="BY205">
        <v>6.75</v>
      </c>
      <c r="BZ205">
        <v>14.11</v>
      </c>
      <c r="CA205">
        <v>4.62</v>
      </c>
      <c r="CB205">
        <v>-9.1199999999999992</v>
      </c>
      <c r="CC205" s="8">
        <v>-2.35</v>
      </c>
      <c r="CD205" s="10" t="s">
        <v>814</v>
      </c>
      <c r="CE205" s="8" t="s">
        <v>668</v>
      </c>
      <c r="CF205" s="8" t="s">
        <v>9</v>
      </c>
      <c r="CG205" s="8">
        <v>-3.4599999999999999E-2</v>
      </c>
      <c r="CH205" s="8">
        <v>1.0178130865097046</v>
      </c>
      <c r="CI205" s="8">
        <v>-5.4663229733705521E-2</v>
      </c>
      <c r="CJ205" s="9">
        <v>0.34870713949203491</v>
      </c>
      <c r="CK205" s="9">
        <v>0.76014769077301025</v>
      </c>
      <c r="CL205" s="9">
        <v>3.3592491149902344</v>
      </c>
      <c r="CM205" s="9">
        <v>1.7921348810195923</v>
      </c>
      <c r="CN205" s="9">
        <v>0.14838708937168121</v>
      </c>
      <c r="CO205">
        <v>-3.125E-2</v>
      </c>
      <c r="CP205">
        <v>0.31147539615631104</v>
      </c>
      <c r="CQ205">
        <v>1.3426399230957031</v>
      </c>
      <c r="CR205" s="8">
        <v>-159.93752033476483</v>
      </c>
      <c r="CS205" s="9">
        <v>-200.66405452987706</v>
      </c>
      <c r="CT205">
        <v>0</v>
      </c>
      <c r="CU205">
        <v>7.9704120755195625E-3</v>
      </c>
      <c r="CV205">
        <v>1.2186377406120301</v>
      </c>
      <c r="CW205">
        <v>0.06</v>
      </c>
      <c r="CX205">
        <v>40.045492951601581</v>
      </c>
      <c r="CY205">
        <v>472604995.09578604</v>
      </c>
      <c r="CZ205">
        <v>7.9704120755195625E-3</v>
      </c>
      <c r="DA205">
        <v>14.036587597121247</v>
      </c>
      <c r="DB205">
        <v>1348312035.8883705</v>
      </c>
      <c r="DC205">
        <v>7.5718914717435842E-3</v>
      </c>
      <c r="DD205">
        <v>7.5653065778215538</v>
      </c>
      <c r="DE205">
        <v>2501643496.5745559</v>
      </c>
      <c r="DF205">
        <v>7.0139626264572154E-3</v>
      </c>
      <c r="DG205">
        <v>5.0104710855408747</v>
      </c>
      <c r="DH205">
        <v>3777229661.0223813</v>
      </c>
      <c r="DI205">
        <v>6.3763296604156501E-3</v>
      </c>
      <c r="DJ205">
        <v>3.1632419609806086</v>
      </c>
      <c r="DK205">
        <v>5983007380.8621998</v>
      </c>
      <c r="DL205">
        <v>5.5792884528636935E-3</v>
      </c>
      <c r="DM205">
        <v>497000000</v>
      </c>
      <c r="DN205">
        <v>7.9704120755195625E-3</v>
      </c>
      <c r="DO205">
        <v>18925700000</v>
      </c>
      <c r="DP205" t="e">
        <v>#VALUE!</v>
      </c>
      <c r="DQ205">
        <v>204</v>
      </c>
      <c r="DR205" t="e">
        <v>#VALUE!</v>
      </c>
      <c r="DS205">
        <v>-1.2532377406120301</v>
      </c>
      <c r="DT205" t="e">
        <v>#VALUE!</v>
      </c>
      <c r="DU205" t="e">
        <v>#VALUE!</v>
      </c>
      <c r="DV205" t="e">
        <v>#VALUE!</v>
      </c>
      <c r="DW205">
        <v>-5.2576754385964914</v>
      </c>
      <c r="DX205">
        <v>0.31801853997682417</v>
      </c>
      <c r="DY205">
        <v>-5.0432942509808703</v>
      </c>
      <c r="DZ205">
        <v>0</v>
      </c>
      <c r="EA205">
        <v>-5.0432942509808703</v>
      </c>
      <c r="EB205">
        <v>5</v>
      </c>
      <c r="EC205">
        <v>1.9077233931594512E-2</v>
      </c>
      <c r="ED205">
        <v>0.11354243367562804</v>
      </c>
      <c r="EE205">
        <v>0</v>
      </c>
      <c r="EF205">
        <v>0</v>
      </c>
      <c r="EG205">
        <v>15.168018539976824</v>
      </c>
      <c r="EH205" t="s">
        <v>110</v>
      </c>
      <c r="EI205">
        <v>0</v>
      </c>
      <c r="EJ205">
        <v>0</v>
      </c>
      <c r="EK205">
        <v>0</v>
      </c>
      <c r="EL205">
        <v>0</v>
      </c>
      <c r="EM205">
        <v>0</v>
      </c>
      <c r="EN205">
        <v>0</v>
      </c>
      <c r="EO205">
        <v>0</v>
      </c>
      <c r="EP205">
        <v>0</v>
      </c>
    </row>
    <row r="206" spans="1:146" ht="96" x14ac:dyDescent="0.25">
      <c r="A206" s="7"/>
      <c r="B206" s="7"/>
      <c r="C206" s="7" t="str">
        <f>""&amp;CHAR(10)&amp;Basic_Fundamental_Information_Constructure(F206)&amp;CHAR(10)&amp;Basic_Fundamental_Information_Concatenate("")</f>
        <v xml:space="preserve">
市值1345.0382亿, 利润343.03亿; PE7.2; 平均PE24.17; 平均PEG3.15, PB1.97; ROIC11.0633%; ROE23.1433%; 毛利34.9633%; 净利16.8833%; 上一年度营收增31.13%, 利润增65.36%; 当季营收增-.69%, 利润增-21.55%; 过往5年营收增-7.67%, 利润增-169.15%
Income profile:
</v>
      </c>
      <c r="D206" s="11">
        <v>1171</v>
      </c>
      <c r="E206" t="s">
        <v>3213</v>
      </c>
      <c r="F206">
        <v>18.079999999999998</v>
      </c>
      <c r="G206" s="5">
        <v>-1.2E-2</v>
      </c>
      <c r="H206" t="s">
        <v>6430</v>
      </c>
      <c r="I206">
        <v>134503820000</v>
      </c>
      <c r="J206">
        <v>7.2</v>
      </c>
      <c r="K206">
        <v>1.97</v>
      </c>
      <c r="L206" t="s">
        <v>6350</v>
      </c>
      <c r="M206" t="s">
        <v>3214</v>
      </c>
      <c r="N206" t="s">
        <v>3215</v>
      </c>
      <c r="O206" t="s">
        <v>3216</v>
      </c>
      <c r="P206">
        <v>7.82</v>
      </c>
      <c r="Q206" t="s">
        <v>3217</v>
      </c>
      <c r="R206">
        <v>6460391100</v>
      </c>
      <c r="S206" s="5">
        <v>-0.2155</v>
      </c>
      <c r="T206" t="s">
        <v>3218</v>
      </c>
      <c r="U206">
        <v>1900000000</v>
      </c>
      <c r="V206">
        <v>4961360500</v>
      </c>
      <c r="W206">
        <v>2.79</v>
      </c>
      <c r="X206">
        <v>0.14000000000000001</v>
      </c>
      <c r="Y206">
        <v>22.05</v>
      </c>
      <c r="Z206" t="s">
        <v>3219</v>
      </c>
      <c r="AA206" t="s">
        <v>3220</v>
      </c>
      <c r="AB206" t="s">
        <v>1433</v>
      </c>
      <c r="AC206" t="s">
        <v>3221</v>
      </c>
      <c r="AD206" t="s">
        <v>1320</v>
      </c>
      <c r="AE206" t="s">
        <v>3222</v>
      </c>
      <c r="AF206" t="s">
        <v>9</v>
      </c>
      <c r="AG206" t="s">
        <v>3223</v>
      </c>
      <c r="AH206" t="s">
        <v>3224</v>
      </c>
      <c r="AI206" t="s">
        <v>3225</v>
      </c>
      <c r="AJ206" t="s">
        <v>3226</v>
      </c>
      <c r="AK206" t="s">
        <v>3227</v>
      </c>
      <c r="AL206" t="s">
        <v>9</v>
      </c>
      <c r="AM206" t="s">
        <v>3228</v>
      </c>
      <c r="AN206" s="5">
        <v>0.55300000000000005</v>
      </c>
      <c r="AO206" t="s">
        <v>1691</v>
      </c>
      <c r="AP206" t="s">
        <v>3229</v>
      </c>
      <c r="AQ206" t="s">
        <v>3230</v>
      </c>
      <c r="AR206" t="s">
        <v>3231</v>
      </c>
      <c r="AS206" t="s">
        <v>3232</v>
      </c>
      <c r="AT206" t="s">
        <v>3233</v>
      </c>
      <c r="AU206" t="s">
        <v>3234</v>
      </c>
      <c r="AV206" t="s">
        <v>3235</v>
      </c>
      <c r="AW206" t="s">
        <v>3236</v>
      </c>
      <c r="AX206" t="s">
        <v>3237</v>
      </c>
      <c r="AY206" t="s">
        <v>3238</v>
      </c>
      <c r="AZ206" t="s">
        <v>3239</v>
      </c>
      <c r="BA206" t="s">
        <v>3240</v>
      </c>
      <c r="BB206" t="s">
        <v>3241</v>
      </c>
      <c r="BC206" t="s">
        <v>3242</v>
      </c>
      <c r="BD206" t="s">
        <v>3243</v>
      </c>
      <c r="BE206" t="s">
        <v>1719</v>
      </c>
      <c r="BF206" t="s">
        <v>676</v>
      </c>
      <c r="BG206" t="s">
        <v>3244</v>
      </c>
      <c r="BH206" t="s">
        <v>3217</v>
      </c>
      <c r="BI206" t="s">
        <v>3245</v>
      </c>
      <c r="BJ206" t="s">
        <v>3237</v>
      </c>
      <c r="BK206" t="s">
        <v>3218</v>
      </c>
      <c r="BL206" t="s">
        <v>3246</v>
      </c>
      <c r="BM206" t="s">
        <v>3242</v>
      </c>
      <c r="BN206">
        <v>17.989999999999998</v>
      </c>
      <c r="BO206">
        <v>10.52</v>
      </c>
      <c r="BP206">
        <v>4.68</v>
      </c>
      <c r="BQ206">
        <v>33.840000000000003</v>
      </c>
      <c r="BR206">
        <v>24.68</v>
      </c>
      <c r="BS206">
        <v>10.91</v>
      </c>
      <c r="BT206" t="s">
        <v>3247</v>
      </c>
      <c r="BU206" t="s">
        <v>1919</v>
      </c>
      <c r="BV206">
        <v>47.73</v>
      </c>
      <c r="BW206">
        <v>36.770000000000003</v>
      </c>
      <c r="BX206">
        <v>20.39</v>
      </c>
      <c r="BY206">
        <v>25.28</v>
      </c>
      <c r="BZ206">
        <v>17.329999999999998</v>
      </c>
      <c r="CA206">
        <v>8.0399999999999991</v>
      </c>
      <c r="CB206">
        <v>-4.24</v>
      </c>
      <c r="CC206">
        <v>13.43</v>
      </c>
      <c r="CD206" t="s">
        <v>22</v>
      </c>
      <c r="CE206" t="s">
        <v>4578</v>
      </c>
      <c r="CF206" s="8">
        <v>-6.8919384590436419E-3</v>
      </c>
      <c r="CG206" s="9">
        <v>-0.2155</v>
      </c>
      <c r="CH206" s="8">
        <v>0.31132322549819946</v>
      </c>
      <c r="CI206" s="8">
        <v>0.61431276798248291</v>
      </c>
      <c r="CJ206" s="8">
        <v>8.7314553558826447E-2</v>
      </c>
      <c r="CK206" s="8">
        <v>-1.3321186415851116E-2</v>
      </c>
      <c r="CL206" s="8">
        <v>0.21609216928482056</v>
      </c>
      <c r="CM206" s="9">
        <v>0.65355503559112549</v>
      </c>
      <c r="CN206" s="9">
        <v>1.754980206489563</v>
      </c>
      <c r="CO206" s="9">
        <v>-0.2823103666305542</v>
      </c>
      <c r="CP206" s="9">
        <v>7.3679901659488678E-2</v>
      </c>
      <c r="CQ206" s="9">
        <v>0.10705794394016266</v>
      </c>
      <c r="CR206">
        <v>24.166704198358989</v>
      </c>
      <c r="CS206">
        <v>3.1507957422448745</v>
      </c>
      <c r="CT206" t="e">
        <v>#VALUE!</v>
      </c>
      <c r="CU206" s="8">
        <v>-7.6700320094823832E-2</v>
      </c>
      <c r="CV206" s="9">
        <v>-1.691484236717224</v>
      </c>
      <c r="CW206">
        <v>0.06</v>
      </c>
      <c r="CX206">
        <v>4.9876051657289446</v>
      </c>
      <c r="CY206" t="s">
        <v>6431</v>
      </c>
      <c r="CZ206">
        <v>-7.6700320094823832E-2</v>
      </c>
      <c r="DA206">
        <v>1.6625350552429816</v>
      </c>
      <c r="DB206" t="s">
        <v>6432</v>
      </c>
      <c r="DC206">
        <v>-7.2865304090082642E-2</v>
      </c>
      <c r="DD206">
        <v>0.83126752762149081</v>
      </c>
      <c r="DE206" t="s">
        <v>6433</v>
      </c>
      <c r="DF206">
        <v>-6.7496281683444972E-2</v>
      </c>
      <c r="DG206">
        <v>0.4987605165728945</v>
      </c>
      <c r="DH206" t="s">
        <v>6434</v>
      </c>
      <c r="DI206">
        <v>-6.1360256075859071E-2</v>
      </c>
      <c r="DJ206">
        <v>0.24938025828644725</v>
      </c>
      <c r="DK206" t="s">
        <v>6435</v>
      </c>
      <c r="DL206">
        <v>-5.3690224066376677E-2</v>
      </c>
      <c r="DM206">
        <v>34302999999.999996</v>
      </c>
      <c r="DN206">
        <v>-7.6700320094823832E-2</v>
      </c>
      <c r="DO206">
        <v>171089820000</v>
      </c>
      <c r="DP206" t="e">
        <v>#VALUE!</v>
      </c>
      <c r="DQ206">
        <v>212</v>
      </c>
      <c r="DR206">
        <v>6.9808381635780195E-2</v>
      </c>
      <c r="DS206">
        <v>1.475984236717224</v>
      </c>
      <c r="DT206">
        <v>-0.54</v>
      </c>
      <c r="DU206">
        <v>-1.0566666666666666</v>
      </c>
      <c r="DV206">
        <v>-1.5966666666666667</v>
      </c>
      <c r="DW206">
        <v>-6.2399547255234857</v>
      </c>
      <c r="DX206">
        <v>0.45043010752688017</v>
      </c>
      <c r="DY206">
        <v>-6.0528932459487255</v>
      </c>
      <c r="DZ206">
        <v>0</v>
      </c>
      <c r="EA206">
        <v>-6.0528932459487255</v>
      </c>
      <c r="EB206">
        <v>6</v>
      </c>
      <c r="EC206">
        <v>2.4791586904438813E-2</v>
      </c>
      <c r="ED206">
        <v>0.11246915034696632</v>
      </c>
      <c r="EE206">
        <v>0</v>
      </c>
      <c r="EF206">
        <v>0</v>
      </c>
      <c r="EG206">
        <v>23.22043010752688</v>
      </c>
      <c r="EH206" t="s">
        <v>110</v>
      </c>
      <c r="EI206">
        <v>0</v>
      </c>
      <c r="EJ206">
        <v>0</v>
      </c>
      <c r="EK206">
        <v>0</v>
      </c>
      <c r="EL206">
        <v>0</v>
      </c>
      <c r="EM206">
        <v>0</v>
      </c>
      <c r="EN206">
        <v>0</v>
      </c>
      <c r="EO206">
        <v>0</v>
      </c>
      <c r="EP206">
        <v>0</v>
      </c>
    </row>
    <row r="207" spans="1:146" ht="96" x14ac:dyDescent="0.25">
      <c r="A207" s="7"/>
      <c r="B207" s="7"/>
      <c r="C207" s="7" t="str">
        <f>""&amp;CHAR(10)&amp;Basic_Fundamental_Information_Constructure(F207)&amp;CHAR(10)&amp;Basic_Fundamental_Information_Concatenate("")</f>
        <v xml:space="preserve">
市值9.3933226亿, 利润-9.39亿; PE; 平均PE-7.84; 平均PEG-.2, PB.15; ROIC-2.84%; ROE-9.8%; 股利率0%; 毛利71.9033%; 净利-25.99%; 上一年度营收增-27.76%, 利润增-4515.71%, 利润增11.85%; 过往5年营收增39.24%, 利润增224.62%
Income profile:
</v>
      </c>
      <c r="D207" s="11">
        <v>1176</v>
      </c>
      <c r="E207" t="s">
        <v>3249</v>
      </c>
      <c r="F207">
        <v>0.13</v>
      </c>
      <c r="G207" s="5">
        <v>-2.9899999999999999E-2</v>
      </c>
      <c r="H207" t="s">
        <v>9093</v>
      </c>
      <c r="I207">
        <v>939332260</v>
      </c>
      <c r="K207">
        <v>0.15</v>
      </c>
      <c r="L207" t="s">
        <v>6350</v>
      </c>
      <c r="M207" t="s">
        <v>9</v>
      </c>
      <c r="N207" t="s">
        <v>9</v>
      </c>
      <c r="O207" t="s">
        <v>9</v>
      </c>
      <c r="P207" t="s">
        <v>9</v>
      </c>
      <c r="Q207" t="s">
        <v>5062</v>
      </c>
      <c r="R207">
        <v>-100923000</v>
      </c>
      <c r="S207" s="6">
        <v>0.11849999999999999</v>
      </c>
      <c r="T207" t="s">
        <v>3764</v>
      </c>
      <c r="U207">
        <v>7225632800</v>
      </c>
      <c r="V207">
        <v>7225632800</v>
      </c>
      <c r="W207" t="s">
        <v>9</v>
      </c>
      <c r="X207" t="s">
        <v>9</v>
      </c>
      <c r="Y207" t="s">
        <v>9</v>
      </c>
      <c r="Z207" t="s">
        <v>9</v>
      </c>
      <c r="AA207" t="s">
        <v>9</v>
      </c>
      <c r="AB207" t="s">
        <v>9</v>
      </c>
      <c r="AC207" t="s">
        <v>9</v>
      </c>
      <c r="AD207" t="s">
        <v>9</v>
      </c>
      <c r="AE207" t="s">
        <v>9</v>
      </c>
      <c r="AF207" t="s">
        <v>9</v>
      </c>
      <c r="AG207" t="s">
        <v>9</v>
      </c>
      <c r="AH207" t="s">
        <v>9094</v>
      </c>
      <c r="AI207" t="s">
        <v>9</v>
      </c>
      <c r="AJ207" t="s">
        <v>9</v>
      </c>
      <c r="AK207" t="s">
        <v>9095</v>
      </c>
      <c r="AL207" t="s">
        <v>9</v>
      </c>
      <c r="AM207" t="s">
        <v>9</v>
      </c>
      <c r="AN207" s="5">
        <v>0.82420000000000004</v>
      </c>
      <c r="AO207" t="s">
        <v>9</v>
      </c>
      <c r="AP207" t="s">
        <v>1766</v>
      </c>
      <c r="AQ207" t="s">
        <v>9</v>
      </c>
      <c r="AR207" t="s">
        <v>9096</v>
      </c>
      <c r="AS207" t="s">
        <v>9</v>
      </c>
      <c r="AT207" t="s">
        <v>9</v>
      </c>
      <c r="AU207" t="s">
        <v>4653</v>
      </c>
      <c r="AV207" t="s">
        <v>1043</v>
      </c>
      <c r="AW207" t="s">
        <v>9</v>
      </c>
      <c r="AX207" t="s">
        <v>735</v>
      </c>
      <c r="AY207" t="s">
        <v>3253</v>
      </c>
      <c r="AZ207" t="s">
        <v>3254</v>
      </c>
      <c r="BA207" t="s">
        <v>3256</v>
      </c>
      <c r="BB207" t="s">
        <v>40</v>
      </c>
      <c r="BC207" t="s">
        <v>3257</v>
      </c>
      <c r="BD207" t="s">
        <v>3258</v>
      </c>
      <c r="BE207" t="s">
        <v>3259</v>
      </c>
      <c r="BF207" t="s">
        <v>3260</v>
      </c>
      <c r="BG207" t="s">
        <v>35</v>
      </c>
      <c r="BH207" t="s">
        <v>735</v>
      </c>
      <c r="BI207" t="s">
        <v>9</v>
      </c>
      <c r="BJ207" t="s">
        <v>3253</v>
      </c>
      <c r="BK207" t="s">
        <v>3250</v>
      </c>
      <c r="BL207" t="s">
        <v>9</v>
      </c>
      <c r="BM207" t="s">
        <v>3257</v>
      </c>
      <c r="BN207">
        <v>-4.4000000000000004</v>
      </c>
      <c r="BO207">
        <v>-4.2</v>
      </c>
      <c r="BP207">
        <v>0.08</v>
      </c>
      <c r="BQ207">
        <v>-14.96</v>
      </c>
      <c r="BR207">
        <v>-14.68</v>
      </c>
      <c r="BS207">
        <v>0.24</v>
      </c>
      <c r="BT207" t="s">
        <v>3261</v>
      </c>
      <c r="BU207" t="s">
        <v>410</v>
      </c>
      <c r="BV207">
        <v>70.63</v>
      </c>
      <c r="BW207">
        <v>69.28</v>
      </c>
      <c r="BX207">
        <v>75.8</v>
      </c>
      <c r="BY207">
        <v>-45.65</v>
      </c>
      <c r="BZ207">
        <v>-35.99</v>
      </c>
      <c r="CA207">
        <v>3.67</v>
      </c>
      <c r="CB207">
        <v>-17.72</v>
      </c>
      <c r="CC207">
        <v>-30.48</v>
      </c>
      <c r="CD207" t="s">
        <v>86</v>
      </c>
      <c r="CE207" t="s">
        <v>9097</v>
      </c>
      <c r="CF207" s="8" t="s">
        <v>9</v>
      </c>
      <c r="CG207" s="9">
        <v>0.11849999999999999</v>
      </c>
      <c r="CH207" s="8">
        <v>-0.27756252884864807</v>
      </c>
      <c r="CI207" s="8">
        <v>-4.8911180347204208E-2</v>
      </c>
      <c r="CJ207" s="8">
        <v>-0.54943394660949707</v>
      </c>
      <c r="CK207" s="8">
        <v>1.4491682052612305</v>
      </c>
      <c r="CL207" s="8">
        <v>-2.2406984120607376E-2</v>
      </c>
      <c r="CM207" s="9">
        <v>-45.157066345214844</v>
      </c>
      <c r="CN207" s="9">
        <v>-0.99030768871307373</v>
      </c>
      <c r="CO207" s="9">
        <v>1.9370814561843872</v>
      </c>
      <c r="CP207" s="9">
        <v>157.36337280273437</v>
      </c>
      <c r="CQ207" s="9">
        <v>-0.97289085388183594</v>
      </c>
      <c r="CR207">
        <v>-7.842640440268192</v>
      </c>
      <c r="CS207">
        <v>-0.19988706086614663</v>
      </c>
      <c r="CT207">
        <v>0</v>
      </c>
      <c r="CU207" s="8">
        <v>0.39235358238220214</v>
      </c>
      <c r="CV207" s="9">
        <v>2.2462222278118134</v>
      </c>
      <c r="CW207">
        <v>0.06</v>
      </c>
      <c r="CX207" t="e">
        <v>#VALUE!</v>
      </c>
      <c r="CY207" t="s">
        <v>109</v>
      </c>
      <c r="CZ207">
        <v>0.39235358238220214</v>
      </c>
      <c r="DA207" t="e">
        <v>#VALUE!</v>
      </c>
      <c r="DB207" t="s">
        <v>108</v>
      </c>
      <c r="DC207">
        <v>0.37273590326309203</v>
      </c>
      <c r="DD207" t="e">
        <v>#VALUE!</v>
      </c>
      <c r="DE207" t="s">
        <v>108</v>
      </c>
      <c r="DF207">
        <v>0.34527115249633789</v>
      </c>
      <c r="DG207" t="e">
        <v>#VALUE!</v>
      </c>
      <c r="DH207" t="s">
        <v>108</v>
      </c>
      <c r="DI207">
        <v>0.31388286590576175</v>
      </c>
      <c r="DJ207" t="e">
        <v>#VALUE!</v>
      </c>
      <c r="DK207" t="s">
        <v>108</v>
      </c>
      <c r="DL207">
        <v>0.27464750766754148</v>
      </c>
      <c r="DM207">
        <v>-939000000</v>
      </c>
      <c r="DN207">
        <v>0.39235358238220214</v>
      </c>
      <c r="DO207">
        <v>939332260</v>
      </c>
      <c r="DP207" t="e">
        <v>#VALUE!</v>
      </c>
      <c r="DQ207">
        <v>206</v>
      </c>
      <c r="DR207" t="e">
        <v>#VALUE!</v>
      </c>
      <c r="DS207">
        <v>-2.1277222278118133</v>
      </c>
      <c r="DT207" t="e">
        <v>#VALUE!</v>
      </c>
      <c r="DU207" t="e">
        <v>#VALUE!</v>
      </c>
      <c r="DV207" t="e">
        <v>#VALUE!</v>
      </c>
      <c r="DW207">
        <v>-9.5813648293963247</v>
      </c>
      <c r="DX207">
        <v>0.18942268093069481</v>
      </c>
      <c r="DY207">
        <v>-9.0287326084675819</v>
      </c>
      <c r="DZ207">
        <v>0</v>
      </c>
      <c r="EA207">
        <v>-9.0287326084675819</v>
      </c>
      <c r="EB207">
        <v>9</v>
      </c>
      <c r="EC207">
        <v>6.3385451859662725E-2</v>
      </c>
      <c r="ED207">
        <v>1.2825174287849226</v>
      </c>
      <c r="EE207">
        <v>0</v>
      </c>
      <c r="EF207">
        <v>0</v>
      </c>
      <c r="EG207">
        <v>14.049422680930695</v>
      </c>
      <c r="EH207" t="s">
        <v>110</v>
      </c>
      <c r="EI207">
        <v>0</v>
      </c>
      <c r="EJ207">
        <v>0</v>
      </c>
      <c r="EK207">
        <v>0</v>
      </c>
      <c r="EL207">
        <v>0</v>
      </c>
      <c r="EM207">
        <v>0</v>
      </c>
      <c r="EN207">
        <v>0</v>
      </c>
      <c r="EO207">
        <v>0</v>
      </c>
      <c r="EP207">
        <v>0</v>
      </c>
    </row>
    <row r="208" spans="1:146" ht="96" x14ac:dyDescent="0.25">
      <c r="A208" s="7"/>
      <c r="B208" s="7"/>
      <c r="C208" s="7" t="str">
        <f>""&amp;CHAR(10)&amp;Basic_Fundamental_Information_Constructure(F208)&amp;CHAR(10)&amp;Basic_Fundamental_Information_Concatenate("")</f>
        <v xml:space="preserve">
市值507.36287亿, 利润25.56亿; PE19.85; 平均PE-271.44; 平均PEG-12.72, PB1.52; ROIC19.3867%; ROE21.4767%; 股利率0%; 毛利78.97%; 净利32.4833%; 上一年度营收增-5.52%, 利润增-85.71%, 利润增-10.91%; 过往5年营收增-21.35%, 利润增-794.17%
Income profile:
</v>
      </c>
      <c r="D208" s="11">
        <v>1177</v>
      </c>
      <c r="E208" t="s">
        <v>3262</v>
      </c>
      <c r="F208">
        <v>2.7</v>
      </c>
      <c r="G208" s="5">
        <v>-2.1700000000000001E-2</v>
      </c>
      <c r="H208" t="s">
        <v>9098</v>
      </c>
      <c r="I208">
        <v>50736287000</v>
      </c>
      <c r="J208">
        <v>19.850000000000001</v>
      </c>
      <c r="K208">
        <v>1.52</v>
      </c>
      <c r="L208" t="s">
        <v>6350</v>
      </c>
      <c r="M208" t="s">
        <v>9</v>
      </c>
      <c r="N208" t="s">
        <v>9</v>
      </c>
      <c r="O208" t="s">
        <v>9</v>
      </c>
      <c r="P208" t="s">
        <v>9</v>
      </c>
      <c r="Q208" t="s">
        <v>9099</v>
      </c>
      <c r="R208">
        <v>2556271500</v>
      </c>
      <c r="S208" s="5">
        <v>-0.1091</v>
      </c>
      <c r="T208" t="s">
        <v>9100</v>
      </c>
      <c r="U208">
        <v>18801217000</v>
      </c>
      <c r="V208">
        <v>18801217000</v>
      </c>
      <c r="W208" t="s">
        <v>9</v>
      </c>
      <c r="X208" t="s">
        <v>9</v>
      </c>
      <c r="Y208" t="s">
        <v>9</v>
      </c>
      <c r="Z208" t="s">
        <v>9</v>
      </c>
      <c r="AA208" t="s">
        <v>9</v>
      </c>
      <c r="AB208" t="s">
        <v>9</v>
      </c>
      <c r="AC208" t="s">
        <v>9</v>
      </c>
      <c r="AD208" t="s">
        <v>9101</v>
      </c>
      <c r="AE208" t="s">
        <v>9</v>
      </c>
      <c r="AF208" t="s">
        <v>9</v>
      </c>
      <c r="AG208" t="s">
        <v>9</v>
      </c>
      <c r="AH208" t="s">
        <v>9102</v>
      </c>
      <c r="AI208" t="s">
        <v>9</v>
      </c>
      <c r="AJ208" t="s">
        <v>9</v>
      </c>
      <c r="AK208" t="s">
        <v>9103</v>
      </c>
      <c r="AL208" t="s">
        <v>9</v>
      </c>
      <c r="AM208" t="s">
        <v>9</v>
      </c>
      <c r="AN208" s="5">
        <v>0.39989999999999998</v>
      </c>
      <c r="AO208" t="s">
        <v>9</v>
      </c>
      <c r="AP208" t="s">
        <v>732</v>
      </c>
      <c r="AQ208" t="s">
        <v>9</v>
      </c>
      <c r="AR208" t="s">
        <v>9104</v>
      </c>
      <c r="AS208" t="s">
        <v>9</v>
      </c>
      <c r="AT208" t="s">
        <v>9</v>
      </c>
      <c r="AU208" t="s">
        <v>9105</v>
      </c>
      <c r="AV208" t="s">
        <v>9106</v>
      </c>
      <c r="AW208" t="s">
        <v>9</v>
      </c>
      <c r="AX208" t="s">
        <v>3263</v>
      </c>
      <c r="AY208" t="s">
        <v>3266</v>
      </c>
      <c r="AZ208" t="s">
        <v>3267</v>
      </c>
      <c r="BA208" t="s">
        <v>3268</v>
      </c>
      <c r="BB208" t="s">
        <v>3269</v>
      </c>
      <c r="BC208" t="s">
        <v>3270</v>
      </c>
      <c r="BD208" t="s">
        <v>1682</v>
      </c>
      <c r="BE208" t="s">
        <v>3271</v>
      </c>
      <c r="BF208" t="s">
        <v>3272</v>
      </c>
      <c r="BG208" t="s">
        <v>3273</v>
      </c>
      <c r="BH208" t="s">
        <v>3263</v>
      </c>
      <c r="BI208" t="s">
        <v>9</v>
      </c>
      <c r="BJ208" t="s">
        <v>3266</v>
      </c>
      <c r="BK208" t="s">
        <v>3264</v>
      </c>
      <c r="BL208" t="s">
        <v>9</v>
      </c>
      <c r="BM208" t="s">
        <v>3270</v>
      </c>
      <c r="BN208">
        <v>5.42</v>
      </c>
      <c r="BO208">
        <v>5.95</v>
      </c>
      <c r="BP208">
        <v>46.79</v>
      </c>
      <c r="BQ208">
        <v>7.65</v>
      </c>
      <c r="BR208">
        <v>8.5500000000000007</v>
      </c>
      <c r="BS208">
        <v>48.23</v>
      </c>
      <c r="BT208" t="s">
        <v>9107</v>
      </c>
      <c r="BU208" t="s">
        <v>489</v>
      </c>
      <c r="BV208">
        <v>76.900000000000006</v>
      </c>
      <c r="BW208">
        <v>79.86</v>
      </c>
      <c r="BX208">
        <v>80.150000000000006</v>
      </c>
      <c r="BY208">
        <v>18.22</v>
      </c>
      <c r="BZ208">
        <v>17.38</v>
      </c>
      <c r="CA208">
        <v>61.85</v>
      </c>
      <c r="CB208">
        <v>0.37</v>
      </c>
      <c r="CC208">
        <v>-10.89</v>
      </c>
      <c r="CD208" t="s">
        <v>2061</v>
      </c>
      <c r="CE208" t="s">
        <v>3333</v>
      </c>
      <c r="CF208" s="8" t="s">
        <v>9</v>
      </c>
      <c r="CG208" s="9">
        <v>-0.1091</v>
      </c>
      <c r="CH208" s="8">
        <v>-5.5225290358066559E-2</v>
      </c>
      <c r="CI208" s="8">
        <v>-1.2921104207634926E-2</v>
      </c>
      <c r="CJ208" s="8">
        <v>0.16700373589992523</v>
      </c>
      <c r="CK208" s="8">
        <v>0.18504038453102112</v>
      </c>
      <c r="CL208" s="8">
        <v>0.33866152167320251</v>
      </c>
      <c r="CM208" s="9">
        <v>-0.85711091756820679</v>
      </c>
      <c r="CN208" s="9">
        <v>4.4156827926635742</v>
      </c>
      <c r="CO208" s="9">
        <v>9.1900870203971863E-2</v>
      </c>
      <c r="CP208" s="9">
        <v>-0.7063106894493103</v>
      </c>
      <c r="CQ208" s="9">
        <v>2.9569728374481201</v>
      </c>
      <c r="CR208">
        <v>-271.44257892531584</v>
      </c>
      <c r="CS208">
        <v>-12.715677364783073</v>
      </c>
      <c r="CT208">
        <v>0</v>
      </c>
      <c r="CU208" s="8">
        <v>-0.21347079761326312</v>
      </c>
      <c r="CV208" s="9">
        <v>-7.9417200803756716</v>
      </c>
      <c r="CW208">
        <v>0.06</v>
      </c>
      <c r="CX208">
        <v>19.849877543035994</v>
      </c>
      <c r="CY208" t="s">
        <v>9108</v>
      </c>
      <c r="CZ208">
        <v>-0.21347079761326312</v>
      </c>
      <c r="DA208">
        <v>6.616625847678665</v>
      </c>
      <c r="DB208" t="s">
        <v>9109</v>
      </c>
      <c r="DC208">
        <v>-0.20279725773259996</v>
      </c>
      <c r="DD208">
        <v>3.3083129238393325</v>
      </c>
      <c r="DE208" t="s">
        <v>9110</v>
      </c>
      <c r="DF208">
        <v>-0.18785430189967156</v>
      </c>
      <c r="DG208">
        <v>1.9849877543035994</v>
      </c>
      <c r="DH208" t="s">
        <v>9111</v>
      </c>
      <c r="DI208">
        <v>-0.1707766380906105</v>
      </c>
      <c r="DJ208">
        <v>0.99249387715179971</v>
      </c>
      <c r="DK208" t="s">
        <v>9112</v>
      </c>
      <c r="DL208">
        <v>-0.14942955832928417</v>
      </c>
      <c r="DM208">
        <v>2556000000</v>
      </c>
      <c r="DN208">
        <v>-0.21347079761326312</v>
      </c>
      <c r="DO208">
        <v>50736287000</v>
      </c>
      <c r="DP208" t="e">
        <v>#VALUE!</v>
      </c>
      <c r="DQ208">
        <v>207</v>
      </c>
      <c r="DR208" t="e">
        <v>#VALUE!</v>
      </c>
      <c r="DS208">
        <v>7.8326200803756718</v>
      </c>
      <c r="DT208" t="e">
        <v>#VALUE!</v>
      </c>
      <c r="DU208" t="e">
        <v>#VALUE!</v>
      </c>
      <c r="DV208" t="e">
        <v>#VALUE!</v>
      </c>
      <c r="DW208">
        <v>-2.1089000000000002</v>
      </c>
      <c r="DX208">
        <v>0.3278821888388751</v>
      </c>
      <c r="DY208">
        <v>-2.0215493703645535</v>
      </c>
      <c r="DZ208">
        <v>0</v>
      </c>
      <c r="EA208">
        <v>-2.0215493703645535</v>
      </c>
      <c r="EB208">
        <v>2</v>
      </c>
      <c r="EC208">
        <v>1.5903225839050739E-2</v>
      </c>
      <c r="ED208">
        <v>8.0367137935804897E-2</v>
      </c>
      <c r="EE208">
        <v>0</v>
      </c>
      <c r="EF208">
        <v>0</v>
      </c>
      <c r="EG208">
        <v>13.197882188838875</v>
      </c>
      <c r="EH208" t="s">
        <v>110</v>
      </c>
      <c r="EI208">
        <v>0</v>
      </c>
      <c r="EJ208">
        <v>0</v>
      </c>
      <c r="EK208">
        <v>0</v>
      </c>
      <c r="EL208">
        <v>0</v>
      </c>
      <c r="EM208">
        <v>0</v>
      </c>
      <c r="EN208">
        <v>0</v>
      </c>
      <c r="EO208">
        <v>0</v>
      </c>
      <c r="EP208">
        <v>0</v>
      </c>
    </row>
    <row r="209" spans="1:146" ht="96" x14ac:dyDescent="0.25">
      <c r="A209" s="7"/>
      <c r="B209" s="7"/>
      <c r="C209" s="7" t="str">
        <f>""&amp;CHAR(10)&amp;Basic_Fundamental_Information_Constructure(F209)&amp;CHAR(10)&amp;Basic_Fundamental_Information_Concatenate("")</f>
        <v xml:space="preserve">
市值748.23274亿, 利润258.14亿; PE2.93; 平均PE17.63; 平均PEG.01, PB.22; ROIC4.7%; ROE7.9733%; 毛利9.69%; 净利2.88%; 上一年度营收增.87%, 利润增-3.01%; 当季营收增-9.1%, 利润增-3.76%; 过往5年营收增3417.35%, 利润增-25.37%
Income profile:
</v>
      </c>
      <c r="D209" s="11">
        <v>1186</v>
      </c>
      <c r="E209" t="s">
        <v>3274</v>
      </c>
      <c r="F209">
        <v>5.51</v>
      </c>
      <c r="G209" s="5">
        <v>-2.3E-2</v>
      </c>
      <c r="H209" t="s">
        <v>9113</v>
      </c>
      <c r="I209">
        <v>74823274000</v>
      </c>
      <c r="J209">
        <v>2.93</v>
      </c>
      <c r="K209">
        <v>0.22</v>
      </c>
      <c r="L209" t="s">
        <v>6350</v>
      </c>
      <c r="M209" t="s">
        <v>9114</v>
      </c>
      <c r="N209" t="s">
        <v>9115</v>
      </c>
      <c r="O209" t="s">
        <v>9116</v>
      </c>
      <c r="P209">
        <v>0.52</v>
      </c>
      <c r="Q209" t="s">
        <v>9117</v>
      </c>
      <c r="R209">
        <v>25814383000</v>
      </c>
      <c r="S209" s="5">
        <v>-3.7600000000000001E-2</v>
      </c>
      <c r="T209" t="s">
        <v>9118</v>
      </c>
      <c r="U209">
        <v>2076296000</v>
      </c>
      <c r="V209">
        <v>13579542000</v>
      </c>
      <c r="W209">
        <v>5.42</v>
      </c>
      <c r="X209">
        <v>0.16</v>
      </c>
      <c r="Y209">
        <v>3.16</v>
      </c>
      <c r="Z209" t="s">
        <v>9119</v>
      </c>
      <c r="AA209" t="s">
        <v>9120</v>
      </c>
      <c r="AB209" t="s">
        <v>2628</v>
      </c>
      <c r="AC209" t="s">
        <v>7734</v>
      </c>
      <c r="AD209" t="s">
        <v>9121</v>
      </c>
      <c r="AE209" t="s">
        <v>1415</v>
      </c>
      <c r="AF209" t="s">
        <v>9</v>
      </c>
      <c r="AG209" t="s">
        <v>3664</v>
      </c>
      <c r="AH209" t="s">
        <v>9122</v>
      </c>
      <c r="AI209" t="s">
        <v>9123</v>
      </c>
      <c r="AJ209" t="s">
        <v>9124</v>
      </c>
      <c r="AK209" t="s">
        <v>9125</v>
      </c>
      <c r="AL209" t="s">
        <v>9</v>
      </c>
      <c r="AM209" t="s">
        <v>9126</v>
      </c>
      <c r="AN209" s="5">
        <v>0.75570000000000004</v>
      </c>
      <c r="AO209" t="s">
        <v>9127</v>
      </c>
      <c r="AP209" t="s">
        <v>9128</v>
      </c>
      <c r="AQ209" t="s">
        <v>9129</v>
      </c>
      <c r="AR209" t="s">
        <v>9130</v>
      </c>
      <c r="AS209" t="s">
        <v>9131</v>
      </c>
      <c r="AT209" t="s">
        <v>9132</v>
      </c>
      <c r="AU209" t="s">
        <v>9133</v>
      </c>
      <c r="AV209" t="s">
        <v>9134</v>
      </c>
      <c r="AW209" t="s">
        <v>9135</v>
      </c>
      <c r="AX209" t="s">
        <v>3275</v>
      </c>
      <c r="AY209" t="s">
        <v>3278</v>
      </c>
      <c r="AZ209" t="s">
        <v>3279</v>
      </c>
      <c r="BA209" t="s">
        <v>3280</v>
      </c>
      <c r="BB209" t="s">
        <v>3281</v>
      </c>
      <c r="BC209" t="s">
        <v>3282</v>
      </c>
      <c r="BD209" t="s">
        <v>3283</v>
      </c>
      <c r="BE209" t="s">
        <v>3284</v>
      </c>
      <c r="BF209" t="s">
        <v>3285</v>
      </c>
      <c r="BG209" t="s">
        <v>3286</v>
      </c>
      <c r="BH209" t="s">
        <v>3275</v>
      </c>
      <c r="BI209" t="s">
        <v>3287</v>
      </c>
      <c r="BJ209" t="s">
        <v>3278</v>
      </c>
      <c r="BK209" t="s">
        <v>3276</v>
      </c>
      <c r="BL209" t="s">
        <v>3288</v>
      </c>
      <c r="BM209" t="s">
        <v>3282</v>
      </c>
      <c r="BN209">
        <v>4.3099999999999996</v>
      </c>
      <c r="BO209">
        <v>4.96</v>
      </c>
      <c r="BP209">
        <v>4.83</v>
      </c>
      <c r="BQ209">
        <v>7.6</v>
      </c>
      <c r="BR209">
        <v>8.23</v>
      </c>
      <c r="BS209">
        <v>8.09</v>
      </c>
      <c r="BT209" t="s">
        <v>9136</v>
      </c>
      <c r="BU209" t="s">
        <v>1446</v>
      </c>
      <c r="BV209">
        <v>10.06</v>
      </c>
      <c r="BW209">
        <v>9.74</v>
      </c>
      <c r="BX209">
        <v>9.27</v>
      </c>
      <c r="BY209">
        <v>2.85</v>
      </c>
      <c r="BZ209">
        <v>2.91</v>
      </c>
      <c r="CA209">
        <v>2.88</v>
      </c>
      <c r="CB209">
        <v>-1.78</v>
      </c>
      <c r="CC209">
        <v>-1.08</v>
      </c>
      <c r="CD209" t="s">
        <v>9137</v>
      </c>
      <c r="CE209" t="s">
        <v>919</v>
      </c>
      <c r="CF209" s="8">
        <v>-9.1022823330515631E-2</v>
      </c>
      <c r="CG209" s="9">
        <v>-3.7600000000000001E-2</v>
      </c>
      <c r="CH209" s="8">
        <v>8.6977994069457054E-3</v>
      </c>
      <c r="CI209" s="8">
        <v>-1.0062994435429573E-2</v>
      </c>
      <c r="CJ209" s="8">
        <v>0.15177229046821594</v>
      </c>
      <c r="CK209" s="8">
        <v>0.29982271790504456</v>
      </c>
      <c r="CL209" s="8">
        <v>1.8237952142953873E-2</v>
      </c>
      <c r="CM209" s="9">
        <v>-3.0132284387946129E-2</v>
      </c>
      <c r="CN209" s="9">
        <v>9.6346348524093628E-2</v>
      </c>
      <c r="CO209" s="9">
        <v>0.14595235884189606</v>
      </c>
      <c r="CP209" s="9">
        <v>9.0099774301052094E-2</v>
      </c>
      <c r="CQ209" s="9">
        <v>2.8090851381421089E-2</v>
      </c>
      <c r="CR209">
        <v>17.628800382586189</v>
      </c>
      <c r="CS209">
        <v>5.1586208418392069E-3</v>
      </c>
      <c r="CT209" t="e">
        <v>#VALUE!</v>
      </c>
      <c r="CU209" s="8">
        <v>34.173475669324397</v>
      </c>
      <c r="CV209" s="9">
        <v>-0.2537277489900589</v>
      </c>
      <c r="CW209">
        <v>0.06</v>
      </c>
      <c r="CX209">
        <v>1.1881269499858964</v>
      </c>
      <c r="CY209">
        <v>856573680120.69812</v>
      </c>
      <c r="CZ209">
        <v>34.173475669324397</v>
      </c>
      <c r="DA209">
        <v>1.21327710487473E-3</v>
      </c>
      <c r="DB209">
        <v>838817669855460.37</v>
      </c>
      <c r="DC209">
        <v>32.464801885858172</v>
      </c>
      <c r="DD209">
        <v>6.0015445521979075E-8</v>
      </c>
      <c r="DE209">
        <v>1.6957605915418681E+19</v>
      </c>
      <c r="DF209">
        <v>30.072658589005471</v>
      </c>
      <c r="DG209">
        <v>2.0345254859305455E-13</v>
      </c>
      <c r="DH209">
        <v>5.0022390038260883E+24</v>
      </c>
      <c r="DI209">
        <v>27.33878053545952</v>
      </c>
      <c r="DJ209">
        <v>1.4175972925908825E-26</v>
      </c>
      <c r="DK209">
        <v>7.1791776079083742E+37</v>
      </c>
      <c r="DL209">
        <v>23.921432968527075</v>
      </c>
      <c r="DM209">
        <v>25814000000</v>
      </c>
      <c r="DN209">
        <v>34.173475669324397</v>
      </c>
      <c r="DO209">
        <v>1017718274000</v>
      </c>
      <c r="DP209" t="e">
        <v>#VALUE!</v>
      </c>
      <c r="DQ209">
        <v>208</v>
      </c>
      <c r="DR209">
        <v>-34.264498492654916</v>
      </c>
      <c r="DS209">
        <v>0.2161277489900589</v>
      </c>
      <c r="DT209">
        <v>0.21000000000000005</v>
      </c>
      <c r="DU209">
        <v>3.333333333333325E-2</v>
      </c>
      <c r="DV209">
        <v>0.24333333333333329</v>
      </c>
      <c r="DW209">
        <v>-1.0800000000000001E-2</v>
      </c>
      <c r="DX209">
        <v>0.48855014577259598</v>
      </c>
      <c r="DY209">
        <v>-1.6043415743440235E-3</v>
      </c>
      <c r="DZ209">
        <v>0</v>
      </c>
      <c r="EA209">
        <v>-1.6043415743440235E-3</v>
      </c>
      <c r="EB209">
        <v>0</v>
      </c>
      <c r="EC209">
        <v>3.7521663101745262E-3</v>
      </c>
      <c r="ED209">
        <v>2.5258583831472371E-2</v>
      </c>
      <c r="EE209">
        <v>0</v>
      </c>
      <c r="EF209">
        <v>0</v>
      </c>
      <c r="EG209">
        <v>34.148550145772596</v>
      </c>
      <c r="EH209" t="s">
        <v>110</v>
      </c>
      <c r="EI209">
        <v>0</v>
      </c>
      <c r="EJ209">
        <v>0</v>
      </c>
      <c r="EK209">
        <v>0</v>
      </c>
      <c r="EL209">
        <v>0</v>
      </c>
      <c r="EM209">
        <v>0</v>
      </c>
      <c r="EN209">
        <v>0</v>
      </c>
      <c r="EO209">
        <v>0</v>
      </c>
      <c r="EP209">
        <v>0</v>
      </c>
    </row>
    <row r="210" spans="1:146" ht="96" x14ac:dyDescent="0.25">
      <c r="A210" s="7"/>
      <c r="B210" s="7"/>
      <c r="C210" s="7" t="str">
        <f>""&amp;CHAR(10)&amp;Basic_Fundamental_Information_Constructure(F210)&amp;CHAR(10)&amp;Basic_Fundamental_Information_Concatenate("")</f>
        <v xml:space="preserve">
市值627.09749亿, 利润52.24亿; PE12; 平均PE26.54; 平均PEG4.25, PB1.54; ROIC10.5133%; ROE13.4467%; 股利率0%; 毛利20.2633%; 净利8.1533%; 上一年度营收增7.35%, 利润增-18.31%, 利润增10.36%; 过往5年营收增6.25%, 利润增-5.07%
Income profile:
</v>
      </c>
      <c r="D210" s="11">
        <v>1193</v>
      </c>
      <c r="E210" t="s">
        <v>3289</v>
      </c>
      <c r="F210">
        <v>27.1</v>
      </c>
      <c r="G210" s="5">
        <v>-7.3000000000000001E-3</v>
      </c>
      <c r="H210" t="s">
        <v>9138</v>
      </c>
      <c r="I210">
        <v>62709749000</v>
      </c>
      <c r="J210">
        <v>12</v>
      </c>
      <c r="K210">
        <v>1.54</v>
      </c>
      <c r="L210" t="s">
        <v>6350</v>
      </c>
      <c r="M210" t="s">
        <v>9</v>
      </c>
      <c r="N210" t="s">
        <v>9</v>
      </c>
      <c r="O210" t="s">
        <v>9</v>
      </c>
      <c r="P210" t="s">
        <v>9</v>
      </c>
      <c r="Q210" t="s">
        <v>9139</v>
      </c>
      <c r="R210">
        <v>5223705000</v>
      </c>
      <c r="S210" s="5">
        <v>0.1036</v>
      </c>
      <c r="T210" t="s">
        <v>9140</v>
      </c>
      <c r="U210">
        <v>2314012900</v>
      </c>
      <c r="V210">
        <v>2314012900</v>
      </c>
      <c r="W210" t="s">
        <v>9</v>
      </c>
      <c r="X210" t="s">
        <v>9</v>
      </c>
      <c r="Y210" t="s">
        <v>9</v>
      </c>
      <c r="Z210" t="s">
        <v>9</v>
      </c>
      <c r="AA210" t="s">
        <v>9</v>
      </c>
      <c r="AB210" t="s">
        <v>9</v>
      </c>
      <c r="AC210" t="s">
        <v>9</v>
      </c>
      <c r="AD210" t="s">
        <v>9</v>
      </c>
      <c r="AE210" t="s">
        <v>9</v>
      </c>
      <c r="AF210" t="s">
        <v>9</v>
      </c>
      <c r="AG210" t="s">
        <v>9</v>
      </c>
      <c r="AH210" t="s">
        <v>9141</v>
      </c>
      <c r="AI210" t="s">
        <v>9</v>
      </c>
      <c r="AJ210" t="s">
        <v>9</v>
      </c>
      <c r="AK210" t="s">
        <v>9142</v>
      </c>
      <c r="AL210" t="s">
        <v>9</v>
      </c>
      <c r="AM210" t="s">
        <v>9</v>
      </c>
      <c r="AN210" s="5">
        <v>0.5403</v>
      </c>
      <c r="AO210" t="s">
        <v>9</v>
      </c>
      <c r="AP210" t="s">
        <v>9143</v>
      </c>
      <c r="AQ210" t="s">
        <v>9</v>
      </c>
      <c r="AR210" t="s">
        <v>9144</v>
      </c>
      <c r="AS210" t="s">
        <v>9</v>
      </c>
      <c r="AT210" t="s">
        <v>9</v>
      </c>
      <c r="AU210" t="s">
        <v>3915</v>
      </c>
      <c r="AV210" t="s">
        <v>9145</v>
      </c>
      <c r="AW210" t="s">
        <v>9</v>
      </c>
      <c r="AX210" t="s">
        <v>3290</v>
      </c>
      <c r="AY210" t="s">
        <v>3291</v>
      </c>
      <c r="AZ210" t="s">
        <v>3292</v>
      </c>
      <c r="BA210" t="s">
        <v>3293</v>
      </c>
      <c r="BB210" t="s">
        <v>3294</v>
      </c>
      <c r="BC210" t="s">
        <v>3295</v>
      </c>
      <c r="BD210" t="s">
        <v>770</v>
      </c>
      <c r="BE210" t="s">
        <v>2407</v>
      </c>
      <c r="BF210" t="s">
        <v>3296</v>
      </c>
      <c r="BG210" t="s">
        <v>3297</v>
      </c>
      <c r="BH210" t="s">
        <v>3290</v>
      </c>
      <c r="BI210" t="s">
        <v>9</v>
      </c>
      <c r="BJ210" t="s">
        <v>3291</v>
      </c>
      <c r="BK210" t="s">
        <v>225</v>
      </c>
      <c r="BL210" t="s">
        <v>9</v>
      </c>
      <c r="BM210" t="s">
        <v>3295</v>
      </c>
      <c r="BN210">
        <v>8.67</v>
      </c>
      <c r="BO210">
        <v>9.0299999999999994</v>
      </c>
      <c r="BP210">
        <v>13.84</v>
      </c>
      <c r="BQ210">
        <v>12.81</v>
      </c>
      <c r="BR210">
        <v>12.03</v>
      </c>
      <c r="BS210">
        <v>15.5</v>
      </c>
      <c r="BT210" t="s">
        <v>9146</v>
      </c>
      <c r="BU210" t="s">
        <v>392</v>
      </c>
      <c r="BV210">
        <v>18.22</v>
      </c>
      <c r="BW210">
        <v>19.170000000000002</v>
      </c>
      <c r="BX210">
        <v>23.4</v>
      </c>
      <c r="BY210">
        <v>6.97</v>
      </c>
      <c r="BZ210">
        <v>6.69</v>
      </c>
      <c r="CA210">
        <v>10.8</v>
      </c>
      <c r="CB210">
        <v>-5.9</v>
      </c>
      <c r="CC210">
        <v>3.07</v>
      </c>
      <c r="CD210" t="s">
        <v>9147</v>
      </c>
      <c r="CE210" t="s">
        <v>35</v>
      </c>
      <c r="CF210" s="8" t="s">
        <v>9</v>
      </c>
      <c r="CG210" s="9">
        <v>0.1036</v>
      </c>
      <c r="CH210" s="8">
        <v>7.3501706123352051E-2</v>
      </c>
      <c r="CI210" s="8">
        <v>0.18452571332454681</v>
      </c>
      <c r="CJ210" s="8">
        <v>0.42564085125923157</v>
      </c>
      <c r="CK210" s="8">
        <v>9.1840140521526337E-2</v>
      </c>
      <c r="CL210" s="8">
        <v>0.28432655334472656</v>
      </c>
      <c r="CM210" s="9">
        <v>-0.18311178684234619</v>
      </c>
      <c r="CN210" s="9">
        <v>0.24150645732879639</v>
      </c>
      <c r="CO210" s="9">
        <v>2.1415876224637032E-2</v>
      </c>
      <c r="CP210" s="9">
        <v>0.13325841724872589</v>
      </c>
      <c r="CQ210" s="9">
        <v>0.21784338355064392</v>
      </c>
      <c r="CR210">
        <v>26.540064470621427</v>
      </c>
      <c r="CS210">
        <v>4.2482662902478943</v>
      </c>
      <c r="CT210">
        <v>0</v>
      </c>
      <c r="CU210" s="8">
        <v>6.2472695112228395E-2</v>
      </c>
      <c r="CV210" s="9">
        <v>-5.0687290728092194E-2</v>
      </c>
      <c r="CW210">
        <v>0.06</v>
      </c>
      <c r="CX210">
        <v>11.976225968409933</v>
      </c>
      <c r="CY210">
        <v>5236186187.9870567</v>
      </c>
      <c r="CZ210">
        <v>6.2472695112228395E-2</v>
      </c>
      <c r="DA210">
        <v>4.0063062447701414</v>
      </c>
      <c r="DB210">
        <v>15652759716.474926</v>
      </c>
      <c r="DC210">
        <v>5.9349060356616974E-2</v>
      </c>
      <c r="DD210">
        <v>2.0341730130526043</v>
      </c>
      <c r="DE210">
        <v>30828129464.707584</v>
      </c>
      <c r="DF210">
        <v>5.4975971698760985E-2</v>
      </c>
      <c r="DG210">
        <v>1.2643317641234826</v>
      </c>
      <c r="DH210">
        <v>49599124833.72155</v>
      </c>
      <c r="DI210">
        <v>4.9978156089782719E-2</v>
      </c>
      <c r="DJ210">
        <v>0.7032470649143604</v>
      </c>
      <c r="DK210">
        <v>89171718061.328323</v>
      </c>
      <c r="DL210">
        <v>4.3730886578559877E-2</v>
      </c>
      <c r="DM210">
        <v>5224000000</v>
      </c>
      <c r="DN210">
        <v>6.2472695112228395E-2</v>
      </c>
      <c r="DO210">
        <v>62709749000</v>
      </c>
      <c r="DP210" t="e">
        <v>#VALUE!</v>
      </c>
      <c r="DQ210">
        <v>209</v>
      </c>
      <c r="DR210" t="e">
        <v>#VALUE!</v>
      </c>
      <c r="DS210">
        <v>0.15428729072809219</v>
      </c>
      <c r="DT210" t="e">
        <v>#VALUE!</v>
      </c>
      <c r="DU210" t="e">
        <v>#VALUE!</v>
      </c>
      <c r="DV210" t="e">
        <v>#VALUE!</v>
      </c>
      <c r="DW210">
        <v>-4.5203389830508476</v>
      </c>
      <c r="DX210">
        <v>0.30139885057471388</v>
      </c>
      <c r="DY210">
        <v>-4.0631685544515879</v>
      </c>
      <c r="DZ210">
        <v>0</v>
      </c>
      <c r="EA210">
        <v>-4.0631685544515879</v>
      </c>
      <c r="EB210">
        <v>4</v>
      </c>
      <c r="EC210">
        <v>9.1284711507010185E-3</v>
      </c>
      <c r="ED210">
        <v>7.5194049263943172E-2</v>
      </c>
      <c r="EE210">
        <v>0</v>
      </c>
      <c r="EF210">
        <v>0</v>
      </c>
      <c r="EG210">
        <v>18.121398850574714</v>
      </c>
      <c r="EH210" t="s">
        <v>110</v>
      </c>
      <c r="EI210">
        <v>0</v>
      </c>
      <c r="EJ210">
        <v>0</v>
      </c>
      <c r="EK210">
        <v>0</v>
      </c>
      <c r="EL210">
        <v>0</v>
      </c>
      <c r="EM210">
        <v>0</v>
      </c>
      <c r="EN210">
        <v>0</v>
      </c>
      <c r="EO210">
        <v>0</v>
      </c>
      <c r="EP210">
        <v>0</v>
      </c>
    </row>
    <row r="211" spans="1:146" ht="96" x14ac:dyDescent="0.25">
      <c r="A211" s="7"/>
      <c r="B211" s="7"/>
      <c r="C211" s="7" t="str">
        <f>""&amp;CHAR(10)&amp;Basic_Fundamental_Information_Constructure(F211)&amp;CHAR(10)&amp;Basic_Fundamental_Information_Concatenate("")</f>
        <v xml:space="preserve">
市值76.933908亿, 利润7668.90万; PE100.3; 平均PE-26.19; 平均PEG-2.56, PB2.14; ROIC.7167%; ROE2.7567%; 毛利28.8833%; 净利21.7767%; 上一年度营收增-33.19%, 利润增-37.14%, 利润增-32.01%; 过往5年营收增-10.24%, 利润增-141.12%
Income profile:
</v>
      </c>
      <c r="D211" s="11">
        <v>1196</v>
      </c>
      <c r="E211" t="s">
        <v>3298</v>
      </c>
      <c r="F211">
        <v>5.34</v>
      </c>
      <c r="G211" s="5">
        <v>-1.9E-3</v>
      </c>
      <c r="H211" t="s">
        <v>9148</v>
      </c>
      <c r="I211">
        <v>7693390800</v>
      </c>
      <c r="J211">
        <v>100.3</v>
      </c>
      <c r="K211">
        <v>2.14</v>
      </c>
      <c r="L211" t="s">
        <v>6350</v>
      </c>
      <c r="M211" t="s">
        <v>9</v>
      </c>
      <c r="N211" t="s">
        <v>9</v>
      </c>
      <c r="O211" t="s">
        <v>9</v>
      </c>
      <c r="P211" t="s">
        <v>9</v>
      </c>
      <c r="Q211" t="s">
        <v>1600</v>
      </c>
      <c r="R211">
        <v>76689000</v>
      </c>
      <c r="S211" s="5">
        <v>-0.3201</v>
      </c>
      <c r="T211" t="s">
        <v>9149</v>
      </c>
      <c r="U211">
        <v>1440709900</v>
      </c>
      <c r="V211">
        <v>1440709900</v>
      </c>
      <c r="W211" t="s">
        <v>9</v>
      </c>
      <c r="X211" t="s">
        <v>9</v>
      </c>
      <c r="Y211" t="s">
        <v>9</v>
      </c>
      <c r="Z211" t="s">
        <v>9</v>
      </c>
      <c r="AA211" t="s">
        <v>9</v>
      </c>
      <c r="AB211" t="s">
        <v>9</v>
      </c>
      <c r="AC211" t="s">
        <v>9</v>
      </c>
      <c r="AD211" t="s">
        <v>9</v>
      </c>
      <c r="AE211" t="s">
        <v>9</v>
      </c>
      <c r="AF211" t="s">
        <v>9</v>
      </c>
      <c r="AG211" t="s">
        <v>9</v>
      </c>
      <c r="AH211" t="s">
        <v>9150</v>
      </c>
      <c r="AI211" t="s">
        <v>9</v>
      </c>
      <c r="AJ211" t="s">
        <v>9</v>
      </c>
      <c r="AK211" t="s">
        <v>9151</v>
      </c>
      <c r="AL211" t="s">
        <v>9</v>
      </c>
      <c r="AM211" t="s">
        <v>9</v>
      </c>
      <c r="AN211" s="5">
        <v>0.75109999999999999</v>
      </c>
      <c r="AO211" t="s">
        <v>9</v>
      </c>
      <c r="AP211" t="s">
        <v>9152</v>
      </c>
      <c r="AQ211" t="s">
        <v>9</v>
      </c>
      <c r="AR211" t="s">
        <v>7545</v>
      </c>
      <c r="AS211" t="s">
        <v>9</v>
      </c>
      <c r="AT211" t="s">
        <v>9</v>
      </c>
      <c r="AU211" t="s">
        <v>9153</v>
      </c>
      <c r="AV211" t="s">
        <v>9154</v>
      </c>
      <c r="AW211" t="s">
        <v>9</v>
      </c>
      <c r="AX211" t="s">
        <v>79</v>
      </c>
      <c r="AY211" t="s">
        <v>2066</v>
      </c>
      <c r="AZ211" t="s">
        <v>3299</v>
      </c>
      <c r="BA211" t="s">
        <v>3301</v>
      </c>
      <c r="BB211" t="s">
        <v>1741</v>
      </c>
      <c r="BC211" t="s">
        <v>30</v>
      </c>
      <c r="BD211" t="s">
        <v>3302</v>
      </c>
      <c r="BE211" t="s">
        <v>3303</v>
      </c>
      <c r="BF211" t="s">
        <v>186</v>
      </c>
      <c r="BG211" t="s">
        <v>3304</v>
      </c>
      <c r="BH211" t="s">
        <v>79</v>
      </c>
      <c r="BI211" t="s">
        <v>9</v>
      </c>
      <c r="BJ211" t="s">
        <v>2066</v>
      </c>
      <c r="BK211" t="s">
        <v>212</v>
      </c>
      <c r="BL211" t="s">
        <v>9</v>
      </c>
      <c r="BM211" t="s">
        <v>30</v>
      </c>
      <c r="BN211">
        <v>0.47</v>
      </c>
      <c r="BO211">
        <v>0.81</v>
      </c>
      <c r="BP211">
        <v>0.87</v>
      </c>
      <c r="BQ211">
        <v>2.13</v>
      </c>
      <c r="BR211">
        <v>3.18</v>
      </c>
      <c r="BS211">
        <v>2.96</v>
      </c>
      <c r="BT211" t="s">
        <v>3305</v>
      </c>
      <c r="BU211" t="s">
        <v>589</v>
      </c>
      <c r="BV211">
        <v>39.85</v>
      </c>
      <c r="BW211">
        <v>23.97</v>
      </c>
      <c r="BX211">
        <v>22.83</v>
      </c>
      <c r="BY211">
        <v>5.15</v>
      </c>
      <c r="BZ211">
        <v>50.48</v>
      </c>
      <c r="CA211">
        <v>9.6999999999999993</v>
      </c>
      <c r="CB211">
        <v>0</v>
      </c>
      <c r="CC211">
        <v>-0.74</v>
      </c>
      <c r="CD211" t="s">
        <v>9155</v>
      </c>
      <c r="CE211" t="s">
        <v>9156</v>
      </c>
      <c r="CF211" s="8" t="s">
        <v>9</v>
      </c>
      <c r="CG211" s="9">
        <v>-0.3201</v>
      </c>
      <c r="CH211" s="8">
        <v>-0.3319433331489563</v>
      </c>
      <c r="CI211" s="8">
        <v>3.3472802024334669E-3</v>
      </c>
      <c r="CJ211" s="8">
        <v>0.37514391541481018</v>
      </c>
      <c r="CK211" s="8">
        <v>7.1516647934913635E-2</v>
      </c>
      <c r="CL211" s="8">
        <v>6.29095658659935E-2</v>
      </c>
      <c r="CM211" s="9">
        <v>-0.37140163779258728</v>
      </c>
      <c r="CN211" s="9">
        <v>-0.86214691400527954</v>
      </c>
      <c r="CO211" s="9">
        <v>3.127403736114502</v>
      </c>
      <c r="CP211" s="9">
        <v>-2.146005392074585</v>
      </c>
      <c r="CQ211" s="9">
        <v>2.8925943374633789</v>
      </c>
      <c r="CR211">
        <v>-26.19307534254737</v>
      </c>
      <c r="CS211">
        <v>-2.5580405865381639</v>
      </c>
      <c r="CT211" t="e">
        <v>#VALUE!</v>
      </c>
      <c r="CU211" s="8">
        <v>-0.10239507332444191</v>
      </c>
      <c r="CV211" s="9">
        <v>-1.4111741364002228</v>
      </c>
      <c r="CW211">
        <v>0.06</v>
      </c>
      <c r="CX211">
        <v>100.31935218871024</v>
      </c>
      <c r="CY211" t="s">
        <v>9157</v>
      </c>
      <c r="CZ211">
        <v>-0.10239507332444191</v>
      </c>
      <c r="DA211">
        <v>33.439784062903414</v>
      </c>
      <c r="DB211" t="s">
        <v>9158</v>
      </c>
      <c r="DC211">
        <v>-9.7275319658219811E-2</v>
      </c>
      <c r="DD211">
        <v>16.719892031451707</v>
      </c>
      <c r="DE211" t="s">
        <v>9159</v>
      </c>
      <c r="DF211">
        <v>-9.0107664525508877E-2</v>
      </c>
      <c r="DG211">
        <v>10.031935218871025</v>
      </c>
      <c r="DH211" t="s">
        <v>9160</v>
      </c>
      <c r="DI211">
        <v>-8.1916058659553537E-2</v>
      </c>
      <c r="DJ211">
        <v>5.0159676094355126</v>
      </c>
      <c r="DK211" t="s">
        <v>9161</v>
      </c>
      <c r="DL211">
        <v>-7.1676551327109331E-2</v>
      </c>
      <c r="DM211">
        <v>76689000</v>
      </c>
      <c r="DN211">
        <v>-0.10239507332444191</v>
      </c>
      <c r="DO211">
        <v>7693390800</v>
      </c>
      <c r="DP211" t="e">
        <v>#VALUE!</v>
      </c>
      <c r="DQ211">
        <v>210</v>
      </c>
      <c r="DR211" t="e">
        <v>#VALUE!</v>
      </c>
      <c r="DS211">
        <v>1.0910741364002228</v>
      </c>
      <c r="DT211" t="e">
        <v>#VALUE!</v>
      </c>
      <c r="DU211" t="e">
        <v>#VALUE!</v>
      </c>
      <c r="DV211" t="e">
        <v>#VALUE!</v>
      </c>
      <c r="DW211">
        <v>-7.4000000000000003E-3</v>
      </c>
      <c r="DX211">
        <v>0.34435320584926832</v>
      </c>
      <c r="DY211">
        <v>-1.2902137232845895E-3</v>
      </c>
      <c r="DZ211">
        <v>0</v>
      </c>
      <c r="EA211">
        <v>-1.2902137232845895E-3</v>
      </c>
      <c r="EB211">
        <v>0</v>
      </c>
      <c r="EC211">
        <v>5.5083955486111393E-3</v>
      </c>
      <c r="ED211">
        <v>3.1593313823969696E-2</v>
      </c>
      <c r="EE211">
        <v>0</v>
      </c>
      <c r="EF211">
        <v>0</v>
      </c>
      <c r="EG211">
        <v>17.174353205849268</v>
      </c>
      <c r="EH211" t="s">
        <v>110</v>
      </c>
      <c r="EI211">
        <v>0</v>
      </c>
      <c r="EJ211">
        <v>0</v>
      </c>
      <c r="EK211">
        <v>0</v>
      </c>
      <c r="EL211">
        <v>0</v>
      </c>
      <c r="EM211">
        <v>0</v>
      </c>
      <c r="EN211">
        <v>0</v>
      </c>
      <c r="EO211">
        <v>0</v>
      </c>
      <c r="EP211">
        <v>0</v>
      </c>
    </row>
    <row r="212" spans="1:146" ht="96" x14ac:dyDescent="0.25">
      <c r="A212" s="7"/>
      <c r="B212" s="7"/>
      <c r="C212" s="7" t="str">
        <f>""&amp;CHAR(10)&amp;Basic_Fundamental_Information_Constructure(F212)&amp;CHAR(10)&amp;Basic_Fundamental_Information_Concatenate("")</f>
        <v xml:space="preserve">
市值193.52812亿, 利润25.35亿; PE7.63; 平均PE43.37; 平均PEG4.2, PB.431; ROIC3.7267%; ROE5.75%; 股利率0%; 毛利28.5533%; 净利29.2267%; 上一年度营收增.95%, 利润增-8.35%; 当季营收增.85%, 利润增.24%; 过往5年营收增10.33%, 利润增294.8%
Income profile:
</v>
      </c>
      <c r="D212" s="11">
        <v>1199</v>
      </c>
      <c r="E212" t="s">
        <v>3306</v>
      </c>
      <c r="F212">
        <v>5.27</v>
      </c>
      <c r="G212" s="5">
        <v>-3.3000000000000002E-2</v>
      </c>
      <c r="H212" t="s">
        <v>9162</v>
      </c>
      <c r="I212">
        <v>19352812000</v>
      </c>
      <c r="J212">
        <v>7.63</v>
      </c>
      <c r="K212">
        <v>0.43099999999999999</v>
      </c>
      <c r="L212" t="s">
        <v>6350</v>
      </c>
      <c r="M212" t="s">
        <v>9163</v>
      </c>
      <c r="N212" t="s">
        <v>9164</v>
      </c>
      <c r="O212" t="s">
        <v>9165</v>
      </c>
      <c r="P212">
        <v>1.43</v>
      </c>
      <c r="Q212" t="s">
        <v>9166</v>
      </c>
      <c r="R212">
        <v>2535114700</v>
      </c>
      <c r="S212" s="5">
        <v>2.3500000000000001E-3</v>
      </c>
      <c r="T212" t="s">
        <v>5091</v>
      </c>
      <c r="U212">
        <v>3563579100</v>
      </c>
      <c r="V212">
        <v>3563579100</v>
      </c>
      <c r="W212">
        <v>2.06</v>
      </c>
      <c r="X212">
        <v>0.03</v>
      </c>
      <c r="Y212">
        <v>4.71</v>
      </c>
      <c r="Z212" t="s">
        <v>898</v>
      </c>
      <c r="AA212" t="s">
        <v>3485</v>
      </c>
      <c r="AB212" t="s">
        <v>9</v>
      </c>
      <c r="AC212" t="s">
        <v>671</v>
      </c>
      <c r="AD212" t="s">
        <v>9</v>
      </c>
      <c r="AE212" t="s">
        <v>736</v>
      </c>
      <c r="AF212" t="s">
        <v>9</v>
      </c>
      <c r="AG212" t="s">
        <v>9167</v>
      </c>
      <c r="AH212" t="s">
        <v>9168</v>
      </c>
      <c r="AI212" t="s">
        <v>4425</v>
      </c>
      <c r="AJ212" t="s">
        <v>9</v>
      </c>
      <c r="AK212" t="s">
        <v>9169</v>
      </c>
      <c r="AL212" t="s">
        <v>9</v>
      </c>
      <c r="AM212" t="s">
        <v>9170</v>
      </c>
      <c r="AN212" s="5">
        <v>0.42459999999999998</v>
      </c>
      <c r="AO212" t="s">
        <v>579</v>
      </c>
      <c r="AP212" t="s">
        <v>9</v>
      </c>
      <c r="AQ212" t="s">
        <v>9</v>
      </c>
      <c r="AR212" t="s">
        <v>9171</v>
      </c>
      <c r="AS212" t="s">
        <v>9172</v>
      </c>
      <c r="AT212" t="s">
        <v>9173</v>
      </c>
      <c r="AU212" t="s">
        <v>3982</v>
      </c>
      <c r="AV212" t="s">
        <v>1817</v>
      </c>
      <c r="AW212" t="s">
        <v>9</v>
      </c>
      <c r="AX212" t="s">
        <v>3307</v>
      </c>
      <c r="AY212" t="s">
        <v>3309</v>
      </c>
      <c r="AZ212" t="s">
        <v>3310</v>
      </c>
      <c r="BA212" t="s">
        <v>3311</v>
      </c>
      <c r="BB212" t="s">
        <v>3312</v>
      </c>
      <c r="BC212" t="s">
        <v>3313</v>
      </c>
      <c r="BD212" t="s">
        <v>3314</v>
      </c>
      <c r="BE212" t="s">
        <v>3315</v>
      </c>
      <c r="BF212" t="s">
        <v>3316</v>
      </c>
      <c r="BG212" t="s">
        <v>3317</v>
      </c>
      <c r="BH212" t="s">
        <v>3307</v>
      </c>
      <c r="BI212" t="s">
        <v>2145</v>
      </c>
      <c r="BJ212" t="s">
        <v>3309</v>
      </c>
      <c r="BK212" t="s">
        <v>3308</v>
      </c>
      <c r="BL212" t="s">
        <v>1563</v>
      </c>
      <c r="BM212" t="s">
        <v>3313</v>
      </c>
      <c r="BN212">
        <v>3.71</v>
      </c>
      <c r="BO212">
        <v>3.47</v>
      </c>
      <c r="BP212">
        <v>4</v>
      </c>
      <c r="BQ212">
        <v>5.62</v>
      </c>
      <c r="BR212">
        <v>5.53</v>
      </c>
      <c r="BS212">
        <v>6.1</v>
      </c>
      <c r="BT212" t="s">
        <v>9174</v>
      </c>
      <c r="BU212" t="s">
        <v>687</v>
      </c>
      <c r="BV212">
        <v>28.94</v>
      </c>
      <c r="BW212">
        <v>29.81</v>
      </c>
      <c r="BX212">
        <v>26.91</v>
      </c>
      <c r="BY212">
        <v>27.11</v>
      </c>
      <c r="BZ212">
        <v>26.98</v>
      </c>
      <c r="CA212">
        <v>33.590000000000003</v>
      </c>
      <c r="CB212">
        <v>-2.41</v>
      </c>
      <c r="CC212">
        <v>-0.75</v>
      </c>
      <c r="CD212" t="s">
        <v>9175</v>
      </c>
      <c r="CE212" t="s">
        <v>2110</v>
      </c>
      <c r="CF212" s="8">
        <v>8.5205267234701784E-3</v>
      </c>
      <c r="CG212" s="9">
        <v>2.3500000000000001E-3</v>
      </c>
      <c r="CH212" s="8">
        <v>9.5085585489869118E-3</v>
      </c>
      <c r="CI212" s="8">
        <v>0.19433242082595825</v>
      </c>
      <c r="CJ212" s="8">
        <v>0.21448826789855957</v>
      </c>
      <c r="CK212" s="8">
        <v>-1.0080396197736263E-2</v>
      </c>
      <c r="CL212" s="8">
        <v>0.5800403356552124</v>
      </c>
      <c r="CM212" s="9">
        <v>-8.3514116704463959E-2</v>
      </c>
      <c r="CN212" s="9">
        <v>2.6726055890321732E-2</v>
      </c>
      <c r="CO212" s="9">
        <v>0.122967928647995</v>
      </c>
      <c r="CP212" s="9">
        <v>-5.6626029312610626E-2</v>
      </c>
      <c r="CQ212" s="9">
        <v>-0.36488509178161621</v>
      </c>
      <c r="CR212">
        <v>43.370099932825333</v>
      </c>
      <c r="CS212">
        <v>4.1998574799884958</v>
      </c>
      <c r="CT212">
        <v>0</v>
      </c>
      <c r="CU212" s="8">
        <v>0.10326564684510231</v>
      </c>
      <c r="CV212" s="9">
        <v>2.9480279996991157</v>
      </c>
      <c r="CW212">
        <v>0.06</v>
      </c>
      <c r="CX212">
        <v>2.0397471211551723</v>
      </c>
      <c r="CY212">
        <v>2638470202.5965414</v>
      </c>
      <c r="CZ212">
        <v>0.10326564684510231</v>
      </c>
      <c r="DA212">
        <v>0.6591357393155759</v>
      </c>
      <c r="DB212">
        <v>8164952496.1099672</v>
      </c>
      <c r="DC212">
        <v>9.8102364502847192E-2</v>
      </c>
      <c r="DD212">
        <v>0.3196223759172403</v>
      </c>
      <c r="DE212">
        <v>16838032645.72913</v>
      </c>
      <c r="DF212">
        <v>9.0873769223690032E-2</v>
      </c>
      <c r="DG212">
        <v>0.1886831748038206</v>
      </c>
      <c r="DH212">
        <v>28523009566.675072</v>
      </c>
      <c r="DI212">
        <v>8.2612517476081851E-2</v>
      </c>
      <c r="DJ212">
        <v>9.3845243865170486E-2</v>
      </c>
      <c r="DK212">
        <v>57347733122.545532</v>
      </c>
      <c r="DL212">
        <v>7.2285952791571614E-2</v>
      </c>
      <c r="DM212">
        <v>2535000000</v>
      </c>
      <c r="DN212">
        <v>0.10326564684510231</v>
      </c>
      <c r="DO212">
        <v>5381812000</v>
      </c>
      <c r="DP212" t="e">
        <v>#VALUE!</v>
      </c>
      <c r="DQ212">
        <v>211</v>
      </c>
      <c r="DR212">
        <v>-9.4745120121632137E-2</v>
      </c>
      <c r="DS212">
        <v>-2.9456779996991158</v>
      </c>
      <c r="DT212">
        <v>-0.3066666666666667</v>
      </c>
      <c r="DU212">
        <v>1.3185</v>
      </c>
      <c r="DV212">
        <v>1.0118333333333334</v>
      </c>
      <c r="DW212">
        <v>-7.4999999999999997E-3</v>
      </c>
      <c r="DX212">
        <v>0.1909686182669787</v>
      </c>
      <c r="DY212">
        <v>-8.3226463700234181E-4</v>
      </c>
      <c r="DZ212">
        <v>0</v>
      </c>
      <c r="EA212">
        <v>-8.3226463700234181E-4</v>
      </c>
      <c r="EB212">
        <v>0</v>
      </c>
      <c r="EC212">
        <v>1.3296632029298859E-2</v>
      </c>
      <c r="ED212">
        <v>0.1198233539982317</v>
      </c>
      <c r="EE212">
        <v>0</v>
      </c>
      <c r="EF212">
        <v>0</v>
      </c>
      <c r="EG212">
        <v>8.1109686182669787</v>
      </c>
      <c r="EH212" t="s">
        <v>110</v>
      </c>
      <c r="EI212">
        <v>0</v>
      </c>
      <c r="EJ212">
        <v>0</v>
      </c>
      <c r="EK212">
        <v>0</v>
      </c>
      <c r="EL212">
        <v>0</v>
      </c>
      <c r="EM212">
        <v>0</v>
      </c>
      <c r="EN212">
        <v>0</v>
      </c>
      <c r="EO212">
        <v>0</v>
      </c>
      <c r="EP212">
        <v>0</v>
      </c>
    </row>
    <row r="213" spans="1:146" ht="96" x14ac:dyDescent="0.25">
      <c r="A213" s="7"/>
      <c r="B213" s="7"/>
      <c r="C213" s="7" t="str">
        <f>""&amp;CHAR(10)&amp;Basic_Fundamental_Information_Constructure(F213)&amp;CHAR(10)&amp;Basic_Fundamental_Information_Concatenate("")</f>
        <v xml:space="preserve">
市值352.9543亿, 利润7029.90万; PE502.1; 平均PE-871.18; 平均PEG-4034.56, PB2.13; ROIC3.4933%; ROE14.3467%; 股利率0%; 毛利100%; 净利10.64%; 上一年度营收增33.62%, 利润增-98.65%, 利润增-94.78%; 过往5年营收增-.22%, 利润增-154.62%
Income profile:
</v>
      </c>
      <c r="D213" s="11">
        <v>1208</v>
      </c>
      <c r="E213" t="s">
        <v>3319</v>
      </c>
      <c r="F213">
        <v>2.91</v>
      </c>
      <c r="G213" s="5">
        <v>-5.5199999999999999E-2</v>
      </c>
      <c r="H213" t="s">
        <v>9176</v>
      </c>
      <c r="I213">
        <v>35295430000</v>
      </c>
      <c r="J213">
        <v>502.1</v>
      </c>
      <c r="K213">
        <v>2.13</v>
      </c>
      <c r="L213" t="s">
        <v>6350</v>
      </c>
      <c r="M213" t="s">
        <v>9</v>
      </c>
      <c r="N213" t="s">
        <v>9</v>
      </c>
      <c r="O213" t="s">
        <v>9</v>
      </c>
      <c r="P213" t="s">
        <v>9</v>
      </c>
      <c r="Q213" t="s">
        <v>9177</v>
      </c>
      <c r="R213">
        <v>70299000</v>
      </c>
      <c r="S213" s="5">
        <v>-0.94779999999999998</v>
      </c>
      <c r="T213" t="s">
        <v>9178</v>
      </c>
      <c r="U213">
        <v>8656047200</v>
      </c>
      <c r="V213">
        <v>8656047200</v>
      </c>
      <c r="W213" t="s">
        <v>9</v>
      </c>
      <c r="X213" t="s">
        <v>9</v>
      </c>
      <c r="Y213" t="s">
        <v>9</v>
      </c>
      <c r="Z213" t="s">
        <v>9</v>
      </c>
      <c r="AA213" t="s">
        <v>9</v>
      </c>
      <c r="AB213" t="s">
        <v>9</v>
      </c>
      <c r="AC213" t="s">
        <v>9</v>
      </c>
      <c r="AD213" t="s">
        <v>9179</v>
      </c>
      <c r="AE213" t="s">
        <v>9</v>
      </c>
      <c r="AF213" t="s">
        <v>9</v>
      </c>
      <c r="AG213" t="s">
        <v>9</v>
      </c>
      <c r="AH213" t="s">
        <v>9180</v>
      </c>
      <c r="AI213" t="s">
        <v>9</v>
      </c>
      <c r="AJ213" t="s">
        <v>9</v>
      </c>
      <c r="AK213" t="s">
        <v>9181</v>
      </c>
      <c r="AL213" t="s">
        <v>9</v>
      </c>
      <c r="AM213" t="s">
        <v>9</v>
      </c>
      <c r="AN213" s="5">
        <v>0.63770000000000004</v>
      </c>
      <c r="AO213" t="s">
        <v>9</v>
      </c>
      <c r="AP213" t="s">
        <v>2666</v>
      </c>
      <c r="AQ213" t="s">
        <v>9</v>
      </c>
      <c r="AR213" t="s">
        <v>9182</v>
      </c>
      <c r="AS213" t="s">
        <v>9</v>
      </c>
      <c r="AT213" t="s">
        <v>9</v>
      </c>
      <c r="AU213" t="s">
        <v>9183</v>
      </c>
      <c r="AV213" t="s">
        <v>9184</v>
      </c>
      <c r="AW213" t="s">
        <v>9</v>
      </c>
      <c r="AX213" t="s">
        <v>3320</v>
      </c>
      <c r="AY213" t="s">
        <v>3322</v>
      </c>
      <c r="AZ213" t="s">
        <v>3323</v>
      </c>
      <c r="BA213" t="s">
        <v>3324</v>
      </c>
      <c r="BB213" t="s">
        <v>3325</v>
      </c>
      <c r="BC213" t="s">
        <v>3326</v>
      </c>
      <c r="BD213" t="s">
        <v>3327</v>
      </c>
      <c r="BE213" t="s">
        <v>3328</v>
      </c>
      <c r="BF213" t="s">
        <v>3329</v>
      </c>
      <c r="BG213" t="s">
        <v>3330</v>
      </c>
      <c r="BH213" t="s">
        <v>3320</v>
      </c>
      <c r="BI213" t="s">
        <v>9</v>
      </c>
      <c r="BJ213" t="s">
        <v>3322</v>
      </c>
      <c r="BK213" t="s">
        <v>228</v>
      </c>
      <c r="BL213" t="s">
        <v>9</v>
      </c>
      <c r="BM213" t="s">
        <v>3326</v>
      </c>
      <c r="BN213">
        <v>0.13</v>
      </c>
      <c r="BO213">
        <v>2.19</v>
      </c>
      <c r="BP213">
        <v>8.16</v>
      </c>
      <c r="BQ213">
        <v>0.42</v>
      </c>
      <c r="BR213">
        <v>8.06</v>
      </c>
      <c r="BS213">
        <v>34.56</v>
      </c>
      <c r="BT213" t="s">
        <v>716</v>
      </c>
      <c r="BU213" t="s">
        <v>1254</v>
      </c>
      <c r="BV213">
        <v>100</v>
      </c>
      <c r="BW213">
        <v>100</v>
      </c>
      <c r="BX213">
        <v>100</v>
      </c>
      <c r="BY213">
        <v>2.81</v>
      </c>
      <c r="BZ213">
        <v>7.48</v>
      </c>
      <c r="CA213">
        <v>21.63</v>
      </c>
      <c r="CB213">
        <v>-7.62</v>
      </c>
      <c r="CC213">
        <v>-23.22</v>
      </c>
      <c r="CD213" t="s">
        <v>3565</v>
      </c>
      <c r="CE213" t="s">
        <v>3968</v>
      </c>
      <c r="CF213" s="8" t="s">
        <v>9</v>
      </c>
      <c r="CG213" s="9">
        <v>-0.94779999999999998</v>
      </c>
      <c r="CH213" s="8">
        <v>0.33618015050888062</v>
      </c>
      <c r="CI213" s="8">
        <v>-0.23420737683773041</v>
      </c>
      <c r="CJ213" s="8">
        <v>0.41071429848670959</v>
      </c>
      <c r="CK213" s="8">
        <v>-0.18196992576122284</v>
      </c>
      <c r="CL213" s="8">
        <v>-1.9138282164931297E-2</v>
      </c>
      <c r="CM213" s="9">
        <v>-0.98648613691329956</v>
      </c>
      <c r="CN213" s="9">
        <v>11.362549781799316</v>
      </c>
      <c r="CO213" s="9">
        <v>0.72017836570739746</v>
      </c>
      <c r="CP213" s="9">
        <v>-4.3532710075378418</v>
      </c>
      <c r="CQ213" s="9">
        <v>-0.53437769412994385</v>
      </c>
      <c r="CR213">
        <v>-871.17517742516713</v>
      </c>
      <c r="CS213">
        <v>-4034.5626519382217</v>
      </c>
      <c r="CT213">
        <v>0</v>
      </c>
      <c r="CU213" s="8">
        <v>-2.1592803299427033E-3</v>
      </c>
      <c r="CV213" s="9">
        <v>-1.5462336719036103</v>
      </c>
      <c r="CW213">
        <v>0.06</v>
      </c>
      <c r="CX213">
        <v>502.0758474515996</v>
      </c>
      <c r="CY213" t="s">
        <v>9185</v>
      </c>
      <c r="CZ213">
        <v>-2.1592803299427033E-3</v>
      </c>
      <c r="DA213">
        <v>167.35861581719988</v>
      </c>
      <c r="DB213" t="s">
        <v>9186</v>
      </c>
      <c r="DC213">
        <v>-2.0513163134455682E-3</v>
      </c>
      <c r="DD213">
        <v>83.679307908599938</v>
      </c>
      <c r="DE213" t="s">
        <v>9187</v>
      </c>
      <c r="DF213">
        <v>-1.9001666903495789E-3</v>
      </c>
      <c r="DG213">
        <v>50.207584745159963</v>
      </c>
      <c r="DH213" t="s">
        <v>9188</v>
      </c>
      <c r="DI213">
        <v>-1.7274242639541628E-3</v>
      </c>
      <c r="DJ213">
        <v>25.103792372579981</v>
      </c>
      <c r="DK213" t="s">
        <v>9189</v>
      </c>
      <c r="DL213">
        <v>-1.5114962309598922E-3</v>
      </c>
      <c r="DM213">
        <v>70299000</v>
      </c>
      <c r="DN213">
        <v>-2.1592803299427033E-3</v>
      </c>
      <c r="DO213">
        <v>35295430000</v>
      </c>
      <c r="DP213" t="e">
        <v>#VALUE!</v>
      </c>
      <c r="DQ213">
        <v>212</v>
      </c>
      <c r="DR213" t="e">
        <v>#VALUE!</v>
      </c>
      <c r="DS213">
        <v>0.5984336719036103</v>
      </c>
      <c r="DT213" t="e">
        <v>#VALUE!</v>
      </c>
      <c r="DU213" t="e">
        <v>#VALUE!</v>
      </c>
      <c r="DV213" t="e">
        <v>#VALUE!</v>
      </c>
      <c r="DW213">
        <v>-9.3281653746770026</v>
      </c>
      <c r="DX213">
        <v>0.32651646914907745</v>
      </c>
      <c r="DY213">
        <v>-9.0415183245011193</v>
      </c>
      <c r="DZ213">
        <v>0</v>
      </c>
      <c r="EA213">
        <v>-9.0415183245011193</v>
      </c>
      <c r="EB213">
        <v>9</v>
      </c>
      <c r="EC213">
        <v>2.5300231727017387E-2</v>
      </c>
      <c r="ED213">
        <v>0.19997580419847985</v>
      </c>
      <c r="EE213">
        <v>0</v>
      </c>
      <c r="EF213">
        <v>0</v>
      </c>
      <c r="EG213">
        <v>20.126516469149077</v>
      </c>
      <c r="EH213" t="s">
        <v>110</v>
      </c>
      <c r="EI213">
        <v>0</v>
      </c>
      <c r="EJ213">
        <v>0</v>
      </c>
      <c r="EK213">
        <v>0</v>
      </c>
      <c r="EL213">
        <v>0</v>
      </c>
      <c r="EM213">
        <v>0</v>
      </c>
      <c r="EN213">
        <v>0</v>
      </c>
      <c r="EO213">
        <v>0</v>
      </c>
      <c r="EP213">
        <v>0</v>
      </c>
    </row>
    <row r="214" spans="1:146" ht="96" x14ac:dyDescent="0.25">
      <c r="A214" s="7"/>
      <c r="B214" s="7"/>
      <c r="C214" s="7" t="str">
        <f>""&amp;CHAR(10)&amp;Basic_Fundamental_Information_Constructure(F214)&amp;CHAR(10)&amp;Basic_Fundamental_Information_Concatenate("")</f>
        <v xml:space="preserve">
市值599.15625亿, 利润32.10亿; PE18.66; 平均PE161.31; 平均PEG7.21, PB3.43; ROIC15.6933%; ROE15.41%; 股利率0%; 毛利30.9733%; 净利19.2667%; 上一年度营收增19.42%, 利润增51.99%, 利润增29%; 过往5年营收增-22.39%, 利润增-141.27%
Income profile:
</v>
      </c>
      <c r="D214" s="11">
        <v>1209</v>
      </c>
      <c r="E214" t="s">
        <v>3331</v>
      </c>
      <c r="F214">
        <v>26.25</v>
      </c>
      <c r="G214" s="5">
        <v>-3.3099999999999997E-2</v>
      </c>
      <c r="H214" t="s">
        <v>9190</v>
      </c>
      <c r="I214">
        <v>59915625000</v>
      </c>
      <c r="J214">
        <v>18.66</v>
      </c>
      <c r="K214">
        <v>3.43</v>
      </c>
      <c r="L214" t="s">
        <v>6350</v>
      </c>
      <c r="M214" t="s">
        <v>9</v>
      </c>
      <c r="N214" t="s">
        <v>9</v>
      </c>
      <c r="O214" t="s">
        <v>9</v>
      </c>
      <c r="P214" t="s">
        <v>9</v>
      </c>
      <c r="Q214" t="s">
        <v>9191</v>
      </c>
      <c r="R214">
        <v>3210494700</v>
      </c>
      <c r="S214" s="5">
        <v>0.28999999999999998</v>
      </c>
      <c r="T214" t="s">
        <v>5855</v>
      </c>
      <c r="U214">
        <v>2282500000</v>
      </c>
      <c r="V214">
        <v>2282500000</v>
      </c>
      <c r="W214" t="s">
        <v>9</v>
      </c>
      <c r="X214" t="s">
        <v>9</v>
      </c>
      <c r="Y214" t="s">
        <v>9</v>
      </c>
      <c r="Z214" t="s">
        <v>9</v>
      </c>
      <c r="AA214" t="s">
        <v>9</v>
      </c>
      <c r="AB214" t="s">
        <v>9</v>
      </c>
      <c r="AC214" t="s">
        <v>9</v>
      </c>
      <c r="AD214" t="s">
        <v>9</v>
      </c>
      <c r="AE214" t="s">
        <v>9</v>
      </c>
      <c r="AF214" t="s">
        <v>9</v>
      </c>
      <c r="AG214" t="s">
        <v>9</v>
      </c>
      <c r="AH214" t="s">
        <v>9192</v>
      </c>
      <c r="AI214" t="s">
        <v>9</v>
      </c>
      <c r="AJ214" t="s">
        <v>9</v>
      </c>
      <c r="AK214" t="s">
        <v>9193</v>
      </c>
      <c r="AL214" t="s">
        <v>9</v>
      </c>
      <c r="AM214" t="s">
        <v>9</v>
      </c>
      <c r="AN214" s="5">
        <v>0.42280000000000001</v>
      </c>
      <c r="AO214" t="s">
        <v>9</v>
      </c>
      <c r="AP214" t="s">
        <v>2652</v>
      </c>
      <c r="AQ214" t="s">
        <v>9</v>
      </c>
      <c r="AR214" t="s">
        <v>9194</v>
      </c>
      <c r="AS214" t="s">
        <v>9</v>
      </c>
      <c r="AT214" t="s">
        <v>9</v>
      </c>
      <c r="AU214" t="s">
        <v>5857</v>
      </c>
      <c r="AV214" t="s">
        <v>4186</v>
      </c>
      <c r="AW214" t="s">
        <v>9</v>
      </c>
      <c r="AX214" t="s">
        <v>2995</v>
      </c>
      <c r="AY214" t="s">
        <v>3334</v>
      </c>
      <c r="AZ214" t="s">
        <v>3335</v>
      </c>
      <c r="BA214" t="s">
        <v>3337</v>
      </c>
      <c r="BB214" t="s">
        <v>3338</v>
      </c>
      <c r="BC214" t="s">
        <v>3339</v>
      </c>
      <c r="BD214" t="s">
        <v>3340</v>
      </c>
      <c r="BE214" t="s">
        <v>1269</v>
      </c>
      <c r="BF214" t="s">
        <v>3341</v>
      </c>
      <c r="BG214" t="s">
        <v>3342</v>
      </c>
      <c r="BH214" t="s">
        <v>2995</v>
      </c>
      <c r="BI214" t="s">
        <v>9</v>
      </c>
      <c r="BJ214" t="s">
        <v>3334</v>
      </c>
      <c r="BK214" t="s">
        <v>3332</v>
      </c>
      <c r="BL214" t="s">
        <v>9</v>
      </c>
      <c r="BM214" t="s">
        <v>3339</v>
      </c>
      <c r="BN214">
        <v>19.38</v>
      </c>
      <c r="BO214">
        <v>15.23</v>
      </c>
      <c r="BP214">
        <v>12.47</v>
      </c>
      <c r="BQ214">
        <v>18.36</v>
      </c>
      <c r="BR214">
        <v>15.45</v>
      </c>
      <c r="BS214">
        <v>12.42</v>
      </c>
      <c r="BT214" t="s">
        <v>9195</v>
      </c>
      <c r="BU214" t="s">
        <v>410</v>
      </c>
      <c r="BV214">
        <v>31.79</v>
      </c>
      <c r="BW214">
        <v>30.05</v>
      </c>
      <c r="BX214">
        <v>31.08</v>
      </c>
      <c r="BY214">
        <v>19.93</v>
      </c>
      <c r="BZ214">
        <v>18.420000000000002</v>
      </c>
      <c r="CA214">
        <v>19.45</v>
      </c>
      <c r="CB214">
        <v>-2.78</v>
      </c>
      <c r="CC214">
        <v>-11.53</v>
      </c>
      <c r="CD214" t="s">
        <v>9196</v>
      </c>
      <c r="CE214" t="s">
        <v>1701</v>
      </c>
      <c r="CF214" s="8" t="s">
        <v>9</v>
      </c>
      <c r="CG214" s="9">
        <v>0.28999999999999998</v>
      </c>
      <c r="CH214" s="8">
        <v>0.19424565136432648</v>
      </c>
      <c r="CI214" s="8">
        <v>0.24723966419696808</v>
      </c>
      <c r="CJ214" s="8">
        <v>0.34504947066307068</v>
      </c>
      <c r="CK214" s="8">
        <v>0.60126829147338867</v>
      </c>
      <c r="CL214" s="8">
        <v>0.34488275647163391</v>
      </c>
      <c r="CM214" s="9">
        <v>0.519886314868927</v>
      </c>
      <c r="CN214" s="9">
        <v>1.1661537885665894</v>
      </c>
      <c r="CO214" s="9">
        <v>1.3897058963775635</v>
      </c>
      <c r="CP214" s="9">
        <v>-0.15352697670459747</v>
      </c>
      <c r="CQ214" s="9">
        <v>3.4334763884544373E-2</v>
      </c>
      <c r="CR214">
        <v>161.30915762848531</v>
      </c>
      <c r="CS214">
        <v>7.2050976489590619</v>
      </c>
      <c r="CT214">
        <v>0</v>
      </c>
      <c r="CU214" s="8">
        <v>-0.22388198673725129</v>
      </c>
      <c r="CV214" s="9">
        <v>-1.4127194195985795</v>
      </c>
      <c r="CW214">
        <v>0.06</v>
      </c>
      <c r="CX214">
        <v>18.665303738317757</v>
      </c>
      <c r="CY214" t="s">
        <v>9197</v>
      </c>
      <c r="CZ214">
        <v>-0.22388198673725129</v>
      </c>
      <c r="DA214">
        <v>6.2217679127725853</v>
      </c>
      <c r="DB214" t="s">
        <v>9198</v>
      </c>
      <c r="DC214">
        <v>-0.21268788740038871</v>
      </c>
      <c r="DD214">
        <v>3.1108839563862927</v>
      </c>
      <c r="DE214" t="s">
        <v>9199</v>
      </c>
      <c r="DF214">
        <v>-0.19701614832878114</v>
      </c>
      <c r="DG214">
        <v>1.8665303738317758</v>
      </c>
      <c r="DH214" t="s">
        <v>9200</v>
      </c>
      <c r="DI214">
        <v>-0.17910558938980103</v>
      </c>
      <c r="DJ214">
        <v>0.93326518691588789</v>
      </c>
      <c r="DK214" t="s">
        <v>9201</v>
      </c>
      <c r="DL214">
        <v>-0.1567173907160759</v>
      </c>
      <c r="DM214">
        <v>3210000000</v>
      </c>
      <c r="DN214">
        <v>-0.22388198673725129</v>
      </c>
      <c r="DO214">
        <v>59915625000</v>
      </c>
      <c r="DP214" t="e">
        <v>#VALUE!</v>
      </c>
      <c r="DQ214">
        <v>213</v>
      </c>
      <c r="DR214" t="e">
        <v>#VALUE!</v>
      </c>
      <c r="DS214">
        <v>1.7027194195985795</v>
      </c>
      <c r="DT214" t="e">
        <v>#VALUE!</v>
      </c>
      <c r="DU214" t="e">
        <v>#VALUE!</v>
      </c>
      <c r="DV214" t="e">
        <v>#VALUE!</v>
      </c>
      <c r="DW214">
        <v>-8.2411101474414572</v>
      </c>
      <c r="DX214">
        <v>0.2214627906976753</v>
      </c>
      <c r="DY214">
        <v>-8.0316970128481824</v>
      </c>
      <c r="DZ214">
        <v>0</v>
      </c>
      <c r="EA214">
        <v>-8.0316970128481824</v>
      </c>
      <c r="EB214">
        <v>8</v>
      </c>
      <c r="EC214">
        <v>7.4298795180722894E-3</v>
      </c>
      <c r="ED214">
        <v>5.6516976998904712E-2</v>
      </c>
      <c r="EE214">
        <v>0</v>
      </c>
      <c r="EF214">
        <v>0</v>
      </c>
      <c r="EG214">
        <v>9.1314627906976753</v>
      </c>
      <c r="EH214" t="s">
        <v>110</v>
      </c>
      <c r="EI214">
        <v>0</v>
      </c>
      <c r="EJ214">
        <v>0</v>
      </c>
      <c r="EK214">
        <v>0</v>
      </c>
      <c r="EL214">
        <v>0</v>
      </c>
      <c r="EM214">
        <v>0</v>
      </c>
      <c r="EN214">
        <v>0</v>
      </c>
      <c r="EO214">
        <v>0</v>
      </c>
      <c r="EP214">
        <v>0</v>
      </c>
    </row>
    <row r="215" spans="1:146" ht="96" x14ac:dyDescent="0.25">
      <c r="A215" s="7"/>
      <c r="B215" s="7"/>
      <c r="C215" s="7" t="str">
        <f>""&amp;CHAR(10)&amp;Basic_Fundamental_Information_Constructure(F215)&amp;CHAR(10)&amp;Basic_Fundamental_Information_Concatenate("")</f>
        <v xml:space="preserve">
市值6714.5856亿, 利润328.87亿; PE20.29; 平均PE118.77; 平均PEG17.2, PB4.35; ROIC12.3%; ROE13.2533%; 股利率0%; 毛利15.1967%; 净利3.8067%; 上一年度营收增38.01%, 利润增787.64%; 当季营收增63.44%, 利润增4.39%; 过往5年营收增6.91%, 利润增83.77%
Income profile:
</v>
      </c>
      <c r="D215" s="11">
        <v>1211</v>
      </c>
      <c r="E215" t="s">
        <v>3344</v>
      </c>
      <c r="F215">
        <v>230.8</v>
      </c>
      <c r="G215" s="5">
        <v>-2.7799999999999998E-2</v>
      </c>
      <c r="H215" t="s">
        <v>9202</v>
      </c>
      <c r="I215">
        <v>671458560000</v>
      </c>
      <c r="J215">
        <v>20.29</v>
      </c>
      <c r="K215">
        <v>4.3499999999999996</v>
      </c>
      <c r="L215" t="s">
        <v>6350</v>
      </c>
      <c r="M215" t="s">
        <v>9203</v>
      </c>
      <c r="N215" t="s">
        <v>9204</v>
      </c>
      <c r="O215" t="s">
        <v>9205</v>
      </c>
      <c r="P215">
        <v>3.97</v>
      </c>
      <c r="Q215" t="s">
        <v>9206</v>
      </c>
      <c r="R215">
        <v>32887098000</v>
      </c>
      <c r="S215" s="5">
        <v>4.3900000000000002E-2</v>
      </c>
      <c r="T215" t="s">
        <v>9207</v>
      </c>
      <c r="U215">
        <v>1098000000</v>
      </c>
      <c r="V215">
        <v>2911142900</v>
      </c>
      <c r="W215">
        <v>4.74</v>
      </c>
      <c r="X215">
        <v>0.18</v>
      </c>
      <c r="Y215">
        <v>4.72</v>
      </c>
      <c r="Z215" t="s">
        <v>9208</v>
      </c>
      <c r="AA215" t="s">
        <v>9209</v>
      </c>
      <c r="AB215" t="s">
        <v>9210</v>
      </c>
      <c r="AC215" t="s">
        <v>8865</v>
      </c>
      <c r="AD215" t="s">
        <v>9211</v>
      </c>
      <c r="AE215" t="s">
        <v>9212</v>
      </c>
      <c r="AF215" t="s">
        <v>9</v>
      </c>
      <c r="AG215" t="s">
        <v>5472</v>
      </c>
      <c r="AH215" t="s">
        <v>9213</v>
      </c>
      <c r="AI215" t="s">
        <v>9214</v>
      </c>
      <c r="AJ215" t="s">
        <v>9215</v>
      </c>
      <c r="AK215" t="s">
        <v>9216</v>
      </c>
      <c r="AL215" t="s">
        <v>9</v>
      </c>
      <c r="AM215" t="s">
        <v>9217</v>
      </c>
      <c r="AN215" s="5">
        <v>0.77139999999999997</v>
      </c>
      <c r="AO215" t="s">
        <v>9218</v>
      </c>
      <c r="AP215" t="s">
        <v>9219</v>
      </c>
      <c r="AQ215" t="s">
        <v>9220</v>
      </c>
      <c r="AR215" t="s">
        <v>9221</v>
      </c>
      <c r="AS215" t="s">
        <v>9222</v>
      </c>
      <c r="AT215" t="s">
        <v>9223</v>
      </c>
      <c r="AU215" t="s">
        <v>9224</v>
      </c>
      <c r="AV215" t="s">
        <v>9225</v>
      </c>
      <c r="AW215" t="s">
        <v>9226</v>
      </c>
      <c r="AX215" t="s">
        <v>3345</v>
      </c>
      <c r="AY215" t="s">
        <v>3348</v>
      </c>
      <c r="AZ215" t="s">
        <v>3349</v>
      </c>
      <c r="BA215" t="s">
        <v>3350</v>
      </c>
      <c r="BB215" t="s">
        <v>3351</v>
      </c>
      <c r="BC215" t="s">
        <v>2891</v>
      </c>
      <c r="BD215" t="s">
        <v>3352</v>
      </c>
      <c r="BE215" t="s">
        <v>3353</v>
      </c>
      <c r="BF215" t="s">
        <v>3354</v>
      </c>
      <c r="BG215" t="s">
        <v>3355</v>
      </c>
      <c r="BH215" t="s">
        <v>3345</v>
      </c>
      <c r="BI215" t="s">
        <v>3356</v>
      </c>
      <c r="BJ215" t="s">
        <v>3348</v>
      </c>
      <c r="BK215" t="s">
        <v>3346</v>
      </c>
      <c r="BL215" t="s">
        <v>1991</v>
      </c>
      <c r="BM215" t="s">
        <v>2891</v>
      </c>
      <c r="BN215">
        <v>20.49</v>
      </c>
      <c r="BO215">
        <v>13.86</v>
      </c>
      <c r="BP215">
        <v>2.5499999999999998</v>
      </c>
      <c r="BQ215">
        <v>21.61</v>
      </c>
      <c r="BR215">
        <v>14.97</v>
      </c>
      <c r="BS215">
        <v>3.18</v>
      </c>
      <c r="BT215" t="s">
        <v>9227</v>
      </c>
      <c r="BU215" t="s">
        <v>861</v>
      </c>
      <c r="BV215">
        <v>18.82</v>
      </c>
      <c r="BW215">
        <v>15.59</v>
      </c>
      <c r="BX215">
        <v>11.18</v>
      </c>
      <c r="BY215">
        <v>5.29</v>
      </c>
      <c r="BZ215">
        <v>4.25</v>
      </c>
      <c r="CA215">
        <v>1.88</v>
      </c>
      <c r="CB215">
        <v>-2.86</v>
      </c>
      <c r="CC215">
        <v>5.0999999999999996</v>
      </c>
      <c r="CD215" t="s">
        <v>9228</v>
      </c>
      <c r="CE215" t="s">
        <v>992</v>
      </c>
      <c r="CF215" s="8">
        <v>0.63437145254429694</v>
      </c>
      <c r="CG215" s="9">
        <v>4.3900000000000002E-2</v>
      </c>
      <c r="CH215" s="8">
        <v>0.38012281060218811</v>
      </c>
      <c r="CI215" s="8">
        <v>0.80182021856307983</v>
      </c>
      <c r="CJ215" s="8">
        <v>0.42657989263534546</v>
      </c>
      <c r="CK215" s="8">
        <v>0.31909343600273132</v>
      </c>
      <c r="CL215" s="8">
        <v>0.12678356468677521</v>
      </c>
      <c r="CM215" s="9">
        <v>7.8763833045959473</v>
      </c>
      <c r="CN215" s="9">
        <v>-0.22635209560394287</v>
      </c>
      <c r="CO215" s="9">
        <v>1.6546564102172852</v>
      </c>
      <c r="CP215" s="9">
        <v>-0.43019586801528931</v>
      </c>
      <c r="CQ215" s="9">
        <v>-0.35056406259536743</v>
      </c>
      <c r="CR215">
        <v>118.7717405646228</v>
      </c>
      <c r="CS215">
        <v>17.200414923296332</v>
      </c>
      <c r="CT215">
        <v>0</v>
      </c>
      <c r="CU215" s="8">
        <v>6.9051671773195267E-2</v>
      </c>
      <c r="CV215" s="9">
        <v>0.83771130144596095</v>
      </c>
      <c r="CW215">
        <v>0.06</v>
      </c>
      <c r="CX215">
        <v>32.20784968864551</v>
      </c>
      <c r="CY215">
        <v>33167832386.41988</v>
      </c>
      <c r="CZ215">
        <v>6.9051671773195267E-2</v>
      </c>
      <c r="DA215">
        <v>10.714041888430403</v>
      </c>
      <c r="DB215">
        <v>99706961305.944611</v>
      </c>
      <c r="DC215">
        <v>6.5599088184535498E-2</v>
      </c>
      <c r="DD215">
        <v>5.4001484566356996</v>
      </c>
      <c r="DE215">
        <v>197821331872.33344</v>
      </c>
      <c r="DF215">
        <v>6.0765471160411838E-2</v>
      </c>
      <c r="DG215">
        <v>3.3293977228364287</v>
      </c>
      <c r="DH215">
        <v>320858199869.8277</v>
      </c>
      <c r="DI215">
        <v>5.5241337418556219E-2</v>
      </c>
      <c r="DJ215">
        <v>1.8205247856748155</v>
      </c>
      <c r="DK215">
        <v>586789352392.15955</v>
      </c>
      <c r="DL215">
        <v>4.8336170241236681E-2</v>
      </c>
      <c r="DM215">
        <v>32887000000</v>
      </c>
      <c r="DN215">
        <v>6.9051671773195267E-2</v>
      </c>
      <c r="DO215">
        <v>1068264560000</v>
      </c>
      <c r="DP215" t="e">
        <v>#VALUE!</v>
      </c>
      <c r="DQ215">
        <v>214</v>
      </c>
      <c r="DR215">
        <v>0.56531978077110168</v>
      </c>
      <c r="DS215">
        <v>-0.7938113014459609</v>
      </c>
      <c r="DT215">
        <v>-0.40666666666666668</v>
      </c>
      <c r="DU215">
        <v>1.3733333333333333</v>
      </c>
      <c r="DV215">
        <v>0.96666666666666656</v>
      </c>
      <c r="DW215">
        <v>-6.3592964824120601</v>
      </c>
      <c r="DX215">
        <v>0.34978410041841013</v>
      </c>
      <c r="DY215">
        <v>-6.0502239355774687</v>
      </c>
      <c r="DZ215">
        <v>0</v>
      </c>
      <c r="EA215">
        <v>-6.0502239355774687</v>
      </c>
      <c r="EB215">
        <v>6</v>
      </c>
      <c r="EC215">
        <v>1.1476042622297929E-2</v>
      </c>
      <c r="ED215">
        <v>8.209834013988114E-2</v>
      </c>
      <c r="EE215">
        <v>0</v>
      </c>
      <c r="EF215">
        <v>0</v>
      </c>
      <c r="EG215">
        <v>21.13978410041841</v>
      </c>
      <c r="EH215" t="s">
        <v>110</v>
      </c>
      <c r="EI215">
        <v>0</v>
      </c>
      <c r="EJ215">
        <v>0</v>
      </c>
      <c r="EK215">
        <v>0</v>
      </c>
      <c r="EL215">
        <v>0</v>
      </c>
      <c r="EM215">
        <v>0</v>
      </c>
      <c r="EN215">
        <v>0</v>
      </c>
      <c r="EO215">
        <v>0</v>
      </c>
      <c r="EP215">
        <v>0</v>
      </c>
    </row>
    <row r="216" spans="1:146" ht="96" x14ac:dyDescent="0.25">
      <c r="A216" s="7"/>
      <c r="B216" s="7"/>
      <c r="C216" s="7" t="str">
        <f>""&amp;CHAR(10)&amp;Basic_Fundamental_Information_Constructure(F216)&amp;CHAR(10)&amp;Basic_Fundamental_Information_Concatenate("")</f>
        <v xml:space="preserve">
市值24.014337亿, 利润-29.08亿; PE; 平均PE-7.3; 平均PEG-2.5, PB.057; ROIC1.0933%; ROE2.9367%; 股利率0%; 毛利24.52%; 净利4.0933%; 上一年度营收增-29.07%, 利润增-139.63%, 利润增-732.3%; 过往5年营收增-2.92%, 利润增-9.28%
Income profile:
</v>
      </c>
      <c r="D216" s="11">
        <v>1238</v>
      </c>
      <c r="E216" t="s">
        <v>3361</v>
      </c>
      <c r="F216">
        <v>0.57999999999999996</v>
      </c>
      <c r="G216" s="5">
        <v>-3.3300000000000003E-2</v>
      </c>
      <c r="H216" t="s">
        <v>9229</v>
      </c>
      <c r="I216">
        <v>2401433700</v>
      </c>
      <c r="K216">
        <v>5.7000000000000002E-2</v>
      </c>
      <c r="L216" t="s">
        <v>6350</v>
      </c>
      <c r="M216" t="s">
        <v>9</v>
      </c>
      <c r="N216" t="s">
        <v>9</v>
      </c>
      <c r="O216" t="s">
        <v>9</v>
      </c>
      <c r="P216" t="s">
        <v>9</v>
      </c>
      <c r="Q216" t="s">
        <v>9230</v>
      </c>
      <c r="R216">
        <v>-2908316200</v>
      </c>
      <c r="S216" s="5">
        <v>-7.3230000000000004</v>
      </c>
      <c r="T216" t="s">
        <v>9231</v>
      </c>
      <c r="U216">
        <v>4140403000</v>
      </c>
      <c r="V216">
        <v>4140403000</v>
      </c>
      <c r="W216" t="s">
        <v>9</v>
      </c>
      <c r="X216" t="s">
        <v>9</v>
      </c>
      <c r="Y216" t="s">
        <v>9</v>
      </c>
      <c r="Z216" t="s">
        <v>9</v>
      </c>
      <c r="AA216" t="s">
        <v>9</v>
      </c>
      <c r="AB216" t="s">
        <v>9</v>
      </c>
      <c r="AC216" t="s">
        <v>9</v>
      </c>
      <c r="AD216" t="s">
        <v>9</v>
      </c>
      <c r="AE216" t="s">
        <v>9</v>
      </c>
      <c r="AF216" t="s">
        <v>9</v>
      </c>
      <c r="AG216" t="s">
        <v>9</v>
      </c>
      <c r="AH216" t="s">
        <v>9232</v>
      </c>
      <c r="AI216" t="s">
        <v>9</v>
      </c>
      <c r="AJ216" t="s">
        <v>9</v>
      </c>
      <c r="AK216" t="s">
        <v>9233</v>
      </c>
      <c r="AL216" t="s">
        <v>9</v>
      </c>
      <c r="AM216" t="s">
        <v>9</v>
      </c>
      <c r="AN216" s="5">
        <v>0.74250000000000005</v>
      </c>
      <c r="AO216" t="s">
        <v>9</v>
      </c>
      <c r="AP216" t="s">
        <v>9234</v>
      </c>
      <c r="AQ216" t="s">
        <v>9</v>
      </c>
      <c r="AR216" t="s">
        <v>9235</v>
      </c>
      <c r="AS216" t="s">
        <v>9</v>
      </c>
      <c r="AT216" t="s">
        <v>9</v>
      </c>
      <c r="AU216" t="s">
        <v>9236</v>
      </c>
      <c r="AV216" t="s">
        <v>3830</v>
      </c>
      <c r="AW216" t="s">
        <v>9</v>
      </c>
      <c r="AX216" t="s">
        <v>3362</v>
      </c>
      <c r="AY216" t="s">
        <v>3363</v>
      </c>
      <c r="AZ216" t="s">
        <v>3364</v>
      </c>
      <c r="BA216" t="s">
        <v>3365</v>
      </c>
      <c r="BB216" t="s">
        <v>3366</v>
      </c>
      <c r="BC216" t="s">
        <v>3367</v>
      </c>
      <c r="BD216" t="s">
        <v>3368</v>
      </c>
      <c r="BE216" t="s">
        <v>3369</v>
      </c>
      <c r="BF216" t="s">
        <v>3133</v>
      </c>
      <c r="BG216" t="s">
        <v>3370</v>
      </c>
      <c r="BH216" t="s">
        <v>3362</v>
      </c>
      <c r="BI216" t="s">
        <v>9</v>
      </c>
      <c r="BJ216" t="s">
        <v>3363</v>
      </c>
      <c r="BK216" t="s">
        <v>245</v>
      </c>
      <c r="BL216" t="s">
        <v>9</v>
      </c>
      <c r="BM216" t="s">
        <v>3367</v>
      </c>
      <c r="BN216">
        <v>-2.63</v>
      </c>
      <c r="BO216">
        <v>0.37</v>
      </c>
      <c r="BP216">
        <v>5.54</v>
      </c>
      <c r="BQ216">
        <v>-6.9</v>
      </c>
      <c r="BR216">
        <v>0.99</v>
      </c>
      <c r="BS216">
        <v>14.72</v>
      </c>
      <c r="BT216" t="s">
        <v>3371</v>
      </c>
      <c r="BU216" t="s">
        <v>410</v>
      </c>
      <c r="BV216">
        <v>10.71</v>
      </c>
      <c r="BW216">
        <v>31.48</v>
      </c>
      <c r="BX216">
        <v>31.37</v>
      </c>
      <c r="BY216">
        <v>-11.25</v>
      </c>
      <c r="BZ216">
        <v>5.14</v>
      </c>
      <c r="CA216">
        <v>18.39</v>
      </c>
      <c r="CB216">
        <v>-6.45</v>
      </c>
      <c r="CC216">
        <v>-17.14</v>
      </c>
      <c r="CD216" t="s">
        <v>9237</v>
      </c>
      <c r="CE216" t="s">
        <v>2257</v>
      </c>
      <c r="CF216" s="8" t="s">
        <v>9</v>
      </c>
      <c r="CG216" s="9">
        <v>-7.3230000000000004</v>
      </c>
      <c r="CH216" s="8">
        <v>-0.29070264101028442</v>
      </c>
      <c r="CI216" s="8">
        <v>-0.27555716037750244</v>
      </c>
      <c r="CJ216" s="8">
        <v>0.15491530299186707</v>
      </c>
      <c r="CK216" s="8">
        <v>0.89640951156616211</v>
      </c>
      <c r="CL216" s="8">
        <v>0.19337746500968933</v>
      </c>
      <c r="CM216" s="9">
        <v>-1.3963472843170166</v>
      </c>
      <c r="CN216" s="9">
        <v>1.018860936164856E-2</v>
      </c>
      <c r="CO216" s="9">
        <v>0.60828179121017456</v>
      </c>
      <c r="CP216" s="9">
        <v>0.39814239740371704</v>
      </c>
      <c r="CQ216" s="9">
        <v>-0.19250002503395081</v>
      </c>
      <c r="CR216">
        <v>-7.2965417923766891</v>
      </c>
      <c r="CS216">
        <v>-2.5020808703129465</v>
      </c>
      <c r="CT216">
        <v>0</v>
      </c>
      <c r="CU216" s="8">
        <v>-2.9161894321441652E-2</v>
      </c>
      <c r="CV216" s="9">
        <v>-9.2803025245666498E-2</v>
      </c>
      <c r="CW216">
        <v>0.06</v>
      </c>
      <c r="CX216" t="e">
        <v>#VALUE!</v>
      </c>
      <c r="CY216" t="s">
        <v>109</v>
      </c>
      <c r="CZ216">
        <v>-2.9161894321441652E-2</v>
      </c>
      <c r="DA216" t="e">
        <v>#VALUE!</v>
      </c>
      <c r="DB216" t="s">
        <v>108</v>
      </c>
      <c r="DC216">
        <v>-2.7703799605369568E-2</v>
      </c>
      <c r="DD216" t="e">
        <v>#VALUE!</v>
      </c>
      <c r="DE216" t="s">
        <v>108</v>
      </c>
      <c r="DF216">
        <v>-2.5662467002868655E-2</v>
      </c>
      <c r="DG216" t="e">
        <v>#VALUE!</v>
      </c>
      <c r="DH216" t="s">
        <v>108</v>
      </c>
      <c r="DI216">
        <v>-2.3329515457153324E-2</v>
      </c>
      <c r="DJ216" t="e">
        <v>#VALUE!</v>
      </c>
      <c r="DK216" t="s">
        <v>108</v>
      </c>
      <c r="DL216">
        <v>-2.0413326025009153E-2</v>
      </c>
      <c r="DM216">
        <v>-2908000000</v>
      </c>
      <c r="DN216">
        <v>-2.9161894321441652E-2</v>
      </c>
      <c r="DO216">
        <v>2401433700</v>
      </c>
      <c r="DP216" t="e">
        <v>#VALUE!</v>
      </c>
      <c r="DQ216">
        <v>215</v>
      </c>
      <c r="DR216" t="e">
        <v>#VALUE!</v>
      </c>
      <c r="DS216">
        <v>-7.2301969747543335</v>
      </c>
      <c r="DT216" t="e">
        <v>#VALUE!</v>
      </c>
      <c r="DU216" t="e">
        <v>#VALUE!</v>
      </c>
      <c r="DV216" t="e">
        <v>#VALUE!</v>
      </c>
      <c r="DW216">
        <v>-9.3763127187864637</v>
      </c>
      <c r="DX216">
        <v>0.21185761589404051</v>
      </c>
      <c r="DY216">
        <v>-9.0383303163661939</v>
      </c>
      <c r="DZ216">
        <v>0</v>
      </c>
      <c r="EA216">
        <v>-9.0383303163661939</v>
      </c>
      <c r="EB216">
        <v>9</v>
      </c>
      <c r="EC216">
        <v>1.4858940059699503E-2</v>
      </c>
      <c r="ED216">
        <v>0.14587951945740549</v>
      </c>
      <c r="EE216">
        <v>0</v>
      </c>
      <c r="EF216">
        <v>0</v>
      </c>
      <c r="EG216">
        <v>11.101857615894041</v>
      </c>
      <c r="EH216" t="s">
        <v>110</v>
      </c>
      <c r="EI216">
        <v>0</v>
      </c>
      <c r="EJ216">
        <v>0</v>
      </c>
      <c r="EK216">
        <v>0</v>
      </c>
      <c r="EL216">
        <v>0</v>
      </c>
      <c r="EM216">
        <v>0</v>
      </c>
      <c r="EN216">
        <v>0</v>
      </c>
      <c r="EO216">
        <v>0</v>
      </c>
      <c r="EP216">
        <v>0</v>
      </c>
    </row>
    <row r="217" spans="1:146" ht="96" x14ac:dyDescent="0.25">
      <c r="A217" s="7"/>
      <c r="B217" s="7"/>
      <c r="C217" s="7" t="str">
        <f>""&amp;CHAR(10)&amp;Basic_Fundamental_Information_Constructure(F217)&amp;CHAR(10)&amp;Basic_Fundamental_Information_Concatenate("")</f>
        <v xml:space="preserve">
市值13.891537亿, 利润-5.75亿; PE; 平均PE9.15; 平均PEG.56, PB1.35; ROIC-75.44%; ROE-33.52%; 股利率0%; 毛利92.415%; 净利-137%; 上一年度营收增8.75%, 利润增67.26%, 利润增50.23%; 过往5年营收增16.41%, 利润增26.28%
Income profile:
</v>
      </c>
      <c r="D217" s="11">
        <v>1244</v>
      </c>
      <c r="E217" t="s">
        <v>3372</v>
      </c>
      <c r="F217">
        <v>5.38</v>
      </c>
      <c r="G217" s="5">
        <v>-4.6100000000000002E-2</v>
      </c>
      <c r="H217" t="s">
        <v>9238</v>
      </c>
      <c r="I217">
        <v>1389153700</v>
      </c>
      <c r="K217">
        <v>1.35</v>
      </c>
      <c r="L217" t="s">
        <v>6350</v>
      </c>
      <c r="M217" t="s">
        <v>9</v>
      </c>
      <c r="N217" t="s">
        <v>9</v>
      </c>
      <c r="O217" t="s">
        <v>9</v>
      </c>
      <c r="P217" t="s">
        <v>9</v>
      </c>
      <c r="Q217" t="s">
        <v>1311</v>
      </c>
      <c r="R217">
        <v>-575172850</v>
      </c>
      <c r="S217" s="5">
        <v>0.50229999999999997</v>
      </c>
      <c r="T217" t="s">
        <v>9239</v>
      </c>
      <c r="U217">
        <v>258207000</v>
      </c>
      <c r="V217">
        <v>258207000</v>
      </c>
      <c r="W217" t="s">
        <v>9</v>
      </c>
      <c r="X217" t="s">
        <v>9</v>
      </c>
      <c r="Y217" t="s">
        <v>9</v>
      </c>
      <c r="Z217" t="s">
        <v>9</v>
      </c>
      <c r="AA217" t="s">
        <v>9</v>
      </c>
      <c r="AB217" t="s">
        <v>9</v>
      </c>
      <c r="AC217" t="s">
        <v>9</v>
      </c>
      <c r="AD217" t="s">
        <v>3342</v>
      </c>
      <c r="AE217" t="s">
        <v>9</v>
      </c>
      <c r="AF217" t="s">
        <v>9</v>
      </c>
      <c r="AG217" t="s">
        <v>9</v>
      </c>
      <c r="AH217" t="s">
        <v>9240</v>
      </c>
      <c r="AI217" t="s">
        <v>9</v>
      </c>
      <c r="AJ217" t="s">
        <v>9</v>
      </c>
      <c r="AK217" t="s">
        <v>9241</v>
      </c>
      <c r="AL217" t="s">
        <v>9</v>
      </c>
      <c r="AM217" t="s">
        <v>9</v>
      </c>
      <c r="AN217" s="5">
        <v>0.39069999999999999</v>
      </c>
      <c r="AO217" t="s">
        <v>9</v>
      </c>
      <c r="AP217" t="s">
        <v>9242</v>
      </c>
      <c r="AQ217" t="s">
        <v>9</v>
      </c>
      <c r="AR217" t="s">
        <v>611</v>
      </c>
      <c r="AS217" t="s">
        <v>9</v>
      </c>
      <c r="AT217" t="s">
        <v>9</v>
      </c>
      <c r="AU217" t="s">
        <v>9243</v>
      </c>
      <c r="AV217" t="s">
        <v>4632</v>
      </c>
      <c r="AW217" t="s">
        <v>9</v>
      </c>
      <c r="AX217" t="s">
        <v>2345</v>
      </c>
      <c r="AY217" t="s">
        <v>3375</v>
      </c>
      <c r="AZ217" t="s">
        <v>9</v>
      </c>
      <c r="BA217" t="s">
        <v>9</v>
      </c>
      <c r="BB217" t="s">
        <v>9</v>
      </c>
      <c r="BC217" t="s">
        <v>9244</v>
      </c>
      <c r="BD217" t="s">
        <v>9245</v>
      </c>
      <c r="BE217" t="s">
        <v>9</v>
      </c>
      <c r="BF217" t="s">
        <v>9</v>
      </c>
      <c r="BG217" t="s">
        <v>9</v>
      </c>
      <c r="BH217" t="s">
        <v>2345</v>
      </c>
      <c r="BI217" t="s">
        <v>9</v>
      </c>
      <c r="BJ217" t="s">
        <v>3375</v>
      </c>
      <c r="BK217" t="s">
        <v>3373</v>
      </c>
      <c r="BL217" t="s">
        <v>9</v>
      </c>
      <c r="BM217" t="s">
        <v>9244</v>
      </c>
      <c r="BN217">
        <v>-46.82</v>
      </c>
      <c r="BO217">
        <v>-104.06</v>
      </c>
      <c r="BP217" t="s">
        <v>9</v>
      </c>
      <c r="BQ217">
        <v>-56.01</v>
      </c>
      <c r="BR217">
        <v>-108.63</v>
      </c>
      <c r="BS217">
        <v>64.08</v>
      </c>
      <c r="BT217" t="s">
        <v>9</v>
      </c>
      <c r="BU217" t="s">
        <v>489</v>
      </c>
      <c r="BV217">
        <v>92.27</v>
      </c>
      <c r="BW217">
        <v>92.56</v>
      </c>
      <c r="BX217" t="s">
        <v>9</v>
      </c>
      <c r="BY217">
        <v>-88.59</v>
      </c>
      <c r="BZ217">
        <v>-185.41</v>
      </c>
      <c r="CA217" t="s">
        <v>9</v>
      </c>
      <c r="CB217">
        <v>-10.63</v>
      </c>
      <c r="CC217">
        <v>-23.8</v>
      </c>
      <c r="CD217" t="s">
        <v>9246</v>
      </c>
      <c r="CE217" t="s">
        <v>9247</v>
      </c>
      <c r="CF217" s="8" t="s">
        <v>9</v>
      </c>
      <c r="CG217" s="9">
        <v>0.50229999999999997</v>
      </c>
      <c r="CH217" s="8">
        <v>8.7499998509883881E-2</v>
      </c>
      <c r="CI217" s="8">
        <v>7.6734499931335449</v>
      </c>
      <c r="CJ217" s="8" t="s">
        <v>9</v>
      </c>
      <c r="CK217" s="8" t="s">
        <v>9</v>
      </c>
      <c r="CL217" s="8" t="s">
        <v>9</v>
      </c>
      <c r="CM217" s="9">
        <v>0.67255121469497681</v>
      </c>
      <c r="CN217" s="9">
        <v>-1.3196829557418823</v>
      </c>
      <c r="CO217" s="9" t="s">
        <v>9</v>
      </c>
      <c r="CP217" s="9" t="s">
        <v>9</v>
      </c>
      <c r="CQ217" s="9" t="s">
        <v>9</v>
      </c>
      <c r="CR217">
        <v>9.1492010976948404</v>
      </c>
      <c r="CS217">
        <v>0.55760908556273103</v>
      </c>
      <c r="CT217">
        <v>0</v>
      </c>
      <c r="CU217" s="8">
        <v>0.16407912522554396</v>
      </c>
      <c r="CV217" s="9">
        <v>0.26279357969760897</v>
      </c>
      <c r="CW217">
        <v>0.06</v>
      </c>
      <c r="CX217" t="e">
        <v>#VALUE!</v>
      </c>
      <c r="CY217" t="s">
        <v>109</v>
      </c>
      <c r="CZ217">
        <v>0.16407912522554396</v>
      </c>
      <c r="DA217" t="e">
        <v>#VALUE!</v>
      </c>
      <c r="DB217" t="s">
        <v>108</v>
      </c>
      <c r="DC217">
        <v>0.15587516896426676</v>
      </c>
      <c r="DD217" t="e">
        <v>#VALUE!</v>
      </c>
      <c r="DE217" t="s">
        <v>108</v>
      </c>
      <c r="DF217">
        <v>0.1443896301984787</v>
      </c>
      <c r="DG217" t="e">
        <v>#VALUE!</v>
      </c>
      <c r="DH217" t="s">
        <v>108</v>
      </c>
      <c r="DI217">
        <v>0.13126330018043517</v>
      </c>
      <c r="DJ217" t="e">
        <v>#VALUE!</v>
      </c>
      <c r="DK217" t="s">
        <v>108</v>
      </c>
      <c r="DL217">
        <v>0.11485538765788077</v>
      </c>
      <c r="DM217">
        <v>-575000000</v>
      </c>
      <c r="DN217">
        <v>0.16407912522554396</v>
      </c>
      <c r="DO217">
        <v>1389153700</v>
      </c>
      <c r="DP217" t="e">
        <v>#VALUE!</v>
      </c>
      <c r="DQ217">
        <v>216</v>
      </c>
      <c r="DR217" t="e">
        <v>#VALUE!</v>
      </c>
      <c r="DS217">
        <v>0.239506420302391</v>
      </c>
      <c r="DT217" t="e">
        <v>#VALUE!</v>
      </c>
      <c r="DU217" t="e">
        <v>#VALUE!</v>
      </c>
      <c r="DV217" t="e">
        <v>#VALUE!</v>
      </c>
      <c r="DW217">
        <v>-9.4466386554621842</v>
      </c>
      <c r="DX217">
        <v>0.7714873531247326</v>
      </c>
      <c r="DY217">
        <v>-9.0274626287275623</v>
      </c>
      <c r="DZ217">
        <v>0</v>
      </c>
      <c r="EA217">
        <v>-9.0274626287275623</v>
      </c>
      <c r="EB217">
        <v>9</v>
      </c>
      <c r="EC217">
        <v>9.6914491086608802E-3</v>
      </c>
      <c r="ED217">
        <v>0.1576169507410721</v>
      </c>
      <c r="EE217">
        <v>0</v>
      </c>
      <c r="EF217">
        <v>0</v>
      </c>
      <c r="EG217">
        <v>71.061487353124733</v>
      </c>
      <c r="EH217" t="s">
        <v>110</v>
      </c>
      <c r="EI217">
        <v>0</v>
      </c>
      <c r="EJ217">
        <v>0</v>
      </c>
      <c r="EK217">
        <v>0</v>
      </c>
      <c r="EL217">
        <v>0</v>
      </c>
      <c r="EM217">
        <v>0</v>
      </c>
      <c r="EN217">
        <v>0</v>
      </c>
      <c r="EO217">
        <v>0</v>
      </c>
      <c r="EP217">
        <v>0</v>
      </c>
    </row>
    <row r="218" spans="1:146" ht="96" x14ac:dyDescent="0.25">
      <c r="A218" s="7"/>
      <c r="B218" s="7"/>
      <c r="C218" s="7" t="str">
        <f>""&amp;CHAR(10)&amp;Basic_Fundamental_Information_Constructure(F218)&amp;CHAR(10)&amp;Basic_Fundamental_Information_Concatenate("")</f>
        <v xml:space="preserve">
市值204.15137亿, 利润20.59亿; PE10.36; 平均PE177.42; 平均PEG69.64, PB1.49; ROIC10.9067%; ROE19.51%; 股利率0%; 毛利23.58%; 净利9.8767%; 上一年度营收增1.22%, 利润增-26.07%, 利润增-26.07%; 过往5年营收增2.55%, 利润增-672.01%
Income profile:
</v>
      </c>
      <c r="D218" s="11">
        <v>1258</v>
      </c>
      <c r="E218" t="s">
        <v>3379</v>
      </c>
      <c r="F218">
        <v>5.46</v>
      </c>
      <c r="G218" s="5">
        <v>-3.5999999999999999E-3</v>
      </c>
      <c r="H218" t="s">
        <v>6437</v>
      </c>
      <c r="I218">
        <v>20415137000</v>
      </c>
      <c r="J218">
        <v>10.36</v>
      </c>
      <c r="K218">
        <v>1.49</v>
      </c>
      <c r="L218" t="s">
        <v>6350</v>
      </c>
      <c r="M218" t="s">
        <v>9</v>
      </c>
      <c r="N218" t="s">
        <v>9</v>
      </c>
      <c r="O218" t="s">
        <v>9</v>
      </c>
      <c r="P218" t="s">
        <v>9</v>
      </c>
      <c r="Q218" t="s">
        <v>3380</v>
      </c>
      <c r="R218">
        <v>2058922800</v>
      </c>
      <c r="S218" s="5">
        <v>-0.26069999999999999</v>
      </c>
      <c r="T218" t="s">
        <v>3381</v>
      </c>
      <c r="U218">
        <v>3739036000</v>
      </c>
      <c r="V218">
        <v>3739036000</v>
      </c>
      <c r="W218" t="s">
        <v>9</v>
      </c>
      <c r="X218" t="s">
        <v>9</v>
      </c>
      <c r="Y218" t="s">
        <v>9</v>
      </c>
      <c r="Z218" t="s">
        <v>9</v>
      </c>
      <c r="AA218" t="s">
        <v>9</v>
      </c>
      <c r="AB218" t="s">
        <v>9</v>
      </c>
      <c r="AC218" t="s">
        <v>9</v>
      </c>
      <c r="AD218" t="s">
        <v>9</v>
      </c>
      <c r="AE218" t="s">
        <v>9</v>
      </c>
      <c r="AF218" t="s">
        <v>9</v>
      </c>
      <c r="AG218" t="s">
        <v>9</v>
      </c>
      <c r="AH218" t="s">
        <v>3382</v>
      </c>
      <c r="AI218" t="s">
        <v>9</v>
      </c>
      <c r="AJ218" t="s">
        <v>9</v>
      </c>
      <c r="AK218" t="s">
        <v>3383</v>
      </c>
      <c r="AL218" t="s">
        <v>9</v>
      </c>
      <c r="AM218" t="s">
        <v>9</v>
      </c>
      <c r="AN218" s="5">
        <v>0.41980000000000001</v>
      </c>
      <c r="AO218" t="s">
        <v>9</v>
      </c>
      <c r="AP218" t="s">
        <v>1686</v>
      </c>
      <c r="AQ218" t="s">
        <v>9</v>
      </c>
      <c r="AR218" t="s">
        <v>3384</v>
      </c>
      <c r="AS218" t="s">
        <v>9</v>
      </c>
      <c r="AT218" t="s">
        <v>9</v>
      </c>
      <c r="AU218" t="s">
        <v>3385</v>
      </c>
      <c r="AV218" t="s">
        <v>3386</v>
      </c>
      <c r="AW218" t="s">
        <v>9</v>
      </c>
      <c r="AX218" t="s">
        <v>3387</v>
      </c>
      <c r="AY218" t="s">
        <v>3388</v>
      </c>
      <c r="AZ218" t="s">
        <v>1662</v>
      </c>
      <c r="BA218" t="s">
        <v>3389</v>
      </c>
      <c r="BB218" t="s">
        <v>3390</v>
      </c>
      <c r="BC218" t="s">
        <v>2609</v>
      </c>
      <c r="BD218" t="s">
        <v>3157</v>
      </c>
      <c r="BE218" t="s">
        <v>2630</v>
      </c>
      <c r="BF218" t="s">
        <v>886</v>
      </c>
      <c r="BG218" t="s">
        <v>1579</v>
      </c>
      <c r="BH218" t="s">
        <v>3380</v>
      </c>
      <c r="BI218" t="s">
        <v>9</v>
      </c>
      <c r="BJ218" t="s">
        <v>3387</v>
      </c>
      <c r="BK218" t="s">
        <v>3381</v>
      </c>
      <c r="BL218" t="s">
        <v>9</v>
      </c>
      <c r="BM218" t="s">
        <v>2609</v>
      </c>
      <c r="BN218">
        <v>11.45</v>
      </c>
      <c r="BO218">
        <v>15.57</v>
      </c>
      <c r="BP218">
        <v>5.7</v>
      </c>
      <c r="BQ218">
        <v>15.86</v>
      </c>
      <c r="BR218">
        <v>23.16</v>
      </c>
      <c r="BS218" t="s">
        <v>9</v>
      </c>
      <c r="BT218" t="s">
        <v>1208</v>
      </c>
      <c r="BU218" t="s">
        <v>1254</v>
      </c>
      <c r="BV218">
        <v>19.71</v>
      </c>
      <c r="BW218">
        <v>26.79</v>
      </c>
      <c r="BX218">
        <v>24.24</v>
      </c>
      <c r="BY218">
        <v>9.33</v>
      </c>
      <c r="BZ218">
        <v>12.72</v>
      </c>
      <c r="CA218">
        <v>7.58</v>
      </c>
      <c r="CB218">
        <v>-2.67</v>
      </c>
      <c r="CC218">
        <v>0</v>
      </c>
      <c r="CD218" t="s">
        <v>6438</v>
      </c>
      <c r="CE218" t="s">
        <v>20</v>
      </c>
      <c r="CF218" s="8" t="s">
        <v>9</v>
      </c>
      <c r="CG218" s="9">
        <v>-0.26069999999999999</v>
      </c>
      <c r="CH218" s="8">
        <v>1.2220567092299461E-2</v>
      </c>
      <c r="CI218" s="8">
        <v>0.56863337755203247</v>
      </c>
      <c r="CJ218" s="8">
        <v>0.28730335831642151</v>
      </c>
      <c r="CK218" s="8">
        <v>-2.7601594105362892E-2</v>
      </c>
      <c r="CL218" s="8">
        <v>0.11957124620676041</v>
      </c>
      <c r="CM218" s="9">
        <v>-0.26068219542503357</v>
      </c>
      <c r="CN218" s="9">
        <v>1.8740969896316528</v>
      </c>
      <c r="CO218" s="9">
        <v>-7.7142857015132904E-2</v>
      </c>
      <c r="CP218" s="9">
        <v>-8.3769634366035461E-2</v>
      </c>
      <c r="CQ218" s="9">
        <v>2.9649654403328896E-2</v>
      </c>
      <c r="CR218">
        <v>177.42496099979576</v>
      </c>
      <c r="CS218">
        <v>69.635191833422411</v>
      </c>
      <c r="CT218">
        <v>0</v>
      </c>
      <c r="CU218" s="8">
        <v>2.5479209050536154E-2</v>
      </c>
      <c r="CV218" s="9">
        <v>-6.7200824141502382</v>
      </c>
      <c r="CW218">
        <v>0.06</v>
      </c>
      <c r="CX218">
        <v>10.248845767735597</v>
      </c>
      <c r="CY218">
        <v>1991944991.9198623</v>
      </c>
      <c r="CZ218">
        <v>2.5479209050536154E-2</v>
      </c>
      <c r="DA218">
        <v>3.5386826743926547</v>
      </c>
      <c r="DB218">
        <v>5769134697.42066</v>
      </c>
      <c r="DC218">
        <v>2.4205248598009346E-2</v>
      </c>
      <c r="DD218">
        <v>1.8714800516337442</v>
      </c>
      <c r="DE218">
        <v>10908551754.093353</v>
      </c>
      <c r="DF218">
        <v>2.2421703964471816E-2</v>
      </c>
      <c r="DG218">
        <v>1.2153003609953799</v>
      </c>
      <c r="DH218">
        <v>16798429141.647898</v>
      </c>
      <c r="DI218">
        <v>2.0383367240428926E-2</v>
      </c>
      <c r="DJ218">
        <v>0.73880860707930274</v>
      </c>
      <c r="DK218">
        <v>27632511051.415874</v>
      </c>
      <c r="DL218">
        <v>1.7835446335375305E-2</v>
      </c>
      <c r="DM218">
        <v>2059000000</v>
      </c>
      <c r="DN218">
        <v>2.5479209050536154E-2</v>
      </c>
      <c r="DO218">
        <v>20415137000</v>
      </c>
      <c r="DP218" t="e">
        <v>#VALUE!</v>
      </c>
      <c r="DQ218">
        <v>225</v>
      </c>
      <c r="DR218" t="e">
        <v>#VALUE!</v>
      </c>
      <c r="DS218">
        <v>6.4593824141502383</v>
      </c>
      <c r="DT218" t="e">
        <v>#VALUE!</v>
      </c>
      <c r="DU218" t="e">
        <v>#VALUE!</v>
      </c>
      <c r="DV218" t="e">
        <v>#VALUE!</v>
      </c>
      <c r="DW218">
        <v>-4</v>
      </c>
      <c r="DX218">
        <v>0.40275639097744231</v>
      </c>
      <c r="DY218">
        <v>-4</v>
      </c>
      <c r="DZ218">
        <v>0</v>
      </c>
      <c r="EA218">
        <v>-4</v>
      </c>
      <c r="EB218">
        <v>4</v>
      </c>
      <c r="EC218">
        <v>5.7893531915713036E-3</v>
      </c>
      <c r="ED218">
        <v>3.5570665807978311E-2</v>
      </c>
      <c r="EE218">
        <v>0</v>
      </c>
      <c r="EF218">
        <v>0</v>
      </c>
      <c r="EG218">
        <v>24.162756390977442</v>
      </c>
      <c r="EH218" t="s">
        <v>110</v>
      </c>
      <c r="EI218">
        <v>0</v>
      </c>
      <c r="EJ218">
        <v>0</v>
      </c>
      <c r="EK218">
        <v>0</v>
      </c>
      <c r="EL218">
        <v>0</v>
      </c>
      <c r="EM218">
        <v>0</v>
      </c>
      <c r="EN218">
        <v>0</v>
      </c>
      <c r="EO218">
        <v>0</v>
      </c>
      <c r="EP218">
        <v>0</v>
      </c>
    </row>
    <row r="219" spans="1:146" ht="96" x14ac:dyDescent="0.25">
      <c r="A219" s="7"/>
      <c r="B219" s="7"/>
      <c r="C219" s="7" t="str">
        <f>""&amp;CHAR(10)&amp;Basic_Fundamental_Information_Constructure(F219)&amp;CHAR(10)&amp;Basic_Fundamental_Information_Concatenate("")</f>
        <v xml:space="preserve">
市值28.405816亿, 利润1.54亿; PE18.48; 平均PE2.94; 平均PEG.13, PB.503; ROIC11.3333%; ROE14.8167%; 股利率0%; 毛利9.2733%; 净利2.5467%; 上一年度营收增-3.16%, 利润增-89.21%, 利润增-73.85%; 过往5年营收增22.44%, 利润增10.78%
Income profile:
</v>
      </c>
      <c r="D219" s="11">
        <v>1268</v>
      </c>
      <c r="E219" t="s">
        <v>3391</v>
      </c>
      <c r="F219">
        <v>2.11</v>
      </c>
      <c r="G219" s="5">
        <v>-3.2099999999999997E-2</v>
      </c>
      <c r="H219" t="s">
        <v>9248</v>
      </c>
      <c r="I219">
        <v>2840581600</v>
      </c>
      <c r="J219">
        <v>18.48</v>
      </c>
      <c r="K219">
        <v>0.503</v>
      </c>
      <c r="L219" t="s">
        <v>6350</v>
      </c>
      <c r="M219" t="s">
        <v>9</v>
      </c>
      <c r="N219" t="s">
        <v>9</v>
      </c>
      <c r="O219" t="s">
        <v>9</v>
      </c>
      <c r="P219" t="s">
        <v>9</v>
      </c>
      <c r="Q219" t="s">
        <v>9249</v>
      </c>
      <c r="R219">
        <v>153690530</v>
      </c>
      <c r="S219" s="5">
        <v>-0.73850000000000005</v>
      </c>
      <c r="T219" t="s">
        <v>629</v>
      </c>
      <c r="U219">
        <v>1346247200</v>
      </c>
      <c r="V219">
        <v>1346247200</v>
      </c>
      <c r="W219" t="s">
        <v>9</v>
      </c>
      <c r="X219" t="s">
        <v>9</v>
      </c>
      <c r="Y219" t="s">
        <v>9</v>
      </c>
      <c r="Z219" t="s">
        <v>9</v>
      </c>
      <c r="AA219" t="s">
        <v>9</v>
      </c>
      <c r="AB219" t="s">
        <v>9</v>
      </c>
      <c r="AC219" t="s">
        <v>9</v>
      </c>
      <c r="AD219" t="s">
        <v>9</v>
      </c>
      <c r="AE219" t="s">
        <v>9</v>
      </c>
      <c r="AF219" t="s">
        <v>9</v>
      </c>
      <c r="AG219" t="s">
        <v>9</v>
      </c>
      <c r="AH219" t="s">
        <v>9250</v>
      </c>
      <c r="AI219" t="s">
        <v>9</v>
      </c>
      <c r="AJ219" t="s">
        <v>9</v>
      </c>
      <c r="AK219" t="s">
        <v>9251</v>
      </c>
      <c r="AL219" t="s">
        <v>9</v>
      </c>
      <c r="AM219" t="s">
        <v>9</v>
      </c>
      <c r="AN219" s="5">
        <v>0.62829999999999997</v>
      </c>
      <c r="AO219" t="s">
        <v>9</v>
      </c>
      <c r="AP219" t="s">
        <v>1544</v>
      </c>
      <c r="AQ219" t="s">
        <v>9</v>
      </c>
      <c r="AR219" t="s">
        <v>3355</v>
      </c>
      <c r="AS219" t="s">
        <v>9</v>
      </c>
      <c r="AT219" t="s">
        <v>9</v>
      </c>
      <c r="AU219" t="s">
        <v>2583</v>
      </c>
      <c r="AV219" t="s">
        <v>202</v>
      </c>
      <c r="AW219" t="s">
        <v>9</v>
      </c>
      <c r="AX219" t="s">
        <v>3392</v>
      </c>
      <c r="AY219" t="s">
        <v>3395</v>
      </c>
      <c r="AZ219" t="s">
        <v>3396</v>
      </c>
      <c r="BA219" t="s">
        <v>3397</v>
      </c>
      <c r="BB219" t="s">
        <v>3398</v>
      </c>
      <c r="BC219" t="s">
        <v>2927</v>
      </c>
      <c r="BD219" t="s">
        <v>2583</v>
      </c>
      <c r="BE219" t="s">
        <v>2624</v>
      </c>
      <c r="BF219" t="s">
        <v>982</v>
      </c>
      <c r="BG219" t="s">
        <v>906</v>
      </c>
      <c r="BH219" t="s">
        <v>3392</v>
      </c>
      <c r="BI219" t="s">
        <v>9</v>
      </c>
      <c r="BJ219" t="s">
        <v>3395</v>
      </c>
      <c r="BK219" t="s">
        <v>3393</v>
      </c>
      <c r="BL219" t="s">
        <v>9</v>
      </c>
      <c r="BM219" t="s">
        <v>2927</v>
      </c>
      <c r="BN219">
        <v>1.62</v>
      </c>
      <c r="BO219">
        <v>7.61</v>
      </c>
      <c r="BP219">
        <v>24.77</v>
      </c>
      <c r="BQ219">
        <v>2.72</v>
      </c>
      <c r="BR219">
        <v>12.19</v>
      </c>
      <c r="BS219">
        <v>29.54</v>
      </c>
      <c r="BT219" t="s">
        <v>9252</v>
      </c>
      <c r="BU219" t="s">
        <v>1541</v>
      </c>
      <c r="BV219">
        <v>7.28</v>
      </c>
      <c r="BW219">
        <v>8.7899999999999991</v>
      </c>
      <c r="BX219">
        <v>11.75</v>
      </c>
      <c r="BY219">
        <v>0.55000000000000004</v>
      </c>
      <c r="BZ219">
        <v>1.94</v>
      </c>
      <c r="CA219">
        <v>5.15</v>
      </c>
      <c r="CB219">
        <v>1.93</v>
      </c>
      <c r="CC219">
        <v>-23.38</v>
      </c>
      <c r="CD219" t="s">
        <v>9253</v>
      </c>
      <c r="CE219" t="s">
        <v>4245</v>
      </c>
      <c r="CF219" s="8" t="s">
        <v>9</v>
      </c>
      <c r="CG219" s="9">
        <v>-0.73850000000000005</v>
      </c>
      <c r="CH219" s="8">
        <v>-3.1647287309169769E-2</v>
      </c>
      <c r="CI219" s="8">
        <v>0.11967434734106064</v>
      </c>
      <c r="CJ219" s="8">
        <v>0.19867138564586639</v>
      </c>
      <c r="CK219" s="8">
        <v>0.91135627031326294</v>
      </c>
      <c r="CL219" s="8">
        <v>0.36803823709487915</v>
      </c>
      <c r="CM219" s="9">
        <v>-0.89208132028579712</v>
      </c>
      <c r="CN219" s="9">
        <v>0.59441345930099487</v>
      </c>
      <c r="CO219" s="9">
        <v>0.45292207598686218</v>
      </c>
      <c r="CP219" s="9">
        <v>0.49152541160583496</v>
      </c>
      <c r="CQ219" s="9">
        <v>0.24773414433002472</v>
      </c>
      <c r="CR219">
        <v>2.939039420589757</v>
      </c>
      <c r="CS219">
        <v>0.13094566496960486</v>
      </c>
      <c r="CT219">
        <v>0</v>
      </c>
      <c r="CU219" s="8">
        <v>0.22444724850356579</v>
      </c>
      <c r="CV219" s="9">
        <v>0.10775768905878066</v>
      </c>
      <c r="CW219">
        <v>0.06</v>
      </c>
      <c r="CX219">
        <v>15.968066564506008</v>
      </c>
      <c r="CY219">
        <v>177891392.70712182</v>
      </c>
      <c r="CZ219">
        <v>0.22444724850356579</v>
      </c>
      <c r="DA219">
        <v>4.6650848926592374</v>
      </c>
      <c r="DB219">
        <v>608902445.58460414</v>
      </c>
      <c r="DC219">
        <v>0.21322488607838749</v>
      </c>
      <c r="DD219">
        <v>1.9631059161178259</v>
      </c>
      <c r="DE219">
        <v>1446983362.7812815</v>
      </c>
      <c r="DF219">
        <v>0.1975135786831379</v>
      </c>
      <c r="DG219">
        <v>0.97801455258790759</v>
      </c>
      <c r="DH219">
        <v>2904436945.732132</v>
      </c>
      <c r="DI219">
        <v>0.17955779880285264</v>
      </c>
      <c r="DJ219">
        <v>0.32433996303719725</v>
      </c>
      <c r="DK219">
        <v>8758037626.3230476</v>
      </c>
      <c r="DL219">
        <v>0.15711307395249605</v>
      </c>
      <c r="DM219">
        <v>154000000</v>
      </c>
      <c r="DN219">
        <v>0.22444724850356579</v>
      </c>
      <c r="DO219">
        <v>2840581600</v>
      </c>
      <c r="DP219" t="e">
        <v>#VALUE!</v>
      </c>
      <c r="DQ219">
        <v>218</v>
      </c>
      <c r="DR219" t="e">
        <v>#VALUE!</v>
      </c>
      <c r="DS219">
        <v>-0.84625768905878074</v>
      </c>
      <c r="DT219" t="e">
        <v>#VALUE!</v>
      </c>
      <c r="DU219" t="e">
        <v>#VALUE!</v>
      </c>
      <c r="DV219" t="e">
        <v>#VALUE!</v>
      </c>
      <c r="DW219">
        <v>-3.0834642857142858</v>
      </c>
      <c r="DX219">
        <v>0.2709205776173268</v>
      </c>
      <c r="DY219">
        <v>-3.0084232639247035</v>
      </c>
      <c r="DZ219">
        <v>0</v>
      </c>
      <c r="EA219">
        <v>-3.0084232639247035</v>
      </c>
      <c r="EB219">
        <v>3</v>
      </c>
      <c r="EC219">
        <v>2.0765131396373565E-2</v>
      </c>
      <c r="ED219">
        <v>0.20575715960634866</v>
      </c>
      <c r="EE219">
        <v>0</v>
      </c>
      <c r="EF219">
        <v>0</v>
      </c>
      <c r="EG219">
        <v>17.100920577617327</v>
      </c>
      <c r="EH219" t="s">
        <v>110</v>
      </c>
      <c r="EI219">
        <v>0</v>
      </c>
      <c r="EJ219">
        <v>0</v>
      </c>
      <c r="EK219">
        <v>0</v>
      </c>
      <c r="EL219">
        <v>0</v>
      </c>
      <c r="EM219">
        <v>0</v>
      </c>
      <c r="EN219">
        <v>0</v>
      </c>
      <c r="EO219">
        <v>0</v>
      </c>
      <c r="EP219">
        <v>0</v>
      </c>
    </row>
    <row r="220" spans="1:146" ht="96" x14ac:dyDescent="0.25">
      <c r="A220" s="7"/>
      <c r="B220" s="7"/>
      <c r="C220" s="7" t="str">
        <f>""&amp;CHAR(10)&amp;Basic_Fundamental_Information_Constructure(F220)&amp;CHAR(10)&amp;Basic_Fundamental_Information_Concatenate("")</f>
        <v xml:space="preserve">
市值11619.4367亿, 利润2776.60亿; PE4.28; 平均PE24.71; 平均PEG13.66, PB.37; ROIC0%; ROE9.0867%; 毛利0%; 净利36.6467%; 上一年度营收增-4.33%, 利润增-.28%; 当季营收增-13.4%, 利润增-7.17%; 过往5年营收增1.81%, 利润增78.43%
Income profile:
</v>
      </c>
      <c r="D220" s="11">
        <v>1288</v>
      </c>
      <c r="E220" t="s">
        <v>3400</v>
      </c>
      <c r="F220">
        <v>3.32</v>
      </c>
      <c r="G220" s="5">
        <v>-1.78E-2</v>
      </c>
      <c r="H220" t="s">
        <v>22</v>
      </c>
      <c r="I220">
        <v>1161943670000</v>
      </c>
      <c r="J220">
        <v>4.28</v>
      </c>
      <c r="K220">
        <v>0.37</v>
      </c>
      <c r="L220" t="s">
        <v>6350</v>
      </c>
      <c r="M220" t="s">
        <v>9254</v>
      </c>
      <c r="N220" t="s">
        <v>9255</v>
      </c>
      <c r="O220" t="s">
        <v>9256</v>
      </c>
      <c r="P220" t="s">
        <v>9</v>
      </c>
      <c r="Q220" t="s">
        <v>9257</v>
      </c>
      <c r="R220">
        <v>277659790000</v>
      </c>
      <c r="S220" s="5">
        <v>-7.17E-2</v>
      </c>
      <c r="T220" t="s">
        <v>9258</v>
      </c>
      <c r="U220">
        <v>30738823000</v>
      </c>
      <c r="V220">
        <v>349983030000</v>
      </c>
      <c r="W220">
        <v>14.09</v>
      </c>
      <c r="X220">
        <v>0</v>
      </c>
      <c r="Y220">
        <v>41.83</v>
      </c>
      <c r="Z220" t="s">
        <v>9</v>
      </c>
      <c r="AA220" t="s">
        <v>9</v>
      </c>
      <c r="AB220" t="s">
        <v>9</v>
      </c>
      <c r="AC220" t="s">
        <v>9</v>
      </c>
      <c r="AD220" t="s">
        <v>9</v>
      </c>
      <c r="AE220" t="s">
        <v>9</v>
      </c>
      <c r="AF220" t="s">
        <v>9</v>
      </c>
      <c r="AG220" t="s">
        <v>9259</v>
      </c>
      <c r="AH220" t="s">
        <v>9260</v>
      </c>
      <c r="AI220" t="s">
        <v>9</v>
      </c>
      <c r="AJ220" t="s">
        <v>9</v>
      </c>
      <c r="AK220" t="s">
        <v>9261</v>
      </c>
      <c r="AL220" t="s">
        <v>9</v>
      </c>
      <c r="AM220" t="s">
        <v>9262</v>
      </c>
      <c r="AN220" s="5">
        <v>0.92889999999999995</v>
      </c>
      <c r="AO220" t="s">
        <v>9</v>
      </c>
      <c r="AP220" t="s">
        <v>9</v>
      </c>
      <c r="AQ220" t="s">
        <v>9</v>
      </c>
      <c r="AR220" t="s">
        <v>9</v>
      </c>
      <c r="AS220" t="s">
        <v>9</v>
      </c>
      <c r="AT220" t="s">
        <v>9</v>
      </c>
      <c r="AU220" t="s">
        <v>9263</v>
      </c>
      <c r="AV220" t="s">
        <v>9264</v>
      </c>
      <c r="AW220" t="s">
        <v>9265</v>
      </c>
      <c r="AX220" t="s">
        <v>9266</v>
      </c>
      <c r="AY220" t="s">
        <v>3402</v>
      </c>
      <c r="AZ220" t="s">
        <v>3403</v>
      </c>
      <c r="BA220" t="s">
        <v>3404</v>
      </c>
      <c r="BB220" t="s">
        <v>3405</v>
      </c>
      <c r="BC220" t="s">
        <v>3406</v>
      </c>
      <c r="BD220" t="s">
        <v>3407</v>
      </c>
      <c r="BE220" t="s">
        <v>3408</v>
      </c>
      <c r="BF220" t="s">
        <v>3409</v>
      </c>
      <c r="BG220" t="s">
        <v>3410</v>
      </c>
      <c r="BH220" t="s">
        <v>9266</v>
      </c>
      <c r="BI220" t="s">
        <v>3411</v>
      </c>
      <c r="BJ220" t="s">
        <v>3402</v>
      </c>
      <c r="BK220" t="s">
        <v>3401</v>
      </c>
      <c r="BL220" t="s">
        <v>9267</v>
      </c>
      <c r="BM220" t="s">
        <v>3406</v>
      </c>
      <c r="BN220" t="s">
        <v>9</v>
      </c>
      <c r="BO220" t="s">
        <v>9</v>
      </c>
      <c r="BP220" t="s">
        <v>9</v>
      </c>
      <c r="BQ220">
        <v>8.77</v>
      </c>
      <c r="BR220">
        <v>9.07</v>
      </c>
      <c r="BS220">
        <v>9.42</v>
      </c>
      <c r="BT220" t="s">
        <v>9268</v>
      </c>
      <c r="BU220" t="s">
        <v>422</v>
      </c>
      <c r="BV220" t="s">
        <v>9</v>
      </c>
      <c r="BW220" t="s">
        <v>9</v>
      </c>
      <c r="BX220" t="s">
        <v>9</v>
      </c>
      <c r="BY220">
        <v>39.76</v>
      </c>
      <c r="BZ220">
        <v>35.950000000000003</v>
      </c>
      <c r="CA220">
        <v>34.229999999999997</v>
      </c>
      <c r="CB220">
        <v>-3.49</v>
      </c>
      <c r="CC220">
        <v>-3.12</v>
      </c>
      <c r="CD220" t="s">
        <v>2845</v>
      </c>
      <c r="CE220" t="s">
        <v>2709</v>
      </c>
      <c r="CF220" s="8">
        <v>-0.13399891452781948</v>
      </c>
      <c r="CG220" s="9">
        <v>-7.17E-2</v>
      </c>
      <c r="CH220" s="8">
        <v>-4.3318413197994232E-2</v>
      </c>
      <c r="CI220" s="8">
        <v>-0.1013268381357193</v>
      </c>
      <c r="CJ220" s="8">
        <v>8.9098170399665833E-2</v>
      </c>
      <c r="CK220" s="8">
        <v>0.15814979374408722</v>
      </c>
      <c r="CL220" s="8">
        <v>4.8065528273582458E-2</v>
      </c>
      <c r="CM220" s="9">
        <v>-2.7762409299612045E-3</v>
      </c>
      <c r="CN220" s="9">
        <v>0.13183224201202393</v>
      </c>
      <c r="CO220" s="9">
        <v>3.7895552814006805E-2</v>
      </c>
      <c r="CP220" s="9">
        <v>2.6553917676210403E-2</v>
      </c>
      <c r="CQ220" s="9">
        <v>-1.9581450615078211E-3</v>
      </c>
      <c r="CR220">
        <v>24.708537192191553</v>
      </c>
      <c r="CS220">
        <v>13.661189614206485</v>
      </c>
      <c r="CT220" t="e">
        <v>#VALUE!</v>
      </c>
      <c r="CU220" s="8">
        <v>1.8086665868759157E-2</v>
      </c>
      <c r="CV220" s="9">
        <v>0.78431395292282102</v>
      </c>
      <c r="CW220">
        <v>0.06</v>
      </c>
      <c r="CX220">
        <v>150.60258805792671</v>
      </c>
      <c r="CY220">
        <v>266681078910.4902</v>
      </c>
      <c r="CZ220">
        <v>1.8086665868759157E-2</v>
      </c>
      <c r="DA220">
        <v>52.330886952824194</v>
      </c>
      <c r="DB220">
        <v>767479074188.18347</v>
      </c>
      <c r="DC220">
        <v>1.7182332575321198E-2</v>
      </c>
      <c r="DD220">
        <v>27.89881374899824</v>
      </c>
      <c r="DE220">
        <v>1439590264709.4492</v>
      </c>
      <c r="DF220">
        <v>1.5916265964508059E-2</v>
      </c>
      <c r="DG220">
        <v>18.269726504475816</v>
      </c>
      <c r="DH220">
        <v>2198328511385.252</v>
      </c>
      <c r="DI220">
        <v>1.4469332695007326E-2</v>
      </c>
      <c r="DJ220">
        <v>11.288966377032157</v>
      </c>
      <c r="DK220">
        <v>3557709300269.7671</v>
      </c>
      <c r="DL220">
        <v>1.2660666108131409E-2</v>
      </c>
      <c r="DM220">
        <v>277660000000</v>
      </c>
      <c r="DN220">
        <v>1.8086665868759157E-2</v>
      </c>
      <c r="DO220">
        <v>40162860670000</v>
      </c>
      <c r="DP220" t="e">
        <v>#VALUE!</v>
      </c>
      <c r="DQ220">
        <v>219</v>
      </c>
      <c r="DR220">
        <v>-0.15208558039657863</v>
      </c>
      <c r="DS220">
        <v>-0.85601395292282101</v>
      </c>
      <c r="DT220">
        <v>-0.44</v>
      </c>
      <c r="DU220">
        <v>1.345</v>
      </c>
      <c r="DV220">
        <v>0.90500000000000003</v>
      </c>
      <c r="DW220">
        <v>-4.8939828080229226</v>
      </c>
      <c r="DX220">
        <v>0.33947047318812507</v>
      </c>
      <c r="DY220">
        <v>-4.097864721016319</v>
      </c>
      <c r="DZ220">
        <v>0</v>
      </c>
      <c r="EA220">
        <v>-4.097864721016319</v>
      </c>
      <c r="EB220">
        <v>4</v>
      </c>
      <c r="EC220">
        <v>1.8429464994345582E-3</v>
      </c>
      <c r="ED220">
        <v>1.6835101976230105E-2</v>
      </c>
      <c r="EE220">
        <v>0</v>
      </c>
      <c r="EF220">
        <v>0</v>
      </c>
      <c r="EG220">
        <v>23.109470473188125</v>
      </c>
      <c r="EH220" t="s">
        <v>110</v>
      </c>
      <c r="EI220">
        <v>0</v>
      </c>
      <c r="EJ220">
        <v>0</v>
      </c>
      <c r="EK220">
        <v>0</v>
      </c>
      <c r="EL220">
        <v>0</v>
      </c>
      <c r="EM220">
        <v>0</v>
      </c>
      <c r="EN220">
        <v>0</v>
      </c>
      <c r="EO220">
        <v>0</v>
      </c>
      <c r="EP220">
        <v>0</v>
      </c>
    </row>
    <row r="221" spans="1:146" ht="96" x14ac:dyDescent="0.25">
      <c r="A221" s="7"/>
      <c r="B221" s="7"/>
      <c r="C221" s="7" t="str">
        <f>""&amp;CHAR(10)&amp;Basic_Fundamental_Information_Constructure(F221)&amp;CHAR(10)&amp;Basic_Fundamental_Information_Concatenate("")</f>
        <v xml:space="preserve">
市值5964.2179亿, 利润294.01亿; PE20.29; 平均PE117.26; 平均PEG20.75, PB1.86; ROIC0%; ROE7.3933%; 毛利0%; 净利9.9333%; 上一年度营收增305.32%, 利润增-49.24%, 利润增13.04%; 过往5年营收增5.65%, 利润增-21.49%
Income profile:
</v>
      </c>
      <c r="D221" s="11">
        <v>1299</v>
      </c>
      <c r="E221" t="s">
        <v>3412</v>
      </c>
      <c r="F221">
        <v>53.25</v>
      </c>
      <c r="G221" s="5">
        <v>-2.1999999999999999E-2</v>
      </c>
      <c r="H221" t="s">
        <v>9269</v>
      </c>
      <c r="I221">
        <v>596421790000</v>
      </c>
      <c r="J221">
        <v>20.29</v>
      </c>
      <c r="K221">
        <v>1.86</v>
      </c>
      <c r="L221" t="s">
        <v>6350</v>
      </c>
      <c r="M221" t="s">
        <v>9</v>
      </c>
      <c r="N221" t="s">
        <v>9</v>
      </c>
      <c r="O221" t="s">
        <v>9</v>
      </c>
      <c r="P221" t="s">
        <v>9</v>
      </c>
      <c r="Q221" t="s">
        <v>9270</v>
      </c>
      <c r="R221">
        <v>29400604000</v>
      </c>
      <c r="S221" s="5">
        <v>0.13039999999999999</v>
      </c>
      <c r="T221" t="s">
        <v>9271</v>
      </c>
      <c r="U221">
        <v>11237981000</v>
      </c>
      <c r="V221">
        <v>11237981000</v>
      </c>
      <c r="W221" t="s">
        <v>9</v>
      </c>
      <c r="X221" t="s">
        <v>9</v>
      </c>
      <c r="Y221" t="s">
        <v>9</v>
      </c>
      <c r="Z221" t="s">
        <v>9</v>
      </c>
      <c r="AA221" t="s">
        <v>9</v>
      </c>
      <c r="AB221" t="s">
        <v>9</v>
      </c>
      <c r="AC221" t="s">
        <v>9</v>
      </c>
      <c r="AD221" t="s">
        <v>9</v>
      </c>
      <c r="AE221" t="s">
        <v>9</v>
      </c>
      <c r="AF221" t="s">
        <v>9</v>
      </c>
      <c r="AG221" t="s">
        <v>9</v>
      </c>
      <c r="AH221" t="s">
        <v>9272</v>
      </c>
      <c r="AI221" t="s">
        <v>9</v>
      </c>
      <c r="AJ221" t="s">
        <v>9</v>
      </c>
      <c r="AK221" t="s">
        <v>9273</v>
      </c>
      <c r="AL221" t="s">
        <v>9</v>
      </c>
      <c r="AM221" t="s">
        <v>9</v>
      </c>
      <c r="AN221" s="5">
        <v>0.85470000000000002</v>
      </c>
      <c r="AO221" t="s">
        <v>9</v>
      </c>
      <c r="AP221" t="s">
        <v>9</v>
      </c>
      <c r="AQ221" t="s">
        <v>9</v>
      </c>
      <c r="AR221" t="s">
        <v>9</v>
      </c>
      <c r="AS221" t="s">
        <v>9</v>
      </c>
      <c r="AT221" t="s">
        <v>9</v>
      </c>
      <c r="AU221" t="s">
        <v>9274</v>
      </c>
      <c r="AV221" t="s">
        <v>9275</v>
      </c>
      <c r="AW221" t="s">
        <v>9</v>
      </c>
      <c r="AX221" t="s">
        <v>9276</v>
      </c>
      <c r="AY221" t="s">
        <v>3414</v>
      </c>
      <c r="AZ221" t="s">
        <v>3415</v>
      </c>
      <c r="BA221" t="s">
        <v>3416</v>
      </c>
      <c r="BB221" t="s">
        <v>3417</v>
      </c>
      <c r="BC221" t="s">
        <v>3418</v>
      </c>
      <c r="BD221" t="s">
        <v>3419</v>
      </c>
      <c r="BE221" t="s">
        <v>3420</v>
      </c>
      <c r="BF221" t="s">
        <v>3421</v>
      </c>
      <c r="BG221" t="s">
        <v>3422</v>
      </c>
      <c r="BH221" t="s">
        <v>9276</v>
      </c>
      <c r="BI221" t="s">
        <v>9</v>
      </c>
      <c r="BJ221" t="s">
        <v>3414</v>
      </c>
      <c r="BK221" t="s">
        <v>3413</v>
      </c>
      <c r="BL221" t="s">
        <v>9</v>
      </c>
      <c r="BM221" t="s">
        <v>3418</v>
      </c>
      <c r="BN221" t="s">
        <v>9</v>
      </c>
      <c r="BO221" t="s">
        <v>9</v>
      </c>
      <c r="BP221" t="s">
        <v>9</v>
      </c>
      <c r="BQ221">
        <v>9.16</v>
      </c>
      <c r="BR221">
        <v>0.74</v>
      </c>
      <c r="BS221">
        <v>12.28</v>
      </c>
      <c r="BT221" t="s">
        <v>9277</v>
      </c>
      <c r="BU221" t="s">
        <v>2704</v>
      </c>
      <c r="BV221" t="s">
        <v>9</v>
      </c>
      <c r="BW221" t="s">
        <v>9</v>
      </c>
      <c r="BX221" t="s">
        <v>9</v>
      </c>
      <c r="BY221">
        <v>12.4</v>
      </c>
      <c r="BZ221">
        <v>1.67</v>
      </c>
      <c r="CA221">
        <v>15.73</v>
      </c>
      <c r="CB221">
        <v>-4.83</v>
      </c>
      <c r="CC221">
        <v>-13.71</v>
      </c>
      <c r="CD221" t="s">
        <v>6493</v>
      </c>
      <c r="CE221" t="s">
        <v>9278</v>
      </c>
      <c r="CF221" s="8" t="s">
        <v>9</v>
      </c>
      <c r="CG221" s="9">
        <v>0.13039999999999999</v>
      </c>
      <c r="CH221" s="8">
        <v>3.0531606674194336</v>
      </c>
      <c r="CI221" s="8">
        <v>-1.3129736185073853</v>
      </c>
      <c r="CJ221" s="8">
        <v>-5.0797518342733383E-2</v>
      </c>
      <c r="CK221" s="8">
        <v>0.53968983888626099</v>
      </c>
      <c r="CL221" s="8">
        <v>-0.15335659682750702</v>
      </c>
      <c r="CM221" s="9">
        <v>-0.49235096573829651</v>
      </c>
      <c r="CN221" s="9">
        <v>0.29262351989746094</v>
      </c>
      <c r="CO221" s="9">
        <v>-0.13450393080711365</v>
      </c>
      <c r="CP221" s="9">
        <v>1.5445072650909424</v>
      </c>
      <c r="CQ221" s="9">
        <v>-0.59919226169586182</v>
      </c>
      <c r="CR221">
        <v>117.26351672838089</v>
      </c>
      <c r="CS221">
        <v>20.748047678160034</v>
      </c>
      <c r="CT221" t="e">
        <v>#VALUE!</v>
      </c>
      <c r="CU221" s="8">
        <v>5.651785582304001E-2</v>
      </c>
      <c r="CV221" s="9">
        <v>-0.21494856923818589</v>
      </c>
      <c r="CW221">
        <v>0.06</v>
      </c>
      <c r="CX221">
        <v>20.352624670420756</v>
      </c>
      <c r="CY221">
        <v>29304416489.672829</v>
      </c>
      <c r="CZ221">
        <v>5.651785582304001E-2</v>
      </c>
      <c r="DA221">
        <v>6.8430447985066669</v>
      </c>
      <c r="DB221">
        <v>87157370375.560745</v>
      </c>
      <c r="DC221">
        <v>5.3691963031888008E-2</v>
      </c>
      <c r="DD221">
        <v>3.4976053839373633</v>
      </c>
      <c r="DE221">
        <v>170522893388.44437</v>
      </c>
      <c r="DF221">
        <v>4.9735713124275209E-2</v>
      </c>
      <c r="DG221">
        <v>2.1897315651473748</v>
      </c>
      <c r="DH221">
        <v>272372102358.51865</v>
      </c>
      <c r="DI221">
        <v>4.5214284658432011E-2</v>
      </c>
      <c r="DJ221">
        <v>1.2365405824205136</v>
      </c>
      <c r="DK221">
        <v>482330946900.67627</v>
      </c>
      <c r="DL221">
        <v>3.9562499076128008E-2</v>
      </c>
      <c r="DM221">
        <v>29401000000</v>
      </c>
      <c r="DN221">
        <v>5.651785582304001E-2</v>
      </c>
      <c r="DO221">
        <v>596421790000</v>
      </c>
      <c r="DP221" t="e">
        <v>#VALUE!</v>
      </c>
      <c r="DQ221">
        <v>220</v>
      </c>
      <c r="DR221" t="e">
        <v>#VALUE!</v>
      </c>
      <c r="DS221">
        <v>0.34534856923818591</v>
      </c>
      <c r="DT221" t="e">
        <v>#VALUE!</v>
      </c>
      <c r="DU221" t="e">
        <v>#VALUE!</v>
      </c>
      <c r="DV221" t="e">
        <v>#VALUE!</v>
      </c>
      <c r="DW221">
        <v>-8.3522975929978109</v>
      </c>
      <c r="DX221">
        <v>0.55250539956803635</v>
      </c>
      <c r="DY221">
        <v>-8.064296212976922</v>
      </c>
      <c r="DZ221">
        <v>0</v>
      </c>
      <c r="EA221">
        <v>-8.064296212976922</v>
      </c>
      <c r="EB221">
        <v>8</v>
      </c>
      <c r="EC221">
        <v>1.503828846124584E-2</v>
      </c>
      <c r="ED221">
        <v>8.2399142692980168E-2</v>
      </c>
      <c r="EE221">
        <v>0</v>
      </c>
      <c r="EF221">
        <v>0</v>
      </c>
      <c r="EG221">
        <v>37.182505399568036</v>
      </c>
      <c r="EH221" t="s">
        <v>110</v>
      </c>
      <c r="EI221">
        <v>0</v>
      </c>
      <c r="EJ221">
        <v>0</v>
      </c>
      <c r="EK221">
        <v>0</v>
      </c>
      <c r="EL221">
        <v>0</v>
      </c>
      <c r="EM221">
        <v>0</v>
      </c>
      <c r="EN221">
        <v>0</v>
      </c>
      <c r="EO221">
        <v>0</v>
      </c>
      <c r="EP221">
        <v>0</v>
      </c>
    </row>
    <row r="222" spans="1:146" ht="96" x14ac:dyDescent="0.25">
      <c r="A222" s="7"/>
      <c r="B222" s="7"/>
      <c r="C222" s="7" t="str">
        <f>""&amp;CHAR(10)&amp;Basic_Fundamental_Information_Constructure(F222)&amp;CHAR(10)&amp;Basic_Fundamental_Information_Concatenate("")</f>
        <v xml:space="preserve">
市值64.364122亿, 利润2.89亿; PE22.3; 平均PE8.66; 平均PEG.38, PB1.74; ROIC10.7%; ROE10.2367%; 股利率0%; 毛利79.6667%; 净利22.7167%; 上一年度营收增12.2%, 利润增-19.27%, 利润增-21.37%; 过往5年营收增22.92%, 利润增89.99%
Income profile:
</v>
      </c>
      <c r="D222" s="11">
        <v>1302</v>
      </c>
      <c r="E222" t="s">
        <v>3424</v>
      </c>
      <c r="F222">
        <v>1.39</v>
      </c>
      <c r="G222" s="5">
        <v>-3.4700000000000002E-2</v>
      </c>
      <c r="H222" t="s">
        <v>9279</v>
      </c>
      <c r="I222">
        <v>6436412200</v>
      </c>
      <c r="J222">
        <v>22.3</v>
      </c>
      <c r="K222">
        <v>1.74</v>
      </c>
      <c r="L222" t="s">
        <v>6350</v>
      </c>
      <c r="M222" t="s">
        <v>9</v>
      </c>
      <c r="N222" t="s">
        <v>9</v>
      </c>
      <c r="O222" t="s">
        <v>9</v>
      </c>
      <c r="P222" t="s">
        <v>9</v>
      </c>
      <c r="Q222" t="s">
        <v>846</v>
      </c>
      <c r="R222">
        <v>288565880</v>
      </c>
      <c r="S222" s="5">
        <v>-0.2137</v>
      </c>
      <c r="T222" t="s">
        <v>6394</v>
      </c>
      <c r="U222">
        <v>4630512400</v>
      </c>
      <c r="V222">
        <v>4630512400</v>
      </c>
      <c r="W222" t="s">
        <v>9</v>
      </c>
      <c r="X222" t="s">
        <v>9</v>
      </c>
      <c r="Y222" t="s">
        <v>9</v>
      </c>
      <c r="Z222" t="s">
        <v>9</v>
      </c>
      <c r="AA222" t="s">
        <v>9</v>
      </c>
      <c r="AB222" t="s">
        <v>9</v>
      </c>
      <c r="AC222" t="s">
        <v>9</v>
      </c>
      <c r="AD222" t="s">
        <v>6425</v>
      </c>
      <c r="AE222" t="s">
        <v>9</v>
      </c>
      <c r="AF222" t="s">
        <v>9</v>
      </c>
      <c r="AG222" t="s">
        <v>9</v>
      </c>
      <c r="AH222" t="s">
        <v>9280</v>
      </c>
      <c r="AI222" t="s">
        <v>9</v>
      </c>
      <c r="AJ222" t="s">
        <v>9</v>
      </c>
      <c r="AK222" t="s">
        <v>9281</v>
      </c>
      <c r="AL222" t="s">
        <v>9</v>
      </c>
      <c r="AM222" t="s">
        <v>9</v>
      </c>
      <c r="AN222" s="5">
        <v>0.29220000000000002</v>
      </c>
      <c r="AO222" t="s">
        <v>9</v>
      </c>
      <c r="AP222" t="s">
        <v>64</v>
      </c>
      <c r="AQ222" t="s">
        <v>9</v>
      </c>
      <c r="AR222" t="s">
        <v>1342</v>
      </c>
      <c r="AS222" t="s">
        <v>9</v>
      </c>
      <c r="AT222" t="s">
        <v>9</v>
      </c>
      <c r="AU222" t="s">
        <v>86</v>
      </c>
      <c r="AV222" t="s">
        <v>9282</v>
      </c>
      <c r="AW222" t="s">
        <v>9</v>
      </c>
      <c r="AX222" t="s">
        <v>3425</v>
      </c>
      <c r="AY222" t="s">
        <v>2648</v>
      </c>
      <c r="AZ222" t="s">
        <v>3428</v>
      </c>
      <c r="BA222" t="s">
        <v>1951</v>
      </c>
      <c r="BB222" t="s">
        <v>150</v>
      </c>
      <c r="BC222" t="s">
        <v>66</v>
      </c>
      <c r="BD222" t="s">
        <v>206</v>
      </c>
      <c r="BE222" t="s">
        <v>178</v>
      </c>
      <c r="BF222" t="s">
        <v>1133</v>
      </c>
      <c r="BG222" t="s">
        <v>640</v>
      </c>
      <c r="BH222" t="s">
        <v>3425</v>
      </c>
      <c r="BI222" t="s">
        <v>9</v>
      </c>
      <c r="BJ222" t="s">
        <v>2648</v>
      </c>
      <c r="BK222" t="s">
        <v>3426</v>
      </c>
      <c r="BL222" t="s">
        <v>9</v>
      </c>
      <c r="BM222" t="s">
        <v>66</v>
      </c>
      <c r="BN222">
        <v>8.4</v>
      </c>
      <c r="BO222">
        <v>12.04</v>
      </c>
      <c r="BP222">
        <v>11.66</v>
      </c>
      <c r="BQ222">
        <v>7.81</v>
      </c>
      <c r="BR222">
        <v>11.22</v>
      </c>
      <c r="BS222">
        <v>11.68</v>
      </c>
      <c r="BT222" t="s">
        <v>9</v>
      </c>
      <c r="BU222" t="s">
        <v>2382</v>
      </c>
      <c r="BV222">
        <v>78.569999999999993</v>
      </c>
      <c r="BW222">
        <v>79.64</v>
      </c>
      <c r="BX222">
        <v>80.790000000000006</v>
      </c>
      <c r="BY222">
        <v>8.48</v>
      </c>
      <c r="BZ222">
        <v>29.05</v>
      </c>
      <c r="CA222">
        <v>30.62</v>
      </c>
      <c r="CB222">
        <v>-7.95</v>
      </c>
      <c r="CC222">
        <v>-27.98</v>
      </c>
      <c r="CD222" t="s">
        <v>9283</v>
      </c>
      <c r="CE222" t="s">
        <v>6394</v>
      </c>
      <c r="CF222" s="8" t="s">
        <v>9</v>
      </c>
      <c r="CG222" s="9">
        <v>-0.2137</v>
      </c>
      <c r="CH222" s="8">
        <v>0.12197086960077286</v>
      </c>
      <c r="CI222" s="8">
        <v>9.2674374580383301E-2</v>
      </c>
      <c r="CJ222" s="8">
        <v>0.4791121780872345</v>
      </c>
      <c r="CK222" s="8">
        <v>0.20820190012454987</v>
      </c>
      <c r="CL222" s="8">
        <v>0.29387754201889038</v>
      </c>
      <c r="CM222" s="9">
        <v>-0.19273743033409119</v>
      </c>
      <c r="CN222" s="9">
        <v>0.38759690523147583</v>
      </c>
      <c r="CO222" s="9">
        <v>0.79166668653488159</v>
      </c>
      <c r="CP222" s="9">
        <v>4.3478261679410934E-2</v>
      </c>
      <c r="CQ222" s="9">
        <v>-0.29591837525367737</v>
      </c>
      <c r="CR222">
        <v>8.6588504932735422</v>
      </c>
      <c r="CS222">
        <v>0.3777039451759529</v>
      </c>
      <c r="CT222">
        <v>0</v>
      </c>
      <c r="CU222" s="8">
        <v>0.22924967037979513</v>
      </c>
      <c r="CV222" s="9">
        <v>0.89985475540161131</v>
      </c>
      <c r="CW222">
        <v>0.06</v>
      </c>
      <c r="CX222">
        <v>19.204887672279408</v>
      </c>
      <c r="CY222">
        <v>335144485.60354787</v>
      </c>
      <c r="CZ222">
        <v>0.22924967037979513</v>
      </c>
      <c r="DA222">
        <v>5.5886965565835132</v>
      </c>
      <c r="DB222">
        <v>1151683963.3058755</v>
      </c>
      <c r="DC222">
        <v>0.21778718686080537</v>
      </c>
      <c r="DD222">
        <v>2.3383056592061116</v>
      </c>
      <c r="DE222">
        <v>2752596596.8817158</v>
      </c>
      <c r="DF222">
        <v>0.20173970993421972</v>
      </c>
      <c r="DG222">
        <v>1.1566387096907944</v>
      </c>
      <c r="DH222">
        <v>5564756000.3595705</v>
      </c>
      <c r="DI222">
        <v>0.1833997363038361</v>
      </c>
      <c r="DJ222">
        <v>0.37677515137451983</v>
      </c>
      <c r="DK222">
        <v>17082899911.311071</v>
      </c>
      <c r="DL222">
        <v>0.16047476926585658</v>
      </c>
      <c r="DM222">
        <v>289000000</v>
      </c>
      <c r="DN222">
        <v>0.22924967037979513</v>
      </c>
      <c r="DO222">
        <v>6436412200</v>
      </c>
      <c r="DP222" t="e">
        <v>#VALUE!</v>
      </c>
      <c r="DQ222">
        <v>221</v>
      </c>
      <c r="DR222" t="e">
        <v>#VALUE!</v>
      </c>
      <c r="DS222">
        <v>-1.1135547554016112</v>
      </c>
      <c r="DT222" t="e">
        <v>#VALUE!</v>
      </c>
      <c r="DU222" t="e">
        <v>#VALUE!</v>
      </c>
      <c r="DV222" t="e">
        <v>#VALUE!</v>
      </c>
      <c r="DW222">
        <v>-9.2841315225160823</v>
      </c>
      <c r="DX222">
        <v>0.37140484429065596</v>
      </c>
      <c r="DY222">
        <v>-9.0487015193749372</v>
      </c>
      <c r="DZ222">
        <v>0</v>
      </c>
      <c r="EA222">
        <v>-9.0487015193749372</v>
      </c>
      <c r="EB222">
        <v>9</v>
      </c>
      <c r="EC222">
        <v>1.0697736172782952E-2</v>
      </c>
      <c r="ED222">
        <v>6.2412099360753252E-2</v>
      </c>
      <c r="EE222">
        <v>0</v>
      </c>
      <c r="EF222">
        <v>0</v>
      </c>
      <c r="EG222">
        <v>20.171404844290656</v>
      </c>
      <c r="EH222" t="s">
        <v>110</v>
      </c>
      <c r="EI222">
        <v>0</v>
      </c>
      <c r="EJ222">
        <v>0</v>
      </c>
      <c r="EK222">
        <v>0</v>
      </c>
      <c r="EL222">
        <v>0</v>
      </c>
      <c r="EM222">
        <v>0</v>
      </c>
      <c r="EN222">
        <v>0</v>
      </c>
      <c r="EO222">
        <v>0</v>
      </c>
      <c r="EP222">
        <v>0</v>
      </c>
    </row>
    <row r="223" spans="1:146" ht="96" x14ac:dyDescent="0.25">
      <c r="A223" s="7"/>
      <c r="B223" s="7"/>
      <c r="C223" s="7" t="str">
        <f>""&amp;CHAR(10)&amp;Basic_Fundamental_Information_Constructure(F223)&amp;CHAR(10)&amp;Basic_Fundamental_Information_Concatenate("")</f>
        <v xml:space="preserve">
市值566.09831亿, 利润41.51亿; PE13.64; 平均PE81.12; 平均PEG.22, PB3.79; ROIC60.8533%; ROE65.2033%; 股利率0%; 毛利39.19%; 净利36.0767%; 上一年度营收增-40.92%, 利润增-54.22%, 利润增-72.66%; 过往5年营收增363.64%, 利润增-1575.04%
Income profile:
</v>
      </c>
      <c r="D223" s="11">
        <v>1308</v>
      </c>
      <c r="E223" t="s">
        <v>3429</v>
      </c>
      <c r="F223">
        <v>21.1</v>
      </c>
      <c r="G223" s="5">
        <v>-1.6299999999999999E-2</v>
      </c>
      <c r="H223" t="s">
        <v>9284</v>
      </c>
      <c r="I223">
        <v>56609831000</v>
      </c>
      <c r="J223">
        <v>13.64</v>
      </c>
      <c r="K223">
        <v>3.79</v>
      </c>
      <c r="L223" t="s">
        <v>6350</v>
      </c>
      <c r="M223" t="s">
        <v>9</v>
      </c>
      <c r="N223" t="s">
        <v>9</v>
      </c>
      <c r="O223" t="s">
        <v>9</v>
      </c>
      <c r="P223" t="s">
        <v>9</v>
      </c>
      <c r="Q223" t="s">
        <v>9285</v>
      </c>
      <c r="R223">
        <v>4150710700</v>
      </c>
      <c r="S223" s="5">
        <v>-0.72660000000000002</v>
      </c>
      <c r="T223" t="s">
        <v>3040</v>
      </c>
      <c r="U223">
        <v>2682663400</v>
      </c>
      <c r="V223">
        <v>2682663400</v>
      </c>
      <c r="W223" t="s">
        <v>9</v>
      </c>
      <c r="X223" t="s">
        <v>9</v>
      </c>
      <c r="Y223" t="s">
        <v>9</v>
      </c>
      <c r="Z223" t="s">
        <v>9</v>
      </c>
      <c r="AA223" t="s">
        <v>9</v>
      </c>
      <c r="AB223" t="s">
        <v>9</v>
      </c>
      <c r="AC223" t="s">
        <v>9</v>
      </c>
      <c r="AD223" t="s">
        <v>9</v>
      </c>
      <c r="AE223" t="s">
        <v>9</v>
      </c>
      <c r="AF223" t="s">
        <v>9</v>
      </c>
      <c r="AG223" t="s">
        <v>9</v>
      </c>
      <c r="AH223" t="s">
        <v>9286</v>
      </c>
      <c r="AI223" t="s">
        <v>9</v>
      </c>
      <c r="AJ223" t="s">
        <v>9</v>
      </c>
      <c r="AK223" t="s">
        <v>9287</v>
      </c>
      <c r="AL223" t="s">
        <v>9</v>
      </c>
      <c r="AM223" t="s">
        <v>9</v>
      </c>
      <c r="AN223" s="5">
        <v>0.27200000000000002</v>
      </c>
      <c r="AO223" t="s">
        <v>9</v>
      </c>
      <c r="AP223" t="s">
        <v>4989</v>
      </c>
      <c r="AQ223" t="s">
        <v>9</v>
      </c>
      <c r="AR223" t="s">
        <v>4117</v>
      </c>
      <c r="AS223" t="s">
        <v>9</v>
      </c>
      <c r="AT223" t="s">
        <v>9</v>
      </c>
      <c r="AU223" t="s">
        <v>9288</v>
      </c>
      <c r="AV223" t="s">
        <v>9289</v>
      </c>
      <c r="AW223" t="s">
        <v>9</v>
      </c>
      <c r="AX223" t="s">
        <v>3430</v>
      </c>
      <c r="AY223" t="s">
        <v>3433</v>
      </c>
      <c r="AZ223" t="s">
        <v>3434</v>
      </c>
      <c r="BA223" t="s">
        <v>3435</v>
      </c>
      <c r="BB223" t="s">
        <v>3436</v>
      </c>
      <c r="BC223" t="s">
        <v>3437</v>
      </c>
      <c r="BD223" t="s">
        <v>3438</v>
      </c>
      <c r="BE223" t="s">
        <v>3439</v>
      </c>
      <c r="BF223" t="s">
        <v>3440</v>
      </c>
      <c r="BG223" t="s">
        <v>3441</v>
      </c>
      <c r="BH223" t="s">
        <v>3430</v>
      </c>
      <c r="BI223" t="s">
        <v>9</v>
      </c>
      <c r="BJ223" t="s">
        <v>3433</v>
      </c>
      <c r="BK223" t="s">
        <v>3431</v>
      </c>
      <c r="BL223" t="s">
        <v>9</v>
      </c>
      <c r="BM223" t="s">
        <v>3437</v>
      </c>
      <c r="BN223">
        <v>23.59</v>
      </c>
      <c r="BO223">
        <v>91.42</v>
      </c>
      <c r="BP223">
        <v>67.55</v>
      </c>
      <c r="BQ223">
        <v>27.76</v>
      </c>
      <c r="BR223">
        <v>90.42</v>
      </c>
      <c r="BS223">
        <v>77.430000000000007</v>
      </c>
      <c r="BT223" t="s">
        <v>9290</v>
      </c>
      <c r="BU223" t="s">
        <v>687</v>
      </c>
      <c r="BV223">
        <v>25.65</v>
      </c>
      <c r="BW223">
        <v>48.12</v>
      </c>
      <c r="BX223">
        <v>43.8</v>
      </c>
      <c r="BY223">
        <v>22.07</v>
      </c>
      <c r="BZ223">
        <v>47.41</v>
      </c>
      <c r="CA223">
        <v>38.75</v>
      </c>
      <c r="CB223">
        <v>-5.8</v>
      </c>
      <c r="CC223">
        <v>4.9800000000000004</v>
      </c>
      <c r="CD223" t="s">
        <v>9291</v>
      </c>
      <c r="CE223" t="s">
        <v>139</v>
      </c>
      <c r="CF223" s="8" t="s">
        <v>9</v>
      </c>
      <c r="CG223" s="9">
        <v>-0.72660000000000002</v>
      </c>
      <c r="CH223" s="8">
        <v>-0.40919849276542664</v>
      </c>
      <c r="CI223" s="8">
        <v>0.36707672476768494</v>
      </c>
      <c r="CJ223" s="8">
        <v>0.79800999164581299</v>
      </c>
      <c r="CK223" s="8">
        <v>0.15089845657348633</v>
      </c>
      <c r="CL223" s="8">
        <v>7.7448844909667969E-2</v>
      </c>
      <c r="CM223" s="9">
        <v>-0.54218590259552002</v>
      </c>
      <c r="CN223" s="9">
        <v>2.3261187076568604</v>
      </c>
      <c r="CO223" s="9">
        <v>0.59136033058166504</v>
      </c>
      <c r="CP223" s="9">
        <v>0.10730437189340591</v>
      </c>
      <c r="CQ223" s="9">
        <v>4.9525145441293716E-2</v>
      </c>
      <c r="CR223">
        <v>81.115350140734336</v>
      </c>
      <c r="CS223">
        <v>0.22306500348898081</v>
      </c>
      <c r="CT223">
        <v>0</v>
      </c>
      <c r="CU223" s="8">
        <v>3.6363996535539629</v>
      </c>
      <c r="CV223" s="9">
        <v>-15.750366288423539</v>
      </c>
      <c r="CW223">
        <v>0.06</v>
      </c>
      <c r="CX223">
        <v>3.1179139531611995</v>
      </c>
      <c r="CY223">
        <v>18156316001.794811</v>
      </c>
      <c r="CZ223">
        <v>3.6363996535539629</v>
      </c>
      <c r="DA223">
        <v>0.14194081020703037</v>
      </c>
      <c r="DB223">
        <v>398827024570.52838</v>
      </c>
      <c r="DC223">
        <v>3.4545796708762646</v>
      </c>
      <c r="DD223">
        <v>2.6354368686520501E-3</v>
      </c>
      <c r="DE223">
        <v>21480245523374.762</v>
      </c>
      <c r="DF223">
        <v>3.2000316951274872</v>
      </c>
      <c r="DG223">
        <v>2.1361941566903764E-5</v>
      </c>
      <c r="DH223">
        <v>2650032106056599.5</v>
      </c>
      <c r="DI223">
        <v>2.9091197228431707</v>
      </c>
      <c r="DJ223">
        <v>3.1123716255199236E-10</v>
      </c>
      <c r="DK223">
        <v>1.8188647697410907E+20</v>
      </c>
      <c r="DL223">
        <v>2.5454797574877737</v>
      </c>
      <c r="DM223">
        <v>4151000000</v>
      </c>
      <c r="DN223">
        <v>3.6363996535539629</v>
      </c>
      <c r="DO223">
        <v>56609831000</v>
      </c>
      <c r="DP223" t="e">
        <v>#VALUE!</v>
      </c>
      <c r="DQ223">
        <v>222</v>
      </c>
      <c r="DR223" t="e">
        <v>#VALUE!</v>
      </c>
      <c r="DS223">
        <v>15.023766288423539</v>
      </c>
      <c r="DT223" t="e">
        <v>#VALUE!</v>
      </c>
      <c r="DU223" t="e">
        <v>#VALUE!</v>
      </c>
      <c r="DV223" t="e">
        <v>#VALUE!</v>
      </c>
      <c r="DW223">
        <v>-4.8586206896551722</v>
      </c>
      <c r="DX223">
        <v>0.32481646341463477</v>
      </c>
      <c r="DY223">
        <v>-4.1415148254835996</v>
      </c>
      <c r="DZ223">
        <v>0</v>
      </c>
      <c r="EA223">
        <v>-4.1415148254835996</v>
      </c>
      <c r="EB223">
        <v>4</v>
      </c>
      <c r="EC223">
        <v>1.0075770221489583E-2</v>
      </c>
      <c r="ED223">
        <v>6.1133275236841117E-2</v>
      </c>
      <c r="EE223">
        <v>0</v>
      </c>
      <c r="EF223">
        <v>0</v>
      </c>
      <c r="EG223">
        <v>16.164816463414635</v>
      </c>
      <c r="EH223" t="s">
        <v>110</v>
      </c>
      <c r="EI223">
        <v>0</v>
      </c>
      <c r="EJ223">
        <v>0</v>
      </c>
      <c r="EK223">
        <v>0</v>
      </c>
      <c r="EL223">
        <v>0</v>
      </c>
      <c r="EM223">
        <v>0</v>
      </c>
      <c r="EN223">
        <v>0</v>
      </c>
      <c r="EO223">
        <v>0</v>
      </c>
      <c r="EP223">
        <v>0</v>
      </c>
    </row>
    <row r="224" spans="1:146" ht="96" x14ac:dyDescent="0.25">
      <c r="A224" s="7"/>
      <c r="B224" s="7"/>
      <c r="C224" s="7" t="str">
        <f>""&amp;CHAR(10)&amp;Basic_Fundamental_Information_Constructure(F224)&amp;CHAR(10)&amp;Basic_Fundamental_Information_Concatenate("")</f>
        <v xml:space="preserve">
市值31.871864亿, 利润-12.67亿; PE; 平均PE-4.24; 平均PEG-6.74, PB1.15; ROIC-1.2833%; ROE-8.8533%; 股利率0%; 毛利37.82%; 净利-1.4267%; 上一年度营收增.57%, 利润增-712.08%, 利润增0%; 过往5年营收增.63%, 利润增-663.73%
Income profile:
</v>
      </c>
      <c r="D224" s="11">
        <v>1310</v>
      </c>
      <c r="E224" t="s">
        <v>3443</v>
      </c>
      <c r="F224">
        <v>2.4300000000000002</v>
      </c>
      <c r="G224" s="5">
        <v>-2.0199999999999999E-2</v>
      </c>
      <c r="H224" t="s">
        <v>9292</v>
      </c>
      <c r="I224">
        <v>3187186400</v>
      </c>
      <c r="K224">
        <v>1.1499999999999999</v>
      </c>
      <c r="L224" t="s">
        <v>6350</v>
      </c>
      <c r="M224" t="s">
        <v>9</v>
      </c>
      <c r="N224" t="s">
        <v>9</v>
      </c>
      <c r="O224" t="s">
        <v>9</v>
      </c>
      <c r="P224" t="s">
        <v>9</v>
      </c>
      <c r="Q224" t="s">
        <v>9293</v>
      </c>
      <c r="R224">
        <v>-1267408000</v>
      </c>
      <c r="S224" s="5">
        <v>0</v>
      </c>
      <c r="T224" t="s">
        <v>9294</v>
      </c>
      <c r="U224">
        <v>1311599360</v>
      </c>
      <c r="V224">
        <v>1311599360</v>
      </c>
      <c r="W224" t="s">
        <v>9</v>
      </c>
      <c r="X224" t="s">
        <v>9</v>
      </c>
      <c r="Y224" t="s">
        <v>9</v>
      </c>
      <c r="Z224" t="s">
        <v>9</v>
      </c>
      <c r="AA224" t="s">
        <v>9</v>
      </c>
      <c r="AB224" t="s">
        <v>9</v>
      </c>
      <c r="AC224" t="s">
        <v>9</v>
      </c>
      <c r="AD224" t="s">
        <v>9295</v>
      </c>
      <c r="AE224" t="s">
        <v>9</v>
      </c>
      <c r="AF224" t="s">
        <v>9</v>
      </c>
      <c r="AG224" t="s">
        <v>9</v>
      </c>
      <c r="AH224" t="s">
        <v>9296</v>
      </c>
      <c r="AI224" t="s">
        <v>9</v>
      </c>
      <c r="AJ224" t="s">
        <v>9</v>
      </c>
      <c r="AK224" t="s">
        <v>9297</v>
      </c>
      <c r="AL224" t="s">
        <v>9</v>
      </c>
      <c r="AM224" t="s">
        <v>9</v>
      </c>
      <c r="AN224" s="5">
        <v>0.84219999999999995</v>
      </c>
      <c r="AO224" t="s">
        <v>9</v>
      </c>
      <c r="AP224" t="s">
        <v>9298</v>
      </c>
      <c r="AQ224" t="s">
        <v>9</v>
      </c>
      <c r="AR224" t="s">
        <v>9299</v>
      </c>
      <c r="AS224" t="s">
        <v>9</v>
      </c>
      <c r="AT224" t="s">
        <v>9</v>
      </c>
      <c r="AU224" t="s">
        <v>9300</v>
      </c>
      <c r="AV224" t="s">
        <v>9301</v>
      </c>
      <c r="AW224" t="s">
        <v>9</v>
      </c>
      <c r="AX224" t="s">
        <v>3444</v>
      </c>
      <c r="AY224" t="s">
        <v>3447</v>
      </c>
      <c r="AZ224" t="s">
        <v>3448</v>
      </c>
      <c r="BA224" t="s">
        <v>3449</v>
      </c>
      <c r="BB224" t="s">
        <v>3450</v>
      </c>
      <c r="BC224" t="s">
        <v>165</v>
      </c>
      <c r="BD224" t="s">
        <v>3451</v>
      </c>
      <c r="BE224" t="s">
        <v>3452</v>
      </c>
      <c r="BF224" t="s">
        <v>1524</v>
      </c>
      <c r="BG224" t="s">
        <v>23</v>
      </c>
      <c r="BH224" t="s">
        <v>3444</v>
      </c>
      <c r="BI224" t="s">
        <v>9</v>
      </c>
      <c r="BJ224" t="s">
        <v>3447</v>
      </c>
      <c r="BK224" t="s">
        <v>3445</v>
      </c>
      <c r="BL224" t="s">
        <v>9</v>
      </c>
      <c r="BM224" t="s">
        <v>165</v>
      </c>
      <c r="BN224">
        <v>-8.41</v>
      </c>
      <c r="BO224">
        <v>3.34</v>
      </c>
      <c r="BP224">
        <v>1.22</v>
      </c>
      <c r="BQ224">
        <v>-41.54</v>
      </c>
      <c r="BR224">
        <v>11.24</v>
      </c>
      <c r="BS224">
        <v>3.74</v>
      </c>
      <c r="BT224" t="s">
        <v>2273</v>
      </c>
      <c r="BU224" t="s">
        <v>449</v>
      </c>
      <c r="BV224">
        <v>35.64</v>
      </c>
      <c r="BW224">
        <v>38.450000000000003</v>
      </c>
      <c r="BX224">
        <v>39.369999999999997</v>
      </c>
      <c r="BY224">
        <v>-10.84</v>
      </c>
      <c r="BZ224">
        <v>4.76</v>
      </c>
      <c r="CA224">
        <v>1.8</v>
      </c>
      <c r="CB224">
        <v>-2.8</v>
      </c>
      <c r="CC224">
        <v>-4.71</v>
      </c>
      <c r="CD224" t="s">
        <v>9302</v>
      </c>
      <c r="CE224" t="s">
        <v>1857</v>
      </c>
      <c r="CF224" s="8" t="s">
        <v>9</v>
      </c>
      <c r="CG224" s="9">
        <v>0</v>
      </c>
      <c r="CH224" s="8">
        <v>5.6769195944070816E-3</v>
      </c>
      <c r="CI224" s="8">
        <v>1.4131272211670876E-2</v>
      </c>
      <c r="CJ224" s="8">
        <v>0.21273668110370636</v>
      </c>
      <c r="CK224" s="8">
        <v>1.3937705755233765</v>
      </c>
      <c r="CL224" s="8">
        <v>0.22184403240680695</v>
      </c>
      <c r="CM224" s="9">
        <v>-7.1207737922668457</v>
      </c>
      <c r="CN224" s="9">
        <v>1.1301994323730469</v>
      </c>
      <c r="CO224" s="9">
        <v>-0.54802793264389038</v>
      </c>
      <c r="CP224" s="9">
        <v>-0.45843827724456787</v>
      </c>
      <c r="CQ224" s="9">
        <v>1.3216373920440674</v>
      </c>
      <c r="CR224">
        <v>-4.2420198535415272</v>
      </c>
      <c r="CS224">
        <v>-6.7425154021178226</v>
      </c>
      <c r="CT224">
        <v>0</v>
      </c>
      <c r="CU224" s="8">
        <v>6.2914500012993813E-3</v>
      </c>
      <c r="CV224" s="9">
        <v>-6.6372618794441225</v>
      </c>
      <c r="CW224">
        <v>0.06</v>
      </c>
      <c r="CX224" t="e">
        <v>#VALUE!</v>
      </c>
      <c r="CY224" t="s">
        <v>109</v>
      </c>
      <c r="CZ224">
        <v>6.2914500012993813E-3</v>
      </c>
      <c r="DA224" t="e">
        <v>#VALUE!</v>
      </c>
      <c r="DB224" t="s">
        <v>108</v>
      </c>
      <c r="DC224">
        <v>5.9768775012344118E-3</v>
      </c>
      <c r="DD224" t="e">
        <v>#VALUE!</v>
      </c>
      <c r="DE224" t="s">
        <v>108</v>
      </c>
      <c r="DF224">
        <v>5.5364760011434554E-3</v>
      </c>
      <c r="DG224" t="e">
        <v>#VALUE!</v>
      </c>
      <c r="DH224" t="s">
        <v>108</v>
      </c>
      <c r="DI224">
        <v>5.0331600010395054E-3</v>
      </c>
      <c r="DJ224" t="e">
        <v>#VALUE!</v>
      </c>
      <c r="DK224" t="s">
        <v>108</v>
      </c>
      <c r="DL224">
        <v>4.4040150009095665E-3</v>
      </c>
      <c r="DM224">
        <v>-1267000000</v>
      </c>
      <c r="DN224">
        <v>6.2914500012993813E-3</v>
      </c>
      <c r="DO224">
        <v>3187186400</v>
      </c>
      <c r="DP224" t="e">
        <v>#VALUE!</v>
      </c>
      <c r="DQ224">
        <v>223</v>
      </c>
      <c r="DR224" t="e">
        <v>#VALUE!</v>
      </c>
      <c r="DS224">
        <v>6.6372618794441225</v>
      </c>
      <c r="DT224" t="e">
        <v>#VALUE!</v>
      </c>
      <c r="DU224" t="e">
        <v>#VALUE!</v>
      </c>
      <c r="DV224" t="e">
        <v>#VALUE!</v>
      </c>
      <c r="DW224">
        <v>-8.5944798301486198</v>
      </c>
      <c r="DX224">
        <v>0.25418176795579966</v>
      </c>
      <c r="DY224">
        <v>-8.0440995648144895</v>
      </c>
      <c r="DZ224">
        <v>0</v>
      </c>
      <c r="EA224">
        <v>-8.0440995648144895</v>
      </c>
      <c r="EB224">
        <v>8</v>
      </c>
      <c r="EC224">
        <v>1.0237043726523318E-2</v>
      </c>
      <c r="ED224">
        <v>0.13799945739528266</v>
      </c>
      <c r="EE224">
        <v>0</v>
      </c>
      <c r="EF224">
        <v>0</v>
      </c>
      <c r="EG224">
        <v>18.0741817679558</v>
      </c>
      <c r="EH224" t="s">
        <v>110</v>
      </c>
      <c r="EI224">
        <v>0</v>
      </c>
      <c r="EJ224">
        <v>0</v>
      </c>
      <c r="EK224">
        <v>0</v>
      </c>
      <c r="EL224">
        <v>0</v>
      </c>
      <c r="EM224">
        <v>0</v>
      </c>
      <c r="EN224">
        <v>0</v>
      </c>
      <c r="EO224">
        <v>0</v>
      </c>
      <c r="EP224">
        <v>0</v>
      </c>
    </row>
    <row r="225" spans="1:146" ht="96" x14ac:dyDescent="0.25">
      <c r="A225" s="7"/>
      <c r="B225" s="7"/>
      <c r="C225" s="7" t="str">
        <f>""&amp;CHAR(10)&amp;Basic_Fundamental_Information_Constructure(F225)&amp;CHAR(10)&amp;Basic_Fundamental_Information_Concatenate("")</f>
        <v xml:space="preserve">
市值96.364542亿, 利润7.06亿; PE13.59; 平均PE99.62; 平均PEG5.35, PB.203; ROIC5.6667%; ROE6.5167%; 股利率0%; 毛利20.7033%; 净利8.59%; 上一年度营收增-15.36%, 利润增-90.91%; 当季营收增-25.97%, 利润增9.11%; 过往5年营收增-18.61%, 利润增-105.82%
Income profile:
</v>
      </c>
      <c r="D225" s="11">
        <v>1313</v>
      </c>
      <c r="E225" t="s">
        <v>6439</v>
      </c>
      <c r="F225">
        <v>1.38</v>
      </c>
      <c r="G225" s="5">
        <v>-4.1700000000000001E-2</v>
      </c>
      <c r="H225" t="s">
        <v>9303</v>
      </c>
      <c r="I225">
        <v>9636454200</v>
      </c>
      <c r="J225">
        <v>13.59</v>
      </c>
      <c r="K225">
        <v>0.20300000000000001</v>
      </c>
      <c r="L225" t="s">
        <v>6350</v>
      </c>
      <c r="M225" t="s">
        <v>9304</v>
      </c>
      <c r="N225" t="s">
        <v>9305</v>
      </c>
      <c r="O225" t="s">
        <v>9306</v>
      </c>
      <c r="P225">
        <v>-5.56</v>
      </c>
      <c r="Q225" t="s">
        <v>9307</v>
      </c>
      <c r="R225">
        <v>620931000</v>
      </c>
      <c r="S225" s="5">
        <v>9.11E-2</v>
      </c>
      <c r="T225" t="s">
        <v>195</v>
      </c>
      <c r="U225">
        <v>6982937800</v>
      </c>
      <c r="V225">
        <v>6982937800</v>
      </c>
      <c r="W225">
        <v>1.65</v>
      </c>
      <c r="X225">
        <v>7.0000000000000007E-2</v>
      </c>
      <c r="Y225">
        <v>0.67</v>
      </c>
      <c r="Z225" t="s">
        <v>9308</v>
      </c>
      <c r="AA225" t="s">
        <v>9309</v>
      </c>
      <c r="AB225" t="s">
        <v>3211</v>
      </c>
      <c r="AC225" t="s">
        <v>125</v>
      </c>
      <c r="AD225" t="s">
        <v>9</v>
      </c>
      <c r="AE225" t="s">
        <v>1288</v>
      </c>
      <c r="AF225" t="s">
        <v>9</v>
      </c>
      <c r="AG225" t="s">
        <v>9310</v>
      </c>
      <c r="AH225" t="s">
        <v>9311</v>
      </c>
      <c r="AI225" t="s">
        <v>9312</v>
      </c>
      <c r="AJ225" t="s">
        <v>1642</v>
      </c>
      <c r="AK225" t="s">
        <v>9313</v>
      </c>
      <c r="AL225" t="s">
        <v>9</v>
      </c>
      <c r="AM225" t="s">
        <v>9314</v>
      </c>
      <c r="AN225" s="5">
        <v>0.3735</v>
      </c>
      <c r="AO225" t="s">
        <v>9315</v>
      </c>
      <c r="AP225" t="s">
        <v>4182</v>
      </c>
      <c r="AQ225" t="s">
        <v>2293</v>
      </c>
      <c r="AR225" t="s">
        <v>9316</v>
      </c>
      <c r="AS225" t="s">
        <v>9317</v>
      </c>
      <c r="AT225" t="s">
        <v>9318</v>
      </c>
      <c r="AU225" t="s">
        <v>9319</v>
      </c>
      <c r="AV225" t="s">
        <v>9320</v>
      </c>
      <c r="AW225" t="s">
        <v>9</v>
      </c>
      <c r="AX225" t="s">
        <v>9321</v>
      </c>
      <c r="AY225" t="s">
        <v>3458</v>
      </c>
      <c r="AZ225" t="s">
        <v>3459</v>
      </c>
      <c r="BA225" t="s">
        <v>3460</v>
      </c>
      <c r="BB225" t="s">
        <v>3461</v>
      </c>
      <c r="BC225" t="s">
        <v>3462</v>
      </c>
      <c r="BD225" t="s">
        <v>3463</v>
      </c>
      <c r="BE225" t="s">
        <v>3464</v>
      </c>
      <c r="BF225" t="s">
        <v>3465</v>
      </c>
      <c r="BG225" t="s">
        <v>3466</v>
      </c>
      <c r="BH225" t="s">
        <v>9321</v>
      </c>
      <c r="BI225" t="s">
        <v>3467</v>
      </c>
      <c r="BJ225" t="s">
        <v>3458</v>
      </c>
      <c r="BK225" t="s">
        <v>9322</v>
      </c>
      <c r="BL225" t="s">
        <v>1684</v>
      </c>
      <c r="BM225" t="s">
        <v>3462</v>
      </c>
      <c r="BN225">
        <v>1.08</v>
      </c>
      <c r="BO225">
        <v>2.96</v>
      </c>
      <c r="BP225">
        <v>12.96</v>
      </c>
      <c r="BQ225">
        <v>1.46</v>
      </c>
      <c r="BR225">
        <v>3.93</v>
      </c>
      <c r="BS225">
        <v>14.16</v>
      </c>
      <c r="BT225" t="s">
        <v>9323</v>
      </c>
      <c r="BU225" t="s">
        <v>1446</v>
      </c>
      <c r="BV225">
        <v>14.72</v>
      </c>
      <c r="BW225">
        <v>15.27</v>
      </c>
      <c r="BX225">
        <v>32.119999999999997</v>
      </c>
      <c r="BY225">
        <v>2.42</v>
      </c>
      <c r="BZ225">
        <v>5.78</v>
      </c>
      <c r="CA225">
        <v>17.57</v>
      </c>
      <c r="CB225">
        <v>-4.17</v>
      </c>
      <c r="CC225">
        <v>-3.77</v>
      </c>
      <c r="CD225" t="s">
        <v>9324</v>
      </c>
      <c r="CE225" t="s">
        <v>6073</v>
      </c>
      <c r="CF225" s="8">
        <v>-0.25971047728249963</v>
      </c>
      <c r="CG225" s="9">
        <v>9.11E-2</v>
      </c>
      <c r="CH225" s="8">
        <v>-0.15358118712902069</v>
      </c>
      <c r="CI225" s="8">
        <v>-0.24732157588005066</v>
      </c>
      <c r="CJ225" s="8">
        <v>9.6689693629741669E-2</v>
      </c>
      <c r="CK225" s="8">
        <v>3.3409785479307175E-2</v>
      </c>
      <c r="CL225" s="8">
        <v>0.29484608769416809</v>
      </c>
      <c r="CM225" s="9">
        <v>-0.90910261869430542</v>
      </c>
      <c r="CN225" s="9">
        <v>-0.13314731419086456</v>
      </c>
      <c r="CO225" s="9">
        <v>3.9684336632490158E-2</v>
      </c>
      <c r="CP225" s="9">
        <v>8.0627001821994781E-2</v>
      </c>
      <c r="CQ225" s="9">
        <v>1.2048659324645996</v>
      </c>
      <c r="CR225">
        <v>99.623698074611568</v>
      </c>
      <c r="CS225">
        <v>5.3537062121751493</v>
      </c>
      <c r="CT225">
        <v>0</v>
      </c>
      <c r="CU225" s="8">
        <v>-0.18608361035585402</v>
      </c>
      <c r="CV225" s="9">
        <v>-1.0581844925880433</v>
      </c>
      <c r="CW225">
        <v>0.06</v>
      </c>
      <c r="CX225" t="s">
        <v>6351</v>
      </c>
      <c r="CY225" t="s">
        <v>9325</v>
      </c>
      <c r="CZ225">
        <v>-0.18608361035585402</v>
      </c>
      <c r="DA225" t="s">
        <v>6351</v>
      </c>
      <c r="DB225" t="s">
        <v>9326</v>
      </c>
      <c r="DC225">
        <v>-0.1767794298380613</v>
      </c>
      <c r="DD225" t="s">
        <v>6351</v>
      </c>
      <c r="DE225" t="s">
        <v>9327</v>
      </c>
      <c r="DF225">
        <v>-0.16375357711315155</v>
      </c>
      <c r="DG225" t="s">
        <v>6351</v>
      </c>
      <c r="DH225" t="s">
        <v>9328</v>
      </c>
      <c r="DI225">
        <v>-0.14886688828468322</v>
      </c>
      <c r="DJ225" t="s">
        <v>6351</v>
      </c>
      <c r="DK225" t="s">
        <v>9329</v>
      </c>
      <c r="DL225">
        <v>-0.13025852724909781</v>
      </c>
      <c r="DM225">
        <v>706000000</v>
      </c>
      <c r="DN225">
        <v>-0.18608361035585402</v>
      </c>
      <c r="DO225">
        <v>-10260545800</v>
      </c>
      <c r="DP225" t="e">
        <v>#VALUE!</v>
      </c>
      <c r="DQ225">
        <v>224</v>
      </c>
      <c r="DR225">
        <v>-7.3626866926645607E-2</v>
      </c>
      <c r="DS225">
        <v>1.1492844925880432</v>
      </c>
      <c r="DT225">
        <v>-0.85666666666666658</v>
      </c>
      <c r="DU225">
        <v>-2.3566666666666669</v>
      </c>
      <c r="DV225">
        <v>-3.2133333333333334</v>
      </c>
      <c r="DW225">
        <v>-4.9040767386091124</v>
      </c>
      <c r="DX225">
        <v>0.45878213592233136</v>
      </c>
      <c r="DY225">
        <v>-4.15259200298014</v>
      </c>
      <c r="DZ225">
        <v>0</v>
      </c>
      <c r="EA225">
        <v>-4.15259200298014</v>
      </c>
      <c r="EB225">
        <v>4</v>
      </c>
      <c r="EC225">
        <v>1.244788404101208E-2</v>
      </c>
      <c r="ED225">
        <v>7.3751193945906277E-2</v>
      </c>
      <c r="EE225">
        <v>0</v>
      </c>
      <c r="EF225">
        <v>0</v>
      </c>
      <c r="EG225">
        <v>29.168782135922331</v>
      </c>
      <c r="EH225" t="s">
        <v>110</v>
      </c>
      <c r="EI225">
        <v>0</v>
      </c>
      <c r="EJ225">
        <v>0</v>
      </c>
      <c r="EK225">
        <v>0</v>
      </c>
      <c r="EL225">
        <v>0</v>
      </c>
      <c r="EM225">
        <v>0</v>
      </c>
      <c r="EN225">
        <v>0</v>
      </c>
      <c r="EO225">
        <v>0</v>
      </c>
      <c r="EP225">
        <v>0</v>
      </c>
    </row>
    <row r="226" spans="1:146" ht="96" x14ac:dyDescent="0.25">
      <c r="A226" s="7"/>
      <c r="B226" s="7"/>
      <c r="C226" s="7" t="str">
        <f>""&amp;CHAR(10)&amp;Basic_Fundamental_Information_Constructure(F226)&amp;CHAR(10)&amp;Basic_Fundamental_Information_Concatenate("")</f>
        <v xml:space="preserve">
市值88.094833亿, 利润2.87亿; PE30.7; 平均PE-17.2; 平均PEG-5.43, PB.574; ROIC3.4667%; ROE3.6433%; 股利率0%; 毛利9.7133%; 净利2.18%; 上一年度营收增9.6%, 利润增-68.94%, 利润增-36.65%; 过往5年营收增3.17%, 利润增-1265.76%
Income profile:
</v>
      </c>
      <c r="D226" s="11">
        <v>1316</v>
      </c>
      <c r="E226" t="s">
        <v>3468</v>
      </c>
      <c r="F226">
        <v>3.51</v>
      </c>
      <c r="G226" s="5">
        <v>-3.04E-2</v>
      </c>
      <c r="H226" t="s">
        <v>6524</v>
      </c>
      <c r="I226">
        <v>8809483300</v>
      </c>
      <c r="J226">
        <v>30.7</v>
      </c>
      <c r="K226">
        <v>0.57399999999999995</v>
      </c>
      <c r="L226" t="s">
        <v>6350</v>
      </c>
      <c r="M226" t="s">
        <v>9</v>
      </c>
      <c r="N226" t="s">
        <v>9</v>
      </c>
      <c r="O226" t="s">
        <v>9</v>
      </c>
      <c r="P226" t="s">
        <v>9</v>
      </c>
      <c r="Q226" t="s">
        <v>9330</v>
      </c>
      <c r="R226">
        <v>286952710</v>
      </c>
      <c r="S226" s="5">
        <v>-0.36649999999999999</v>
      </c>
      <c r="T226" t="s">
        <v>246</v>
      </c>
      <c r="U226">
        <v>2509824300</v>
      </c>
      <c r="V226">
        <v>2509824300</v>
      </c>
      <c r="W226" t="s">
        <v>9</v>
      </c>
      <c r="X226" t="s">
        <v>9</v>
      </c>
      <c r="Y226" t="s">
        <v>9</v>
      </c>
      <c r="Z226" t="s">
        <v>9</v>
      </c>
      <c r="AA226" t="s">
        <v>9</v>
      </c>
      <c r="AB226" t="s">
        <v>9</v>
      </c>
      <c r="AC226" t="s">
        <v>9</v>
      </c>
      <c r="AD226" t="s">
        <v>4659</v>
      </c>
      <c r="AE226" t="s">
        <v>9</v>
      </c>
      <c r="AF226" t="s">
        <v>9</v>
      </c>
      <c r="AG226" t="s">
        <v>9</v>
      </c>
      <c r="AH226" t="s">
        <v>9331</v>
      </c>
      <c r="AI226" t="s">
        <v>9</v>
      </c>
      <c r="AJ226" t="s">
        <v>9</v>
      </c>
      <c r="AK226" t="s">
        <v>9332</v>
      </c>
      <c r="AL226" t="s">
        <v>9</v>
      </c>
      <c r="AM226" t="s">
        <v>9</v>
      </c>
      <c r="AN226" s="5">
        <v>0.40939999999999999</v>
      </c>
      <c r="AO226" t="s">
        <v>9</v>
      </c>
      <c r="AP226" t="s">
        <v>9333</v>
      </c>
      <c r="AQ226" t="s">
        <v>9</v>
      </c>
      <c r="AR226" t="s">
        <v>9334</v>
      </c>
      <c r="AS226" t="s">
        <v>9</v>
      </c>
      <c r="AT226" t="s">
        <v>9</v>
      </c>
      <c r="AU226" t="s">
        <v>9335</v>
      </c>
      <c r="AV226" t="s">
        <v>9336</v>
      </c>
      <c r="AW226" t="s">
        <v>9</v>
      </c>
      <c r="AX226" t="s">
        <v>3469</v>
      </c>
      <c r="AY226" t="s">
        <v>3470</v>
      </c>
      <c r="AZ226" t="s">
        <v>3471</v>
      </c>
      <c r="BA226" t="s">
        <v>3473</v>
      </c>
      <c r="BB226" t="s">
        <v>3474</v>
      </c>
      <c r="BC226" t="s">
        <v>381</v>
      </c>
      <c r="BD226" t="s">
        <v>3475</v>
      </c>
      <c r="BE226" t="s">
        <v>3476</v>
      </c>
      <c r="BF226" t="s">
        <v>3477</v>
      </c>
      <c r="BG226" t="s">
        <v>2967</v>
      </c>
      <c r="BH226" t="s">
        <v>3469</v>
      </c>
      <c r="BI226" t="s">
        <v>9</v>
      </c>
      <c r="BJ226" t="s">
        <v>3470</v>
      </c>
      <c r="BK226" t="s">
        <v>2753</v>
      </c>
      <c r="BL226" t="s">
        <v>9</v>
      </c>
      <c r="BM226" t="s">
        <v>381</v>
      </c>
      <c r="BN226">
        <v>1.84</v>
      </c>
      <c r="BO226">
        <v>2.88</v>
      </c>
      <c r="BP226">
        <v>5.68</v>
      </c>
      <c r="BQ226">
        <v>1.87</v>
      </c>
      <c r="BR226">
        <v>3</v>
      </c>
      <c r="BS226">
        <v>6.06</v>
      </c>
      <c r="BT226" t="s">
        <v>9337</v>
      </c>
      <c r="BU226" t="s">
        <v>861</v>
      </c>
      <c r="BV226">
        <v>8.76</v>
      </c>
      <c r="BW226">
        <v>9.56</v>
      </c>
      <c r="BX226">
        <v>10.82</v>
      </c>
      <c r="BY226">
        <v>1.07</v>
      </c>
      <c r="BZ226">
        <v>1.71</v>
      </c>
      <c r="CA226">
        <v>3.76</v>
      </c>
      <c r="CB226">
        <v>-12.62</v>
      </c>
      <c r="CC226">
        <v>-21.77</v>
      </c>
      <c r="CD226" t="s">
        <v>9338</v>
      </c>
      <c r="CE226" t="s">
        <v>2232</v>
      </c>
      <c r="CF226" s="8" t="s">
        <v>9</v>
      </c>
      <c r="CG226" s="9">
        <v>-0.36649999999999999</v>
      </c>
      <c r="CH226" s="8">
        <v>9.603070467710495E-2</v>
      </c>
      <c r="CI226" s="8">
        <v>0.14466804265975952</v>
      </c>
      <c r="CJ226" s="8">
        <v>0.11408393830060959</v>
      </c>
      <c r="CK226" s="8">
        <v>-0.23293526470661163</v>
      </c>
      <c r="CL226" s="8">
        <v>1.1385008692741394E-2</v>
      </c>
      <c r="CM226" s="9">
        <v>-0.68939393758773804</v>
      </c>
      <c r="CN226" s="9">
        <v>2.0994475111365318E-2</v>
      </c>
      <c r="CO226" s="9">
        <v>-0.5</v>
      </c>
      <c r="CP226" s="9">
        <v>-0.39139208197593689</v>
      </c>
      <c r="CQ226" s="9">
        <v>8.1848017871379852E-2</v>
      </c>
      <c r="CR226">
        <v>-17.197915761060543</v>
      </c>
      <c r="CS226">
        <v>-5.4328243943471808</v>
      </c>
      <c r="CT226">
        <v>0</v>
      </c>
      <c r="CU226" s="8">
        <v>3.1655570864677428E-2</v>
      </c>
      <c r="CV226" s="9">
        <v>-12.657581269741058</v>
      </c>
      <c r="CW226">
        <v>0.06</v>
      </c>
      <c r="CX226">
        <v>31.538401485662149</v>
      </c>
      <c r="CY226">
        <v>279325612.11147398</v>
      </c>
      <c r="CZ226">
        <v>3.1655570864677428E-2</v>
      </c>
      <c r="DA226">
        <v>10.831895284448469</v>
      </c>
      <c r="DB226">
        <v>813291032.51652741</v>
      </c>
      <c r="DC226">
        <v>3.0072792321443553E-2</v>
      </c>
      <c r="DD226">
        <v>5.6901426307011826</v>
      </c>
      <c r="DE226">
        <v>1548200787.1768284</v>
      </c>
      <c r="DF226">
        <v>2.7856902360916137E-2</v>
      </c>
      <c r="DG226">
        <v>3.6688812513796778</v>
      </c>
      <c r="DH226">
        <v>2401136121.9955554</v>
      </c>
      <c r="DI226">
        <v>2.5324456691741944E-2</v>
      </c>
      <c r="DJ226">
        <v>2.1994160922198209</v>
      </c>
      <c r="DK226">
        <v>4005373667.6577587</v>
      </c>
      <c r="DL226">
        <v>2.2158899605274198E-2</v>
      </c>
      <c r="DM226">
        <v>287000000</v>
      </c>
      <c r="DN226">
        <v>3.1655570864677428E-2</v>
      </c>
      <c r="DO226">
        <v>8809483300</v>
      </c>
      <c r="DP226" t="e">
        <v>#VALUE!</v>
      </c>
      <c r="DQ226">
        <v>225</v>
      </c>
      <c r="DR226" t="e">
        <v>#VALUE!</v>
      </c>
      <c r="DS226">
        <v>12.291081269741058</v>
      </c>
      <c r="DT226" t="e">
        <v>#VALUE!</v>
      </c>
      <c r="DU226" t="e">
        <v>#VALUE!</v>
      </c>
      <c r="DV226" t="e">
        <v>#VALUE!</v>
      </c>
      <c r="DW226">
        <v>-9.5796968305006889</v>
      </c>
      <c r="DX226">
        <v>0.29903396226415102</v>
      </c>
      <c r="DY226">
        <v>-9.1153793570865229</v>
      </c>
      <c r="DZ226">
        <v>0</v>
      </c>
      <c r="EA226">
        <v>-9.1153793570865229</v>
      </c>
      <c r="EB226">
        <v>9</v>
      </c>
      <c r="EC226">
        <v>1.2609010120748294E-2</v>
      </c>
      <c r="ED226">
        <v>6.3351048119185072E-2</v>
      </c>
      <c r="EE226">
        <v>0</v>
      </c>
      <c r="EF226">
        <v>0</v>
      </c>
      <c r="EG226">
        <v>10.199033962264151</v>
      </c>
      <c r="EH226" t="s">
        <v>110</v>
      </c>
      <c r="EI226">
        <v>0</v>
      </c>
      <c r="EJ226">
        <v>0</v>
      </c>
      <c r="EK226">
        <v>0</v>
      </c>
      <c r="EL226">
        <v>0</v>
      </c>
      <c r="EM226">
        <v>0</v>
      </c>
      <c r="EN226">
        <v>0</v>
      </c>
      <c r="EO226">
        <v>0</v>
      </c>
      <c r="EP226">
        <v>0</v>
      </c>
    </row>
    <row r="227" spans="1:146" ht="96" x14ac:dyDescent="0.25">
      <c r="A227" s="7"/>
      <c r="B227" s="7"/>
      <c r="C227" s="7" t="str">
        <f>""&amp;CHAR(10)&amp;Basic_Fundamental_Information_Constructure(F227)&amp;CHAR(10)&amp;Basic_Fundamental_Information_Concatenate("")</f>
        <v xml:space="preserve">
市值40.549441亿, 利润6.90亿; PE6.29; 平均PE-15.89; 平均PEG-1.38, PB.473; ROIC4.0867%; ROE9.6367%; 股利率0%; 毛利34.8533%; 净利16.4267%; 上一年度营收增-16.15%, 利润增-19.2%; 当季营收增-36.99%, 利润增-23.19%; 过往5年营收增-11.52%, 利润增-2310.79%
Income profile:
</v>
      </c>
      <c r="D227" s="11">
        <v>1330</v>
      </c>
      <c r="E227" t="s">
        <v>3478</v>
      </c>
      <c r="F227">
        <v>2.91</v>
      </c>
      <c r="G227" s="5">
        <v>-2.6800000000000001E-2</v>
      </c>
      <c r="H227" t="s">
        <v>9339</v>
      </c>
      <c r="I227">
        <v>4054944100</v>
      </c>
      <c r="J227">
        <v>6.29</v>
      </c>
      <c r="K227">
        <v>0.47299999999999998</v>
      </c>
      <c r="L227" t="s">
        <v>6350</v>
      </c>
      <c r="M227" t="s">
        <v>9340</v>
      </c>
      <c r="N227" t="s">
        <v>9341</v>
      </c>
      <c r="O227" t="s">
        <v>6283</v>
      </c>
      <c r="P227">
        <v>-22.65</v>
      </c>
      <c r="Q227" t="s">
        <v>5676</v>
      </c>
      <c r="R227">
        <v>689818220</v>
      </c>
      <c r="S227" s="5">
        <v>-0.2319</v>
      </c>
      <c r="T227" t="s">
        <v>949</v>
      </c>
      <c r="U227">
        <v>404359790</v>
      </c>
      <c r="V227">
        <v>1393451500</v>
      </c>
      <c r="W227">
        <v>2.85</v>
      </c>
      <c r="X227">
        <v>0.03</v>
      </c>
      <c r="Y227">
        <v>22.95</v>
      </c>
      <c r="Z227" t="s">
        <v>1543</v>
      </c>
      <c r="AA227" t="s">
        <v>21</v>
      </c>
      <c r="AB227" t="s">
        <v>9342</v>
      </c>
      <c r="AC227" t="s">
        <v>9343</v>
      </c>
      <c r="AD227" t="s">
        <v>9344</v>
      </c>
      <c r="AE227" t="s">
        <v>123</v>
      </c>
      <c r="AF227" t="s">
        <v>9</v>
      </c>
      <c r="AG227" t="s">
        <v>9345</v>
      </c>
      <c r="AH227" t="s">
        <v>9346</v>
      </c>
      <c r="AI227" t="s">
        <v>424</v>
      </c>
      <c r="AJ227" t="s">
        <v>9347</v>
      </c>
      <c r="AK227" t="s">
        <v>9348</v>
      </c>
      <c r="AL227" t="s">
        <v>9</v>
      </c>
      <c r="AM227" t="s">
        <v>2422</v>
      </c>
      <c r="AN227" s="5">
        <v>0.62790000000000001</v>
      </c>
      <c r="AO227" t="s">
        <v>3888</v>
      </c>
      <c r="AP227" t="s">
        <v>1118</v>
      </c>
      <c r="AQ227" t="s">
        <v>203</v>
      </c>
      <c r="AR227" t="s">
        <v>2541</v>
      </c>
      <c r="AS227" t="s">
        <v>9349</v>
      </c>
      <c r="AT227" t="s">
        <v>9350</v>
      </c>
      <c r="AU227" t="s">
        <v>684</v>
      </c>
      <c r="AV227" t="s">
        <v>3769</v>
      </c>
      <c r="AW227" t="s">
        <v>9351</v>
      </c>
      <c r="AX227" t="s">
        <v>3479</v>
      </c>
      <c r="AY227" t="s">
        <v>3483</v>
      </c>
      <c r="AZ227" t="s">
        <v>3484</v>
      </c>
      <c r="BA227" t="s">
        <v>3486</v>
      </c>
      <c r="BB227" t="s">
        <v>2235</v>
      </c>
      <c r="BC227" t="s">
        <v>820</v>
      </c>
      <c r="BD227" t="s">
        <v>3487</v>
      </c>
      <c r="BE227" t="s">
        <v>3488</v>
      </c>
      <c r="BF227" t="s">
        <v>1041</v>
      </c>
      <c r="BG227" t="s">
        <v>73</v>
      </c>
      <c r="BH227" t="s">
        <v>3479</v>
      </c>
      <c r="BI227" t="s">
        <v>2163</v>
      </c>
      <c r="BJ227" t="s">
        <v>3483</v>
      </c>
      <c r="BK227" t="s">
        <v>1941</v>
      </c>
      <c r="BL227" t="s">
        <v>253</v>
      </c>
      <c r="BM227" t="s">
        <v>820</v>
      </c>
      <c r="BN227">
        <v>3.48</v>
      </c>
      <c r="BO227">
        <v>4.26</v>
      </c>
      <c r="BP227">
        <v>4.5199999999999996</v>
      </c>
      <c r="BQ227">
        <v>8.06</v>
      </c>
      <c r="BR227">
        <v>10.16</v>
      </c>
      <c r="BS227">
        <v>10.69</v>
      </c>
      <c r="BT227" t="s">
        <v>5339</v>
      </c>
      <c r="BU227" t="s">
        <v>589</v>
      </c>
      <c r="BV227">
        <v>37.49</v>
      </c>
      <c r="BW227">
        <v>33.51</v>
      </c>
      <c r="BX227">
        <v>33.56</v>
      </c>
      <c r="BY227">
        <v>17.059999999999999</v>
      </c>
      <c r="BZ227">
        <v>17.399999999999999</v>
      </c>
      <c r="CA227">
        <v>14.82</v>
      </c>
      <c r="CB227">
        <v>-1.69</v>
      </c>
      <c r="CC227">
        <v>-3</v>
      </c>
      <c r="CD227" t="s">
        <v>9352</v>
      </c>
      <c r="CE227" t="s">
        <v>9353</v>
      </c>
      <c r="CF227" s="8">
        <v>-0.36990363232023721</v>
      </c>
      <c r="CG227" s="9">
        <v>-0.2319</v>
      </c>
      <c r="CH227" s="8">
        <v>-0.16145528852939606</v>
      </c>
      <c r="CI227" s="8">
        <v>-0.17020231485366821</v>
      </c>
      <c r="CJ227" s="8">
        <v>1.3046257495880127</v>
      </c>
      <c r="CK227" s="8">
        <v>1.0485363006591797</v>
      </c>
      <c r="CL227" s="8">
        <v>0.3793836236000061</v>
      </c>
      <c r="CM227" s="9">
        <v>-0.19203747808933258</v>
      </c>
      <c r="CN227" s="9">
        <v>0.42333334684371948</v>
      </c>
      <c r="CO227" s="9">
        <v>0.29032257199287415</v>
      </c>
      <c r="CP227" s="9">
        <v>0.11778846383094788</v>
      </c>
      <c r="CQ227" s="9">
        <v>0.67741936445236206</v>
      </c>
      <c r="CR227">
        <v>-15.88532258226693</v>
      </c>
      <c r="CS227">
        <v>-1.378369034810089</v>
      </c>
      <c r="CT227">
        <v>0</v>
      </c>
      <c r="CU227" s="8">
        <v>-0.11524723917245865</v>
      </c>
      <c r="CV227" s="9">
        <v>-23.107936418056489</v>
      </c>
      <c r="CW227">
        <v>0.06</v>
      </c>
      <c r="CX227">
        <v>14.936150869565218</v>
      </c>
      <c r="CY227" t="s">
        <v>6436</v>
      </c>
      <c r="CZ227">
        <v>-0.11524723917245865</v>
      </c>
      <c r="DA227">
        <v>4.9787169565217395</v>
      </c>
      <c r="DB227" t="s">
        <v>6466</v>
      </c>
      <c r="DC227">
        <v>-0.10948487721383571</v>
      </c>
      <c r="DD227">
        <v>2.4893584782608698</v>
      </c>
      <c r="DE227" t="s">
        <v>6467</v>
      </c>
      <c r="DF227">
        <v>-0.10141757047176361</v>
      </c>
      <c r="DG227">
        <v>1.4936150869565217</v>
      </c>
      <c r="DH227" t="s">
        <v>9354</v>
      </c>
      <c r="DI227">
        <v>-9.219779133796692E-2</v>
      </c>
      <c r="DJ227">
        <v>0.74680754347826084</v>
      </c>
      <c r="DK227" t="s">
        <v>9355</v>
      </c>
      <c r="DL227">
        <v>-8.0673067420721042E-2</v>
      </c>
      <c r="DM227">
        <v>690000000</v>
      </c>
      <c r="DN227">
        <v>-0.11524723917245865</v>
      </c>
      <c r="DO227">
        <v>10305944100</v>
      </c>
      <c r="DP227" t="e">
        <v>#VALUE!</v>
      </c>
      <c r="DQ227">
        <v>226</v>
      </c>
      <c r="DR227">
        <v>-0.25465639314777855</v>
      </c>
      <c r="DS227">
        <v>22.87603641805649</v>
      </c>
      <c r="DT227">
        <v>-0.59</v>
      </c>
      <c r="DU227">
        <v>-0.43333333333333357</v>
      </c>
      <c r="DV227">
        <v>-1.0233333333333334</v>
      </c>
      <c r="DW227">
        <v>-1.03</v>
      </c>
      <c r="DX227">
        <v>0.41792243290360054</v>
      </c>
      <c r="DY227">
        <v>-1.009237672987108</v>
      </c>
      <c r="DZ227">
        <v>0</v>
      </c>
      <c r="EA227">
        <v>-1.009237672987108</v>
      </c>
      <c r="EB227">
        <v>1</v>
      </c>
      <c r="EC227">
        <v>1.0267311061777177E-2</v>
      </c>
      <c r="ED227">
        <v>3.3343822874351926E-2</v>
      </c>
      <c r="EE227">
        <v>0</v>
      </c>
      <c r="EF227">
        <v>0</v>
      </c>
      <c r="EG227">
        <v>11.307922432903601</v>
      </c>
      <c r="EH227" t="s">
        <v>110</v>
      </c>
      <c r="EI227">
        <v>0</v>
      </c>
      <c r="EJ227">
        <v>0</v>
      </c>
      <c r="EK227">
        <v>0</v>
      </c>
      <c r="EL227">
        <v>0</v>
      </c>
      <c r="EM227">
        <v>0</v>
      </c>
      <c r="EN227">
        <v>0</v>
      </c>
      <c r="EO227">
        <v>0</v>
      </c>
      <c r="EP227">
        <v>0</v>
      </c>
    </row>
    <row r="228" spans="1:146" ht="96" x14ac:dyDescent="0.25">
      <c r="A228" s="7"/>
      <c r="B228" s="7"/>
      <c r="C228" s="7" t="str">
        <f>""&amp;CHAR(10)&amp;Basic_Fundamental_Information_Constructure(F228)&amp;CHAR(10)&amp;Basic_Fundamental_Information_Concatenate("")</f>
        <v xml:space="preserve">
市值470.42763亿, 利润95.50亿; PE6.74; 平均PE28.37; 平均PEG2.35, PB.464; ROIC0%; ROE10.54%; 股利率0%; 毛利0%; 净利7.85%; 上一年度营收增-35.09%, 利润增-47.82%; 当季营收增-6.24%, 利润增-32.58%; 过往5年营收增12.06%, 利润增-903.01%
Income profile:
</v>
      </c>
      <c r="D228" s="11">
        <v>1336</v>
      </c>
      <c r="E228" t="s">
        <v>3489</v>
      </c>
      <c r="F228">
        <v>15.08</v>
      </c>
      <c r="G228" s="5">
        <v>-3.3300000000000003E-2</v>
      </c>
      <c r="H228" t="s">
        <v>9356</v>
      </c>
      <c r="I228">
        <v>47042763000</v>
      </c>
      <c r="J228">
        <v>6.74</v>
      </c>
      <c r="K228">
        <v>0.46400000000000002</v>
      </c>
      <c r="L228" t="s">
        <v>6350</v>
      </c>
      <c r="M228" t="s">
        <v>9357</v>
      </c>
      <c r="N228" t="s">
        <v>9358</v>
      </c>
      <c r="O228" t="s">
        <v>9359</v>
      </c>
      <c r="P228" t="s">
        <v>9</v>
      </c>
      <c r="Q228" t="s">
        <v>9360</v>
      </c>
      <c r="R228">
        <v>9550094400</v>
      </c>
      <c r="S228" s="5">
        <v>-0.32579999999999998</v>
      </c>
      <c r="T228" t="s">
        <v>9361</v>
      </c>
      <c r="U228">
        <v>1034107260</v>
      </c>
      <c r="V228">
        <v>3119546600</v>
      </c>
      <c r="W228">
        <v>15.21</v>
      </c>
      <c r="X228">
        <v>0.02</v>
      </c>
      <c r="Y228">
        <v>19.48</v>
      </c>
      <c r="Z228" t="s">
        <v>9</v>
      </c>
      <c r="AA228" t="s">
        <v>9</v>
      </c>
      <c r="AB228" t="s">
        <v>9</v>
      </c>
      <c r="AC228" t="s">
        <v>9</v>
      </c>
      <c r="AD228" t="s">
        <v>9</v>
      </c>
      <c r="AE228" t="s">
        <v>3752</v>
      </c>
      <c r="AF228" t="s">
        <v>4024</v>
      </c>
      <c r="AG228" t="s">
        <v>94</v>
      </c>
      <c r="AH228" t="s">
        <v>9362</v>
      </c>
      <c r="AI228" t="s">
        <v>9363</v>
      </c>
      <c r="AJ228" t="s">
        <v>9</v>
      </c>
      <c r="AK228" t="s">
        <v>9364</v>
      </c>
      <c r="AL228" t="s">
        <v>9</v>
      </c>
      <c r="AM228" t="s">
        <v>9365</v>
      </c>
      <c r="AN228" s="5">
        <v>0.93420000000000003</v>
      </c>
      <c r="AO228" t="s">
        <v>9</v>
      </c>
      <c r="AP228" t="s">
        <v>9</v>
      </c>
      <c r="AQ228" t="s">
        <v>9</v>
      </c>
      <c r="AR228" t="s">
        <v>9</v>
      </c>
      <c r="AS228" t="s">
        <v>9</v>
      </c>
      <c r="AT228" t="s">
        <v>9</v>
      </c>
      <c r="AU228" t="s">
        <v>9366</v>
      </c>
      <c r="AV228" t="s">
        <v>9367</v>
      </c>
      <c r="AW228" t="s">
        <v>9368</v>
      </c>
      <c r="AX228" t="s">
        <v>9369</v>
      </c>
      <c r="AY228" t="s">
        <v>3491</v>
      </c>
      <c r="AZ228" t="s">
        <v>3492</v>
      </c>
      <c r="BA228" t="s">
        <v>3493</v>
      </c>
      <c r="BB228" t="s">
        <v>3494</v>
      </c>
      <c r="BC228" t="s">
        <v>3495</v>
      </c>
      <c r="BD228" t="s">
        <v>3496</v>
      </c>
      <c r="BE228" t="s">
        <v>3497</v>
      </c>
      <c r="BF228" t="s">
        <v>3498</v>
      </c>
      <c r="BG228" t="s">
        <v>3499</v>
      </c>
      <c r="BH228" t="s">
        <v>9369</v>
      </c>
      <c r="BI228" t="s">
        <v>3500</v>
      </c>
      <c r="BJ228" t="s">
        <v>3491</v>
      </c>
      <c r="BK228" t="s">
        <v>3490</v>
      </c>
      <c r="BL228" t="s">
        <v>9370</v>
      </c>
      <c r="BM228" t="s">
        <v>3495</v>
      </c>
      <c r="BN228" t="s">
        <v>9</v>
      </c>
      <c r="BO228" t="s">
        <v>9</v>
      </c>
      <c r="BP228" t="s">
        <v>9</v>
      </c>
      <c r="BQ228">
        <v>8.2899999999999991</v>
      </c>
      <c r="BR228">
        <v>9.5500000000000007</v>
      </c>
      <c r="BS228">
        <v>13.78</v>
      </c>
      <c r="BT228" t="s">
        <v>9371</v>
      </c>
      <c r="BU228" t="s">
        <v>2704</v>
      </c>
      <c r="BV228" t="s">
        <v>9</v>
      </c>
      <c r="BW228" t="s">
        <v>9</v>
      </c>
      <c r="BX228" t="s">
        <v>9</v>
      </c>
      <c r="BY228">
        <v>12.06</v>
      </c>
      <c r="BZ228">
        <v>4.6900000000000004</v>
      </c>
      <c r="CA228">
        <v>6.8</v>
      </c>
      <c r="CB228">
        <v>-7.03</v>
      </c>
      <c r="CC228">
        <v>-10.87</v>
      </c>
      <c r="CD228" t="s">
        <v>9372</v>
      </c>
      <c r="CE228" t="s">
        <v>1003</v>
      </c>
      <c r="CF228" s="8">
        <v>-6.2368559411146288E-2</v>
      </c>
      <c r="CG228" s="9">
        <v>-0.32579999999999998</v>
      </c>
      <c r="CH228" s="8">
        <v>-0.35088512301445007</v>
      </c>
      <c r="CI228" s="8">
        <v>-0.54710620641708374</v>
      </c>
      <c r="CJ228" s="8">
        <v>0.10883703827857971</v>
      </c>
      <c r="CK228" s="8">
        <v>0.40428602695465088</v>
      </c>
      <c r="CL228" s="8">
        <v>8.656802587211132E-3</v>
      </c>
      <c r="CM228" s="9">
        <v>-0.47822761535644531</v>
      </c>
      <c r="CN228" s="9">
        <v>7.4308909475803375E-2</v>
      </c>
      <c r="CO228" s="9">
        <v>4.7141950577497482E-2</v>
      </c>
      <c r="CP228" s="9">
        <v>0.80376935005187988</v>
      </c>
      <c r="CQ228" s="9">
        <v>0.39758291840553284</v>
      </c>
      <c r="CR228">
        <v>28.36900867033188</v>
      </c>
      <c r="CS228">
        <v>2.3515607520971415</v>
      </c>
      <c r="CT228">
        <v>0</v>
      </c>
      <c r="CU228" s="8">
        <v>0.12063906341791153</v>
      </c>
      <c r="CV228" s="9">
        <v>-9.0300892382860187</v>
      </c>
      <c r="CW228">
        <v>0.06</v>
      </c>
      <c r="CX228">
        <v>137.29450568180746</v>
      </c>
      <c r="CY228">
        <v>10096323637.397223</v>
      </c>
      <c r="CZ228">
        <v>0.12063906341791153</v>
      </c>
      <c r="DA228">
        <v>43.721463418825323</v>
      </c>
      <c r="DB228">
        <v>31704560062.899254</v>
      </c>
      <c r="DC228">
        <v>0.11460711024701595</v>
      </c>
      <c r="DD228">
        <v>20.78337199449204</v>
      </c>
      <c r="DE228">
        <v>66696095482.838852</v>
      </c>
      <c r="DF228">
        <v>0.10616237580776215</v>
      </c>
      <c r="DG228">
        <v>11.991425254073208</v>
      </c>
      <c r="DH228">
        <v>115596747978.65669</v>
      </c>
      <c r="DI228">
        <v>9.6511250734329229E-2</v>
      </c>
      <c r="DJ228">
        <v>5.6631539149102856</v>
      </c>
      <c r="DK228">
        <v>244769925703.4866</v>
      </c>
      <c r="DL228">
        <v>8.4447344392538065E-2</v>
      </c>
      <c r="DM228">
        <v>9550000000</v>
      </c>
      <c r="DN228">
        <v>0.12063906341791153</v>
      </c>
      <c r="DO228">
        <v>1386169763000</v>
      </c>
      <c r="DP228" t="e">
        <v>#VALUE!</v>
      </c>
      <c r="DQ228">
        <v>227</v>
      </c>
      <c r="DR228">
        <v>-0.1830076228290578</v>
      </c>
      <c r="DS228">
        <v>8.7042892382860195</v>
      </c>
      <c r="DT228">
        <v>-0.3066666666666667</v>
      </c>
      <c r="DU228">
        <v>-1.6666666666667013E-2</v>
      </c>
      <c r="DV228">
        <v>-0.32333333333333369</v>
      </c>
      <c r="DW228">
        <v>-9.6467341306347745</v>
      </c>
      <c r="DX228">
        <v>0.61245133689839748</v>
      </c>
      <c r="DY228">
        <v>-9.0662587763013551</v>
      </c>
      <c r="DZ228">
        <v>0</v>
      </c>
      <c r="EA228">
        <v>-9.0662587763013551</v>
      </c>
      <c r="EB228">
        <v>9</v>
      </c>
      <c r="EC228">
        <v>6.1414052926793911E-3</v>
      </c>
      <c r="ED228">
        <v>5.9944608617162505E-2</v>
      </c>
      <c r="EE228">
        <v>0</v>
      </c>
      <c r="EF228">
        <v>0</v>
      </c>
      <c r="EG228">
        <v>51.102451336898397</v>
      </c>
      <c r="EH228" t="s">
        <v>110</v>
      </c>
      <c r="EI228">
        <v>0</v>
      </c>
      <c r="EJ228">
        <v>0</v>
      </c>
      <c r="EK228">
        <v>0</v>
      </c>
      <c r="EL228">
        <v>0</v>
      </c>
      <c r="EM228">
        <v>0</v>
      </c>
      <c r="EN228">
        <v>0</v>
      </c>
      <c r="EO228">
        <v>0</v>
      </c>
      <c r="EP228">
        <v>0</v>
      </c>
    </row>
    <row r="229" spans="1:146" ht="96" x14ac:dyDescent="0.25">
      <c r="A229" s="7"/>
      <c r="B229" s="7"/>
      <c r="C229" s="7" t="str">
        <f>""&amp;CHAR(10)&amp;Basic_Fundamental_Information_Constructure(F229)&amp;CHAR(10)&amp;Basic_Fundamental_Information_Concatenate("")</f>
        <v xml:space="preserve">
市值1167.51335亿, 利润244.69亿; PE5.63; 平均PE31.69; 平均PEG6.31, PB.44; ROIC0%; ROE10.0033%; 毛利0%; 净利5.4733%; 上一年度营收增2%, 利润增-6.95%; 当季营收增-11.71%, 利润增-27.84%; 过往5年营收增5.02%, 利润增-2403.54%
Income profile:
</v>
      </c>
      <c r="D229" s="11">
        <v>1339</v>
      </c>
      <c r="E229" t="s">
        <v>3501</v>
      </c>
      <c r="F229">
        <v>2.64</v>
      </c>
      <c r="G229" s="5">
        <v>-7.4999999999999997E-3</v>
      </c>
      <c r="H229" t="s">
        <v>9373</v>
      </c>
      <c r="I229">
        <v>116751335000</v>
      </c>
      <c r="J229">
        <v>5.63</v>
      </c>
      <c r="K229">
        <v>0.44</v>
      </c>
      <c r="L229" t="s">
        <v>6350</v>
      </c>
      <c r="M229" t="s">
        <v>9374</v>
      </c>
      <c r="N229" t="s">
        <v>9375</v>
      </c>
      <c r="O229" t="s">
        <v>9376</v>
      </c>
      <c r="P229" t="s">
        <v>9</v>
      </c>
      <c r="Q229" t="s">
        <v>9377</v>
      </c>
      <c r="R229">
        <v>24469376000</v>
      </c>
      <c r="S229" s="5">
        <v>-0.27839999999999998</v>
      </c>
      <c r="T229" t="s">
        <v>9378</v>
      </c>
      <c r="U229">
        <v>8726234000</v>
      </c>
      <c r="V229">
        <v>44223991000</v>
      </c>
      <c r="W229">
        <v>6.41</v>
      </c>
      <c r="X229">
        <v>0.08</v>
      </c>
      <c r="Y229">
        <v>10.7</v>
      </c>
      <c r="Z229" t="s">
        <v>9</v>
      </c>
      <c r="AA229" t="s">
        <v>9</v>
      </c>
      <c r="AB229" t="s">
        <v>9</v>
      </c>
      <c r="AC229" t="s">
        <v>9</v>
      </c>
      <c r="AD229" t="s">
        <v>9</v>
      </c>
      <c r="AE229" t="s">
        <v>9379</v>
      </c>
      <c r="AF229" t="s">
        <v>4185</v>
      </c>
      <c r="AG229" t="s">
        <v>3299</v>
      </c>
      <c r="AH229" t="s">
        <v>9380</v>
      </c>
      <c r="AI229" t="s">
        <v>9381</v>
      </c>
      <c r="AJ229" t="s">
        <v>9</v>
      </c>
      <c r="AK229" t="s">
        <v>9382</v>
      </c>
      <c r="AL229" t="s">
        <v>9</v>
      </c>
      <c r="AM229" t="s">
        <v>9383</v>
      </c>
      <c r="AN229" s="5">
        <v>0.78600000000000003</v>
      </c>
      <c r="AO229" t="s">
        <v>9</v>
      </c>
      <c r="AP229" t="s">
        <v>9</v>
      </c>
      <c r="AQ229" t="s">
        <v>9</v>
      </c>
      <c r="AR229" t="s">
        <v>9</v>
      </c>
      <c r="AS229" t="s">
        <v>9</v>
      </c>
      <c r="AT229" t="s">
        <v>9</v>
      </c>
      <c r="AU229" t="s">
        <v>9384</v>
      </c>
      <c r="AV229" t="s">
        <v>9385</v>
      </c>
      <c r="AW229" t="s">
        <v>3986</v>
      </c>
      <c r="AX229" t="s">
        <v>9386</v>
      </c>
      <c r="AY229" t="s">
        <v>3503</v>
      </c>
      <c r="AZ229" t="s">
        <v>3504</v>
      </c>
      <c r="BA229" t="s">
        <v>3505</v>
      </c>
      <c r="BB229" t="s">
        <v>3506</v>
      </c>
      <c r="BC229" t="s">
        <v>3507</v>
      </c>
      <c r="BD229" t="s">
        <v>3508</v>
      </c>
      <c r="BE229" t="s">
        <v>3509</v>
      </c>
      <c r="BF229" t="s">
        <v>3510</v>
      </c>
      <c r="BG229" t="s">
        <v>3511</v>
      </c>
      <c r="BH229" t="s">
        <v>9386</v>
      </c>
      <c r="BI229" t="s">
        <v>3512</v>
      </c>
      <c r="BJ229" t="s">
        <v>3503</v>
      </c>
      <c r="BK229" t="s">
        <v>3502</v>
      </c>
      <c r="BL229" t="s">
        <v>9387</v>
      </c>
      <c r="BM229" t="s">
        <v>3507</v>
      </c>
      <c r="BN229" t="s">
        <v>9</v>
      </c>
      <c r="BO229" t="s">
        <v>9</v>
      </c>
      <c r="BP229" t="s">
        <v>9</v>
      </c>
      <c r="BQ229">
        <v>9.18</v>
      </c>
      <c r="BR229">
        <v>11.04</v>
      </c>
      <c r="BS229">
        <v>9.7899999999999991</v>
      </c>
      <c r="BT229" t="s">
        <v>9388</v>
      </c>
      <c r="BU229" t="s">
        <v>2704</v>
      </c>
      <c r="BV229" t="s">
        <v>9</v>
      </c>
      <c r="BW229" t="s">
        <v>9</v>
      </c>
      <c r="BX229" t="s">
        <v>9</v>
      </c>
      <c r="BY229">
        <v>5.72</v>
      </c>
      <c r="BZ229">
        <v>5.59</v>
      </c>
      <c r="CA229">
        <v>5.1100000000000003</v>
      </c>
      <c r="CB229">
        <v>-3.65</v>
      </c>
      <c r="CC229">
        <v>-5.38</v>
      </c>
      <c r="CD229" t="s">
        <v>239</v>
      </c>
      <c r="CE229" t="s">
        <v>867</v>
      </c>
      <c r="CF229" s="8">
        <v>-0.11710019541996319</v>
      </c>
      <c r="CG229" s="9">
        <v>-0.27839999999999998</v>
      </c>
      <c r="CH229" s="8">
        <v>1.9955629482865334E-2</v>
      </c>
      <c r="CI229" s="8">
        <v>-0.20507076382637024</v>
      </c>
      <c r="CJ229" s="8">
        <v>5.0316322594881058E-2</v>
      </c>
      <c r="CK229" s="8">
        <v>0.22108742594718933</v>
      </c>
      <c r="CL229" s="8">
        <v>-2.1198371425271034E-2</v>
      </c>
      <c r="CM229" s="9">
        <v>-6.9513626396656036E-2</v>
      </c>
      <c r="CN229" s="9">
        <v>0.10116824507713318</v>
      </c>
      <c r="CO229" s="9">
        <v>-3.4564968198537827E-2</v>
      </c>
      <c r="CP229" s="9">
        <v>0.68249213695526123</v>
      </c>
      <c r="CQ229" s="9">
        <v>-0.23827776312828064</v>
      </c>
      <c r="CR229">
        <v>31.688402136270575</v>
      </c>
      <c r="CS229">
        <v>6.3137672991469431</v>
      </c>
      <c r="CT229" t="e">
        <v>#VALUE!</v>
      </c>
      <c r="CU229" s="8">
        <v>5.018937289714813E-2</v>
      </c>
      <c r="CV229" s="9">
        <v>-24.035417264699937</v>
      </c>
      <c r="CW229">
        <v>0.06</v>
      </c>
      <c r="CX229">
        <v>44.885507072679069</v>
      </c>
      <c r="CY229">
        <v>24242531854.170109</v>
      </c>
      <c r="CZ229">
        <v>5.018937289714813E-2</v>
      </c>
      <c r="DA229">
        <v>15.173345701596489</v>
      </c>
      <c r="DB229">
        <v>71713803692.320129</v>
      </c>
      <c r="DC229">
        <v>4.7679904252290718E-2</v>
      </c>
      <c r="DD229">
        <v>7.8099700184500813</v>
      </c>
      <c r="DE229">
        <v>139326826150.34485</v>
      </c>
      <c r="DF229">
        <v>4.4166648149490353E-2</v>
      </c>
      <c r="DG229">
        <v>4.9269589726079115</v>
      </c>
      <c r="DH229">
        <v>220853946836.10129</v>
      </c>
      <c r="DI229">
        <v>4.0151498317718505E-2</v>
      </c>
      <c r="DJ229">
        <v>2.826379327001356</v>
      </c>
      <c r="DK229">
        <v>384993735485.05933</v>
      </c>
      <c r="DL229">
        <v>3.5132561028003689E-2</v>
      </c>
      <c r="DM229">
        <v>24469000000</v>
      </c>
      <c r="DN229">
        <v>5.018937289714813E-2</v>
      </c>
      <c r="DO229">
        <v>1088138335000</v>
      </c>
      <c r="DP229" t="e">
        <v>#VALUE!</v>
      </c>
      <c r="DQ229">
        <v>228</v>
      </c>
      <c r="DR229">
        <v>-0.16728956831711134</v>
      </c>
      <c r="DS229">
        <v>23.757017264699936</v>
      </c>
      <c r="DT229">
        <v>-0.37333333333333335</v>
      </c>
      <c r="DU229">
        <v>0.24999999999999989</v>
      </c>
      <c r="DV229">
        <v>-0.12333333333333346</v>
      </c>
      <c r="DW229">
        <v>-8.6784386617100377</v>
      </c>
      <c r="DX229">
        <v>0.47664165103189615</v>
      </c>
      <c r="DY229">
        <v>-8.0859185922428285</v>
      </c>
      <c r="DZ229">
        <v>0</v>
      </c>
      <c r="EA229">
        <v>-8.0859185922428285</v>
      </c>
      <c r="EB229">
        <v>8</v>
      </c>
      <c r="EC229">
        <v>3.0526417210965874E-3</v>
      </c>
      <c r="ED229">
        <v>2.4104563516214535E-2</v>
      </c>
      <c r="EE229">
        <v>0</v>
      </c>
      <c r="EF229">
        <v>0</v>
      </c>
      <c r="EG229">
        <v>35.126641651031896</v>
      </c>
      <c r="EH229" t="s">
        <v>110</v>
      </c>
      <c r="EI229">
        <v>0</v>
      </c>
      <c r="EJ229">
        <v>0</v>
      </c>
      <c r="EK229">
        <v>0</v>
      </c>
      <c r="EL229">
        <v>0</v>
      </c>
      <c r="EM229">
        <v>0</v>
      </c>
      <c r="EN229">
        <v>0</v>
      </c>
      <c r="EO229">
        <v>0</v>
      </c>
      <c r="EP229">
        <v>0</v>
      </c>
    </row>
    <row r="230" spans="1:146" ht="216" x14ac:dyDescent="0.25">
      <c r="A230" s="7" t="s">
        <v>6354</v>
      </c>
      <c r="B230" s="7"/>
      <c r="C230" s="7" t="str">
        <f>"公司主营业务是8英寸及12英寸晶圆的特色工艺代工服务，在不同工艺平台上，按照客户需求为其制造多种类的半导体产品；同时为客户提供包括IP设计、测试等配套服务。主要产品是功率器件、嵌入式非易失性存储器、模拟与电源管理、逻辑与射频、独立式非易失性存储器。"&amp;CHAR(10)&amp;Basic_Fundamental_Information_Constructure(F230)&amp;CHAR(10)&amp;Basic_Fundamental_Information_Concatenate("Embedded Non-Volatile Memory (eNVM) 767,568 31.0% 67.2%
Standalone Non-Volatile Memory (sNVM) 208,171 8.4% 134.4%
Discrete 774,638 31.3% 38.9%
Logic &amp; RF 274,384 11.1% 0.9%
Analog &amp; Power Management (PM) 448,648 18.1% 79.1%")</f>
        <v>公司主营业务是8英寸及12英寸晶圆的特色工艺代工服务，在不同工艺平台上，按照客户需求为其制造多种类的半导体产品；同时为客户提供包括IP设计、测试等配套服务。主要产品是功率器件、嵌入式非易失性存储器、模拟与电源管理、逻辑与射频、独立式非易失性存储器。
市值376.86178亿, 利润21.87亿; PE30.37; 平均PE116.22; 平均PEG698.49, PB.762; ROIC6.8967%; ROE9.4667%; 股利率0%; 毛利27.6933%; 净利12.0367%; 上一年度营收增-7.62%, 利润增7.26%, 利润增-37.73%; 过往5年营收增.17%, 利润增-113.1%
Income profile:
Embedded Non-Volatile Memory (eNVM) 767,568 31.0% 67.2%
Standalone Non-Volatile Memory (sNVM) 208,171 8.4% 134.4%
Discrete 774,638 31.3% 38.9%
Logic &amp; RF 274,384 11.1% 0.9%
Analog &amp; Power Management (PM) 448,648 18.1% 79.1%</v>
      </c>
      <c r="D230" s="11">
        <v>1347</v>
      </c>
      <c r="E230" t="s">
        <v>3514</v>
      </c>
      <c r="F230">
        <v>21.95</v>
      </c>
      <c r="G230" s="5">
        <v>-3.73E-2</v>
      </c>
      <c r="H230" t="s">
        <v>9389</v>
      </c>
      <c r="I230">
        <v>37686178000</v>
      </c>
      <c r="J230">
        <v>30.37</v>
      </c>
      <c r="K230">
        <v>0.76200000000000001</v>
      </c>
      <c r="L230" t="s">
        <v>6350</v>
      </c>
      <c r="M230" t="s">
        <v>9</v>
      </c>
      <c r="N230" t="s">
        <v>9</v>
      </c>
      <c r="O230" t="s">
        <v>9</v>
      </c>
      <c r="P230" t="s">
        <v>9</v>
      </c>
      <c r="Q230" t="s">
        <v>9390</v>
      </c>
      <c r="R230">
        <v>2187345600</v>
      </c>
      <c r="S230" s="5">
        <v>-0.37730000000000002</v>
      </c>
      <c r="T230" t="s">
        <v>9391</v>
      </c>
      <c r="U230">
        <v>1309022430</v>
      </c>
      <c r="V230">
        <v>1716772400</v>
      </c>
      <c r="W230" t="s">
        <v>9</v>
      </c>
      <c r="X230" t="s">
        <v>9</v>
      </c>
      <c r="Y230" t="s">
        <v>9</v>
      </c>
      <c r="Z230" t="s">
        <v>9</v>
      </c>
      <c r="AA230" t="s">
        <v>9</v>
      </c>
      <c r="AB230" t="s">
        <v>9</v>
      </c>
      <c r="AC230" t="s">
        <v>9</v>
      </c>
      <c r="AD230" t="s">
        <v>3057</v>
      </c>
      <c r="AE230" t="s">
        <v>9</v>
      </c>
      <c r="AF230" t="s">
        <v>9</v>
      </c>
      <c r="AG230" t="s">
        <v>9</v>
      </c>
      <c r="AH230" t="s">
        <v>9392</v>
      </c>
      <c r="AI230" t="s">
        <v>9</v>
      </c>
      <c r="AJ230" t="s">
        <v>9</v>
      </c>
      <c r="AK230" t="s">
        <v>9393</v>
      </c>
      <c r="AL230" t="s">
        <v>9</v>
      </c>
      <c r="AM230" t="s">
        <v>9</v>
      </c>
      <c r="AN230" s="5">
        <v>0.2676</v>
      </c>
      <c r="AO230" t="s">
        <v>9</v>
      </c>
      <c r="AP230" t="s">
        <v>7996</v>
      </c>
      <c r="AQ230" t="s">
        <v>9</v>
      </c>
      <c r="AR230" t="s">
        <v>9394</v>
      </c>
      <c r="AS230" t="s">
        <v>9</v>
      </c>
      <c r="AT230" t="s">
        <v>9</v>
      </c>
      <c r="AU230" t="s">
        <v>4899</v>
      </c>
      <c r="AV230" t="s">
        <v>9395</v>
      </c>
      <c r="AW230" t="s">
        <v>9</v>
      </c>
      <c r="AX230" t="s">
        <v>3515</v>
      </c>
      <c r="AY230" t="s">
        <v>3520</v>
      </c>
      <c r="AZ230" t="s">
        <v>3521</v>
      </c>
      <c r="BA230" t="s">
        <v>3522</v>
      </c>
      <c r="BB230" t="s">
        <v>3523</v>
      </c>
      <c r="BC230" t="s">
        <v>3524</v>
      </c>
      <c r="BD230" t="s">
        <v>3525</v>
      </c>
      <c r="BE230" t="s">
        <v>3526</v>
      </c>
      <c r="BF230" t="s">
        <v>2336</v>
      </c>
      <c r="BG230" t="s">
        <v>3527</v>
      </c>
      <c r="BH230" t="s">
        <v>3515</v>
      </c>
      <c r="BI230" t="s">
        <v>389</v>
      </c>
      <c r="BJ230" t="s">
        <v>3520</v>
      </c>
      <c r="BK230" t="s">
        <v>3109</v>
      </c>
      <c r="BL230" t="s">
        <v>204</v>
      </c>
      <c r="BM230" t="s">
        <v>3524</v>
      </c>
      <c r="BN230">
        <v>4.2</v>
      </c>
      <c r="BO230">
        <v>9.57</v>
      </c>
      <c r="BP230">
        <v>6.92</v>
      </c>
      <c r="BQ230">
        <v>4.4400000000000004</v>
      </c>
      <c r="BR230">
        <v>14.85</v>
      </c>
      <c r="BS230">
        <v>9.11</v>
      </c>
      <c r="BT230" t="s">
        <v>2156</v>
      </c>
      <c r="BU230" t="s">
        <v>1595</v>
      </c>
      <c r="BV230">
        <v>21.31</v>
      </c>
      <c r="BW230">
        <v>34.08</v>
      </c>
      <c r="BX230">
        <v>27.69</v>
      </c>
      <c r="BY230">
        <v>5.53</v>
      </c>
      <c r="BZ230">
        <v>16.420000000000002</v>
      </c>
      <c r="CA230">
        <v>14.16</v>
      </c>
      <c r="CB230">
        <v>-10.77</v>
      </c>
      <c r="CC230">
        <v>26.19</v>
      </c>
      <c r="CD230" t="s">
        <v>70</v>
      </c>
      <c r="CE230" t="s">
        <v>3886</v>
      </c>
      <c r="CF230" s="8" t="s">
        <v>9</v>
      </c>
      <c r="CG230" s="9">
        <v>-0.37730000000000002</v>
      </c>
      <c r="CH230" s="8">
        <v>-7.6154999434947968E-2</v>
      </c>
      <c r="CI230" s="8">
        <v>0.51993393898010254</v>
      </c>
      <c r="CJ230" s="8">
        <v>0.70629268884658813</v>
      </c>
      <c r="CK230" s="8">
        <v>2.2639982402324677E-2</v>
      </c>
      <c r="CL230" s="8">
        <v>0.15407763421535492</v>
      </c>
      <c r="CM230" s="9">
        <v>7.2584599256515503E-2</v>
      </c>
      <c r="CN230" s="9">
        <v>1.6446174383163452</v>
      </c>
      <c r="CO230" s="9">
        <v>-0.38954871892929077</v>
      </c>
      <c r="CP230" s="9">
        <v>-0.11986061930656433</v>
      </c>
      <c r="CQ230" s="9">
        <v>0.26431715488433838</v>
      </c>
      <c r="CR230">
        <v>116.21555273310534</v>
      </c>
      <c r="CS230">
        <v>698.49302527860527</v>
      </c>
      <c r="CT230">
        <v>0</v>
      </c>
      <c r="CU230" s="8">
        <v>1.6638040542602539E-3</v>
      </c>
      <c r="CV230" s="9">
        <v>-1.1309626847505569</v>
      </c>
      <c r="CW230">
        <v>0.06</v>
      </c>
      <c r="CX230">
        <v>18.23547989009159</v>
      </c>
      <c r="CY230">
        <v>2066640320.2515728</v>
      </c>
      <c r="CZ230">
        <v>1.6638040542602539E-3</v>
      </c>
      <c r="DA230">
        <v>6.4266827419073511</v>
      </c>
      <c r="DB230">
        <v>5864017178.6067133</v>
      </c>
      <c r="DC230">
        <v>1.5806138515472412E-3</v>
      </c>
      <c r="DD230">
        <v>3.4872810678714772</v>
      </c>
      <c r="DE230">
        <v>10806750951.967979</v>
      </c>
      <c r="DF230">
        <v>1.4641475677490234E-3</v>
      </c>
      <c r="DG230">
        <v>2.3256594969305548</v>
      </c>
      <c r="DH230">
        <v>16204512332.841013</v>
      </c>
      <c r="DI230">
        <v>1.3310432434082032E-3</v>
      </c>
      <c r="DJ230">
        <v>1.4873518236984575</v>
      </c>
      <c r="DK230">
        <v>25337769718.995831</v>
      </c>
      <c r="DL230">
        <v>1.1646628379821777E-3</v>
      </c>
      <c r="DM230">
        <v>2187000000</v>
      </c>
      <c r="DN230">
        <v>1.6638040542602539E-3</v>
      </c>
      <c r="DO230">
        <v>37686178000</v>
      </c>
      <c r="DP230" t="e">
        <v>#VALUE!</v>
      </c>
      <c r="DQ230">
        <v>229</v>
      </c>
      <c r="DR230" t="e">
        <v>#VALUE!</v>
      </c>
      <c r="DS230">
        <v>0.75366268475055698</v>
      </c>
      <c r="DT230" t="e">
        <v>#VALUE!</v>
      </c>
      <c r="DU230">
        <v>-0.37833333333333358</v>
      </c>
      <c r="DV230" t="e">
        <v>#VALUE!</v>
      </c>
      <c r="DW230">
        <v>-7.2913961038961039</v>
      </c>
      <c r="DX230">
        <v>0.32961612284069119</v>
      </c>
      <c r="DY230">
        <v>-7.0581673604706232</v>
      </c>
      <c r="DZ230">
        <v>0</v>
      </c>
      <c r="EA230">
        <v>-7.0581673604706232</v>
      </c>
      <c r="EB230">
        <v>7</v>
      </c>
      <c r="EC230">
        <v>6.0578793088705292E-2</v>
      </c>
      <c r="ED230">
        <v>0.30347645383861016</v>
      </c>
      <c r="EE230">
        <v>0</v>
      </c>
      <c r="EF230">
        <v>0</v>
      </c>
      <c r="EG230">
        <v>13.199616122840691</v>
      </c>
      <c r="EH230" t="s">
        <v>110</v>
      </c>
      <c r="EI230">
        <v>0</v>
      </c>
      <c r="EJ230">
        <v>0</v>
      </c>
      <c r="EK230">
        <v>0</v>
      </c>
      <c r="EL230">
        <v>0</v>
      </c>
      <c r="EM230">
        <v>0</v>
      </c>
      <c r="EN230">
        <v>0</v>
      </c>
      <c r="EO230">
        <v>0</v>
      </c>
      <c r="EP230">
        <v>0</v>
      </c>
    </row>
    <row r="231" spans="1:146" ht="96" x14ac:dyDescent="0.25">
      <c r="A231" s="7"/>
      <c r="B231" s="7"/>
      <c r="C231" s="7" t="str">
        <f>""&amp;CHAR(10)&amp;Basic_Fundamental_Information_Constructure(F231)&amp;CHAR(10)&amp;Basic_Fundamental_Information_Concatenate("")</f>
        <v xml:space="preserve">
市值18.450983亿, 利润1.19亿; PE16.54; 平均PE1.05; 平均PEG.09, PB.725; ROIC6.94%; ROE6.8167%; 股利率0%; 毛利92.0967%; 净利14.9867%; 上一年度营收增-19.81%, 利润增-54.41%; 当季营收增-7.6%, 利润增-74.79%; 过往5年营收增11.16%, 利润增16.99%
Income profile:
</v>
      </c>
      <c r="D231" s="11">
        <v>1349</v>
      </c>
      <c r="E231" t="s">
        <v>3528</v>
      </c>
      <c r="F231">
        <v>1.78</v>
      </c>
      <c r="G231" s="5">
        <v>-1.66E-2</v>
      </c>
      <c r="H231" t="s">
        <v>9396</v>
      </c>
      <c r="I231">
        <v>1845098300</v>
      </c>
      <c r="J231">
        <v>16.54</v>
      </c>
      <c r="K231">
        <v>0.72499999999999998</v>
      </c>
      <c r="L231" t="s">
        <v>6350</v>
      </c>
      <c r="M231" t="s">
        <v>2798</v>
      </c>
      <c r="N231" t="s">
        <v>9397</v>
      </c>
      <c r="O231" t="s">
        <v>439</v>
      </c>
      <c r="P231">
        <v>-21.94</v>
      </c>
      <c r="Q231" t="s">
        <v>4493</v>
      </c>
      <c r="R231">
        <v>119077321</v>
      </c>
      <c r="S231" s="5">
        <v>-0.74790000000000001</v>
      </c>
      <c r="T231" t="s">
        <v>760</v>
      </c>
      <c r="U231">
        <v>326000000</v>
      </c>
      <c r="V231">
        <v>1036572100</v>
      </c>
      <c r="W231">
        <v>1.2</v>
      </c>
      <c r="X231">
        <v>0.05</v>
      </c>
      <c r="Y231">
        <v>0.81</v>
      </c>
      <c r="Z231" t="s">
        <v>2543</v>
      </c>
      <c r="AA231" t="s">
        <v>9398</v>
      </c>
      <c r="AB231" t="s">
        <v>9399</v>
      </c>
      <c r="AC231" t="s">
        <v>9400</v>
      </c>
      <c r="AD231" t="s">
        <v>3167</v>
      </c>
      <c r="AE231" t="s">
        <v>9401</v>
      </c>
      <c r="AF231" t="s">
        <v>9</v>
      </c>
      <c r="AG231" t="s">
        <v>9402</v>
      </c>
      <c r="AH231" t="s">
        <v>9403</v>
      </c>
      <c r="AI231" t="s">
        <v>9404</v>
      </c>
      <c r="AJ231" t="s">
        <v>2949</v>
      </c>
      <c r="AK231" t="s">
        <v>9405</v>
      </c>
      <c r="AL231" t="s">
        <v>9</v>
      </c>
      <c r="AM231" t="s">
        <v>992</v>
      </c>
      <c r="AN231" s="5">
        <v>0.16439999999999999</v>
      </c>
      <c r="AO231" t="s">
        <v>9</v>
      </c>
      <c r="AP231" t="s">
        <v>9406</v>
      </c>
      <c r="AQ231" t="s">
        <v>9407</v>
      </c>
      <c r="AR231" t="s">
        <v>3158</v>
      </c>
      <c r="AS231" t="s">
        <v>899</v>
      </c>
      <c r="AT231" t="s">
        <v>9</v>
      </c>
      <c r="AU231" t="s">
        <v>9408</v>
      </c>
      <c r="AV231" t="s">
        <v>9409</v>
      </c>
      <c r="AW231" t="s">
        <v>9410</v>
      </c>
      <c r="AX231" t="s">
        <v>2678</v>
      </c>
      <c r="AY231" t="s">
        <v>846</v>
      </c>
      <c r="AZ231" t="s">
        <v>3534</v>
      </c>
      <c r="BA231" t="s">
        <v>209</v>
      </c>
      <c r="BB231" t="s">
        <v>573</v>
      </c>
      <c r="BC231" t="s">
        <v>3535</v>
      </c>
      <c r="BD231" t="s">
        <v>640</v>
      </c>
      <c r="BE231" t="s">
        <v>1119</v>
      </c>
      <c r="BF231" t="s">
        <v>669</v>
      </c>
      <c r="BG231" t="s">
        <v>3536</v>
      </c>
      <c r="BH231" t="s">
        <v>2678</v>
      </c>
      <c r="BI231" t="s">
        <v>23</v>
      </c>
      <c r="BJ231" t="s">
        <v>846</v>
      </c>
      <c r="BK231" t="s">
        <v>234</v>
      </c>
      <c r="BL231" t="s">
        <v>3537</v>
      </c>
      <c r="BM231" t="s">
        <v>3535</v>
      </c>
      <c r="BN231">
        <v>4.6100000000000003</v>
      </c>
      <c r="BO231">
        <v>6.06</v>
      </c>
      <c r="BP231">
        <v>10.15</v>
      </c>
      <c r="BQ231">
        <v>4.6100000000000003</v>
      </c>
      <c r="BR231">
        <v>6.11</v>
      </c>
      <c r="BS231">
        <v>9.73</v>
      </c>
      <c r="BT231" t="s">
        <v>3538</v>
      </c>
      <c r="BU231" t="s">
        <v>489</v>
      </c>
      <c r="BV231">
        <v>91.64</v>
      </c>
      <c r="BW231">
        <v>91.79</v>
      </c>
      <c r="BX231">
        <v>92.86</v>
      </c>
      <c r="BY231">
        <v>12.83</v>
      </c>
      <c r="BZ231">
        <v>13.4</v>
      </c>
      <c r="CA231">
        <v>18.73</v>
      </c>
      <c r="CB231">
        <v>-3.78</v>
      </c>
      <c r="CC231">
        <v>-19.82</v>
      </c>
      <c r="CD231" t="s">
        <v>9411</v>
      </c>
      <c r="CE231" t="s">
        <v>9412</v>
      </c>
      <c r="CF231" s="8">
        <v>-7.6023391812865493E-2</v>
      </c>
      <c r="CG231" s="9">
        <v>-0.74790000000000001</v>
      </c>
      <c r="CH231" s="8">
        <v>-0.19809688627719879</v>
      </c>
      <c r="CI231" s="8">
        <v>-0.16774654388427734</v>
      </c>
      <c r="CJ231" s="8">
        <v>0.40444886684417725</v>
      </c>
      <c r="CK231" s="8">
        <v>0.17041419446468353</v>
      </c>
      <c r="CL231" s="8">
        <v>0.41541039943695068</v>
      </c>
      <c r="CM231" s="9">
        <v>-0.54406130313873291</v>
      </c>
      <c r="CN231" s="9">
        <v>0.33163264393806458</v>
      </c>
      <c r="CO231" s="9">
        <v>-0.22834645211696625</v>
      </c>
      <c r="CP231" s="9">
        <v>0.984375</v>
      </c>
      <c r="CQ231" s="9">
        <v>0.4181002676486969</v>
      </c>
      <c r="CR231">
        <v>1.0492455501848166</v>
      </c>
      <c r="CS231">
        <v>9.4033033437738736E-2</v>
      </c>
      <c r="CT231">
        <v>0</v>
      </c>
      <c r="CU231" s="8">
        <v>0.11158265471458435</v>
      </c>
      <c r="CV231" s="9">
        <v>0.16994810551404954</v>
      </c>
      <c r="CW231">
        <v>0.06</v>
      </c>
      <c r="CX231" t="s">
        <v>6351</v>
      </c>
      <c r="CY231">
        <v>124790882.93493918</v>
      </c>
      <c r="CZ231">
        <v>0.11158265471458435</v>
      </c>
      <c r="DA231" t="s">
        <v>6351</v>
      </c>
      <c r="DB231">
        <v>388893561.47064412</v>
      </c>
      <c r="DC231">
        <v>0.10600352197885513</v>
      </c>
      <c r="DD231" t="s">
        <v>6351</v>
      </c>
      <c r="DE231">
        <v>809647367.6326201</v>
      </c>
      <c r="DF231">
        <v>9.8192736148834225E-2</v>
      </c>
      <c r="DG231" t="s">
        <v>6351</v>
      </c>
      <c r="DH231">
        <v>1386531359.3811417</v>
      </c>
      <c r="DI231">
        <v>8.9266123771667483E-2</v>
      </c>
      <c r="DJ231" t="s">
        <v>6351</v>
      </c>
      <c r="DK231">
        <v>2856854952.0494132</v>
      </c>
      <c r="DL231">
        <v>7.810785830020904E-2</v>
      </c>
      <c r="DM231">
        <v>119000000</v>
      </c>
      <c r="DN231">
        <v>0.11158265471458435</v>
      </c>
      <c r="DO231">
        <v>-199901700</v>
      </c>
      <c r="DP231" t="e">
        <v>#VALUE!</v>
      </c>
      <c r="DQ231">
        <v>230</v>
      </c>
      <c r="DR231">
        <v>-0.18760604652744983</v>
      </c>
      <c r="DS231">
        <v>-0.91784810551404949</v>
      </c>
      <c r="DT231">
        <v>-0.15666666666666665</v>
      </c>
      <c r="DU231">
        <v>3.666666666666666E-2</v>
      </c>
      <c r="DV231">
        <v>-0.12</v>
      </c>
      <c r="DW231">
        <v>-8.1907164480322905</v>
      </c>
      <c r="DX231">
        <v>0.19286279794491684</v>
      </c>
      <c r="DY231">
        <v>-8.0234319564193637</v>
      </c>
      <c r="DZ231">
        <v>0</v>
      </c>
      <c r="EA231">
        <v>-8.0234319564193637</v>
      </c>
      <c r="EB231">
        <v>8</v>
      </c>
      <c r="EC231">
        <v>5.6291308631594462E-3</v>
      </c>
      <c r="ED231">
        <v>4.5816398106798363E-2</v>
      </c>
      <c r="EE231">
        <v>0</v>
      </c>
      <c r="EF231">
        <v>0</v>
      </c>
      <c r="EG231">
        <v>7.1228627979449168</v>
      </c>
      <c r="EH231" t="s">
        <v>110</v>
      </c>
      <c r="EI231">
        <v>0</v>
      </c>
      <c r="EJ231">
        <v>0</v>
      </c>
      <c r="EK231">
        <v>0</v>
      </c>
      <c r="EL231">
        <v>0</v>
      </c>
      <c r="EM231">
        <v>0</v>
      </c>
      <c r="EN231">
        <v>0</v>
      </c>
      <c r="EO231">
        <v>0</v>
      </c>
      <c r="EP231">
        <v>0</v>
      </c>
    </row>
    <row r="232" spans="1:146" ht="96" x14ac:dyDescent="0.25">
      <c r="A232" s="7"/>
      <c r="B232" s="7"/>
      <c r="C232" s="7" t="str">
        <f>""&amp;CHAR(10)&amp;Basic_Fundamental_Information_Constructure(F232)&amp;CHAR(10)&amp;Basic_Fundamental_Information_Concatenate("")</f>
        <v xml:space="preserve">
市值117.458989亿, 利润4.15亿; PE28.32; 平均PE74.78; 平均PEG9.75, PB2.61; ROIC3.63%; ROE3.48%; 毛利61.9633%; 净利3.2833%; 上一年度营收增25.64%, 利润增861.36%, 利润增290.5%; 过往5年营收增7.67%, 利润增26.66%
Income profile:
</v>
      </c>
      <c r="D232" s="11">
        <v>1357</v>
      </c>
      <c r="E232" t="s">
        <v>3539</v>
      </c>
      <c r="F232">
        <v>2.59</v>
      </c>
      <c r="G232" s="5">
        <v>-1.52E-2</v>
      </c>
      <c r="H232" t="s">
        <v>9413</v>
      </c>
      <c r="I232">
        <v>11745898900</v>
      </c>
      <c r="J232">
        <v>28.32</v>
      </c>
      <c r="K232">
        <v>2.61</v>
      </c>
      <c r="L232" t="s">
        <v>6350</v>
      </c>
      <c r="M232" t="s">
        <v>9</v>
      </c>
      <c r="N232" t="s">
        <v>9</v>
      </c>
      <c r="O232" t="s">
        <v>9</v>
      </c>
      <c r="P232" t="s">
        <v>9</v>
      </c>
      <c r="Q232" t="s">
        <v>5501</v>
      </c>
      <c r="R232">
        <v>414684790</v>
      </c>
      <c r="S232" s="5">
        <v>2.9049999999999998</v>
      </c>
      <c r="T232" t="s">
        <v>9414</v>
      </c>
      <c r="U232">
        <v>4534756100</v>
      </c>
      <c r="V232">
        <v>4534756100</v>
      </c>
      <c r="W232" t="s">
        <v>9</v>
      </c>
      <c r="X232" t="s">
        <v>9</v>
      </c>
      <c r="Y232" t="s">
        <v>9</v>
      </c>
      <c r="Z232" t="s">
        <v>9</v>
      </c>
      <c r="AA232" t="s">
        <v>9</v>
      </c>
      <c r="AB232" t="s">
        <v>9</v>
      </c>
      <c r="AC232" t="s">
        <v>9</v>
      </c>
      <c r="AD232" t="s">
        <v>8544</v>
      </c>
      <c r="AE232" t="s">
        <v>9</v>
      </c>
      <c r="AF232" t="s">
        <v>9</v>
      </c>
      <c r="AG232" t="s">
        <v>9</v>
      </c>
      <c r="AH232" t="s">
        <v>9415</v>
      </c>
      <c r="AI232" t="s">
        <v>9</v>
      </c>
      <c r="AJ232" t="s">
        <v>9</v>
      </c>
      <c r="AK232" t="s">
        <v>9416</v>
      </c>
      <c r="AL232" t="s">
        <v>9</v>
      </c>
      <c r="AM232" t="s">
        <v>9</v>
      </c>
      <c r="AN232" s="5">
        <v>0.28670000000000001</v>
      </c>
      <c r="AO232" t="s">
        <v>9</v>
      </c>
      <c r="AP232" t="s">
        <v>629</v>
      </c>
      <c r="AQ232" t="s">
        <v>9</v>
      </c>
      <c r="AR232" t="s">
        <v>9417</v>
      </c>
      <c r="AS232" t="s">
        <v>9</v>
      </c>
      <c r="AT232" t="s">
        <v>9</v>
      </c>
      <c r="AU232" t="s">
        <v>2753</v>
      </c>
      <c r="AV232" t="s">
        <v>9418</v>
      </c>
      <c r="AW232" t="s">
        <v>9</v>
      </c>
      <c r="AX232" t="s">
        <v>3540</v>
      </c>
      <c r="AY232" t="s">
        <v>2135</v>
      </c>
      <c r="AZ232" t="s">
        <v>3541</v>
      </c>
      <c r="BA232" t="s">
        <v>3543</v>
      </c>
      <c r="BB232" t="s">
        <v>3544</v>
      </c>
      <c r="BC232" t="s">
        <v>3545</v>
      </c>
      <c r="BD232" t="s">
        <v>3546</v>
      </c>
      <c r="BE232" t="s">
        <v>3547</v>
      </c>
      <c r="BF232" t="s">
        <v>3548</v>
      </c>
      <c r="BG232" t="s">
        <v>3549</v>
      </c>
      <c r="BH232" t="s">
        <v>3540</v>
      </c>
      <c r="BI232" t="s">
        <v>9</v>
      </c>
      <c r="BJ232" t="s">
        <v>2135</v>
      </c>
      <c r="BK232" t="s">
        <v>237</v>
      </c>
      <c r="BL232" t="s">
        <v>9</v>
      </c>
      <c r="BM232" t="s">
        <v>3545</v>
      </c>
      <c r="BN232">
        <v>9.57</v>
      </c>
      <c r="BO232">
        <v>2.58</v>
      </c>
      <c r="BP232">
        <v>-1.26</v>
      </c>
      <c r="BQ232">
        <v>9.2100000000000009</v>
      </c>
      <c r="BR232">
        <v>2.5</v>
      </c>
      <c r="BS232">
        <v>-1.27</v>
      </c>
      <c r="BT232" t="s">
        <v>3550</v>
      </c>
      <c r="BU232" t="s">
        <v>551</v>
      </c>
      <c r="BV232">
        <v>61.43</v>
      </c>
      <c r="BW232">
        <v>56.93</v>
      </c>
      <c r="BX232">
        <v>67.53</v>
      </c>
      <c r="BY232">
        <v>13.59</v>
      </c>
      <c r="BZ232">
        <v>0.91</v>
      </c>
      <c r="CA232">
        <v>-4.6500000000000004</v>
      </c>
      <c r="CB232">
        <v>-0.77</v>
      </c>
      <c r="CC232">
        <v>-19.420000000000002</v>
      </c>
      <c r="CD232" t="s">
        <v>450</v>
      </c>
      <c r="CE232" t="s">
        <v>1888</v>
      </c>
      <c r="CF232" s="8" t="s">
        <v>9</v>
      </c>
      <c r="CG232" s="9">
        <v>2.9049999999999998</v>
      </c>
      <c r="CH232" s="8">
        <v>0.25637757778167725</v>
      </c>
      <c r="CI232" s="8">
        <v>0.15294118225574493</v>
      </c>
      <c r="CJ232" s="8">
        <v>0.43359094858169556</v>
      </c>
      <c r="CK232" s="8">
        <v>-0.57949173450469971</v>
      </c>
      <c r="CL232" s="8">
        <v>-0.37656593322753906</v>
      </c>
      <c r="CM232" s="9">
        <v>8.6136445999145508</v>
      </c>
      <c r="CN232" s="9">
        <v>-0.11622068285942078</v>
      </c>
      <c r="CO232" s="9">
        <v>0.88976955413818359</v>
      </c>
      <c r="CP232" s="9">
        <v>0.68977588415145874</v>
      </c>
      <c r="CQ232" s="9">
        <v>-5.0253167152404785</v>
      </c>
      <c r="CR232">
        <v>74.776428903530615</v>
      </c>
      <c r="CS232">
        <v>9.7463981180183659</v>
      </c>
      <c r="CT232" t="e">
        <v>#VALUE!</v>
      </c>
      <c r="CU232" s="8">
        <v>7.6722116209566593E-2</v>
      </c>
      <c r="CV232" s="9">
        <v>0.26659886222332718</v>
      </c>
      <c r="CW232">
        <v>0.06</v>
      </c>
      <c r="CX232">
        <v>27.863803150614007</v>
      </c>
      <c r="CY232">
        <v>421546866.25185865</v>
      </c>
      <c r="CZ232">
        <v>7.6722116209566593E-2</v>
      </c>
      <c r="DA232">
        <v>9.2087426505554113</v>
      </c>
      <c r="DB232">
        <v>1275516033.5913572</v>
      </c>
      <c r="DC232">
        <v>7.2886010399088264E-2</v>
      </c>
      <c r="DD232">
        <v>4.6016779075607701</v>
      </c>
      <c r="DE232">
        <v>2552525217.0954738</v>
      </c>
      <c r="DF232">
        <v>6.7515462264418596E-2</v>
      </c>
      <c r="DG232">
        <v>2.8101703128031685</v>
      </c>
      <c r="DH232">
        <v>4179781861.0799313</v>
      </c>
      <c r="DI232">
        <v>6.1377692967653275E-2</v>
      </c>
      <c r="DJ232">
        <v>1.5056070821937675</v>
      </c>
      <c r="DK232">
        <v>7801437067.4223061</v>
      </c>
      <c r="DL232">
        <v>5.3705481346696615E-2</v>
      </c>
      <c r="DM232">
        <v>415000000.00000006</v>
      </c>
      <c r="DN232">
        <v>7.6722116209566593E-2</v>
      </c>
      <c r="DO232">
        <v>11745898900</v>
      </c>
      <c r="DP232" t="e">
        <v>#VALUE!</v>
      </c>
      <c r="DQ232">
        <v>231</v>
      </c>
      <c r="DR232" t="e">
        <v>#VALUE!</v>
      </c>
      <c r="DS232">
        <v>2.6384011377766727</v>
      </c>
      <c r="DT232" t="e">
        <v>#VALUE!</v>
      </c>
      <c r="DU232" t="e">
        <v>#VALUE!</v>
      </c>
      <c r="DV232" t="e">
        <v>#VALUE!</v>
      </c>
      <c r="DW232">
        <v>-3.0386785714285716</v>
      </c>
      <c r="DX232">
        <v>0.2457068741893641</v>
      </c>
      <c r="DY232">
        <v>-3.0040885908838244</v>
      </c>
      <c r="DZ232">
        <v>0</v>
      </c>
      <c r="EA232">
        <v>-3.0040885908838244</v>
      </c>
      <c r="EB232">
        <v>3</v>
      </c>
      <c r="EC232">
        <v>3.5944601298402795E-2</v>
      </c>
      <c r="ED232">
        <v>0.34004033866341787</v>
      </c>
      <c r="EE232">
        <v>0</v>
      </c>
      <c r="EF232">
        <v>0</v>
      </c>
      <c r="EG232">
        <v>14.105706874189364</v>
      </c>
      <c r="EH232" t="s">
        <v>110</v>
      </c>
      <c r="EI232">
        <v>0</v>
      </c>
      <c r="EJ232">
        <v>0</v>
      </c>
      <c r="EK232">
        <v>0</v>
      </c>
      <c r="EL232">
        <v>0</v>
      </c>
      <c r="EM232">
        <v>0</v>
      </c>
      <c r="EN232">
        <v>0</v>
      </c>
      <c r="EO232">
        <v>0</v>
      </c>
      <c r="EP232">
        <v>0</v>
      </c>
    </row>
    <row r="233" spans="1:146" ht="96" x14ac:dyDescent="0.25">
      <c r="A233" s="7"/>
      <c r="B233" s="7"/>
      <c r="C233" s="7" t="str">
        <f>""&amp;CHAR(10)&amp;Basic_Fundamental_Information_Constructure(F233)&amp;CHAR(10)&amp;Basic_Fundamental_Information_Concatenate("")</f>
        <v xml:space="preserve">
市值263.33529亿, 利润46.74亿; PE5.63; 平均PE28.03; 平均PEG3.54, PB.132; ROIC0%; ROE3.7333%; 毛利0%; 净利10.54%; 上一年度营收增-8.55%, 利润增-65.41%, 利润增-21.86%; 过往5年营收增7.92%, 利润增-837.81%
Income profile:
</v>
      </c>
      <c r="D233" s="11">
        <v>1359</v>
      </c>
      <c r="E233" t="s">
        <v>3552</v>
      </c>
      <c r="F233">
        <v>0.69</v>
      </c>
      <c r="G233" s="5">
        <v>-4.1700000000000001E-2</v>
      </c>
      <c r="H233" t="s">
        <v>80</v>
      </c>
      <c r="I233">
        <v>26333529000</v>
      </c>
      <c r="J233">
        <v>5.63</v>
      </c>
      <c r="K233">
        <v>0.13200000000000001</v>
      </c>
      <c r="L233" t="s">
        <v>6350</v>
      </c>
      <c r="M233" t="s">
        <v>9</v>
      </c>
      <c r="N233" t="s">
        <v>9</v>
      </c>
      <c r="O233" t="s">
        <v>9</v>
      </c>
      <c r="P233" t="s">
        <v>9</v>
      </c>
      <c r="Q233" t="s">
        <v>9419</v>
      </c>
      <c r="R233">
        <v>4674354700</v>
      </c>
      <c r="S233" s="5">
        <v>-0.21859999999999999</v>
      </c>
      <c r="T233" t="s">
        <v>2343</v>
      </c>
      <c r="U233">
        <v>13567603000</v>
      </c>
      <c r="V233">
        <v>38164535000</v>
      </c>
      <c r="W233" t="s">
        <v>9</v>
      </c>
      <c r="X233" t="s">
        <v>9</v>
      </c>
      <c r="Y233" t="s">
        <v>9</v>
      </c>
      <c r="Z233" t="s">
        <v>9</v>
      </c>
      <c r="AA233" t="s">
        <v>9</v>
      </c>
      <c r="AB233" t="s">
        <v>9</v>
      </c>
      <c r="AC233" t="s">
        <v>9</v>
      </c>
      <c r="AD233" t="s">
        <v>9</v>
      </c>
      <c r="AE233" t="s">
        <v>9</v>
      </c>
      <c r="AF233" t="s">
        <v>9</v>
      </c>
      <c r="AG233" t="s">
        <v>9</v>
      </c>
      <c r="AH233" t="s">
        <v>9420</v>
      </c>
      <c r="AI233" t="s">
        <v>9</v>
      </c>
      <c r="AJ233" t="s">
        <v>9</v>
      </c>
      <c r="AK233" t="s">
        <v>9421</v>
      </c>
      <c r="AL233" t="s">
        <v>9</v>
      </c>
      <c r="AM233" t="s">
        <v>9</v>
      </c>
      <c r="AN233" s="5">
        <v>0.86380000000000001</v>
      </c>
      <c r="AO233" t="s">
        <v>9</v>
      </c>
      <c r="AP233" t="s">
        <v>9</v>
      </c>
      <c r="AQ233" t="s">
        <v>9</v>
      </c>
      <c r="AR233" t="s">
        <v>9</v>
      </c>
      <c r="AS233" t="s">
        <v>9</v>
      </c>
      <c r="AT233" t="s">
        <v>9</v>
      </c>
      <c r="AU233" t="s">
        <v>9422</v>
      </c>
      <c r="AV233" t="s">
        <v>9423</v>
      </c>
      <c r="AW233" t="s">
        <v>9</v>
      </c>
      <c r="AX233" t="s">
        <v>3553</v>
      </c>
      <c r="AY233" t="s">
        <v>3556</v>
      </c>
      <c r="AZ233" t="s">
        <v>3557</v>
      </c>
      <c r="BA233" t="s">
        <v>3558</v>
      </c>
      <c r="BB233" t="s">
        <v>3559</v>
      </c>
      <c r="BC233" t="s">
        <v>3560</v>
      </c>
      <c r="BD233" t="s">
        <v>3561</v>
      </c>
      <c r="BE233" t="s">
        <v>3562</v>
      </c>
      <c r="BF233" t="s">
        <v>3563</v>
      </c>
      <c r="BG233" t="s">
        <v>3564</v>
      </c>
      <c r="BH233" t="s">
        <v>3553</v>
      </c>
      <c r="BI233" t="s">
        <v>9</v>
      </c>
      <c r="BJ233" t="s">
        <v>3556</v>
      </c>
      <c r="BK233" t="s">
        <v>3554</v>
      </c>
      <c r="BL233" t="s">
        <v>9</v>
      </c>
      <c r="BM233" t="s">
        <v>3560</v>
      </c>
      <c r="BN233" t="s">
        <v>9</v>
      </c>
      <c r="BO233" t="s">
        <v>9</v>
      </c>
      <c r="BP233" t="s">
        <v>9</v>
      </c>
      <c r="BQ233">
        <v>2.21</v>
      </c>
      <c r="BR233">
        <v>2.82</v>
      </c>
      <c r="BS233">
        <v>6.17</v>
      </c>
      <c r="BT233" t="s">
        <v>9424</v>
      </c>
      <c r="BU233" t="s">
        <v>826</v>
      </c>
      <c r="BV233" t="s">
        <v>9</v>
      </c>
      <c r="BW233" t="s">
        <v>9</v>
      </c>
      <c r="BX233" t="s">
        <v>9</v>
      </c>
      <c r="BY233">
        <v>9.24</v>
      </c>
      <c r="BZ233">
        <v>8.99</v>
      </c>
      <c r="CA233">
        <v>13.39</v>
      </c>
      <c r="CB233">
        <v>-5.48</v>
      </c>
      <c r="CC233">
        <v>-9.2100000000000009</v>
      </c>
      <c r="CD233" t="s">
        <v>2338</v>
      </c>
      <c r="CE233" t="s">
        <v>1892</v>
      </c>
      <c r="CF233" s="8" t="s">
        <v>9</v>
      </c>
      <c r="CG233" s="9">
        <v>-0.21859999999999999</v>
      </c>
      <c r="CH233" s="8">
        <v>-8.54506716132164E-2</v>
      </c>
      <c r="CI233" s="8">
        <v>-0.23714902997016907</v>
      </c>
      <c r="CJ233" s="8">
        <v>-7.8260399401187897E-2</v>
      </c>
      <c r="CK233" s="8">
        <v>5.8739583939313889E-2</v>
      </c>
      <c r="CL233" s="8">
        <v>-0.15322074294090271</v>
      </c>
      <c r="CM233" s="9">
        <v>-0.65408527851104736</v>
      </c>
      <c r="CN233" s="9">
        <v>-6.7559197545051575E-2</v>
      </c>
      <c r="CO233" s="9">
        <v>8.6770676076412201E-2</v>
      </c>
      <c r="CP233" s="9">
        <v>6.8600691854953766E-2</v>
      </c>
      <c r="CQ233" s="9">
        <v>-0.39039522409439087</v>
      </c>
      <c r="CR233">
        <v>28.02800253378356</v>
      </c>
      <c r="CS233">
        <v>3.5388555374226431</v>
      </c>
      <c r="CT233" t="e">
        <v>#VALUE!</v>
      </c>
      <c r="CU233" s="8">
        <v>7.9200753569602961E-2</v>
      </c>
      <c r="CV233" s="9">
        <v>-8.3780718564987176</v>
      </c>
      <c r="CW233">
        <v>0.06</v>
      </c>
      <c r="CX233">
        <v>5.533806648824517</v>
      </c>
      <c r="CY233">
        <v>4758664454.890871</v>
      </c>
      <c r="CZ233">
        <v>7.9200753569602961E-2</v>
      </c>
      <c r="DA233">
        <v>1.8250296597642262</v>
      </c>
      <c r="DB233">
        <v>14429096458.301945</v>
      </c>
      <c r="DC233">
        <v>7.5240715891122814E-2</v>
      </c>
      <c r="DD233">
        <v>0.90944171777310512</v>
      </c>
      <c r="DE233">
        <v>28955708194.782749</v>
      </c>
      <c r="DF233">
        <v>6.96966631412506E-2</v>
      </c>
      <c r="DG233">
        <v>0.55365796606882145</v>
      </c>
      <c r="DH233">
        <v>47562810640.977318</v>
      </c>
      <c r="DI233">
        <v>6.3360602855682374E-2</v>
      </c>
      <c r="DJ233">
        <v>0.2946546109885429</v>
      </c>
      <c r="DK233">
        <v>89370836287.452271</v>
      </c>
      <c r="DL233">
        <v>5.5440527498722067E-2</v>
      </c>
      <c r="DM233">
        <v>4674000000</v>
      </c>
      <c r="DN233">
        <v>7.9200753569602961E-2</v>
      </c>
      <c r="DO233">
        <v>26333529000</v>
      </c>
      <c r="DP233" t="e">
        <v>#VALUE!</v>
      </c>
      <c r="DQ233">
        <v>232</v>
      </c>
      <c r="DR233" t="e">
        <v>#VALUE!</v>
      </c>
      <c r="DS233">
        <v>8.1594718564987172</v>
      </c>
      <c r="DT233" t="e">
        <v>#VALUE!</v>
      </c>
      <c r="DU233" t="e">
        <v>#VALUE!</v>
      </c>
      <c r="DV233" t="e">
        <v>#VALUE!</v>
      </c>
      <c r="DW233">
        <v>-8.5950054288816506</v>
      </c>
      <c r="DX233">
        <v>0.6873804100227795</v>
      </c>
      <c r="DY233">
        <v>-8.0579418726302752</v>
      </c>
      <c r="DZ233">
        <v>0</v>
      </c>
      <c r="EA233">
        <v>-8.0579418726302752</v>
      </c>
      <c r="EB233">
        <v>8</v>
      </c>
      <c r="EC233">
        <v>8.9611991866270606E-3</v>
      </c>
      <c r="ED233">
        <v>9.2022606852146888E-2</v>
      </c>
      <c r="EE233">
        <v>0</v>
      </c>
      <c r="EF233">
        <v>0</v>
      </c>
      <c r="EG233">
        <v>59.09738041002278</v>
      </c>
      <c r="EH233" t="s">
        <v>110</v>
      </c>
      <c r="EI233">
        <v>0</v>
      </c>
      <c r="EJ233">
        <v>0</v>
      </c>
      <c r="EK233">
        <v>0</v>
      </c>
      <c r="EL233">
        <v>0</v>
      </c>
      <c r="EM233">
        <v>0</v>
      </c>
      <c r="EN233">
        <v>0</v>
      </c>
      <c r="EO233">
        <v>0</v>
      </c>
      <c r="EP233">
        <v>0</v>
      </c>
    </row>
    <row r="234" spans="1:146" ht="96" x14ac:dyDescent="0.25">
      <c r="A234" s="7"/>
      <c r="B234" s="7"/>
      <c r="C234" s="7" t="str">
        <f>""&amp;CHAR(10)&amp;Basic_Fundamental_Information_Constructure(F234)&amp;CHAR(10)&amp;Basic_Fundamental_Information_Concatenate("")</f>
        <v xml:space="preserve">
市值82.70728亿, 利润10.54亿; PE7.85; 平均PE1.6; 平均PEG.16, PB.831; ROIC9.3667%; ROE9.4833%; 股利率0%; 毛利41.0967%; 净利12.1967%; 上一年度营收增17.59%, 利润增43.01%, 利润增25.05%; 过往5年营收增10.11%, 利润增12.65%
Income profile:
</v>
      </c>
      <c r="D234" s="11">
        <v>1361</v>
      </c>
      <c r="E234" t="s">
        <v>3567</v>
      </c>
      <c r="F234">
        <v>4</v>
      </c>
      <c r="G234" s="5">
        <v>-3.61E-2</v>
      </c>
      <c r="H234" t="s">
        <v>9425</v>
      </c>
      <c r="I234">
        <v>8270728000</v>
      </c>
      <c r="J234">
        <v>7.85</v>
      </c>
      <c r="K234">
        <v>0.83099999999999996</v>
      </c>
      <c r="L234" t="s">
        <v>6350</v>
      </c>
      <c r="M234" t="s">
        <v>9</v>
      </c>
      <c r="N234" t="s">
        <v>9</v>
      </c>
      <c r="O234" t="s">
        <v>9</v>
      </c>
      <c r="P234" t="s">
        <v>9</v>
      </c>
      <c r="Q234" t="s">
        <v>9426</v>
      </c>
      <c r="R234">
        <v>1053916280</v>
      </c>
      <c r="S234" s="5">
        <v>0.2505</v>
      </c>
      <c r="T234" t="s">
        <v>3610</v>
      </c>
      <c r="U234">
        <v>2067682000</v>
      </c>
      <c r="V234">
        <v>2067682000</v>
      </c>
      <c r="W234" t="s">
        <v>9</v>
      </c>
      <c r="X234" t="s">
        <v>9</v>
      </c>
      <c r="Y234" t="s">
        <v>9</v>
      </c>
      <c r="Z234" t="s">
        <v>9</v>
      </c>
      <c r="AA234" t="s">
        <v>9</v>
      </c>
      <c r="AB234" t="s">
        <v>9</v>
      </c>
      <c r="AC234" t="s">
        <v>9</v>
      </c>
      <c r="AD234" t="s">
        <v>50</v>
      </c>
      <c r="AE234" t="s">
        <v>9</v>
      </c>
      <c r="AF234" t="s">
        <v>9</v>
      </c>
      <c r="AG234" t="s">
        <v>9</v>
      </c>
      <c r="AH234" t="s">
        <v>9427</v>
      </c>
      <c r="AI234" t="s">
        <v>9</v>
      </c>
      <c r="AJ234" t="s">
        <v>9</v>
      </c>
      <c r="AK234" t="s">
        <v>9428</v>
      </c>
      <c r="AL234" t="s">
        <v>9</v>
      </c>
      <c r="AM234" t="s">
        <v>9</v>
      </c>
      <c r="AN234" s="5">
        <v>0.25580000000000003</v>
      </c>
      <c r="AO234" t="s">
        <v>9</v>
      </c>
      <c r="AP234" t="s">
        <v>1724</v>
      </c>
      <c r="AQ234" t="s">
        <v>9</v>
      </c>
      <c r="AR234" t="s">
        <v>9429</v>
      </c>
      <c r="AS234" t="s">
        <v>9</v>
      </c>
      <c r="AT234" t="s">
        <v>9</v>
      </c>
      <c r="AU234" t="s">
        <v>2538</v>
      </c>
      <c r="AV234" t="s">
        <v>3866</v>
      </c>
      <c r="AW234" t="s">
        <v>9</v>
      </c>
      <c r="AX234" t="s">
        <v>3568</v>
      </c>
      <c r="AY234" t="s">
        <v>3570</v>
      </c>
      <c r="AZ234" t="s">
        <v>3571</v>
      </c>
      <c r="BA234" t="s">
        <v>3572</v>
      </c>
      <c r="BB234" t="s">
        <v>618</v>
      </c>
      <c r="BC234" t="s">
        <v>3358</v>
      </c>
      <c r="BD234" t="s">
        <v>3573</v>
      </c>
      <c r="BE234" t="s">
        <v>125</v>
      </c>
      <c r="BF234" t="s">
        <v>49</v>
      </c>
      <c r="BG234" t="s">
        <v>1310</v>
      </c>
      <c r="BH234" t="s">
        <v>3568</v>
      </c>
      <c r="BI234" t="s">
        <v>9</v>
      </c>
      <c r="BJ234" t="s">
        <v>3570</v>
      </c>
      <c r="BK234" t="s">
        <v>3569</v>
      </c>
      <c r="BL234" t="s">
        <v>9</v>
      </c>
      <c r="BM234" t="s">
        <v>3358</v>
      </c>
      <c r="BN234">
        <v>10.92</v>
      </c>
      <c r="BO234">
        <v>9.6</v>
      </c>
      <c r="BP234">
        <v>7.58</v>
      </c>
      <c r="BQ234">
        <v>10.59</v>
      </c>
      <c r="BR234">
        <v>9.41</v>
      </c>
      <c r="BS234">
        <v>8.4499999999999993</v>
      </c>
      <c r="BT234" t="s">
        <v>7905</v>
      </c>
      <c r="BU234" t="s">
        <v>1004</v>
      </c>
      <c r="BV234">
        <v>41.1</v>
      </c>
      <c r="BW234">
        <v>40.520000000000003</v>
      </c>
      <c r="BX234">
        <v>41.67</v>
      </c>
      <c r="BY234">
        <v>12.35</v>
      </c>
      <c r="BZ234">
        <v>11.73</v>
      </c>
      <c r="CA234">
        <v>12.51</v>
      </c>
      <c r="CB234">
        <v>-4.08</v>
      </c>
      <c r="CC234">
        <v>-16.84</v>
      </c>
      <c r="CD234" t="s">
        <v>9430</v>
      </c>
      <c r="CE234" t="s">
        <v>9431</v>
      </c>
      <c r="CF234" s="8" t="s">
        <v>9</v>
      </c>
      <c r="CG234" s="9">
        <v>0.2505</v>
      </c>
      <c r="CH234" s="8">
        <v>0.1758563220500946</v>
      </c>
      <c r="CI234" s="8">
        <v>8.078727126121521E-2</v>
      </c>
      <c r="CJ234" s="8">
        <v>0.18900340795516968</v>
      </c>
      <c r="CK234" s="8">
        <v>3.4710496664047241E-2</v>
      </c>
      <c r="CL234" s="8">
        <v>-4.4954743236303329E-2</v>
      </c>
      <c r="CM234" s="9">
        <v>0.43012210726737976</v>
      </c>
      <c r="CN234" s="9">
        <v>0.48888888955116272</v>
      </c>
      <c r="CO234" s="9">
        <v>2.4844720959663391E-2</v>
      </c>
      <c r="CP234" s="9">
        <v>0.39595374464988708</v>
      </c>
      <c r="CQ234" s="9">
        <v>-0.36861312389373779</v>
      </c>
      <c r="CR234">
        <v>1.6041496040084049</v>
      </c>
      <c r="CS234">
        <v>0.1586055864274534</v>
      </c>
      <c r="CT234">
        <v>0</v>
      </c>
      <c r="CU234" s="8">
        <v>0.10114080091007054</v>
      </c>
      <c r="CV234" s="9">
        <v>0.12650950998067856</v>
      </c>
      <c r="CW234">
        <v>0.06</v>
      </c>
      <c r="CX234">
        <v>7.5538114074053961</v>
      </c>
      <c r="CY234">
        <v>1094907928.4520888</v>
      </c>
      <c r="CZ234">
        <v>0.10114080091007054</v>
      </c>
      <c r="DA234">
        <v>2.4453662530622151</v>
      </c>
      <c r="DB234">
        <v>3382204195.2378149</v>
      </c>
      <c r="DC234">
        <v>9.6083760864567005E-2</v>
      </c>
      <c r="DD234">
        <v>1.1886608468313342</v>
      </c>
      <c r="DE234">
        <v>6958021728.4414186</v>
      </c>
      <c r="DF234">
        <v>8.9003904800862066E-2</v>
      </c>
      <c r="DG234">
        <v>0.70364491015836739</v>
      </c>
      <c r="DH234">
        <v>11754121831.334686</v>
      </c>
      <c r="DI234">
        <v>8.0912640728056429E-2</v>
      </c>
      <c r="DJ234">
        <v>0.35213690278851373</v>
      </c>
      <c r="DK234">
        <v>23487251505.041012</v>
      </c>
      <c r="DL234">
        <v>7.0798560637049368E-2</v>
      </c>
      <c r="DM234">
        <v>1053999999.9999999</v>
      </c>
      <c r="DN234">
        <v>0.10114080091007054</v>
      </c>
      <c r="DO234">
        <v>8270728000</v>
      </c>
      <c r="DP234" t="e">
        <v>#VALUE!</v>
      </c>
      <c r="DQ234">
        <v>233</v>
      </c>
      <c r="DR234" t="e">
        <v>#VALUE!</v>
      </c>
      <c r="DS234">
        <v>0.12399049001932144</v>
      </c>
      <c r="DT234" t="e">
        <v>#VALUE!</v>
      </c>
      <c r="DU234" t="e">
        <v>#VALUE!</v>
      </c>
      <c r="DV234" t="e">
        <v>#VALUE!</v>
      </c>
      <c r="DW234">
        <v>-8.2422802850356298</v>
      </c>
      <c r="DX234">
        <v>0.42437249316479581</v>
      </c>
      <c r="DY234">
        <v>-8.0252873973938463</v>
      </c>
      <c r="DZ234">
        <v>0</v>
      </c>
      <c r="EA234">
        <v>-8.0252873973938463</v>
      </c>
      <c r="EB234">
        <v>8</v>
      </c>
      <c r="EC234">
        <v>3.5687305881658784E-3</v>
      </c>
      <c r="ED234">
        <v>3.4192250065532323E-2</v>
      </c>
      <c r="EE234">
        <v>0</v>
      </c>
      <c r="EF234">
        <v>0</v>
      </c>
      <c r="EG234">
        <v>32.104372493164796</v>
      </c>
      <c r="EH234" t="s">
        <v>110</v>
      </c>
      <c r="EI234">
        <v>0</v>
      </c>
      <c r="EJ234">
        <v>0</v>
      </c>
      <c r="EK234">
        <v>0</v>
      </c>
      <c r="EL234">
        <v>0</v>
      </c>
      <c r="EM234">
        <v>0</v>
      </c>
      <c r="EN234">
        <v>0</v>
      </c>
      <c r="EO234">
        <v>0</v>
      </c>
      <c r="EP234">
        <v>0</v>
      </c>
    </row>
    <row r="235" spans="1:146" ht="96" x14ac:dyDescent="0.25">
      <c r="A235" s="7"/>
      <c r="B235" s="7"/>
      <c r="C235" s="7" t="str">
        <f>""&amp;CHAR(10)&amp;Basic_Fundamental_Information_Constructure(F235)&amp;CHAR(10)&amp;Basic_Fundamental_Information_Concatenate("")</f>
        <v xml:space="preserve">
市值127.846529亿, 利润11.29亿; PE11.32; 平均PE5.86; 平均PEG3.09, PB1.32; ROIC8.7%; ROE11.42%; 股利率0%; 毛利41.6033%; 净利7.7133%; 上一年度营收增7.81%, 利润增1.53%, 利润增8.59%; 过往5年营收增1.9%, 利润增-15.04%
Income profile:
</v>
      </c>
      <c r="D235" s="11">
        <v>1368</v>
      </c>
      <c r="E235" t="s">
        <v>3574</v>
      </c>
      <c r="F235">
        <v>4.84</v>
      </c>
      <c r="G235" s="5">
        <v>-1.0200000000000001E-2</v>
      </c>
      <c r="H235" t="s">
        <v>9432</v>
      </c>
      <c r="I235">
        <v>12784652900</v>
      </c>
      <c r="J235">
        <v>11.32</v>
      </c>
      <c r="K235">
        <v>1.32</v>
      </c>
      <c r="L235" t="s">
        <v>6350</v>
      </c>
      <c r="M235" t="s">
        <v>9</v>
      </c>
      <c r="N235" t="s">
        <v>9</v>
      </c>
      <c r="O235" t="s">
        <v>9</v>
      </c>
      <c r="P235" t="s">
        <v>9</v>
      </c>
      <c r="Q235" t="s">
        <v>9433</v>
      </c>
      <c r="R235">
        <v>1129095870</v>
      </c>
      <c r="S235" s="5">
        <v>8.5900000000000004E-2</v>
      </c>
      <c r="T235" t="s">
        <v>9434</v>
      </c>
      <c r="U235">
        <v>2641457200</v>
      </c>
      <c r="V235">
        <v>2641457200</v>
      </c>
      <c r="W235" t="s">
        <v>9</v>
      </c>
      <c r="X235" t="s">
        <v>9</v>
      </c>
      <c r="Y235" t="s">
        <v>9</v>
      </c>
      <c r="Z235" t="s">
        <v>9</v>
      </c>
      <c r="AA235" t="s">
        <v>9</v>
      </c>
      <c r="AB235" t="s">
        <v>9</v>
      </c>
      <c r="AC235" t="s">
        <v>9</v>
      </c>
      <c r="AD235" t="s">
        <v>4131</v>
      </c>
      <c r="AE235" t="s">
        <v>9</v>
      </c>
      <c r="AF235" t="s">
        <v>9</v>
      </c>
      <c r="AG235" t="s">
        <v>9</v>
      </c>
      <c r="AH235" t="s">
        <v>9435</v>
      </c>
      <c r="AI235" t="s">
        <v>9</v>
      </c>
      <c r="AJ235" t="s">
        <v>9</v>
      </c>
      <c r="AK235" t="s">
        <v>9436</v>
      </c>
      <c r="AL235" t="s">
        <v>9</v>
      </c>
      <c r="AM235" t="s">
        <v>9</v>
      </c>
      <c r="AN235" s="5">
        <v>0.48499999999999999</v>
      </c>
      <c r="AO235" t="s">
        <v>9</v>
      </c>
      <c r="AP235" t="s">
        <v>6361</v>
      </c>
      <c r="AQ235" t="s">
        <v>9</v>
      </c>
      <c r="AR235" t="s">
        <v>2436</v>
      </c>
      <c r="AS235" t="s">
        <v>9</v>
      </c>
      <c r="AT235" t="s">
        <v>9</v>
      </c>
      <c r="AU235" t="s">
        <v>9437</v>
      </c>
      <c r="AV235" t="s">
        <v>9438</v>
      </c>
      <c r="AW235" t="s">
        <v>9</v>
      </c>
      <c r="AX235" t="s">
        <v>3575</v>
      </c>
      <c r="AY235" t="s">
        <v>3578</v>
      </c>
      <c r="AZ235" t="s">
        <v>3579</v>
      </c>
      <c r="BA235" t="s">
        <v>3580</v>
      </c>
      <c r="BB235" t="s">
        <v>3581</v>
      </c>
      <c r="BC235" t="s">
        <v>1118</v>
      </c>
      <c r="BD235" t="s">
        <v>3582</v>
      </c>
      <c r="BE235" t="s">
        <v>3583</v>
      </c>
      <c r="BF235" t="s">
        <v>3584</v>
      </c>
      <c r="BG235" t="s">
        <v>899</v>
      </c>
      <c r="BH235" t="s">
        <v>3575</v>
      </c>
      <c r="BI235" t="s">
        <v>9</v>
      </c>
      <c r="BJ235" t="s">
        <v>3578</v>
      </c>
      <c r="BK235" t="s">
        <v>3576</v>
      </c>
      <c r="BL235" t="s">
        <v>9</v>
      </c>
      <c r="BM235" t="s">
        <v>1118</v>
      </c>
      <c r="BN235">
        <v>8.6</v>
      </c>
      <c r="BO235">
        <v>8.3699999999999992</v>
      </c>
      <c r="BP235">
        <v>9.1300000000000008</v>
      </c>
      <c r="BQ235">
        <v>11.62</v>
      </c>
      <c r="BR235">
        <v>11.18</v>
      </c>
      <c r="BS235">
        <v>11.46</v>
      </c>
      <c r="BT235" t="s">
        <v>9439</v>
      </c>
      <c r="BU235" t="s">
        <v>1004</v>
      </c>
      <c r="BV235">
        <v>42.17</v>
      </c>
      <c r="BW235">
        <v>40.92</v>
      </c>
      <c r="BX235">
        <v>41.72</v>
      </c>
      <c r="BY235">
        <v>7.2</v>
      </c>
      <c r="BZ235">
        <v>7.06</v>
      </c>
      <c r="CA235">
        <v>8.8800000000000008</v>
      </c>
      <c r="CB235">
        <v>-0.41</v>
      </c>
      <c r="CC235">
        <v>-18.93</v>
      </c>
      <c r="CD235" t="s">
        <v>9440</v>
      </c>
      <c r="CE235" t="s">
        <v>992</v>
      </c>
      <c r="CF235" s="8" t="s">
        <v>9</v>
      </c>
      <c r="CG235" s="9">
        <v>8.5900000000000004E-2</v>
      </c>
      <c r="CH235" s="8">
        <v>7.8083246946334839E-2</v>
      </c>
      <c r="CI235" s="8">
        <v>0.18970715999603271</v>
      </c>
      <c r="CJ235" s="8">
        <v>0.25882956385612488</v>
      </c>
      <c r="CK235" s="8">
        <v>0.3401210606098175</v>
      </c>
      <c r="CL235" s="8">
        <v>0.18564443290233612</v>
      </c>
      <c r="CM235" s="9">
        <v>1.5287712216377258E-2</v>
      </c>
      <c r="CN235" s="9">
        <v>0.81996726989746094</v>
      </c>
      <c r="CO235" s="9">
        <v>-0.2484624832868576</v>
      </c>
      <c r="CP235" s="9">
        <v>8.6898393929004669E-2</v>
      </c>
      <c r="CQ235" s="9">
        <v>0.52965235710144043</v>
      </c>
      <c r="CR235">
        <v>5.8636231004433572</v>
      </c>
      <c r="CS235">
        <v>3.0931105623468218</v>
      </c>
      <c r="CT235">
        <v>0</v>
      </c>
      <c r="CU235" s="8">
        <v>1.89570433460176E-2</v>
      </c>
      <c r="CV235" s="9">
        <v>-0.15036946535110474</v>
      </c>
      <c r="CW235">
        <v>0.06</v>
      </c>
      <c r="CX235">
        <v>11.779991829967733</v>
      </c>
      <c r="CY235">
        <v>1085285379.1864657</v>
      </c>
      <c r="CZ235">
        <v>1.89570433460176E-2</v>
      </c>
      <c r="DA235">
        <v>4.0902099093546864</v>
      </c>
      <c r="DB235">
        <v>3125671587.3579793</v>
      </c>
      <c r="DC235">
        <v>1.8009191178716719E-2</v>
      </c>
      <c r="DD235">
        <v>2.1785322674520149</v>
      </c>
      <c r="DE235">
        <v>5868470754.8320026</v>
      </c>
      <c r="DF235">
        <v>1.6682198144495487E-2</v>
      </c>
      <c r="DG235">
        <v>1.4252254111934437</v>
      </c>
      <c r="DH235">
        <v>8970267299.1877766</v>
      </c>
      <c r="DI235">
        <v>1.5165634676814081E-2</v>
      </c>
      <c r="DJ235">
        <v>0.87899012857053704</v>
      </c>
      <c r="DK235">
        <v>14544705889.690842</v>
      </c>
      <c r="DL235">
        <v>1.3269930342212318E-2</v>
      </c>
      <c r="DM235">
        <v>1129000000</v>
      </c>
      <c r="DN235">
        <v>1.89570433460176E-2</v>
      </c>
      <c r="DO235">
        <v>12784652900</v>
      </c>
      <c r="DP235" t="e">
        <v>#VALUE!</v>
      </c>
      <c r="DQ235">
        <v>234</v>
      </c>
      <c r="DR235" t="e">
        <v>#VALUE!</v>
      </c>
      <c r="DS235">
        <v>0.23626946535110474</v>
      </c>
      <c r="DT235" t="e">
        <v>#VALUE!</v>
      </c>
      <c r="DU235" t="e">
        <v>#VALUE!</v>
      </c>
      <c r="DV235" t="e">
        <v>#VALUE!</v>
      </c>
      <c r="DW235">
        <v>-3.0331369047619048</v>
      </c>
      <c r="DX235">
        <v>0.23330502092050245</v>
      </c>
      <c r="DY235">
        <v>-3.0047486848301452</v>
      </c>
      <c r="DZ235">
        <v>0</v>
      </c>
      <c r="EA235">
        <v>-3.0047486848301452</v>
      </c>
      <c r="EB235">
        <v>3</v>
      </c>
      <c r="EC235">
        <v>1.2966289970551104E-2</v>
      </c>
      <c r="ED235">
        <v>9.0480360613073726E-2</v>
      </c>
      <c r="EE235">
        <v>0</v>
      </c>
      <c r="EF235">
        <v>0</v>
      </c>
      <c r="EG235">
        <v>9.1433050209205025</v>
      </c>
      <c r="EH235" t="s">
        <v>110</v>
      </c>
      <c r="EI235">
        <v>0</v>
      </c>
      <c r="EJ235">
        <v>0</v>
      </c>
      <c r="EK235">
        <v>0</v>
      </c>
      <c r="EL235">
        <v>0</v>
      </c>
      <c r="EM235">
        <v>0</v>
      </c>
      <c r="EN235">
        <v>0</v>
      </c>
      <c r="EO235">
        <v>0</v>
      </c>
      <c r="EP235">
        <v>0</v>
      </c>
    </row>
    <row r="236" spans="1:146" ht="96" x14ac:dyDescent="0.25">
      <c r="A236" s="7"/>
      <c r="B236" s="7"/>
      <c r="C236" s="7" t="str">
        <f>""&amp;CHAR(10)&amp;Basic_Fundamental_Information_Constructure(F236)&amp;CHAR(10)&amp;Basic_Fundamental_Information_Concatenate("")</f>
        <v xml:space="preserve">
市值46.428847亿, 利润2.32亿; PE15.88; 平均PE37.85; 平均PEG9.57, PB.307; ROIC0%; ROE2.0133%; 股利率0%; 毛利0%; 净利14.5733%; 上一年度营收增26.52%, 利润增-63.06%; 当季营收增-12.12%, 利润增75.08%; 过往5年营收增-3.96%, 利润增-67.98%
Income profile:
</v>
      </c>
      <c r="D236" s="11">
        <v>1375</v>
      </c>
      <c r="E236" t="s">
        <v>3585</v>
      </c>
      <c r="F236">
        <v>1</v>
      </c>
      <c r="G236" s="5">
        <v>-2.9100000000000001E-2</v>
      </c>
      <c r="H236" t="s">
        <v>9441</v>
      </c>
      <c r="I236">
        <v>4642884700</v>
      </c>
      <c r="J236">
        <v>15.88</v>
      </c>
      <c r="K236">
        <v>0.307</v>
      </c>
      <c r="L236" t="s">
        <v>6350</v>
      </c>
      <c r="M236" t="s">
        <v>9442</v>
      </c>
      <c r="N236" t="s">
        <v>9443</v>
      </c>
      <c r="O236" t="s">
        <v>3644</v>
      </c>
      <c r="P236">
        <v>-15.9</v>
      </c>
      <c r="Q236" t="s">
        <v>9444</v>
      </c>
      <c r="R236">
        <v>231957620</v>
      </c>
      <c r="S236" s="5">
        <v>0.75080000000000002</v>
      </c>
      <c r="T236" t="s">
        <v>568</v>
      </c>
      <c r="U236">
        <v>1195365000</v>
      </c>
      <c r="V236">
        <v>4642884700</v>
      </c>
      <c r="W236">
        <v>3.49</v>
      </c>
      <c r="X236">
        <v>0.01</v>
      </c>
      <c r="Y236">
        <v>40.69</v>
      </c>
      <c r="Z236" t="s">
        <v>9</v>
      </c>
      <c r="AA236" t="s">
        <v>9</v>
      </c>
      <c r="AB236" t="s">
        <v>9</v>
      </c>
      <c r="AC236" t="s">
        <v>2104</v>
      </c>
      <c r="AD236" t="s">
        <v>9</v>
      </c>
      <c r="AE236" t="s">
        <v>9</v>
      </c>
      <c r="AF236" t="s">
        <v>9</v>
      </c>
      <c r="AG236" t="s">
        <v>234</v>
      </c>
      <c r="AH236" t="s">
        <v>9445</v>
      </c>
      <c r="AI236" t="s">
        <v>9446</v>
      </c>
      <c r="AJ236" t="s">
        <v>4576</v>
      </c>
      <c r="AK236" t="s">
        <v>9447</v>
      </c>
      <c r="AL236" t="s">
        <v>9</v>
      </c>
      <c r="AM236" t="s">
        <v>640</v>
      </c>
      <c r="AN236" s="5">
        <v>0.70879999999999999</v>
      </c>
      <c r="AO236" t="s">
        <v>9448</v>
      </c>
      <c r="AP236" t="s">
        <v>9449</v>
      </c>
      <c r="AQ236" t="s">
        <v>2785</v>
      </c>
      <c r="AR236" t="s">
        <v>9450</v>
      </c>
      <c r="AS236" t="s">
        <v>9451</v>
      </c>
      <c r="AT236" t="s">
        <v>9452</v>
      </c>
      <c r="AU236" t="s">
        <v>9453</v>
      </c>
      <c r="AV236" t="s">
        <v>894</v>
      </c>
      <c r="AW236" t="s">
        <v>9454</v>
      </c>
      <c r="AX236" t="s">
        <v>1738</v>
      </c>
      <c r="AY236" t="s">
        <v>3587</v>
      </c>
      <c r="AZ236" t="s">
        <v>3588</v>
      </c>
      <c r="BA236" t="s">
        <v>1683</v>
      </c>
      <c r="BB236" t="s">
        <v>3589</v>
      </c>
      <c r="BC236" t="s">
        <v>3590</v>
      </c>
      <c r="BD236" t="s">
        <v>115</v>
      </c>
      <c r="BE236" t="s">
        <v>3591</v>
      </c>
      <c r="BF236" t="s">
        <v>3592</v>
      </c>
      <c r="BG236" t="s">
        <v>3593</v>
      </c>
      <c r="BH236" t="s">
        <v>1738</v>
      </c>
      <c r="BI236" t="s">
        <v>201</v>
      </c>
      <c r="BJ236" t="s">
        <v>3587</v>
      </c>
      <c r="BK236" t="s">
        <v>82</v>
      </c>
      <c r="BL236" t="s">
        <v>3594</v>
      </c>
      <c r="BM236" t="s">
        <v>3590</v>
      </c>
      <c r="BN236" t="s">
        <v>9</v>
      </c>
      <c r="BO236" t="s">
        <v>9</v>
      </c>
      <c r="BP236" t="s">
        <v>9</v>
      </c>
      <c r="BQ236">
        <v>1.52</v>
      </c>
      <c r="BR236">
        <v>0.77</v>
      </c>
      <c r="BS236">
        <v>3.75</v>
      </c>
      <c r="BT236" t="s">
        <v>1209</v>
      </c>
      <c r="BU236" t="s">
        <v>826</v>
      </c>
      <c r="BV236" t="s">
        <v>9</v>
      </c>
      <c r="BW236" t="s">
        <v>9</v>
      </c>
      <c r="BX236" t="s">
        <v>9</v>
      </c>
      <c r="BY236">
        <v>18.670000000000002</v>
      </c>
      <c r="BZ236">
        <v>8.4499999999999993</v>
      </c>
      <c r="CA236">
        <v>16.600000000000001</v>
      </c>
      <c r="CB236">
        <v>-5.66</v>
      </c>
      <c r="CC236">
        <v>-15.97</v>
      </c>
      <c r="CD236" t="s">
        <v>9455</v>
      </c>
      <c r="CE236" t="s">
        <v>9456</v>
      </c>
      <c r="CF236" s="8">
        <v>-0.12121212121212122</v>
      </c>
      <c r="CG236" s="9">
        <v>0.75080000000000002</v>
      </c>
      <c r="CH236" s="8">
        <v>0.26517572999000549</v>
      </c>
      <c r="CI236" s="8">
        <v>-0.76894682645797729</v>
      </c>
      <c r="CJ236" s="8">
        <v>0.34792700409889221</v>
      </c>
      <c r="CK236" s="8">
        <v>-7.344808429479599E-2</v>
      </c>
      <c r="CL236" s="8">
        <v>-0.14972561597824097</v>
      </c>
      <c r="CM236" s="9">
        <v>-0.63057327270507813</v>
      </c>
      <c r="CN236" s="9">
        <v>4.0645160675048828</v>
      </c>
      <c r="CO236" s="9">
        <v>0.90580993890762329</v>
      </c>
      <c r="CP236" s="9">
        <v>-0.13140490651130676</v>
      </c>
      <c r="CQ236" s="9">
        <v>-0.85866528749465942</v>
      </c>
      <c r="CR236">
        <v>37.849603532608697</v>
      </c>
      <c r="CS236">
        <v>9.5666634204240211</v>
      </c>
      <c r="CT236">
        <v>0</v>
      </c>
      <c r="CU236" s="8">
        <v>-3.9564058929681775E-2</v>
      </c>
      <c r="CV236" s="9">
        <v>-0.6797939598560333</v>
      </c>
      <c r="CW236">
        <v>0.06</v>
      </c>
      <c r="CX236">
        <v>115.22795129310344</v>
      </c>
      <c r="CY236" t="s">
        <v>9457</v>
      </c>
      <c r="CZ236">
        <v>-3.9564058929681775E-2</v>
      </c>
      <c r="DA236">
        <v>38.409317097701148</v>
      </c>
      <c r="DB236" t="s">
        <v>9458</v>
      </c>
      <c r="DC236">
        <v>-3.7585855983197684E-2</v>
      </c>
      <c r="DD236">
        <v>19.204658548850574</v>
      </c>
      <c r="DE236" t="s">
        <v>6405</v>
      </c>
      <c r="DF236">
        <v>-3.4816371858119963E-2</v>
      </c>
      <c r="DG236">
        <v>11.522795129310344</v>
      </c>
      <c r="DH236" t="s">
        <v>9459</v>
      </c>
      <c r="DI236">
        <v>-3.1651247143745419E-2</v>
      </c>
      <c r="DJ236">
        <v>5.7613975646551721</v>
      </c>
      <c r="DK236" t="s">
        <v>9460</v>
      </c>
      <c r="DL236">
        <v>-2.7694841250777241E-2</v>
      </c>
      <c r="DM236">
        <v>231999999.99999997</v>
      </c>
      <c r="DN236">
        <v>-3.9564058929681775E-2</v>
      </c>
      <c r="DO236">
        <v>26732884700</v>
      </c>
      <c r="DP236" t="e">
        <v>#VALUE!</v>
      </c>
      <c r="DQ236">
        <v>235</v>
      </c>
      <c r="DR236">
        <v>-8.164806228243944E-2</v>
      </c>
      <c r="DS236">
        <v>1.4305939598560333</v>
      </c>
      <c r="DT236">
        <v>-0.60666666666666669</v>
      </c>
      <c r="DU236">
        <v>-1.1500000000000001</v>
      </c>
      <c r="DV236">
        <v>-1.7566666666666668</v>
      </c>
      <c r="DW236">
        <v>-8.354414527238573</v>
      </c>
      <c r="DX236">
        <v>0.25129754165135754</v>
      </c>
      <c r="DY236">
        <v>-8.0323571750624101</v>
      </c>
      <c r="DZ236">
        <v>0</v>
      </c>
      <c r="EA236">
        <v>-8.0323571750624101</v>
      </c>
      <c r="EB236">
        <v>8</v>
      </c>
      <c r="EC236">
        <v>1.4772281551596576E-3</v>
      </c>
      <c r="ED236">
        <v>1.6180371655578698E-2</v>
      </c>
      <c r="EE236">
        <v>0</v>
      </c>
      <c r="EF236">
        <v>0</v>
      </c>
      <c r="EG236">
        <v>16.091297541651358</v>
      </c>
      <c r="EH236" t="s">
        <v>110</v>
      </c>
      <c r="EI236">
        <v>0</v>
      </c>
      <c r="EJ236">
        <v>0</v>
      </c>
      <c r="EK236">
        <v>0</v>
      </c>
      <c r="EL236">
        <v>0</v>
      </c>
      <c r="EM236">
        <v>0</v>
      </c>
      <c r="EN236">
        <v>0</v>
      </c>
      <c r="EO236">
        <v>0</v>
      </c>
      <c r="EP236">
        <v>0</v>
      </c>
    </row>
    <row r="237" spans="1:146" ht="96" x14ac:dyDescent="0.25">
      <c r="A237" s="7"/>
      <c r="B237" s="7"/>
      <c r="C237" s="7" t="str">
        <f>""&amp;CHAR(10)&amp;Basic_Fundamental_Information_Constructure(F237)&amp;CHAR(10)&amp;Basic_Fundamental_Information_Concatenate("")</f>
        <v xml:space="preserve">
市值1106.74289亿, 利润125.63亿; PE8.81; 平均PE103.79; 平均PEG2.64, PB1.09; ROIC8.3%; ROE14.1633%; 毛利18.71%; 净利10.5067%; 上一年度营收增-1.41%, 利润增-36.17%, 利润增27.98%; 过往5年营收增-39.24%, 利润增-201.73%
Income profile:
</v>
      </c>
      <c r="D237" s="11">
        <v>1378</v>
      </c>
      <c r="E237" t="s">
        <v>3595</v>
      </c>
      <c r="F237">
        <v>11.68</v>
      </c>
      <c r="G237" s="5">
        <v>-2.9899999999999999E-2</v>
      </c>
      <c r="H237" t="s">
        <v>9461</v>
      </c>
      <c r="I237">
        <v>110674289000</v>
      </c>
      <c r="J237">
        <v>8.81</v>
      </c>
      <c r="K237">
        <v>1.0900000000000001</v>
      </c>
      <c r="L237" t="s">
        <v>6350</v>
      </c>
      <c r="M237" t="s">
        <v>9</v>
      </c>
      <c r="N237" t="s">
        <v>9</v>
      </c>
      <c r="O237" t="s">
        <v>9</v>
      </c>
      <c r="P237" t="s">
        <v>9</v>
      </c>
      <c r="Q237" t="s">
        <v>9462</v>
      </c>
      <c r="R237">
        <v>12563195200</v>
      </c>
      <c r="S237" s="5">
        <v>0.27979999999999999</v>
      </c>
      <c r="T237" t="s">
        <v>9463</v>
      </c>
      <c r="U237">
        <v>9475538400</v>
      </c>
      <c r="V237">
        <v>9475538400</v>
      </c>
      <c r="W237" t="s">
        <v>9</v>
      </c>
      <c r="X237" t="s">
        <v>9</v>
      </c>
      <c r="Y237" t="s">
        <v>9</v>
      </c>
      <c r="Z237" t="s">
        <v>9</v>
      </c>
      <c r="AA237" t="s">
        <v>9</v>
      </c>
      <c r="AB237" t="s">
        <v>9</v>
      </c>
      <c r="AC237" t="s">
        <v>9</v>
      </c>
      <c r="AD237" t="s">
        <v>2853</v>
      </c>
      <c r="AE237" t="s">
        <v>9</v>
      </c>
      <c r="AF237" t="s">
        <v>9</v>
      </c>
      <c r="AG237" t="s">
        <v>9</v>
      </c>
      <c r="AH237" t="s">
        <v>9464</v>
      </c>
      <c r="AI237" t="s">
        <v>9</v>
      </c>
      <c r="AJ237" t="s">
        <v>9</v>
      </c>
      <c r="AK237" t="s">
        <v>9465</v>
      </c>
      <c r="AL237" t="s">
        <v>9</v>
      </c>
      <c r="AM237" t="s">
        <v>9</v>
      </c>
      <c r="AN237" s="5">
        <v>0.46960000000000002</v>
      </c>
      <c r="AO237" t="s">
        <v>9</v>
      </c>
      <c r="AP237" t="s">
        <v>9466</v>
      </c>
      <c r="AQ237" t="s">
        <v>9</v>
      </c>
      <c r="AR237" t="s">
        <v>9467</v>
      </c>
      <c r="AS237" t="s">
        <v>9</v>
      </c>
      <c r="AT237" t="s">
        <v>9</v>
      </c>
      <c r="AU237" t="s">
        <v>9468</v>
      </c>
      <c r="AV237" t="s">
        <v>9469</v>
      </c>
      <c r="AW237" t="s">
        <v>9</v>
      </c>
      <c r="AX237" t="s">
        <v>3596</v>
      </c>
      <c r="AY237" t="s">
        <v>3598</v>
      </c>
      <c r="AZ237" t="s">
        <v>3599</v>
      </c>
      <c r="BA237" t="s">
        <v>3600</v>
      </c>
      <c r="BB237" t="s">
        <v>3601</v>
      </c>
      <c r="BC237" t="s">
        <v>3602</v>
      </c>
      <c r="BD237" t="s">
        <v>3603</v>
      </c>
      <c r="BE237" t="s">
        <v>3604</v>
      </c>
      <c r="BF237" t="s">
        <v>3605</v>
      </c>
      <c r="BG237" t="s">
        <v>3039</v>
      </c>
      <c r="BH237" t="s">
        <v>3596</v>
      </c>
      <c r="BI237" t="s">
        <v>9</v>
      </c>
      <c r="BJ237" t="s">
        <v>3598</v>
      </c>
      <c r="BK237" t="s">
        <v>3597</v>
      </c>
      <c r="BL237" t="s">
        <v>9</v>
      </c>
      <c r="BM237" t="s">
        <v>3602</v>
      </c>
      <c r="BN237">
        <v>7.66</v>
      </c>
      <c r="BO237">
        <v>6.09</v>
      </c>
      <c r="BP237">
        <v>11.15</v>
      </c>
      <c r="BQ237">
        <v>12.42</v>
      </c>
      <c r="BR237">
        <v>10.3</v>
      </c>
      <c r="BS237">
        <v>19.77</v>
      </c>
      <c r="BT237" t="s">
        <v>9470</v>
      </c>
      <c r="BU237" t="s">
        <v>1254</v>
      </c>
      <c r="BV237">
        <v>15.68</v>
      </c>
      <c r="BW237">
        <v>13.85</v>
      </c>
      <c r="BX237">
        <v>26.6</v>
      </c>
      <c r="BY237">
        <v>9.35</v>
      </c>
      <c r="BZ237">
        <v>7.45</v>
      </c>
      <c r="CA237">
        <v>14.72</v>
      </c>
      <c r="CB237">
        <v>-7.3</v>
      </c>
      <c r="CC237">
        <v>-1.02</v>
      </c>
      <c r="CD237" t="s">
        <v>139</v>
      </c>
      <c r="CE237" t="s">
        <v>4306</v>
      </c>
      <c r="CF237" s="8" t="s">
        <v>9</v>
      </c>
      <c r="CG237" s="9">
        <v>0.27979999999999999</v>
      </c>
      <c r="CH237" s="8">
        <v>-1.4080844819545746E-2</v>
      </c>
      <c r="CI237" s="8">
        <v>5.9745725244283676E-2</v>
      </c>
      <c r="CJ237" s="8">
        <v>0.36540195345878601</v>
      </c>
      <c r="CK237" s="8">
        <v>-1.9479691400192678E-4</v>
      </c>
      <c r="CL237" s="8">
        <v>-0.12541832029819489</v>
      </c>
      <c r="CM237" s="9">
        <v>-0.36170107126235962</v>
      </c>
      <c r="CN237" s="9">
        <v>0.57330143451690674</v>
      </c>
      <c r="CO237" s="9">
        <v>0.83646500110626221</v>
      </c>
      <c r="CP237" s="9">
        <v>0.10638298839330673</v>
      </c>
      <c r="CQ237" s="9">
        <v>1.1382218217477202E-3</v>
      </c>
      <c r="CR237">
        <v>103.78958018130666</v>
      </c>
      <c r="CS237">
        <v>2.6449085262467551</v>
      </c>
      <c r="CT237" t="e">
        <v>#VALUE!</v>
      </c>
      <c r="CU237" s="8">
        <v>-0.39241273999214171</v>
      </c>
      <c r="CV237" s="9">
        <v>-2.0173166438937189</v>
      </c>
      <c r="CW237">
        <v>0.06</v>
      </c>
      <c r="CX237">
        <v>8.8095430231632577</v>
      </c>
      <c r="CY237" t="s">
        <v>9471</v>
      </c>
      <c r="CZ237">
        <v>-0.39241273999214171</v>
      </c>
      <c r="DA237">
        <v>2.9365143410544192</v>
      </c>
      <c r="DB237" t="s">
        <v>9472</v>
      </c>
      <c r="DC237">
        <v>-0.37279210299253462</v>
      </c>
      <c r="DD237">
        <v>1.4682571705272096</v>
      </c>
      <c r="DE237" t="s">
        <v>9473</v>
      </c>
      <c r="DF237">
        <v>-0.34532321119308473</v>
      </c>
      <c r="DG237">
        <v>0.88095430231632577</v>
      </c>
      <c r="DH237" t="s">
        <v>9474</v>
      </c>
      <c r="DI237">
        <v>-0.31393019199371341</v>
      </c>
      <c r="DJ237">
        <v>0.44047715115816288</v>
      </c>
      <c r="DK237" t="s">
        <v>9475</v>
      </c>
      <c r="DL237">
        <v>-0.27468891799449918</v>
      </c>
      <c r="DM237">
        <v>12563000000</v>
      </c>
      <c r="DN237">
        <v>-0.39241273999214171</v>
      </c>
      <c r="DO237">
        <v>110674289000</v>
      </c>
      <c r="DP237" t="e">
        <v>#VALUE!</v>
      </c>
      <c r="DQ237">
        <v>236</v>
      </c>
      <c r="DR237" t="e">
        <v>#VALUE!</v>
      </c>
      <c r="DS237">
        <v>2.2971166438937187</v>
      </c>
      <c r="DT237" t="e">
        <v>#VALUE!</v>
      </c>
      <c r="DU237" t="e">
        <v>#VALUE!</v>
      </c>
      <c r="DV237" t="e">
        <v>#VALUE!</v>
      </c>
      <c r="DW237">
        <v>-5.13972602739726</v>
      </c>
      <c r="DX237">
        <v>0.47425938122860856</v>
      </c>
      <c r="DY237">
        <v>-5.0145677491579699</v>
      </c>
      <c r="DZ237">
        <v>0</v>
      </c>
      <c r="EA237">
        <v>-5.0145677491579699</v>
      </c>
      <c r="EB237">
        <v>5</v>
      </c>
      <c r="EC237">
        <v>1.7307723643439618E-2</v>
      </c>
      <c r="ED237">
        <v>0.1660063981166495</v>
      </c>
      <c r="EE237">
        <v>0</v>
      </c>
      <c r="EF237">
        <v>0</v>
      </c>
      <c r="EG237">
        <v>37.104259381228609</v>
      </c>
      <c r="EH237" t="s">
        <v>110</v>
      </c>
      <c r="EI237">
        <v>0</v>
      </c>
      <c r="EJ237">
        <v>0</v>
      </c>
      <c r="EK237">
        <v>0</v>
      </c>
      <c r="EL237">
        <v>0</v>
      </c>
      <c r="EM237">
        <v>0</v>
      </c>
      <c r="EN237">
        <v>0</v>
      </c>
      <c r="EO237">
        <v>0</v>
      </c>
      <c r="EP237">
        <v>0</v>
      </c>
    </row>
    <row r="238" spans="1:146" ht="96" x14ac:dyDescent="0.25">
      <c r="A238"/>
      <c r="B238"/>
      <c r="C238" s="7" t="str">
        <f>""&amp;CHAR(10)&amp;Basic_Fundamental_Information_Constructure(F238)&amp;CHAR(10)&amp;Basic_Fundamental_Information_Concatenate("")</f>
        <v xml:space="preserve">
市值102.216775亿, 利润10.01亿; PE10.21; 平均PE141.43; 平均PEG9.78, PB1.1; ROIC5.86%; ROE13.8867%; 股利率0%; 毛利34.4967%; 净利18.7933%; 上一年度营收增-39.61%, 利润增-24.28%, 利润增-24.88%; 过往5年营收增-14.46%, 利润增-72.57%
Income profile:
</v>
      </c>
      <c r="D238" s="11">
        <v>1381</v>
      </c>
      <c r="E238" t="s">
        <v>9476</v>
      </c>
      <c r="F238">
        <v>4.1900000000000004</v>
      </c>
      <c r="G238">
        <v>-7.1000000000000004E-3</v>
      </c>
      <c r="H238" t="s">
        <v>9477</v>
      </c>
      <c r="I238">
        <v>10221677500</v>
      </c>
      <c r="J238">
        <v>10.210000000000001</v>
      </c>
      <c r="K238">
        <v>1.1000000000000001</v>
      </c>
      <c r="L238" t="s">
        <v>6350</v>
      </c>
      <c r="M238" t="s">
        <v>9</v>
      </c>
      <c r="N238" t="s">
        <v>9</v>
      </c>
      <c r="O238" t="s">
        <v>9</v>
      </c>
      <c r="P238" s="5" t="s">
        <v>9</v>
      </c>
      <c r="Q238" t="s">
        <v>9478</v>
      </c>
      <c r="R238">
        <v>1001264000</v>
      </c>
      <c r="S238">
        <v>-0.24879999999999999</v>
      </c>
      <c r="T238" t="s">
        <v>3705</v>
      </c>
      <c r="U238">
        <v>2439541200</v>
      </c>
      <c r="V238">
        <v>2439541200</v>
      </c>
      <c r="W238" t="s">
        <v>9</v>
      </c>
      <c r="X238" t="s">
        <v>9</v>
      </c>
      <c r="Y238" t="s">
        <v>9</v>
      </c>
      <c r="Z238" t="s">
        <v>9</v>
      </c>
      <c r="AA238" t="s">
        <v>9</v>
      </c>
      <c r="AB238" t="s">
        <v>9</v>
      </c>
      <c r="AC238" t="s">
        <v>9</v>
      </c>
      <c r="AD238" t="s">
        <v>9479</v>
      </c>
      <c r="AE238" t="s">
        <v>9</v>
      </c>
      <c r="AF238" t="s">
        <v>9</v>
      </c>
      <c r="AG238" t="s">
        <v>9</v>
      </c>
      <c r="AH238" t="s">
        <v>9480</v>
      </c>
      <c r="AI238" t="s">
        <v>9</v>
      </c>
      <c r="AJ238" t="s">
        <v>9</v>
      </c>
      <c r="AK238" s="5" t="s">
        <v>9481</v>
      </c>
      <c r="AL238" t="s">
        <v>9</v>
      </c>
      <c r="AM238" t="s">
        <v>9</v>
      </c>
      <c r="AN238">
        <v>0.64290000000000003</v>
      </c>
      <c r="AO238" t="s">
        <v>9</v>
      </c>
      <c r="AP238" t="s">
        <v>2920</v>
      </c>
      <c r="AQ238" t="s">
        <v>9</v>
      </c>
      <c r="AR238" t="s">
        <v>9482</v>
      </c>
      <c r="AS238" t="s">
        <v>9</v>
      </c>
      <c r="AT238" t="s">
        <v>9</v>
      </c>
      <c r="AU238" t="s">
        <v>9483</v>
      </c>
      <c r="AV238" t="s">
        <v>9484</v>
      </c>
      <c r="AW238" t="s">
        <v>9</v>
      </c>
      <c r="AX238" t="s">
        <v>3555</v>
      </c>
      <c r="AY238" t="s">
        <v>9485</v>
      </c>
      <c r="AZ238" t="s">
        <v>3608</v>
      </c>
      <c r="BA238" t="s">
        <v>9486</v>
      </c>
      <c r="BB238" t="s">
        <v>9487</v>
      </c>
      <c r="BC238" t="s">
        <v>3609</v>
      </c>
      <c r="BD238" t="s">
        <v>3610</v>
      </c>
      <c r="BE238" t="s">
        <v>1608</v>
      </c>
      <c r="BF238" t="s">
        <v>3611</v>
      </c>
      <c r="BG238" t="s">
        <v>1508</v>
      </c>
      <c r="BH238" t="s">
        <v>3555</v>
      </c>
      <c r="BI238" t="s">
        <v>9</v>
      </c>
      <c r="BJ238" t="s">
        <v>9485</v>
      </c>
      <c r="BK238" t="s">
        <v>3607</v>
      </c>
      <c r="BL238" t="s">
        <v>9</v>
      </c>
      <c r="BM238" t="s">
        <v>3609</v>
      </c>
      <c r="BN238">
        <v>4.4000000000000004</v>
      </c>
      <c r="BO238">
        <v>6.13</v>
      </c>
      <c r="BP238">
        <v>7.05</v>
      </c>
      <c r="BQ238">
        <v>10.77</v>
      </c>
      <c r="BR238">
        <v>15.31</v>
      </c>
      <c r="BS238">
        <v>15.58</v>
      </c>
      <c r="BT238" t="s">
        <v>6596</v>
      </c>
      <c r="BU238" t="s">
        <v>392</v>
      </c>
      <c r="BV238">
        <v>41.76</v>
      </c>
      <c r="BW238">
        <v>30.67</v>
      </c>
      <c r="BX238">
        <v>31.06</v>
      </c>
      <c r="BY238">
        <v>20.49</v>
      </c>
      <c r="BZ238">
        <v>16.48</v>
      </c>
      <c r="CA238">
        <v>19.41</v>
      </c>
      <c r="CB238">
        <v>3</v>
      </c>
      <c r="CC238" s="8">
        <v>4.28</v>
      </c>
      <c r="CD238" s="10" t="s">
        <v>9488</v>
      </c>
      <c r="CE238" s="8" t="s">
        <v>9489</v>
      </c>
      <c r="CF238" s="8" t="s">
        <v>9</v>
      </c>
      <c r="CG238" s="8">
        <v>-0.24879999999999999</v>
      </c>
      <c r="CH238" s="8">
        <v>-0.39614409208297729</v>
      </c>
      <c r="CI238" s="8">
        <v>0.21368657052516937</v>
      </c>
      <c r="CJ238" s="9">
        <v>0.36226934194564819</v>
      </c>
      <c r="CK238" s="9">
        <v>0.49969935417175293</v>
      </c>
      <c r="CL238" s="9">
        <v>0.38698914647102356</v>
      </c>
      <c r="CM238" s="9">
        <v>-0.24281391501426697</v>
      </c>
      <c r="CN238" s="9">
        <v>0.25426945090293884</v>
      </c>
      <c r="CO238">
        <v>0.18029114603996277</v>
      </c>
      <c r="CP238">
        <v>0.18435013294219971</v>
      </c>
      <c r="CQ238">
        <v>0.3368794322013855</v>
      </c>
      <c r="CR238" s="8">
        <v>141.42662253613432</v>
      </c>
      <c r="CS238" s="9">
        <v>9.7823743112028474</v>
      </c>
      <c r="CT238">
        <v>0</v>
      </c>
      <c r="CU238">
        <v>-0.14457290023565292</v>
      </c>
      <c r="CV238">
        <v>-0.72568006627261639</v>
      </c>
      <c r="CW238">
        <v>0.06</v>
      </c>
      <c r="CX238">
        <v>10.211466033966033</v>
      </c>
      <c r="CY238" t="s">
        <v>9490</v>
      </c>
      <c r="CZ238">
        <v>-0.14457290023565292</v>
      </c>
      <c r="DA238">
        <v>3.4038220113220112</v>
      </c>
      <c r="DB238" t="s">
        <v>9491</v>
      </c>
      <c r="DC238">
        <v>-0.13734425522387025</v>
      </c>
      <c r="DD238">
        <v>1.7019110056610056</v>
      </c>
      <c r="DE238" t="s">
        <v>9492</v>
      </c>
      <c r="DF238">
        <v>-0.12722415220737457</v>
      </c>
      <c r="DG238">
        <v>1.0211466033966035</v>
      </c>
      <c r="DH238" t="s">
        <v>9493</v>
      </c>
      <c r="DI238">
        <v>-0.11565832018852235</v>
      </c>
      <c r="DJ238">
        <v>0.51057330169830173</v>
      </c>
      <c r="DK238" t="s">
        <v>9494</v>
      </c>
      <c r="DL238">
        <v>-0.10120103016495703</v>
      </c>
      <c r="DM238">
        <v>1001000000</v>
      </c>
      <c r="DN238">
        <v>-0.14457290023565292</v>
      </c>
      <c r="DO238">
        <v>10221677500</v>
      </c>
      <c r="DP238" t="e">
        <v>#VALUE!</v>
      </c>
      <c r="DQ238">
        <v>237</v>
      </c>
      <c r="DR238" t="e">
        <v>#VALUE!</v>
      </c>
      <c r="DS238">
        <v>0.47688006627261637</v>
      </c>
      <c r="DT238" t="e">
        <v>#VALUE!</v>
      </c>
      <c r="DU238" t="e">
        <v>#VALUE!</v>
      </c>
      <c r="DV238" t="e">
        <v>#VALUE!</v>
      </c>
      <c r="DW238">
        <v>8.7009345794392523</v>
      </c>
      <c r="DX238">
        <v>0.51020185708518406</v>
      </c>
      <c r="DY238">
        <v>8.315562049358773</v>
      </c>
      <c r="DZ238">
        <v>0</v>
      </c>
      <c r="EA238">
        <v>8.315562049358773</v>
      </c>
      <c r="EB238">
        <v>8</v>
      </c>
      <c r="EC238">
        <v>9.1422928212895119E-3</v>
      </c>
      <c r="ED238">
        <v>2.0307097088583706E-2</v>
      </c>
      <c r="EE238">
        <v>0</v>
      </c>
      <c r="EF238">
        <v>0</v>
      </c>
      <c r="EG238">
        <v>6.450201857085184</v>
      </c>
      <c r="EH238" t="s">
        <v>110</v>
      </c>
      <c r="EI238">
        <v>0</v>
      </c>
      <c r="EJ238">
        <v>0</v>
      </c>
      <c r="EK238">
        <v>0</v>
      </c>
      <c r="EL238">
        <v>0</v>
      </c>
      <c r="EM238">
        <v>0</v>
      </c>
      <c r="EN238">
        <v>0</v>
      </c>
      <c r="EO238">
        <v>0</v>
      </c>
      <c r="EP238">
        <v>0</v>
      </c>
    </row>
    <row r="239" spans="1:146" ht="96" x14ac:dyDescent="0.25">
      <c r="A239"/>
      <c r="B239"/>
      <c r="C239" s="7" t="str">
        <f>""&amp;CHAR(10)&amp;Basic_Fundamental_Information_Constructure(F239)&amp;CHAR(10)&amp;Basic_Fundamental_Information_Concatenate("")</f>
        <v xml:space="preserve">
市值96.485315亿, 利润7.89亿; PE12.91; 平均PE48.58; 平均PEG4.68, PB1.63; ROIC20.25%; ROE17.9033%; 股利率0%; 毛利61.42%; 净利24.9433%; 上一年度营收增-2.47%, 利润增25.24%; 当季营收增1.27%, 利润增-19.17%; 过往5年营收增10.38%, 利润增31.85%
Income profile:
</v>
      </c>
      <c r="D239" s="11">
        <v>1385</v>
      </c>
      <c r="E239" t="s">
        <v>9495</v>
      </c>
      <c r="F239">
        <v>11.78</v>
      </c>
      <c r="G239">
        <v>-3.9199999999999999E-2</v>
      </c>
      <c r="H239" t="s">
        <v>9496</v>
      </c>
      <c r="I239">
        <v>9648531500</v>
      </c>
      <c r="J239">
        <v>12.91</v>
      </c>
      <c r="K239">
        <v>1.63</v>
      </c>
      <c r="L239" t="s">
        <v>6350</v>
      </c>
      <c r="M239" t="s">
        <v>9497</v>
      </c>
      <c r="N239" t="s">
        <v>2308</v>
      </c>
      <c r="O239" t="s">
        <v>3093</v>
      </c>
      <c r="P239" s="5">
        <v>10.3</v>
      </c>
      <c r="Q239" t="s">
        <v>9498</v>
      </c>
      <c r="R239">
        <v>788709730</v>
      </c>
      <c r="S239">
        <v>-0.19170000000000001</v>
      </c>
      <c r="T239" t="s">
        <v>3865</v>
      </c>
      <c r="U239">
        <v>284330000</v>
      </c>
      <c r="V239">
        <v>819060400</v>
      </c>
      <c r="W239">
        <v>1.55</v>
      </c>
      <c r="X239">
        <v>0.11</v>
      </c>
      <c r="Y239">
        <v>19.649999999999999</v>
      </c>
      <c r="Z239" t="s">
        <v>9499</v>
      </c>
      <c r="AA239" t="s">
        <v>8553</v>
      </c>
      <c r="AB239" t="s">
        <v>9500</v>
      </c>
      <c r="AC239" t="s">
        <v>866</v>
      </c>
      <c r="AD239" t="s">
        <v>9501</v>
      </c>
      <c r="AE239" t="s">
        <v>9502</v>
      </c>
      <c r="AF239" t="s">
        <v>9</v>
      </c>
      <c r="AG239" t="s">
        <v>9503</v>
      </c>
      <c r="AH239" t="s">
        <v>9504</v>
      </c>
      <c r="AI239" t="s">
        <v>9505</v>
      </c>
      <c r="AJ239" t="s">
        <v>2905</v>
      </c>
      <c r="AK239" s="5" t="s">
        <v>9506</v>
      </c>
      <c r="AL239" t="s">
        <v>9</v>
      </c>
      <c r="AM239" t="s">
        <v>2885</v>
      </c>
      <c r="AN239">
        <v>0.27789999999999998</v>
      </c>
      <c r="AO239" t="s">
        <v>5113</v>
      </c>
      <c r="AP239" t="s">
        <v>206</v>
      </c>
      <c r="AQ239" t="s">
        <v>2279</v>
      </c>
      <c r="AR239" t="s">
        <v>9507</v>
      </c>
      <c r="AS239" t="s">
        <v>1074</v>
      </c>
      <c r="AT239" t="s">
        <v>1280</v>
      </c>
      <c r="AU239" t="s">
        <v>9508</v>
      </c>
      <c r="AV239" t="s">
        <v>9509</v>
      </c>
      <c r="AW239" t="s">
        <v>1831</v>
      </c>
      <c r="AX239" t="s">
        <v>9510</v>
      </c>
      <c r="AY239" t="s">
        <v>9511</v>
      </c>
      <c r="AZ239" t="s">
        <v>9512</v>
      </c>
      <c r="BA239" t="s">
        <v>3619</v>
      </c>
      <c r="BB239" t="s">
        <v>3620</v>
      </c>
      <c r="BC239" t="s">
        <v>3621</v>
      </c>
      <c r="BD239" t="s">
        <v>439</v>
      </c>
      <c r="BE239" t="s">
        <v>8620</v>
      </c>
      <c r="BF239" t="s">
        <v>30</v>
      </c>
      <c r="BG239" t="s">
        <v>1119</v>
      </c>
      <c r="BH239" t="s">
        <v>9510</v>
      </c>
      <c r="BI239" t="s">
        <v>1733</v>
      </c>
      <c r="BJ239" t="s">
        <v>9511</v>
      </c>
      <c r="BK239" t="s">
        <v>9513</v>
      </c>
      <c r="BL239" t="s">
        <v>246</v>
      </c>
      <c r="BM239" t="s">
        <v>3621</v>
      </c>
      <c r="BN239">
        <v>12.72</v>
      </c>
      <c r="BO239">
        <v>27.81</v>
      </c>
      <c r="BP239">
        <v>20.22</v>
      </c>
      <c r="BQ239">
        <v>13.57</v>
      </c>
      <c r="BR239">
        <v>23.76</v>
      </c>
      <c r="BS239">
        <v>16.38</v>
      </c>
      <c r="BT239" t="s">
        <v>156</v>
      </c>
      <c r="BU239" t="s">
        <v>1595</v>
      </c>
      <c r="BV239">
        <v>61.12</v>
      </c>
      <c r="BW239">
        <v>64.42</v>
      </c>
      <c r="BX239">
        <v>58.72</v>
      </c>
      <c r="BY239">
        <v>21.23</v>
      </c>
      <c r="BZ239">
        <v>31.79</v>
      </c>
      <c r="CA239">
        <v>21.81</v>
      </c>
      <c r="CB239">
        <v>-11.56</v>
      </c>
      <c r="CC239" s="8">
        <v>2.35</v>
      </c>
      <c r="CD239" s="10" t="s">
        <v>9514</v>
      </c>
      <c r="CE239" s="8" t="s">
        <v>85</v>
      </c>
      <c r="CF239" s="8">
        <v>1.2658227848101266E-2</v>
      </c>
      <c r="CG239" s="8">
        <v>-0.19170000000000001</v>
      </c>
      <c r="CH239" s="8">
        <v>-2.471623569726944E-2</v>
      </c>
      <c r="CI239" s="8">
        <v>0.2623368501663208</v>
      </c>
      <c r="CJ239" s="9">
        <v>0.56580257415771484</v>
      </c>
      <c r="CK239" s="9">
        <v>0.24984428286552429</v>
      </c>
      <c r="CL239" s="9">
        <v>-4.236280545592308E-2</v>
      </c>
      <c r="CM239" s="9">
        <v>0.25238096714019775</v>
      </c>
      <c r="CN239" s="9">
        <v>2.9873418807983398</v>
      </c>
      <c r="CO239">
        <v>1.8729281425476074</v>
      </c>
      <c r="CP239">
        <v>-2.4836065769195557</v>
      </c>
      <c r="CQ239">
        <v>-0.51968502998352051</v>
      </c>
      <c r="CR239" s="8">
        <v>48.581301559403414</v>
      </c>
      <c r="CS239" s="9">
        <v>4.6781537055333917</v>
      </c>
      <c r="CT239">
        <v>0</v>
      </c>
      <c r="CU239">
        <v>0.10384716838598251</v>
      </c>
      <c r="CV239">
        <v>0.31849147677421569</v>
      </c>
      <c r="CW239">
        <v>0.06</v>
      </c>
      <c r="CX239">
        <v>6.7895314421041117</v>
      </c>
      <c r="CY239">
        <v>821637184.77032101</v>
      </c>
      <c r="CZ239">
        <v>0.10384716838598251</v>
      </c>
      <c r="DA239">
        <v>2.1929318751063387</v>
      </c>
      <c r="DB239">
        <v>2543869038.216013</v>
      </c>
      <c r="DC239">
        <v>9.8654809966683382E-2</v>
      </c>
      <c r="DD239">
        <v>1.0626724542910535</v>
      </c>
      <c r="DE239">
        <v>5249530537.3485346</v>
      </c>
      <c r="DF239">
        <v>9.1385508179664607E-2</v>
      </c>
      <c r="DG239">
        <v>0.62685413402823686</v>
      </c>
      <c r="DH239">
        <v>8899249757.1192741</v>
      </c>
      <c r="DI239">
        <v>8.3077734708786016E-2</v>
      </c>
      <c r="DJ239">
        <v>0.31125021692224863</v>
      </c>
      <c r="DK239">
        <v>17922980279.861256</v>
      </c>
      <c r="DL239">
        <v>7.2693017870187754E-2</v>
      </c>
      <c r="DM239">
        <v>789000000</v>
      </c>
      <c r="DN239">
        <v>0.10384716838598251</v>
      </c>
      <c r="DO239">
        <v>5578531500</v>
      </c>
      <c r="DP239" t="e">
        <v>#VALUE!</v>
      </c>
      <c r="DQ239">
        <v>238</v>
      </c>
      <c r="DR239">
        <v>-9.118894053788125E-2</v>
      </c>
      <c r="DS239">
        <v>-0.51019147677421572</v>
      </c>
      <c r="DT239">
        <v>-0.34</v>
      </c>
      <c r="DU239">
        <v>0.48666666666666664</v>
      </c>
      <c r="DV239">
        <v>0.14666666666666661</v>
      </c>
      <c r="DW239">
        <v>-5.203287197231834</v>
      </c>
      <c r="DX239">
        <v>0.30953809523809472</v>
      </c>
      <c r="DY239">
        <v>-5.028366308288021</v>
      </c>
      <c r="DZ239">
        <v>0</v>
      </c>
      <c r="EA239">
        <v>-5.028366308288021</v>
      </c>
      <c r="EB239">
        <v>5</v>
      </c>
      <c r="EC239">
        <v>2.8621088261622702E-2</v>
      </c>
      <c r="ED239">
        <v>0.20511307835173084</v>
      </c>
      <c r="EE239">
        <v>0</v>
      </c>
      <c r="EF239">
        <v>0</v>
      </c>
      <c r="EG239">
        <v>17.139538095238095</v>
      </c>
      <c r="EH239" t="s">
        <v>110</v>
      </c>
      <c r="EI239">
        <v>0</v>
      </c>
      <c r="EJ239">
        <v>0</v>
      </c>
      <c r="EK239">
        <v>0</v>
      </c>
      <c r="EL239">
        <v>0</v>
      </c>
      <c r="EM239">
        <v>0</v>
      </c>
      <c r="EN239">
        <v>0</v>
      </c>
      <c r="EO239">
        <v>0</v>
      </c>
      <c r="EP239">
        <v>0</v>
      </c>
    </row>
    <row r="240" spans="1:146" ht="96" x14ac:dyDescent="0.25">
      <c r="A240" s="7"/>
      <c r="B240" s="7"/>
      <c r="C240" s="7" t="str">
        <f>""&amp;CHAR(10)&amp;Basic_Fundamental_Information_Constructure(F240)&amp;CHAR(10)&amp;Basic_Fundamental_Information_Concatenate("")</f>
        <v xml:space="preserve">
市值16287.766亿, 利润3826.06亿; PE4.35; 平均PE25.5; 平均PEG1.98, PB.406; ROIC0%; ROE9.86%; 毛利0%; 净利43.39%; 上一年度营收增-7.35%, 利润增-7.76%; 当季营收增-21.17%, 利润增-8.26%; 过往5年营收增-12.89%, 利润增18.64%
Income profile:
</v>
      </c>
      <c r="D240" s="11">
        <v>1398</v>
      </c>
      <c r="E240" t="s">
        <v>3622</v>
      </c>
      <c r="F240">
        <v>4.57</v>
      </c>
      <c r="G240" s="5">
        <v>-1.0800000000000001E-2</v>
      </c>
      <c r="H240" t="s">
        <v>138</v>
      </c>
      <c r="I240">
        <v>1628776600000</v>
      </c>
      <c r="J240">
        <v>4.3499999999999996</v>
      </c>
      <c r="K240">
        <v>0.40600000000000003</v>
      </c>
      <c r="L240" t="s">
        <v>6350</v>
      </c>
      <c r="M240" t="s">
        <v>9515</v>
      </c>
      <c r="N240" t="s">
        <v>9516</v>
      </c>
      <c r="O240" t="s">
        <v>9517</v>
      </c>
      <c r="P240" t="s">
        <v>9</v>
      </c>
      <c r="Q240" t="s">
        <v>9518</v>
      </c>
      <c r="R240">
        <v>382605590000</v>
      </c>
      <c r="S240" s="5">
        <v>-8.2600000000000007E-2</v>
      </c>
      <c r="T240" t="s">
        <v>9519</v>
      </c>
      <c r="U240">
        <v>86794045000</v>
      </c>
      <c r="V240">
        <v>356406260000</v>
      </c>
      <c r="W240">
        <v>12.34</v>
      </c>
      <c r="X240">
        <v>0</v>
      </c>
      <c r="Y240">
        <v>46.37</v>
      </c>
      <c r="Z240" t="s">
        <v>9</v>
      </c>
      <c r="AA240" t="s">
        <v>9</v>
      </c>
      <c r="AB240" t="s">
        <v>9</v>
      </c>
      <c r="AC240" t="s">
        <v>9</v>
      </c>
      <c r="AD240" t="s">
        <v>9</v>
      </c>
      <c r="AE240" t="s">
        <v>9</v>
      </c>
      <c r="AF240" t="s">
        <v>9</v>
      </c>
      <c r="AG240" t="s">
        <v>9520</v>
      </c>
      <c r="AH240" t="s">
        <v>9521</v>
      </c>
      <c r="AI240" t="s">
        <v>9</v>
      </c>
      <c r="AJ240" t="s">
        <v>9</v>
      </c>
      <c r="AK240" t="s">
        <v>9522</v>
      </c>
      <c r="AL240" t="s">
        <v>9</v>
      </c>
      <c r="AM240" t="s">
        <v>9523</v>
      </c>
      <c r="AN240" s="5">
        <v>0.91859999999999997</v>
      </c>
      <c r="AO240" t="s">
        <v>9</v>
      </c>
      <c r="AP240" t="s">
        <v>9</v>
      </c>
      <c r="AQ240" t="s">
        <v>9</v>
      </c>
      <c r="AR240" t="s">
        <v>9</v>
      </c>
      <c r="AS240" t="s">
        <v>9</v>
      </c>
      <c r="AT240" t="s">
        <v>9</v>
      </c>
      <c r="AU240" t="s">
        <v>9524</v>
      </c>
      <c r="AV240" t="s">
        <v>9525</v>
      </c>
      <c r="AW240" t="s">
        <v>9526</v>
      </c>
      <c r="AX240" t="s">
        <v>9527</v>
      </c>
      <c r="AY240" t="s">
        <v>3624</v>
      </c>
      <c r="AZ240" t="s">
        <v>3625</v>
      </c>
      <c r="BA240" t="s">
        <v>3626</v>
      </c>
      <c r="BB240" t="s">
        <v>3627</v>
      </c>
      <c r="BC240" t="s">
        <v>3628</v>
      </c>
      <c r="BD240" t="s">
        <v>3629</v>
      </c>
      <c r="BE240" t="s">
        <v>3630</v>
      </c>
      <c r="BF240" t="s">
        <v>3631</v>
      </c>
      <c r="BG240" t="s">
        <v>3632</v>
      </c>
      <c r="BH240" t="s">
        <v>9527</v>
      </c>
      <c r="BI240" t="s">
        <v>3633</v>
      </c>
      <c r="BJ240" t="s">
        <v>3624</v>
      </c>
      <c r="BK240" t="s">
        <v>3623</v>
      </c>
      <c r="BL240" t="s">
        <v>9528</v>
      </c>
      <c r="BM240" t="s">
        <v>3628</v>
      </c>
      <c r="BN240" t="s">
        <v>9</v>
      </c>
      <c r="BO240" t="s">
        <v>9</v>
      </c>
      <c r="BP240" t="s">
        <v>9</v>
      </c>
      <c r="BQ240">
        <v>9.2899999999999991</v>
      </c>
      <c r="BR240">
        <v>9.89</v>
      </c>
      <c r="BS240">
        <v>10.4</v>
      </c>
      <c r="BT240" t="s">
        <v>9529</v>
      </c>
      <c r="BU240" t="s">
        <v>422</v>
      </c>
      <c r="BV240" t="s">
        <v>9</v>
      </c>
      <c r="BW240" t="s">
        <v>9</v>
      </c>
      <c r="BX240" t="s">
        <v>9</v>
      </c>
      <c r="BY240">
        <v>45.9</v>
      </c>
      <c r="BZ240">
        <v>43.32</v>
      </c>
      <c r="CA240">
        <v>40.950000000000003</v>
      </c>
      <c r="CB240">
        <v>-0.22</v>
      </c>
      <c r="CC240">
        <v>2.2400000000000002</v>
      </c>
      <c r="CD240" t="s">
        <v>1592</v>
      </c>
      <c r="CE240" t="s">
        <v>5297</v>
      </c>
      <c r="CF240" s="8">
        <v>-0.21166277090006638</v>
      </c>
      <c r="CG240" s="9">
        <v>-8.2600000000000007E-2</v>
      </c>
      <c r="CH240" s="8">
        <v>-7.3513388633728027E-2</v>
      </c>
      <c r="CI240" s="8">
        <v>-0.10129518061876297</v>
      </c>
      <c r="CJ240" s="8">
        <v>0.10421865433454514</v>
      </c>
      <c r="CK240" s="8">
        <v>0.15029764175415039</v>
      </c>
      <c r="CL240" s="8">
        <v>2.1749384701251984E-2</v>
      </c>
      <c r="CM240" s="9">
        <v>-7.7559977769851685E-2</v>
      </c>
      <c r="CN240" s="9">
        <v>0.13328942656517029</v>
      </c>
      <c r="CO240" s="9">
        <v>6.4384914934635162E-2</v>
      </c>
      <c r="CP240" s="9">
        <v>3.011055663228035E-2</v>
      </c>
      <c r="CQ240" s="9">
        <v>-1.1320234276354313E-2</v>
      </c>
      <c r="CR240">
        <v>25.50483321027534</v>
      </c>
      <c r="CS240">
        <v>1.9789853170442888</v>
      </c>
      <c r="CT240" t="e">
        <v>#VALUE!</v>
      </c>
      <c r="CU240" s="8">
        <v>-0.12887833472341298</v>
      </c>
      <c r="CV240" s="9">
        <v>0.18640651702880859</v>
      </c>
      <c r="CW240">
        <v>0.06</v>
      </c>
      <c r="CX240">
        <v>116.58868810212071</v>
      </c>
      <c r="CY240" t="s">
        <v>9530</v>
      </c>
      <c r="CZ240">
        <v>-0.12887833472341298</v>
      </c>
      <c r="DA240">
        <v>38.86289603404024</v>
      </c>
      <c r="DB240" t="s">
        <v>9531</v>
      </c>
      <c r="DC240">
        <v>-0.12243441798724232</v>
      </c>
      <c r="DD240">
        <v>19.43144801702012</v>
      </c>
      <c r="DE240" t="s">
        <v>9532</v>
      </c>
      <c r="DF240">
        <v>-0.11341293455660342</v>
      </c>
      <c r="DG240">
        <v>11.658868810212072</v>
      </c>
      <c r="DH240" t="s">
        <v>9533</v>
      </c>
      <c r="DI240">
        <v>-0.10310266777873039</v>
      </c>
      <c r="DJ240">
        <v>5.8294344051060358</v>
      </c>
      <c r="DK240" t="s">
        <v>9534</v>
      </c>
      <c r="DL240">
        <v>-9.0214834306389075E-2</v>
      </c>
      <c r="DM240">
        <v>382606000000</v>
      </c>
      <c r="DN240">
        <v>-0.12887833472341298</v>
      </c>
      <c r="DO240">
        <v>44607531600000</v>
      </c>
      <c r="DP240" t="e">
        <v>#VALUE!</v>
      </c>
      <c r="DQ240">
        <v>239</v>
      </c>
      <c r="DR240">
        <v>-8.2784436176653403E-2</v>
      </c>
      <c r="DS240">
        <v>-0.26900651702880862</v>
      </c>
      <c r="DT240">
        <v>-0.65666666666666662</v>
      </c>
      <c r="DU240">
        <v>0.83333333333333337</v>
      </c>
      <c r="DV240">
        <v>0.17666666666666675</v>
      </c>
      <c r="DW240">
        <v>2.2400000000000003E-2</v>
      </c>
      <c r="DX240">
        <v>0.3506914622076015</v>
      </c>
      <c r="DY240">
        <v>4.0474887534502815E-3</v>
      </c>
      <c r="DZ240">
        <v>0</v>
      </c>
      <c r="EA240">
        <v>4.0474887534502815E-3</v>
      </c>
      <c r="EB240">
        <v>0</v>
      </c>
      <c r="EC240">
        <v>6.217623674735679E-3</v>
      </c>
      <c r="ED240">
        <v>3.4410170012165328E-2</v>
      </c>
      <c r="EE240">
        <v>0</v>
      </c>
      <c r="EF240">
        <v>0</v>
      </c>
      <c r="EG240">
        <v>17.180691462207601</v>
      </c>
      <c r="EH240" t="s">
        <v>110</v>
      </c>
      <c r="EI240">
        <v>0</v>
      </c>
      <c r="EJ240">
        <v>0</v>
      </c>
      <c r="EK240">
        <v>0</v>
      </c>
      <c r="EL240">
        <v>0</v>
      </c>
      <c r="EM240">
        <v>0</v>
      </c>
      <c r="EN240">
        <v>0</v>
      </c>
      <c r="EO240">
        <v>0</v>
      </c>
      <c r="EP240">
        <v>0</v>
      </c>
    </row>
    <row r="241" spans="1:146" ht="84" x14ac:dyDescent="0.25">
      <c r="C241" s="7" t="str">
        <f>""&amp;CHAR(10)&amp;Basic_Fundamental_Information_Constructure(F241)&amp;CHAR(10)&amp;Basic_Fundamental_Information_Concatenate("")</f>
        <v xml:space="preserve">
市值73.878459亿, 利润--; PE; 平均PE-176.52; 平均PEG-281.29, PB3.25; ROIC0%; ROE-29.56%; 股利率0%; 毛利72.8%; 净利-11.02%, 利润增108.4%; 过往5年营收增.63%, 利润增-460.62%
Income profile:
</v>
      </c>
      <c r="D241" s="11">
        <v>1405</v>
      </c>
      <c r="E241" t="s">
        <v>6367</v>
      </c>
      <c r="F241">
        <v>56.8</v>
      </c>
      <c r="G241">
        <v>2.3400000000000001E-2</v>
      </c>
      <c r="H241" t="s">
        <v>6440</v>
      </c>
      <c r="I241">
        <v>7387845900</v>
      </c>
      <c r="K241">
        <v>3.25</v>
      </c>
      <c r="L241" t="s">
        <v>6350</v>
      </c>
      <c r="M241" t="s">
        <v>9</v>
      </c>
      <c r="N241" t="s">
        <v>9</v>
      </c>
      <c r="O241" t="s">
        <v>9</v>
      </c>
      <c r="P241" s="5" t="s">
        <v>9</v>
      </c>
      <c r="Q241" t="s">
        <v>9</v>
      </c>
      <c r="R241">
        <v>9437078</v>
      </c>
      <c r="S241">
        <v>1.0840000000000001</v>
      </c>
      <c r="T241" t="s">
        <v>9</v>
      </c>
      <c r="U241">
        <v>130067709</v>
      </c>
      <c r="V241">
        <v>130067709</v>
      </c>
      <c r="W241" t="s">
        <v>9</v>
      </c>
      <c r="X241" t="s">
        <v>9</v>
      </c>
      <c r="Y241" t="s">
        <v>9</v>
      </c>
      <c r="Z241" t="s">
        <v>9</v>
      </c>
      <c r="AA241" t="s">
        <v>9</v>
      </c>
      <c r="AB241" t="s">
        <v>9</v>
      </c>
      <c r="AC241" t="s">
        <v>9</v>
      </c>
      <c r="AD241" t="s">
        <v>9</v>
      </c>
      <c r="AE241" t="s">
        <v>9</v>
      </c>
      <c r="AF241" t="s">
        <v>9</v>
      </c>
      <c r="AG241" t="s">
        <v>9</v>
      </c>
      <c r="AH241" t="s">
        <v>6368</v>
      </c>
      <c r="AI241" t="s">
        <v>9</v>
      </c>
      <c r="AJ241" t="s">
        <v>9</v>
      </c>
      <c r="AK241" s="5" t="s">
        <v>6369</v>
      </c>
      <c r="AL241" t="s">
        <v>9</v>
      </c>
      <c r="AM241" t="s">
        <v>9</v>
      </c>
      <c r="AN241">
        <v>0.4597</v>
      </c>
      <c r="AO241" t="s">
        <v>9</v>
      </c>
      <c r="AP241" t="s">
        <v>9</v>
      </c>
      <c r="AQ241" t="s">
        <v>9</v>
      </c>
      <c r="AR241" t="s">
        <v>9</v>
      </c>
      <c r="AS241" t="s">
        <v>9</v>
      </c>
      <c r="AT241" t="s">
        <v>9</v>
      </c>
      <c r="AU241" t="s">
        <v>9</v>
      </c>
      <c r="AV241" t="s">
        <v>9</v>
      </c>
      <c r="AW241" t="s">
        <v>9</v>
      </c>
      <c r="AX241" t="s">
        <v>9</v>
      </c>
      <c r="AY241" t="s">
        <v>9</v>
      </c>
      <c r="AZ241" t="s">
        <v>9</v>
      </c>
      <c r="BA241" t="s">
        <v>9</v>
      </c>
      <c r="BB241" t="s">
        <v>9</v>
      </c>
      <c r="BC241" t="s">
        <v>9</v>
      </c>
      <c r="BD241" t="s">
        <v>9</v>
      </c>
      <c r="BE241" t="s">
        <v>9</v>
      </c>
      <c r="BF241" t="s">
        <v>9</v>
      </c>
      <c r="BG241" t="s">
        <v>9</v>
      </c>
      <c r="BH241" t="s">
        <v>9</v>
      </c>
      <c r="BI241" t="s">
        <v>9</v>
      </c>
      <c r="BJ241" t="s">
        <v>9</v>
      </c>
      <c r="BK241" t="s">
        <v>9</v>
      </c>
      <c r="BL241" t="s">
        <v>9</v>
      </c>
      <c r="BM241" t="s">
        <v>9</v>
      </c>
      <c r="BN241" t="s">
        <v>9</v>
      </c>
      <c r="BO241" t="s">
        <v>9</v>
      </c>
      <c r="BP241" t="s">
        <v>9</v>
      </c>
      <c r="BQ241" t="s">
        <v>9</v>
      </c>
      <c r="BR241">
        <v>-29.56</v>
      </c>
      <c r="BS241" t="s">
        <v>9</v>
      </c>
      <c r="BT241" t="s">
        <v>9</v>
      </c>
      <c r="BU241" t="s">
        <v>567</v>
      </c>
      <c r="BV241" t="s">
        <v>9</v>
      </c>
      <c r="BW241">
        <v>72.8</v>
      </c>
      <c r="BX241" t="s">
        <v>9</v>
      </c>
      <c r="BY241" t="s">
        <v>9</v>
      </c>
      <c r="BZ241">
        <v>-11.02</v>
      </c>
      <c r="CA241" t="s">
        <v>9</v>
      </c>
      <c r="CB241">
        <v>5.67</v>
      </c>
      <c r="CC241" s="8">
        <v>-5.0199999999999996</v>
      </c>
      <c r="CD241" s="10" t="s">
        <v>6441</v>
      </c>
      <c r="CE241" s="8" t="s">
        <v>6442</v>
      </c>
      <c r="CF241" s="8" t="s">
        <v>9</v>
      </c>
      <c r="CG241" s="8">
        <v>1.0840000000000001</v>
      </c>
      <c r="CH241" s="8" t="s">
        <v>9</v>
      </c>
      <c r="CI241" s="8" t="s">
        <v>9</v>
      </c>
      <c r="CJ241" s="9" t="s">
        <v>9</v>
      </c>
      <c r="CK241" s="9" t="s">
        <v>9</v>
      </c>
      <c r="CL241" s="9" t="s">
        <v>9</v>
      </c>
      <c r="CM241" s="9" t="s">
        <v>9</v>
      </c>
      <c r="CN241" s="9" t="s">
        <v>9</v>
      </c>
      <c r="CO241" t="s">
        <v>9</v>
      </c>
      <c r="CP241" t="s">
        <v>9</v>
      </c>
      <c r="CQ241" t="s">
        <v>9</v>
      </c>
      <c r="CR241" s="8">
        <v>-176.51806552426098</v>
      </c>
      <c r="CS241" s="9">
        <v>-281.29277464641984</v>
      </c>
      <c r="CT241">
        <v>0</v>
      </c>
      <c r="CU241">
        <v>6.2752434983849529E-3</v>
      </c>
      <c r="CV241">
        <v>-4.6062038242816925</v>
      </c>
      <c r="CW241">
        <v>0.06</v>
      </c>
      <c r="CX241" t="e">
        <v>#DIV/0!</v>
      </c>
      <c r="CY241">
        <v>0</v>
      </c>
      <c r="CZ241">
        <v>6.2752434983849529E-3</v>
      </c>
      <c r="DA241" t="e">
        <v>#DIV/0!</v>
      </c>
      <c r="DB241">
        <v>0</v>
      </c>
      <c r="DC241">
        <v>5.961481323465705E-3</v>
      </c>
      <c r="DD241" t="e">
        <v>#DIV/0!</v>
      </c>
      <c r="DE241">
        <v>0</v>
      </c>
      <c r="DF241">
        <v>5.5222142785787583E-3</v>
      </c>
      <c r="DG241" t="e">
        <v>#DIV/0!</v>
      </c>
      <c r="DH241">
        <v>0</v>
      </c>
      <c r="DI241">
        <v>5.020194798707963E-3</v>
      </c>
      <c r="DJ241" t="e">
        <v>#DIV/0!</v>
      </c>
      <c r="DK241">
        <v>0</v>
      </c>
      <c r="DL241">
        <v>4.3926704488694663E-3</v>
      </c>
      <c r="DM241">
        <v>0</v>
      </c>
      <c r="DN241">
        <v>6.2752434983849529E-3</v>
      </c>
      <c r="DO241">
        <v>7387845900</v>
      </c>
      <c r="DP241" t="e">
        <v>#VALUE!</v>
      </c>
      <c r="DQ241">
        <v>247</v>
      </c>
      <c r="DR241" t="e">
        <v>#VALUE!</v>
      </c>
      <c r="DS241">
        <v>5.6902038242816921</v>
      </c>
      <c r="DT241" t="e">
        <v>#VALUE!</v>
      </c>
      <c r="DU241" t="e">
        <v>#VALUE!</v>
      </c>
      <c r="DV241" t="e">
        <v>#VALUE!</v>
      </c>
      <c r="DW241">
        <v>4.8853615520282183</v>
      </c>
      <c r="DX241">
        <v>0.39670536336197015</v>
      </c>
      <c r="DY241">
        <v>4.1475945192375807</v>
      </c>
      <c r="DZ241">
        <v>0</v>
      </c>
      <c r="EA241">
        <v>4.1475945192375807</v>
      </c>
      <c r="EB241">
        <v>4</v>
      </c>
      <c r="EC241">
        <v>5.5202017896694095E-3</v>
      </c>
      <c r="ED241">
        <v>3.3113522434688229E-2</v>
      </c>
      <c r="EE241">
        <v>0</v>
      </c>
      <c r="EF241">
        <v>0</v>
      </c>
      <c r="EG241">
        <v>23.16670536336197</v>
      </c>
      <c r="EH241" t="s">
        <v>110</v>
      </c>
      <c r="EI241">
        <v>0</v>
      </c>
      <c r="EJ241">
        <v>0</v>
      </c>
      <c r="EK241">
        <v>0</v>
      </c>
      <c r="EL241">
        <v>0</v>
      </c>
      <c r="EM241">
        <v>0</v>
      </c>
      <c r="EN241">
        <v>0</v>
      </c>
      <c r="EO241">
        <v>0</v>
      </c>
      <c r="EP241">
        <v>0</v>
      </c>
    </row>
    <row r="242" spans="1:146" ht="96" x14ac:dyDescent="0.25">
      <c r="A242" s="7"/>
      <c r="B242" s="7"/>
      <c r="C242" s="7" t="str">
        <f>""&amp;CHAR(10)&amp;Basic_Fundamental_Information_Constructure(F242)&amp;CHAR(10)&amp;Basic_Fundamental_Information_Concatenate("")</f>
        <v xml:space="preserve">
市值118.777007亿, 利润7.43亿; PE12.66; 平均PE9.16; 平均PEG.51, PB1.91; ROIC13.91%; ROE13.2933%; 股利率0%; 毛利91.4133%; 净利38.5333%; 上一年度营收增-13.97%, 利润增-15.76%, 利润增-15.73%; 过往5年营收增17.88%, 利润增49.98%
Income profile:
</v>
      </c>
      <c r="D242" s="11">
        <v>1448</v>
      </c>
      <c r="E242" t="s">
        <v>3640</v>
      </c>
      <c r="F242">
        <v>5.12</v>
      </c>
      <c r="G242" s="5">
        <v>0</v>
      </c>
      <c r="H242" t="s">
        <v>6443</v>
      </c>
      <c r="I242">
        <v>11877700700</v>
      </c>
      <c r="J242">
        <v>12.66</v>
      </c>
      <c r="K242">
        <v>1.91</v>
      </c>
      <c r="L242" t="s">
        <v>6350</v>
      </c>
      <c r="M242" t="s">
        <v>9</v>
      </c>
      <c r="N242" t="s">
        <v>9</v>
      </c>
      <c r="O242" t="s">
        <v>9</v>
      </c>
      <c r="P242" t="s">
        <v>9</v>
      </c>
      <c r="Q242" t="s">
        <v>3641</v>
      </c>
      <c r="R242">
        <v>742962150</v>
      </c>
      <c r="S242" s="5">
        <v>-0.1573</v>
      </c>
      <c r="T242" t="s">
        <v>3613</v>
      </c>
      <c r="U242">
        <v>2319863400</v>
      </c>
      <c r="V242">
        <v>2319863400</v>
      </c>
      <c r="W242" t="s">
        <v>9</v>
      </c>
      <c r="X242" t="s">
        <v>9</v>
      </c>
      <c r="Y242" t="s">
        <v>9</v>
      </c>
      <c r="Z242" t="s">
        <v>9</v>
      </c>
      <c r="AA242" t="s">
        <v>9</v>
      </c>
      <c r="AB242" t="s">
        <v>9</v>
      </c>
      <c r="AC242" t="s">
        <v>9</v>
      </c>
      <c r="AD242" t="s">
        <v>9</v>
      </c>
      <c r="AE242" t="s">
        <v>9</v>
      </c>
      <c r="AF242" t="s">
        <v>9</v>
      </c>
      <c r="AG242" t="s">
        <v>9</v>
      </c>
      <c r="AH242" t="s">
        <v>3642</v>
      </c>
      <c r="AI242" t="s">
        <v>9</v>
      </c>
      <c r="AJ242" t="s">
        <v>9</v>
      </c>
      <c r="AK242" t="s">
        <v>3643</v>
      </c>
      <c r="AL242" t="s">
        <v>9</v>
      </c>
      <c r="AM242" t="s">
        <v>9</v>
      </c>
      <c r="AN242" s="5">
        <v>0.2177</v>
      </c>
      <c r="AO242" t="s">
        <v>9</v>
      </c>
      <c r="AP242" t="s">
        <v>3644</v>
      </c>
      <c r="AQ242" t="s">
        <v>9</v>
      </c>
      <c r="AR242" t="s">
        <v>3197</v>
      </c>
      <c r="AS242" t="s">
        <v>9</v>
      </c>
      <c r="AT242" t="s">
        <v>9</v>
      </c>
      <c r="AU242" t="s">
        <v>3645</v>
      </c>
      <c r="AV242" t="s">
        <v>3342</v>
      </c>
      <c r="AW242" t="s">
        <v>9</v>
      </c>
      <c r="AX242" t="s">
        <v>3646</v>
      </c>
      <c r="AY242" t="s">
        <v>3647</v>
      </c>
      <c r="AZ242" t="s">
        <v>3648</v>
      </c>
      <c r="BA242" t="s">
        <v>696</v>
      </c>
      <c r="BB242" t="s">
        <v>3649</v>
      </c>
      <c r="BC242" t="s">
        <v>168</v>
      </c>
      <c r="BD242" t="s">
        <v>1458</v>
      </c>
      <c r="BE242" t="s">
        <v>3650</v>
      </c>
      <c r="BF242" t="s">
        <v>3651</v>
      </c>
      <c r="BG242" t="s">
        <v>3132</v>
      </c>
      <c r="BH242" t="s">
        <v>3641</v>
      </c>
      <c r="BI242" t="s">
        <v>9</v>
      </c>
      <c r="BJ242" t="s">
        <v>3646</v>
      </c>
      <c r="BK242" t="s">
        <v>3613</v>
      </c>
      <c r="BL242" t="s">
        <v>9</v>
      </c>
      <c r="BM242" t="s">
        <v>168</v>
      </c>
      <c r="BN242">
        <v>12.45</v>
      </c>
      <c r="BO242">
        <v>14.96</v>
      </c>
      <c r="BP242">
        <v>14.32</v>
      </c>
      <c r="BQ242">
        <v>12.03</v>
      </c>
      <c r="BR242">
        <v>14.28</v>
      </c>
      <c r="BS242">
        <v>13.57</v>
      </c>
      <c r="BT242" t="s">
        <v>3652</v>
      </c>
      <c r="BU242" t="s">
        <v>1974</v>
      </c>
      <c r="BV242">
        <v>92.54</v>
      </c>
      <c r="BW242">
        <v>92.37</v>
      </c>
      <c r="BX242">
        <v>89.33</v>
      </c>
      <c r="BY242">
        <v>37.33</v>
      </c>
      <c r="BZ242">
        <v>38.25</v>
      </c>
      <c r="CA242">
        <v>40.020000000000003</v>
      </c>
      <c r="CB242">
        <v>-4.83</v>
      </c>
      <c r="CC242">
        <v>1.39</v>
      </c>
      <c r="CD242" t="s">
        <v>6444</v>
      </c>
      <c r="CE242" t="s">
        <v>22</v>
      </c>
      <c r="CF242" s="8" t="s">
        <v>9</v>
      </c>
      <c r="CG242" s="9">
        <v>-0.1573</v>
      </c>
      <c r="CH242" s="8">
        <v>-0.13974723219871521</v>
      </c>
      <c r="CI242" s="8">
        <v>0.26241135597229004</v>
      </c>
      <c r="CJ242" s="8">
        <v>9.0909093618392944E-2</v>
      </c>
      <c r="CK242" s="8">
        <v>0.10000000149011612</v>
      </c>
      <c r="CL242" s="8">
        <v>6.1547111719846725E-2</v>
      </c>
      <c r="CM242" s="9">
        <v>-0.15759636461734772</v>
      </c>
      <c r="CN242" s="9">
        <v>0.19350473582744598</v>
      </c>
      <c r="CO242" s="9">
        <v>0.14219474792480469</v>
      </c>
      <c r="CP242" s="9">
        <v>0.16366906464099884</v>
      </c>
      <c r="CQ242" s="9">
        <v>0.1120000034570694</v>
      </c>
      <c r="CR242">
        <v>9.1601804884318767</v>
      </c>
      <c r="CS242">
        <v>0.51229038002336136</v>
      </c>
      <c r="CT242">
        <v>0</v>
      </c>
      <c r="CU242" s="8">
        <v>0.1788083642721176</v>
      </c>
      <c r="CV242" s="9">
        <v>0.49982749223709105</v>
      </c>
      <c r="CW242">
        <v>0.06</v>
      </c>
      <c r="CX242">
        <v>14.374945945761894</v>
      </c>
      <c r="CY242">
        <v>826277938.35300326</v>
      </c>
      <c r="CZ242">
        <v>0.1788083642721176</v>
      </c>
      <c r="DA242">
        <v>4.3606724984847904</v>
      </c>
      <c r="DB242">
        <v>2723823149.7841587</v>
      </c>
      <c r="DC242">
        <v>0.16986794605851172</v>
      </c>
      <c r="DD242">
        <v>1.9371199861281378</v>
      </c>
      <c r="DE242">
        <v>6131628802.0654936</v>
      </c>
      <c r="DF242">
        <v>0.1573513605594635</v>
      </c>
      <c r="DG242">
        <v>1.0314066723561428</v>
      </c>
      <c r="DH242">
        <v>11516020807.647686</v>
      </c>
      <c r="DI242">
        <v>0.14304669141769408</v>
      </c>
      <c r="DJ242">
        <v>0.40294919796406103</v>
      </c>
      <c r="DK242">
        <v>29476918579.347488</v>
      </c>
      <c r="DL242">
        <v>0.12516585499048233</v>
      </c>
      <c r="DM242">
        <v>743000000</v>
      </c>
      <c r="DN242">
        <v>0.1788083642721176</v>
      </c>
      <c r="DO242">
        <v>11877700700</v>
      </c>
      <c r="DP242" t="e">
        <v>#VALUE!</v>
      </c>
      <c r="DQ242">
        <v>249</v>
      </c>
      <c r="DR242" t="e">
        <v>#VALUE!</v>
      </c>
      <c r="DS242">
        <v>-0.6571274922370911</v>
      </c>
      <c r="DT242" t="e">
        <v>#VALUE!</v>
      </c>
      <c r="DU242" t="e">
        <v>#VALUE!</v>
      </c>
      <c r="DV242" t="e">
        <v>#VALUE!</v>
      </c>
      <c r="DW242">
        <v>-4.2877846790890271</v>
      </c>
      <c r="DX242">
        <v>0.519919512195122</v>
      </c>
      <c r="DY242">
        <v>-4.0489002322880374</v>
      </c>
      <c r="DZ242">
        <v>0</v>
      </c>
      <c r="EA242">
        <v>-4.0489002322880374</v>
      </c>
      <c r="EB242">
        <v>4</v>
      </c>
      <c r="EC242">
        <v>9.0091942482475491E-3</v>
      </c>
      <c r="ED242">
        <v>5.3020363181728716E-2</v>
      </c>
      <c r="EE242">
        <v>0</v>
      </c>
      <c r="EF242">
        <v>0</v>
      </c>
      <c r="EG242">
        <v>35.169919512195122</v>
      </c>
      <c r="EH242" t="s">
        <v>110</v>
      </c>
      <c r="EI242">
        <v>0</v>
      </c>
      <c r="EJ242">
        <v>0</v>
      </c>
      <c r="EK242">
        <v>0</v>
      </c>
      <c r="EL242">
        <v>0</v>
      </c>
      <c r="EM242">
        <v>0</v>
      </c>
      <c r="EN242">
        <v>0</v>
      </c>
      <c r="EO242">
        <v>0</v>
      </c>
      <c r="EP242">
        <v>0</v>
      </c>
    </row>
    <row r="243" spans="1:146" ht="96" x14ac:dyDescent="0.25">
      <c r="A243" s="7"/>
      <c r="B243" s="7"/>
      <c r="C243" s="7" t="str">
        <f>""&amp;CHAR(10)&amp;Basic_Fundamental_Information_Constructure(F243)&amp;CHAR(10)&amp;Basic_Fundamental_Information_Concatenate("")</f>
        <v xml:space="preserve">
市值81.838245亿, 利润7.36亿; PE31.12; 平均PE9.78; 平均PEG1.66, PB.424; ROIC0%; ROE4.5933%; 股利率0%; 毛利0%; 净利18.43%; 上一年度营收增9.57%, 利润增-32.35%; 当季营收增-34.62%, 利润增-199.6%; 过往5年营收增-5.9%, 利润增-25.26%
Income profile:
</v>
      </c>
      <c r="D243" s="11">
        <v>1456</v>
      </c>
      <c r="E243" t="s">
        <v>3653</v>
      </c>
      <c r="F243">
        <v>2.89</v>
      </c>
      <c r="G243" s="5">
        <v>-2.0299999999999999E-2</v>
      </c>
      <c r="H243" t="s">
        <v>9535</v>
      </c>
      <c r="I243">
        <v>8183824500</v>
      </c>
      <c r="J243">
        <v>31.12</v>
      </c>
      <c r="K243">
        <v>0.42399999999999999</v>
      </c>
      <c r="L243" t="s">
        <v>6350</v>
      </c>
      <c r="M243" t="s">
        <v>9536</v>
      </c>
      <c r="N243" t="s">
        <v>9537</v>
      </c>
      <c r="O243" t="s">
        <v>1156</v>
      </c>
      <c r="P243">
        <v>4.53</v>
      </c>
      <c r="Q243" t="s">
        <v>9538</v>
      </c>
      <c r="R243">
        <v>735899890</v>
      </c>
      <c r="S243" s="5">
        <v>-1.996</v>
      </c>
      <c r="T243" t="s">
        <v>9539</v>
      </c>
      <c r="U243">
        <v>442640000</v>
      </c>
      <c r="V243">
        <v>2831773200</v>
      </c>
      <c r="W243">
        <v>5.21</v>
      </c>
      <c r="X243">
        <v>0</v>
      </c>
      <c r="Y243">
        <v>-95.23</v>
      </c>
      <c r="Z243" t="s">
        <v>9</v>
      </c>
      <c r="AA243" t="s">
        <v>9</v>
      </c>
      <c r="AB243" t="s">
        <v>9</v>
      </c>
      <c r="AC243" t="s">
        <v>8631</v>
      </c>
      <c r="AD243" t="s">
        <v>9540</v>
      </c>
      <c r="AE243" t="s">
        <v>9541</v>
      </c>
      <c r="AF243" t="s">
        <v>9542</v>
      </c>
      <c r="AG243" t="s">
        <v>9543</v>
      </c>
      <c r="AH243" t="s">
        <v>9544</v>
      </c>
      <c r="AI243" t="s">
        <v>9545</v>
      </c>
      <c r="AJ243" t="s">
        <v>9</v>
      </c>
      <c r="AK243" t="s">
        <v>9546</v>
      </c>
      <c r="AL243" t="s">
        <v>9</v>
      </c>
      <c r="AM243" t="s">
        <v>18</v>
      </c>
      <c r="AN243" s="5">
        <v>0.80410000000000004</v>
      </c>
      <c r="AO243" t="s">
        <v>9</v>
      </c>
      <c r="AP243" t="s">
        <v>2904</v>
      </c>
      <c r="AQ243" t="s">
        <v>9</v>
      </c>
      <c r="AR243" t="s">
        <v>9547</v>
      </c>
      <c r="AS243" t="s">
        <v>9548</v>
      </c>
      <c r="AT243" t="s">
        <v>9549</v>
      </c>
      <c r="AU243" t="s">
        <v>2105</v>
      </c>
      <c r="AV243" t="s">
        <v>9550</v>
      </c>
      <c r="AW243" t="s">
        <v>9551</v>
      </c>
      <c r="AX243" t="s">
        <v>3654</v>
      </c>
      <c r="AY243" t="s">
        <v>3657</v>
      </c>
      <c r="AZ243" t="s">
        <v>3343</v>
      </c>
      <c r="BA243" t="s">
        <v>3658</v>
      </c>
      <c r="BB243" t="s">
        <v>3659</v>
      </c>
      <c r="BC243" t="s">
        <v>3660</v>
      </c>
      <c r="BD243" t="s">
        <v>135</v>
      </c>
      <c r="BE243" t="s">
        <v>1287</v>
      </c>
      <c r="BF243" t="s">
        <v>3661</v>
      </c>
      <c r="BG243" t="s">
        <v>3662</v>
      </c>
      <c r="BH243" t="s">
        <v>3654</v>
      </c>
      <c r="BI243" t="s">
        <v>3663</v>
      </c>
      <c r="BJ243" t="s">
        <v>3657</v>
      </c>
      <c r="BK243" t="s">
        <v>1851</v>
      </c>
      <c r="BL243" t="s">
        <v>3664</v>
      </c>
      <c r="BM243" t="s">
        <v>3660</v>
      </c>
      <c r="BN243" t="s">
        <v>9</v>
      </c>
      <c r="BO243" t="s">
        <v>9</v>
      </c>
      <c r="BP243" t="s">
        <v>9</v>
      </c>
      <c r="BQ243">
        <v>3.78</v>
      </c>
      <c r="BR243">
        <v>4.58</v>
      </c>
      <c r="BS243">
        <v>5.42</v>
      </c>
      <c r="BT243" t="s">
        <v>3665</v>
      </c>
      <c r="BU243" t="s">
        <v>826</v>
      </c>
      <c r="BV243" t="s">
        <v>9</v>
      </c>
      <c r="BW243" t="s">
        <v>9</v>
      </c>
      <c r="BX243" t="s">
        <v>9</v>
      </c>
      <c r="BY243">
        <v>15.02</v>
      </c>
      <c r="BZ243">
        <v>19.27</v>
      </c>
      <c r="CA243">
        <v>21</v>
      </c>
      <c r="CB243">
        <v>-3.15</v>
      </c>
      <c r="CC243">
        <v>-31.9</v>
      </c>
      <c r="CD243" t="s">
        <v>9552</v>
      </c>
      <c r="CE243" t="s">
        <v>3167</v>
      </c>
      <c r="CF243" s="8">
        <v>-0.34615384615384615</v>
      </c>
      <c r="CG243" s="9">
        <v>-1.996</v>
      </c>
      <c r="CH243" s="8">
        <v>9.5725640654563904E-2</v>
      </c>
      <c r="CI243" s="8">
        <v>-0.13298588991165161</v>
      </c>
      <c r="CJ243" s="8">
        <v>0.61452174186706543</v>
      </c>
      <c r="CK243" s="8">
        <v>0.85706013441085815</v>
      </c>
      <c r="CL243" s="8">
        <v>-0.19590504467487335</v>
      </c>
      <c r="CM243" s="9">
        <v>-0.32352942228317261</v>
      </c>
      <c r="CN243" s="9">
        <v>0.55206847190856934</v>
      </c>
      <c r="CO243" s="9">
        <v>0.20240136981010437</v>
      </c>
      <c r="CP243" s="9">
        <v>9.1216154098510742</v>
      </c>
      <c r="CQ243" s="9">
        <v>-0.86697578430175781</v>
      </c>
      <c r="CR243">
        <v>9.775621540911807</v>
      </c>
      <c r="CS243">
        <v>1.6559911123515563</v>
      </c>
      <c r="CT243">
        <v>0</v>
      </c>
      <c r="CU243" s="8">
        <v>-5.903184786438942E-2</v>
      </c>
      <c r="CV243" s="9">
        <v>-0.25256115198135376</v>
      </c>
      <c r="CW243">
        <v>0.06</v>
      </c>
      <c r="CX243">
        <v>94.209000679347824</v>
      </c>
      <c r="CY243" t="s">
        <v>9553</v>
      </c>
      <c r="CZ243">
        <v>-5.903184786438942E-2</v>
      </c>
      <c r="DA243">
        <v>31.403000226449276</v>
      </c>
      <c r="DB243" t="s">
        <v>9554</v>
      </c>
      <c r="DC243">
        <v>-5.6080255471169946E-2</v>
      </c>
      <c r="DD243">
        <v>15.701500113224638</v>
      </c>
      <c r="DE243" t="s">
        <v>9555</v>
      </c>
      <c r="DF243">
        <v>-5.1948026120662689E-2</v>
      </c>
      <c r="DG243">
        <v>9.4209000679347827</v>
      </c>
      <c r="DH243" t="s">
        <v>9556</v>
      </c>
      <c r="DI243">
        <v>-4.7225478291511538E-2</v>
      </c>
      <c r="DJ243">
        <v>4.7104500339673914</v>
      </c>
      <c r="DK243" t="s">
        <v>9557</v>
      </c>
      <c r="DL243">
        <v>-4.1322293505072591E-2</v>
      </c>
      <c r="DM243">
        <v>736000000</v>
      </c>
      <c r="DN243">
        <v>-5.903184786438942E-2</v>
      </c>
      <c r="DO243">
        <v>69337824500</v>
      </c>
      <c r="DP243" t="e">
        <v>#VALUE!</v>
      </c>
      <c r="DQ243">
        <v>242</v>
      </c>
      <c r="DR243">
        <v>-0.28712199828945673</v>
      </c>
      <c r="DS243">
        <v>-1.7434388480186462</v>
      </c>
      <c r="DT243">
        <v>-0.62333333333333341</v>
      </c>
      <c r="DU243">
        <v>0.24999999999999997</v>
      </c>
      <c r="DV243">
        <v>-0.37333333333333341</v>
      </c>
      <c r="DW243">
        <v>-8.0987460815047019</v>
      </c>
      <c r="DX243">
        <v>0.42005522388060001</v>
      </c>
      <c r="DY243">
        <v>-8.0039552964020029</v>
      </c>
      <c r="DZ243">
        <v>0</v>
      </c>
      <c r="EA243">
        <v>-8.0039552964020029</v>
      </c>
      <c r="EB243">
        <v>8</v>
      </c>
      <c r="EC243">
        <v>3.7908403116464272E-3</v>
      </c>
      <c r="ED243">
        <v>9.4640347609759159E-2</v>
      </c>
      <c r="EE243">
        <v>0</v>
      </c>
      <c r="EF243">
        <v>0</v>
      </c>
      <c r="EG243">
        <v>38.0400552238806</v>
      </c>
      <c r="EH243" t="s">
        <v>110</v>
      </c>
      <c r="EI243">
        <v>0</v>
      </c>
      <c r="EJ243">
        <v>0</v>
      </c>
      <c r="EK243">
        <v>0</v>
      </c>
      <c r="EL243">
        <v>0</v>
      </c>
      <c r="EM243">
        <v>0</v>
      </c>
      <c r="EN243">
        <v>0</v>
      </c>
      <c r="EO243">
        <v>0</v>
      </c>
      <c r="EP243">
        <v>0</v>
      </c>
    </row>
    <row r="244" spans="1:146" ht="96" x14ac:dyDescent="0.25">
      <c r="A244" s="7"/>
      <c r="B244" s="7"/>
      <c r="C244" s="7" t="str">
        <f>""&amp;CHAR(10)&amp;Basic_Fundamental_Information_Constructure(F244)&amp;CHAR(10)&amp;Basic_Fundamental_Information_Concatenate("")</f>
        <v xml:space="preserve">
市值40.731591亿, 利润1.27亿; PE32.15; 平均PE5.28; 平均PEG2.89, PB.944; ROIC3.0867%; ROE3.8967%; 股利率0%; 毛利55.0767%; 净利5.74%; 上一年度营收增13.77%, 利润增-69.69%, 利润增344.2%; 过往5年营收增1.83%, 利润增13.96%
Income profile:
</v>
      </c>
      <c r="D244" s="11">
        <v>1458</v>
      </c>
      <c r="E244" t="s">
        <v>3666</v>
      </c>
      <c r="F244">
        <v>1.75</v>
      </c>
      <c r="G244" s="5">
        <v>-1.6899999999999998E-2</v>
      </c>
      <c r="H244" t="s">
        <v>9558</v>
      </c>
      <c r="I244">
        <v>4073159100</v>
      </c>
      <c r="J244">
        <v>32.15</v>
      </c>
      <c r="K244">
        <v>0.94399999999999995</v>
      </c>
      <c r="L244" t="s">
        <v>6350</v>
      </c>
      <c r="M244" t="s">
        <v>9</v>
      </c>
      <c r="N244" t="s">
        <v>9</v>
      </c>
      <c r="O244" t="s">
        <v>9</v>
      </c>
      <c r="P244" t="s">
        <v>9</v>
      </c>
      <c r="Q244" t="s">
        <v>4540</v>
      </c>
      <c r="R244">
        <v>126694411</v>
      </c>
      <c r="S244" s="5">
        <v>3.4420000000000002</v>
      </c>
      <c r="T244" t="s">
        <v>80</v>
      </c>
      <c r="U244">
        <v>2383140500</v>
      </c>
      <c r="V244">
        <v>2383140500</v>
      </c>
      <c r="W244" t="s">
        <v>9</v>
      </c>
      <c r="X244" t="s">
        <v>9</v>
      </c>
      <c r="Y244" t="s">
        <v>9</v>
      </c>
      <c r="Z244" t="s">
        <v>9</v>
      </c>
      <c r="AA244" t="s">
        <v>9</v>
      </c>
      <c r="AB244" t="s">
        <v>9</v>
      </c>
      <c r="AC244" t="s">
        <v>9</v>
      </c>
      <c r="AD244" t="s">
        <v>9</v>
      </c>
      <c r="AE244" t="s">
        <v>9</v>
      </c>
      <c r="AF244" t="s">
        <v>9</v>
      </c>
      <c r="AG244" t="s">
        <v>9</v>
      </c>
      <c r="AH244" t="s">
        <v>9559</v>
      </c>
      <c r="AI244" t="s">
        <v>9</v>
      </c>
      <c r="AJ244" t="s">
        <v>9</v>
      </c>
      <c r="AK244" t="s">
        <v>9560</v>
      </c>
      <c r="AL244" t="s">
        <v>9</v>
      </c>
      <c r="AM244" t="s">
        <v>9</v>
      </c>
      <c r="AN244" s="5">
        <v>0.19570000000000001</v>
      </c>
      <c r="AO244" t="s">
        <v>9</v>
      </c>
      <c r="AP244" t="s">
        <v>237</v>
      </c>
      <c r="AQ244" t="s">
        <v>9</v>
      </c>
      <c r="AR244" t="s">
        <v>184</v>
      </c>
      <c r="AS244" t="s">
        <v>9</v>
      </c>
      <c r="AT244" t="s">
        <v>9</v>
      </c>
      <c r="AU244" t="s">
        <v>201</v>
      </c>
      <c r="AV244" t="s">
        <v>2959</v>
      </c>
      <c r="AW244" t="s">
        <v>9</v>
      </c>
      <c r="AX244" t="s">
        <v>2285</v>
      </c>
      <c r="AY244" t="s">
        <v>3669</v>
      </c>
      <c r="AZ244" t="s">
        <v>3670</v>
      </c>
      <c r="BA244" t="s">
        <v>3481</v>
      </c>
      <c r="BB244" t="s">
        <v>3671</v>
      </c>
      <c r="BC244" t="s">
        <v>160</v>
      </c>
      <c r="BD244" t="s">
        <v>572</v>
      </c>
      <c r="BE244" t="s">
        <v>3672</v>
      </c>
      <c r="BF244" t="s">
        <v>1908</v>
      </c>
      <c r="BG244" t="s">
        <v>3673</v>
      </c>
      <c r="BH244" t="s">
        <v>2285</v>
      </c>
      <c r="BI244" t="s">
        <v>9</v>
      </c>
      <c r="BJ244" t="s">
        <v>3669</v>
      </c>
      <c r="BK244" t="s">
        <v>3667</v>
      </c>
      <c r="BL244" t="s">
        <v>9</v>
      </c>
      <c r="BM244" t="s">
        <v>160</v>
      </c>
      <c r="BN244">
        <v>2.68</v>
      </c>
      <c r="BO244">
        <v>0.5</v>
      </c>
      <c r="BP244">
        <v>6.08</v>
      </c>
      <c r="BQ244">
        <v>2.94</v>
      </c>
      <c r="BR244">
        <v>0.62</v>
      </c>
      <c r="BS244">
        <v>8.1300000000000008</v>
      </c>
      <c r="BT244" t="s">
        <v>970</v>
      </c>
      <c r="BU244" t="s">
        <v>759</v>
      </c>
      <c r="BV244">
        <v>52.42</v>
      </c>
      <c r="BW244">
        <v>55.03</v>
      </c>
      <c r="BX244">
        <v>57.78</v>
      </c>
      <c r="BY244">
        <v>4.21</v>
      </c>
      <c r="BZ244">
        <v>1.08</v>
      </c>
      <c r="CA244">
        <v>11.93</v>
      </c>
      <c r="CB244">
        <v>0</v>
      </c>
      <c r="CC244">
        <v>-9.33</v>
      </c>
      <c r="CD244" t="s">
        <v>9561</v>
      </c>
      <c r="CE244" t="s">
        <v>22</v>
      </c>
      <c r="CF244" s="8" t="s">
        <v>9</v>
      </c>
      <c r="CG244" s="9">
        <v>3.4420000000000002</v>
      </c>
      <c r="CH244" s="8">
        <v>0.13767020404338837</v>
      </c>
      <c r="CI244" s="8">
        <v>-0.24758107960224152</v>
      </c>
      <c r="CJ244" s="8">
        <v>0.35153841972351074</v>
      </c>
      <c r="CK244" s="8">
        <v>-0.28903472423553467</v>
      </c>
      <c r="CL244" s="8">
        <v>-6.1104010790586472E-2</v>
      </c>
      <c r="CM244" s="9">
        <v>-0.69689738750457764</v>
      </c>
      <c r="CN244" s="9">
        <v>1.3277777433395386</v>
      </c>
      <c r="CO244" s="9">
        <v>-0.60439562797546387</v>
      </c>
      <c r="CP244" s="9">
        <v>-0.2601625919342041</v>
      </c>
      <c r="CQ244" s="9">
        <v>-0.32639649510383606</v>
      </c>
      <c r="CR244">
        <v>5.2761128238341968</v>
      </c>
      <c r="CS244">
        <v>2.8890287082527655</v>
      </c>
      <c r="CT244">
        <v>0</v>
      </c>
      <c r="CU244" s="8">
        <v>1.8262583576142789E-2</v>
      </c>
      <c r="CV244" s="9">
        <v>0.13955882638692857</v>
      </c>
      <c r="CW244">
        <v>0.06</v>
      </c>
      <c r="CX244">
        <v>33.386718298241298</v>
      </c>
      <c r="CY244">
        <v>121999385.01336804</v>
      </c>
      <c r="CZ244">
        <v>1.8262583576142789E-2</v>
      </c>
      <c r="DA244">
        <v>11.599350985772817</v>
      </c>
      <c r="DB244">
        <v>351154052.06687278</v>
      </c>
      <c r="DC244">
        <v>1.7349454397335647E-2</v>
      </c>
      <c r="DD244">
        <v>6.1827066101928105</v>
      </c>
      <c r="DE244">
        <v>658798703.67534339</v>
      </c>
      <c r="DF244">
        <v>1.6071073547005654E-2</v>
      </c>
      <c r="DG244">
        <v>4.0479836824663389</v>
      </c>
      <c r="DH244">
        <v>1006219248.768889</v>
      </c>
      <c r="DI244">
        <v>1.4610066860914232E-2</v>
      </c>
      <c r="DJ244">
        <v>2.5003168589322087</v>
      </c>
      <c r="DK244">
        <v>1629057167.4741628</v>
      </c>
      <c r="DL244">
        <v>1.2783808503299951E-2</v>
      </c>
      <c r="DM244">
        <v>127000000</v>
      </c>
      <c r="DN244">
        <v>1.8262583576142789E-2</v>
      </c>
      <c r="DO244">
        <v>4073159100</v>
      </c>
      <c r="DP244" t="e">
        <v>#VALUE!</v>
      </c>
      <c r="DQ244">
        <v>243</v>
      </c>
      <c r="DR244" t="e">
        <v>#VALUE!</v>
      </c>
      <c r="DS244">
        <v>3.3024411736130714</v>
      </c>
      <c r="DT244" t="e">
        <v>#VALUE!</v>
      </c>
      <c r="DU244" t="e">
        <v>#VALUE!</v>
      </c>
      <c r="DV244" t="e">
        <v>#VALUE!</v>
      </c>
      <c r="DW244">
        <v>-2.0933000000000002</v>
      </c>
      <c r="DX244">
        <v>0.38526829268292717</v>
      </c>
      <c r="DY244">
        <v>-2.0107545317073172</v>
      </c>
      <c r="DZ244">
        <v>0</v>
      </c>
      <c r="EA244">
        <v>-2.0107545317073172</v>
      </c>
      <c r="EB244">
        <v>2</v>
      </c>
      <c r="EC244">
        <v>5.9492925406622061E-3</v>
      </c>
      <c r="ED244">
        <v>5.1612567534310295E-2</v>
      </c>
      <c r="EE244">
        <v>0</v>
      </c>
      <c r="EF244">
        <v>0</v>
      </c>
      <c r="EG244">
        <v>27.115268292682927</v>
      </c>
      <c r="EH244" t="s">
        <v>110</v>
      </c>
      <c r="EI244">
        <v>0</v>
      </c>
      <c r="EJ244">
        <v>0</v>
      </c>
      <c r="EK244">
        <v>0</v>
      </c>
      <c r="EL244">
        <v>0</v>
      </c>
      <c r="EM244">
        <v>0</v>
      </c>
      <c r="EN244">
        <v>0</v>
      </c>
      <c r="EO244">
        <v>0</v>
      </c>
      <c r="EP244">
        <v>0</v>
      </c>
    </row>
    <row r="245" spans="1:146" ht="84" x14ac:dyDescent="0.25">
      <c r="C245" s="7" t="str">
        <f>""&amp;CHAR(10)&amp;Basic_Fundamental_Information_Constructure(F245)&amp;CHAR(10)&amp;Basic_Fundamental_Information_Concatenate("")</f>
        <v xml:space="preserve">
市值10.4377895亿, 利润-11.58亿; PE; 平均PE13.74; 平均PEG4.75, PB1.03; ROIC-55.6433%; ROE-164.28%; 毛利56.41%; 净利-138.0867%; 上一年度营收增160.63%, 利润增-13620.38%, 利润增2949%; 过往5年营收增-2.89%, 利润增-43.92%
Income profile:
</v>
      </c>
      <c r="D245" s="11">
        <v>1468</v>
      </c>
      <c r="E245" t="s">
        <v>6370</v>
      </c>
      <c r="F245">
        <v>0.114</v>
      </c>
      <c r="G245">
        <v>1.7899999999999999E-2</v>
      </c>
      <c r="H245" t="s">
        <v>9562</v>
      </c>
      <c r="I245">
        <v>1043778950</v>
      </c>
      <c r="K245">
        <v>1.03</v>
      </c>
      <c r="L245" t="s">
        <v>6350</v>
      </c>
      <c r="M245" t="s">
        <v>9</v>
      </c>
      <c r="N245" t="s">
        <v>9</v>
      </c>
      <c r="O245" t="s">
        <v>9</v>
      </c>
      <c r="P245" s="5" t="s">
        <v>9</v>
      </c>
      <c r="Q245" t="s">
        <v>906</v>
      </c>
      <c r="R245">
        <v>76683000</v>
      </c>
      <c r="S245">
        <v>29.49</v>
      </c>
      <c r="T245" t="s">
        <v>9563</v>
      </c>
      <c r="U245">
        <v>9155955700</v>
      </c>
      <c r="V245">
        <v>9155955700</v>
      </c>
      <c r="W245" t="s">
        <v>9</v>
      </c>
      <c r="X245" t="s">
        <v>9</v>
      </c>
      <c r="Y245" t="s">
        <v>9</v>
      </c>
      <c r="Z245" t="s">
        <v>9</v>
      </c>
      <c r="AA245" t="s">
        <v>9</v>
      </c>
      <c r="AB245" t="s">
        <v>9</v>
      </c>
      <c r="AC245" t="s">
        <v>9</v>
      </c>
      <c r="AD245" t="s">
        <v>9</v>
      </c>
      <c r="AE245" t="s">
        <v>9</v>
      </c>
      <c r="AF245" t="s">
        <v>9</v>
      </c>
      <c r="AG245" t="s">
        <v>9</v>
      </c>
      <c r="AH245" t="s">
        <v>9564</v>
      </c>
      <c r="AI245" t="s">
        <v>9</v>
      </c>
      <c r="AJ245" t="s">
        <v>9</v>
      </c>
      <c r="AK245" s="5" t="s">
        <v>9565</v>
      </c>
      <c r="AL245" t="s">
        <v>9</v>
      </c>
      <c r="AM245" t="s">
        <v>9</v>
      </c>
      <c r="AN245">
        <v>0.32240000000000002</v>
      </c>
      <c r="AO245" t="s">
        <v>9</v>
      </c>
      <c r="AP245" t="s">
        <v>3700</v>
      </c>
      <c r="AQ245" t="s">
        <v>9</v>
      </c>
      <c r="AR245" t="s">
        <v>6961</v>
      </c>
      <c r="AS245" t="s">
        <v>9</v>
      </c>
      <c r="AT245" t="s">
        <v>9</v>
      </c>
      <c r="AU245" t="s">
        <v>915</v>
      </c>
      <c r="AV245" t="s">
        <v>5927</v>
      </c>
      <c r="AW245" t="s">
        <v>9</v>
      </c>
      <c r="AX245" t="s">
        <v>80</v>
      </c>
      <c r="AY245" t="s">
        <v>254</v>
      </c>
      <c r="AZ245" t="s">
        <v>219</v>
      </c>
      <c r="BA245" t="s">
        <v>16</v>
      </c>
      <c r="BB245" t="s">
        <v>123</v>
      </c>
      <c r="BC245" t="s">
        <v>9566</v>
      </c>
      <c r="BD245" t="s">
        <v>9567</v>
      </c>
      <c r="BE245" t="s">
        <v>9568</v>
      </c>
      <c r="BF245" t="s">
        <v>9569</v>
      </c>
      <c r="BG245" t="s">
        <v>9570</v>
      </c>
      <c r="BH245" t="s">
        <v>80</v>
      </c>
      <c r="BI245" t="s">
        <v>9</v>
      </c>
      <c r="BJ245" t="s">
        <v>254</v>
      </c>
      <c r="BK245" t="s">
        <v>9571</v>
      </c>
      <c r="BL245" t="s">
        <v>9</v>
      </c>
      <c r="BM245" t="s">
        <v>9566</v>
      </c>
      <c r="BN245">
        <v>-156.91</v>
      </c>
      <c r="BO245">
        <v>-8.6300000000000008</v>
      </c>
      <c r="BP245">
        <v>-1.39</v>
      </c>
      <c r="BQ245">
        <v>-481.61</v>
      </c>
      <c r="BR245">
        <v>-9.25</v>
      </c>
      <c r="BS245">
        <v>-1.98</v>
      </c>
      <c r="BT245" t="s">
        <v>9572</v>
      </c>
      <c r="BU245" t="s">
        <v>377</v>
      </c>
      <c r="BV245">
        <v>37.03</v>
      </c>
      <c r="BW245">
        <v>67.680000000000007</v>
      </c>
      <c r="BX245">
        <v>64.52</v>
      </c>
      <c r="BY245">
        <v>-351.02</v>
      </c>
      <c r="BZ245">
        <v>-57.56</v>
      </c>
      <c r="CA245">
        <v>-5.68</v>
      </c>
      <c r="CB245">
        <v>-37.700000000000003</v>
      </c>
      <c r="CC245" s="8">
        <v>-24</v>
      </c>
      <c r="CD245" s="10" t="s">
        <v>9573</v>
      </c>
      <c r="CE245" s="8" t="s">
        <v>9574</v>
      </c>
      <c r="CF245" s="8" t="s">
        <v>9</v>
      </c>
      <c r="CG245" s="8">
        <v>29.49</v>
      </c>
      <c r="CH245" s="8">
        <v>1.6062991619110107</v>
      </c>
      <c r="CI245" s="8">
        <v>-0.14765100181102753</v>
      </c>
      <c r="CJ245" s="9">
        <v>0.19200000166893005</v>
      </c>
      <c r="CK245" s="9">
        <v>-0.375</v>
      </c>
      <c r="CL245" s="9">
        <v>0.53846156597137451</v>
      </c>
      <c r="CM245" s="9">
        <v>-136.20379638671875</v>
      </c>
      <c r="CN245" s="9">
        <v>0.87996703386306763</v>
      </c>
      <c r="CO245">
        <v>0.18031755089759827</v>
      </c>
      <c r="CP245">
        <v>-11.784202575683594</v>
      </c>
      <c r="CQ245">
        <v>0.93548077344894409</v>
      </c>
      <c r="CR245" s="8">
        <v>13.744317143104825</v>
      </c>
      <c r="CS245" s="9">
        <v>4.7497864018813551</v>
      </c>
      <c r="CT245" t="e">
        <v>#VALUE!</v>
      </c>
      <c r="CU245">
        <v>-2.8936705738306045E-2</v>
      </c>
      <c r="CV245">
        <v>-0.43917429447174072</v>
      </c>
      <c r="CW245">
        <v>0.06</v>
      </c>
      <c r="CX245" t="e">
        <v>#VALUE!</v>
      </c>
      <c r="CY245" t="s">
        <v>108</v>
      </c>
      <c r="CZ245">
        <v>-2.8936705738306045E-2</v>
      </c>
      <c r="DA245" t="e">
        <v>#VALUE!</v>
      </c>
      <c r="DB245" t="s">
        <v>108</v>
      </c>
      <c r="DC245">
        <v>-2.748987045139074E-2</v>
      </c>
      <c r="DD245" t="e">
        <v>#VALUE!</v>
      </c>
      <c r="DE245" t="s">
        <v>108</v>
      </c>
      <c r="DF245">
        <v>-2.5464301049709318E-2</v>
      </c>
      <c r="DG245" t="e">
        <v>#VALUE!</v>
      </c>
      <c r="DH245" t="s">
        <v>108</v>
      </c>
      <c r="DI245">
        <v>-2.3149364590644837E-2</v>
      </c>
      <c r="DJ245" t="e">
        <v>#VALUE!</v>
      </c>
      <c r="DK245" t="s">
        <v>108</v>
      </c>
      <c r="DL245">
        <v>-2.0255694016814232E-2</v>
      </c>
      <c r="DM245">
        <v>-1158000000</v>
      </c>
      <c r="DN245">
        <v>-2.8936705738306045E-2</v>
      </c>
      <c r="DO245">
        <v>1043778950</v>
      </c>
      <c r="DP245" t="e">
        <v>#VALUE!</v>
      </c>
      <c r="DQ245">
        <v>244</v>
      </c>
      <c r="DR245" t="e">
        <v>#VALUE!</v>
      </c>
      <c r="DS245">
        <v>29.929174294471739</v>
      </c>
      <c r="DT245" t="e">
        <v>#VALUE!</v>
      </c>
      <c r="DU245" t="e">
        <v>#VALUE!</v>
      </c>
      <c r="DV245" t="e">
        <v>#VALUE!</v>
      </c>
      <c r="DW245">
        <v>-5.636604774535809</v>
      </c>
      <c r="DX245">
        <v>0.65029133978412546</v>
      </c>
      <c r="DY245">
        <v>-5.0956761844779574</v>
      </c>
      <c r="DZ245">
        <v>0</v>
      </c>
      <c r="EA245">
        <v>-5.0956761844779574</v>
      </c>
      <c r="EB245">
        <v>5</v>
      </c>
      <c r="EC245">
        <v>1.3042876561755317</v>
      </c>
      <c r="ED245">
        <v>8.6783949817494204</v>
      </c>
      <c r="EE245">
        <v>0</v>
      </c>
      <c r="EF245">
        <v>0</v>
      </c>
      <c r="EG245">
        <v>50.150291339784125</v>
      </c>
      <c r="EH245" t="s">
        <v>110</v>
      </c>
      <c r="EI245">
        <v>0</v>
      </c>
      <c r="EJ245">
        <v>0</v>
      </c>
      <c r="EK245">
        <v>0</v>
      </c>
      <c r="EL245">
        <v>0</v>
      </c>
      <c r="EM245">
        <v>0</v>
      </c>
      <c r="EN245">
        <v>0</v>
      </c>
      <c r="EO245">
        <v>0</v>
      </c>
      <c r="EP245">
        <v>0</v>
      </c>
    </row>
    <row r="246" spans="1:146" ht="96" x14ac:dyDescent="0.25">
      <c r="A246" s="7"/>
      <c r="B246" s="7"/>
      <c r="C246" s="7" t="str">
        <f>""&amp;CHAR(10)&amp;Basic_Fundamental_Information_Constructure(F246)&amp;CHAR(10)&amp;Basic_Fundamental_Information_Concatenate("")</f>
        <v xml:space="preserve">
市值48.844761亿, 利润3.30亿; PE14.44; 平均PE-330.52; 平均PEG-26, PB1.3; ROIC8.4667%; ROE8.59%; 股利率0%; 毛利32.63%; 净利8.71%; 上一年度营收增-5.78%, 利润增8.55%, 利润增5.57%; 过往5年营收增12.71%, 利润增-487.63%
Income profile:
</v>
      </c>
      <c r="D246" s="11">
        <v>1475</v>
      </c>
      <c r="E246" t="s">
        <v>3674</v>
      </c>
      <c r="F246">
        <v>4.68</v>
      </c>
      <c r="G246" s="5">
        <v>-2.5000000000000001E-2</v>
      </c>
      <c r="H246" t="s">
        <v>9575</v>
      </c>
      <c r="I246">
        <v>4884476100</v>
      </c>
      <c r="J246">
        <v>14.44</v>
      </c>
      <c r="K246">
        <v>1.3</v>
      </c>
      <c r="L246" t="s">
        <v>6350</v>
      </c>
      <c r="M246" t="s">
        <v>9</v>
      </c>
      <c r="N246" t="s">
        <v>9</v>
      </c>
      <c r="O246" t="s">
        <v>9</v>
      </c>
      <c r="P246" t="s">
        <v>9</v>
      </c>
      <c r="Q246" t="s">
        <v>697</v>
      </c>
      <c r="R246">
        <v>330169000</v>
      </c>
      <c r="S246" s="5">
        <v>5.57E-2</v>
      </c>
      <c r="T246" t="s">
        <v>818</v>
      </c>
      <c r="U246">
        <v>1043691480</v>
      </c>
      <c r="V246">
        <v>1043691480</v>
      </c>
      <c r="W246" t="s">
        <v>9</v>
      </c>
      <c r="X246" t="s">
        <v>9</v>
      </c>
      <c r="Y246" t="s">
        <v>9</v>
      </c>
      <c r="Z246" t="s">
        <v>9</v>
      </c>
      <c r="AA246" t="s">
        <v>9</v>
      </c>
      <c r="AB246" t="s">
        <v>9</v>
      </c>
      <c r="AC246" t="s">
        <v>9</v>
      </c>
      <c r="AD246" t="s">
        <v>9576</v>
      </c>
      <c r="AE246" t="s">
        <v>9</v>
      </c>
      <c r="AF246" t="s">
        <v>9</v>
      </c>
      <c r="AG246" t="s">
        <v>9</v>
      </c>
      <c r="AH246" t="s">
        <v>9577</v>
      </c>
      <c r="AI246" t="s">
        <v>9</v>
      </c>
      <c r="AJ246" t="s">
        <v>9</v>
      </c>
      <c r="AK246" t="s">
        <v>9578</v>
      </c>
      <c r="AL246" t="s">
        <v>9</v>
      </c>
      <c r="AM246" t="s">
        <v>9</v>
      </c>
      <c r="AN246" s="5">
        <v>0.21540000000000001</v>
      </c>
      <c r="AO246" t="s">
        <v>9</v>
      </c>
      <c r="AP246" t="s">
        <v>148</v>
      </c>
      <c r="AQ246" t="s">
        <v>9</v>
      </c>
      <c r="AR246" t="s">
        <v>4753</v>
      </c>
      <c r="AS246" t="s">
        <v>9</v>
      </c>
      <c r="AT246" t="s">
        <v>9</v>
      </c>
      <c r="AU246" t="s">
        <v>227</v>
      </c>
      <c r="AV246" t="s">
        <v>8020</v>
      </c>
      <c r="AW246" t="s">
        <v>9</v>
      </c>
      <c r="AX246" t="s">
        <v>9579</v>
      </c>
      <c r="AY246" t="s">
        <v>1679</v>
      </c>
      <c r="AZ246" t="s">
        <v>3679</v>
      </c>
      <c r="BA246" t="s">
        <v>3681</v>
      </c>
      <c r="BB246" t="s">
        <v>3682</v>
      </c>
      <c r="BC246" t="s">
        <v>3683</v>
      </c>
      <c r="BD246" t="s">
        <v>2428</v>
      </c>
      <c r="BE246" t="s">
        <v>2113</v>
      </c>
      <c r="BF246" t="s">
        <v>122</v>
      </c>
      <c r="BG246" t="s">
        <v>68</v>
      </c>
      <c r="BH246" t="s">
        <v>9579</v>
      </c>
      <c r="BI246" t="s">
        <v>3684</v>
      </c>
      <c r="BJ246" t="s">
        <v>1679</v>
      </c>
      <c r="BK246" t="s">
        <v>2831</v>
      </c>
      <c r="BL246" t="s">
        <v>3685</v>
      </c>
      <c r="BM246" t="s">
        <v>3683</v>
      </c>
      <c r="BN246">
        <v>9.19</v>
      </c>
      <c r="BO246">
        <v>8.4700000000000006</v>
      </c>
      <c r="BP246">
        <v>7.74</v>
      </c>
      <c r="BQ246">
        <v>9.09</v>
      </c>
      <c r="BR246">
        <v>8.99</v>
      </c>
      <c r="BS246">
        <v>7.69</v>
      </c>
      <c r="BT246" t="s">
        <v>176</v>
      </c>
      <c r="BU246" t="s">
        <v>759</v>
      </c>
      <c r="BV246">
        <v>33.99</v>
      </c>
      <c r="BW246">
        <v>32.159999999999997</v>
      </c>
      <c r="BX246">
        <v>31.74</v>
      </c>
      <c r="BY246">
        <v>8.69</v>
      </c>
      <c r="BZ246">
        <v>8.67</v>
      </c>
      <c r="CA246">
        <v>8.77</v>
      </c>
      <c r="CB246">
        <v>-4.88</v>
      </c>
      <c r="CC246">
        <v>-10.210000000000001</v>
      </c>
      <c r="CD246" t="s">
        <v>9580</v>
      </c>
      <c r="CE246" t="s">
        <v>9581</v>
      </c>
      <c r="CF246" s="8" t="s">
        <v>9</v>
      </c>
      <c r="CG246" s="9">
        <v>5.57E-2</v>
      </c>
      <c r="CH246" s="8">
        <v>-5.7767961174249649E-2</v>
      </c>
      <c r="CI246" s="8">
        <v>5.2250422537326813E-2</v>
      </c>
      <c r="CJ246" s="8">
        <v>9.860750287771225E-2</v>
      </c>
      <c r="CK246" s="8">
        <v>0.17339113354682922</v>
      </c>
      <c r="CL246" s="8">
        <v>0.11528453975915909</v>
      </c>
      <c r="CM246" s="9">
        <v>8.5526317358016968E-2</v>
      </c>
      <c r="CN246" s="9">
        <v>6.6225165501236916E-3</v>
      </c>
      <c r="CO246" s="9">
        <v>0.2031872570514679</v>
      </c>
      <c r="CP246" s="9">
        <v>0.22439023852348328</v>
      </c>
      <c r="CQ246" s="9">
        <v>5.128205195069313E-2</v>
      </c>
      <c r="CR246">
        <v>-330.52125104039084</v>
      </c>
      <c r="CS246">
        <v>-26.001749085676039</v>
      </c>
      <c r="CT246">
        <v>0</v>
      </c>
      <c r="CU246" s="8">
        <v>0.12711500674486159</v>
      </c>
      <c r="CV246" s="9">
        <v>-4.8763001799583439</v>
      </c>
      <c r="CW246">
        <v>0.06</v>
      </c>
      <c r="CX246">
        <v>13.920078427684921</v>
      </c>
      <c r="CY246">
        <v>350894294.55264556</v>
      </c>
      <c r="CZ246">
        <v>0.12711500674486159</v>
      </c>
      <c r="DA246">
        <v>4.4087983627945873</v>
      </c>
      <c r="DB246">
        <v>1107892831.1214254</v>
      </c>
      <c r="DC246">
        <v>0.1207592564076185</v>
      </c>
      <c r="DD246">
        <v>2.0801864177464724</v>
      </c>
      <c r="DE246">
        <v>2348095371.8039837</v>
      </c>
      <c r="DF246">
        <v>0.1118612059354782</v>
      </c>
      <c r="DG246">
        <v>1.1898503538778837</v>
      </c>
      <c r="DH246">
        <v>4105117995.788991</v>
      </c>
      <c r="DI246">
        <v>0.10169200539588928</v>
      </c>
      <c r="DJ246">
        <v>0.55085116401142153</v>
      </c>
      <c r="DK246">
        <v>8867143103.4658279</v>
      </c>
      <c r="DL246">
        <v>8.8980504721403106E-2</v>
      </c>
      <c r="DM246">
        <v>330000000</v>
      </c>
      <c r="DN246">
        <v>0.12711500674486159</v>
      </c>
      <c r="DO246">
        <v>4884476100</v>
      </c>
      <c r="DP246" t="e">
        <v>#VALUE!</v>
      </c>
      <c r="DQ246">
        <v>245</v>
      </c>
      <c r="DR246" t="e">
        <v>#VALUE!</v>
      </c>
      <c r="DS246">
        <v>4.9320001799583437</v>
      </c>
      <c r="DT246" t="e">
        <v>#VALUE!</v>
      </c>
      <c r="DU246">
        <v>-0.86666666666666681</v>
      </c>
      <c r="DV246" t="e">
        <v>#VALUE!</v>
      </c>
      <c r="DW246">
        <v>-8.4779627815866796</v>
      </c>
      <c r="DX246">
        <v>0.3800178580716751</v>
      </c>
      <c r="DY246">
        <v>-8.0525844414681469</v>
      </c>
      <c r="DZ246">
        <v>0</v>
      </c>
      <c r="EA246">
        <v>-8.0525844414681469</v>
      </c>
      <c r="EB246">
        <v>8</v>
      </c>
      <c r="EC246">
        <v>2.4319447352391917E-3</v>
      </c>
      <c r="ED246">
        <v>2.2104999841524049E-2</v>
      </c>
      <c r="EE246">
        <v>0</v>
      </c>
      <c r="EF246">
        <v>0</v>
      </c>
      <c r="EG246">
        <v>27.110017858071675</v>
      </c>
      <c r="EH246" t="s">
        <v>110</v>
      </c>
      <c r="EI246">
        <v>0</v>
      </c>
      <c r="EJ246">
        <v>0</v>
      </c>
      <c r="EK246">
        <v>0</v>
      </c>
      <c r="EL246">
        <v>0</v>
      </c>
      <c r="EM246">
        <v>0</v>
      </c>
      <c r="EN246">
        <v>0</v>
      </c>
      <c r="EO246">
        <v>0</v>
      </c>
      <c r="EP246">
        <v>0</v>
      </c>
    </row>
    <row r="247" spans="1:146" ht="96" x14ac:dyDescent="0.25">
      <c r="A247" s="7"/>
      <c r="B247" s="7"/>
      <c r="C247" s="7" t="str">
        <f>""&amp;CHAR(10)&amp;Basic_Fundamental_Information_Constructure(F247)&amp;CHAR(10)&amp;Basic_Fundamental_Information_Concatenate("")</f>
        <v xml:space="preserve">
市值46.752337亿, 利润-4.16亿; PE; 平均PE270.67; 平均PEG45.15, PB1.46; ROIC-12.0467%; ROE-12.0067%; 股利率0%; 毛利63.04%; 净利-290.1733%; 上一年度营收增50.84%, 利润增-30.82%, 利润增8.34%; 过往5年营收增6%, 利润增-6.29%
Income profile:
</v>
      </c>
      <c r="D247" s="11">
        <v>1477</v>
      </c>
      <c r="E247" t="s">
        <v>3687</v>
      </c>
      <c r="F247">
        <v>6.74</v>
      </c>
      <c r="G247" s="5">
        <v>-3.0000000000000001E-3</v>
      </c>
      <c r="H247" t="s">
        <v>9582</v>
      </c>
      <c r="I247">
        <v>4675233700</v>
      </c>
      <c r="K247">
        <v>1.46</v>
      </c>
      <c r="L247" t="s">
        <v>6350</v>
      </c>
      <c r="M247" t="s">
        <v>9</v>
      </c>
      <c r="N247" t="s">
        <v>9</v>
      </c>
      <c r="O247" t="s">
        <v>9</v>
      </c>
      <c r="P247" t="s">
        <v>9</v>
      </c>
      <c r="Q247" t="s">
        <v>5774</v>
      </c>
      <c r="R247">
        <v>-416322510</v>
      </c>
      <c r="S247" s="5">
        <v>8.3400000000000002E-2</v>
      </c>
      <c r="T247" t="s">
        <v>3303</v>
      </c>
      <c r="U247">
        <v>695614850</v>
      </c>
      <c r="V247">
        <v>695614850</v>
      </c>
      <c r="W247" t="s">
        <v>9</v>
      </c>
      <c r="X247" t="s">
        <v>9</v>
      </c>
      <c r="Y247" t="s">
        <v>9</v>
      </c>
      <c r="Z247" t="s">
        <v>9</v>
      </c>
      <c r="AA247" t="s">
        <v>9</v>
      </c>
      <c r="AB247" t="s">
        <v>9</v>
      </c>
      <c r="AC247" t="s">
        <v>9</v>
      </c>
      <c r="AD247" t="s">
        <v>64</v>
      </c>
      <c r="AE247" t="s">
        <v>9</v>
      </c>
      <c r="AF247" t="s">
        <v>9</v>
      </c>
      <c r="AG247" t="s">
        <v>9</v>
      </c>
      <c r="AH247" t="s">
        <v>9583</v>
      </c>
      <c r="AI247" t="s">
        <v>9</v>
      </c>
      <c r="AJ247" t="s">
        <v>9</v>
      </c>
      <c r="AK247" t="s">
        <v>9584</v>
      </c>
      <c r="AL247" t="s">
        <v>9</v>
      </c>
      <c r="AM247" t="s">
        <v>9</v>
      </c>
      <c r="AN247" s="5">
        <v>0.10730000000000001</v>
      </c>
      <c r="AO247" t="s">
        <v>9</v>
      </c>
      <c r="AP247" t="s">
        <v>9585</v>
      </c>
      <c r="AQ247" t="s">
        <v>9</v>
      </c>
      <c r="AR247" t="s">
        <v>49</v>
      </c>
      <c r="AS247" t="s">
        <v>9</v>
      </c>
      <c r="AT247" t="s">
        <v>9</v>
      </c>
      <c r="AU247" t="s">
        <v>4160</v>
      </c>
      <c r="AV247" t="s">
        <v>7477</v>
      </c>
      <c r="AW247" t="s">
        <v>9</v>
      </c>
      <c r="AX247" t="s">
        <v>140</v>
      </c>
      <c r="AY247" t="s">
        <v>3691</v>
      </c>
      <c r="AZ247" t="s">
        <v>3692</v>
      </c>
      <c r="BA247" t="s">
        <v>9</v>
      </c>
      <c r="BB247" t="s">
        <v>9</v>
      </c>
      <c r="BC247" t="s">
        <v>3693</v>
      </c>
      <c r="BD247" t="s">
        <v>3694</v>
      </c>
      <c r="BE247" t="s">
        <v>3695</v>
      </c>
      <c r="BF247" t="s">
        <v>3696</v>
      </c>
      <c r="BG247" t="s">
        <v>9</v>
      </c>
      <c r="BH247" t="s">
        <v>140</v>
      </c>
      <c r="BI247" t="s">
        <v>9</v>
      </c>
      <c r="BJ247" t="s">
        <v>3691</v>
      </c>
      <c r="BK247" t="s">
        <v>3688</v>
      </c>
      <c r="BL247" t="s">
        <v>9</v>
      </c>
      <c r="BM247" t="s">
        <v>3693</v>
      </c>
      <c r="BN247">
        <v>-13.12</v>
      </c>
      <c r="BO247">
        <v>-13.75</v>
      </c>
      <c r="BP247">
        <v>-9.27</v>
      </c>
      <c r="BQ247">
        <v>-13.01</v>
      </c>
      <c r="BR247">
        <v>-14.65</v>
      </c>
      <c r="BS247">
        <v>-8.36</v>
      </c>
      <c r="BT247" t="s">
        <v>9</v>
      </c>
      <c r="BU247" t="s">
        <v>489</v>
      </c>
      <c r="BV247">
        <v>58.6</v>
      </c>
      <c r="BW247">
        <v>64.739999999999995</v>
      </c>
      <c r="BX247">
        <v>65.78</v>
      </c>
      <c r="BY247">
        <v>-154.16</v>
      </c>
      <c r="BZ247">
        <v>-253.3</v>
      </c>
      <c r="CA247">
        <v>-463.06</v>
      </c>
      <c r="CB247">
        <v>0</v>
      </c>
      <c r="CC247">
        <v>-3.44</v>
      </c>
      <c r="CD247" t="s">
        <v>9586</v>
      </c>
      <c r="CE247" t="s">
        <v>9587</v>
      </c>
      <c r="CF247" s="8" t="s">
        <v>9</v>
      </c>
      <c r="CG247" s="9">
        <v>8.3400000000000002E-2</v>
      </c>
      <c r="CH247" s="8">
        <v>0.50837987661361694</v>
      </c>
      <c r="CI247" s="8">
        <v>1.603606104850769</v>
      </c>
      <c r="CJ247" s="8">
        <v>3.4045331478118896</v>
      </c>
      <c r="CK247" s="8" t="s">
        <v>9</v>
      </c>
      <c r="CL247" s="8" t="s">
        <v>9</v>
      </c>
      <c r="CM247" s="9">
        <v>-0.30817610025405884</v>
      </c>
      <c r="CN247" s="9">
        <v>0.8821786642074585</v>
      </c>
      <c r="CO247" s="9">
        <v>-0.8398091197013855</v>
      </c>
      <c r="CP247" s="9">
        <v>-5.216102123260498</v>
      </c>
      <c r="CQ247" s="9" t="s">
        <v>9</v>
      </c>
      <c r="CR247">
        <v>270.66558405844927</v>
      </c>
      <c r="CS247">
        <v>45.146271972780298</v>
      </c>
      <c r="CT247">
        <v>0</v>
      </c>
      <c r="CU247" s="8">
        <v>5.9953030943870542E-2</v>
      </c>
      <c r="CV247" s="9">
        <v>-6.2915149331092837E-2</v>
      </c>
      <c r="CW247">
        <v>0.06</v>
      </c>
      <c r="CX247" t="e">
        <v>#VALUE!</v>
      </c>
      <c r="CY247" t="s">
        <v>109</v>
      </c>
      <c r="CZ247">
        <v>5.9953030943870542E-2</v>
      </c>
      <c r="DA247" t="e">
        <v>#VALUE!</v>
      </c>
      <c r="DB247" t="s">
        <v>108</v>
      </c>
      <c r="DC247">
        <v>5.6955379396677011E-2</v>
      </c>
      <c r="DD247" t="e">
        <v>#VALUE!</v>
      </c>
      <c r="DE247" t="s">
        <v>108</v>
      </c>
      <c r="DF247">
        <v>5.2758667230606078E-2</v>
      </c>
      <c r="DG247" t="e">
        <v>#VALUE!</v>
      </c>
      <c r="DH247" t="s">
        <v>108</v>
      </c>
      <c r="DI247">
        <v>4.7962424755096433E-2</v>
      </c>
      <c r="DJ247" t="e">
        <v>#VALUE!</v>
      </c>
      <c r="DK247" t="s">
        <v>108</v>
      </c>
      <c r="DL247">
        <v>4.1967121660709379E-2</v>
      </c>
      <c r="DM247">
        <v>-416000000</v>
      </c>
      <c r="DN247">
        <v>5.9953030943870542E-2</v>
      </c>
      <c r="DO247">
        <v>4675233700</v>
      </c>
      <c r="DP247" t="e">
        <v>#VALUE!</v>
      </c>
      <c r="DQ247">
        <v>246</v>
      </c>
      <c r="DR247" t="e">
        <v>#VALUE!</v>
      </c>
      <c r="DS247">
        <v>0.14631514933109285</v>
      </c>
      <c r="DT247" t="e">
        <v>#VALUE!</v>
      </c>
      <c r="DU247" t="e">
        <v>#VALUE!</v>
      </c>
      <c r="DV247" t="e">
        <v>#VALUE!</v>
      </c>
      <c r="DW247">
        <v>-1.0344</v>
      </c>
      <c r="DX247">
        <v>0.18529032446677424</v>
      </c>
      <c r="DY247">
        <v>-1.0039659871616571</v>
      </c>
      <c r="DZ247">
        <v>0</v>
      </c>
      <c r="EA247">
        <v>-1.0039659871616571</v>
      </c>
      <c r="EB247">
        <v>1</v>
      </c>
      <c r="EC247">
        <v>3.9684316687603784E-3</v>
      </c>
      <c r="ED247">
        <v>3.4421203055110164E-2</v>
      </c>
      <c r="EE247">
        <v>0</v>
      </c>
      <c r="EF247">
        <v>0</v>
      </c>
      <c r="EG247">
        <v>7.1152903244667742</v>
      </c>
      <c r="EH247" t="s">
        <v>110</v>
      </c>
      <c r="EI247">
        <v>0</v>
      </c>
      <c r="EJ247">
        <v>0</v>
      </c>
      <c r="EK247">
        <v>0</v>
      </c>
      <c r="EL247">
        <v>0</v>
      </c>
      <c r="EM247">
        <v>0</v>
      </c>
      <c r="EN247">
        <v>0</v>
      </c>
      <c r="EO247">
        <v>0</v>
      </c>
      <c r="EP247">
        <v>0</v>
      </c>
    </row>
    <row r="248" spans="1:146" ht="96" x14ac:dyDescent="0.25">
      <c r="A248" s="7"/>
      <c r="B248" s="7"/>
      <c r="C248" s="7" t="str">
        <f>""&amp;CHAR(10)&amp;Basic_Fundamental_Information_Constructure(F248)&amp;CHAR(10)&amp;Basic_Fundamental_Information_Concatenate("")</f>
        <v xml:space="preserve">
市值48.447624亿, 利润8979.74万; PE53.95; 平均PE3.51; 平均PEG.35, PB.915; ROIC6.14%; ROE7.8833%; 股利率0%; 毛利5.81%; 净利2.1767%; 上一年度营收增-11.51%, 利润增-91.5%, 利润增-53.49%; 过往5年营收增10.05%, 利润增18.31%
Income profile:
</v>
      </c>
      <c r="D248" s="11">
        <v>1478</v>
      </c>
      <c r="E248" t="s">
        <v>3698</v>
      </c>
      <c r="F248">
        <v>4.09</v>
      </c>
      <c r="G248" s="5">
        <v>-1.4500000000000001E-2</v>
      </c>
      <c r="H248" t="s">
        <v>9588</v>
      </c>
      <c r="I248">
        <v>4844762400</v>
      </c>
      <c r="J248">
        <v>53.95</v>
      </c>
      <c r="K248">
        <v>0.91500000000000004</v>
      </c>
      <c r="L248" t="s">
        <v>6350</v>
      </c>
      <c r="M248" t="s">
        <v>9</v>
      </c>
      <c r="N248" t="s">
        <v>9</v>
      </c>
      <c r="O248" t="s">
        <v>9</v>
      </c>
      <c r="P248" t="s">
        <v>9</v>
      </c>
      <c r="Q248" t="s">
        <v>9589</v>
      </c>
      <c r="R248">
        <v>89797415</v>
      </c>
      <c r="S248" s="5">
        <v>-0.53490000000000004</v>
      </c>
      <c r="T248" t="s">
        <v>9590</v>
      </c>
      <c r="U248">
        <v>1184538480</v>
      </c>
      <c r="V248">
        <v>1184538480</v>
      </c>
      <c r="W248" t="s">
        <v>9</v>
      </c>
      <c r="X248" t="s">
        <v>9</v>
      </c>
      <c r="Y248" t="s">
        <v>9</v>
      </c>
      <c r="Z248" t="s">
        <v>9</v>
      </c>
      <c r="AA248" t="s">
        <v>9</v>
      </c>
      <c r="AB248" t="s">
        <v>9</v>
      </c>
      <c r="AC248" t="s">
        <v>9</v>
      </c>
      <c r="AD248" t="s">
        <v>4546</v>
      </c>
      <c r="AE248" t="s">
        <v>9</v>
      </c>
      <c r="AF248" t="s">
        <v>9</v>
      </c>
      <c r="AG248" t="s">
        <v>9</v>
      </c>
      <c r="AH248" t="s">
        <v>9591</v>
      </c>
      <c r="AI248" t="s">
        <v>9</v>
      </c>
      <c r="AJ248" t="s">
        <v>9</v>
      </c>
      <c r="AK248" t="s">
        <v>9592</v>
      </c>
      <c r="AL248" t="s">
        <v>9</v>
      </c>
      <c r="AM248" t="s">
        <v>9</v>
      </c>
      <c r="AN248" s="5">
        <v>0.67659999999999998</v>
      </c>
      <c r="AO248" t="s">
        <v>9</v>
      </c>
      <c r="AP248" t="s">
        <v>9593</v>
      </c>
      <c r="AQ248" t="s">
        <v>9</v>
      </c>
      <c r="AR248" t="s">
        <v>9594</v>
      </c>
      <c r="AS248" t="s">
        <v>9</v>
      </c>
      <c r="AT248" t="s">
        <v>9</v>
      </c>
      <c r="AU248" t="s">
        <v>2571</v>
      </c>
      <c r="AV248" t="s">
        <v>3798</v>
      </c>
      <c r="AW248" t="s">
        <v>9</v>
      </c>
      <c r="AX248" t="s">
        <v>3699</v>
      </c>
      <c r="AY248" t="s">
        <v>3701</v>
      </c>
      <c r="AZ248" t="s">
        <v>3702</v>
      </c>
      <c r="BA248" t="s">
        <v>3703</v>
      </c>
      <c r="BB248" t="s">
        <v>3704</v>
      </c>
      <c r="BC248" t="s">
        <v>1501</v>
      </c>
      <c r="BD248" t="s">
        <v>3705</v>
      </c>
      <c r="BE248" t="s">
        <v>3108</v>
      </c>
      <c r="BF248" t="s">
        <v>3706</v>
      </c>
      <c r="BG248" t="s">
        <v>950</v>
      </c>
      <c r="BH248" t="s">
        <v>3699</v>
      </c>
      <c r="BI248" t="s">
        <v>9</v>
      </c>
      <c r="BJ248" t="s">
        <v>3701</v>
      </c>
      <c r="BK248" t="s">
        <v>3700</v>
      </c>
      <c r="BL248" t="s">
        <v>9</v>
      </c>
      <c r="BM248" t="s">
        <v>1501</v>
      </c>
      <c r="BN248">
        <v>0.98</v>
      </c>
      <c r="BO248">
        <v>2.4700000000000002</v>
      </c>
      <c r="BP248">
        <v>14.97</v>
      </c>
      <c r="BQ248">
        <v>1.7</v>
      </c>
      <c r="BR248">
        <v>3.59</v>
      </c>
      <c r="BS248">
        <v>18.36</v>
      </c>
      <c r="BT248" t="s">
        <v>3707</v>
      </c>
      <c r="BU248" t="s">
        <v>589</v>
      </c>
      <c r="BV248">
        <v>4.0599999999999996</v>
      </c>
      <c r="BW248">
        <v>3.93</v>
      </c>
      <c r="BX248">
        <v>9.44</v>
      </c>
      <c r="BY248">
        <v>0.67</v>
      </c>
      <c r="BZ248">
        <v>1.24</v>
      </c>
      <c r="CA248">
        <v>4.62</v>
      </c>
      <c r="CB248">
        <v>-6.19</v>
      </c>
      <c r="CC248">
        <v>7.35</v>
      </c>
      <c r="CD248" t="s">
        <v>9595</v>
      </c>
      <c r="CE248" t="s">
        <v>23</v>
      </c>
      <c r="CF248" s="8" t="s">
        <v>9</v>
      </c>
      <c r="CG248" s="9">
        <v>-0.53490000000000004</v>
      </c>
      <c r="CH248" s="8">
        <v>-0.11506245285272598</v>
      </c>
      <c r="CI248" s="8">
        <v>-0.32075965404510498</v>
      </c>
      <c r="CJ248" s="8">
        <v>0.10188530385494232</v>
      </c>
      <c r="CK248" s="8">
        <v>1.2389075756072998</v>
      </c>
      <c r="CL248" s="8">
        <v>-2.6791403070092201E-2</v>
      </c>
      <c r="CM248" s="9">
        <v>-0.91504508256912231</v>
      </c>
      <c r="CN248" s="9">
        <v>5.5944055318832397E-2</v>
      </c>
      <c r="CO248" s="9">
        <v>0.65181517601013184</v>
      </c>
      <c r="CP248" s="9">
        <v>35.963165283203125</v>
      </c>
      <c r="CQ248" s="9">
        <v>-0.96865260601043701</v>
      </c>
      <c r="CR248">
        <v>3.507394425447707</v>
      </c>
      <c r="CS248">
        <v>0.34912286861211511</v>
      </c>
      <c r="CT248">
        <v>0</v>
      </c>
      <c r="CU248" s="8">
        <v>0.10046303868293763</v>
      </c>
      <c r="CV248" s="9">
        <v>0.18305424451828003</v>
      </c>
      <c r="CW248">
        <v>0.06</v>
      </c>
      <c r="CX248">
        <v>51.968373615429769</v>
      </c>
      <c r="CY248">
        <v>93225207.235686064</v>
      </c>
      <c r="CZ248">
        <v>0.10046303868293763</v>
      </c>
      <c r="DA248">
        <v>16.833155607271838</v>
      </c>
      <c r="DB248">
        <v>287810706.02751911</v>
      </c>
      <c r="DC248">
        <v>9.5439886748790739E-2</v>
      </c>
      <c r="DD248">
        <v>8.1886971747239929</v>
      </c>
      <c r="DE248">
        <v>591640195.8243494</v>
      </c>
      <c r="DF248">
        <v>8.8407474040985118E-2</v>
      </c>
      <c r="DG248">
        <v>4.851681447691031</v>
      </c>
      <c r="DH248">
        <v>998573886.64824152</v>
      </c>
      <c r="DI248">
        <v>8.0370430946350102E-2</v>
      </c>
      <c r="DJ248">
        <v>2.4327719647459678</v>
      </c>
      <c r="DK248">
        <v>1991457674.7047865</v>
      </c>
      <c r="DL248">
        <v>7.0324127078056339E-2</v>
      </c>
      <c r="DM248">
        <v>89797400</v>
      </c>
      <c r="DN248">
        <v>0.10046303868293763</v>
      </c>
      <c r="DO248">
        <v>4844762400</v>
      </c>
      <c r="DP248" t="e">
        <v>#VALUE!</v>
      </c>
      <c r="DQ248">
        <v>247</v>
      </c>
      <c r="DR248" t="e">
        <v>#VALUE!</v>
      </c>
      <c r="DS248">
        <v>-0.71795424451828005</v>
      </c>
      <c r="DT248" t="e">
        <v>#VALUE!</v>
      </c>
      <c r="DU248" t="e">
        <v>#VALUE!</v>
      </c>
      <c r="DV248" t="e">
        <v>#VALUE!</v>
      </c>
      <c r="DW248">
        <v>-7.4571639586410639</v>
      </c>
      <c r="DX248">
        <v>0.19272514619883055</v>
      </c>
      <c r="DY248">
        <v>-7.0423905949018284</v>
      </c>
      <c r="DZ248">
        <v>0</v>
      </c>
      <c r="EA248">
        <v>-7.0423905949018284</v>
      </c>
      <c r="EB248">
        <v>7</v>
      </c>
      <c r="EC248">
        <v>1.338580406438126E-2</v>
      </c>
      <c r="ED248">
        <v>0.14436002112822877</v>
      </c>
      <c r="EE248">
        <v>0</v>
      </c>
      <c r="EF248">
        <v>0</v>
      </c>
      <c r="EG248">
        <v>10.092725146198831</v>
      </c>
      <c r="EH248" t="s">
        <v>110</v>
      </c>
      <c r="EI248">
        <v>0</v>
      </c>
      <c r="EJ248">
        <v>0</v>
      </c>
      <c r="EK248">
        <v>0</v>
      </c>
      <c r="EL248">
        <v>0</v>
      </c>
      <c r="EM248">
        <v>0</v>
      </c>
      <c r="EN248">
        <v>0</v>
      </c>
      <c r="EO248">
        <v>0</v>
      </c>
      <c r="EP248">
        <v>0</v>
      </c>
    </row>
    <row r="249" spans="1:146" ht="96" x14ac:dyDescent="0.25">
      <c r="A249" s="7"/>
      <c r="B249" s="7"/>
      <c r="C249" s="7" t="str">
        <f>""&amp;CHAR(10)&amp;Basic_Fundamental_Information_Constructure(F249)&amp;CHAR(10)&amp;Basic_Fundamental_Information_Concatenate("")</f>
        <v xml:space="preserve">
市值236.87731亿, 利润21.42亿; PE11.11; 平均PE3.09; 平均PEG.2, PB1.5; ROIC11.55%; ROE13.7767%; 股利率0%; 毛利64.0767%; 净利15.83%; 上一年度营收增-4.42%, 利润增-1.47%; 当季营收增-18.4%, 利润增-1.43%; 过往5年营收增15.58%, 利润增79.33%
Income profile:
</v>
      </c>
      <c r="D249" s="11">
        <v>1513</v>
      </c>
      <c r="E249" t="s">
        <v>3708</v>
      </c>
      <c r="F249">
        <v>25.5</v>
      </c>
      <c r="G249" s="5">
        <v>-2.6700000000000002E-2</v>
      </c>
      <c r="H249" t="s">
        <v>9596</v>
      </c>
      <c r="I249">
        <v>23687731000</v>
      </c>
      <c r="J249">
        <v>11.11</v>
      </c>
      <c r="K249">
        <v>1.5</v>
      </c>
      <c r="L249" t="s">
        <v>6350</v>
      </c>
      <c r="M249" t="s">
        <v>3829</v>
      </c>
      <c r="N249" t="s">
        <v>9597</v>
      </c>
      <c r="O249" t="s">
        <v>9598</v>
      </c>
      <c r="P249">
        <v>-4.99</v>
      </c>
      <c r="Q249" t="s">
        <v>9599</v>
      </c>
      <c r="R249">
        <v>2141592000</v>
      </c>
      <c r="S249" s="5">
        <v>-1.43E-2</v>
      </c>
      <c r="T249" t="s">
        <v>9600</v>
      </c>
      <c r="U249">
        <v>309831220</v>
      </c>
      <c r="V249">
        <v>927230820</v>
      </c>
      <c r="W249">
        <v>1.72</v>
      </c>
      <c r="X249">
        <v>0.13</v>
      </c>
      <c r="Y249">
        <v>26.44</v>
      </c>
      <c r="Z249" t="s">
        <v>2490</v>
      </c>
      <c r="AA249" t="s">
        <v>2192</v>
      </c>
      <c r="AB249" t="s">
        <v>118</v>
      </c>
      <c r="AC249" t="s">
        <v>3488</v>
      </c>
      <c r="AD249" t="s">
        <v>9601</v>
      </c>
      <c r="AE249" t="s">
        <v>9602</v>
      </c>
      <c r="AF249" t="s">
        <v>9</v>
      </c>
      <c r="AG249" t="s">
        <v>9603</v>
      </c>
      <c r="AH249" t="s">
        <v>9604</v>
      </c>
      <c r="AI249" t="s">
        <v>5789</v>
      </c>
      <c r="AJ249" t="s">
        <v>9605</v>
      </c>
      <c r="AK249" t="s">
        <v>9606</v>
      </c>
      <c r="AL249" t="s">
        <v>9</v>
      </c>
      <c r="AM249" t="s">
        <v>4014</v>
      </c>
      <c r="AN249" s="5">
        <v>0.3871</v>
      </c>
      <c r="AO249" t="s">
        <v>6259</v>
      </c>
      <c r="AP249" t="s">
        <v>9607</v>
      </c>
      <c r="AQ249" t="s">
        <v>4426</v>
      </c>
      <c r="AR249" t="s">
        <v>9608</v>
      </c>
      <c r="AS249" t="s">
        <v>578</v>
      </c>
      <c r="AT249" t="s">
        <v>381</v>
      </c>
      <c r="AU249" t="s">
        <v>5454</v>
      </c>
      <c r="AV249" t="s">
        <v>4616</v>
      </c>
      <c r="AW249" t="s">
        <v>9609</v>
      </c>
      <c r="AX249" t="s">
        <v>3709</v>
      </c>
      <c r="AY249" t="s">
        <v>3711</v>
      </c>
      <c r="AZ249" t="s">
        <v>3712</v>
      </c>
      <c r="BA249" t="s">
        <v>3713</v>
      </c>
      <c r="BB249" t="s">
        <v>3714</v>
      </c>
      <c r="BC249" t="s">
        <v>3715</v>
      </c>
      <c r="BD249" t="s">
        <v>3064</v>
      </c>
      <c r="BE249" t="s">
        <v>3716</v>
      </c>
      <c r="BF249" t="s">
        <v>1756</v>
      </c>
      <c r="BG249" t="s">
        <v>3717</v>
      </c>
      <c r="BH249" t="s">
        <v>3709</v>
      </c>
      <c r="BI249" t="s">
        <v>3718</v>
      </c>
      <c r="BJ249" t="s">
        <v>3711</v>
      </c>
      <c r="BK249" t="s">
        <v>207</v>
      </c>
      <c r="BL249" t="s">
        <v>173</v>
      </c>
      <c r="BM249" t="s">
        <v>3715</v>
      </c>
      <c r="BN249">
        <v>11.17</v>
      </c>
      <c r="BO249">
        <v>11.52</v>
      </c>
      <c r="BP249">
        <v>11.96</v>
      </c>
      <c r="BQ249">
        <v>13.91</v>
      </c>
      <c r="BR249">
        <v>13.76</v>
      </c>
      <c r="BS249">
        <v>13.66</v>
      </c>
      <c r="BT249" t="s">
        <v>453</v>
      </c>
      <c r="BU249" t="s">
        <v>489</v>
      </c>
      <c r="BV249">
        <v>63.63</v>
      </c>
      <c r="BW249">
        <v>64.260000000000005</v>
      </c>
      <c r="BX249">
        <v>64.34</v>
      </c>
      <c r="BY249">
        <v>15.45</v>
      </c>
      <c r="BZ249">
        <v>15.67</v>
      </c>
      <c r="CA249">
        <v>16.37</v>
      </c>
      <c r="CB249">
        <v>-3.77</v>
      </c>
      <c r="CC249">
        <v>-13.85</v>
      </c>
      <c r="CD249" t="s">
        <v>9610</v>
      </c>
      <c r="CE249" t="s">
        <v>9611</v>
      </c>
      <c r="CF249" s="8">
        <v>-0.18402450518378877</v>
      </c>
      <c r="CG249" s="9">
        <v>-1.43E-2</v>
      </c>
      <c r="CH249" s="8">
        <v>-4.4169872999191284E-2</v>
      </c>
      <c r="CI249" s="8">
        <v>-3.5743657499551773E-2</v>
      </c>
      <c r="CJ249" s="8">
        <v>0.17850233614444733</v>
      </c>
      <c r="CK249" s="8">
        <v>0.22826837003231049</v>
      </c>
      <c r="CL249" s="8">
        <v>-1.3590126298367977E-2</v>
      </c>
      <c r="CM249" s="9">
        <v>-1.4719469472765923E-2</v>
      </c>
      <c r="CN249" s="9">
        <v>6.3600845634937286E-2</v>
      </c>
      <c r="CO249" s="9">
        <v>0.4038461446762085</v>
      </c>
      <c r="CP249" s="9">
        <v>0.18181818723678589</v>
      </c>
      <c r="CQ249" s="9">
        <v>-0.76798492670059204</v>
      </c>
      <c r="CR249">
        <v>3.0874220358865188</v>
      </c>
      <c r="CS249">
        <v>0.19811303029219743</v>
      </c>
      <c r="CT249">
        <v>0</v>
      </c>
      <c r="CU249" s="8">
        <v>0.15584144219756127</v>
      </c>
      <c r="CV249" s="9">
        <v>0.79325118064880373</v>
      </c>
      <c r="CW249">
        <v>0.06</v>
      </c>
      <c r="CX249">
        <v>7.5146384643469872</v>
      </c>
      <c r="CY249">
        <v>2335672046.4029965</v>
      </c>
      <c r="CZ249">
        <v>0.15584144219756127</v>
      </c>
      <c r="DA249">
        <v>2.3235314816840433</v>
      </c>
      <c r="DB249">
        <v>7553902814.8991985</v>
      </c>
      <c r="DC249">
        <v>0.14804937008768321</v>
      </c>
      <c r="DD249">
        <v>1.0603511023312504</v>
      </c>
      <c r="DE249">
        <v>16552754046.665663</v>
      </c>
      <c r="DF249">
        <v>0.13714046913385392</v>
      </c>
      <c r="DG249">
        <v>0.58314015785324547</v>
      </c>
      <c r="DH249">
        <v>30098649121.70414</v>
      </c>
      <c r="DI249">
        <v>0.12467315375804902</v>
      </c>
      <c r="DJ249">
        <v>0.24622836735397313</v>
      </c>
      <c r="DK249">
        <v>71282327006.489761</v>
      </c>
      <c r="DL249">
        <v>0.10908900953829288</v>
      </c>
      <c r="DM249">
        <v>2142000000.0000002</v>
      </c>
      <c r="DN249">
        <v>0.15584144219756127</v>
      </c>
      <c r="DO249">
        <v>17551731000</v>
      </c>
      <c r="DP249" t="e">
        <v>#VALUE!</v>
      </c>
      <c r="DQ249">
        <v>248</v>
      </c>
      <c r="DR249">
        <v>-0.33986594738135001</v>
      </c>
      <c r="DS249">
        <v>-0.80755118064880371</v>
      </c>
      <c r="DT249">
        <v>-0.10666666666666669</v>
      </c>
      <c r="DU249">
        <v>0.27666666666666667</v>
      </c>
      <c r="DV249">
        <v>0.16999999999999998</v>
      </c>
      <c r="DW249">
        <v>-8.2722021660649823</v>
      </c>
      <c r="DX249">
        <v>0.46135777998017685</v>
      </c>
      <c r="DY249">
        <v>-8.0466439588826919</v>
      </c>
      <c r="DZ249">
        <v>0</v>
      </c>
      <c r="EA249">
        <v>-8.0466439588826919</v>
      </c>
      <c r="EB249">
        <v>8</v>
      </c>
      <c r="EC249">
        <v>2.7970381743781985E-3</v>
      </c>
      <c r="ED249">
        <v>1.6322796517915572E-2</v>
      </c>
      <c r="EE249">
        <v>0</v>
      </c>
      <c r="EF249">
        <v>0</v>
      </c>
      <c r="EG249">
        <v>29.171357779980177</v>
      </c>
      <c r="EH249" t="s">
        <v>110</v>
      </c>
      <c r="EI249">
        <v>0</v>
      </c>
      <c r="EJ249">
        <v>0</v>
      </c>
      <c r="EK249">
        <v>0</v>
      </c>
      <c r="EL249">
        <v>0</v>
      </c>
      <c r="EM249">
        <v>0</v>
      </c>
      <c r="EN249">
        <v>0</v>
      </c>
      <c r="EO249">
        <v>0</v>
      </c>
      <c r="EP249">
        <v>0</v>
      </c>
    </row>
    <row r="250" spans="1:146" ht="96" x14ac:dyDescent="0.25">
      <c r="A250" s="7"/>
      <c r="B250" s="7"/>
      <c r="C250" s="7" t="str">
        <f>""&amp;CHAR(10)&amp;Basic_Fundamental_Information_Constructure(F250)&amp;CHAR(10)&amp;Basic_Fundamental_Information_Concatenate("")</f>
        <v xml:space="preserve">
市值46.032016亿, 利润2.82亿; PE16.3; 平均PE7.99; 平均PEG15.07, PB.723; ROIC3.2933%; ROE4.3533%; 股利率0%; 毛利19.0433%; 净利5.2167%; 上一年度营收增24.31%, 利润增-44.92%, 利润增-5.82%; 过往5年营收增-.53%, 利润增60.78%
Income profile:
</v>
      </c>
      <c r="D250" s="11">
        <v>1515</v>
      </c>
      <c r="E250" t="s">
        <v>3719</v>
      </c>
      <c r="F250">
        <v>3.55</v>
      </c>
      <c r="G250" s="5">
        <v>-5.5999999999999999E-3</v>
      </c>
      <c r="H250" t="s">
        <v>9612</v>
      </c>
      <c r="I250">
        <v>4603201600</v>
      </c>
      <c r="J250">
        <v>16.3</v>
      </c>
      <c r="K250">
        <v>0.72299999999999998</v>
      </c>
      <c r="L250" t="s">
        <v>6350</v>
      </c>
      <c r="M250" t="s">
        <v>9</v>
      </c>
      <c r="N250" t="s">
        <v>9</v>
      </c>
      <c r="O250" t="s">
        <v>9</v>
      </c>
      <c r="P250" t="s">
        <v>9</v>
      </c>
      <c r="Q250" t="s">
        <v>3490</v>
      </c>
      <c r="R250">
        <v>282468820</v>
      </c>
      <c r="S250" s="5">
        <v>-5.8200000000000002E-2</v>
      </c>
      <c r="T250" t="s">
        <v>210</v>
      </c>
      <c r="U250">
        <v>1296676520</v>
      </c>
      <c r="V250">
        <v>1296676520</v>
      </c>
      <c r="W250" t="s">
        <v>9</v>
      </c>
      <c r="X250" t="s">
        <v>9</v>
      </c>
      <c r="Y250" t="s">
        <v>9</v>
      </c>
      <c r="Z250" t="s">
        <v>9</v>
      </c>
      <c r="AA250" t="s">
        <v>9</v>
      </c>
      <c r="AB250" t="s">
        <v>9</v>
      </c>
      <c r="AC250" t="s">
        <v>9</v>
      </c>
      <c r="AD250" t="s">
        <v>9</v>
      </c>
      <c r="AE250" t="s">
        <v>9</v>
      </c>
      <c r="AF250" t="s">
        <v>9</v>
      </c>
      <c r="AG250" t="s">
        <v>9</v>
      </c>
      <c r="AH250" t="s">
        <v>9613</v>
      </c>
      <c r="AI250" t="s">
        <v>9</v>
      </c>
      <c r="AJ250" t="s">
        <v>9</v>
      </c>
      <c r="AK250" t="s">
        <v>9614</v>
      </c>
      <c r="AL250" t="s">
        <v>9</v>
      </c>
      <c r="AM250" t="s">
        <v>9</v>
      </c>
      <c r="AN250" s="5">
        <v>0.4864</v>
      </c>
      <c r="AO250" t="s">
        <v>9</v>
      </c>
      <c r="AP250" t="s">
        <v>9615</v>
      </c>
      <c r="AQ250" t="s">
        <v>9</v>
      </c>
      <c r="AR250" t="s">
        <v>2389</v>
      </c>
      <c r="AS250" t="s">
        <v>9</v>
      </c>
      <c r="AT250" t="s">
        <v>9</v>
      </c>
      <c r="AU250" t="s">
        <v>2156</v>
      </c>
      <c r="AV250" t="s">
        <v>9616</v>
      </c>
      <c r="AW250" t="s">
        <v>9</v>
      </c>
      <c r="AX250" t="s">
        <v>9617</v>
      </c>
      <c r="AY250" t="s">
        <v>3720</v>
      </c>
      <c r="AZ250" t="s">
        <v>2374</v>
      </c>
      <c r="BA250" t="s">
        <v>1130</v>
      </c>
      <c r="BB250" t="s">
        <v>3721</v>
      </c>
      <c r="BC250" t="s">
        <v>3722</v>
      </c>
      <c r="BD250" t="s">
        <v>161</v>
      </c>
      <c r="BE250" t="s">
        <v>2762</v>
      </c>
      <c r="BF250" t="s">
        <v>3723</v>
      </c>
      <c r="BG250" t="s">
        <v>3357</v>
      </c>
      <c r="BH250" t="s">
        <v>9617</v>
      </c>
      <c r="BI250" t="s">
        <v>9</v>
      </c>
      <c r="BJ250" t="s">
        <v>3720</v>
      </c>
      <c r="BK250" t="s">
        <v>121</v>
      </c>
      <c r="BL250" t="s">
        <v>9</v>
      </c>
      <c r="BM250" t="s">
        <v>3722</v>
      </c>
      <c r="BN250">
        <v>2.6</v>
      </c>
      <c r="BO250">
        <v>1.67</v>
      </c>
      <c r="BP250">
        <v>5.61</v>
      </c>
      <c r="BQ250">
        <v>4.43</v>
      </c>
      <c r="BR250">
        <v>2.15</v>
      </c>
      <c r="BS250">
        <v>6.48</v>
      </c>
      <c r="BT250" t="s">
        <v>3724</v>
      </c>
      <c r="BU250" t="s">
        <v>2382</v>
      </c>
      <c r="BV250">
        <v>18.86</v>
      </c>
      <c r="BW250">
        <v>17.28</v>
      </c>
      <c r="BX250">
        <v>20.99</v>
      </c>
      <c r="BY250">
        <v>3.24</v>
      </c>
      <c r="BZ250">
        <v>2.83</v>
      </c>
      <c r="CA250">
        <v>9.58</v>
      </c>
      <c r="CB250">
        <v>-5.08</v>
      </c>
      <c r="CC250">
        <v>-18.649999999999999</v>
      </c>
      <c r="CD250" t="s">
        <v>9618</v>
      </c>
      <c r="CE250" t="s">
        <v>2049</v>
      </c>
      <c r="CF250" s="8" t="s">
        <v>9</v>
      </c>
      <c r="CG250" s="9">
        <v>-5.8200000000000002E-2</v>
      </c>
      <c r="CH250" s="8">
        <v>0.24312789738178253</v>
      </c>
      <c r="CI250" s="8">
        <v>0.63661408424377441</v>
      </c>
      <c r="CJ250" s="8">
        <v>0.66137886047363281</v>
      </c>
      <c r="CK250" s="8">
        <v>0.39786788821220398</v>
      </c>
      <c r="CL250" s="8">
        <v>4.1759159415960312E-2</v>
      </c>
      <c r="CM250" s="9">
        <v>-0.44921875</v>
      </c>
      <c r="CN250" s="9">
        <v>0.38378378748893738</v>
      </c>
      <c r="CO250" s="9">
        <v>-0.15331807732582092</v>
      </c>
      <c r="CP250" s="9">
        <v>-0.10997963696718216</v>
      </c>
      <c r="CQ250" s="9">
        <v>-2.7722772210836411E-2</v>
      </c>
      <c r="CR250">
        <v>7.9932685607300034</v>
      </c>
      <c r="CS250">
        <v>15.065863161830256</v>
      </c>
      <c r="CT250">
        <v>0</v>
      </c>
      <c r="CU250" s="8">
        <v>-5.3055496886372563E-3</v>
      </c>
      <c r="CV250" s="9">
        <v>0.60780889391899107</v>
      </c>
      <c r="CW250">
        <v>0.06</v>
      </c>
      <c r="CX250">
        <v>16.323409929078014</v>
      </c>
      <c r="CY250" t="s">
        <v>9619</v>
      </c>
      <c r="CZ250">
        <v>-5.3055496886372563E-3</v>
      </c>
      <c r="DA250">
        <v>5.4411366430260051</v>
      </c>
      <c r="DB250" t="s">
        <v>9620</v>
      </c>
      <c r="DC250">
        <v>-5.0402722042053932E-3</v>
      </c>
      <c r="DD250">
        <v>2.7205683215130025</v>
      </c>
      <c r="DE250" t="s">
        <v>9621</v>
      </c>
      <c r="DF250">
        <v>-4.6688837260007859E-3</v>
      </c>
      <c r="DG250">
        <v>1.6323409929078014</v>
      </c>
      <c r="DH250" t="s">
        <v>9622</v>
      </c>
      <c r="DI250">
        <v>-4.2444397509098048E-3</v>
      </c>
      <c r="DJ250">
        <v>0.81617049645390072</v>
      </c>
      <c r="DK250" t="s">
        <v>9623</v>
      </c>
      <c r="DL250">
        <v>-3.7138847820460791E-3</v>
      </c>
      <c r="DM250">
        <v>282000000</v>
      </c>
      <c r="DN250">
        <v>-5.3055496886372563E-3</v>
      </c>
      <c r="DO250">
        <v>4603201600</v>
      </c>
      <c r="DP250" t="e">
        <v>#VALUE!</v>
      </c>
      <c r="DQ250">
        <v>249</v>
      </c>
      <c r="DR250" t="e">
        <v>#VALUE!</v>
      </c>
      <c r="DS250">
        <v>-0.6660088939189911</v>
      </c>
      <c r="DT250" t="e">
        <v>#VALUE!</v>
      </c>
      <c r="DU250" t="e">
        <v>#VALUE!</v>
      </c>
      <c r="DV250" t="e">
        <v>#VALUE!</v>
      </c>
      <c r="DW250">
        <v>-8.2723860589812332</v>
      </c>
      <c r="DX250">
        <v>0.29962654867256716</v>
      </c>
      <c r="DY250">
        <v>-8.0325846041424462</v>
      </c>
      <c r="DZ250">
        <v>0</v>
      </c>
      <c r="EA250">
        <v>-8.0325846041424462</v>
      </c>
      <c r="EB250">
        <v>8</v>
      </c>
      <c r="EC250">
        <v>1.0424959341440068E-2</v>
      </c>
      <c r="ED250">
        <v>8.714586734400033E-2</v>
      </c>
      <c r="EE250">
        <v>0</v>
      </c>
      <c r="EF250">
        <v>0</v>
      </c>
      <c r="EG250">
        <v>18.119626548672567</v>
      </c>
      <c r="EH250" t="s">
        <v>110</v>
      </c>
      <c r="EI250">
        <v>0</v>
      </c>
      <c r="EJ250">
        <v>0</v>
      </c>
      <c r="EK250">
        <v>0</v>
      </c>
      <c r="EL250">
        <v>0</v>
      </c>
      <c r="EM250">
        <v>0</v>
      </c>
      <c r="EN250">
        <v>0</v>
      </c>
      <c r="EO250">
        <v>0</v>
      </c>
      <c r="EP250">
        <v>0</v>
      </c>
    </row>
    <row r="251" spans="1:146" ht="96" x14ac:dyDescent="0.25">
      <c r="A251" s="7"/>
      <c r="B251" s="7"/>
      <c r="C251" s="7" t="str">
        <f>""&amp;CHAR(10)&amp;Basic_Fundamental_Information_Constructure(F251)&amp;CHAR(10)&amp;Basic_Fundamental_Information_Concatenate("")</f>
        <v xml:space="preserve">
市值55.940245亿, 利润-4.77亿; PE; 平均PE-6.15; 平均PEG-.03, PB.846; ROIC.56%; ROE.4867%; 股利率0%; 毛利25.94%; 净利1.6967%; 上一年度营收增-4.42%, 利润增-130.52%, 利润增12.27%; 过往5年营收增205.9%, 利润增-44.11%
Income profile:
</v>
      </c>
      <c r="D251" s="11">
        <v>1516</v>
      </c>
      <c r="E251" t="s">
        <v>3725</v>
      </c>
      <c r="F251">
        <v>1.83</v>
      </c>
      <c r="G251" s="5">
        <v>-2.1399999999999999E-2</v>
      </c>
      <c r="H251" t="s">
        <v>9624</v>
      </c>
      <c r="I251">
        <v>5594024500</v>
      </c>
      <c r="K251">
        <v>0.84599999999999997</v>
      </c>
      <c r="L251" t="s">
        <v>6350</v>
      </c>
      <c r="M251" t="s">
        <v>9</v>
      </c>
      <c r="N251" t="s">
        <v>9</v>
      </c>
      <c r="O251" t="s">
        <v>9</v>
      </c>
      <c r="P251" t="s">
        <v>9</v>
      </c>
      <c r="Q251" t="s">
        <v>9625</v>
      </c>
      <c r="R251">
        <v>-476921540</v>
      </c>
      <c r="S251" s="5">
        <v>0.1227</v>
      </c>
      <c r="T251" t="s">
        <v>9626</v>
      </c>
      <c r="U251">
        <v>3056844000</v>
      </c>
      <c r="V251">
        <v>3056844000</v>
      </c>
      <c r="W251" t="s">
        <v>9</v>
      </c>
      <c r="X251" t="s">
        <v>9</v>
      </c>
      <c r="Y251" t="s">
        <v>9</v>
      </c>
      <c r="Z251" t="s">
        <v>9</v>
      </c>
      <c r="AA251" t="s">
        <v>9</v>
      </c>
      <c r="AB251" t="s">
        <v>9</v>
      </c>
      <c r="AC251" t="s">
        <v>9</v>
      </c>
      <c r="AD251" t="s">
        <v>9</v>
      </c>
      <c r="AE251" t="s">
        <v>9</v>
      </c>
      <c r="AF251" t="s">
        <v>9</v>
      </c>
      <c r="AG251" t="s">
        <v>9</v>
      </c>
      <c r="AH251" t="s">
        <v>9627</v>
      </c>
      <c r="AI251" t="s">
        <v>9</v>
      </c>
      <c r="AJ251" t="s">
        <v>9</v>
      </c>
      <c r="AK251" t="s">
        <v>9628</v>
      </c>
      <c r="AL251" t="s">
        <v>9</v>
      </c>
      <c r="AM251" t="s">
        <v>9</v>
      </c>
      <c r="AN251" s="5">
        <v>0.46439999999999998</v>
      </c>
      <c r="AO251" t="s">
        <v>9</v>
      </c>
      <c r="AP251" t="s">
        <v>1249</v>
      </c>
      <c r="AQ251" t="s">
        <v>9</v>
      </c>
      <c r="AR251" t="s">
        <v>2316</v>
      </c>
      <c r="AS251" t="s">
        <v>9</v>
      </c>
      <c r="AT251" t="s">
        <v>9</v>
      </c>
      <c r="AU251" t="s">
        <v>118</v>
      </c>
      <c r="AV251" t="s">
        <v>158</v>
      </c>
      <c r="AW251" t="s">
        <v>9</v>
      </c>
      <c r="AX251" t="s">
        <v>3726</v>
      </c>
      <c r="AY251" t="s">
        <v>3728</v>
      </c>
      <c r="AZ251" t="s">
        <v>3729</v>
      </c>
      <c r="BA251" t="s">
        <v>2364</v>
      </c>
      <c r="BB251" t="s">
        <v>3607</v>
      </c>
      <c r="BC251" t="s">
        <v>755</v>
      </c>
      <c r="BD251" t="s">
        <v>9629</v>
      </c>
      <c r="BE251" t="s">
        <v>2428</v>
      </c>
      <c r="BF251" t="s">
        <v>2814</v>
      </c>
      <c r="BG251" t="s">
        <v>3730</v>
      </c>
      <c r="BH251" t="s">
        <v>3726</v>
      </c>
      <c r="BI251" t="s">
        <v>9</v>
      </c>
      <c r="BJ251" t="s">
        <v>3728</v>
      </c>
      <c r="BK251" t="s">
        <v>2282</v>
      </c>
      <c r="BL251" t="s">
        <v>9</v>
      </c>
      <c r="BM251" t="s">
        <v>755</v>
      </c>
      <c r="BN251">
        <v>-6.38</v>
      </c>
      <c r="BO251">
        <v>-5.98</v>
      </c>
      <c r="BP251">
        <v>14.04</v>
      </c>
      <c r="BQ251">
        <v>-7.21</v>
      </c>
      <c r="BR251">
        <v>-6.34</v>
      </c>
      <c r="BS251">
        <v>15.01</v>
      </c>
      <c r="BT251" t="s">
        <v>3265</v>
      </c>
      <c r="BU251" t="s">
        <v>410</v>
      </c>
      <c r="BV251">
        <v>23.79</v>
      </c>
      <c r="BW251">
        <v>22.51</v>
      </c>
      <c r="BX251">
        <v>31.52</v>
      </c>
      <c r="BY251">
        <v>-5.61</v>
      </c>
      <c r="BZ251">
        <v>-6.49</v>
      </c>
      <c r="CA251">
        <v>17.190000000000001</v>
      </c>
      <c r="CB251">
        <v>-3.68</v>
      </c>
      <c r="CC251">
        <v>-10.29</v>
      </c>
      <c r="CD251" t="s">
        <v>9630</v>
      </c>
      <c r="CE251" t="s">
        <v>2262</v>
      </c>
      <c r="CF251" s="8" t="s">
        <v>9</v>
      </c>
      <c r="CG251" s="9">
        <v>0.1227</v>
      </c>
      <c r="CH251" s="8">
        <v>-4.4159762561321259E-2</v>
      </c>
      <c r="CI251" s="8">
        <v>-0.1693531721830368</v>
      </c>
      <c r="CJ251" s="8">
        <v>0.75548708438873291</v>
      </c>
      <c r="CK251" s="8">
        <v>1.6289938688278198</v>
      </c>
      <c r="CL251" s="8">
        <v>0.57314330339431763</v>
      </c>
      <c r="CM251" s="9">
        <v>-1.3051823377609253</v>
      </c>
      <c r="CN251" s="9">
        <v>1.1983122825622559</v>
      </c>
      <c r="CO251" s="9">
        <v>1.3543046712875366</v>
      </c>
      <c r="CP251" s="9">
        <v>1.6964285373687744</v>
      </c>
      <c r="CQ251" s="9">
        <v>1.1746602058410645</v>
      </c>
      <c r="CR251">
        <v>-6.1514410187814965</v>
      </c>
      <c r="CS251">
        <v>-2.9876165282234655E-2</v>
      </c>
      <c r="CT251">
        <v>0</v>
      </c>
      <c r="CU251" s="8">
        <v>2.058979444205761</v>
      </c>
      <c r="CV251" s="9">
        <v>-0.4411021828651428</v>
      </c>
      <c r="CW251">
        <v>0.06</v>
      </c>
      <c r="CX251" t="e">
        <v>#VALUE!</v>
      </c>
      <c r="CY251" t="s">
        <v>109</v>
      </c>
      <c r="CZ251">
        <v>2.058979444205761</v>
      </c>
      <c r="DA251" t="e">
        <v>#VALUE!</v>
      </c>
      <c r="DB251" t="s">
        <v>108</v>
      </c>
      <c r="DC251">
        <v>1.9560304719954729</v>
      </c>
      <c r="DD251" t="e">
        <v>#VALUE!</v>
      </c>
      <c r="DE251" t="s">
        <v>108</v>
      </c>
      <c r="DF251">
        <v>1.8119019109010697</v>
      </c>
      <c r="DG251" t="e">
        <v>#VALUE!</v>
      </c>
      <c r="DH251" t="s">
        <v>108</v>
      </c>
      <c r="DI251">
        <v>1.6471835553646088</v>
      </c>
      <c r="DJ251" t="e">
        <v>#VALUE!</v>
      </c>
      <c r="DK251" t="s">
        <v>108</v>
      </c>
      <c r="DL251">
        <v>1.4412856109440326</v>
      </c>
      <c r="DM251">
        <v>-476999999.99999994</v>
      </c>
      <c r="DN251">
        <v>2.058979444205761</v>
      </c>
      <c r="DO251">
        <v>5594024500</v>
      </c>
      <c r="DP251" t="e">
        <v>#VALUE!</v>
      </c>
      <c r="DQ251">
        <v>250</v>
      </c>
      <c r="DR251" t="e">
        <v>#VALUE!</v>
      </c>
      <c r="DS251">
        <v>0.56380218286514283</v>
      </c>
      <c r="DT251" t="e">
        <v>#VALUE!</v>
      </c>
      <c r="DU251" t="e">
        <v>#VALUE!</v>
      </c>
      <c r="DV251" t="e">
        <v>#VALUE!</v>
      </c>
      <c r="DW251">
        <v>-8.3576287657920307</v>
      </c>
      <c r="DX251">
        <v>0.32118391376451227</v>
      </c>
      <c r="DY251">
        <v>-8.0290337028817689</v>
      </c>
      <c r="DZ251">
        <v>0</v>
      </c>
      <c r="EA251">
        <v>-8.0290337028817689</v>
      </c>
      <c r="EB251">
        <v>8</v>
      </c>
      <c r="EC251">
        <v>1.601452347584633E-2</v>
      </c>
      <c r="ED251">
        <v>0.19726227442421007</v>
      </c>
      <c r="EE251">
        <v>0</v>
      </c>
      <c r="EF251">
        <v>0</v>
      </c>
      <c r="EG251">
        <v>24.081183913764512</v>
      </c>
      <c r="EH251" t="s">
        <v>110</v>
      </c>
      <c r="EI251">
        <v>0</v>
      </c>
      <c r="EJ251">
        <v>0</v>
      </c>
      <c r="EK251">
        <v>0</v>
      </c>
      <c r="EL251">
        <v>0</v>
      </c>
      <c r="EM251">
        <v>0</v>
      </c>
      <c r="EN251">
        <v>0</v>
      </c>
      <c r="EO251">
        <v>0</v>
      </c>
      <c r="EP251">
        <v>0</v>
      </c>
    </row>
    <row r="252" spans="1:146" ht="96" x14ac:dyDescent="0.25">
      <c r="A252"/>
      <c r="B252"/>
      <c r="C252" s="7" t="str">
        <f>""&amp;CHAR(10)&amp;Basic_Fundamental_Information_Constructure(F252)&amp;CHAR(10)&amp;Basic_Fundamental_Information_Concatenate("")</f>
        <v xml:space="preserve">
市值636.2384亿, 利润--; PE; 平均PE48.23; 平均PEG2.21, PB2.96; ROIC0%; ROE0%; 股利率0%; 毛利0%; 净利0%, 利润增-166.5%; 过往5年营收增21.79%, 利润增24.84%
Income profile:
</v>
      </c>
      <c r="D252" s="11">
        <v>1519</v>
      </c>
      <c r="E252" t="s">
        <v>9631</v>
      </c>
      <c r="F252">
        <v>7.22</v>
      </c>
      <c r="G252">
        <v>-8.2000000000000007E-3</v>
      </c>
      <c r="H252" t="s">
        <v>9632</v>
      </c>
      <c r="I252">
        <v>63623840000</v>
      </c>
      <c r="K252">
        <v>2.96</v>
      </c>
      <c r="L252" t="s">
        <v>6350</v>
      </c>
      <c r="M252" t="s">
        <v>9</v>
      </c>
      <c r="N252" t="s">
        <v>9</v>
      </c>
      <c r="O252" t="s">
        <v>9</v>
      </c>
      <c r="P252" s="5" t="s">
        <v>9</v>
      </c>
      <c r="Q252" t="s">
        <v>9</v>
      </c>
      <c r="R252">
        <v>-8599817300</v>
      </c>
      <c r="S252">
        <v>-1.665</v>
      </c>
      <c r="T252" t="s">
        <v>9</v>
      </c>
      <c r="U252">
        <v>8812166200</v>
      </c>
      <c r="V252">
        <v>8812166200</v>
      </c>
      <c r="W252" t="s">
        <v>9</v>
      </c>
      <c r="X252" t="s">
        <v>9</v>
      </c>
      <c r="Y252" t="s">
        <v>9</v>
      </c>
      <c r="Z252" t="s">
        <v>9</v>
      </c>
      <c r="AA252" t="s">
        <v>9</v>
      </c>
      <c r="AB252" t="s">
        <v>9</v>
      </c>
      <c r="AC252" t="s">
        <v>9</v>
      </c>
      <c r="AD252" t="s">
        <v>9</v>
      </c>
      <c r="AE252" t="s">
        <v>9</v>
      </c>
      <c r="AF252" t="s">
        <v>9</v>
      </c>
      <c r="AG252" t="s">
        <v>9</v>
      </c>
      <c r="AH252" t="s">
        <v>9633</v>
      </c>
      <c r="AI252" t="s">
        <v>9</v>
      </c>
      <c r="AJ252" t="s">
        <v>9</v>
      </c>
      <c r="AK252" s="5" t="s">
        <v>9634</v>
      </c>
      <c r="AL252" t="s">
        <v>9</v>
      </c>
      <c r="AM252" t="s">
        <v>9</v>
      </c>
      <c r="AN252">
        <v>0.62439999999999996</v>
      </c>
      <c r="AO252" t="s">
        <v>9</v>
      </c>
      <c r="AP252" t="s">
        <v>9</v>
      </c>
      <c r="AQ252" t="s">
        <v>9</v>
      </c>
      <c r="AR252" t="s">
        <v>9</v>
      </c>
      <c r="AS252" t="s">
        <v>9</v>
      </c>
      <c r="AT252" t="s">
        <v>9</v>
      </c>
      <c r="AU252" t="s">
        <v>9</v>
      </c>
      <c r="AV252" t="s">
        <v>9</v>
      </c>
      <c r="AW252" t="s">
        <v>9</v>
      </c>
      <c r="AX252" t="s">
        <v>9</v>
      </c>
      <c r="AY252" t="s">
        <v>9</v>
      </c>
      <c r="AZ252" t="s">
        <v>9</v>
      </c>
      <c r="BA252" t="s">
        <v>9</v>
      </c>
      <c r="BB252" t="s">
        <v>9</v>
      </c>
      <c r="BC252" t="s">
        <v>9</v>
      </c>
      <c r="BD252" t="s">
        <v>9</v>
      </c>
      <c r="BE252" t="s">
        <v>9</v>
      </c>
      <c r="BF252" t="s">
        <v>9</v>
      </c>
      <c r="BG252" t="s">
        <v>9</v>
      </c>
      <c r="BH252" t="s">
        <v>9</v>
      </c>
      <c r="BI252" t="s">
        <v>9</v>
      </c>
      <c r="BJ252" t="s">
        <v>9</v>
      </c>
      <c r="BK252" t="s">
        <v>9</v>
      </c>
      <c r="BL252" t="s">
        <v>9</v>
      </c>
      <c r="BM252" t="s">
        <v>9</v>
      </c>
      <c r="BN252" t="s">
        <v>9</v>
      </c>
      <c r="BO252" t="s">
        <v>9</v>
      </c>
      <c r="BP252" t="s">
        <v>9</v>
      </c>
      <c r="BQ252" t="s">
        <v>9</v>
      </c>
      <c r="BR252" t="s">
        <v>9</v>
      </c>
      <c r="BS252" t="s">
        <v>9</v>
      </c>
      <c r="BT252" t="s">
        <v>9</v>
      </c>
      <c r="BU252" t="s">
        <v>9</v>
      </c>
      <c r="BV252" t="s">
        <v>9</v>
      </c>
      <c r="BW252" t="s">
        <v>9</v>
      </c>
      <c r="BX252" t="s">
        <v>9</v>
      </c>
      <c r="BY252" t="s">
        <v>9</v>
      </c>
      <c r="BZ252" t="s">
        <v>9</v>
      </c>
      <c r="CA252" t="s">
        <v>9</v>
      </c>
      <c r="CB252">
        <v>-13.01</v>
      </c>
      <c r="CC252" s="8">
        <v>-14.86</v>
      </c>
      <c r="CD252" s="10" t="s">
        <v>8553</v>
      </c>
      <c r="CE252" s="8" t="s">
        <v>3569</v>
      </c>
      <c r="CF252" s="8" t="s">
        <v>9</v>
      </c>
      <c r="CG252" s="8">
        <v>-1.665</v>
      </c>
      <c r="CH252" s="8" t="s">
        <v>9</v>
      </c>
      <c r="CI252" s="8" t="s">
        <v>9</v>
      </c>
      <c r="CJ252" s="9" t="s">
        <v>9</v>
      </c>
      <c r="CK252" s="9" t="s">
        <v>9</v>
      </c>
      <c r="CL252" s="9" t="s">
        <v>9</v>
      </c>
      <c r="CM252" s="9" t="s">
        <v>9</v>
      </c>
      <c r="CN252" s="9" t="s">
        <v>9</v>
      </c>
      <c r="CO252" t="s">
        <v>9</v>
      </c>
      <c r="CP252" t="s">
        <v>9</v>
      </c>
      <c r="CQ252" t="s">
        <v>9</v>
      </c>
      <c r="CR252" s="8">
        <v>48.229108550636752</v>
      </c>
      <c r="CS252" s="9">
        <v>2.2138214292355332</v>
      </c>
      <c r="CT252">
        <v>0</v>
      </c>
      <c r="CU252">
        <v>0.21785455644130708</v>
      </c>
      <c r="CV252">
        <v>0.24844407737255098</v>
      </c>
      <c r="CW252">
        <v>0.06</v>
      </c>
      <c r="CX252" t="e">
        <v>#DIV/0!</v>
      </c>
      <c r="CY252">
        <v>0</v>
      </c>
      <c r="CZ252">
        <v>0.21785455644130708</v>
      </c>
      <c r="DA252" t="e">
        <v>#DIV/0!</v>
      </c>
      <c r="DB252">
        <v>0</v>
      </c>
      <c r="DC252">
        <v>0.20696182861924173</v>
      </c>
      <c r="DD252" t="e">
        <v>#DIV/0!</v>
      </c>
      <c r="DE252">
        <v>0</v>
      </c>
      <c r="DF252">
        <v>0.19171200966835023</v>
      </c>
      <c r="DG252" t="e">
        <v>#DIV/0!</v>
      </c>
      <c r="DH252">
        <v>0</v>
      </c>
      <c r="DI252">
        <v>0.17428364515304567</v>
      </c>
      <c r="DJ252" t="e">
        <v>#DIV/0!</v>
      </c>
      <c r="DK252">
        <v>0</v>
      </c>
      <c r="DL252">
        <v>0.15249818950891494</v>
      </c>
      <c r="DM252">
        <v>0</v>
      </c>
      <c r="DN252">
        <v>0.21785455644130708</v>
      </c>
      <c r="DO252">
        <v>63623840000</v>
      </c>
      <c r="DP252" t="e">
        <v>#VALUE!</v>
      </c>
      <c r="DQ252">
        <v>251</v>
      </c>
      <c r="DR252" t="e">
        <v>#VALUE!</v>
      </c>
      <c r="DS252">
        <v>-1.913444077372551</v>
      </c>
      <c r="DT252" t="e">
        <v>#VALUE!</v>
      </c>
      <c r="DU252" t="e">
        <v>#VALUE!</v>
      </c>
      <c r="DV252" t="e">
        <v>#VALUE!</v>
      </c>
      <c r="DW252">
        <v>-9.8755047106325708</v>
      </c>
      <c r="DX252">
        <v>0.51466192170818514</v>
      </c>
      <c r="DY252">
        <v>-9.4330788426260757</v>
      </c>
      <c r="DZ252">
        <v>0</v>
      </c>
      <c r="EA252">
        <v>-9.4330788426260757</v>
      </c>
      <c r="EB252">
        <v>9</v>
      </c>
      <c r="EC252">
        <v>4.7320941359458246E-2</v>
      </c>
      <c r="ED252">
        <v>9.5663198000055877E-2</v>
      </c>
      <c r="EE252">
        <v>0</v>
      </c>
      <c r="EF252">
        <v>0</v>
      </c>
      <c r="EG252">
        <v>2.4946619217081851</v>
      </c>
      <c r="EH252" t="s">
        <v>110</v>
      </c>
      <c r="EI252">
        <v>0</v>
      </c>
      <c r="EJ252">
        <v>0</v>
      </c>
      <c r="EK252">
        <v>0</v>
      </c>
      <c r="EL252">
        <v>0</v>
      </c>
      <c r="EM252">
        <v>0</v>
      </c>
      <c r="EN252">
        <v>0</v>
      </c>
      <c r="EO252">
        <v>0</v>
      </c>
      <c r="EP252">
        <v>0</v>
      </c>
    </row>
    <row r="253" spans="1:146" ht="96" x14ac:dyDescent="0.25">
      <c r="A253" s="7"/>
      <c r="B253" s="7"/>
      <c r="C253" s="7" t="str">
        <f>""&amp;CHAR(10)&amp;Basic_Fundamental_Information_Constructure(F253)&amp;CHAR(10)&amp;Basic_Fundamental_Information_Concatenate("")</f>
        <v xml:space="preserve">
市值16.692944亿, 利润8442.13万; PE19.95; 平均PE7.88; 平均PEG1.65, PB.624; ROIC5.3567%; ROE5.55%; 股利率0%; 毛利33.9867%; 净利8.2467%; 上一年度营收增3.84%, 利润增-41.37%, 利润增-10.73%; 过往5年营收增4.77%, 利润增33.36%
Income profile:
</v>
      </c>
      <c r="D253" s="11">
        <v>1521</v>
      </c>
      <c r="E253" t="s">
        <v>3732</v>
      </c>
      <c r="F253">
        <v>0.82</v>
      </c>
      <c r="G253" s="5">
        <v>-1.2E-2</v>
      </c>
      <c r="H253" t="s">
        <v>9635</v>
      </c>
      <c r="I253">
        <v>1669294400</v>
      </c>
      <c r="J253">
        <v>19.95</v>
      </c>
      <c r="K253">
        <v>0.624</v>
      </c>
      <c r="L253" t="s">
        <v>6350</v>
      </c>
      <c r="M253" t="s">
        <v>9</v>
      </c>
      <c r="N253" t="s">
        <v>9</v>
      </c>
      <c r="O253" t="s">
        <v>3132</v>
      </c>
      <c r="P253">
        <v>8.31</v>
      </c>
      <c r="Q253" t="s">
        <v>9636</v>
      </c>
      <c r="R253">
        <v>84421288</v>
      </c>
      <c r="S253" s="5">
        <v>-0.10730000000000001</v>
      </c>
      <c r="T253" t="s">
        <v>9637</v>
      </c>
      <c r="U253">
        <v>2035724900</v>
      </c>
      <c r="V253">
        <v>2035724900</v>
      </c>
      <c r="W253" t="s">
        <v>9</v>
      </c>
      <c r="X253">
        <v>0.11</v>
      </c>
      <c r="Y253" t="s">
        <v>9</v>
      </c>
      <c r="Z253" t="s">
        <v>9</v>
      </c>
      <c r="AA253" t="s">
        <v>9</v>
      </c>
      <c r="AB253" t="s">
        <v>9</v>
      </c>
      <c r="AC253" t="s">
        <v>9</v>
      </c>
      <c r="AD253" t="s">
        <v>9638</v>
      </c>
      <c r="AE253" t="s">
        <v>9</v>
      </c>
      <c r="AF253" t="s">
        <v>9</v>
      </c>
      <c r="AG253" t="s">
        <v>9</v>
      </c>
      <c r="AH253" t="s">
        <v>9639</v>
      </c>
      <c r="AI253" t="s">
        <v>9</v>
      </c>
      <c r="AJ253" t="s">
        <v>9</v>
      </c>
      <c r="AK253" t="s">
        <v>9640</v>
      </c>
      <c r="AL253" t="s">
        <v>9</v>
      </c>
      <c r="AM253" t="s">
        <v>9</v>
      </c>
      <c r="AN253" s="5">
        <v>0.39650000000000002</v>
      </c>
      <c r="AO253" t="s">
        <v>9</v>
      </c>
      <c r="AP253" t="s">
        <v>9641</v>
      </c>
      <c r="AQ253" t="s">
        <v>9</v>
      </c>
      <c r="AR253" t="s">
        <v>1349</v>
      </c>
      <c r="AS253" t="s">
        <v>9</v>
      </c>
      <c r="AT253" t="s">
        <v>9</v>
      </c>
      <c r="AU253" t="s">
        <v>213</v>
      </c>
      <c r="AV253" t="s">
        <v>9642</v>
      </c>
      <c r="AW253" t="s">
        <v>9</v>
      </c>
      <c r="AX253" t="s">
        <v>651</v>
      </c>
      <c r="AY253" t="s">
        <v>887</v>
      </c>
      <c r="AZ253" t="s">
        <v>3340</v>
      </c>
      <c r="BA253" t="s">
        <v>3734</v>
      </c>
      <c r="BB253" t="s">
        <v>611</v>
      </c>
      <c r="BC253" t="s">
        <v>178</v>
      </c>
      <c r="BD253" t="s">
        <v>20</v>
      </c>
      <c r="BE253" t="s">
        <v>3442</v>
      </c>
      <c r="BF253" t="s">
        <v>3735</v>
      </c>
      <c r="BG253" t="s">
        <v>3736</v>
      </c>
      <c r="BH253" t="s">
        <v>651</v>
      </c>
      <c r="BI253" t="s">
        <v>9</v>
      </c>
      <c r="BJ253" t="s">
        <v>887</v>
      </c>
      <c r="BK253" t="s">
        <v>1001</v>
      </c>
      <c r="BL253" t="s">
        <v>9</v>
      </c>
      <c r="BM253" t="s">
        <v>178</v>
      </c>
      <c r="BN253">
        <v>2.68</v>
      </c>
      <c r="BO253">
        <v>7.33</v>
      </c>
      <c r="BP253">
        <v>6.06</v>
      </c>
      <c r="BQ253">
        <v>3.16</v>
      </c>
      <c r="BR253">
        <v>7.73</v>
      </c>
      <c r="BS253">
        <v>5.76</v>
      </c>
      <c r="BT253" t="s">
        <v>9</v>
      </c>
      <c r="BU253" t="s">
        <v>489</v>
      </c>
      <c r="BV253">
        <v>30.17</v>
      </c>
      <c r="BW253">
        <v>35.630000000000003</v>
      </c>
      <c r="BX253">
        <v>36.159999999999997</v>
      </c>
      <c r="BY253">
        <v>4.13</v>
      </c>
      <c r="BZ253">
        <v>10.35</v>
      </c>
      <c r="CA253">
        <v>10.26</v>
      </c>
      <c r="CB253">
        <v>-12.77</v>
      </c>
      <c r="CC253">
        <v>-35.94</v>
      </c>
      <c r="CD253" t="s">
        <v>9643</v>
      </c>
      <c r="CE253" t="s">
        <v>148</v>
      </c>
      <c r="CF253" s="8" t="s">
        <v>9</v>
      </c>
      <c r="CG253" s="9">
        <v>-0.10730000000000001</v>
      </c>
      <c r="CH253" s="8">
        <v>3.8363136351108551E-2</v>
      </c>
      <c r="CI253" s="8">
        <v>0.35952717065811157</v>
      </c>
      <c r="CJ253" s="8">
        <v>0.47487178444862366</v>
      </c>
      <c r="CK253" s="8">
        <v>0.49769586324691772</v>
      </c>
      <c r="CL253" s="8">
        <v>0.18579235672950745</v>
      </c>
      <c r="CM253" s="9">
        <v>-0.41374099254608154</v>
      </c>
      <c r="CN253" s="9">
        <v>8.2706764340400696E-2</v>
      </c>
      <c r="CO253" s="9">
        <v>-6.9930069148540497E-2</v>
      </c>
      <c r="CP253" s="9">
        <v>0.62385594844818115</v>
      </c>
      <c r="CQ253" s="9">
        <v>0.10868413001298904</v>
      </c>
      <c r="CR253">
        <v>7.877614131523516</v>
      </c>
      <c r="CS253">
        <v>1.6500776246049513</v>
      </c>
      <c r="CT253">
        <v>0</v>
      </c>
      <c r="CU253" s="8">
        <v>4.774086996912956E-2</v>
      </c>
      <c r="CV253" s="9">
        <v>0.33358119428157806</v>
      </c>
      <c r="CW253">
        <v>0.06</v>
      </c>
      <c r="CX253">
        <v>20.0047386102917</v>
      </c>
      <c r="CY253">
        <v>83444949.345212117</v>
      </c>
      <c r="CZ253">
        <v>4.774086996912956E-2</v>
      </c>
      <c r="DA253">
        <v>6.7766760652854341</v>
      </c>
      <c r="DB253">
        <v>246329377.98978138</v>
      </c>
      <c r="DC253">
        <v>4.5353826470673077E-2</v>
      </c>
      <c r="DD253">
        <v>3.4975198844590092</v>
      </c>
      <c r="DE253">
        <v>477279459.48710561</v>
      </c>
      <c r="DF253">
        <v>4.2011965572834015E-2</v>
      </c>
      <c r="DG253">
        <v>2.2128933461945328</v>
      </c>
      <c r="DH253">
        <v>754349233.71731913</v>
      </c>
      <c r="DI253">
        <v>3.8192695975303649E-2</v>
      </c>
      <c r="DJ253">
        <v>1.2770699378969053</v>
      </c>
      <c r="DK253">
        <v>1307128412.0500205</v>
      </c>
      <c r="DL253">
        <v>3.341860897839069E-2</v>
      </c>
      <c r="DM253">
        <v>84421299.999999985</v>
      </c>
      <c r="DN253">
        <v>4.774086996912956E-2</v>
      </c>
      <c r="DO253">
        <v>1669294400</v>
      </c>
      <c r="DP253" t="e">
        <v>#VALUE!</v>
      </c>
      <c r="DQ253">
        <v>252</v>
      </c>
      <c r="DR253" t="e">
        <v>#VALUE!</v>
      </c>
      <c r="DS253">
        <v>-0.44088119428157807</v>
      </c>
      <c r="DT253" t="e">
        <v>#VALUE!</v>
      </c>
      <c r="DU253" t="e">
        <v>#VALUE!</v>
      </c>
      <c r="DV253" t="e">
        <v>#VALUE!</v>
      </c>
      <c r="DW253">
        <v>-9.3553144129104062</v>
      </c>
      <c r="DX253">
        <v>0.51205999999999974</v>
      </c>
      <c r="DY253">
        <v>-9.0966668391764056</v>
      </c>
      <c r="DZ253">
        <v>0</v>
      </c>
      <c r="EA253">
        <v>-9.0966668391764056</v>
      </c>
      <c r="EB253">
        <v>9</v>
      </c>
      <c r="EC253">
        <v>2.0046421793042862E-2</v>
      </c>
      <c r="ED253">
        <v>7.3683826336259875E-2</v>
      </c>
      <c r="EE253">
        <v>0</v>
      </c>
      <c r="EF253">
        <v>0</v>
      </c>
      <c r="EG253">
        <v>24.27206</v>
      </c>
      <c r="EH253" t="s">
        <v>110</v>
      </c>
      <c r="EI253">
        <v>0</v>
      </c>
      <c r="EJ253">
        <v>0</v>
      </c>
      <c r="EK253">
        <v>0</v>
      </c>
      <c r="EL253">
        <v>0</v>
      </c>
      <c r="EM253">
        <v>0</v>
      </c>
      <c r="EN253">
        <v>0</v>
      </c>
      <c r="EO253">
        <v>0</v>
      </c>
      <c r="EP253">
        <v>0</v>
      </c>
    </row>
    <row r="254" spans="1:146" ht="96" x14ac:dyDescent="0.25">
      <c r="A254" s="7"/>
      <c r="B254" s="7"/>
      <c r="C254" s="7" t="str">
        <f>""&amp;CHAR(10)&amp;Basic_Fundamental_Information_Constructure(F254)&amp;CHAR(10)&amp;Basic_Fundamental_Information_Concatenate("")</f>
        <v xml:space="preserve">
市值60.095311亿, 利润-26.45亿; PE; 平均PE-34.55; 平均PEG-3.09, PB.113; ROIC.2%; ROE.13%; 股利率0%; 毛利61.3933%; 净利-.67%; 上一年度营收增-20.85%, 利润增-210.02%; 当季营收增-46.04%, 利润增-309.7%; 过往5年营收增11.18%, 利润增75.54%
Income profile:
</v>
      </c>
      <c r="D254" s="11">
        <v>1528</v>
      </c>
      <c r="E254" t="s">
        <v>3737</v>
      </c>
      <c r="F254">
        <v>1.38</v>
      </c>
      <c r="G254" s="5">
        <v>-2.8199999999999999E-2</v>
      </c>
      <c r="H254" t="s">
        <v>9644</v>
      </c>
      <c r="I254">
        <v>6009531100</v>
      </c>
      <c r="K254">
        <v>0.113</v>
      </c>
      <c r="L254" t="s">
        <v>6350</v>
      </c>
      <c r="M254" t="s">
        <v>9645</v>
      </c>
      <c r="N254" t="s">
        <v>9646</v>
      </c>
      <c r="O254" t="s">
        <v>1233</v>
      </c>
      <c r="P254">
        <v>-19.3</v>
      </c>
      <c r="Q254" t="s">
        <v>9647</v>
      </c>
      <c r="R254">
        <v>-2644816000</v>
      </c>
      <c r="S254" s="5">
        <v>-3.097</v>
      </c>
      <c r="T254" t="s">
        <v>9648</v>
      </c>
      <c r="U254">
        <v>741285630</v>
      </c>
      <c r="V254">
        <v>4354732700</v>
      </c>
      <c r="W254">
        <v>2.4700000000000002</v>
      </c>
      <c r="X254">
        <v>0.02</v>
      </c>
      <c r="Y254">
        <v>-15.07</v>
      </c>
      <c r="Z254" t="s">
        <v>5715</v>
      </c>
      <c r="AA254" t="s">
        <v>977</v>
      </c>
      <c r="AB254" t="s">
        <v>2841</v>
      </c>
      <c r="AC254" t="s">
        <v>3530</v>
      </c>
      <c r="AD254" t="s">
        <v>9649</v>
      </c>
      <c r="AE254" t="s">
        <v>2575</v>
      </c>
      <c r="AF254" t="s">
        <v>9</v>
      </c>
      <c r="AG254" t="s">
        <v>9650</v>
      </c>
      <c r="AH254" t="s">
        <v>9651</v>
      </c>
      <c r="AI254" t="s">
        <v>3255</v>
      </c>
      <c r="AJ254" t="s">
        <v>9652</v>
      </c>
      <c r="AK254" t="s">
        <v>9653</v>
      </c>
      <c r="AL254" t="s">
        <v>9</v>
      </c>
      <c r="AM254" t="s">
        <v>9654</v>
      </c>
      <c r="AN254" s="5">
        <v>0.56910000000000005</v>
      </c>
      <c r="AO254" t="s">
        <v>2970</v>
      </c>
      <c r="AP254" t="s">
        <v>9655</v>
      </c>
      <c r="AQ254" t="s">
        <v>7137</v>
      </c>
      <c r="AR254" t="s">
        <v>9656</v>
      </c>
      <c r="AS254" t="s">
        <v>9657</v>
      </c>
      <c r="AT254" t="s">
        <v>9658</v>
      </c>
      <c r="AU254" t="s">
        <v>9659</v>
      </c>
      <c r="AV254" t="s">
        <v>1297</v>
      </c>
      <c r="AW254" t="s">
        <v>9660</v>
      </c>
      <c r="AX254" t="s">
        <v>3739</v>
      </c>
      <c r="AY254" t="s">
        <v>3744</v>
      </c>
      <c r="AZ254" t="s">
        <v>3745</v>
      </c>
      <c r="BA254" t="s">
        <v>9661</v>
      </c>
      <c r="BB254" t="s">
        <v>3746</v>
      </c>
      <c r="BC254" t="s">
        <v>4221</v>
      </c>
      <c r="BD254" t="s">
        <v>3747</v>
      </c>
      <c r="BE254" t="s">
        <v>3748</v>
      </c>
      <c r="BF254" t="s">
        <v>3749</v>
      </c>
      <c r="BG254" t="s">
        <v>3750</v>
      </c>
      <c r="BH254" t="s">
        <v>3739</v>
      </c>
      <c r="BI254" t="s">
        <v>3751</v>
      </c>
      <c r="BJ254" t="s">
        <v>3744</v>
      </c>
      <c r="BK254" t="s">
        <v>97</v>
      </c>
      <c r="BL254" t="s">
        <v>3752</v>
      </c>
      <c r="BM254" t="s">
        <v>4221</v>
      </c>
      <c r="BN254">
        <v>-2.76</v>
      </c>
      <c r="BO254">
        <v>0.75</v>
      </c>
      <c r="BP254">
        <v>2.61</v>
      </c>
      <c r="BQ254">
        <v>-4.6500000000000004</v>
      </c>
      <c r="BR254">
        <v>1.25</v>
      </c>
      <c r="BS254">
        <v>3.79</v>
      </c>
      <c r="BT254" t="s">
        <v>9662</v>
      </c>
      <c r="BU254" t="s">
        <v>410</v>
      </c>
      <c r="BV254">
        <v>61.08</v>
      </c>
      <c r="BW254">
        <v>62.56</v>
      </c>
      <c r="BX254">
        <v>60.54</v>
      </c>
      <c r="BY254">
        <v>-22.32</v>
      </c>
      <c r="BZ254">
        <v>5.78</v>
      </c>
      <c r="CA254">
        <v>14.53</v>
      </c>
      <c r="CB254">
        <v>-4.83</v>
      </c>
      <c r="CC254">
        <v>-15.34</v>
      </c>
      <c r="CD254" t="s">
        <v>9663</v>
      </c>
      <c r="CE254" t="s">
        <v>9664</v>
      </c>
      <c r="CF254" s="8">
        <v>-0.46041563582384959</v>
      </c>
      <c r="CG254" s="9">
        <v>-3.097</v>
      </c>
      <c r="CH254" s="8">
        <v>-0.20853973925113678</v>
      </c>
      <c r="CI254" s="8">
        <v>-0.16035798192024231</v>
      </c>
      <c r="CJ254" s="8">
        <v>0.14988796412944794</v>
      </c>
      <c r="CK254" s="8">
        <v>4.7362402081489563E-2</v>
      </c>
      <c r="CL254" s="8">
        <v>0.20039576292037964</v>
      </c>
      <c r="CM254" s="9">
        <v>-2.1002495288848877</v>
      </c>
      <c r="CN254" s="9">
        <v>0.16529323160648346</v>
      </c>
      <c r="CO254" s="9">
        <v>-0.5878944993019104</v>
      </c>
      <c r="CP254" s="9">
        <v>-1.8046243116259575E-2</v>
      </c>
      <c r="CQ254" s="9">
        <v>4.2749017477035522E-2</v>
      </c>
      <c r="CR254">
        <v>-34.549389071997695</v>
      </c>
      <c r="CS254">
        <v>-3.0911730171234209</v>
      </c>
      <c r="CT254">
        <v>0</v>
      </c>
      <c r="CU254" s="8">
        <v>0.11176789160817861</v>
      </c>
      <c r="CV254" s="9">
        <v>0.75537577122449873</v>
      </c>
      <c r="CW254">
        <v>0.06</v>
      </c>
      <c r="CX254" t="e">
        <v>#VALUE!</v>
      </c>
      <c r="CY254" t="s">
        <v>109</v>
      </c>
      <c r="CZ254">
        <v>0.11176789160817861</v>
      </c>
      <c r="DA254" t="e">
        <v>#VALUE!</v>
      </c>
      <c r="DB254" t="s">
        <v>108</v>
      </c>
      <c r="DC254">
        <v>0.10617949702776967</v>
      </c>
      <c r="DD254" t="e">
        <v>#VALUE!</v>
      </c>
      <c r="DE254" t="s">
        <v>108</v>
      </c>
      <c r="DF254">
        <v>9.835574461519718E-2</v>
      </c>
      <c r="DG254" t="e">
        <v>#VALUE!</v>
      </c>
      <c r="DH254" t="s">
        <v>108</v>
      </c>
      <c r="DI254">
        <v>8.9414313286542896E-2</v>
      </c>
      <c r="DJ254" t="e">
        <v>#VALUE!</v>
      </c>
      <c r="DK254" t="s">
        <v>108</v>
      </c>
      <c r="DL254">
        <v>7.823752412572503E-2</v>
      </c>
      <c r="DM254">
        <v>-2645000000</v>
      </c>
      <c r="DN254">
        <v>0.11176789160817861</v>
      </c>
      <c r="DO254">
        <v>24137531100.000008</v>
      </c>
      <c r="DP254" t="e">
        <v>#VALUE!</v>
      </c>
      <c r="DQ254">
        <v>253</v>
      </c>
      <c r="DR254">
        <v>-0.57218352743202816</v>
      </c>
      <c r="DS254">
        <v>-3.8523757712244988</v>
      </c>
      <c r="DT254">
        <v>-0.15666666666666665</v>
      </c>
      <c r="DU254">
        <v>-1.2233333333333334</v>
      </c>
      <c r="DV254">
        <v>-1.3800000000000001</v>
      </c>
      <c r="DW254">
        <v>-8.3148631029986966</v>
      </c>
      <c r="DX254">
        <v>0.21213278518964584</v>
      </c>
      <c r="DY254">
        <v>-8.0321578456627112</v>
      </c>
      <c r="DZ254">
        <v>0</v>
      </c>
      <c r="EA254">
        <v>-8.0321578456627112</v>
      </c>
      <c r="EB254">
        <v>8</v>
      </c>
      <c r="EC254">
        <v>8.9566921064982937E-4</v>
      </c>
      <c r="ED254">
        <v>8.7696542201086188E-3</v>
      </c>
      <c r="EE254">
        <v>0</v>
      </c>
      <c r="EF254">
        <v>0</v>
      </c>
      <c r="EG254">
        <v>11.102132785189646</v>
      </c>
      <c r="EH254" t="s">
        <v>110</v>
      </c>
      <c r="EI254">
        <v>0</v>
      </c>
      <c r="EJ254">
        <v>0</v>
      </c>
      <c r="EK254">
        <v>0</v>
      </c>
      <c r="EL254">
        <v>0</v>
      </c>
      <c r="EM254">
        <v>0</v>
      </c>
      <c r="EN254">
        <v>0</v>
      </c>
      <c r="EO254">
        <v>0</v>
      </c>
      <c r="EP254">
        <v>0</v>
      </c>
    </row>
    <row r="255" spans="1:146" ht="96" x14ac:dyDescent="0.25">
      <c r="A255" s="7"/>
      <c r="B255" s="7"/>
      <c r="C255" s="7" t="str">
        <f>""&amp;CHAR(10)&amp;Basic_Fundamental_Information_Constructure(F255)&amp;CHAR(10)&amp;Basic_Fundamental_Information_Concatenate("")</f>
        <v xml:space="preserve">
市值151.53342亿, 利润16.98亿; PE8.92; 平均PE13.41; 平均PEG1.21, PB.985; ROIC10.6933%; ROE13.1033%; 股利率0%; 毛利83.4467%; 净利24.54%; 上一年度营收增10.63%, 利润增-16.02%, 利润增-21.42%; 过往5年营收增11.05%, 利润增63.83%
Income profile:
</v>
      </c>
      <c r="D255" s="11">
        <v>1530</v>
      </c>
      <c r="E255" t="s">
        <v>3753</v>
      </c>
      <c r="F255">
        <v>6.27</v>
      </c>
      <c r="G255" s="5">
        <v>-6.3E-3</v>
      </c>
      <c r="H255" t="s">
        <v>9665</v>
      </c>
      <c r="I255">
        <v>15153342000</v>
      </c>
      <c r="J255">
        <v>8.92</v>
      </c>
      <c r="K255">
        <v>0.98499999999999999</v>
      </c>
      <c r="L255" t="s">
        <v>6350</v>
      </c>
      <c r="M255" t="s">
        <v>9</v>
      </c>
      <c r="N255" t="s">
        <v>9</v>
      </c>
      <c r="O255" t="s">
        <v>9</v>
      </c>
      <c r="P255" t="s">
        <v>9</v>
      </c>
      <c r="Q255" t="s">
        <v>9666</v>
      </c>
      <c r="R255">
        <v>1698275800</v>
      </c>
      <c r="S255" s="5">
        <v>-0.2142</v>
      </c>
      <c r="T255" t="s">
        <v>5188</v>
      </c>
      <c r="U255">
        <v>2438920400</v>
      </c>
      <c r="V255">
        <v>2438920400</v>
      </c>
      <c r="W255" t="s">
        <v>9</v>
      </c>
      <c r="X255" t="s">
        <v>9</v>
      </c>
      <c r="Y255" t="s">
        <v>9</v>
      </c>
      <c r="Z255" t="s">
        <v>9</v>
      </c>
      <c r="AA255" t="s">
        <v>9</v>
      </c>
      <c r="AB255" t="s">
        <v>9</v>
      </c>
      <c r="AC255" t="s">
        <v>9</v>
      </c>
      <c r="AD255" t="s">
        <v>2427</v>
      </c>
      <c r="AE255" t="s">
        <v>9</v>
      </c>
      <c r="AF255" t="s">
        <v>9</v>
      </c>
      <c r="AG255" t="s">
        <v>9</v>
      </c>
      <c r="AH255" t="s">
        <v>9667</v>
      </c>
      <c r="AI255" t="s">
        <v>9</v>
      </c>
      <c r="AJ255" t="s">
        <v>9</v>
      </c>
      <c r="AK255" t="s">
        <v>9668</v>
      </c>
      <c r="AL255" t="s">
        <v>9</v>
      </c>
      <c r="AM255" t="s">
        <v>9</v>
      </c>
      <c r="AN255" s="5">
        <v>0.30099999999999999</v>
      </c>
      <c r="AO255" t="s">
        <v>9</v>
      </c>
      <c r="AP255" t="s">
        <v>568</v>
      </c>
      <c r="AQ255" t="s">
        <v>9</v>
      </c>
      <c r="AR255" t="s">
        <v>9669</v>
      </c>
      <c r="AS255" t="s">
        <v>9</v>
      </c>
      <c r="AT255" t="s">
        <v>9</v>
      </c>
      <c r="AU255" t="s">
        <v>9670</v>
      </c>
      <c r="AV255" t="s">
        <v>9671</v>
      </c>
      <c r="AW255" t="s">
        <v>9</v>
      </c>
      <c r="AX255" t="s">
        <v>9672</v>
      </c>
      <c r="AY255" t="s">
        <v>3756</v>
      </c>
      <c r="AZ255" t="s">
        <v>3757</v>
      </c>
      <c r="BA255" t="s">
        <v>3758</v>
      </c>
      <c r="BB255" t="s">
        <v>1175</v>
      </c>
      <c r="BC255" t="s">
        <v>3759</v>
      </c>
      <c r="BD255" t="s">
        <v>3760</v>
      </c>
      <c r="BE255" t="s">
        <v>3660</v>
      </c>
      <c r="BF255" t="s">
        <v>3378</v>
      </c>
      <c r="BG255" t="s">
        <v>1811</v>
      </c>
      <c r="BH255" t="s">
        <v>9672</v>
      </c>
      <c r="BI255" t="s">
        <v>9</v>
      </c>
      <c r="BJ255" t="s">
        <v>3756</v>
      </c>
      <c r="BK255" t="s">
        <v>3754</v>
      </c>
      <c r="BL255" t="s">
        <v>9</v>
      </c>
      <c r="BM255" t="s">
        <v>3759</v>
      </c>
      <c r="BN255">
        <v>8.5500000000000007</v>
      </c>
      <c r="BO255">
        <v>11.89</v>
      </c>
      <c r="BP255">
        <v>11.64</v>
      </c>
      <c r="BQ255">
        <v>11.04</v>
      </c>
      <c r="BR255">
        <v>14.77</v>
      </c>
      <c r="BS255">
        <v>13.5</v>
      </c>
      <c r="BT255" t="s">
        <v>9673</v>
      </c>
      <c r="BU255" t="s">
        <v>489</v>
      </c>
      <c r="BV255">
        <v>84.98</v>
      </c>
      <c r="BW255">
        <v>82.69</v>
      </c>
      <c r="BX255">
        <v>82.67</v>
      </c>
      <c r="BY255">
        <v>20.3</v>
      </c>
      <c r="BZ255">
        <v>27.82</v>
      </c>
      <c r="CA255">
        <v>25.5</v>
      </c>
      <c r="CB255">
        <v>2.96</v>
      </c>
      <c r="CC255">
        <v>-4.8600000000000003</v>
      </c>
      <c r="CD255" t="s">
        <v>9674</v>
      </c>
      <c r="CE255" t="s">
        <v>153</v>
      </c>
      <c r="CF255" s="8" t="s">
        <v>9</v>
      </c>
      <c r="CG255" s="9">
        <v>-0.2142</v>
      </c>
      <c r="CH255" s="8">
        <v>0.10626211017370224</v>
      </c>
      <c r="CI255" s="8">
        <v>-8.9571503922343254E-3</v>
      </c>
      <c r="CJ255" s="8">
        <v>0.17342348396778107</v>
      </c>
      <c r="CK255" s="8">
        <v>0.27610653638839722</v>
      </c>
      <c r="CL255" s="8">
        <v>0.1657358855009079</v>
      </c>
      <c r="CM255" s="9">
        <v>-0.1602373868227005</v>
      </c>
      <c r="CN255" s="9">
        <v>1.0301204919815063</v>
      </c>
      <c r="CO255" s="9">
        <v>-8.4558822214603424E-2</v>
      </c>
      <c r="CP255" s="9">
        <v>-0.25171938538551331</v>
      </c>
      <c r="CQ255" s="9">
        <v>0.29705628752708435</v>
      </c>
      <c r="CR255">
        <v>13.40608257151283</v>
      </c>
      <c r="CS255">
        <v>1.213021520568959</v>
      </c>
      <c r="CT255">
        <v>0</v>
      </c>
      <c r="CU255" s="8">
        <v>0.11051809340715409</v>
      </c>
      <c r="CV255" s="9">
        <v>0.63830752335488794</v>
      </c>
      <c r="CW255">
        <v>0.06</v>
      </c>
      <c r="CX255">
        <v>8.5182614484690635</v>
      </c>
      <c r="CY255">
        <v>1778924266.6088185</v>
      </c>
      <c r="CZ255">
        <v>0.11051809340715409</v>
      </c>
      <c r="DA255">
        <v>2.7358525030686307</v>
      </c>
      <c r="DB255">
        <v>5538800788.0554476</v>
      </c>
      <c r="DC255">
        <v>0.10499218873679637</v>
      </c>
      <c r="DD255">
        <v>1.3156997240099626</v>
      </c>
      <c r="DE255">
        <v>11517325513.921942</v>
      </c>
      <c r="DF255">
        <v>9.7255922198295597E-2</v>
      </c>
      <c r="DG255">
        <v>0.76936323383099836</v>
      </c>
      <c r="DH255">
        <v>19695952878.518559</v>
      </c>
      <c r="DI255">
        <v>8.841447472572328E-2</v>
      </c>
      <c r="DJ255">
        <v>0.3745828805788336</v>
      </c>
      <c r="DK255">
        <v>40453909630.317108</v>
      </c>
      <c r="DL255">
        <v>7.7362665385007856E-2</v>
      </c>
      <c r="DM255">
        <v>1698000000</v>
      </c>
      <c r="DN255">
        <v>0.11051809340715409</v>
      </c>
      <c r="DO255">
        <v>15153342000</v>
      </c>
      <c r="DP255" t="e">
        <v>#VALUE!</v>
      </c>
      <c r="DQ255">
        <v>254</v>
      </c>
      <c r="DR255" t="e">
        <v>#VALUE!</v>
      </c>
      <c r="DS255">
        <v>-0.852507523354888</v>
      </c>
      <c r="DT255" t="e">
        <v>#VALUE!</v>
      </c>
      <c r="DU255" t="e">
        <v>#VALUE!</v>
      </c>
      <c r="DV255" t="e">
        <v>#VALUE!</v>
      </c>
      <c r="DW255">
        <v>6.3785166240409206</v>
      </c>
      <c r="DX255">
        <v>0.59333849765258173</v>
      </c>
      <c r="DY255">
        <v>6.0618263367073713</v>
      </c>
      <c r="DZ255">
        <v>0</v>
      </c>
      <c r="EA255">
        <v>6.0618263367073713</v>
      </c>
      <c r="EB255">
        <v>6</v>
      </c>
      <c r="EC255">
        <v>1.4264959200800485E-2</v>
      </c>
      <c r="ED255">
        <v>8.7333723560637733E-2</v>
      </c>
      <c r="EE255">
        <v>0</v>
      </c>
      <c r="EF255">
        <v>0</v>
      </c>
      <c r="EG255">
        <v>43.163338497652582</v>
      </c>
      <c r="EH255" t="s">
        <v>110</v>
      </c>
      <c r="EI255">
        <v>0</v>
      </c>
      <c r="EJ255">
        <v>0</v>
      </c>
      <c r="EK255">
        <v>0</v>
      </c>
      <c r="EL255">
        <v>0</v>
      </c>
      <c r="EM255">
        <v>0</v>
      </c>
      <c r="EN255">
        <v>0</v>
      </c>
      <c r="EO255">
        <v>0</v>
      </c>
      <c r="EP255">
        <v>0</v>
      </c>
    </row>
    <row r="256" spans="1:146" ht="96" x14ac:dyDescent="0.25">
      <c r="A256"/>
      <c r="B256"/>
      <c r="C256" s="7" t="str">
        <f>""&amp;CHAR(10)&amp;Basic_Fundamental_Information_Constructure(F256)&amp;CHAR(10)&amp;Basic_Fundamental_Information_Concatenate("")</f>
        <v xml:space="preserve">
市值51.858257亿, 利润--; PE; 平均PE138.46; 平均PEG3.83, PB6.32; ROIC0%; ROE0%; 股利率0%; 毛利0%; 净利0%, 利润增8.48%; 过往5年营收增36.14%, 利润增-180%
Income profile:
</v>
      </c>
      <c r="D256" s="11">
        <v>1541</v>
      </c>
      <c r="E256" t="s">
        <v>9675</v>
      </c>
      <c r="F256">
        <v>13.86</v>
      </c>
      <c r="G256">
        <v>-0.01</v>
      </c>
      <c r="H256" t="s">
        <v>9676</v>
      </c>
      <c r="I256">
        <v>5185825700</v>
      </c>
      <c r="K256">
        <v>6.32</v>
      </c>
      <c r="L256" t="s">
        <v>6350</v>
      </c>
      <c r="M256" t="s">
        <v>9</v>
      </c>
      <c r="N256" t="s">
        <v>9</v>
      </c>
      <c r="O256" t="s">
        <v>9</v>
      </c>
      <c r="P256" s="5" t="s">
        <v>9</v>
      </c>
      <c r="Q256" t="s">
        <v>9</v>
      </c>
      <c r="R256">
        <v>-415962960</v>
      </c>
      <c r="S256">
        <v>8.48E-2</v>
      </c>
      <c r="T256" t="s">
        <v>9</v>
      </c>
      <c r="U256">
        <v>228550040</v>
      </c>
      <c r="V256">
        <v>374157700</v>
      </c>
      <c r="W256" t="s">
        <v>9</v>
      </c>
      <c r="X256" t="s">
        <v>9</v>
      </c>
      <c r="Y256" t="s">
        <v>9</v>
      </c>
      <c r="Z256" t="s">
        <v>9</v>
      </c>
      <c r="AA256" t="s">
        <v>9</v>
      </c>
      <c r="AB256" t="s">
        <v>9</v>
      </c>
      <c r="AC256" t="s">
        <v>9</v>
      </c>
      <c r="AD256" t="s">
        <v>9</v>
      </c>
      <c r="AE256" t="s">
        <v>9</v>
      </c>
      <c r="AF256" t="s">
        <v>9</v>
      </c>
      <c r="AG256" t="s">
        <v>9</v>
      </c>
      <c r="AH256" t="s">
        <v>9677</v>
      </c>
      <c r="AI256" t="s">
        <v>9</v>
      </c>
      <c r="AJ256" t="s">
        <v>9</v>
      </c>
      <c r="AK256" s="5" t="s">
        <v>9678</v>
      </c>
      <c r="AL256" t="s">
        <v>9</v>
      </c>
      <c r="AM256" t="s">
        <v>9</v>
      </c>
      <c r="AN256">
        <v>0.1444</v>
      </c>
      <c r="AO256" t="s">
        <v>9</v>
      </c>
      <c r="AP256" t="s">
        <v>9</v>
      </c>
      <c r="AQ256" t="s">
        <v>9</v>
      </c>
      <c r="AR256" t="s">
        <v>9</v>
      </c>
      <c r="AS256" t="s">
        <v>9</v>
      </c>
      <c r="AT256" t="s">
        <v>9</v>
      </c>
      <c r="AU256" t="s">
        <v>9</v>
      </c>
      <c r="AV256" t="s">
        <v>9</v>
      </c>
      <c r="AW256" t="s">
        <v>9</v>
      </c>
      <c r="AX256" t="s">
        <v>9</v>
      </c>
      <c r="AY256" t="s">
        <v>9</v>
      </c>
      <c r="AZ256" t="s">
        <v>9</v>
      </c>
      <c r="BA256" t="s">
        <v>9</v>
      </c>
      <c r="BB256" t="s">
        <v>9</v>
      </c>
      <c r="BC256" t="s">
        <v>9</v>
      </c>
      <c r="BD256" t="s">
        <v>9</v>
      </c>
      <c r="BE256" t="s">
        <v>9</v>
      </c>
      <c r="BF256" t="s">
        <v>9</v>
      </c>
      <c r="BG256" t="s">
        <v>9</v>
      </c>
      <c r="BH256" t="s">
        <v>9</v>
      </c>
      <c r="BI256" t="s">
        <v>9</v>
      </c>
      <c r="BJ256" t="s">
        <v>9</v>
      </c>
      <c r="BK256" t="s">
        <v>9</v>
      </c>
      <c r="BL256" t="s">
        <v>9</v>
      </c>
      <c r="BM256" t="s">
        <v>9</v>
      </c>
      <c r="BN256" t="s">
        <v>9</v>
      </c>
      <c r="BO256" t="s">
        <v>9</v>
      </c>
      <c r="BP256" t="s">
        <v>9</v>
      </c>
      <c r="BQ256" t="s">
        <v>9</v>
      </c>
      <c r="BR256" t="s">
        <v>9</v>
      </c>
      <c r="BS256" t="s">
        <v>9</v>
      </c>
      <c r="BT256" t="s">
        <v>9</v>
      </c>
      <c r="BU256" t="s">
        <v>9</v>
      </c>
      <c r="BV256" t="s">
        <v>9</v>
      </c>
      <c r="BW256" t="s">
        <v>9</v>
      </c>
      <c r="BX256" t="s">
        <v>9</v>
      </c>
      <c r="BY256" t="s">
        <v>9</v>
      </c>
      <c r="BZ256" t="s">
        <v>9</v>
      </c>
      <c r="CA256" t="s">
        <v>9</v>
      </c>
      <c r="CB256">
        <v>-0.86</v>
      </c>
      <c r="CC256" s="8">
        <v>-5.71</v>
      </c>
      <c r="CD256" s="10" t="s">
        <v>9679</v>
      </c>
      <c r="CE256" s="8" t="s">
        <v>9680</v>
      </c>
      <c r="CF256" s="8" t="s">
        <v>9</v>
      </c>
      <c r="CG256" s="8">
        <v>8.48E-2</v>
      </c>
      <c r="CH256" s="8" t="s">
        <v>9</v>
      </c>
      <c r="CI256" s="8" t="s">
        <v>9</v>
      </c>
      <c r="CJ256" s="9" t="s">
        <v>9</v>
      </c>
      <c r="CK256" s="9" t="s">
        <v>9</v>
      </c>
      <c r="CL256" s="9" t="s">
        <v>9</v>
      </c>
      <c r="CM256" s="9" t="s">
        <v>9</v>
      </c>
      <c r="CN256" s="9" t="s">
        <v>9</v>
      </c>
      <c r="CO256" t="s">
        <v>9</v>
      </c>
      <c r="CP256" t="s">
        <v>9</v>
      </c>
      <c r="CQ256" t="s">
        <v>9</v>
      </c>
      <c r="CR256" s="8">
        <v>138.46296405075194</v>
      </c>
      <c r="CS256" s="9">
        <v>3.8308538414430364</v>
      </c>
      <c r="CT256">
        <v>0</v>
      </c>
      <c r="CU256">
        <v>0.36144152134656904</v>
      </c>
      <c r="CV256">
        <v>-1.7999522805213928</v>
      </c>
      <c r="CW256">
        <v>0.06</v>
      </c>
      <c r="CX256" t="e">
        <v>#DIV/0!</v>
      </c>
      <c r="CY256">
        <v>0</v>
      </c>
      <c r="CZ256">
        <v>0.36144152134656904</v>
      </c>
      <c r="DA256" t="e">
        <v>#DIV/0!</v>
      </c>
      <c r="DB256">
        <v>0</v>
      </c>
      <c r="DC256">
        <v>0.34336944527924057</v>
      </c>
      <c r="DD256" t="e">
        <v>#DIV/0!</v>
      </c>
      <c r="DE256">
        <v>0</v>
      </c>
      <c r="DF256">
        <v>0.31806853878498076</v>
      </c>
      <c r="DG256" t="e">
        <v>#DIV/0!</v>
      </c>
      <c r="DH256">
        <v>0</v>
      </c>
      <c r="DI256">
        <v>0.28915321707725522</v>
      </c>
      <c r="DJ256" t="e">
        <v>#DIV/0!</v>
      </c>
      <c r="DK256">
        <v>0</v>
      </c>
      <c r="DL256">
        <v>0.25300906494259834</v>
      </c>
      <c r="DM256">
        <v>0</v>
      </c>
      <c r="DN256">
        <v>0.36144152134656904</v>
      </c>
      <c r="DO256">
        <v>5185825700</v>
      </c>
      <c r="DP256" t="e">
        <v>#VALUE!</v>
      </c>
      <c r="DQ256">
        <v>255</v>
      </c>
      <c r="DR256" t="e">
        <v>#VALUE!</v>
      </c>
      <c r="DS256">
        <v>1.8847522805213928</v>
      </c>
      <c r="DT256" t="e">
        <v>#VALUE!</v>
      </c>
      <c r="DU256" t="e">
        <v>#VALUE!</v>
      </c>
      <c r="DV256" t="e">
        <v>#VALUE!</v>
      </c>
      <c r="DW256">
        <v>-1.0570999999999999</v>
      </c>
      <c r="DX256">
        <v>0.50875440658049409</v>
      </c>
      <c r="DY256">
        <v>-1.0176298766157461</v>
      </c>
      <c r="DZ256">
        <v>0</v>
      </c>
      <c r="EA256">
        <v>-1.0176298766157461</v>
      </c>
      <c r="EB256">
        <v>1</v>
      </c>
      <c r="EC256">
        <v>4.4943616020731367E-3</v>
      </c>
      <c r="ED256">
        <v>1.455642901375543E-2</v>
      </c>
      <c r="EE256">
        <v>0</v>
      </c>
      <c r="EF256">
        <v>0</v>
      </c>
      <c r="EG256">
        <v>20.308754406580494</v>
      </c>
      <c r="EH256" t="s">
        <v>110</v>
      </c>
      <c r="EI256">
        <v>0</v>
      </c>
      <c r="EJ256">
        <v>0</v>
      </c>
      <c r="EK256">
        <v>0</v>
      </c>
      <c r="EL256">
        <v>0</v>
      </c>
      <c r="EM256">
        <v>0</v>
      </c>
      <c r="EN256">
        <v>0</v>
      </c>
      <c r="EO256">
        <v>0</v>
      </c>
      <c r="EP256">
        <v>0</v>
      </c>
    </row>
    <row r="257" spans="1:146" ht="96" x14ac:dyDescent="0.25">
      <c r="A257" s="7"/>
      <c r="B257" s="7"/>
      <c r="C257" s="7" t="str">
        <f>""&amp;CHAR(10)&amp;Basic_Fundamental_Information_Constructure(F257)&amp;CHAR(10)&amp;Basic_Fundamental_Information_Concatenate("")</f>
        <v xml:space="preserve">
市值179.39866亿, 利润-7.46亿; PE; 平均PE88.02; 平均PEG2.08, PB1.65; ROIC-20.11%; ROE-22.95%; 股利率0%; 毛利52.2533%; 净利-69.5733%; 上一年度营收增34.25%, 利润增73.33%, 利润增57.9%; 过往5年营收增42.36%, 利润增-1043.21%
Income profile:
</v>
      </c>
      <c r="D257" s="11">
        <v>1548</v>
      </c>
      <c r="E257" t="s">
        <v>3761</v>
      </c>
      <c r="F257">
        <v>8.44</v>
      </c>
      <c r="G257" s="5">
        <v>-3.5400000000000001E-2</v>
      </c>
      <c r="H257" t="s">
        <v>9681</v>
      </c>
      <c r="I257">
        <v>17939866000</v>
      </c>
      <c r="K257">
        <v>1.65</v>
      </c>
      <c r="L257" t="s">
        <v>6350</v>
      </c>
      <c r="M257" t="s">
        <v>9</v>
      </c>
      <c r="N257" t="s">
        <v>9</v>
      </c>
      <c r="O257" t="s">
        <v>9</v>
      </c>
      <c r="P257" t="s">
        <v>9</v>
      </c>
      <c r="Q257" t="s">
        <v>3336</v>
      </c>
      <c r="R257">
        <v>-745770850</v>
      </c>
      <c r="S257" s="5">
        <v>0.57899999999999996</v>
      </c>
      <c r="T257" t="s">
        <v>9682</v>
      </c>
      <c r="U257">
        <v>2124027700</v>
      </c>
      <c r="V257">
        <v>2124027700</v>
      </c>
      <c r="W257" t="s">
        <v>9</v>
      </c>
      <c r="X257" t="s">
        <v>9</v>
      </c>
      <c r="Y257" t="s">
        <v>9</v>
      </c>
      <c r="Z257" t="s">
        <v>9</v>
      </c>
      <c r="AA257" t="s">
        <v>9</v>
      </c>
      <c r="AB257" t="s">
        <v>9</v>
      </c>
      <c r="AC257" t="s">
        <v>9</v>
      </c>
      <c r="AD257" t="s">
        <v>9683</v>
      </c>
      <c r="AE257" t="s">
        <v>9</v>
      </c>
      <c r="AF257" t="s">
        <v>9</v>
      </c>
      <c r="AG257" t="s">
        <v>9</v>
      </c>
      <c r="AH257" t="s">
        <v>9684</v>
      </c>
      <c r="AI257" t="s">
        <v>9</v>
      </c>
      <c r="AJ257" t="s">
        <v>9</v>
      </c>
      <c r="AK257" t="s">
        <v>9685</v>
      </c>
      <c r="AL257" t="s">
        <v>9</v>
      </c>
      <c r="AM257" t="s">
        <v>9</v>
      </c>
      <c r="AN257" s="5">
        <v>0.39650000000000002</v>
      </c>
      <c r="AO257" t="s">
        <v>9</v>
      </c>
      <c r="AP257" t="s">
        <v>671</v>
      </c>
      <c r="AQ257" t="s">
        <v>9</v>
      </c>
      <c r="AR257" t="s">
        <v>2548</v>
      </c>
      <c r="AS257" t="s">
        <v>9</v>
      </c>
      <c r="AT257" t="s">
        <v>9</v>
      </c>
      <c r="AU257" t="s">
        <v>9686</v>
      </c>
      <c r="AV257" t="s">
        <v>9687</v>
      </c>
      <c r="AW257" t="s">
        <v>9</v>
      </c>
      <c r="AX257" t="s">
        <v>3762</v>
      </c>
      <c r="AY257" t="s">
        <v>3766</v>
      </c>
      <c r="AZ257" t="s">
        <v>3767</v>
      </c>
      <c r="BA257" t="s">
        <v>3476</v>
      </c>
      <c r="BB257" t="s">
        <v>1192</v>
      </c>
      <c r="BC257" t="s">
        <v>9688</v>
      </c>
      <c r="BD257" t="s">
        <v>3768</v>
      </c>
      <c r="BE257" t="s">
        <v>3769</v>
      </c>
      <c r="BF257" t="s">
        <v>41</v>
      </c>
      <c r="BG257" t="s">
        <v>3770</v>
      </c>
      <c r="BH257" t="s">
        <v>3762</v>
      </c>
      <c r="BI257" t="s">
        <v>9</v>
      </c>
      <c r="BJ257" t="s">
        <v>3766</v>
      </c>
      <c r="BK257" t="s">
        <v>3763</v>
      </c>
      <c r="BL257" t="s">
        <v>9</v>
      </c>
      <c r="BM257" t="s">
        <v>9688</v>
      </c>
      <c r="BN257">
        <v>-6.28</v>
      </c>
      <c r="BO257">
        <v>-18.350000000000001</v>
      </c>
      <c r="BP257">
        <v>-35.700000000000003</v>
      </c>
      <c r="BQ257">
        <v>-6.86</v>
      </c>
      <c r="BR257">
        <v>-22.45</v>
      </c>
      <c r="BS257">
        <v>-39.54</v>
      </c>
      <c r="BT257" t="s">
        <v>64</v>
      </c>
      <c r="BU257" t="s">
        <v>489</v>
      </c>
      <c r="BV257">
        <v>48.78</v>
      </c>
      <c r="BW257">
        <v>48.6</v>
      </c>
      <c r="BX257">
        <v>59.38</v>
      </c>
      <c r="BY257">
        <v>-42.3</v>
      </c>
      <c r="BZ257">
        <v>-68.400000000000006</v>
      </c>
      <c r="CA257">
        <v>-98.02</v>
      </c>
      <c r="CB257">
        <v>-1.97</v>
      </c>
      <c r="CC257">
        <v>-32.049999999999997</v>
      </c>
      <c r="CD257" t="s">
        <v>9689</v>
      </c>
      <c r="CE257" t="s">
        <v>194</v>
      </c>
      <c r="CF257" s="8" t="s">
        <v>9</v>
      </c>
      <c r="CG257" s="9">
        <v>0.57899999999999996</v>
      </c>
      <c r="CH257" s="8">
        <v>0.34247693419456482</v>
      </c>
      <c r="CI257" s="8">
        <v>0.27812665700912476</v>
      </c>
      <c r="CJ257" s="8">
        <v>0.26138612627983093</v>
      </c>
      <c r="CK257" s="8">
        <v>0.67403322458267212</v>
      </c>
      <c r="CL257" s="8">
        <v>0.51718366146087646</v>
      </c>
      <c r="CM257" s="9">
        <v>0.73328566551208496</v>
      </c>
      <c r="CN257" s="9">
        <v>-0.76022660732269287</v>
      </c>
      <c r="CO257" s="9">
        <v>-1.1046357154846191</v>
      </c>
      <c r="CP257" s="9">
        <v>-5.5481929779052734</v>
      </c>
      <c r="CQ257" s="9">
        <v>-0.18627451360225677</v>
      </c>
      <c r="CR257">
        <v>88.016779243781073</v>
      </c>
      <c r="CS257">
        <v>2.0779937288217298</v>
      </c>
      <c r="CT257">
        <v>0</v>
      </c>
      <c r="CU257" s="8">
        <v>0.42356614470481874</v>
      </c>
      <c r="CV257" s="9">
        <v>-10.432062077522279</v>
      </c>
      <c r="CW257">
        <v>0.06</v>
      </c>
      <c r="CX257" t="e">
        <v>#VALUE!</v>
      </c>
      <c r="CY257" t="s">
        <v>109</v>
      </c>
      <c r="CZ257">
        <v>0.42356614470481874</v>
      </c>
      <c r="DA257" t="e">
        <v>#VALUE!</v>
      </c>
      <c r="DB257" t="s">
        <v>108</v>
      </c>
      <c r="DC257">
        <v>0.40238783746957779</v>
      </c>
      <c r="DD257" t="e">
        <v>#VALUE!</v>
      </c>
      <c r="DE257" t="s">
        <v>108</v>
      </c>
      <c r="DF257">
        <v>0.37273820734024049</v>
      </c>
      <c r="DG257" t="e">
        <v>#VALUE!</v>
      </c>
      <c r="DH257" t="s">
        <v>108</v>
      </c>
      <c r="DI257">
        <v>0.33885291576385501</v>
      </c>
      <c r="DJ257" t="e">
        <v>#VALUE!</v>
      </c>
      <c r="DK257" t="s">
        <v>108</v>
      </c>
      <c r="DL257">
        <v>0.29649630129337312</v>
      </c>
      <c r="DM257">
        <v>-746000000</v>
      </c>
      <c r="DN257">
        <v>0.42356614470481874</v>
      </c>
      <c r="DO257">
        <v>17939866000</v>
      </c>
      <c r="DP257" t="e">
        <v>#VALUE!</v>
      </c>
      <c r="DQ257">
        <v>256</v>
      </c>
      <c r="DR257" t="e">
        <v>#VALUE!</v>
      </c>
      <c r="DS257">
        <v>11.011062077522279</v>
      </c>
      <c r="DT257" t="e">
        <v>#VALUE!</v>
      </c>
      <c r="DU257" t="e">
        <v>#VALUE!</v>
      </c>
      <c r="DV257" t="e">
        <v>#VALUE!</v>
      </c>
      <c r="DW257">
        <v>-3.1815178571428571</v>
      </c>
      <c r="DX257">
        <v>0.20766623376623328</v>
      </c>
      <c r="DY257">
        <v>-3.0177281654684602</v>
      </c>
      <c r="DZ257">
        <v>0</v>
      </c>
      <c r="EA257">
        <v>-3.0177281654684602</v>
      </c>
      <c r="EB257">
        <v>3</v>
      </c>
      <c r="EC257">
        <v>2.4784092975811946E-2</v>
      </c>
      <c r="ED257">
        <v>0.25376316890782546</v>
      </c>
      <c r="EE257">
        <v>0</v>
      </c>
      <c r="EF257">
        <v>0</v>
      </c>
      <c r="EG257">
        <v>11.097666233766233</v>
      </c>
      <c r="EH257" t="s">
        <v>110</v>
      </c>
      <c r="EI257">
        <v>0</v>
      </c>
      <c r="EJ257">
        <v>0</v>
      </c>
      <c r="EK257">
        <v>0</v>
      </c>
      <c r="EL257">
        <v>0</v>
      </c>
      <c r="EM257">
        <v>0</v>
      </c>
      <c r="EN257">
        <v>0</v>
      </c>
      <c r="EO257">
        <v>0</v>
      </c>
      <c r="EP257">
        <v>0</v>
      </c>
    </row>
    <row r="258" spans="1:146" ht="84" x14ac:dyDescent="0.25">
      <c r="C258" s="7" t="str">
        <f>""&amp;CHAR(10)&amp;Basic_Fundamental_Information_Constructure(F258)&amp;CHAR(10)&amp;Basic_Fundamental_Information_Concatenate("")</f>
        <v xml:space="preserve">
市值7.2709302亿, 利润--; PE1.49; 平均PE1.63; 平均PEG.01, PB.286; ROIC9.43%; ROE11.145%; 股利率0%; 毛利84.705%; 净利67.465%, 利润增153.6%; 过往5年营收增115.94%, 利润增253.87%
Income profile:
</v>
      </c>
      <c r="D258" s="11">
        <v>1563</v>
      </c>
      <c r="E258" t="s">
        <v>6371</v>
      </c>
      <c r="F258">
        <v>0.43</v>
      </c>
      <c r="G258">
        <v>-5.4899999999999997E-2</v>
      </c>
      <c r="H258" t="s">
        <v>9690</v>
      </c>
      <c r="I258">
        <v>727093020</v>
      </c>
      <c r="J258">
        <v>1.49</v>
      </c>
      <c r="K258">
        <v>0.28599999999999998</v>
      </c>
      <c r="L258" t="s">
        <v>6350</v>
      </c>
      <c r="M258" t="s">
        <v>9</v>
      </c>
      <c r="N258" t="s">
        <v>9</v>
      </c>
      <c r="O258" t="s">
        <v>9</v>
      </c>
      <c r="P258" s="5" t="s">
        <v>9</v>
      </c>
      <c r="Q258" t="s">
        <v>9</v>
      </c>
      <c r="R258">
        <v>136611710</v>
      </c>
      <c r="S258">
        <v>1.536</v>
      </c>
      <c r="T258" t="s">
        <v>9</v>
      </c>
      <c r="U258">
        <v>1690914000</v>
      </c>
      <c r="V258">
        <v>1690914000</v>
      </c>
      <c r="W258" t="s">
        <v>9</v>
      </c>
      <c r="X258" t="s">
        <v>9</v>
      </c>
      <c r="Y258" t="s">
        <v>9</v>
      </c>
      <c r="Z258" t="s">
        <v>9</v>
      </c>
      <c r="AA258" t="s">
        <v>9</v>
      </c>
      <c r="AB258" t="s">
        <v>9</v>
      </c>
      <c r="AC258" t="s">
        <v>9</v>
      </c>
      <c r="AD258" t="s">
        <v>9</v>
      </c>
      <c r="AE258" t="s">
        <v>9</v>
      </c>
      <c r="AF258" t="s">
        <v>9</v>
      </c>
      <c r="AG258" t="s">
        <v>9</v>
      </c>
      <c r="AH258" t="s">
        <v>6372</v>
      </c>
      <c r="AI258" t="s">
        <v>9</v>
      </c>
      <c r="AJ258" t="s">
        <v>9</v>
      </c>
      <c r="AK258" s="5" t="s">
        <v>6373</v>
      </c>
      <c r="AL258" t="s">
        <v>9</v>
      </c>
      <c r="AM258" t="s">
        <v>9</v>
      </c>
      <c r="AN258">
        <v>0.2291</v>
      </c>
      <c r="AO258" t="s">
        <v>9</v>
      </c>
      <c r="AP258" t="s">
        <v>9</v>
      </c>
      <c r="AQ258" t="s">
        <v>9</v>
      </c>
      <c r="AR258" t="s">
        <v>9</v>
      </c>
      <c r="AS258" t="s">
        <v>9</v>
      </c>
      <c r="AT258" t="s">
        <v>9</v>
      </c>
      <c r="AU258" t="s">
        <v>9</v>
      </c>
      <c r="AV258" t="s">
        <v>9</v>
      </c>
      <c r="AW258" t="s">
        <v>9</v>
      </c>
      <c r="AX258" t="s">
        <v>1041</v>
      </c>
      <c r="AY258" t="s">
        <v>6233</v>
      </c>
      <c r="AZ258" t="s">
        <v>2279</v>
      </c>
      <c r="BA258" t="s">
        <v>1269</v>
      </c>
      <c r="BB258" t="s">
        <v>161</v>
      </c>
      <c r="BC258" t="s">
        <v>9691</v>
      </c>
      <c r="BD258" t="s">
        <v>9692</v>
      </c>
      <c r="BE258" t="s">
        <v>9693</v>
      </c>
      <c r="BF258" t="s">
        <v>9694</v>
      </c>
      <c r="BG258" t="s">
        <v>9695</v>
      </c>
      <c r="BH258" t="s">
        <v>1041</v>
      </c>
      <c r="BI258" t="s">
        <v>9</v>
      </c>
      <c r="BJ258" t="s">
        <v>6233</v>
      </c>
      <c r="BK258" t="s">
        <v>6380</v>
      </c>
      <c r="BL258" t="s">
        <v>9</v>
      </c>
      <c r="BM258" t="s">
        <v>9691</v>
      </c>
      <c r="BN258" t="s">
        <v>9</v>
      </c>
      <c r="BO258">
        <v>15.54</v>
      </c>
      <c r="BP258">
        <v>3.32</v>
      </c>
      <c r="BQ258" t="s">
        <v>9</v>
      </c>
      <c r="BR258">
        <v>16.09</v>
      </c>
      <c r="BS258">
        <v>6.2</v>
      </c>
      <c r="BT258" t="s">
        <v>9</v>
      </c>
      <c r="BU258" t="s">
        <v>1974</v>
      </c>
      <c r="BV258" t="s">
        <v>9</v>
      </c>
      <c r="BW258">
        <v>69.41</v>
      </c>
      <c r="BX258">
        <v>100</v>
      </c>
      <c r="BY258" t="s">
        <v>9</v>
      </c>
      <c r="BZ258">
        <v>100.9</v>
      </c>
      <c r="CA258">
        <v>34.03</v>
      </c>
      <c r="CB258">
        <v>-23.21</v>
      </c>
      <c r="CC258" s="8">
        <v>-37.68</v>
      </c>
      <c r="CD258" s="10" t="s">
        <v>23</v>
      </c>
      <c r="CE258" s="8" t="s">
        <v>3635</v>
      </c>
      <c r="CF258" s="8" t="s">
        <v>9</v>
      </c>
      <c r="CG258" s="8">
        <v>1.536</v>
      </c>
      <c r="CH258" s="8" t="s">
        <v>9</v>
      </c>
      <c r="CI258" s="8">
        <v>0.46478873491287231</v>
      </c>
      <c r="CJ258" s="9">
        <v>-4.0540538728237152E-2</v>
      </c>
      <c r="CK258" s="9">
        <v>-0.27450981736183167</v>
      </c>
      <c r="CL258" s="9">
        <v>0.10270269960165024</v>
      </c>
      <c r="CM258" s="9" t="s">
        <v>9</v>
      </c>
      <c r="CN258" s="9">
        <v>3.880000114440918</v>
      </c>
      <c r="CO258">
        <v>1.2091802358627319</v>
      </c>
      <c r="CP258">
        <v>-3.0474526882171631</v>
      </c>
      <c r="CQ258">
        <v>5.4135594516992569E-2</v>
      </c>
      <c r="CR258" s="8">
        <v>1.6306695578678845</v>
      </c>
      <c r="CS258" s="9">
        <v>1.4064544739116339E-2</v>
      </c>
      <c r="CT258">
        <v>0</v>
      </c>
      <c r="CU258">
        <v>1.1594186574220657</v>
      </c>
      <c r="CV258">
        <v>2.5386800169944763</v>
      </c>
      <c r="CW258">
        <v>0.06</v>
      </c>
      <c r="CX258" t="e">
        <v>#DIV/0!</v>
      </c>
      <c r="CY258">
        <v>0</v>
      </c>
      <c r="CZ258">
        <v>1.1594186574220657</v>
      </c>
      <c r="DA258" t="e">
        <v>#DIV/0!</v>
      </c>
      <c r="DB258">
        <v>0</v>
      </c>
      <c r="DC258">
        <v>1.1014477245509624</v>
      </c>
      <c r="DD258" t="e">
        <v>#DIV/0!</v>
      </c>
      <c r="DE258">
        <v>0</v>
      </c>
      <c r="DF258">
        <v>1.0202884185314178</v>
      </c>
      <c r="DG258" t="e">
        <v>#DIV/0!</v>
      </c>
      <c r="DH258">
        <v>0</v>
      </c>
      <c r="DI258">
        <v>0.92753492593765263</v>
      </c>
      <c r="DJ258" t="e">
        <v>#DIV/0!</v>
      </c>
      <c r="DK258">
        <v>0</v>
      </c>
      <c r="DL258">
        <v>0.81159306019544597</v>
      </c>
      <c r="DM258">
        <v>0</v>
      </c>
      <c r="DN258">
        <v>1.1594186574220657</v>
      </c>
      <c r="DO258">
        <v>727093020</v>
      </c>
      <c r="DP258" t="e">
        <v>#VALUE!</v>
      </c>
      <c r="DQ258">
        <v>257</v>
      </c>
      <c r="DR258" t="e">
        <v>#VALUE!</v>
      </c>
      <c r="DS258">
        <v>-1.0026800169944763</v>
      </c>
      <c r="DT258" t="e">
        <v>#VALUE!</v>
      </c>
      <c r="DU258" t="e">
        <v>#VALUE!</v>
      </c>
      <c r="DV258" t="e">
        <v>#VALUE!</v>
      </c>
      <c r="DW258">
        <v>-9.6159766454352447</v>
      </c>
      <c r="DX258">
        <v>0.25161879895561279</v>
      </c>
      <c r="DY258">
        <v>-9.0687545733481905</v>
      </c>
      <c r="DZ258">
        <v>0</v>
      </c>
      <c r="EA258">
        <v>-9.0687545733481905</v>
      </c>
      <c r="EB258">
        <v>9</v>
      </c>
      <c r="EC258">
        <v>0.10112873865850067</v>
      </c>
      <c r="ED258">
        <v>0.90601887499896505</v>
      </c>
      <c r="EE258">
        <v>0</v>
      </c>
      <c r="EF258">
        <v>0</v>
      </c>
      <c r="EG258">
        <v>14.111618798955613</v>
      </c>
      <c r="EH258" t="s">
        <v>110</v>
      </c>
      <c r="EI258">
        <v>0</v>
      </c>
      <c r="EJ258">
        <v>0</v>
      </c>
      <c r="EK258">
        <v>0</v>
      </c>
      <c r="EL258">
        <v>0</v>
      </c>
      <c r="EM258">
        <v>0</v>
      </c>
      <c r="EN258">
        <v>0</v>
      </c>
      <c r="EO258">
        <v>0</v>
      </c>
      <c r="EP258">
        <v>0</v>
      </c>
    </row>
    <row r="259" spans="1:146" ht="96" x14ac:dyDescent="0.25">
      <c r="A259" s="7"/>
      <c r="B259" s="7"/>
      <c r="C259" s="7" t="str">
        <f>""&amp;CHAR(10)&amp;Basic_Fundamental_Information_Constructure(F259)&amp;CHAR(10)&amp;Basic_Fundamental_Information_Concatenate("")</f>
        <v xml:space="preserve">
市值138.50312亿, 利润9.35亿; PE14.82; 平均PE27.48; 平均PEG1.93, PB2.62; ROIC19.5%; ROE18.3367%; 股利率0%; 毛利31.3733%; 净利14.15%; 上一年度营收增-2.81%, 利润增-.32%, 利润增11.67%; 过往5年营收增14.23%, 利润增23.74%
Income profile:
</v>
      </c>
      <c r="D259" s="11">
        <v>1579</v>
      </c>
      <c r="E259" t="s">
        <v>3771</v>
      </c>
      <c r="F259">
        <v>13.36</v>
      </c>
      <c r="G259" s="5">
        <v>-1.04E-2</v>
      </c>
      <c r="H259" t="s">
        <v>9696</v>
      </c>
      <c r="I259">
        <v>13850312000</v>
      </c>
      <c r="J259">
        <v>14.82</v>
      </c>
      <c r="K259">
        <v>2.62</v>
      </c>
      <c r="L259" t="s">
        <v>6350</v>
      </c>
      <c r="M259" t="s">
        <v>9</v>
      </c>
      <c r="N259" t="s">
        <v>9</v>
      </c>
      <c r="O259" t="s">
        <v>9</v>
      </c>
      <c r="P259" t="s">
        <v>9</v>
      </c>
      <c r="Q259" t="s">
        <v>1572</v>
      </c>
      <c r="R259">
        <v>934725360</v>
      </c>
      <c r="S259" s="5">
        <v>0.1167</v>
      </c>
      <c r="T259" t="s">
        <v>4565</v>
      </c>
      <c r="U259">
        <v>1036700000</v>
      </c>
      <c r="V259">
        <v>1036700000</v>
      </c>
      <c r="W259" t="s">
        <v>9</v>
      </c>
      <c r="X259" t="s">
        <v>9</v>
      </c>
      <c r="Y259" t="s">
        <v>9</v>
      </c>
      <c r="Z259" t="s">
        <v>9</v>
      </c>
      <c r="AA259" t="s">
        <v>9</v>
      </c>
      <c r="AB259" t="s">
        <v>9</v>
      </c>
      <c r="AC259" t="s">
        <v>9</v>
      </c>
      <c r="AD259" t="s">
        <v>9</v>
      </c>
      <c r="AE259" t="s">
        <v>9</v>
      </c>
      <c r="AF259" t="s">
        <v>9</v>
      </c>
      <c r="AG259" t="s">
        <v>9</v>
      </c>
      <c r="AH259" t="s">
        <v>9697</v>
      </c>
      <c r="AI259" t="s">
        <v>9</v>
      </c>
      <c r="AJ259" t="s">
        <v>9</v>
      </c>
      <c r="AK259" t="s">
        <v>9698</v>
      </c>
      <c r="AL259" t="s">
        <v>9</v>
      </c>
      <c r="AM259" t="s">
        <v>9</v>
      </c>
      <c r="AN259" s="5">
        <v>0.15939999999999999</v>
      </c>
      <c r="AO259" t="s">
        <v>9</v>
      </c>
      <c r="AP259" t="s">
        <v>2346</v>
      </c>
      <c r="AQ259" t="s">
        <v>9</v>
      </c>
      <c r="AR259" t="s">
        <v>2583</v>
      </c>
      <c r="AS259" t="s">
        <v>9</v>
      </c>
      <c r="AT259" t="s">
        <v>9</v>
      </c>
      <c r="AU259" t="s">
        <v>4791</v>
      </c>
      <c r="AV259" t="s">
        <v>999</v>
      </c>
      <c r="AW259" t="s">
        <v>9</v>
      </c>
      <c r="AX259" t="s">
        <v>3772</v>
      </c>
      <c r="AY259" t="s">
        <v>3774</v>
      </c>
      <c r="AZ259" t="s">
        <v>3775</v>
      </c>
      <c r="BA259" t="s">
        <v>1789</v>
      </c>
      <c r="BB259" t="s">
        <v>3776</v>
      </c>
      <c r="BC259" t="s">
        <v>3777</v>
      </c>
      <c r="BD259" t="s">
        <v>3778</v>
      </c>
      <c r="BE259" t="s">
        <v>3779</v>
      </c>
      <c r="BF259" t="s">
        <v>3780</v>
      </c>
      <c r="BG259" t="s">
        <v>1273</v>
      </c>
      <c r="BH259" t="s">
        <v>3772</v>
      </c>
      <c r="BI259" t="s">
        <v>9</v>
      </c>
      <c r="BJ259" t="s">
        <v>3774</v>
      </c>
      <c r="BK259" t="s">
        <v>3773</v>
      </c>
      <c r="BL259" t="s">
        <v>9</v>
      </c>
      <c r="BM259" t="s">
        <v>3777</v>
      </c>
      <c r="BN259">
        <v>18.66</v>
      </c>
      <c r="BO259">
        <v>18.260000000000002</v>
      </c>
      <c r="BP259">
        <v>21.58</v>
      </c>
      <c r="BQ259">
        <v>17.7</v>
      </c>
      <c r="BR259">
        <v>17.18</v>
      </c>
      <c r="BS259">
        <v>20.13</v>
      </c>
      <c r="BT259" t="s">
        <v>1780</v>
      </c>
      <c r="BU259" t="s">
        <v>759</v>
      </c>
      <c r="BV259">
        <v>31.58</v>
      </c>
      <c r="BW259">
        <v>30.16</v>
      </c>
      <c r="BX259">
        <v>32.380000000000003</v>
      </c>
      <c r="BY259">
        <v>14.75</v>
      </c>
      <c r="BZ259">
        <v>13.27</v>
      </c>
      <c r="CA259">
        <v>14.43</v>
      </c>
      <c r="CB259">
        <v>-5.65</v>
      </c>
      <c r="CC259">
        <v>-25.7</v>
      </c>
      <c r="CD259" t="s">
        <v>9699</v>
      </c>
      <c r="CE259" t="s">
        <v>9700</v>
      </c>
      <c r="CF259" s="8" t="s">
        <v>9</v>
      </c>
      <c r="CG259" s="9">
        <v>0.1167</v>
      </c>
      <c r="CH259" s="8">
        <v>-2.8122341260313988E-2</v>
      </c>
      <c r="CI259" s="8">
        <v>-4.7134816646575928E-2</v>
      </c>
      <c r="CJ259" s="8">
        <v>0.13898888230323792</v>
      </c>
      <c r="CK259" s="8">
        <v>1.0926958322525024</v>
      </c>
      <c r="CL259" s="8">
        <v>0.54660582542419434</v>
      </c>
      <c r="CM259" s="9">
        <v>-3.1982942018657923E-3</v>
      </c>
      <c r="CN259" s="9">
        <v>-0.11090047657489777</v>
      </c>
      <c r="CO259" s="9">
        <v>0.3138231635093689</v>
      </c>
      <c r="CP259" s="9">
        <v>0.36101695895195007</v>
      </c>
      <c r="CQ259" s="9">
        <v>0.88498401641845703</v>
      </c>
      <c r="CR259">
        <v>27.480777777777778</v>
      </c>
      <c r="CS259">
        <v>1.9309505542740339</v>
      </c>
      <c r="CT259">
        <v>0</v>
      </c>
      <c r="CU259" s="8">
        <v>0.14231735616922378</v>
      </c>
      <c r="CV259" s="9">
        <v>0.23743546381592751</v>
      </c>
      <c r="CW259">
        <v>0.06</v>
      </c>
      <c r="CX259">
        <v>13.745705520890917</v>
      </c>
      <c r="CY259">
        <v>1007610120.7719095</v>
      </c>
      <c r="CZ259">
        <v>0.14231735616922378</v>
      </c>
      <c r="DA259">
        <v>4.2984580518972697</v>
      </c>
      <c r="DB259">
        <v>3222158232.7380619</v>
      </c>
      <c r="DC259">
        <v>0.1352014883607626</v>
      </c>
      <c r="DD259">
        <v>1.9927521622772215</v>
      </c>
      <c r="DE259">
        <v>6950343480.8333254</v>
      </c>
      <c r="DF259">
        <v>0.12523927342891691</v>
      </c>
      <c r="DG259">
        <v>1.1165659237278198</v>
      </c>
      <c r="DH259">
        <v>12404383570.795975</v>
      </c>
      <c r="DI259">
        <v>0.11385388493537903</v>
      </c>
      <c r="DJ259">
        <v>0.49271168669578363</v>
      </c>
      <c r="DK259">
        <v>28110378491.086285</v>
      </c>
      <c r="DL259">
        <v>9.9622149318456643E-2</v>
      </c>
      <c r="DM259">
        <v>935000000</v>
      </c>
      <c r="DN259">
        <v>0.14231735616922378</v>
      </c>
      <c r="DO259">
        <v>13850312000</v>
      </c>
      <c r="DP259" t="e">
        <v>#VALUE!</v>
      </c>
      <c r="DQ259">
        <v>258</v>
      </c>
      <c r="DR259" t="e">
        <v>#VALUE!</v>
      </c>
      <c r="DS259">
        <v>-0.12073546381592751</v>
      </c>
      <c r="DT259" t="e">
        <v>#VALUE!</v>
      </c>
      <c r="DU259" t="e">
        <v>#VALUE!</v>
      </c>
      <c r="DV259" t="e">
        <v>#VALUE!</v>
      </c>
      <c r="DW259">
        <v>-8.2198443579766529</v>
      </c>
      <c r="DX259">
        <v>0.31841196790366599</v>
      </c>
      <c r="DY259">
        <v>-8.0326275337998343</v>
      </c>
      <c r="DZ259">
        <v>0</v>
      </c>
      <c r="EA259">
        <v>-8.0326275337998343</v>
      </c>
      <c r="EB259">
        <v>8</v>
      </c>
      <c r="EC259">
        <v>1.3220217999421241E-2</v>
      </c>
      <c r="ED259">
        <v>8.907784315616861E-2</v>
      </c>
      <c r="EE259">
        <v>0</v>
      </c>
      <c r="EF259">
        <v>0</v>
      </c>
      <c r="EG259">
        <v>17.148411967903666</v>
      </c>
      <c r="EH259" t="s">
        <v>110</v>
      </c>
      <c r="EI259">
        <v>0</v>
      </c>
      <c r="EJ259">
        <v>0</v>
      </c>
      <c r="EK259">
        <v>0</v>
      </c>
      <c r="EL259">
        <v>0</v>
      </c>
      <c r="EM259">
        <v>0</v>
      </c>
      <c r="EN259">
        <v>0</v>
      </c>
      <c r="EO259">
        <v>0</v>
      </c>
      <c r="EP259">
        <v>0</v>
      </c>
    </row>
    <row r="260" spans="1:146" ht="96" x14ac:dyDescent="0.25">
      <c r="A260" s="7"/>
      <c r="B260" s="7"/>
      <c r="C260" s="7" t="str">
        <f>""&amp;CHAR(10)&amp;Basic_Fundamental_Information_Constructure(F260)&amp;CHAR(10)&amp;Basic_Fundamental_Information_Concatenate("")</f>
        <v xml:space="preserve">
市值309.4438亿, 利润28.94亿; PE10.69; 平均PE28.22; 平均PEG2.25, PB3.36; ROIC33.49%; ROE31.4633%; 股利率0%; 毛利16.74%; 净利6.5633%; 上一年度营收增8.76%, 利润增72.57%, 利润增18.71%; 过往5年营收增12.52%, 利润增24.79%
Income profile:
</v>
      </c>
      <c r="D260" s="11">
        <v>1585</v>
      </c>
      <c r="E260" t="s">
        <v>3781</v>
      </c>
      <c r="F260">
        <v>10.1</v>
      </c>
      <c r="G260" s="5">
        <v>-9.7999999999999997E-3</v>
      </c>
      <c r="H260" t="s">
        <v>9701</v>
      </c>
      <c r="I260">
        <v>30944380000</v>
      </c>
      <c r="J260">
        <v>10.69</v>
      </c>
      <c r="K260">
        <v>3.36</v>
      </c>
      <c r="L260" t="s">
        <v>6350</v>
      </c>
      <c r="M260" t="s">
        <v>9</v>
      </c>
      <c r="N260" t="s">
        <v>9</v>
      </c>
      <c r="O260" t="s">
        <v>9</v>
      </c>
      <c r="P260" t="s">
        <v>9</v>
      </c>
      <c r="Q260" t="s">
        <v>9702</v>
      </c>
      <c r="R260">
        <v>2894141200</v>
      </c>
      <c r="S260" s="5">
        <v>0.18709999999999999</v>
      </c>
      <c r="T260" t="s">
        <v>9703</v>
      </c>
      <c r="U260">
        <v>3063800000</v>
      </c>
      <c r="V260">
        <v>3063800000</v>
      </c>
      <c r="W260" t="s">
        <v>9</v>
      </c>
      <c r="X260" t="s">
        <v>9</v>
      </c>
      <c r="Y260" t="s">
        <v>9</v>
      </c>
      <c r="Z260" t="s">
        <v>9</v>
      </c>
      <c r="AA260" t="s">
        <v>9</v>
      </c>
      <c r="AB260" t="s">
        <v>9</v>
      </c>
      <c r="AC260" t="s">
        <v>9</v>
      </c>
      <c r="AD260" t="s">
        <v>9704</v>
      </c>
      <c r="AE260" t="s">
        <v>9</v>
      </c>
      <c r="AF260" t="s">
        <v>9</v>
      </c>
      <c r="AG260" t="s">
        <v>9</v>
      </c>
      <c r="AH260" t="s">
        <v>9705</v>
      </c>
      <c r="AI260" t="s">
        <v>9</v>
      </c>
      <c r="AJ260" t="s">
        <v>9</v>
      </c>
      <c r="AK260" t="s">
        <v>9706</v>
      </c>
      <c r="AL260" t="s">
        <v>9</v>
      </c>
      <c r="AM260" t="s">
        <v>9</v>
      </c>
      <c r="AN260" s="5">
        <v>0.67259999999999998</v>
      </c>
      <c r="AO260" t="s">
        <v>9</v>
      </c>
      <c r="AP260" t="s">
        <v>9707</v>
      </c>
      <c r="AQ260" t="s">
        <v>9</v>
      </c>
      <c r="AR260" t="s">
        <v>4355</v>
      </c>
      <c r="AS260" t="s">
        <v>9</v>
      </c>
      <c r="AT260" t="s">
        <v>9</v>
      </c>
      <c r="AU260" t="s">
        <v>9708</v>
      </c>
      <c r="AV260" t="s">
        <v>9709</v>
      </c>
      <c r="AW260" t="s">
        <v>9</v>
      </c>
      <c r="AX260" t="s">
        <v>3782</v>
      </c>
      <c r="AY260" t="s">
        <v>3785</v>
      </c>
      <c r="AZ260" t="s">
        <v>3786</v>
      </c>
      <c r="BA260" t="s">
        <v>3787</v>
      </c>
      <c r="BB260" t="s">
        <v>3788</v>
      </c>
      <c r="BC260" t="s">
        <v>484</v>
      </c>
      <c r="BD260" t="s">
        <v>2392</v>
      </c>
      <c r="BE260" t="s">
        <v>2949</v>
      </c>
      <c r="BF260" t="s">
        <v>3723</v>
      </c>
      <c r="BG260" t="s">
        <v>21</v>
      </c>
      <c r="BH260" t="s">
        <v>3782</v>
      </c>
      <c r="BI260" t="s">
        <v>9</v>
      </c>
      <c r="BJ260" t="s">
        <v>3785</v>
      </c>
      <c r="BK260" t="s">
        <v>3783</v>
      </c>
      <c r="BL260" t="s">
        <v>9</v>
      </c>
      <c r="BM260" t="s">
        <v>484</v>
      </c>
      <c r="BN260">
        <v>31.82</v>
      </c>
      <c r="BO260">
        <v>34.79</v>
      </c>
      <c r="BP260">
        <v>33.86</v>
      </c>
      <c r="BQ260">
        <v>31.43</v>
      </c>
      <c r="BR260">
        <v>32.53</v>
      </c>
      <c r="BS260">
        <v>30.43</v>
      </c>
      <c r="BT260" t="s">
        <v>2599</v>
      </c>
      <c r="BU260" t="s">
        <v>861</v>
      </c>
      <c r="BV260">
        <v>16.93</v>
      </c>
      <c r="BW260">
        <v>18.079999999999998</v>
      </c>
      <c r="BX260">
        <v>15.21</v>
      </c>
      <c r="BY260">
        <v>7.59</v>
      </c>
      <c r="BZ260">
        <v>7.03</v>
      </c>
      <c r="CA260">
        <v>5.07</v>
      </c>
      <c r="CB260">
        <v>-9.5</v>
      </c>
      <c r="CC260">
        <v>-28.67</v>
      </c>
      <c r="CD260" t="s">
        <v>9710</v>
      </c>
      <c r="CE260" t="s">
        <v>6394</v>
      </c>
      <c r="CF260" s="8" t="s">
        <v>9</v>
      </c>
      <c r="CG260" s="9">
        <v>0.18709999999999999</v>
      </c>
      <c r="CH260" s="8">
        <v>8.7590664625167847E-2</v>
      </c>
      <c r="CI260" s="8">
        <v>6.1050210148096085E-2</v>
      </c>
      <c r="CJ260" s="8">
        <v>0.43101054430007935</v>
      </c>
      <c r="CK260" s="8">
        <v>1.0437517166137695</v>
      </c>
      <c r="CL260" s="8">
        <v>0.19963876903057098</v>
      </c>
      <c r="CM260" s="9">
        <v>0.72570079565048218</v>
      </c>
      <c r="CN260" s="9">
        <v>0.46976339817047119</v>
      </c>
      <c r="CO260" s="9">
        <v>0.97746956348419189</v>
      </c>
      <c r="CP260" s="9">
        <v>0.17515274882316589</v>
      </c>
      <c r="CQ260" s="9">
        <v>1.2371134012937546E-2</v>
      </c>
      <c r="CR260">
        <v>28.216759878419452</v>
      </c>
      <c r="CS260">
        <v>2.2542159392792187</v>
      </c>
      <c r="CT260">
        <v>0</v>
      </c>
      <c r="CU260" s="8">
        <v>0.12517327815294266</v>
      </c>
      <c r="CV260" s="9">
        <v>0.24786991849541665</v>
      </c>
      <c r="CW260">
        <v>0.06</v>
      </c>
      <c r="CX260">
        <v>10.073252367844754</v>
      </c>
      <c r="CY260">
        <v>3071935346.2024674</v>
      </c>
      <c r="CZ260">
        <v>0.12517327815294266</v>
      </c>
      <c r="DA260">
        <v>3.1956293372593989</v>
      </c>
      <c r="DB260">
        <v>9683344572.9153881</v>
      </c>
      <c r="DC260">
        <v>0.11891461424529552</v>
      </c>
      <c r="DD260">
        <v>1.5111608651994288</v>
      </c>
      <c r="DE260">
        <v>20477224306.570599</v>
      </c>
      <c r="DF260">
        <v>0.11015248477458954</v>
      </c>
      <c r="DG260">
        <v>0.86662833102842063</v>
      </c>
      <c r="DH260">
        <v>35706633272.972466</v>
      </c>
      <c r="DI260">
        <v>0.10013862252235413</v>
      </c>
      <c r="DJ260">
        <v>0.40362839692040015</v>
      </c>
      <c r="DK260">
        <v>76665517679.378159</v>
      </c>
      <c r="DL260">
        <v>8.7621294707059857E-2</v>
      </c>
      <c r="DM260">
        <v>2894000000</v>
      </c>
      <c r="DN260">
        <v>0.12517327815294266</v>
      </c>
      <c r="DO260">
        <v>30944380000</v>
      </c>
      <c r="DP260" t="e">
        <v>#VALUE!</v>
      </c>
      <c r="DQ260">
        <v>259</v>
      </c>
      <c r="DR260" t="e">
        <v>#VALUE!</v>
      </c>
      <c r="DS260">
        <v>-6.0769918495416658E-2</v>
      </c>
      <c r="DT260" t="e">
        <v>#VALUE!</v>
      </c>
      <c r="DU260" t="e">
        <v>#VALUE!</v>
      </c>
      <c r="DV260" t="e">
        <v>#VALUE!</v>
      </c>
      <c r="DW260">
        <v>-9.3313568189745375</v>
      </c>
      <c r="DX260">
        <v>0.42533874048442943</v>
      </c>
      <c r="DY260">
        <v>-9.0846082328078861</v>
      </c>
      <c r="DZ260">
        <v>0</v>
      </c>
      <c r="EA260">
        <v>-9.0846082328078861</v>
      </c>
      <c r="EB260">
        <v>9</v>
      </c>
      <c r="EC260">
        <v>2.4085416802663358E-2</v>
      </c>
      <c r="ED260">
        <v>9.4327305959919061E-2</v>
      </c>
      <c r="EE260">
        <v>0</v>
      </c>
      <c r="EF260">
        <v>0</v>
      </c>
      <c r="EG260">
        <v>17.255338740484429</v>
      </c>
      <c r="EH260" t="s">
        <v>110</v>
      </c>
      <c r="EI260">
        <v>0</v>
      </c>
      <c r="EJ260">
        <v>0</v>
      </c>
      <c r="EK260">
        <v>0</v>
      </c>
      <c r="EL260">
        <v>0</v>
      </c>
      <c r="EM260">
        <v>0</v>
      </c>
      <c r="EN260">
        <v>0</v>
      </c>
      <c r="EO260">
        <v>0</v>
      </c>
      <c r="EP260">
        <v>0</v>
      </c>
    </row>
    <row r="261" spans="1:146" ht="96" x14ac:dyDescent="0.25">
      <c r="A261" s="7"/>
      <c r="B261" s="7"/>
      <c r="C261" s="7" t="str">
        <f>""&amp;CHAR(10)&amp;Basic_Fundamental_Information_Constructure(F261)&amp;CHAR(10)&amp;Basic_Fundamental_Information_Concatenate("")</f>
        <v xml:space="preserve">
市值37.115257亿, 利润5.26亿; PE7.06; 平均PE7.88; 平均PEG.42, PB.584; ROIC5.62%; ROE11.84%; 股利率0%; 毛利20.18%; 净利8.7367%; 上一年度营收增-.47%, 利润增-57.06%, 利润增4.81%; 过往5年营收增18.94%, 利润增117.03%
Income profile:
</v>
      </c>
      <c r="D261" s="11">
        <v>1600</v>
      </c>
      <c r="E261" t="s">
        <v>3790</v>
      </c>
      <c r="F261">
        <v>3.78</v>
      </c>
      <c r="G261" s="5">
        <v>0.03</v>
      </c>
      <c r="H261" t="s">
        <v>9711</v>
      </c>
      <c r="I261">
        <v>3711525700</v>
      </c>
      <c r="J261">
        <v>7.06</v>
      </c>
      <c r="K261">
        <v>0.58399999999999996</v>
      </c>
      <c r="L261" t="s">
        <v>6350</v>
      </c>
      <c r="M261" t="s">
        <v>9</v>
      </c>
      <c r="N261" t="s">
        <v>9</v>
      </c>
      <c r="O261" t="s">
        <v>9</v>
      </c>
      <c r="P261" t="s">
        <v>9</v>
      </c>
      <c r="Q261" t="s">
        <v>9712</v>
      </c>
      <c r="R261">
        <v>525695860</v>
      </c>
      <c r="S261" s="5">
        <v>4.8099999999999997E-2</v>
      </c>
      <c r="T261" t="s">
        <v>1363</v>
      </c>
      <c r="U261">
        <v>981885110</v>
      </c>
      <c r="V261">
        <v>981885110</v>
      </c>
      <c r="W261" t="s">
        <v>9</v>
      </c>
      <c r="X261" t="s">
        <v>9</v>
      </c>
      <c r="Y261" t="s">
        <v>9</v>
      </c>
      <c r="Z261" t="s">
        <v>9</v>
      </c>
      <c r="AA261" t="s">
        <v>9</v>
      </c>
      <c r="AB261" t="s">
        <v>9</v>
      </c>
      <c r="AC261" t="s">
        <v>9</v>
      </c>
      <c r="AD261" t="s">
        <v>9</v>
      </c>
      <c r="AE261" t="s">
        <v>9</v>
      </c>
      <c r="AF261" t="s">
        <v>9</v>
      </c>
      <c r="AG261" t="s">
        <v>9</v>
      </c>
      <c r="AH261" t="s">
        <v>9713</v>
      </c>
      <c r="AI261" t="s">
        <v>9</v>
      </c>
      <c r="AJ261" t="s">
        <v>9</v>
      </c>
      <c r="AK261" t="s">
        <v>9714</v>
      </c>
      <c r="AL261" t="s">
        <v>9</v>
      </c>
      <c r="AM261" t="s">
        <v>9</v>
      </c>
      <c r="AN261" s="5">
        <v>0.61050000000000004</v>
      </c>
      <c r="AO261" t="s">
        <v>9</v>
      </c>
      <c r="AP261" t="s">
        <v>1313</v>
      </c>
      <c r="AQ261" t="s">
        <v>9</v>
      </c>
      <c r="AR261" t="s">
        <v>4754</v>
      </c>
      <c r="AS261" t="s">
        <v>9</v>
      </c>
      <c r="AT261" t="s">
        <v>9</v>
      </c>
      <c r="AU261" t="s">
        <v>3094</v>
      </c>
      <c r="AV261" t="s">
        <v>9715</v>
      </c>
      <c r="AW261" t="s">
        <v>9</v>
      </c>
      <c r="AX261" t="s">
        <v>2296</v>
      </c>
      <c r="AY261" t="s">
        <v>3791</v>
      </c>
      <c r="AZ261" t="s">
        <v>526</v>
      </c>
      <c r="BA261" t="s">
        <v>3792</v>
      </c>
      <c r="BB261" t="s">
        <v>3793</v>
      </c>
      <c r="BC261" t="s">
        <v>2230</v>
      </c>
      <c r="BD261" t="s">
        <v>2781</v>
      </c>
      <c r="BE261" t="s">
        <v>168</v>
      </c>
      <c r="BF261" t="s">
        <v>3794</v>
      </c>
      <c r="BG261" t="s">
        <v>21</v>
      </c>
      <c r="BH261" t="s">
        <v>2296</v>
      </c>
      <c r="BI261" t="s">
        <v>9</v>
      </c>
      <c r="BJ261" t="s">
        <v>3791</v>
      </c>
      <c r="BK261" t="s">
        <v>2131</v>
      </c>
      <c r="BL261" t="s">
        <v>9</v>
      </c>
      <c r="BM261" t="s">
        <v>2230</v>
      </c>
      <c r="BN261">
        <v>3.79</v>
      </c>
      <c r="BO261">
        <v>3.67</v>
      </c>
      <c r="BP261">
        <v>9.4</v>
      </c>
      <c r="BQ261">
        <v>8.27</v>
      </c>
      <c r="BR261">
        <v>8.07</v>
      </c>
      <c r="BS261">
        <v>19.18</v>
      </c>
      <c r="BT261" t="s">
        <v>9716</v>
      </c>
      <c r="BU261" t="s">
        <v>392</v>
      </c>
      <c r="BV261">
        <v>18.809999999999999</v>
      </c>
      <c r="BW261">
        <v>18.47</v>
      </c>
      <c r="BX261">
        <v>23.26</v>
      </c>
      <c r="BY261">
        <v>6.55</v>
      </c>
      <c r="BZ261">
        <v>6.22</v>
      </c>
      <c r="CA261">
        <v>13.44</v>
      </c>
      <c r="CB261">
        <v>5.59</v>
      </c>
      <c r="CC261">
        <v>-14.54</v>
      </c>
      <c r="CD261" t="s">
        <v>9717</v>
      </c>
      <c r="CE261" t="s">
        <v>9718</v>
      </c>
      <c r="CF261" s="8" t="s">
        <v>9</v>
      </c>
      <c r="CG261" s="9">
        <v>4.8099999999999997E-2</v>
      </c>
      <c r="CH261" s="8">
        <v>-4.7009047120809555E-3</v>
      </c>
      <c r="CI261" s="8">
        <v>-9.1695159673690796E-2</v>
      </c>
      <c r="CJ261" s="8">
        <v>0.22042733430862427</v>
      </c>
      <c r="CK261" s="8">
        <v>0.3184472918510437</v>
      </c>
      <c r="CL261" s="8">
        <v>0.56211429834365845</v>
      </c>
      <c r="CM261" s="9">
        <v>-0.57061225175857544</v>
      </c>
      <c r="CN261" s="9">
        <v>-1.5273363329470158E-2</v>
      </c>
      <c r="CO261" s="9">
        <v>0.41043084859848022</v>
      </c>
      <c r="CP261" s="9">
        <v>0.3611111044883728</v>
      </c>
      <c r="CQ261" s="9">
        <v>0.33608248829841614</v>
      </c>
      <c r="CR261">
        <v>7.8796988602274451</v>
      </c>
      <c r="CS261">
        <v>0.41610387016566358</v>
      </c>
      <c r="CT261">
        <v>0</v>
      </c>
      <c r="CU261" s="8">
        <v>0.18936855494976043</v>
      </c>
      <c r="CV261" s="9">
        <v>1.1702903151512145</v>
      </c>
      <c r="CW261">
        <v>0.06</v>
      </c>
      <c r="CX261">
        <v>6.2886314161819969</v>
      </c>
      <c r="CY261">
        <v>590196094.2486546</v>
      </c>
      <c r="CZ261">
        <v>0.18936855494976043</v>
      </c>
      <c r="DA261">
        <v>1.8910625563525407</v>
      </c>
      <c r="DB261">
        <v>1962666802.0748861</v>
      </c>
      <c r="DC261">
        <v>0.17990012720227241</v>
      </c>
      <c r="DD261">
        <v>0.82965498601916177</v>
      </c>
      <c r="DE261">
        <v>4473577285.1900616</v>
      </c>
      <c r="DF261">
        <v>0.16664432835578918</v>
      </c>
      <c r="DG261">
        <v>0.43510937826341733</v>
      </c>
      <c r="DH261">
        <v>8530098144.087863</v>
      </c>
      <c r="DI261">
        <v>0.15149484395980836</v>
      </c>
      <c r="DJ261">
        <v>0.16383756602357619</v>
      </c>
      <c r="DK261">
        <v>22653691641.548878</v>
      </c>
      <c r="DL261">
        <v>0.1325579884648323</v>
      </c>
      <c r="DM261">
        <v>526000000</v>
      </c>
      <c r="DN261">
        <v>0.18936855494976043</v>
      </c>
      <c r="DO261">
        <v>3711525700</v>
      </c>
      <c r="DP261" t="e">
        <v>#VALUE!</v>
      </c>
      <c r="DQ261">
        <v>260</v>
      </c>
      <c r="DR261" t="e">
        <v>#VALUE!</v>
      </c>
      <c r="DS261">
        <v>-1.1221903151512145</v>
      </c>
      <c r="DT261" t="e">
        <v>#VALUE!</v>
      </c>
      <c r="DU261" t="e">
        <v>#VALUE!</v>
      </c>
      <c r="DV261" t="e">
        <v>#VALUE!</v>
      </c>
      <c r="DW261">
        <v>6.2776949826130153</v>
      </c>
      <c r="DX261">
        <v>0.40394475989074835</v>
      </c>
      <c r="DY261">
        <v>6.0233110386383153</v>
      </c>
      <c r="DZ261">
        <v>0</v>
      </c>
      <c r="EA261">
        <v>6.0233110386383153</v>
      </c>
      <c r="EB261">
        <v>6</v>
      </c>
      <c r="EC261">
        <v>3.4525424262722552E-3</v>
      </c>
      <c r="ED261">
        <v>4.1128742648923557E-2</v>
      </c>
      <c r="EE261">
        <v>0</v>
      </c>
      <c r="EF261">
        <v>0</v>
      </c>
      <c r="EG261">
        <v>32.083944759890748</v>
      </c>
      <c r="EH261" t="s">
        <v>110</v>
      </c>
      <c r="EI261">
        <v>0</v>
      </c>
      <c r="EJ261">
        <v>0</v>
      </c>
      <c r="EK261">
        <v>0</v>
      </c>
      <c r="EL261">
        <v>0</v>
      </c>
      <c r="EM261">
        <v>0</v>
      </c>
      <c r="EN261">
        <v>0</v>
      </c>
      <c r="EO261">
        <v>0</v>
      </c>
      <c r="EP261">
        <v>0</v>
      </c>
    </row>
    <row r="262" spans="1:146" ht="96" x14ac:dyDescent="0.25">
      <c r="A262" s="7"/>
      <c r="B262" s="7"/>
      <c r="C262" s="7" t="str">
        <f>""&amp;CHAR(10)&amp;Basic_Fundamental_Information_Constructure(F262)&amp;CHAR(10)&amp;Basic_Fundamental_Information_Concatenate("")</f>
        <v xml:space="preserve">
市值76.519372亿, 利润-1.49亿; PE; 平均PE67.82; 平均PEG3.17, PB.764; ROIC-.4567%; ROE-.84%; 股利率0%; 毛利5.89%; 净利-.79%; 上一年度营收增-12.86%, 利润增73.53%, 利润增-137%; 过往5年营收增21.38%, 利润增53.07%
Income profile:
</v>
      </c>
      <c r="D262" s="11">
        <v>1610</v>
      </c>
      <c r="E262" t="s">
        <v>3796</v>
      </c>
      <c r="F262">
        <v>1.67</v>
      </c>
      <c r="G262" s="5">
        <v>-1.7600000000000001E-2</v>
      </c>
      <c r="H262" t="s">
        <v>9719</v>
      </c>
      <c r="I262">
        <v>7651937200</v>
      </c>
      <c r="K262">
        <v>0.76400000000000001</v>
      </c>
      <c r="L262" t="s">
        <v>6350</v>
      </c>
      <c r="M262" t="s">
        <v>9</v>
      </c>
      <c r="N262" t="s">
        <v>9</v>
      </c>
      <c r="O262" t="s">
        <v>9</v>
      </c>
      <c r="P262" t="s">
        <v>9</v>
      </c>
      <c r="Q262" t="s">
        <v>9720</v>
      </c>
      <c r="R262">
        <v>-148731320</v>
      </c>
      <c r="S262" s="5">
        <v>-1.37</v>
      </c>
      <c r="T262" t="s">
        <v>9721</v>
      </c>
      <c r="U262">
        <v>4581998300</v>
      </c>
      <c r="V262">
        <v>4581998300</v>
      </c>
      <c r="W262" t="s">
        <v>9</v>
      </c>
      <c r="X262" t="s">
        <v>9</v>
      </c>
      <c r="Y262" t="s">
        <v>9</v>
      </c>
      <c r="Z262" t="s">
        <v>9</v>
      </c>
      <c r="AA262" t="s">
        <v>9</v>
      </c>
      <c r="AB262" t="s">
        <v>9</v>
      </c>
      <c r="AC262" t="s">
        <v>9</v>
      </c>
      <c r="AD262" t="s">
        <v>9</v>
      </c>
      <c r="AE262" t="s">
        <v>9</v>
      </c>
      <c r="AF262" t="s">
        <v>9</v>
      </c>
      <c r="AG262" t="s">
        <v>9</v>
      </c>
      <c r="AH262" t="s">
        <v>9722</v>
      </c>
      <c r="AI262" t="s">
        <v>9</v>
      </c>
      <c r="AJ262" t="s">
        <v>9</v>
      </c>
      <c r="AK262" t="s">
        <v>9723</v>
      </c>
      <c r="AL262" t="s">
        <v>9</v>
      </c>
      <c r="AM262" t="s">
        <v>9</v>
      </c>
      <c r="AN262" s="5">
        <v>0.43030000000000002</v>
      </c>
      <c r="AO262" t="s">
        <v>9</v>
      </c>
      <c r="AP262" t="s">
        <v>1310</v>
      </c>
      <c r="AQ262" t="s">
        <v>9</v>
      </c>
      <c r="AR262" t="s">
        <v>9724</v>
      </c>
      <c r="AS262" t="s">
        <v>9</v>
      </c>
      <c r="AT262" t="s">
        <v>9</v>
      </c>
      <c r="AU262" t="s">
        <v>9725</v>
      </c>
      <c r="AV262" t="s">
        <v>9726</v>
      </c>
      <c r="AW262" t="s">
        <v>9</v>
      </c>
      <c r="AX262" t="s">
        <v>3797</v>
      </c>
      <c r="AY262" t="s">
        <v>3799</v>
      </c>
      <c r="AZ262" t="s">
        <v>3800</v>
      </c>
      <c r="BA262" t="s">
        <v>3801</v>
      </c>
      <c r="BB262" t="s">
        <v>3802</v>
      </c>
      <c r="BC262" t="s">
        <v>3803</v>
      </c>
      <c r="BD262" t="s">
        <v>3804</v>
      </c>
      <c r="BE262" t="s">
        <v>3513</v>
      </c>
      <c r="BF262" t="s">
        <v>3805</v>
      </c>
      <c r="BG262" t="s">
        <v>3806</v>
      </c>
      <c r="BH262" t="s">
        <v>3797</v>
      </c>
      <c r="BI262" t="s">
        <v>9</v>
      </c>
      <c r="BJ262" t="s">
        <v>3799</v>
      </c>
      <c r="BK262" t="s">
        <v>3798</v>
      </c>
      <c r="BL262" t="s">
        <v>9</v>
      </c>
      <c r="BM262" t="s">
        <v>3803</v>
      </c>
      <c r="BN262">
        <v>-0.94</v>
      </c>
      <c r="BO262">
        <v>2.4</v>
      </c>
      <c r="BP262">
        <v>-2.83</v>
      </c>
      <c r="BQ262">
        <v>-1.49</v>
      </c>
      <c r="BR262">
        <v>4.4000000000000004</v>
      </c>
      <c r="BS262">
        <v>-5.43</v>
      </c>
      <c r="BT262" t="s">
        <v>207</v>
      </c>
      <c r="BU262" t="s">
        <v>1108</v>
      </c>
      <c r="BV262">
        <v>10.59</v>
      </c>
      <c r="BW262">
        <v>-5.89</v>
      </c>
      <c r="BX262">
        <v>12.97</v>
      </c>
      <c r="BY262">
        <v>-1.48</v>
      </c>
      <c r="BZ262">
        <v>2.77</v>
      </c>
      <c r="CA262">
        <v>-3.66</v>
      </c>
      <c r="CB262">
        <v>-5.65</v>
      </c>
      <c r="CC262">
        <v>-14.36</v>
      </c>
      <c r="CD262" t="s">
        <v>9727</v>
      </c>
      <c r="CE262" t="s">
        <v>1148</v>
      </c>
      <c r="CF262" s="8" t="s">
        <v>9</v>
      </c>
      <c r="CG262" s="9">
        <v>-1.37</v>
      </c>
      <c r="CH262" s="8">
        <v>-0.1286332756280899</v>
      </c>
      <c r="CI262" s="8">
        <v>-0.10150029510259628</v>
      </c>
      <c r="CJ262" s="8">
        <v>-0.28182503581047058</v>
      </c>
      <c r="CK262" s="8">
        <v>1.7631708383560181</v>
      </c>
      <c r="CL262" s="8">
        <v>-2.1929306909441948E-2</v>
      </c>
      <c r="CM262" s="9">
        <v>0.73534637689590454</v>
      </c>
      <c r="CN262" s="9">
        <v>-1.1182276010513306</v>
      </c>
      <c r="CO262" s="9">
        <v>1.7072198390960693</v>
      </c>
      <c r="CP262" s="9">
        <v>3.4601399898529053</v>
      </c>
      <c r="CQ262" s="9">
        <v>-2.3216266632080078</v>
      </c>
      <c r="CR262">
        <v>67.823355286385848</v>
      </c>
      <c r="CS262">
        <v>3.172821273419645</v>
      </c>
      <c r="CT262">
        <v>0</v>
      </c>
      <c r="CU262" s="8">
        <v>0.21376355439424516</v>
      </c>
      <c r="CV262" s="9">
        <v>0.53069496154785156</v>
      </c>
      <c r="CW262">
        <v>0.06</v>
      </c>
      <c r="CX262" t="e">
        <v>#VALUE!</v>
      </c>
      <c r="CY262" t="s">
        <v>109</v>
      </c>
      <c r="CZ262">
        <v>0.21376355439424516</v>
      </c>
      <c r="DA262" t="e">
        <v>#VALUE!</v>
      </c>
      <c r="DB262" t="s">
        <v>108</v>
      </c>
      <c r="DC262">
        <v>0.2030753766745329</v>
      </c>
      <c r="DD262" t="e">
        <v>#VALUE!</v>
      </c>
      <c r="DE262" t="s">
        <v>108</v>
      </c>
      <c r="DF262">
        <v>0.18811192786693573</v>
      </c>
      <c r="DG262" t="e">
        <v>#VALUE!</v>
      </c>
      <c r="DH262" t="s">
        <v>108</v>
      </c>
      <c r="DI262">
        <v>0.17101084351539614</v>
      </c>
      <c r="DJ262" t="e">
        <v>#VALUE!</v>
      </c>
      <c r="DK262" t="s">
        <v>108</v>
      </c>
      <c r="DL262">
        <v>0.1496344880759716</v>
      </c>
      <c r="DM262">
        <v>-149000000</v>
      </c>
      <c r="DN262">
        <v>0.21376355439424516</v>
      </c>
      <c r="DO262">
        <v>7651937200</v>
      </c>
      <c r="DP262" t="e">
        <v>#VALUE!</v>
      </c>
      <c r="DQ262">
        <v>261</v>
      </c>
      <c r="DR262" t="e">
        <v>#VALUE!</v>
      </c>
      <c r="DS262">
        <v>-1.9006949615478517</v>
      </c>
      <c r="DT262" t="e">
        <v>#VALUE!</v>
      </c>
      <c r="DU262" t="e">
        <v>#VALUE!</v>
      </c>
      <c r="DV262" t="e">
        <v>#VALUE!</v>
      </c>
      <c r="DW262">
        <v>-8.3934540389972145</v>
      </c>
      <c r="DX262">
        <v>0.37559427609427543</v>
      </c>
      <c r="DY262">
        <v>-8.0572846559841693</v>
      </c>
      <c r="DZ262">
        <v>0</v>
      </c>
      <c r="EA262">
        <v>-8.0572846559841693</v>
      </c>
      <c r="EB262">
        <v>8</v>
      </c>
      <c r="EC262">
        <v>1.8874515950824337E-2</v>
      </c>
      <c r="ED262">
        <v>0.12963776088699117</v>
      </c>
      <c r="EE262">
        <v>0</v>
      </c>
      <c r="EF262">
        <v>0</v>
      </c>
      <c r="EG262">
        <v>23.145594276094275</v>
      </c>
      <c r="EH262" t="s">
        <v>110</v>
      </c>
      <c r="EI262">
        <v>0</v>
      </c>
      <c r="EJ262">
        <v>0</v>
      </c>
      <c r="EK262">
        <v>0</v>
      </c>
      <c r="EL262">
        <v>0</v>
      </c>
      <c r="EM262">
        <v>0</v>
      </c>
      <c r="EN262">
        <v>0</v>
      </c>
      <c r="EO262">
        <v>0</v>
      </c>
      <c r="EP262">
        <v>0</v>
      </c>
    </row>
    <row r="263" spans="1:146" ht="108" x14ac:dyDescent="0.25">
      <c r="A263" s="7"/>
      <c r="B263" s="7"/>
      <c r="C263" s="7" t="str">
        <f>""&amp;CHAR(10)&amp;Basic_Fundamental_Information_Constructure(F263)&amp;CHAR(10)&amp;Basic_Fundamental_Information_Concatenate("")</f>
        <v xml:space="preserve">
市值327.43318亿, 利润75.51亿; PE4.97; 平均PE29.23; 平均PEG9.75, PB.2; ROIC4.6633%; ROE6.3767%; 股利率0%; 毛利9.6433%; 净利2.1067%; 上一年度营收增3.94%, 利润增-15.4%; 当季营收增11.19%, 利润增-25.03%; 过往5年营收增3%, 利润增-91.95%
Income profile:
</v>
      </c>
      <c r="D263" s="11">
        <v>1618</v>
      </c>
      <c r="E263" t="s">
        <v>3807</v>
      </c>
      <c r="F263">
        <v>1.58</v>
      </c>
      <c r="G263" s="5">
        <v>-1.8599999999999998E-2</v>
      </c>
      <c r="H263" t="s">
        <v>9728</v>
      </c>
      <c r="I263">
        <v>32743318000</v>
      </c>
      <c r="J263">
        <v>4.97</v>
      </c>
      <c r="K263">
        <v>0.2</v>
      </c>
      <c r="L263" t="s">
        <v>6350</v>
      </c>
      <c r="M263" t="s">
        <v>9729</v>
      </c>
      <c r="N263" t="s">
        <v>9730</v>
      </c>
      <c r="O263" t="s">
        <v>9731</v>
      </c>
      <c r="P263">
        <v>3.81</v>
      </c>
      <c r="Q263" t="s">
        <v>9732</v>
      </c>
      <c r="R263">
        <v>7550583900</v>
      </c>
      <c r="S263" s="5">
        <v>-0.25030000000000002</v>
      </c>
      <c r="T263" t="s">
        <v>9733</v>
      </c>
      <c r="U263">
        <v>2871000000</v>
      </c>
      <c r="V263">
        <v>20723619000</v>
      </c>
      <c r="W263">
        <v>4.62</v>
      </c>
      <c r="X263">
        <v>0.22</v>
      </c>
      <c r="Y263">
        <v>2.59</v>
      </c>
      <c r="Z263" t="s">
        <v>9734</v>
      </c>
      <c r="AA263" t="s">
        <v>9735</v>
      </c>
      <c r="AB263" t="s">
        <v>6492</v>
      </c>
      <c r="AC263" t="s">
        <v>9736</v>
      </c>
      <c r="AD263" t="s">
        <v>4496</v>
      </c>
      <c r="AE263" t="s">
        <v>3884</v>
      </c>
      <c r="AF263" t="s">
        <v>9</v>
      </c>
      <c r="AG263" t="s">
        <v>9737</v>
      </c>
      <c r="AH263" t="s">
        <v>9738</v>
      </c>
      <c r="AI263" t="s">
        <v>9739</v>
      </c>
      <c r="AJ263" t="s">
        <v>9740</v>
      </c>
      <c r="AK263" t="s">
        <v>9741</v>
      </c>
      <c r="AL263" t="s">
        <v>9</v>
      </c>
      <c r="AM263" t="s">
        <v>9742</v>
      </c>
      <c r="AN263" s="5">
        <v>0.751</v>
      </c>
      <c r="AO263" t="s">
        <v>9743</v>
      </c>
      <c r="AP263" t="s">
        <v>9744</v>
      </c>
      <c r="AQ263" t="s">
        <v>9745</v>
      </c>
      <c r="AR263" t="s">
        <v>9746</v>
      </c>
      <c r="AS263" t="s">
        <v>9747</v>
      </c>
      <c r="AT263" t="s">
        <v>9748</v>
      </c>
      <c r="AU263" t="s">
        <v>4874</v>
      </c>
      <c r="AV263" t="s">
        <v>9749</v>
      </c>
      <c r="AW263" t="s">
        <v>2479</v>
      </c>
      <c r="AX263" t="s">
        <v>3808</v>
      </c>
      <c r="AY263" t="s">
        <v>3811</v>
      </c>
      <c r="AZ263" t="s">
        <v>3812</v>
      </c>
      <c r="BA263" t="s">
        <v>3813</v>
      </c>
      <c r="BB263" t="s">
        <v>3814</v>
      </c>
      <c r="BC263" t="s">
        <v>3815</v>
      </c>
      <c r="BD263" t="s">
        <v>9750</v>
      </c>
      <c r="BE263" t="s">
        <v>3816</v>
      </c>
      <c r="BF263" t="s">
        <v>3817</v>
      </c>
      <c r="BG263" t="s">
        <v>3818</v>
      </c>
      <c r="BH263" t="s">
        <v>3808</v>
      </c>
      <c r="BI263" t="s">
        <v>3819</v>
      </c>
      <c r="BJ263" t="s">
        <v>3811</v>
      </c>
      <c r="BK263" t="s">
        <v>3809</v>
      </c>
      <c r="BL263" t="s">
        <v>3820</v>
      </c>
      <c r="BM263" t="s">
        <v>3815</v>
      </c>
      <c r="BN263">
        <v>3.6</v>
      </c>
      <c r="BO263">
        <v>5.66</v>
      </c>
      <c r="BP263">
        <v>4.7300000000000004</v>
      </c>
      <c r="BQ263">
        <v>4.7300000000000004</v>
      </c>
      <c r="BR263">
        <v>7.62</v>
      </c>
      <c r="BS263">
        <v>6.78</v>
      </c>
      <c r="BT263" t="s">
        <v>9751</v>
      </c>
      <c r="BU263" t="s">
        <v>1446</v>
      </c>
      <c r="BV263">
        <v>9.41</v>
      </c>
      <c r="BW263">
        <v>9.36</v>
      </c>
      <c r="BX263">
        <v>10.16</v>
      </c>
      <c r="BY263">
        <v>1.8</v>
      </c>
      <c r="BZ263">
        <v>2.19</v>
      </c>
      <c r="CA263">
        <v>2.33</v>
      </c>
      <c r="CB263">
        <v>-5.39</v>
      </c>
      <c r="CC263">
        <v>-8.14</v>
      </c>
      <c r="CD263" t="s">
        <v>9752</v>
      </c>
      <c r="CE263" t="s">
        <v>6015</v>
      </c>
      <c r="CF263" s="8">
        <v>0.11185538947121779</v>
      </c>
      <c r="CG263" s="9">
        <v>-0.25030000000000002</v>
      </c>
      <c r="CH263" s="8">
        <v>3.9405476301908493E-2</v>
      </c>
      <c r="CI263" s="8">
        <v>9.2823050916194916E-2</v>
      </c>
      <c r="CJ263" s="8">
        <v>0.28515172004699707</v>
      </c>
      <c r="CK263" s="8">
        <v>0.43949896097183228</v>
      </c>
      <c r="CL263" s="8">
        <v>0.12693694233894348</v>
      </c>
      <c r="CM263" s="9">
        <v>-0.15404437482357025</v>
      </c>
      <c r="CN263" s="9">
        <v>0.12248492240905762</v>
      </c>
      <c r="CO263" s="9">
        <v>0.27232003211975098</v>
      </c>
      <c r="CP263" s="9">
        <v>5.1463493146002293E-3</v>
      </c>
      <c r="CQ263" s="9">
        <v>-1.8778612837195396E-2</v>
      </c>
      <c r="CR263">
        <v>29.227509249270256</v>
      </c>
      <c r="CS263">
        <v>9.7479290766817002</v>
      </c>
      <c r="CT263">
        <v>0</v>
      </c>
      <c r="CU263" s="8">
        <v>2.9983301088213919E-2</v>
      </c>
      <c r="CV263" s="9">
        <v>-0.9194880604743958</v>
      </c>
      <c r="CW263">
        <v>0.06</v>
      </c>
      <c r="CX263">
        <v>56.35594117887107</v>
      </c>
      <c r="CY263">
        <v>7337173496.7142496</v>
      </c>
      <c r="CZ263">
        <v>2.9983301088213919E-2</v>
      </c>
      <c r="DA263">
        <v>19.383287390836959</v>
      </c>
      <c r="DB263">
        <v>21332465936.375183</v>
      </c>
      <c r="DC263">
        <v>2.8484136033803221E-2</v>
      </c>
      <c r="DD263">
        <v>10.200918973163162</v>
      </c>
      <c r="DE263">
        <v>40534908579.102409</v>
      </c>
      <c r="DF263">
        <v>2.6385304957628249E-2</v>
      </c>
      <c r="DG263">
        <v>6.5900611928178208</v>
      </c>
      <c r="DH263">
        <v>62744989143.749649</v>
      </c>
      <c r="DI263">
        <v>2.3986640870571136E-2</v>
      </c>
      <c r="DJ263">
        <v>3.9657256202144158</v>
      </c>
      <c r="DK263">
        <v>104266749038.8918</v>
      </c>
      <c r="DL263">
        <v>2.0988310761749743E-2</v>
      </c>
      <c r="DM263">
        <v>7551000000.000001</v>
      </c>
      <c r="DN263">
        <v>2.9983301088213919E-2</v>
      </c>
      <c r="DO263">
        <v>413493318000</v>
      </c>
      <c r="DP263" t="e">
        <v>#VALUE!</v>
      </c>
      <c r="DQ263">
        <v>262</v>
      </c>
      <c r="DR263">
        <v>8.187208838300386E-2</v>
      </c>
      <c r="DS263">
        <v>0.66918806047439583</v>
      </c>
      <c r="DT263">
        <v>-0.3066666666666667</v>
      </c>
      <c r="DU263">
        <v>-0.55000000000000016</v>
      </c>
      <c r="DV263">
        <v>-0.85666666666666691</v>
      </c>
      <c r="DW263">
        <v>-8.6621621621621614</v>
      </c>
      <c r="DX263">
        <v>0.32214648241206145</v>
      </c>
      <c r="DY263">
        <v>-8.0742591572728504</v>
      </c>
      <c r="DZ263">
        <v>0</v>
      </c>
      <c r="EA263">
        <v>-8.0742591572728504</v>
      </c>
      <c r="EB263">
        <v>8</v>
      </c>
      <c r="EC263">
        <v>2.1537888724937472E-3</v>
      </c>
      <c r="ED263">
        <v>1.9205139797252593E-2</v>
      </c>
      <c r="EE263">
        <v>0</v>
      </c>
      <c r="EF263">
        <v>0</v>
      </c>
      <c r="EG263">
        <v>21.112146482412061</v>
      </c>
      <c r="EH263" t="s">
        <v>110</v>
      </c>
      <c r="EI263">
        <v>0</v>
      </c>
      <c r="EJ263">
        <v>0</v>
      </c>
      <c r="EK263">
        <v>0</v>
      </c>
      <c r="EL263">
        <v>0</v>
      </c>
      <c r="EM263">
        <v>0</v>
      </c>
      <c r="EN263">
        <v>0</v>
      </c>
      <c r="EO263">
        <v>0</v>
      </c>
      <c r="EP263">
        <v>0</v>
      </c>
    </row>
    <row r="264" spans="1:146" ht="96" x14ac:dyDescent="0.25">
      <c r="A264" s="7"/>
      <c r="B264" s="7"/>
      <c r="C264" s="7" t="str">
        <f>""&amp;CHAR(10)&amp;Basic_Fundamental_Information_Constructure(F264)&amp;CHAR(10)&amp;Basic_Fundamental_Information_Concatenate("")</f>
        <v xml:space="preserve">
市值34.543486亿, 利润2.33亿; PE; 平均PE26.38; 平均PEG7, PB.384; ROIC.37%; ROE.6667%; 股利率0%; 毛利15.26%; 净利2.48%; 上一年度营收增5.92%, 利润增-37.2%; 当季营收增-4.35%, 利润增-89.94%; 过往5年营收增3.77%, 利润增-2.02%
Income profile:
</v>
      </c>
      <c r="D264" s="11">
        <v>1635</v>
      </c>
      <c r="E264" t="s">
        <v>3823</v>
      </c>
      <c r="F264">
        <v>1.17</v>
      </c>
      <c r="G264" s="5">
        <v>-8.5000000000000006E-3</v>
      </c>
      <c r="H264" t="s">
        <v>9753</v>
      </c>
      <c r="I264">
        <v>3454348600</v>
      </c>
      <c r="K264">
        <v>0.38400000000000001</v>
      </c>
      <c r="L264" t="s">
        <v>6350</v>
      </c>
      <c r="M264" t="s">
        <v>9754</v>
      </c>
      <c r="N264" t="s">
        <v>5979</v>
      </c>
      <c r="O264" t="s">
        <v>6281</v>
      </c>
      <c r="P264">
        <v>0.93</v>
      </c>
      <c r="Q264" t="s">
        <v>9755</v>
      </c>
      <c r="R264">
        <v>232990730</v>
      </c>
      <c r="S264" s="5">
        <v>-0.89939999999999998</v>
      </c>
      <c r="T264" t="s">
        <v>3664</v>
      </c>
      <c r="U264">
        <v>533643000</v>
      </c>
      <c r="V264">
        <v>2952434700</v>
      </c>
      <c r="W264">
        <v>2.76</v>
      </c>
      <c r="X264">
        <v>0.1</v>
      </c>
      <c r="Y264">
        <v>6.32</v>
      </c>
      <c r="Z264" t="s">
        <v>1359</v>
      </c>
      <c r="AA264" t="s">
        <v>4156</v>
      </c>
      <c r="AB264" t="s">
        <v>9756</v>
      </c>
      <c r="AC264" t="s">
        <v>9757</v>
      </c>
      <c r="AD264" t="s">
        <v>9758</v>
      </c>
      <c r="AE264" t="s">
        <v>9759</v>
      </c>
      <c r="AF264" t="s">
        <v>9</v>
      </c>
      <c r="AG264" t="s">
        <v>9760</v>
      </c>
      <c r="AH264" t="s">
        <v>9761</v>
      </c>
      <c r="AI264" t="s">
        <v>1652</v>
      </c>
      <c r="AJ264" t="s">
        <v>2281</v>
      </c>
      <c r="AK264" t="s">
        <v>9762</v>
      </c>
      <c r="AL264" t="s">
        <v>9</v>
      </c>
      <c r="AM264" t="s">
        <v>2703</v>
      </c>
      <c r="AN264" s="5">
        <v>0.57289999999999996</v>
      </c>
      <c r="AO264" t="s">
        <v>477</v>
      </c>
      <c r="AP264" t="s">
        <v>9763</v>
      </c>
      <c r="AQ264" t="s">
        <v>9764</v>
      </c>
      <c r="AR264" t="s">
        <v>9765</v>
      </c>
      <c r="AS264" t="s">
        <v>9766</v>
      </c>
      <c r="AT264" t="s">
        <v>720</v>
      </c>
      <c r="AU264" t="s">
        <v>3992</v>
      </c>
      <c r="AV264" t="s">
        <v>2625</v>
      </c>
      <c r="AW264" t="s">
        <v>7477</v>
      </c>
      <c r="AX264" t="s">
        <v>3824</v>
      </c>
      <c r="AY264" t="s">
        <v>3832</v>
      </c>
      <c r="AZ264" t="s">
        <v>3833</v>
      </c>
      <c r="BA264" t="s">
        <v>3834</v>
      </c>
      <c r="BB264" t="s">
        <v>1059</v>
      </c>
      <c r="BC264" t="s">
        <v>1806</v>
      </c>
      <c r="BD264" t="s">
        <v>3835</v>
      </c>
      <c r="BE264" t="s">
        <v>3393</v>
      </c>
      <c r="BF264" t="s">
        <v>3836</v>
      </c>
      <c r="BG264" t="s">
        <v>2334</v>
      </c>
      <c r="BH264" t="s">
        <v>3824</v>
      </c>
      <c r="BI264" t="s">
        <v>699</v>
      </c>
      <c r="BJ264" t="s">
        <v>3832</v>
      </c>
      <c r="BK264" t="s">
        <v>3825</v>
      </c>
      <c r="BL264" t="s">
        <v>3837</v>
      </c>
      <c r="BM264" t="s">
        <v>1806</v>
      </c>
      <c r="BN264">
        <v>1.28</v>
      </c>
      <c r="BO264">
        <v>-1.95</v>
      </c>
      <c r="BP264">
        <v>1.78</v>
      </c>
      <c r="BQ264">
        <v>2.57</v>
      </c>
      <c r="BR264">
        <v>-4.07</v>
      </c>
      <c r="BS264">
        <v>3.5</v>
      </c>
      <c r="BT264" t="s">
        <v>5715</v>
      </c>
      <c r="BU264" t="s">
        <v>392</v>
      </c>
      <c r="BV264">
        <v>14.69</v>
      </c>
      <c r="BW264">
        <v>13.62</v>
      </c>
      <c r="BX264">
        <v>17.47</v>
      </c>
      <c r="BY264">
        <v>4.79</v>
      </c>
      <c r="BZ264">
        <v>-4.37</v>
      </c>
      <c r="CA264">
        <v>7.02</v>
      </c>
      <c r="CB264">
        <v>-4.0999999999999996</v>
      </c>
      <c r="CC264">
        <v>-9.3000000000000007</v>
      </c>
      <c r="CD264" t="s">
        <v>9767</v>
      </c>
      <c r="CE264" t="s">
        <v>9768</v>
      </c>
      <c r="CF264" s="8">
        <v>-4.346060113728676E-2</v>
      </c>
      <c r="CG264" s="9">
        <v>-0.89939999999999998</v>
      </c>
      <c r="CH264" s="8">
        <v>5.9173360466957092E-2</v>
      </c>
      <c r="CI264" s="8">
        <v>-4.1654441505670547E-2</v>
      </c>
      <c r="CJ264" s="8">
        <v>0.15907162427902222</v>
      </c>
      <c r="CK264" s="8">
        <v>2.4115255102515221E-2</v>
      </c>
      <c r="CL264" s="8">
        <v>1.3896138407289982E-2</v>
      </c>
      <c r="CM264" s="9">
        <v>-0.37196764349937439</v>
      </c>
      <c r="CN264" s="9">
        <v>-0.39576548337936401</v>
      </c>
      <c r="CO264" s="9">
        <v>4.4217687100172043E-2</v>
      </c>
      <c r="CP264" s="9">
        <v>7.8899085521697998E-2</v>
      </c>
      <c r="CQ264" s="9">
        <v>-4.0492959320545197E-2</v>
      </c>
      <c r="CR264">
        <v>26.384494448791063</v>
      </c>
      <c r="CS264">
        <v>6.9995501420135469</v>
      </c>
      <c r="CT264">
        <v>0</v>
      </c>
      <c r="CU264" s="8">
        <v>3.7694557383656499E-2</v>
      </c>
      <c r="CV264" s="9">
        <v>-2.0236359164118766E-2</v>
      </c>
      <c r="CW264">
        <v>0.06</v>
      </c>
      <c r="CX264">
        <v>30.997111986915083</v>
      </c>
      <c r="CY264">
        <v>228097011.19848296</v>
      </c>
      <c r="CZ264">
        <v>3.7694557383656499E-2</v>
      </c>
      <c r="DA264">
        <v>10.591029536238352</v>
      </c>
      <c r="DB264">
        <v>667578971.03468919</v>
      </c>
      <c r="DC264">
        <v>3.5809829514473673E-2</v>
      </c>
      <c r="DD264">
        <v>5.5269431160952074</v>
      </c>
      <c r="DE264">
        <v>1279251197.5399542</v>
      </c>
      <c r="DF264">
        <v>3.3171210497617717E-2</v>
      </c>
      <c r="DG264">
        <v>3.5386805503395982</v>
      </c>
      <c r="DH264">
        <v>1998018328.9846485</v>
      </c>
      <c r="DI264">
        <v>3.01556459069252E-2</v>
      </c>
      <c r="DJ264">
        <v>2.0918534590098479</v>
      </c>
      <c r="DK264">
        <v>3379944503.0660315</v>
      </c>
      <c r="DL264">
        <v>2.6386190168559549E-2</v>
      </c>
      <c r="DM264">
        <v>233000000</v>
      </c>
      <c r="DN264">
        <v>3.7694557383656499E-2</v>
      </c>
      <c r="DO264">
        <v>7070348600</v>
      </c>
      <c r="DP264" t="e">
        <v>#VALUE!</v>
      </c>
      <c r="DQ264">
        <v>263</v>
      </c>
      <c r="DR264">
        <v>-8.1155158520943266E-2</v>
      </c>
      <c r="DS264">
        <v>-0.87916364083588117</v>
      </c>
      <c r="DT264">
        <v>-0.27333333333333337</v>
      </c>
      <c r="DU264">
        <v>0.56666666666666665</v>
      </c>
      <c r="DV264">
        <v>0.29333333333333328</v>
      </c>
      <c r="DW264">
        <v>-8.4408602150537639</v>
      </c>
      <c r="DX264">
        <v>0.55778297747879235</v>
      </c>
      <c r="DY264">
        <v>-8.0298828180282857</v>
      </c>
      <c r="DZ264">
        <v>0</v>
      </c>
      <c r="EA264">
        <v>-8.0298828180282857</v>
      </c>
      <c r="EB264">
        <v>8</v>
      </c>
      <c r="EC264">
        <v>3.1397815504607095E-4</v>
      </c>
      <c r="ED264">
        <v>4.6321092215858319E-3</v>
      </c>
      <c r="EE264">
        <v>0</v>
      </c>
      <c r="EF264">
        <v>0</v>
      </c>
      <c r="EG264">
        <v>49.067782977478792</v>
      </c>
      <c r="EH264" t="s">
        <v>110</v>
      </c>
      <c r="EI264">
        <v>0</v>
      </c>
      <c r="EJ264">
        <v>0</v>
      </c>
      <c r="EK264">
        <v>0</v>
      </c>
      <c r="EL264">
        <v>0</v>
      </c>
      <c r="EM264">
        <v>0</v>
      </c>
      <c r="EN264">
        <v>0</v>
      </c>
      <c r="EO264">
        <v>0</v>
      </c>
      <c r="EP264">
        <v>0</v>
      </c>
    </row>
    <row r="265" spans="1:146" ht="96" x14ac:dyDescent="0.25">
      <c r="A265" s="7"/>
      <c r="B265" s="7"/>
      <c r="C265" s="7" t="str">
        <f>""&amp;CHAR(10)&amp;Basic_Fundamental_Information_Constructure(F265)&amp;CHAR(10)&amp;Basic_Fundamental_Information_Concatenate("")</f>
        <v xml:space="preserve">
市值4501.9129亿, 利润887.42亿; PE5.19; 平均PE30.12; 平均PEG4.45, PB.415; ROIC0%; ROE8.98%; 毛利0%; 净利26.7367%; 上一年度营收增-1.48%, 利润增2.23%; 当季营收增-8.69%, 利润增-6.9%; 过往5年营收增6.77%, 利润增87.18%
Income profile:
</v>
      </c>
      <c r="D265" s="11">
        <v>1658</v>
      </c>
      <c r="E265" t="s">
        <v>3839</v>
      </c>
      <c r="F265">
        <v>4.54</v>
      </c>
      <c r="G265" s="5">
        <v>4.4000000000000003E-3</v>
      </c>
      <c r="H265" t="s">
        <v>9769</v>
      </c>
      <c r="I265">
        <v>450191290000</v>
      </c>
      <c r="J265">
        <v>5.19</v>
      </c>
      <c r="K265">
        <v>0.41499999999999998</v>
      </c>
      <c r="L265" t="s">
        <v>6350</v>
      </c>
      <c r="M265" t="s">
        <v>9770</v>
      </c>
      <c r="N265" t="s">
        <v>9771</v>
      </c>
      <c r="O265" t="s">
        <v>9772</v>
      </c>
      <c r="P265" t="s">
        <v>9</v>
      </c>
      <c r="Q265" t="s">
        <v>9773</v>
      </c>
      <c r="R265">
        <v>88741775000</v>
      </c>
      <c r="S265" s="5">
        <v>-6.9000000000000006E-2</v>
      </c>
      <c r="T265" t="s">
        <v>9774</v>
      </c>
      <c r="U265">
        <v>19856167000</v>
      </c>
      <c r="V265">
        <v>99161076000</v>
      </c>
      <c r="W265">
        <v>16.22</v>
      </c>
      <c r="X265">
        <v>0.01</v>
      </c>
      <c r="Y265">
        <v>26.66</v>
      </c>
      <c r="Z265" t="s">
        <v>9</v>
      </c>
      <c r="AA265" t="s">
        <v>9</v>
      </c>
      <c r="AB265" t="s">
        <v>9</v>
      </c>
      <c r="AC265" t="s">
        <v>9</v>
      </c>
      <c r="AD265" t="s">
        <v>9</v>
      </c>
      <c r="AE265" t="s">
        <v>9</v>
      </c>
      <c r="AF265" t="s">
        <v>9</v>
      </c>
      <c r="AG265" t="s">
        <v>9775</v>
      </c>
      <c r="AH265" t="s">
        <v>9776</v>
      </c>
      <c r="AI265" t="s">
        <v>9</v>
      </c>
      <c r="AJ265" t="s">
        <v>9</v>
      </c>
      <c r="AK265" t="s">
        <v>9777</v>
      </c>
      <c r="AL265" t="s">
        <v>9</v>
      </c>
      <c r="AM265" t="s">
        <v>9778</v>
      </c>
      <c r="AN265" s="5">
        <v>0.93820000000000003</v>
      </c>
      <c r="AO265" t="s">
        <v>9</v>
      </c>
      <c r="AP265" t="s">
        <v>9</v>
      </c>
      <c r="AQ265" t="s">
        <v>9</v>
      </c>
      <c r="AR265" t="s">
        <v>9</v>
      </c>
      <c r="AS265" t="s">
        <v>9</v>
      </c>
      <c r="AT265" t="s">
        <v>9</v>
      </c>
      <c r="AU265" t="s">
        <v>9779</v>
      </c>
      <c r="AV265" t="s">
        <v>9780</v>
      </c>
      <c r="AW265" t="s">
        <v>9781</v>
      </c>
      <c r="AX265" t="s">
        <v>3840</v>
      </c>
      <c r="AY265" t="s">
        <v>3842</v>
      </c>
      <c r="AZ265" t="s">
        <v>3843</v>
      </c>
      <c r="BA265" t="s">
        <v>3844</v>
      </c>
      <c r="BB265" t="s">
        <v>3845</v>
      </c>
      <c r="BC265" t="s">
        <v>1244</v>
      </c>
      <c r="BD265" t="s">
        <v>3846</v>
      </c>
      <c r="BE265" t="s">
        <v>3847</v>
      </c>
      <c r="BF265" t="s">
        <v>3848</v>
      </c>
      <c r="BG265" t="s">
        <v>3849</v>
      </c>
      <c r="BH265" t="s">
        <v>3840</v>
      </c>
      <c r="BI265" t="s">
        <v>3850</v>
      </c>
      <c r="BJ265" t="s">
        <v>3842</v>
      </c>
      <c r="BK265" t="s">
        <v>3841</v>
      </c>
      <c r="BL265" t="s">
        <v>3851</v>
      </c>
      <c r="BM265" t="s">
        <v>1244</v>
      </c>
      <c r="BN265" t="s">
        <v>9</v>
      </c>
      <c r="BO265" t="s">
        <v>9</v>
      </c>
      <c r="BP265" t="s">
        <v>9</v>
      </c>
      <c r="BQ265">
        <v>8.48</v>
      </c>
      <c r="BR265">
        <v>9.5299999999999994</v>
      </c>
      <c r="BS265">
        <v>8.93</v>
      </c>
      <c r="BT265" t="s">
        <v>9782</v>
      </c>
      <c r="BU265" t="s">
        <v>422</v>
      </c>
      <c r="BV265" t="s">
        <v>9</v>
      </c>
      <c r="BW265" t="s">
        <v>9</v>
      </c>
      <c r="BX265" t="s">
        <v>9</v>
      </c>
      <c r="BY265">
        <v>27.16</v>
      </c>
      <c r="BZ265">
        <v>27.2</v>
      </c>
      <c r="CA265">
        <v>25.85</v>
      </c>
      <c r="CB265">
        <v>0.22</v>
      </c>
      <c r="CC265">
        <v>3.42</v>
      </c>
      <c r="CD265" t="s">
        <v>2854</v>
      </c>
      <c r="CE265" t="s">
        <v>1433</v>
      </c>
      <c r="CF265" s="8">
        <v>-8.6947633114925024E-2</v>
      </c>
      <c r="CG265" s="9">
        <v>-6.9000000000000006E-2</v>
      </c>
      <c r="CH265" s="8">
        <v>-1.4820802956819534E-2</v>
      </c>
      <c r="CI265" s="8">
        <v>-2.3322444409132004E-2</v>
      </c>
      <c r="CJ265" s="8">
        <v>0.12381766736507416</v>
      </c>
      <c r="CK265" s="8">
        <v>0.10027969628572464</v>
      </c>
      <c r="CL265" s="8">
        <v>0.20683547854423523</v>
      </c>
      <c r="CM265" s="9">
        <v>2.2255515679717064E-2</v>
      </c>
      <c r="CN265" s="9">
        <v>0.18206945061683655</v>
      </c>
      <c r="CO265" s="9">
        <v>7.8510284423828125E-2</v>
      </c>
      <c r="CP265" s="9">
        <v>0.14324811100959778</v>
      </c>
      <c r="CQ265" s="9">
        <v>4.1877333074808121E-2</v>
      </c>
      <c r="CR265">
        <v>30.122696996388836</v>
      </c>
      <c r="CS265">
        <v>4.4517364086846394</v>
      </c>
      <c r="CT265" t="e">
        <v>#VALUE!</v>
      </c>
      <c r="CU265" s="8">
        <v>6.7665050737559795E-2</v>
      </c>
      <c r="CV265" s="9">
        <v>0.87183474600315092</v>
      </c>
      <c r="CW265">
        <v>0.06</v>
      </c>
      <c r="CX265">
        <v>177.77133441805915</v>
      </c>
      <c r="CY265">
        <v>89383709370.332565</v>
      </c>
      <c r="CZ265">
        <v>6.7665050737559795E-2</v>
      </c>
      <c r="DA265">
        <v>59.206003638175716</v>
      </c>
      <c r="DB265">
        <v>268382601654.84805</v>
      </c>
      <c r="DC265">
        <v>6.4281798200681806E-2</v>
      </c>
      <c r="DD265">
        <v>29.887650902051448</v>
      </c>
      <c r="DE265">
        <v>531653067752.7868</v>
      </c>
      <c r="DF265">
        <v>5.9545244649052621E-2</v>
      </c>
      <c r="DG265">
        <v>18.458456049695737</v>
      </c>
      <c r="DH265">
        <v>860844549902.74878</v>
      </c>
      <c r="DI265">
        <v>5.4132040590047836E-2</v>
      </c>
      <c r="DJ265">
        <v>10.129847938512393</v>
      </c>
      <c r="DK265">
        <v>1568617948309.8425</v>
      </c>
      <c r="DL265">
        <v>4.7365535516291857E-2</v>
      </c>
      <c r="DM265">
        <v>88742000000</v>
      </c>
      <c r="DN265">
        <v>6.7665050737559795E-2</v>
      </c>
      <c r="DO265">
        <v>15889861289999.998</v>
      </c>
      <c r="DP265" t="e">
        <v>#VALUE!</v>
      </c>
      <c r="DQ265">
        <v>264</v>
      </c>
      <c r="DR265">
        <v>-0.15461268385248483</v>
      </c>
      <c r="DS265">
        <v>-0.94083474600315098</v>
      </c>
      <c r="DT265">
        <v>-0.28999999999999998</v>
      </c>
      <c r="DU265">
        <v>0.78500000000000003</v>
      </c>
      <c r="DV265">
        <v>0.49500000000000005</v>
      </c>
      <c r="DW265">
        <v>1.0342</v>
      </c>
      <c r="DX265">
        <v>0.64840580542303083</v>
      </c>
      <c r="DY265">
        <v>1.0064434785454677</v>
      </c>
      <c r="DZ265">
        <v>0</v>
      </c>
      <c r="EA265">
        <v>1.0064434785454677</v>
      </c>
      <c r="EB265">
        <v>1</v>
      </c>
      <c r="EC265">
        <v>2.7530963863280386E-3</v>
      </c>
      <c r="ED265">
        <v>1.4612588512048821E-2</v>
      </c>
      <c r="EE265">
        <v>0</v>
      </c>
      <c r="EF265">
        <v>0</v>
      </c>
      <c r="EG265">
        <v>46.188405805423031</v>
      </c>
      <c r="EH265" t="s">
        <v>110</v>
      </c>
      <c r="EI265">
        <v>0</v>
      </c>
      <c r="EJ265">
        <v>0</v>
      </c>
      <c r="EK265">
        <v>0</v>
      </c>
      <c r="EL265">
        <v>0</v>
      </c>
      <c r="EM265">
        <v>0</v>
      </c>
      <c r="EN265">
        <v>0</v>
      </c>
      <c r="EO265">
        <v>0</v>
      </c>
      <c r="EP265">
        <v>0</v>
      </c>
    </row>
    <row r="266" spans="1:146" ht="96" x14ac:dyDescent="0.25">
      <c r="A266" s="7"/>
      <c r="B266" s="7"/>
      <c r="C266" s="7" t="str">
        <f>""&amp;CHAR(10)&amp;Basic_Fundamental_Information_Constructure(F266)&amp;CHAR(10)&amp;Basic_Fundamental_Information_Concatenate("")</f>
        <v xml:space="preserve">
市值21.39634亿, 利润7.00亿; PE; 平均PE5.49; 平均PEG.6, PB.05; ROIC1.7067%; ROE3.06%; 股利率0%; 毛利33.3367%; 净利14.8433%; 上一年度营收增-57.09%, 利润增-71.01%, 利润增-341.9%; 过往5年营收增9.12%, 利润增14.41%
Income profile:
</v>
      </c>
      <c r="D266" s="11">
        <v>1668</v>
      </c>
      <c r="E266" t="s">
        <v>3852</v>
      </c>
      <c r="F266">
        <v>0.187</v>
      </c>
      <c r="G266" s="5">
        <v>-4.1000000000000002E-2</v>
      </c>
      <c r="H266" t="s">
        <v>9783</v>
      </c>
      <c r="I266">
        <v>2139634000</v>
      </c>
      <c r="K266">
        <v>0.05</v>
      </c>
      <c r="L266" t="s">
        <v>6350</v>
      </c>
      <c r="M266" t="s">
        <v>9</v>
      </c>
      <c r="N266" t="s">
        <v>9</v>
      </c>
      <c r="O266" t="s">
        <v>9</v>
      </c>
      <c r="P266" t="s">
        <v>9</v>
      </c>
      <c r="Q266" t="s">
        <v>9784</v>
      </c>
      <c r="R266">
        <v>-621243000</v>
      </c>
      <c r="S266" s="5">
        <v>-3.419</v>
      </c>
      <c r="T266" t="s">
        <v>5104</v>
      </c>
      <c r="U266">
        <v>11441892800</v>
      </c>
      <c r="V266">
        <v>11441892800</v>
      </c>
      <c r="W266" t="s">
        <v>9</v>
      </c>
      <c r="X266" t="s">
        <v>9</v>
      </c>
      <c r="Y266" t="s">
        <v>9</v>
      </c>
      <c r="Z266" t="s">
        <v>9</v>
      </c>
      <c r="AA266" t="s">
        <v>9</v>
      </c>
      <c r="AB266" t="s">
        <v>9</v>
      </c>
      <c r="AC266" t="s">
        <v>9</v>
      </c>
      <c r="AD266" t="s">
        <v>9</v>
      </c>
      <c r="AE266" t="s">
        <v>9</v>
      </c>
      <c r="AF266" t="s">
        <v>9</v>
      </c>
      <c r="AG266" t="s">
        <v>9</v>
      </c>
      <c r="AH266" t="s">
        <v>9785</v>
      </c>
      <c r="AI266" t="s">
        <v>9</v>
      </c>
      <c r="AJ266" t="s">
        <v>9</v>
      </c>
      <c r="AK266" t="s">
        <v>9786</v>
      </c>
      <c r="AL266" t="s">
        <v>9</v>
      </c>
      <c r="AM266" t="s">
        <v>9</v>
      </c>
      <c r="AN266" s="5">
        <v>0.62009999999999998</v>
      </c>
      <c r="AO266" t="s">
        <v>9</v>
      </c>
      <c r="AP266" t="s">
        <v>1608</v>
      </c>
      <c r="AQ266" t="s">
        <v>9</v>
      </c>
      <c r="AR266" t="s">
        <v>9787</v>
      </c>
      <c r="AS266" t="s">
        <v>9</v>
      </c>
      <c r="AT266" t="s">
        <v>9</v>
      </c>
      <c r="AU266" t="s">
        <v>9417</v>
      </c>
      <c r="AV266" t="s">
        <v>9252</v>
      </c>
      <c r="AW266" t="s">
        <v>9</v>
      </c>
      <c r="AX266" t="s">
        <v>3853</v>
      </c>
      <c r="AY266" t="s">
        <v>3855</v>
      </c>
      <c r="AZ266" t="s">
        <v>3856</v>
      </c>
      <c r="BA266" t="s">
        <v>3857</v>
      </c>
      <c r="BB266" t="s">
        <v>3858</v>
      </c>
      <c r="BC266" t="s">
        <v>1289</v>
      </c>
      <c r="BD266" t="s">
        <v>3859</v>
      </c>
      <c r="BE266" t="s">
        <v>3860</v>
      </c>
      <c r="BF266" t="s">
        <v>3861</v>
      </c>
      <c r="BG266" t="s">
        <v>3862</v>
      </c>
      <c r="BH266" t="s">
        <v>3853</v>
      </c>
      <c r="BI266" t="s">
        <v>9</v>
      </c>
      <c r="BJ266" t="s">
        <v>3855</v>
      </c>
      <c r="BK266" t="s">
        <v>3533</v>
      </c>
      <c r="BL266" t="s">
        <v>9</v>
      </c>
      <c r="BM266" t="s">
        <v>1289</v>
      </c>
      <c r="BN266">
        <v>0.89</v>
      </c>
      <c r="BO266">
        <v>0.95</v>
      </c>
      <c r="BP266">
        <v>3.28</v>
      </c>
      <c r="BQ266">
        <v>1.64</v>
      </c>
      <c r="BR266">
        <v>1.69</v>
      </c>
      <c r="BS266">
        <v>5.85</v>
      </c>
      <c r="BT266" t="s">
        <v>9788</v>
      </c>
      <c r="BU266" t="s">
        <v>410</v>
      </c>
      <c r="BV266">
        <v>26.95</v>
      </c>
      <c r="BW266">
        <v>29.34</v>
      </c>
      <c r="BX266">
        <v>43.72</v>
      </c>
      <c r="BY266">
        <v>15.81</v>
      </c>
      <c r="BZ266">
        <v>7.36</v>
      </c>
      <c r="CA266">
        <v>21.36</v>
      </c>
      <c r="CB266">
        <v>-10.95</v>
      </c>
      <c r="CC266">
        <v>-35.520000000000003</v>
      </c>
      <c r="CD266" t="s">
        <v>129</v>
      </c>
      <c r="CE266" t="s">
        <v>9789</v>
      </c>
      <c r="CF266" s="8" t="s">
        <v>9</v>
      </c>
      <c r="CG266" s="9">
        <v>-3.419</v>
      </c>
      <c r="CH266" s="8">
        <v>-0.57088828086853027</v>
      </c>
      <c r="CI266" s="8">
        <v>-8.8159888982772827E-2</v>
      </c>
      <c r="CJ266" s="8">
        <v>0.14370951056480408</v>
      </c>
      <c r="CK266" s="8">
        <v>5.1355697214603424E-2</v>
      </c>
      <c r="CL266" s="8">
        <v>0.19977033138275146</v>
      </c>
      <c r="CM266" s="9">
        <v>-0.71014493703842163</v>
      </c>
      <c r="CN266" s="9">
        <v>-8.2795247435569763E-2</v>
      </c>
      <c r="CO266" s="9">
        <v>-0.19009539484977722</v>
      </c>
      <c r="CP266" s="9">
        <v>-0.27947694063186646</v>
      </c>
      <c r="CQ266" s="9">
        <v>4.3719686567783356E-2</v>
      </c>
      <c r="CR266">
        <v>5.4862410256410259</v>
      </c>
      <c r="CS266">
        <v>0.60173026637571414</v>
      </c>
      <c r="CT266">
        <v>0</v>
      </c>
      <c r="CU266" s="8">
        <v>9.1174423694610596E-2</v>
      </c>
      <c r="CV266" s="9">
        <v>0.14410925209522246</v>
      </c>
      <c r="CW266">
        <v>0.06</v>
      </c>
      <c r="CX266">
        <v>2.9692935699772152</v>
      </c>
      <c r="CY266">
        <v>720586883.57191253</v>
      </c>
      <c r="CZ266">
        <v>9.1174423694610596E-2</v>
      </c>
      <c r="DA266">
        <v>0.96937306402905687</v>
      </c>
      <c r="DB266">
        <v>2207234840.1212277</v>
      </c>
      <c r="DC266">
        <v>8.6615702509880058E-2</v>
      </c>
      <c r="DD266">
        <v>0.47656548113590896</v>
      </c>
      <c r="DE266">
        <v>4489695717.9947538</v>
      </c>
      <c r="DF266">
        <v>8.0233492851257318E-2</v>
      </c>
      <c r="DG266">
        <v>0.28575651338401764</v>
      </c>
      <c r="DH266">
        <v>7487612354.5244436</v>
      </c>
      <c r="DI266">
        <v>7.2939538955688485E-2</v>
      </c>
      <c r="DJ266">
        <v>0.14713125449269976</v>
      </c>
      <c r="DK266">
        <v>14542348649.016396</v>
      </c>
      <c r="DL266">
        <v>6.3822096586227409E-2</v>
      </c>
      <c r="DM266">
        <v>700000000</v>
      </c>
      <c r="DN266">
        <v>9.1174423694610596E-2</v>
      </c>
      <c r="DO266">
        <v>2139634000</v>
      </c>
      <c r="DP266" t="e">
        <v>#VALUE!</v>
      </c>
      <c r="DQ266">
        <v>265</v>
      </c>
      <c r="DR266" t="e">
        <v>#VALUE!</v>
      </c>
      <c r="DS266">
        <v>-3.5631092520952223</v>
      </c>
      <c r="DT266" t="e">
        <v>#VALUE!</v>
      </c>
      <c r="DU266" t="e">
        <v>#VALUE!</v>
      </c>
      <c r="DV266" t="e">
        <v>#VALUE!</v>
      </c>
      <c r="DW266">
        <v>-9.3082770270270263</v>
      </c>
      <c r="DX266">
        <v>0.24154829545454676</v>
      </c>
      <c r="DY266">
        <v>-9.012808385000767</v>
      </c>
      <c r="DZ266">
        <v>0</v>
      </c>
      <c r="EA266">
        <v>-9.012808385000767</v>
      </c>
      <c r="EB266">
        <v>9</v>
      </c>
      <c r="EC266">
        <v>1.0225580858439786E-2</v>
      </c>
      <c r="ED266">
        <v>0.24611312561851653</v>
      </c>
      <c r="EE266">
        <v>0</v>
      </c>
      <c r="EF266">
        <v>0</v>
      </c>
      <c r="EG266">
        <v>20.041548295454547</v>
      </c>
      <c r="EH266" t="s">
        <v>110</v>
      </c>
      <c r="EI266">
        <v>0</v>
      </c>
      <c r="EJ266">
        <v>0</v>
      </c>
      <c r="EK266">
        <v>0</v>
      </c>
      <c r="EL266">
        <v>0</v>
      </c>
      <c r="EM266">
        <v>0</v>
      </c>
      <c r="EN266">
        <v>0</v>
      </c>
      <c r="EO266">
        <v>0</v>
      </c>
      <c r="EP266">
        <v>0</v>
      </c>
    </row>
    <row r="267" spans="1:146" ht="96" x14ac:dyDescent="0.25">
      <c r="A267" s="7"/>
      <c r="B267" s="7"/>
      <c r="C267" s="7" t="str">
        <f>""&amp;CHAR(10)&amp;Basic_Fundamental_Information_Constructure(F267)&amp;CHAR(10)&amp;Basic_Fundamental_Information_Concatenate("")</f>
        <v xml:space="preserve">
市值64.910119亿, 利润5.84亿; PE11.11; 平均PE41.94; 平均PEG14.27, PB.895; ROIC11.3533%; ROE11.0233%; 股利率0%; 毛利38.0233%; 净利9.4967%; 上一年度营收增-.91%, 利润增-39.29%, 利润增-37.74%; 过往5年营收增-2.94%, 利润增-51.74%
Income profile:
</v>
      </c>
      <c r="D267" s="11">
        <v>1675</v>
      </c>
      <c r="E267" t="s">
        <v>3863</v>
      </c>
      <c r="F267">
        <v>6.94</v>
      </c>
      <c r="G267" s="5">
        <v>-8.6E-3</v>
      </c>
      <c r="H267" t="s">
        <v>9790</v>
      </c>
      <c r="I267">
        <v>6491011900</v>
      </c>
      <c r="J267">
        <v>11.11</v>
      </c>
      <c r="K267">
        <v>0.89500000000000002</v>
      </c>
      <c r="L267" t="s">
        <v>6350</v>
      </c>
      <c r="M267" t="s">
        <v>9</v>
      </c>
      <c r="N267" t="s">
        <v>9</v>
      </c>
      <c r="O267" t="s">
        <v>9</v>
      </c>
      <c r="P267" t="s">
        <v>9</v>
      </c>
      <c r="Q267" t="s">
        <v>6270</v>
      </c>
      <c r="R267">
        <v>584283370</v>
      </c>
      <c r="S267" s="5">
        <v>-0.37740000000000001</v>
      </c>
      <c r="T267" t="s">
        <v>5615</v>
      </c>
      <c r="U267">
        <v>935304310</v>
      </c>
      <c r="V267">
        <v>935304310</v>
      </c>
      <c r="W267" t="s">
        <v>9</v>
      </c>
      <c r="X267" t="s">
        <v>9</v>
      </c>
      <c r="Y267" t="s">
        <v>9</v>
      </c>
      <c r="Z267" t="s">
        <v>9</v>
      </c>
      <c r="AA267" t="s">
        <v>9</v>
      </c>
      <c r="AB267" t="s">
        <v>9</v>
      </c>
      <c r="AC267" t="s">
        <v>9</v>
      </c>
      <c r="AD267" t="s">
        <v>2885</v>
      </c>
      <c r="AE267" t="s">
        <v>9</v>
      </c>
      <c r="AF267" t="s">
        <v>9</v>
      </c>
      <c r="AG267" t="s">
        <v>9</v>
      </c>
      <c r="AH267" t="s">
        <v>9791</v>
      </c>
      <c r="AI267" t="s">
        <v>9</v>
      </c>
      <c r="AJ267" t="s">
        <v>9</v>
      </c>
      <c r="AK267" t="s">
        <v>9792</v>
      </c>
      <c r="AL267" t="s">
        <v>9</v>
      </c>
      <c r="AM267" t="s">
        <v>9</v>
      </c>
      <c r="AN267" s="5">
        <v>0.41510000000000002</v>
      </c>
      <c r="AO267" t="s">
        <v>9</v>
      </c>
      <c r="AP267" t="s">
        <v>9793</v>
      </c>
      <c r="AQ267" t="s">
        <v>9</v>
      </c>
      <c r="AR267" t="s">
        <v>783</v>
      </c>
      <c r="AS267" t="s">
        <v>9</v>
      </c>
      <c r="AT267" t="s">
        <v>9</v>
      </c>
      <c r="AU267" t="s">
        <v>2626</v>
      </c>
      <c r="AV267" t="s">
        <v>9794</v>
      </c>
      <c r="AW267" t="s">
        <v>9</v>
      </c>
      <c r="AX267" t="s">
        <v>3864</v>
      </c>
      <c r="AY267" t="s">
        <v>623</v>
      </c>
      <c r="AZ267" t="s">
        <v>2171</v>
      </c>
      <c r="BA267" t="s">
        <v>2319</v>
      </c>
      <c r="BB267" t="s">
        <v>2319</v>
      </c>
      <c r="BC267" t="s">
        <v>3645</v>
      </c>
      <c r="BD267" t="s">
        <v>3865</v>
      </c>
      <c r="BE267" t="s">
        <v>3866</v>
      </c>
      <c r="BF267" t="s">
        <v>568</v>
      </c>
      <c r="BG267" t="s">
        <v>3138</v>
      </c>
      <c r="BH267" t="s">
        <v>3864</v>
      </c>
      <c r="BI267" t="s">
        <v>9</v>
      </c>
      <c r="BJ267" t="s">
        <v>623</v>
      </c>
      <c r="BK267" t="s">
        <v>3777</v>
      </c>
      <c r="BL267" t="s">
        <v>9</v>
      </c>
      <c r="BM267" t="s">
        <v>3645</v>
      </c>
      <c r="BN267">
        <v>7.95</v>
      </c>
      <c r="BO267">
        <v>12.85</v>
      </c>
      <c r="BP267">
        <v>13.26</v>
      </c>
      <c r="BQ267">
        <v>8.06</v>
      </c>
      <c r="BR267">
        <v>12.24</v>
      </c>
      <c r="BS267">
        <v>12.77</v>
      </c>
      <c r="BT267" t="s">
        <v>7551</v>
      </c>
      <c r="BU267" t="s">
        <v>551</v>
      </c>
      <c r="BV267">
        <v>37.71</v>
      </c>
      <c r="BW267">
        <v>37.99</v>
      </c>
      <c r="BX267">
        <v>38.369999999999997</v>
      </c>
      <c r="BY267">
        <v>6.49</v>
      </c>
      <c r="BZ267">
        <v>10.65</v>
      </c>
      <c r="CA267">
        <v>11.35</v>
      </c>
      <c r="CB267">
        <v>2.36</v>
      </c>
      <c r="CC267">
        <v>-7.34</v>
      </c>
      <c r="CD267" t="s">
        <v>9795</v>
      </c>
      <c r="CE267" t="s">
        <v>9796</v>
      </c>
      <c r="CF267" s="8" t="s">
        <v>9</v>
      </c>
      <c r="CG267" s="9">
        <v>-0.37740000000000001</v>
      </c>
      <c r="CH267" s="8">
        <v>-9.0502407401800156E-3</v>
      </c>
      <c r="CI267" s="8">
        <v>3.3874232321977615E-2</v>
      </c>
      <c r="CJ267" s="8">
        <v>0.17672470211982727</v>
      </c>
      <c r="CK267" s="8">
        <v>0.20933757722377777</v>
      </c>
      <c r="CL267" s="8">
        <v>0</v>
      </c>
      <c r="CM267" s="9">
        <v>-0.39293140172958374</v>
      </c>
      <c r="CN267" s="9">
        <v>0.21926489472389221</v>
      </c>
      <c r="CO267" s="9">
        <v>0.72647702693939209</v>
      </c>
      <c r="CP267" s="9">
        <v>0.96982759237289429</v>
      </c>
      <c r="CQ267" s="9">
        <v>-0.41116750240325928</v>
      </c>
      <c r="CR267">
        <v>41.937326715145872</v>
      </c>
      <c r="CS267">
        <v>14.270877696093255</v>
      </c>
      <c r="CT267">
        <v>0</v>
      </c>
      <c r="CU267" s="8">
        <v>-2.9386648535728456E-2</v>
      </c>
      <c r="CV267" s="9">
        <v>-0.51742437034845357</v>
      </c>
      <c r="CW267">
        <v>0.06</v>
      </c>
      <c r="CX267">
        <v>11.114746404109589</v>
      </c>
      <c r="CY267" t="s">
        <v>9797</v>
      </c>
      <c r="CZ267">
        <v>-2.9386648535728456E-2</v>
      </c>
      <c r="DA267">
        <v>3.7049154680365297</v>
      </c>
      <c r="DB267" t="s">
        <v>9798</v>
      </c>
      <c r="DC267">
        <v>-2.7917316108942034E-2</v>
      </c>
      <c r="DD267">
        <v>1.8524577340182649</v>
      </c>
      <c r="DE267" t="s">
        <v>9799</v>
      </c>
      <c r="DF267">
        <v>-2.5860250711441043E-2</v>
      </c>
      <c r="DG267">
        <v>1.111474640410959</v>
      </c>
      <c r="DH267" t="s">
        <v>9800</v>
      </c>
      <c r="DI267">
        <v>-2.3509318828582766E-2</v>
      </c>
      <c r="DJ267">
        <v>0.5557373202054795</v>
      </c>
      <c r="DK267" t="s">
        <v>9801</v>
      </c>
      <c r="DL267">
        <v>-2.0570653975009918E-2</v>
      </c>
      <c r="DM267">
        <v>584000000</v>
      </c>
      <c r="DN267">
        <v>-2.9386648535728456E-2</v>
      </c>
      <c r="DO267">
        <v>6491011900</v>
      </c>
      <c r="DP267" t="e">
        <v>#VALUE!</v>
      </c>
      <c r="DQ267">
        <v>266</v>
      </c>
      <c r="DR267" t="e">
        <v>#VALUE!</v>
      </c>
      <c r="DS267">
        <v>0.14002437034845355</v>
      </c>
      <c r="DT267" t="e">
        <v>#VALUE!</v>
      </c>
      <c r="DU267" t="e">
        <v>#VALUE!</v>
      </c>
      <c r="DV267" t="e">
        <v>#VALUE!</v>
      </c>
      <c r="DW267">
        <v>-2.0733999999999999</v>
      </c>
      <c r="DX267">
        <v>0.25650142651384295</v>
      </c>
      <c r="DY267">
        <v>-2.0129552047061159</v>
      </c>
      <c r="DZ267">
        <v>0</v>
      </c>
      <c r="EA267">
        <v>-2.0129552047061159</v>
      </c>
      <c r="EB267">
        <v>2</v>
      </c>
      <c r="EC267">
        <v>3.4196356905486724E-3</v>
      </c>
      <c r="ED267">
        <v>1.9374549872436704E-2</v>
      </c>
      <c r="EE267">
        <v>0</v>
      </c>
      <c r="EF267">
        <v>0</v>
      </c>
      <c r="EG267">
        <v>8.1765014265138429</v>
      </c>
      <c r="EH267" t="s">
        <v>110</v>
      </c>
      <c r="EI267">
        <v>0</v>
      </c>
      <c r="EJ267">
        <v>0</v>
      </c>
      <c r="EK267">
        <v>0</v>
      </c>
      <c r="EL267">
        <v>0</v>
      </c>
      <c r="EM267">
        <v>0</v>
      </c>
      <c r="EN267">
        <v>0</v>
      </c>
      <c r="EO267">
        <v>0</v>
      </c>
      <c r="EP267">
        <v>0</v>
      </c>
    </row>
    <row r="268" spans="1:146" ht="96" x14ac:dyDescent="0.25">
      <c r="A268" s="7"/>
      <c r="B268" s="7"/>
      <c r="C268" s="7" t="str">
        <f>""&amp;CHAR(10)&amp;Basic_Fundamental_Information_Constructure(F268)&amp;CHAR(10)&amp;Basic_Fundamental_Information_Concatenate("")</f>
        <v xml:space="preserve">
市值58.476433亿, 利润9.05亿; PE6.44; 平均PE200.49; 平均PEG36.05, PB1.26; ROIC5.3833%; ROE18.57%; 股利率0%; 毛利57.6067%; 净利40.41%; 上一年度营收增12.46%, 利润增14.85%, 利润增.54%; 过往5年营收增-5.56%, 利润增-78.02%
Income profile:
</v>
      </c>
      <c r="D268" s="11">
        <v>1686</v>
      </c>
      <c r="E268" t="s">
        <v>3867</v>
      </c>
      <c r="F268">
        <v>2.5</v>
      </c>
      <c r="G268" s="5">
        <v>2.0400000000000001E-2</v>
      </c>
      <c r="H268" t="s">
        <v>9802</v>
      </c>
      <c r="I268">
        <v>5847643300</v>
      </c>
      <c r="J268">
        <v>6.44</v>
      </c>
      <c r="K268">
        <v>1.26</v>
      </c>
      <c r="L268" t="s">
        <v>6350</v>
      </c>
      <c r="M268" t="s">
        <v>9</v>
      </c>
      <c r="N268" t="s">
        <v>9</v>
      </c>
      <c r="O268" t="s">
        <v>9</v>
      </c>
      <c r="P268" t="s">
        <v>9</v>
      </c>
      <c r="Q268" t="s">
        <v>5206</v>
      </c>
      <c r="R268">
        <v>435440000</v>
      </c>
      <c r="S268" s="5">
        <v>5.3499999999999997E-3</v>
      </c>
      <c r="T268" t="s">
        <v>3475</v>
      </c>
      <c r="U268">
        <v>2339057300</v>
      </c>
      <c r="V268">
        <v>2339057300</v>
      </c>
      <c r="W268" t="s">
        <v>9</v>
      </c>
      <c r="X268" t="s">
        <v>9</v>
      </c>
      <c r="Y268" t="s">
        <v>9</v>
      </c>
      <c r="Z268" t="s">
        <v>9</v>
      </c>
      <c r="AA268" t="s">
        <v>9</v>
      </c>
      <c r="AB268" t="s">
        <v>9</v>
      </c>
      <c r="AC268" t="s">
        <v>9</v>
      </c>
      <c r="AD268" t="s">
        <v>9</v>
      </c>
      <c r="AE268" t="s">
        <v>9</v>
      </c>
      <c r="AF268" t="s">
        <v>9</v>
      </c>
      <c r="AG268" t="s">
        <v>9</v>
      </c>
      <c r="AH268" t="s">
        <v>9803</v>
      </c>
      <c r="AI268" t="s">
        <v>9</v>
      </c>
      <c r="AJ268" t="s">
        <v>9</v>
      </c>
      <c r="AK268" t="s">
        <v>9804</v>
      </c>
      <c r="AL268" t="s">
        <v>9</v>
      </c>
      <c r="AM268" t="s">
        <v>9</v>
      </c>
      <c r="AN268" s="5">
        <v>0.79149999999999998</v>
      </c>
      <c r="AO268" t="s">
        <v>9</v>
      </c>
      <c r="AP268" t="s">
        <v>9805</v>
      </c>
      <c r="AQ268" t="s">
        <v>9</v>
      </c>
      <c r="AR268" t="s">
        <v>2569</v>
      </c>
      <c r="AS268" t="s">
        <v>9</v>
      </c>
      <c r="AT268" t="s">
        <v>9</v>
      </c>
      <c r="AU268" t="s">
        <v>9806</v>
      </c>
      <c r="AV268" t="s">
        <v>4083</v>
      </c>
      <c r="AW268" t="s">
        <v>9</v>
      </c>
      <c r="AX268" t="s">
        <v>3789</v>
      </c>
      <c r="AY268" t="s">
        <v>3869</v>
      </c>
      <c r="AZ268" t="s">
        <v>2556</v>
      </c>
      <c r="BA268" t="s">
        <v>790</v>
      </c>
      <c r="BB268" t="s">
        <v>151</v>
      </c>
      <c r="BC268" t="s">
        <v>3551</v>
      </c>
      <c r="BD268" t="s">
        <v>3871</v>
      </c>
      <c r="BE268" t="s">
        <v>3872</v>
      </c>
      <c r="BF268" t="s">
        <v>3743</v>
      </c>
      <c r="BG268" t="s">
        <v>3621</v>
      </c>
      <c r="BH268" t="s">
        <v>3789</v>
      </c>
      <c r="BI268" t="s">
        <v>9</v>
      </c>
      <c r="BJ268" t="s">
        <v>3869</v>
      </c>
      <c r="BK268" t="s">
        <v>1201</v>
      </c>
      <c r="BL268" t="s">
        <v>9</v>
      </c>
      <c r="BM268" t="s">
        <v>3551</v>
      </c>
      <c r="BN268">
        <v>5.23</v>
      </c>
      <c r="BO268">
        <v>5.38</v>
      </c>
      <c r="BP268">
        <v>5.54</v>
      </c>
      <c r="BQ268">
        <v>19.45</v>
      </c>
      <c r="BR268">
        <v>18.5</v>
      </c>
      <c r="BS268">
        <v>17.760000000000002</v>
      </c>
      <c r="BT268" t="s">
        <v>9807</v>
      </c>
      <c r="BU268" t="s">
        <v>551</v>
      </c>
      <c r="BV268">
        <v>56.3</v>
      </c>
      <c r="BW268">
        <v>57.6</v>
      </c>
      <c r="BX268">
        <v>58.92</v>
      </c>
      <c r="BY268">
        <v>38.590000000000003</v>
      </c>
      <c r="BZ268">
        <v>40.6</v>
      </c>
      <c r="CA268">
        <v>42.04</v>
      </c>
      <c r="CB268">
        <v>-4.58</v>
      </c>
      <c r="CC268">
        <v>-14.38</v>
      </c>
      <c r="CD268" t="s">
        <v>9808</v>
      </c>
      <c r="CE268" t="s">
        <v>9809</v>
      </c>
      <c r="CF268" s="8" t="s">
        <v>9</v>
      </c>
      <c r="CG268" s="9">
        <v>5.3499999999999997E-3</v>
      </c>
      <c r="CH268" s="8">
        <v>0.12464039772748947</v>
      </c>
      <c r="CI268" s="8">
        <v>0.11312700062990189</v>
      </c>
      <c r="CJ268" s="8">
        <v>9.3348890542984009E-2</v>
      </c>
      <c r="CK268" s="8">
        <v>0.25567770004272461</v>
      </c>
      <c r="CL268" s="8">
        <v>0.19527140259742737</v>
      </c>
      <c r="CM268" s="9">
        <v>0.14847715198993683</v>
      </c>
      <c r="CN268" s="9">
        <v>6.3856961205601692E-3</v>
      </c>
      <c r="CO268" s="9">
        <v>-9.4797685742378235E-2</v>
      </c>
      <c r="CP268" s="9">
        <v>0.11469072103500366</v>
      </c>
      <c r="CQ268" s="9">
        <v>0.23174603283405304</v>
      </c>
      <c r="CR268">
        <v>200.48879438816545</v>
      </c>
      <c r="CS268">
        <v>36.049390526680291</v>
      </c>
      <c r="CT268">
        <v>0</v>
      </c>
      <c r="CU268" s="8">
        <v>-5.5615030229091644E-2</v>
      </c>
      <c r="CV268" s="9">
        <v>-0.78019188642501835</v>
      </c>
      <c r="CW268">
        <v>0.06</v>
      </c>
      <c r="CX268">
        <v>6.4614843093922651</v>
      </c>
      <c r="CY268" t="s">
        <v>9810</v>
      </c>
      <c r="CZ268">
        <v>-5.5615030229091644E-2</v>
      </c>
      <c r="DA268">
        <v>2.1538281031307549</v>
      </c>
      <c r="DB268" t="s">
        <v>6407</v>
      </c>
      <c r="DC268">
        <v>-5.2834278717637059E-2</v>
      </c>
      <c r="DD268">
        <v>1.0769140515653775</v>
      </c>
      <c r="DE268" t="s">
        <v>9811</v>
      </c>
      <c r="DF268">
        <v>-4.8941226601600649E-2</v>
      </c>
      <c r="DG268">
        <v>0.64614843093922647</v>
      </c>
      <c r="DH268" t="s">
        <v>9812</v>
      </c>
      <c r="DI268">
        <v>-4.4492024183273318E-2</v>
      </c>
      <c r="DJ268">
        <v>0.32307421546961324</v>
      </c>
      <c r="DK268" t="s">
        <v>9813</v>
      </c>
      <c r="DL268">
        <v>-3.8930521160364148E-2</v>
      </c>
      <c r="DM268">
        <v>905000000.00000012</v>
      </c>
      <c r="DN268">
        <v>-5.5615030229091644E-2</v>
      </c>
      <c r="DO268">
        <v>5847643300</v>
      </c>
      <c r="DP268" t="e">
        <v>#VALUE!</v>
      </c>
      <c r="DQ268">
        <v>267</v>
      </c>
      <c r="DR268" t="e">
        <v>#VALUE!</v>
      </c>
      <c r="DS268">
        <v>0.78554188642501832</v>
      </c>
      <c r="DT268" t="e">
        <v>#VALUE!</v>
      </c>
      <c r="DU268" t="e">
        <v>#VALUE!</v>
      </c>
      <c r="DV268" t="e">
        <v>#VALUE!</v>
      </c>
      <c r="DW268">
        <v>-8.3184979137691233</v>
      </c>
      <c r="DX268">
        <v>0.38936241263139071</v>
      </c>
      <c r="DY268">
        <v>-8.0698664707824594</v>
      </c>
      <c r="DZ268">
        <v>0</v>
      </c>
      <c r="EA268">
        <v>-8.0698664707824594</v>
      </c>
      <c r="EB268">
        <v>8</v>
      </c>
      <c r="EC268">
        <v>3.8025575517111102E-3</v>
      </c>
      <c r="ED268">
        <v>1.7334590306958279E-2</v>
      </c>
      <c r="EE268">
        <v>0</v>
      </c>
      <c r="EF268">
        <v>0</v>
      </c>
      <c r="EG268">
        <v>17.219362412631391</v>
      </c>
      <c r="EH268" t="s">
        <v>110</v>
      </c>
      <c r="EI268">
        <v>0</v>
      </c>
      <c r="EJ268">
        <v>0</v>
      </c>
      <c r="EK268">
        <v>0</v>
      </c>
      <c r="EL268">
        <v>0</v>
      </c>
      <c r="EM268">
        <v>0</v>
      </c>
      <c r="EN268">
        <v>0</v>
      </c>
      <c r="EO268">
        <v>0</v>
      </c>
      <c r="EP268">
        <v>0</v>
      </c>
    </row>
    <row r="269" spans="1:146" ht="96" x14ac:dyDescent="0.25">
      <c r="A269" s="7"/>
      <c r="B269" s="7"/>
      <c r="C269" s="7" t="str">
        <f>""&amp;CHAR(10)&amp;Basic_Fundamental_Information_Constructure(F269)&amp;CHAR(10)&amp;Basic_Fundamental_Information_Concatenate("")</f>
        <v xml:space="preserve">
市值54.20332亿, 利润10.29亿; PE5.27; 平均PE28.61; 平均PEG5.71, PB1.3; ROIC11.8867%; ROE21.5667%; 股利率0%; 毛利38.31%; 净利6.7967%; 上一年度营收增-31.75%, 利润增-68.62%, 利润增-60.35%; 过往5年营收增-5.01%, 利润增-279.36%
Income profile:
</v>
      </c>
      <c r="D269" s="11">
        <v>1691</v>
      </c>
      <c r="E269" t="s">
        <v>3873</v>
      </c>
      <c r="F269">
        <v>1.56</v>
      </c>
      <c r="G269" s="5">
        <v>-1.2699999999999999E-2</v>
      </c>
      <c r="H269" t="s">
        <v>9814</v>
      </c>
      <c r="I269">
        <v>5420332000</v>
      </c>
      <c r="J269">
        <v>5.27</v>
      </c>
      <c r="K269">
        <v>1.3</v>
      </c>
      <c r="L269" t="s">
        <v>6350</v>
      </c>
      <c r="M269" t="s">
        <v>9</v>
      </c>
      <c r="N269" t="s">
        <v>9</v>
      </c>
      <c r="O269" t="s">
        <v>9</v>
      </c>
      <c r="P269" t="s">
        <v>9</v>
      </c>
      <c r="Q269" t="s">
        <v>9815</v>
      </c>
      <c r="R269">
        <v>1028763380</v>
      </c>
      <c r="S269" s="5">
        <v>-0.60350000000000004</v>
      </c>
      <c r="T269" t="s">
        <v>2951</v>
      </c>
      <c r="U269">
        <v>3474571800</v>
      </c>
      <c r="V269">
        <v>3474571800</v>
      </c>
      <c r="W269" t="s">
        <v>9</v>
      </c>
      <c r="X269" t="s">
        <v>9</v>
      </c>
      <c r="Y269" t="s">
        <v>9</v>
      </c>
      <c r="Z269" t="s">
        <v>9</v>
      </c>
      <c r="AA269" t="s">
        <v>9</v>
      </c>
      <c r="AB269" t="s">
        <v>9</v>
      </c>
      <c r="AC269" t="s">
        <v>9</v>
      </c>
      <c r="AD269" t="s">
        <v>1417</v>
      </c>
      <c r="AE269" t="s">
        <v>9</v>
      </c>
      <c r="AF269" t="s">
        <v>9</v>
      </c>
      <c r="AG269" t="s">
        <v>9</v>
      </c>
      <c r="AH269" t="s">
        <v>9816</v>
      </c>
      <c r="AI269" t="s">
        <v>9</v>
      </c>
      <c r="AJ269" t="s">
        <v>9</v>
      </c>
      <c r="AK269" t="s">
        <v>9817</v>
      </c>
      <c r="AL269" t="s">
        <v>9</v>
      </c>
      <c r="AM269" t="s">
        <v>9</v>
      </c>
      <c r="AN269" s="5">
        <v>0.50249999999999995</v>
      </c>
      <c r="AO269" t="s">
        <v>9</v>
      </c>
      <c r="AP269" t="s">
        <v>7493</v>
      </c>
      <c r="AQ269" t="s">
        <v>9</v>
      </c>
      <c r="AR269" t="s">
        <v>9818</v>
      </c>
      <c r="AS269" t="s">
        <v>9</v>
      </c>
      <c r="AT269" t="s">
        <v>9</v>
      </c>
      <c r="AU269" t="s">
        <v>3783</v>
      </c>
      <c r="AV269" t="s">
        <v>9819</v>
      </c>
      <c r="AW269" t="s">
        <v>9</v>
      </c>
      <c r="AX269" t="s">
        <v>3874</v>
      </c>
      <c r="AY269" t="s">
        <v>3877</v>
      </c>
      <c r="AZ269" t="s">
        <v>3878</v>
      </c>
      <c r="BA269" t="s">
        <v>3879</v>
      </c>
      <c r="BB269" t="s">
        <v>3880</v>
      </c>
      <c r="BC269" t="s">
        <v>3881</v>
      </c>
      <c r="BD269" t="s">
        <v>3882</v>
      </c>
      <c r="BE269" t="s">
        <v>2096</v>
      </c>
      <c r="BF269" t="s">
        <v>2854</v>
      </c>
      <c r="BG269" t="s">
        <v>84</v>
      </c>
      <c r="BH269" t="s">
        <v>3874</v>
      </c>
      <c r="BI269" t="s">
        <v>3883</v>
      </c>
      <c r="BJ269" t="s">
        <v>3877</v>
      </c>
      <c r="BK269" t="s">
        <v>2293</v>
      </c>
      <c r="BL269" t="s">
        <v>122</v>
      </c>
      <c r="BM269" t="s">
        <v>3881</v>
      </c>
      <c r="BN269">
        <v>8</v>
      </c>
      <c r="BO269">
        <v>11.95</v>
      </c>
      <c r="BP269">
        <v>15.71</v>
      </c>
      <c r="BQ269">
        <v>24.6</v>
      </c>
      <c r="BR269">
        <v>17.489999999999998</v>
      </c>
      <c r="BS269">
        <v>22.61</v>
      </c>
      <c r="BT269" t="s">
        <v>9820</v>
      </c>
      <c r="BU269" t="s">
        <v>1987</v>
      </c>
      <c r="BV269">
        <v>40.270000000000003</v>
      </c>
      <c r="BW269">
        <v>37.299999999999997</v>
      </c>
      <c r="BX269">
        <v>37.36</v>
      </c>
      <c r="BY269">
        <v>4.3600000000000003</v>
      </c>
      <c r="BZ269">
        <v>7.09</v>
      </c>
      <c r="CA269">
        <v>8.94</v>
      </c>
      <c r="CB269">
        <v>0.65</v>
      </c>
      <c r="CC269">
        <v>3.31</v>
      </c>
      <c r="CD269" t="s">
        <v>9821</v>
      </c>
      <c r="CE269" t="s">
        <v>4244</v>
      </c>
      <c r="CF269" s="8" t="s">
        <v>9</v>
      </c>
      <c r="CG269" s="9">
        <v>-0.60350000000000004</v>
      </c>
      <c r="CH269" s="8">
        <v>-0.3175397515296936</v>
      </c>
      <c r="CI269" s="8">
        <v>-1.9968153908848763E-2</v>
      </c>
      <c r="CJ269" s="8">
        <v>0.23467567563056946</v>
      </c>
      <c r="CK269" s="8">
        <v>0.54831033945083618</v>
      </c>
      <c r="CL269" s="8">
        <v>0.719734787940979</v>
      </c>
      <c r="CM269" s="9">
        <v>-0.68618482351303101</v>
      </c>
      <c r="CN269" s="9">
        <v>0.22808985412120819</v>
      </c>
      <c r="CO269" s="9">
        <v>7.1402444839477539</v>
      </c>
      <c r="CP269" s="9">
        <v>0.20146520435810089</v>
      </c>
      <c r="CQ269" s="9">
        <v>-0.27586206793785095</v>
      </c>
      <c r="CR269">
        <v>28.607217320697092</v>
      </c>
      <c r="CS269">
        <v>5.7072112955853234</v>
      </c>
      <c r="CT269">
        <v>0</v>
      </c>
      <c r="CU269" s="8">
        <v>-5.0124685838818551E-2</v>
      </c>
      <c r="CV269" s="9">
        <v>-2.7935540646314623</v>
      </c>
      <c r="CW269">
        <v>0.06</v>
      </c>
      <c r="CX269">
        <v>5.267572400388727</v>
      </c>
      <c r="CY269" t="s">
        <v>9822</v>
      </c>
      <c r="CZ269">
        <v>-5.0124685838818551E-2</v>
      </c>
      <c r="DA269">
        <v>1.7558574667962423</v>
      </c>
      <c r="DB269" t="s">
        <v>9823</v>
      </c>
      <c r="DC269">
        <v>-4.7618451546877619E-2</v>
      </c>
      <c r="DD269">
        <v>0.87792873339812116</v>
      </c>
      <c r="DE269" t="s">
        <v>9824</v>
      </c>
      <c r="DF269">
        <v>-4.4109723538160325E-2</v>
      </c>
      <c r="DG269">
        <v>0.5267572400388727</v>
      </c>
      <c r="DH269" t="s">
        <v>9825</v>
      </c>
      <c r="DI269">
        <v>-4.0099748671054841E-2</v>
      </c>
      <c r="DJ269">
        <v>0.26337862001943635</v>
      </c>
      <c r="DK269" t="s">
        <v>9826</v>
      </c>
      <c r="DL269">
        <v>-3.5087280087172983E-2</v>
      </c>
      <c r="DM269">
        <v>1028999999.9999999</v>
      </c>
      <c r="DN269">
        <v>-5.0124685838818551E-2</v>
      </c>
      <c r="DO269">
        <v>5420332000</v>
      </c>
      <c r="DP269" t="e">
        <v>#VALUE!</v>
      </c>
      <c r="DQ269">
        <v>268</v>
      </c>
      <c r="DR269" t="e">
        <v>#VALUE!</v>
      </c>
      <c r="DS269">
        <v>2.1900540646314623</v>
      </c>
      <c r="DT269" t="e">
        <v>#VALUE!</v>
      </c>
      <c r="DU269">
        <v>-0.69000000000000028</v>
      </c>
      <c r="DV269" t="e">
        <v>#VALUE!</v>
      </c>
      <c r="DW269">
        <v>1.0330999999999999</v>
      </c>
      <c r="DX269">
        <v>0.36212005141388331</v>
      </c>
      <c r="DY269">
        <v>1.0017251737017996</v>
      </c>
      <c r="DZ269">
        <v>0</v>
      </c>
      <c r="EA269">
        <v>1.0017251737017996</v>
      </c>
      <c r="EB269">
        <v>1</v>
      </c>
      <c r="EC269">
        <v>5.8351650698368071E-3</v>
      </c>
      <c r="ED269">
        <v>0.11195624162954411</v>
      </c>
      <c r="EE269">
        <v>0</v>
      </c>
      <c r="EF269">
        <v>0</v>
      </c>
      <c r="EG269">
        <v>31.052120051413883</v>
      </c>
      <c r="EH269" t="s">
        <v>110</v>
      </c>
      <c r="EI269">
        <v>0</v>
      </c>
      <c r="EJ269">
        <v>0</v>
      </c>
      <c r="EK269">
        <v>0</v>
      </c>
      <c r="EL269">
        <v>0</v>
      </c>
      <c r="EM269">
        <v>0</v>
      </c>
      <c r="EN269">
        <v>0</v>
      </c>
      <c r="EO269">
        <v>0</v>
      </c>
      <c r="EP269">
        <v>0</v>
      </c>
    </row>
    <row r="270" spans="1:146" ht="96" x14ac:dyDescent="0.25">
      <c r="A270"/>
      <c r="B270"/>
      <c r="C270" s="7" t="str">
        <f>""&amp;CHAR(10)&amp;Basic_Fundamental_Information_Constructure(F270)&amp;CHAR(10)&amp;Basic_Fundamental_Information_Concatenate("")</f>
        <v xml:space="preserve">
市值334.1184亿, 利润6632.30万; PE503.8; 平均PE60.56; 平均PEG10.05, PB39.28; ROIC8.1267%; ROE17.37%; 股利率0%; 毛利3.6633%; 净利1.8133%; 上一年度营收增149.57%, 利润增7%, 利润增338.2%; 过往5年营收增6.03%, 利润增56.67%
Income profile:
</v>
      </c>
      <c r="D270" s="11">
        <v>1735</v>
      </c>
      <c r="E270" t="s">
        <v>9827</v>
      </c>
      <c r="F270">
        <v>7.91</v>
      </c>
      <c r="G270">
        <v>5.1000000000000004E-3</v>
      </c>
      <c r="H270" t="s">
        <v>9828</v>
      </c>
      <c r="I270">
        <v>33411840000</v>
      </c>
      <c r="J270">
        <v>503.8</v>
      </c>
      <c r="K270">
        <v>39.28</v>
      </c>
      <c r="L270" t="s">
        <v>6350</v>
      </c>
      <c r="M270" t="s">
        <v>9</v>
      </c>
      <c r="N270" t="s">
        <v>9</v>
      </c>
      <c r="O270" t="s">
        <v>9</v>
      </c>
      <c r="P270" s="5" t="s">
        <v>9</v>
      </c>
      <c r="Q270" t="s">
        <v>9829</v>
      </c>
      <c r="R270">
        <v>66323000</v>
      </c>
      <c r="S270">
        <v>3.3820000000000001</v>
      </c>
      <c r="T270" t="s">
        <v>9830</v>
      </c>
      <c r="U270">
        <v>4224000000</v>
      </c>
      <c r="V270">
        <v>4224000000</v>
      </c>
      <c r="W270" t="s">
        <v>9</v>
      </c>
      <c r="X270" t="s">
        <v>9</v>
      </c>
      <c r="Y270" t="s">
        <v>9</v>
      </c>
      <c r="Z270" t="s">
        <v>9</v>
      </c>
      <c r="AA270" t="s">
        <v>9</v>
      </c>
      <c r="AB270" t="s">
        <v>9</v>
      </c>
      <c r="AC270" t="s">
        <v>9</v>
      </c>
      <c r="AD270" t="s">
        <v>9</v>
      </c>
      <c r="AE270" t="s">
        <v>9</v>
      </c>
      <c r="AF270" t="s">
        <v>9</v>
      </c>
      <c r="AG270" t="s">
        <v>9</v>
      </c>
      <c r="AH270" t="s">
        <v>9831</v>
      </c>
      <c r="AI270" t="s">
        <v>9</v>
      </c>
      <c r="AJ270" t="s">
        <v>9</v>
      </c>
      <c r="AK270" s="5" t="s">
        <v>9832</v>
      </c>
      <c r="AL270" t="s">
        <v>9</v>
      </c>
      <c r="AM270" t="s">
        <v>9</v>
      </c>
      <c r="AN270">
        <v>0.625</v>
      </c>
      <c r="AO270" t="s">
        <v>9</v>
      </c>
      <c r="AP270" t="s">
        <v>447</v>
      </c>
      <c r="AQ270" t="s">
        <v>9</v>
      </c>
      <c r="AR270" t="s">
        <v>1689</v>
      </c>
      <c r="AS270" t="s">
        <v>9</v>
      </c>
      <c r="AT270" t="s">
        <v>9</v>
      </c>
      <c r="AU270" t="s">
        <v>9833</v>
      </c>
      <c r="AV270" t="s">
        <v>9834</v>
      </c>
      <c r="AW270" t="s">
        <v>9</v>
      </c>
      <c r="AX270" t="s">
        <v>5824</v>
      </c>
      <c r="AY270" t="s">
        <v>9835</v>
      </c>
      <c r="AZ270" t="s">
        <v>572</v>
      </c>
      <c r="BA270" t="s">
        <v>2595</v>
      </c>
      <c r="BB270" t="s">
        <v>1075</v>
      </c>
      <c r="BC270" t="s">
        <v>9836</v>
      </c>
      <c r="BD270" t="s">
        <v>9837</v>
      </c>
      <c r="BE270" t="s">
        <v>9838</v>
      </c>
      <c r="BF270" t="s">
        <v>9839</v>
      </c>
      <c r="BG270" t="s">
        <v>9840</v>
      </c>
      <c r="BH270" t="s">
        <v>5824</v>
      </c>
      <c r="BI270" t="s">
        <v>9</v>
      </c>
      <c r="BJ270" t="s">
        <v>9835</v>
      </c>
      <c r="BK270" t="s">
        <v>9841</v>
      </c>
      <c r="BL270" t="s">
        <v>9</v>
      </c>
      <c r="BM270" t="s">
        <v>9836</v>
      </c>
      <c r="BN270">
        <v>4.99</v>
      </c>
      <c r="BO270">
        <v>-5.43</v>
      </c>
      <c r="BP270">
        <v>24.82</v>
      </c>
      <c r="BQ270">
        <v>7.8</v>
      </c>
      <c r="BR270" t="s">
        <v>9</v>
      </c>
      <c r="BS270">
        <v>26.94</v>
      </c>
      <c r="BT270" t="s">
        <v>9</v>
      </c>
      <c r="BU270" t="s">
        <v>1446</v>
      </c>
      <c r="BV270">
        <v>4.29</v>
      </c>
      <c r="BW270">
        <v>1.93</v>
      </c>
      <c r="BX270">
        <v>4.7699999999999996</v>
      </c>
      <c r="BY270">
        <v>1.77</v>
      </c>
      <c r="BZ270">
        <v>-1.88</v>
      </c>
      <c r="CA270">
        <v>5.55</v>
      </c>
      <c r="CB270">
        <v>-3.54</v>
      </c>
      <c r="CC270" s="8">
        <v>47.57</v>
      </c>
      <c r="CD270" s="10" t="s">
        <v>9842</v>
      </c>
      <c r="CE270" s="8" t="s">
        <v>1206</v>
      </c>
      <c r="CF270" s="8" t="s">
        <v>9</v>
      </c>
      <c r="CG270" s="8">
        <v>3.3820000000000001</v>
      </c>
      <c r="CH270" s="8">
        <v>1.495663046836853</v>
      </c>
      <c r="CI270" s="8">
        <v>0.48618784546852112</v>
      </c>
      <c r="CJ270" s="9">
        <v>5.0333333015441895</v>
      </c>
      <c r="CK270" s="9">
        <v>-0.1666666716337204</v>
      </c>
      <c r="CL270" s="9">
        <v>0.17391304671764374</v>
      </c>
      <c r="CM270" s="9">
        <v>6.9984674453735352E-2</v>
      </c>
      <c r="CN270" s="9">
        <v>5.8857097625732422</v>
      </c>
      <c r="CO270">
        <v>-0.17320141196250916</v>
      </c>
      <c r="CP270">
        <v>-2.0080163478851318</v>
      </c>
      <c r="CQ270">
        <v>-0.60201811790466309</v>
      </c>
      <c r="CR270" s="8">
        <v>60.559359313275472</v>
      </c>
      <c r="CS270" s="9">
        <v>10.045701863896147</v>
      </c>
      <c r="CT270">
        <v>0</v>
      </c>
      <c r="CU270">
        <v>6.0283850878477097E-2</v>
      </c>
      <c r="CV270">
        <v>0.56674386858940129</v>
      </c>
      <c r="CW270">
        <v>0.06</v>
      </c>
      <c r="CX270">
        <v>503.63969127135181</v>
      </c>
      <c r="CY270">
        <v>66340760.228125699</v>
      </c>
      <c r="CZ270">
        <v>6.0283850878477097E-2</v>
      </c>
      <c r="DA270">
        <v>168.79291193402443</v>
      </c>
      <c r="DB270">
        <v>197945752.68101057</v>
      </c>
      <c r="DC270">
        <v>5.726965833455324E-2</v>
      </c>
      <c r="DD270">
        <v>85.912613758418729</v>
      </c>
      <c r="DE270">
        <v>388904941.17606699</v>
      </c>
      <c r="DF270">
        <v>5.3049788773059846E-2</v>
      </c>
      <c r="DG270">
        <v>53.541493642902928</v>
      </c>
      <c r="DH270">
        <v>624036382.37740552</v>
      </c>
      <c r="DI270">
        <v>4.8227080702781679E-2</v>
      </c>
      <c r="DJ270">
        <v>29.9480309359475</v>
      </c>
      <c r="DK270">
        <v>1115660661.3456776</v>
      </c>
      <c r="DL270">
        <v>4.2198695614933966E-2</v>
      </c>
      <c r="DM270">
        <v>66323000</v>
      </c>
      <c r="DN270">
        <v>6.0283850878477097E-2</v>
      </c>
      <c r="DO270">
        <v>33411840000</v>
      </c>
      <c r="DP270" t="e">
        <v>#VALUE!</v>
      </c>
      <c r="DQ270">
        <v>269</v>
      </c>
      <c r="DR270" t="e">
        <v>#VALUE!</v>
      </c>
      <c r="DS270">
        <v>2.8152561314105986</v>
      </c>
      <c r="DT270" t="e">
        <v>#VALUE!</v>
      </c>
      <c r="DU270" t="e">
        <v>#VALUE!</v>
      </c>
      <c r="DV270" t="e">
        <v>#VALUE!</v>
      </c>
      <c r="DW270">
        <v>-6.0692623752690276</v>
      </c>
      <c r="DX270">
        <v>0.27658095238095359</v>
      </c>
      <c r="DY270">
        <v>-6.0080746736730299</v>
      </c>
      <c r="DZ270">
        <v>0</v>
      </c>
      <c r="EA270">
        <v>-6.0080746736730299</v>
      </c>
      <c r="EB270">
        <v>6</v>
      </c>
      <c r="EC270">
        <v>5.7959280303030306E-3</v>
      </c>
      <c r="ED270">
        <v>4.9715909090909088E-2</v>
      </c>
      <c r="EE270">
        <v>0</v>
      </c>
      <c r="EF270">
        <v>0</v>
      </c>
      <c r="EG270">
        <v>16.116580952380954</v>
      </c>
      <c r="EH270" t="s">
        <v>110</v>
      </c>
      <c r="EI270">
        <v>0</v>
      </c>
      <c r="EJ270">
        <v>0</v>
      </c>
      <c r="EK270">
        <v>0</v>
      </c>
      <c r="EL270">
        <v>0</v>
      </c>
      <c r="EM270">
        <v>0</v>
      </c>
      <c r="EN270">
        <v>0</v>
      </c>
      <c r="EO270">
        <v>0</v>
      </c>
      <c r="EP270">
        <v>0</v>
      </c>
    </row>
    <row r="271" spans="1:146" ht="96" x14ac:dyDescent="0.25">
      <c r="A271" s="7"/>
      <c r="B271" s="7"/>
      <c r="C271" s="7" t="str">
        <f>""&amp;CHAR(10)&amp;Basic_Fundamental_Information_Constructure(F271)&amp;CHAR(10)&amp;Basic_Fundamental_Information_Concatenate("")</f>
        <v xml:space="preserve">
市值26.731168亿, 利润5.05亿; PE11.84; 平均PE.38; 平均PEG.05, PB.295; ROIC4.85%; ROE6.635%; 股利率0%; 毛利48.225%; 净利20.345%; 上一年度营收增23.49%, 利润增-30.82%, 利润增-9.28%; 过往5年营收增7.72%, 利润增7.94%
Income profile:
</v>
      </c>
      <c r="D271" s="11">
        <v>1765</v>
      </c>
      <c r="E271" t="s">
        <v>6447</v>
      </c>
      <c r="F271">
        <v>0.32500000000000001</v>
      </c>
      <c r="G271" s="5">
        <v>-4.41E-2</v>
      </c>
      <c r="H271" t="s">
        <v>938</v>
      </c>
      <c r="I271">
        <v>2673116800</v>
      </c>
      <c r="J271">
        <v>11.84</v>
      </c>
      <c r="K271">
        <v>0.29499999999999998</v>
      </c>
      <c r="L271" t="s">
        <v>6350</v>
      </c>
      <c r="M271" t="s">
        <v>9</v>
      </c>
      <c r="N271" t="s">
        <v>9</v>
      </c>
      <c r="O271" t="s">
        <v>9</v>
      </c>
      <c r="P271" t="s">
        <v>9</v>
      </c>
      <c r="Q271" t="s">
        <v>3889</v>
      </c>
      <c r="R271">
        <v>483135990</v>
      </c>
      <c r="S271" s="5">
        <v>-9.2799999999999994E-2</v>
      </c>
      <c r="T271" t="s">
        <v>3357</v>
      </c>
      <c r="U271">
        <v>8147910700</v>
      </c>
      <c r="V271">
        <v>8147910700</v>
      </c>
      <c r="W271" t="s">
        <v>9</v>
      </c>
      <c r="X271" t="s">
        <v>9</v>
      </c>
      <c r="Y271" t="s">
        <v>9</v>
      </c>
      <c r="Z271" t="s">
        <v>9</v>
      </c>
      <c r="AA271" t="s">
        <v>9</v>
      </c>
      <c r="AB271" t="s">
        <v>9</v>
      </c>
      <c r="AC271" t="s">
        <v>9</v>
      </c>
      <c r="AD271" t="s">
        <v>9</v>
      </c>
      <c r="AE271" t="s">
        <v>9</v>
      </c>
      <c r="AF271" t="s">
        <v>9</v>
      </c>
      <c r="AG271" t="s">
        <v>9</v>
      </c>
      <c r="AH271" t="s">
        <v>3890</v>
      </c>
      <c r="AI271" t="s">
        <v>9</v>
      </c>
      <c r="AJ271" t="s">
        <v>9</v>
      </c>
      <c r="AK271" t="s">
        <v>3891</v>
      </c>
      <c r="AL271" t="s">
        <v>9</v>
      </c>
      <c r="AM271" t="s">
        <v>9</v>
      </c>
      <c r="AN271" s="5">
        <v>0.61580000000000001</v>
      </c>
      <c r="AO271" t="s">
        <v>9</v>
      </c>
      <c r="AP271" t="s">
        <v>3892</v>
      </c>
      <c r="AQ271" t="s">
        <v>9</v>
      </c>
      <c r="AR271" t="s">
        <v>1601</v>
      </c>
      <c r="AS271" t="s">
        <v>9</v>
      </c>
      <c r="AT271" t="s">
        <v>9</v>
      </c>
      <c r="AU271" t="s">
        <v>3893</v>
      </c>
      <c r="AV271" t="s">
        <v>3894</v>
      </c>
      <c r="AW271" t="s">
        <v>9</v>
      </c>
      <c r="AX271" t="s">
        <v>3399</v>
      </c>
      <c r="AY271" t="s">
        <v>9</v>
      </c>
      <c r="AZ271" t="s">
        <v>1468</v>
      </c>
      <c r="BA271" t="s">
        <v>522</v>
      </c>
      <c r="BB271" t="s">
        <v>2247</v>
      </c>
      <c r="BC271" t="s">
        <v>1684</v>
      </c>
      <c r="BD271" t="s">
        <v>9</v>
      </c>
      <c r="BE271" t="s">
        <v>3895</v>
      </c>
      <c r="BF271" t="s">
        <v>1717</v>
      </c>
      <c r="BG271" t="s">
        <v>1119</v>
      </c>
      <c r="BH271" t="s">
        <v>3889</v>
      </c>
      <c r="BI271" t="s">
        <v>9</v>
      </c>
      <c r="BJ271" t="s">
        <v>3399</v>
      </c>
      <c r="BK271" t="s">
        <v>3357</v>
      </c>
      <c r="BL271" t="s">
        <v>9</v>
      </c>
      <c r="BM271" t="s">
        <v>1684</v>
      </c>
      <c r="BN271">
        <v>3.56</v>
      </c>
      <c r="BO271">
        <v>6.14</v>
      </c>
      <c r="BP271" t="s">
        <v>9</v>
      </c>
      <c r="BQ271">
        <v>5.52</v>
      </c>
      <c r="BR271">
        <v>7.75</v>
      </c>
      <c r="BS271" t="s">
        <v>9</v>
      </c>
      <c r="BT271" t="s">
        <v>1176</v>
      </c>
      <c r="BU271" t="s">
        <v>1974</v>
      </c>
      <c r="BV271">
        <v>45.85</v>
      </c>
      <c r="BW271">
        <v>50.6</v>
      </c>
      <c r="BX271" t="s">
        <v>9</v>
      </c>
      <c r="BY271">
        <v>14.66</v>
      </c>
      <c r="BZ271">
        <v>26.03</v>
      </c>
      <c r="CA271" t="s">
        <v>9</v>
      </c>
      <c r="CB271">
        <v>-4.41</v>
      </c>
      <c r="CC271">
        <v>8.33</v>
      </c>
      <c r="CD271" t="s">
        <v>738</v>
      </c>
      <c r="CE271" t="s">
        <v>3614</v>
      </c>
      <c r="CF271" s="8" t="s">
        <v>9</v>
      </c>
      <c r="CG271" s="9">
        <v>-9.2799999999999994E-2</v>
      </c>
      <c r="CH271" s="8">
        <v>0.23491615056991577</v>
      </c>
      <c r="CI271" s="8" t="s">
        <v>9</v>
      </c>
      <c r="CJ271" s="8" t="s">
        <v>9</v>
      </c>
      <c r="CK271" s="8">
        <v>0.26962456107139587</v>
      </c>
      <c r="CL271" s="8">
        <v>0.2993348240852356</v>
      </c>
      <c r="CM271" s="9">
        <v>-0.30821916460990906</v>
      </c>
      <c r="CN271" s="9" t="s">
        <v>9</v>
      </c>
      <c r="CO271" s="9" t="s">
        <v>9</v>
      </c>
      <c r="CP271" s="9">
        <v>1.8638743162155151</v>
      </c>
      <c r="CQ271" s="9">
        <v>-0.24803149700164795</v>
      </c>
      <c r="CR271">
        <v>0.38341662403480675</v>
      </c>
      <c r="CS271">
        <v>4.9646590243265155E-2</v>
      </c>
      <c r="CT271">
        <v>0</v>
      </c>
      <c r="CU271" s="8">
        <v>7.7229195833206171E-2</v>
      </c>
      <c r="CV271" s="9">
        <v>7.9365608096122739E-2</v>
      </c>
      <c r="CW271">
        <v>0.06</v>
      </c>
      <c r="CX271">
        <v>5.2086395832997265</v>
      </c>
      <c r="CY271">
        <v>513208248.9582727</v>
      </c>
      <c r="CZ271">
        <v>7.7229195833206171E-2</v>
      </c>
      <c r="DA271">
        <v>1.7206685601919145</v>
      </c>
      <c r="DB271">
        <v>1553533819.2625861</v>
      </c>
      <c r="DC271">
        <v>7.3367736041545853E-2</v>
      </c>
      <c r="DD271">
        <v>0.85934095426128754</v>
      </c>
      <c r="DE271">
        <v>3110659147.2739511</v>
      </c>
      <c r="DF271">
        <v>6.7961692333221427E-2</v>
      </c>
      <c r="DG271">
        <v>0.52445258394974847</v>
      </c>
      <c r="DH271">
        <v>5096965639.6165838</v>
      </c>
      <c r="DI271">
        <v>6.178335666656494E-2</v>
      </c>
      <c r="DJ271">
        <v>0.28060300197124222</v>
      </c>
      <c r="DK271">
        <v>9526330015.079298</v>
      </c>
      <c r="DL271">
        <v>5.4060437083244317E-2</v>
      </c>
      <c r="DM271">
        <v>505000000</v>
      </c>
      <c r="DN271">
        <v>7.7229195833206171E-2</v>
      </c>
      <c r="DO271">
        <v>2673116800</v>
      </c>
      <c r="DP271" t="e">
        <v>#VALUE!</v>
      </c>
      <c r="DQ271">
        <v>276</v>
      </c>
      <c r="DR271" t="e">
        <v>#VALUE!</v>
      </c>
      <c r="DS271">
        <v>-0.17216560809612275</v>
      </c>
      <c r="DT271" t="e">
        <v>#VALUE!</v>
      </c>
      <c r="DU271" t="e">
        <v>#VALUE!</v>
      </c>
      <c r="DV271" t="e">
        <v>#VALUE!</v>
      </c>
      <c r="DW271">
        <v>-6.3461538461538458</v>
      </c>
      <c r="DX271">
        <v>1.7517213114754144</v>
      </c>
      <c r="DY271">
        <v>-6.1113650693568724</v>
      </c>
      <c r="DZ271">
        <v>0</v>
      </c>
      <c r="EA271">
        <v>-6.1113650693568724</v>
      </c>
      <c r="EB271">
        <v>6</v>
      </c>
      <c r="EC271">
        <v>3.8537486671276357E-2</v>
      </c>
      <c r="ED271">
        <v>0.11978530888906282</v>
      </c>
      <c r="EE271">
        <v>0</v>
      </c>
      <c r="EF271">
        <v>0</v>
      </c>
      <c r="EG271">
        <v>143.32172131147541</v>
      </c>
      <c r="EH271" t="s">
        <v>110</v>
      </c>
      <c r="EI271">
        <v>0</v>
      </c>
      <c r="EJ271">
        <v>0</v>
      </c>
      <c r="EK271">
        <v>0</v>
      </c>
      <c r="EL271">
        <v>0</v>
      </c>
      <c r="EM271">
        <v>0</v>
      </c>
      <c r="EN271">
        <v>0</v>
      </c>
      <c r="EO271">
        <v>0</v>
      </c>
      <c r="EP271">
        <v>0</v>
      </c>
    </row>
    <row r="272" spans="1:146" ht="96" x14ac:dyDescent="0.25">
      <c r="A272" s="7"/>
      <c r="B272" s="7"/>
      <c r="C272" s="7" t="str">
        <f>""&amp;CHAR(10)&amp;Basic_Fundamental_Information_Constructure(F272)&amp;CHAR(10)&amp;Basic_Fundamental_Information_Concatenate("")</f>
        <v xml:space="preserve">
市值1363.196亿, 利润128.38亿; PE10.31; 平均PE75.5; 平均PEG23.72, PB.78; ROIC6.4833%; ROE7.2433%; 毛利20.7667%; 净利6.1%; 上一年度营收增2.11%, 利润增1.76%; 当季营收增-8.27%, 利润增54.64%; 过往5年营收增-3.18%, 利润增-98.7%
Income profile:
</v>
      </c>
      <c r="D272" s="11">
        <v>1766</v>
      </c>
      <c r="E272" t="s">
        <v>3896</v>
      </c>
      <c r="F272">
        <v>4.75</v>
      </c>
      <c r="G272" s="5">
        <v>-1.04E-2</v>
      </c>
      <c r="H272" t="s">
        <v>9843</v>
      </c>
      <c r="I272">
        <v>136319600000</v>
      </c>
      <c r="J272">
        <v>10.31</v>
      </c>
      <c r="K272">
        <v>0.78</v>
      </c>
      <c r="L272" t="s">
        <v>6350</v>
      </c>
      <c r="M272" t="s">
        <v>9844</v>
      </c>
      <c r="N272" t="s">
        <v>9845</v>
      </c>
      <c r="O272" t="s">
        <v>9846</v>
      </c>
      <c r="P272">
        <v>-0.6</v>
      </c>
      <c r="Q272" t="s">
        <v>9847</v>
      </c>
      <c r="R272">
        <v>12838229600</v>
      </c>
      <c r="S272" s="5">
        <v>0.5464</v>
      </c>
      <c r="T272" t="s">
        <v>5915</v>
      </c>
      <c r="U272">
        <v>4371066000</v>
      </c>
      <c r="V272">
        <v>28698864000</v>
      </c>
      <c r="W272">
        <v>2.91</v>
      </c>
      <c r="X272">
        <v>7.0000000000000007E-2</v>
      </c>
      <c r="Y272">
        <v>5.99</v>
      </c>
      <c r="Z272" t="s">
        <v>9848</v>
      </c>
      <c r="AA272" t="s">
        <v>9849</v>
      </c>
      <c r="AB272" t="s">
        <v>8875</v>
      </c>
      <c r="AC272" t="s">
        <v>8200</v>
      </c>
      <c r="AD272" t="s">
        <v>9850</v>
      </c>
      <c r="AE272" t="s">
        <v>9851</v>
      </c>
      <c r="AF272" t="s">
        <v>9</v>
      </c>
      <c r="AG272" t="s">
        <v>1563</v>
      </c>
      <c r="AH272" t="s">
        <v>9852</v>
      </c>
      <c r="AI272" t="s">
        <v>9853</v>
      </c>
      <c r="AJ272" t="s">
        <v>9854</v>
      </c>
      <c r="AK272" t="s">
        <v>9855</v>
      </c>
      <c r="AL272" t="s">
        <v>9</v>
      </c>
      <c r="AM272" t="s">
        <v>9856</v>
      </c>
      <c r="AN272" s="5">
        <v>0.58009999999999995</v>
      </c>
      <c r="AO272" t="s">
        <v>9857</v>
      </c>
      <c r="AP272" t="s">
        <v>9858</v>
      </c>
      <c r="AQ272" t="s">
        <v>9859</v>
      </c>
      <c r="AR272" t="s">
        <v>9860</v>
      </c>
      <c r="AS272" t="s">
        <v>9861</v>
      </c>
      <c r="AT272" t="s">
        <v>9862</v>
      </c>
      <c r="AU272" t="s">
        <v>9863</v>
      </c>
      <c r="AV272" t="s">
        <v>9864</v>
      </c>
      <c r="AW272" t="s">
        <v>9865</v>
      </c>
      <c r="AX272" t="s">
        <v>3897</v>
      </c>
      <c r="AY272" t="s">
        <v>3901</v>
      </c>
      <c r="AZ272" t="s">
        <v>3902</v>
      </c>
      <c r="BA272" t="s">
        <v>3903</v>
      </c>
      <c r="BB272" t="s">
        <v>3904</v>
      </c>
      <c r="BC272" t="s">
        <v>3905</v>
      </c>
      <c r="BD272" t="s">
        <v>3906</v>
      </c>
      <c r="BE272" t="s">
        <v>3907</v>
      </c>
      <c r="BF272" t="s">
        <v>3908</v>
      </c>
      <c r="BG272" t="s">
        <v>3909</v>
      </c>
      <c r="BH272" t="s">
        <v>3897</v>
      </c>
      <c r="BI272" t="s">
        <v>3910</v>
      </c>
      <c r="BJ272" t="s">
        <v>3901</v>
      </c>
      <c r="BK272" t="s">
        <v>3898</v>
      </c>
      <c r="BL272" t="s">
        <v>691</v>
      </c>
      <c r="BM272" t="s">
        <v>3905</v>
      </c>
      <c r="BN272">
        <v>6.68</v>
      </c>
      <c r="BO272">
        <v>6.68</v>
      </c>
      <c r="BP272">
        <v>6.09</v>
      </c>
      <c r="BQ272">
        <v>7.28</v>
      </c>
      <c r="BR272">
        <v>7.52</v>
      </c>
      <c r="BS272">
        <v>6.93</v>
      </c>
      <c r="BT272" t="s">
        <v>9866</v>
      </c>
      <c r="BU272" t="s">
        <v>589</v>
      </c>
      <c r="BV272">
        <v>21.69</v>
      </c>
      <c r="BW272">
        <v>20.64</v>
      </c>
      <c r="BX272">
        <v>19.97</v>
      </c>
      <c r="BY272">
        <v>6.27</v>
      </c>
      <c r="BZ272">
        <v>6.49</v>
      </c>
      <c r="CA272">
        <v>5.54</v>
      </c>
      <c r="CB272">
        <v>1.06</v>
      </c>
      <c r="CC272">
        <v>0.85</v>
      </c>
      <c r="CD272" t="s">
        <v>9867</v>
      </c>
      <c r="CE272" t="s">
        <v>1707</v>
      </c>
      <c r="CF272" s="8">
        <v>-8.2690511143734158E-2</v>
      </c>
      <c r="CG272" s="9">
        <v>0.5464</v>
      </c>
      <c r="CH272" s="8">
        <v>2.1117288619279861E-2</v>
      </c>
      <c r="CI272" s="8">
        <v>-9.0000145137310028E-2</v>
      </c>
      <c r="CJ272" s="8">
        <v>1.8919214606285095E-2</v>
      </c>
      <c r="CK272" s="8">
        <v>8.9520789682865143E-2</v>
      </c>
      <c r="CL272" s="8">
        <v>-4.4234325177967548E-3</v>
      </c>
      <c r="CM272" s="9">
        <v>1.7596714198589325E-2</v>
      </c>
      <c r="CN272" s="9">
        <v>-6.5827541053295135E-2</v>
      </c>
      <c r="CO272" s="9">
        <v>2.4580894038081169E-2</v>
      </c>
      <c r="CP272" s="9">
        <v>2.4005608633160591E-2</v>
      </c>
      <c r="CQ272" s="9">
        <v>-5.1013212651014328E-3</v>
      </c>
      <c r="CR272">
        <v>75.499450100017313</v>
      </c>
      <c r="CS272">
        <v>23.722647805769366</v>
      </c>
      <c r="CT272" t="e">
        <v>#VALUE!</v>
      </c>
      <c r="CU272" s="8">
        <v>-3.1825895118527112E-2</v>
      </c>
      <c r="CV272" s="9">
        <v>-0.98696777820587156</v>
      </c>
      <c r="CW272">
        <v>0.06</v>
      </c>
      <c r="CX272">
        <v>16.963981928649321</v>
      </c>
      <c r="CY272" t="s">
        <v>9868</v>
      </c>
      <c r="CZ272">
        <v>-3.1825895118527112E-2</v>
      </c>
      <c r="DA272">
        <v>5.6546606428831074</v>
      </c>
      <c r="DB272" t="s">
        <v>9869</v>
      </c>
      <c r="DC272">
        <v>-3.0234600362600755E-2</v>
      </c>
      <c r="DD272">
        <v>2.8273303214415537</v>
      </c>
      <c r="DE272" t="s">
        <v>9870</v>
      </c>
      <c r="DF272">
        <v>-2.800678770430386E-2</v>
      </c>
      <c r="DG272">
        <v>1.6963981928649323</v>
      </c>
      <c r="DH272" t="s">
        <v>9871</v>
      </c>
      <c r="DI272">
        <v>-2.546071609482169E-2</v>
      </c>
      <c r="DJ272">
        <v>0.84819909643246616</v>
      </c>
      <c r="DK272" t="s">
        <v>9872</v>
      </c>
      <c r="DL272">
        <v>-2.2278126582968977E-2</v>
      </c>
      <c r="DM272">
        <v>12838000000</v>
      </c>
      <c r="DN272">
        <v>-3.1825895118527112E-2</v>
      </c>
      <c r="DO272">
        <v>217783600000</v>
      </c>
      <c r="DP272" t="e">
        <v>#VALUE!</v>
      </c>
      <c r="DQ272">
        <v>271</v>
      </c>
      <c r="DR272">
        <v>-5.0864616025207046E-2</v>
      </c>
      <c r="DS272">
        <v>1.5333677782058714</v>
      </c>
      <c r="DT272">
        <v>-0.42333333333333334</v>
      </c>
      <c r="DU272">
        <v>-0.80666666666666675</v>
      </c>
      <c r="DV272">
        <v>-1.23</v>
      </c>
      <c r="DW272">
        <v>8.5000000000000006E-3</v>
      </c>
      <c r="DX272">
        <v>0.29370686261980683</v>
      </c>
      <c r="DY272">
        <v>1.1365083322683706E-3</v>
      </c>
      <c r="DZ272">
        <v>0</v>
      </c>
      <c r="EA272">
        <v>1.1365083322683706E-3</v>
      </c>
      <c r="EB272">
        <v>0</v>
      </c>
      <c r="EC272">
        <v>2.9165091691434196E-3</v>
      </c>
      <c r="ED272">
        <v>2.1812710078001694E-2</v>
      </c>
      <c r="EE272">
        <v>0</v>
      </c>
      <c r="EF272">
        <v>0</v>
      </c>
      <c r="EG272">
        <v>16.133706862619807</v>
      </c>
      <c r="EH272" t="s">
        <v>110</v>
      </c>
      <c r="EI272">
        <v>0</v>
      </c>
      <c r="EJ272">
        <v>0</v>
      </c>
      <c r="EK272">
        <v>0</v>
      </c>
      <c r="EL272">
        <v>0</v>
      </c>
      <c r="EM272">
        <v>0</v>
      </c>
      <c r="EN272">
        <v>0</v>
      </c>
      <c r="EO272">
        <v>0</v>
      </c>
      <c r="EP272">
        <v>0</v>
      </c>
    </row>
    <row r="273" spans="1:146" ht="96" x14ac:dyDescent="0.25">
      <c r="A273" s="7"/>
      <c r="B273" s="7"/>
      <c r="C273" s="7" t="str">
        <f>""&amp;CHAR(10)&amp;Basic_Fundamental_Information_Constructure(F273)&amp;CHAR(10)&amp;Basic_Fundamental_Information_Concatenate("")</f>
        <v xml:space="preserve">
市值322.74684亿, 利润54.62亿; PE14.35; 平均PE35.56; 平均PEG2.78, PB.624; ROIC26.3667%; ROE27.0033%; 股利率0%; 毛利34.2433%; 净利37.5133%; 上一年度营收增-22.93%, 利润增-14.64%; 当季营收增-17.31%, 利润增-117.3%; 过往5年营收增12.78%, 利润增-3536.66%
Income profile:
</v>
      </c>
      <c r="D273" s="11">
        <v>1772</v>
      </c>
      <c r="E273" t="s">
        <v>3911</v>
      </c>
      <c r="F273">
        <v>16</v>
      </c>
      <c r="G273" s="5">
        <v>-5.45E-2</v>
      </c>
      <c r="H273" t="s">
        <v>7044</v>
      </c>
      <c r="I273">
        <v>32274684000</v>
      </c>
      <c r="J273">
        <v>14.35</v>
      </c>
      <c r="K273">
        <v>0.624</v>
      </c>
      <c r="L273" t="s">
        <v>6350</v>
      </c>
      <c r="M273" t="s">
        <v>9873</v>
      </c>
      <c r="N273" t="s">
        <v>9874</v>
      </c>
      <c r="O273" t="s">
        <v>9875</v>
      </c>
      <c r="P273">
        <v>-46.41</v>
      </c>
      <c r="Q273" t="s">
        <v>9876</v>
      </c>
      <c r="R273">
        <v>5461868000</v>
      </c>
      <c r="S273" s="5">
        <v>-1.173</v>
      </c>
      <c r="T273" t="s">
        <v>9877</v>
      </c>
      <c r="U273">
        <v>403574080</v>
      </c>
      <c r="V273">
        <v>2017167800</v>
      </c>
      <c r="W273">
        <v>1.99</v>
      </c>
      <c r="X273">
        <v>0.05</v>
      </c>
      <c r="Y273">
        <v>-9.92</v>
      </c>
      <c r="Z273" t="s">
        <v>2129</v>
      </c>
      <c r="AA273" t="s">
        <v>5473</v>
      </c>
      <c r="AB273" t="s">
        <v>9878</v>
      </c>
      <c r="AC273" t="s">
        <v>6349</v>
      </c>
      <c r="AD273" t="s">
        <v>3795</v>
      </c>
      <c r="AE273" t="s">
        <v>7248</v>
      </c>
      <c r="AF273" t="s">
        <v>9</v>
      </c>
      <c r="AG273" t="s">
        <v>9879</v>
      </c>
      <c r="AH273" t="s">
        <v>9880</v>
      </c>
      <c r="AI273" t="s">
        <v>5904</v>
      </c>
      <c r="AJ273" t="s">
        <v>9881</v>
      </c>
      <c r="AK273" t="s">
        <v>9882</v>
      </c>
      <c r="AL273" t="s">
        <v>9</v>
      </c>
      <c r="AM273" t="s">
        <v>9883</v>
      </c>
      <c r="AN273" s="5">
        <v>0.43219999999999997</v>
      </c>
      <c r="AO273" t="s">
        <v>9884</v>
      </c>
      <c r="AP273" t="s">
        <v>9885</v>
      </c>
      <c r="AQ273" t="s">
        <v>9886</v>
      </c>
      <c r="AR273" t="s">
        <v>9887</v>
      </c>
      <c r="AS273" t="s">
        <v>9888</v>
      </c>
      <c r="AT273" t="s">
        <v>9889</v>
      </c>
      <c r="AU273" t="s">
        <v>175</v>
      </c>
      <c r="AV273" t="s">
        <v>9890</v>
      </c>
      <c r="AW273" t="s">
        <v>9891</v>
      </c>
      <c r="AX273" t="s">
        <v>3912</v>
      </c>
      <c r="AY273" t="s">
        <v>3917</v>
      </c>
      <c r="AZ273" t="s">
        <v>3918</v>
      </c>
      <c r="BA273" t="s">
        <v>3919</v>
      </c>
      <c r="BB273" t="s">
        <v>3920</v>
      </c>
      <c r="BC273" t="s">
        <v>3921</v>
      </c>
      <c r="BD273" t="s">
        <v>3922</v>
      </c>
      <c r="BE273" t="s">
        <v>2104</v>
      </c>
      <c r="BF273" t="s">
        <v>78</v>
      </c>
      <c r="BG273" t="s">
        <v>3923</v>
      </c>
      <c r="BH273" t="s">
        <v>3912</v>
      </c>
      <c r="BI273" t="s">
        <v>3097</v>
      </c>
      <c r="BJ273" t="s">
        <v>3917</v>
      </c>
      <c r="BK273" t="s">
        <v>3913</v>
      </c>
      <c r="BL273" t="s">
        <v>3924</v>
      </c>
      <c r="BM273" t="s">
        <v>3921</v>
      </c>
      <c r="BN273">
        <v>7.72</v>
      </c>
      <c r="BO273">
        <v>48.19</v>
      </c>
      <c r="BP273">
        <v>23.19</v>
      </c>
      <c r="BQ273">
        <v>10.59</v>
      </c>
      <c r="BR273">
        <v>46.55</v>
      </c>
      <c r="BS273">
        <v>23.87</v>
      </c>
      <c r="BT273" t="s">
        <v>9892</v>
      </c>
      <c r="BU273" t="s">
        <v>1254</v>
      </c>
      <c r="BV273">
        <v>14.05</v>
      </c>
      <c r="BW273">
        <v>49.22</v>
      </c>
      <c r="BX273">
        <v>39.46</v>
      </c>
      <c r="BY273">
        <v>14.05</v>
      </c>
      <c r="BZ273">
        <v>49.46</v>
      </c>
      <c r="CA273">
        <v>49.03</v>
      </c>
      <c r="CB273">
        <v>-6.56</v>
      </c>
      <c r="CC273">
        <v>-36.82</v>
      </c>
      <c r="CD273" t="s">
        <v>9893</v>
      </c>
      <c r="CE273" t="s">
        <v>15</v>
      </c>
      <c r="CF273" s="8">
        <v>-0.17310617584423474</v>
      </c>
      <c r="CG273" s="9">
        <v>-1.173</v>
      </c>
      <c r="CH273" s="8">
        <v>-0.22929078340530396</v>
      </c>
      <c r="CI273" s="8">
        <v>2.4514124393463135</v>
      </c>
      <c r="CJ273" s="8">
        <v>1.0669519901275635</v>
      </c>
      <c r="CK273" s="8">
        <v>0.17492818832397461</v>
      </c>
      <c r="CL273" s="8">
        <v>0.11337734013795853</v>
      </c>
      <c r="CM273" s="9">
        <v>-0.14642912149429321</v>
      </c>
      <c r="CN273" s="9">
        <v>4.2364974021911621</v>
      </c>
      <c r="CO273" s="9">
        <v>2.0322580337524414</v>
      </c>
      <c r="CP273" s="9">
        <v>-0.73521685600280762</v>
      </c>
      <c r="CQ273" s="9">
        <v>-0.39410826563835144</v>
      </c>
      <c r="CR273">
        <v>35.564568395356694</v>
      </c>
      <c r="CS273">
        <v>2.7838218384359408</v>
      </c>
      <c r="CT273">
        <v>0</v>
      </c>
      <c r="CU273" s="8">
        <v>0.12775447014719249</v>
      </c>
      <c r="CV273" s="9">
        <v>-35.366619306802747</v>
      </c>
      <c r="CW273">
        <v>0.06</v>
      </c>
      <c r="CX273">
        <v>3.1501089410906804</v>
      </c>
      <c r="CY273">
        <v>5811127279.19242</v>
      </c>
      <c r="CZ273">
        <v>0.12775447014719249</v>
      </c>
      <c r="DA273">
        <v>0.99717410635498516</v>
      </c>
      <c r="DB273">
        <v>18357560513.593338</v>
      </c>
      <c r="DC273">
        <v>0.12136674663983286</v>
      </c>
      <c r="DD273">
        <v>0.47014587081401121</v>
      </c>
      <c r="DE273">
        <v>38936179463.41954</v>
      </c>
      <c r="DF273">
        <v>0.11242393372952939</v>
      </c>
      <c r="DG273">
        <v>0.26868861836891655</v>
      </c>
      <c r="DH273">
        <v>68129733634.142303</v>
      </c>
      <c r="DI273">
        <v>0.10220357611775399</v>
      </c>
      <c r="DJ273">
        <v>0.12414520578465441</v>
      </c>
      <c r="DK273">
        <v>147453813333.34393</v>
      </c>
      <c r="DL273">
        <v>8.9428129103034742E-2</v>
      </c>
      <c r="DM273">
        <v>5462000000</v>
      </c>
      <c r="DN273">
        <v>0.12775447014719249</v>
      </c>
      <c r="DO273">
        <v>18305684000</v>
      </c>
      <c r="DP273" t="e">
        <v>#VALUE!</v>
      </c>
      <c r="DQ273">
        <v>272</v>
      </c>
      <c r="DR273">
        <v>-0.30086064599142726</v>
      </c>
      <c r="DS273">
        <v>34.193619306802745</v>
      </c>
      <c r="DT273">
        <v>-0.15666666666666665</v>
      </c>
      <c r="DU273">
        <v>-4.8333333333333527E-2</v>
      </c>
      <c r="DV273">
        <v>-0.20500000000000018</v>
      </c>
      <c r="DW273">
        <v>-9.1781640412819119</v>
      </c>
      <c r="DX273">
        <v>0.57816489361702228</v>
      </c>
      <c r="DY273">
        <v>-9.05134062200238</v>
      </c>
      <c r="DZ273">
        <v>0</v>
      </c>
      <c r="EA273">
        <v>-9.05134062200238</v>
      </c>
      <c r="EB273">
        <v>9</v>
      </c>
      <c r="EC273">
        <v>2.685696251942947E-2</v>
      </c>
      <c r="ED273">
        <v>9.3199980685791231E-2</v>
      </c>
      <c r="EE273">
        <v>0</v>
      </c>
      <c r="EF273">
        <v>0</v>
      </c>
      <c r="EG273">
        <v>29.288164893617022</v>
      </c>
      <c r="EH273" t="s">
        <v>110</v>
      </c>
      <c r="EI273">
        <v>0</v>
      </c>
      <c r="EJ273">
        <v>0</v>
      </c>
      <c r="EK273">
        <v>0</v>
      </c>
      <c r="EL273">
        <v>0</v>
      </c>
      <c r="EM273">
        <v>0</v>
      </c>
      <c r="EN273">
        <v>0</v>
      </c>
      <c r="EO273">
        <v>0</v>
      </c>
      <c r="EP273">
        <v>0</v>
      </c>
    </row>
    <row r="274" spans="1:146" ht="96" x14ac:dyDescent="0.25">
      <c r="A274" s="7"/>
      <c r="B274" s="7"/>
      <c r="C274" s="7" t="str">
        <f>""&amp;CHAR(10)&amp;Basic_Fundamental_Information_Constructure(F274)&amp;CHAR(10)&amp;Basic_Fundamental_Information_Concatenate("")</f>
        <v xml:space="preserve">
市值496.89492亿, 利润68.97亿; PE8.16; 平均PE28.44; 平均PEG7.09, PB.329; ROIC0%; ROE7.08%; 股利率0%; 毛利0%; 净利26.3767%; 上一年度营收增-2.7%, 利润增-48.05%; 当季营收增-31.37%, 利润增-32.69%; 过往5年营收增4.01%, 利润增18.68%
Income profile:
</v>
      </c>
      <c r="D274" s="11">
        <v>1776</v>
      </c>
      <c r="E274" t="s">
        <v>3926</v>
      </c>
      <c r="F274">
        <v>6.52</v>
      </c>
      <c r="G274" s="5">
        <v>-7.6E-3</v>
      </c>
      <c r="H274" t="s">
        <v>9894</v>
      </c>
      <c r="I274">
        <v>49689492000</v>
      </c>
      <c r="J274">
        <v>8.16</v>
      </c>
      <c r="K274">
        <v>0.32900000000000001</v>
      </c>
      <c r="L274" t="s">
        <v>6350</v>
      </c>
      <c r="M274" t="s">
        <v>9895</v>
      </c>
      <c r="N274" t="s">
        <v>9896</v>
      </c>
      <c r="O274" t="s">
        <v>1779</v>
      </c>
      <c r="P274">
        <v>-21.92</v>
      </c>
      <c r="Q274" t="s">
        <v>9897</v>
      </c>
      <c r="R274">
        <v>6897200500</v>
      </c>
      <c r="S274" s="5">
        <v>-0.32690000000000002</v>
      </c>
      <c r="T274" t="s">
        <v>2016</v>
      </c>
      <c r="U274">
        <v>1701796200</v>
      </c>
      <c r="V274">
        <v>7621087700</v>
      </c>
      <c r="W274">
        <v>5.43</v>
      </c>
      <c r="X274">
        <v>0.01</v>
      </c>
      <c r="Y274">
        <v>43.88</v>
      </c>
      <c r="Z274" t="s">
        <v>9</v>
      </c>
      <c r="AA274" t="s">
        <v>9</v>
      </c>
      <c r="AB274" t="s">
        <v>9</v>
      </c>
      <c r="AC274" t="s">
        <v>9898</v>
      </c>
      <c r="AD274" t="s">
        <v>9</v>
      </c>
      <c r="AE274" t="s">
        <v>9</v>
      </c>
      <c r="AF274" t="s">
        <v>2401</v>
      </c>
      <c r="AG274" t="s">
        <v>3565</v>
      </c>
      <c r="AH274" t="s">
        <v>9899</v>
      </c>
      <c r="AI274" t="s">
        <v>9900</v>
      </c>
      <c r="AJ274" t="s">
        <v>9</v>
      </c>
      <c r="AK274" t="s">
        <v>9901</v>
      </c>
      <c r="AL274" t="s">
        <v>9</v>
      </c>
      <c r="AM274" t="s">
        <v>1591</v>
      </c>
      <c r="AN274" s="5">
        <v>0.80900000000000005</v>
      </c>
      <c r="AO274" t="s">
        <v>9902</v>
      </c>
      <c r="AP274" t="s">
        <v>9903</v>
      </c>
      <c r="AQ274" t="s">
        <v>9</v>
      </c>
      <c r="AR274" t="s">
        <v>9904</v>
      </c>
      <c r="AS274" t="s">
        <v>9905</v>
      </c>
      <c r="AT274" t="s">
        <v>9906</v>
      </c>
      <c r="AU274" t="s">
        <v>9907</v>
      </c>
      <c r="AV274" t="s">
        <v>9908</v>
      </c>
      <c r="AW274" t="s">
        <v>9909</v>
      </c>
      <c r="AX274" t="s">
        <v>3927</v>
      </c>
      <c r="AY274" t="s">
        <v>3930</v>
      </c>
      <c r="AZ274" t="s">
        <v>3931</v>
      </c>
      <c r="BA274" t="s">
        <v>3933</v>
      </c>
      <c r="BB274" t="s">
        <v>3934</v>
      </c>
      <c r="BC274" t="s">
        <v>3935</v>
      </c>
      <c r="BD274" t="s">
        <v>3936</v>
      </c>
      <c r="BE274" t="s">
        <v>3937</v>
      </c>
      <c r="BF274" t="s">
        <v>3206</v>
      </c>
      <c r="BG274" t="s">
        <v>3938</v>
      </c>
      <c r="BH274" t="s">
        <v>3927</v>
      </c>
      <c r="BI274" t="s">
        <v>3939</v>
      </c>
      <c r="BJ274" t="s">
        <v>3930</v>
      </c>
      <c r="BK274" t="s">
        <v>3928</v>
      </c>
      <c r="BL274" t="s">
        <v>3940</v>
      </c>
      <c r="BM274" t="s">
        <v>3935</v>
      </c>
      <c r="BN274" t="s">
        <v>9</v>
      </c>
      <c r="BO274" t="s">
        <v>9</v>
      </c>
      <c r="BP274" t="s">
        <v>9</v>
      </c>
      <c r="BQ274">
        <v>4.6399999999999997</v>
      </c>
      <c r="BR274">
        <v>6.43</v>
      </c>
      <c r="BS274">
        <v>10.17</v>
      </c>
      <c r="BT274" t="s">
        <v>9910</v>
      </c>
      <c r="BU274" t="s">
        <v>826</v>
      </c>
      <c r="BV274" t="s">
        <v>9</v>
      </c>
      <c r="BW274" t="s">
        <v>9</v>
      </c>
      <c r="BX274" t="s">
        <v>9</v>
      </c>
      <c r="BY274">
        <v>23.61</v>
      </c>
      <c r="BZ274">
        <v>26.76</v>
      </c>
      <c r="CA274">
        <v>28.76</v>
      </c>
      <c r="CB274">
        <v>-4.82</v>
      </c>
      <c r="CC274">
        <v>-20.68</v>
      </c>
      <c r="CD274" t="s">
        <v>9911</v>
      </c>
      <c r="CE274" t="s">
        <v>140</v>
      </c>
      <c r="CF274" s="8">
        <v>-0.31374349556167735</v>
      </c>
      <c r="CG274" s="9">
        <v>-0.32690000000000002</v>
      </c>
      <c r="CH274" s="8">
        <v>-2.7028512209653854E-2</v>
      </c>
      <c r="CI274" s="8">
        <v>-0.26905018091201782</v>
      </c>
      <c r="CJ274" s="8">
        <v>0.19672174751758575</v>
      </c>
      <c r="CK274" s="8">
        <v>0.65087181329727173</v>
      </c>
      <c r="CL274" s="8">
        <v>-0.24272722005844116</v>
      </c>
      <c r="CM274" s="9">
        <v>-0.48045197129249573</v>
      </c>
      <c r="CN274" s="9">
        <v>0.1095786988735199</v>
      </c>
      <c r="CO274" s="9">
        <v>0.42005938291549683</v>
      </c>
      <c r="CP274" s="9">
        <v>0.72079247236251831</v>
      </c>
      <c r="CQ274" s="9">
        <v>-0.52489084005355835</v>
      </c>
      <c r="CR274">
        <v>28.440041209577409</v>
      </c>
      <c r="CS274">
        <v>7.0855299416347819</v>
      </c>
      <c r="CT274">
        <v>0</v>
      </c>
      <c r="CU274" s="8">
        <v>4.0138199180364612E-2</v>
      </c>
      <c r="CV274" s="9">
        <v>0.18683734238147737</v>
      </c>
      <c r="CW274">
        <v>0.06</v>
      </c>
      <c r="CX274">
        <v>82.181239567717242</v>
      </c>
      <c r="CY274">
        <v>6767767131.8367682</v>
      </c>
      <c r="CZ274">
        <v>4.0138199180364612E-2</v>
      </c>
      <c r="DA274">
        <v>28.020822082506974</v>
      </c>
      <c r="DB274">
        <v>19848935565.213768</v>
      </c>
      <c r="DC274">
        <v>3.8131289221346377E-2</v>
      </c>
      <c r="DD274">
        <v>14.583516737077046</v>
      </c>
      <c r="DE274">
        <v>38137816963.309158</v>
      </c>
      <c r="DF274">
        <v>3.532161527872086E-2</v>
      </c>
      <c r="DG274">
        <v>9.3105016301530501</v>
      </c>
      <c r="DH274">
        <v>59737220838.75058</v>
      </c>
      <c r="DI274">
        <v>3.2110559344291689E-2</v>
      </c>
      <c r="DJ274">
        <v>5.4721845315189546</v>
      </c>
      <c r="DK274">
        <v>101638292494.79202</v>
      </c>
      <c r="DL274">
        <v>2.8096739426255225E-2</v>
      </c>
      <c r="DM274">
        <v>6897000000</v>
      </c>
      <c r="DN274">
        <v>4.0138199180364612E-2</v>
      </c>
      <c r="DO274">
        <v>556183492000</v>
      </c>
      <c r="DP274" t="e">
        <v>#VALUE!</v>
      </c>
      <c r="DQ274">
        <v>273</v>
      </c>
      <c r="DR274">
        <v>-0.35388169474204195</v>
      </c>
      <c r="DS274">
        <v>-0.51373734238147739</v>
      </c>
      <c r="DT274">
        <v>-0.28999999999999998</v>
      </c>
      <c r="DU274">
        <v>0.73333333333333328</v>
      </c>
      <c r="DV274">
        <v>0.4433333333333333</v>
      </c>
      <c r="DW274">
        <v>-8.2330754352030944</v>
      </c>
      <c r="DX274">
        <v>0.52672849162010871</v>
      </c>
      <c r="DY274">
        <v>-8.0435218244491757</v>
      </c>
      <c r="DZ274">
        <v>0</v>
      </c>
      <c r="EA274">
        <v>-8.0435218244491757</v>
      </c>
      <c r="EB274">
        <v>8</v>
      </c>
      <c r="EC274">
        <v>4.385778161298419E-3</v>
      </c>
      <c r="ED274">
        <v>2.3487460982767591E-2</v>
      </c>
      <c r="EE274">
        <v>0</v>
      </c>
      <c r="EF274">
        <v>0</v>
      </c>
      <c r="EG274">
        <v>34.186728491620109</v>
      </c>
      <c r="EH274" t="s">
        <v>110</v>
      </c>
      <c r="EI274">
        <v>0</v>
      </c>
      <c r="EJ274">
        <v>0</v>
      </c>
      <c r="EK274">
        <v>0</v>
      </c>
      <c r="EL274">
        <v>0</v>
      </c>
      <c r="EM274">
        <v>0</v>
      </c>
      <c r="EN274">
        <v>0</v>
      </c>
      <c r="EO274">
        <v>0</v>
      </c>
      <c r="EP274">
        <v>0</v>
      </c>
    </row>
    <row r="275" spans="1:146" ht="96" x14ac:dyDescent="0.25">
      <c r="A275" s="7"/>
      <c r="B275" s="7"/>
      <c r="C275" s="7" t="str">
        <f>""&amp;CHAR(10)&amp;Basic_Fundamental_Information_Constructure(F275)&amp;CHAR(10)&amp;Basic_Fundamental_Information_Concatenate("")</f>
        <v xml:space="preserve">
市值687.11878亿, 利润19.77亿; PE30.8; 平均PE9.67; 平均PEG.8, PB1.88; ROIC1.4633%; ROE3.2%; 股利率0%; 毛利11.2733%; 净利2.2567%; 上一年度营收增14.5%, 利润增478.74%; 当季营收增22.9%, 利润增50.5%; 过往5年营收增12.15%, 利润增15.53%
Income profile:
</v>
      </c>
      <c r="D275" s="11">
        <v>1787</v>
      </c>
      <c r="E275" t="s">
        <v>3941</v>
      </c>
      <c r="F275">
        <v>15.36</v>
      </c>
      <c r="G275" s="5">
        <v>-3.0300000000000001E-2</v>
      </c>
      <c r="H275" t="s">
        <v>9912</v>
      </c>
      <c r="I275">
        <v>68711878000</v>
      </c>
      <c r="J275">
        <v>30.8</v>
      </c>
      <c r="K275">
        <v>1.88</v>
      </c>
      <c r="L275" t="s">
        <v>6350</v>
      </c>
      <c r="M275" t="s">
        <v>9913</v>
      </c>
      <c r="N275" t="s">
        <v>9914</v>
      </c>
      <c r="O275" t="s">
        <v>9915</v>
      </c>
      <c r="P275">
        <v>44.73</v>
      </c>
      <c r="Q275" t="s">
        <v>9916</v>
      </c>
      <c r="R275">
        <v>1977427500</v>
      </c>
      <c r="S275" s="5">
        <v>0.505</v>
      </c>
      <c r="T275" t="s">
        <v>9917</v>
      </c>
      <c r="U275">
        <v>858986180</v>
      </c>
      <c r="V275">
        <v>4473429500</v>
      </c>
      <c r="W275">
        <v>4.22</v>
      </c>
      <c r="X275">
        <v>0.13</v>
      </c>
      <c r="Y275">
        <v>7.44</v>
      </c>
      <c r="Z275" t="s">
        <v>9918</v>
      </c>
      <c r="AA275" t="s">
        <v>9919</v>
      </c>
      <c r="AB275" t="s">
        <v>9920</v>
      </c>
      <c r="AC275" t="s">
        <v>1152</v>
      </c>
      <c r="AD275" t="s">
        <v>1551</v>
      </c>
      <c r="AE275" t="s">
        <v>230</v>
      </c>
      <c r="AF275" t="s">
        <v>9</v>
      </c>
      <c r="AG275" t="s">
        <v>9921</v>
      </c>
      <c r="AH275" t="s">
        <v>9922</v>
      </c>
      <c r="AI275" t="s">
        <v>5915</v>
      </c>
      <c r="AJ275" t="s">
        <v>9923</v>
      </c>
      <c r="AK275" t="s">
        <v>9924</v>
      </c>
      <c r="AL275" t="s">
        <v>9</v>
      </c>
      <c r="AM275" t="s">
        <v>9925</v>
      </c>
      <c r="AN275" s="5">
        <v>0.62039999999999995</v>
      </c>
      <c r="AO275" t="s">
        <v>9926</v>
      </c>
      <c r="AP275" t="s">
        <v>9927</v>
      </c>
      <c r="AQ275" t="s">
        <v>9928</v>
      </c>
      <c r="AR275" t="s">
        <v>9929</v>
      </c>
      <c r="AS275" t="s">
        <v>9930</v>
      </c>
      <c r="AT275" t="s">
        <v>9931</v>
      </c>
      <c r="AU275" t="s">
        <v>9932</v>
      </c>
      <c r="AV275" t="s">
        <v>9933</v>
      </c>
      <c r="AW275" t="s">
        <v>9934</v>
      </c>
      <c r="AX275" t="s">
        <v>3942</v>
      </c>
      <c r="AY275" t="s">
        <v>3945</v>
      </c>
      <c r="AZ275" t="s">
        <v>3946</v>
      </c>
      <c r="BA275" t="s">
        <v>3947</v>
      </c>
      <c r="BB275" t="s">
        <v>3948</v>
      </c>
      <c r="BC275" t="s">
        <v>9935</v>
      </c>
      <c r="BD275" t="s">
        <v>3308</v>
      </c>
      <c r="BE275" t="s">
        <v>3949</v>
      </c>
      <c r="BF275" t="s">
        <v>3950</v>
      </c>
      <c r="BG275" t="s">
        <v>3951</v>
      </c>
      <c r="BH275" t="s">
        <v>3942</v>
      </c>
      <c r="BI275" t="s">
        <v>3952</v>
      </c>
      <c r="BJ275" t="s">
        <v>3945</v>
      </c>
      <c r="BK275" t="s">
        <v>3943</v>
      </c>
      <c r="BL275" t="s">
        <v>114</v>
      </c>
      <c r="BM275" t="s">
        <v>9935</v>
      </c>
      <c r="BN275">
        <v>2.99</v>
      </c>
      <c r="BO275">
        <v>1.98</v>
      </c>
      <c r="BP275">
        <v>-0.57999999999999996</v>
      </c>
      <c r="BQ275">
        <v>7.8</v>
      </c>
      <c r="BR275">
        <v>3.65</v>
      </c>
      <c r="BS275">
        <v>-1.85</v>
      </c>
      <c r="BT275" t="s">
        <v>65</v>
      </c>
      <c r="BU275" t="s">
        <v>3953</v>
      </c>
      <c r="BV275">
        <v>14.56</v>
      </c>
      <c r="BW275">
        <v>12.26</v>
      </c>
      <c r="BX275">
        <v>7</v>
      </c>
      <c r="BY275">
        <v>4.76</v>
      </c>
      <c r="BZ275">
        <v>2.69</v>
      </c>
      <c r="CA275">
        <v>-0.68</v>
      </c>
      <c r="CB275">
        <v>-4.12</v>
      </c>
      <c r="CC275">
        <v>-16.55</v>
      </c>
      <c r="CD275" t="s">
        <v>9936</v>
      </c>
      <c r="CE275" t="s">
        <v>896</v>
      </c>
      <c r="CF275" s="8">
        <v>0.22898479946279227</v>
      </c>
      <c r="CG275" s="9">
        <v>0.505</v>
      </c>
      <c r="CH275" s="8">
        <v>0.14498685300350189</v>
      </c>
      <c r="CI275" s="8">
        <v>0.36579141020774841</v>
      </c>
      <c r="CJ275" s="8">
        <v>-0.45264256000518799</v>
      </c>
      <c r="CK275" s="8">
        <v>0.18525460362434387</v>
      </c>
      <c r="CL275" s="8">
        <v>4.6639367938041687E-2</v>
      </c>
      <c r="CM275" s="9">
        <v>4.787355899810791</v>
      </c>
      <c r="CN275" s="9">
        <v>-1.2190515995025635</v>
      </c>
      <c r="CO275" s="9">
        <v>0.65256589651107788</v>
      </c>
      <c r="CP275" s="9">
        <v>0.31329691410064697</v>
      </c>
      <c r="CQ275" s="9">
        <v>-0.18120801448822021</v>
      </c>
      <c r="CR275">
        <v>9.6693310504960479</v>
      </c>
      <c r="CS275">
        <v>0.79572416014609637</v>
      </c>
      <c r="CT275">
        <v>0</v>
      </c>
      <c r="CU275" s="8">
        <v>0.12151611745357513</v>
      </c>
      <c r="CV275" s="9">
        <v>0.15531954020261765</v>
      </c>
      <c r="CW275">
        <v>0.06</v>
      </c>
      <c r="CX275">
        <v>50.591475901897361</v>
      </c>
      <c r="CY275">
        <v>2091733362.4582245</v>
      </c>
      <c r="CZ275">
        <v>0.12151611745357513</v>
      </c>
      <c r="DA275">
        <v>16.098990586031693</v>
      </c>
      <c r="DB275">
        <v>6573323801.5443163</v>
      </c>
      <c r="DC275">
        <v>0.11544031158089636</v>
      </c>
      <c r="DD275">
        <v>7.6450764000297955</v>
      </c>
      <c r="DE275">
        <v>13842095547.87282</v>
      </c>
      <c r="DF275">
        <v>0.10693418335914612</v>
      </c>
      <c r="DG275">
        <v>4.4058388248654428</v>
      </c>
      <c r="DH275">
        <v>24019008004.27758</v>
      </c>
      <c r="DI275">
        <v>9.7212893962860106E-2</v>
      </c>
      <c r="DJ275">
        <v>2.0751688979203773</v>
      </c>
      <c r="DK275">
        <v>50995308432.991165</v>
      </c>
      <c r="DL275">
        <v>8.5061282217502587E-2</v>
      </c>
      <c r="DM275">
        <v>1977000000</v>
      </c>
      <c r="DN275">
        <v>0.12151611745357513</v>
      </c>
      <c r="DO275">
        <v>105823878000</v>
      </c>
      <c r="DP275" t="e">
        <v>#VALUE!</v>
      </c>
      <c r="DQ275">
        <v>274</v>
      </c>
      <c r="DR275">
        <v>0.10746868200921714</v>
      </c>
      <c r="DS275">
        <v>0.34968045979738238</v>
      </c>
      <c r="DT275">
        <v>-0.24000000000000007</v>
      </c>
      <c r="DU275">
        <v>0.38666666666666666</v>
      </c>
      <c r="DV275">
        <v>0.14666666666666658</v>
      </c>
      <c r="DW275">
        <v>-8.2489425981873108</v>
      </c>
      <c r="DX275">
        <v>0.39951059322033727</v>
      </c>
      <c r="DY275">
        <v>-8.0247724256234321</v>
      </c>
      <c r="DZ275">
        <v>0</v>
      </c>
      <c r="EA275">
        <v>-8.0247724256234321</v>
      </c>
      <c r="EB275">
        <v>8</v>
      </c>
      <c r="EC275">
        <v>5.2497753680928695E-3</v>
      </c>
      <c r="ED275">
        <v>5.2755944851707176E-2</v>
      </c>
      <c r="EE275">
        <v>0</v>
      </c>
      <c r="EF275">
        <v>0</v>
      </c>
      <c r="EG275">
        <v>30.099510593220337</v>
      </c>
      <c r="EH275" t="s">
        <v>110</v>
      </c>
      <c r="EI275">
        <v>0</v>
      </c>
      <c r="EJ275">
        <v>0</v>
      </c>
      <c r="EK275">
        <v>0</v>
      </c>
      <c r="EL275">
        <v>0</v>
      </c>
      <c r="EM275">
        <v>0</v>
      </c>
      <c r="EN275">
        <v>0</v>
      </c>
      <c r="EO275">
        <v>0</v>
      </c>
      <c r="EP275">
        <v>0</v>
      </c>
    </row>
    <row r="276" spans="1:146" ht="96" x14ac:dyDescent="0.25">
      <c r="A276" s="7"/>
      <c r="B276" s="7"/>
      <c r="C276" s="7" t="str">
        <f>""&amp;CHAR(10)&amp;Basic_Fundamental_Information_Constructure(F276)&amp;CHAR(10)&amp;Basic_Fundamental_Information_Concatenate("")</f>
        <v xml:space="preserve">
市值57.323968亿, 利润2.01亿; PE28.48; 平均PE41.09; 平均PEG4.48, PB.386; ROIC0%; ROE3.0167%; 股利率0%; 毛利0%; 净利12.58%; 上一年度营收增38.75%, 利润增-81.64%, 利润增150.4%; 过往5年营收增9.18%, 利润增19.19%
Income profile:
</v>
      </c>
      <c r="D276" s="11">
        <v>1788</v>
      </c>
      <c r="E276" t="s">
        <v>3954</v>
      </c>
      <c r="F276">
        <v>0.6</v>
      </c>
      <c r="G276" s="5">
        <v>-1.6400000000000001E-2</v>
      </c>
      <c r="H276" t="s">
        <v>9937</v>
      </c>
      <c r="I276">
        <v>5732396800</v>
      </c>
      <c r="J276">
        <v>28.48</v>
      </c>
      <c r="K276">
        <v>0.38600000000000001</v>
      </c>
      <c r="L276" t="s">
        <v>6350</v>
      </c>
      <c r="M276" t="s">
        <v>9</v>
      </c>
      <c r="N276" t="s">
        <v>9</v>
      </c>
      <c r="O276" t="s">
        <v>9</v>
      </c>
      <c r="P276" t="s">
        <v>9</v>
      </c>
      <c r="Q276" t="s">
        <v>3133</v>
      </c>
      <c r="R276">
        <v>201261000</v>
      </c>
      <c r="S276" s="5">
        <v>1.504</v>
      </c>
      <c r="T276" t="s">
        <v>1001</v>
      </c>
      <c r="U276">
        <v>9553994700</v>
      </c>
      <c r="V276">
        <v>9553994700</v>
      </c>
      <c r="W276" t="s">
        <v>9</v>
      </c>
      <c r="X276" t="s">
        <v>9</v>
      </c>
      <c r="Y276" t="s">
        <v>9</v>
      </c>
      <c r="Z276" t="s">
        <v>9</v>
      </c>
      <c r="AA276" t="s">
        <v>9</v>
      </c>
      <c r="AB276" t="s">
        <v>9</v>
      </c>
      <c r="AC276" t="s">
        <v>9</v>
      </c>
      <c r="AD276" t="s">
        <v>9</v>
      </c>
      <c r="AE276" t="s">
        <v>9</v>
      </c>
      <c r="AF276" t="s">
        <v>9</v>
      </c>
      <c r="AG276" t="s">
        <v>9</v>
      </c>
      <c r="AH276" t="s">
        <v>9938</v>
      </c>
      <c r="AI276" t="s">
        <v>9</v>
      </c>
      <c r="AJ276" t="s">
        <v>9</v>
      </c>
      <c r="AK276" t="s">
        <v>9939</v>
      </c>
      <c r="AL276" t="s">
        <v>9</v>
      </c>
      <c r="AM276" t="s">
        <v>9</v>
      </c>
      <c r="AN276" s="5">
        <v>0.8609</v>
      </c>
      <c r="AO276" t="s">
        <v>9</v>
      </c>
      <c r="AP276" t="s">
        <v>9940</v>
      </c>
      <c r="AQ276" t="s">
        <v>9</v>
      </c>
      <c r="AR276" t="s">
        <v>9941</v>
      </c>
      <c r="AS276" t="s">
        <v>9</v>
      </c>
      <c r="AT276" t="s">
        <v>9</v>
      </c>
      <c r="AU276" t="s">
        <v>9942</v>
      </c>
      <c r="AV276" t="s">
        <v>9943</v>
      </c>
      <c r="AW276" t="s">
        <v>9</v>
      </c>
      <c r="AX276" t="s">
        <v>9944</v>
      </c>
      <c r="AY276" t="s">
        <v>830</v>
      </c>
      <c r="AZ276" t="s">
        <v>3956</v>
      </c>
      <c r="BA276" t="s">
        <v>3767</v>
      </c>
      <c r="BB276" t="s">
        <v>1372</v>
      </c>
      <c r="BC276" t="s">
        <v>3957</v>
      </c>
      <c r="BD276" t="s">
        <v>755</v>
      </c>
      <c r="BE276" t="s">
        <v>2583</v>
      </c>
      <c r="BF276" t="s">
        <v>3958</v>
      </c>
      <c r="BG276" t="s">
        <v>3959</v>
      </c>
      <c r="BH276" t="s">
        <v>9944</v>
      </c>
      <c r="BI276" t="s">
        <v>9</v>
      </c>
      <c r="BJ276" t="s">
        <v>830</v>
      </c>
      <c r="BK276" t="s">
        <v>3955</v>
      </c>
      <c r="BL276" t="s">
        <v>9</v>
      </c>
      <c r="BM276" t="s">
        <v>3957</v>
      </c>
      <c r="BN276" t="s">
        <v>9</v>
      </c>
      <c r="BO276" t="s">
        <v>9</v>
      </c>
      <c r="BP276" t="s">
        <v>9</v>
      </c>
      <c r="BQ276">
        <v>1.36</v>
      </c>
      <c r="BR276">
        <v>0.54</v>
      </c>
      <c r="BS276">
        <v>7.15</v>
      </c>
      <c r="BT276" t="s">
        <v>849</v>
      </c>
      <c r="BU276" t="s">
        <v>826</v>
      </c>
      <c r="BV276" t="s">
        <v>9</v>
      </c>
      <c r="BW276" t="s">
        <v>9</v>
      </c>
      <c r="BX276" t="s">
        <v>9</v>
      </c>
      <c r="BY276">
        <v>6.38</v>
      </c>
      <c r="BZ276">
        <v>3.58</v>
      </c>
      <c r="CA276">
        <v>27.78</v>
      </c>
      <c r="CB276">
        <v>-3.23</v>
      </c>
      <c r="CC276">
        <v>-3.23</v>
      </c>
      <c r="CD276" t="s">
        <v>9945</v>
      </c>
      <c r="CE276" t="s">
        <v>2110</v>
      </c>
      <c r="CF276" s="8" t="s">
        <v>9</v>
      </c>
      <c r="CG276" s="9">
        <v>1.504</v>
      </c>
      <c r="CH276" s="8">
        <v>0.3874569833278656</v>
      </c>
      <c r="CI276" s="8">
        <v>-0.41389727592468262</v>
      </c>
      <c r="CJ276" s="8">
        <v>-0.18573187291622162</v>
      </c>
      <c r="CK276" s="8">
        <v>0.60990095138549805</v>
      </c>
      <c r="CL276" s="8">
        <v>-3.3492803573608398E-2</v>
      </c>
      <c r="CM276" s="9">
        <v>-0.81643837690353394</v>
      </c>
      <c r="CN276" s="9">
        <v>-0.29942417144775391</v>
      </c>
      <c r="CO276" s="9">
        <v>0.74636876583099365</v>
      </c>
      <c r="CP276" s="9">
        <v>0.12296110391616821</v>
      </c>
      <c r="CQ276" s="9">
        <v>-0.35097721219062805</v>
      </c>
      <c r="CR276">
        <v>41.092450179211468</v>
      </c>
      <c r="CS276">
        <v>4.4771411565529142</v>
      </c>
      <c r="CT276">
        <v>0</v>
      </c>
      <c r="CU276" s="8">
        <v>9.1782788932323459E-2</v>
      </c>
      <c r="CV276" s="9">
        <v>0.19186706542968751</v>
      </c>
      <c r="CW276">
        <v>0.06</v>
      </c>
      <c r="CX276">
        <v>27.689161795745363</v>
      </c>
      <c r="CY276">
        <v>207026736.39188397</v>
      </c>
      <c r="CZ276">
        <v>9.1782788932323459E-2</v>
      </c>
      <c r="DA276">
        <v>9.0349128108012948</v>
      </c>
      <c r="DB276">
        <v>634471734.26476049</v>
      </c>
      <c r="DC276">
        <v>8.7193649485707278E-2</v>
      </c>
      <c r="DD276">
        <v>4.4387037679778585</v>
      </c>
      <c r="DE276">
        <v>1291457393.7903295</v>
      </c>
      <c r="DF276">
        <v>8.0768854260444639E-2</v>
      </c>
      <c r="DG276">
        <v>2.6594482860989075</v>
      </c>
      <c r="DH276">
        <v>2155483462.4773774</v>
      </c>
      <c r="DI276">
        <v>7.3426231145858764E-2</v>
      </c>
      <c r="DJ276">
        <v>1.3669626440343179</v>
      </c>
      <c r="DK276">
        <v>4193528495.4693227</v>
      </c>
      <c r="DL276">
        <v>6.4247952252626417E-2</v>
      </c>
      <c r="DM276">
        <v>200999999.99999997</v>
      </c>
      <c r="DN276">
        <v>9.1782788932323459E-2</v>
      </c>
      <c r="DO276">
        <v>5732396800</v>
      </c>
      <c r="DP276" t="e">
        <v>#VALUE!</v>
      </c>
      <c r="DQ276">
        <v>275</v>
      </c>
      <c r="DR276" t="e">
        <v>#VALUE!</v>
      </c>
      <c r="DS276">
        <v>1.3121329345703125</v>
      </c>
      <c r="DT276" t="e">
        <v>#VALUE!</v>
      </c>
      <c r="DU276" t="e">
        <v>#VALUE!</v>
      </c>
      <c r="DV276" t="e">
        <v>#VALUE!</v>
      </c>
      <c r="DW276">
        <v>-4.9999000000000002</v>
      </c>
      <c r="DX276">
        <v>0.35049086651053885</v>
      </c>
      <c r="DY276">
        <v>-4.0904818174238873</v>
      </c>
      <c r="DZ276">
        <v>0</v>
      </c>
      <c r="EA276">
        <v>-4.0904818174238873</v>
      </c>
      <c r="EB276">
        <v>4</v>
      </c>
      <c r="EC276">
        <v>4.0443396938455488E-3</v>
      </c>
      <c r="ED276">
        <v>4.469334696197811E-2</v>
      </c>
      <c r="EE276">
        <v>0</v>
      </c>
      <c r="EF276">
        <v>0</v>
      </c>
      <c r="EG276">
        <v>26.090490866510539</v>
      </c>
      <c r="EH276" t="s">
        <v>110</v>
      </c>
      <c r="EI276">
        <v>0</v>
      </c>
      <c r="EJ276">
        <v>0</v>
      </c>
      <c r="EK276">
        <v>0</v>
      </c>
      <c r="EL276">
        <v>0</v>
      </c>
      <c r="EM276">
        <v>0</v>
      </c>
      <c r="EN276">
        <v>0</v>
      </c>
      <c r="EO276">
        <v>0</v>
      </c>
      <c r="EP276">
        <v>0</v>
      </c>
    </row>
    <row r="277" spans="1:146" ht="96" x14ac:dyDescent="0.25">
      <c r="A277" s="7"/>
      <c r="B277" s="7"/>
      <c r="C277" s="7" t="str">
        <f>""&amp;CHAR(10)&amp;Basic_Fundamental_Information_Constructure(F277)&amp;CHAR(10)&amp;Basic_Fundamental_Information_Concatenate("")</f>
        <v xml:space="preserve">
市值48.803583亿, 利润2.00亿; PE24.45; 平均PE3.15; 平均PEG1.55, PB1.86; ROIC7.3%; ROE7.1%; 股利率0%; 毛利62.57%; 净利16.09%; 上一年度营收增1.01%, 利润增76.99%, 利润增-13.58%; 过往5年营收增2.03%, 利润增-6.57%
Income profile:
</v>
      </c>
      <c r="D277" s="11">
        <v>1789</v>
      </c>
      <c r="E277" t="s">
        <v>3960</v>
      </c>
      <c r="F277">
        <v>4.3499999999999996</v>
      </c>
      <c r="G277" s="5">
        <v>-1.8100000000000002E-2</v>
      </c>
      <c r="H277" t="s">
        <v>9946</v>
      </c>
      <c r="I277">
        <v>4880358300</v>
      </c>
      <c r="J277">
        <v>24.45</v>
      </c>
      <c r="K277">
        <v>1.86</v>
      </c>
      <c r="L277" t="s">
        <v>6350</v>
      </c>
      <c r="M277" t="s">
        <v>9</v>
      </c>
      <c r="N277" t="s">
        <v>9</v>
      </c>
      <c r="O277" t="s">
        <v>9</v>
      </c>
      <c r="P277" t="s">
        <v>9</v>
      </c>
      <c r="Q277" t="s">
        <v>79</v>
      </c>
      <c r="R277">
        <v>199622400</v>
      </c>
      <c r="S277" s="5">
        <v>-0.1358</v>
      </c>
      <c r="T277" t="s">
        <v>16</v>
      </c>
      <c r="U277">
        <v>1121921440</v>
      </c>
      <c r="V277">
        <v>1121921440</v>
      </c>
      <c r="W277" t="s">
        <v>9</v>
      </c>
      <c r="X277" t="s">
        <v>9</v>
      </c>
      <c r="Y277" t="s">
        <v>9</v>
      </c>
      <c r="Z277" t="s">
        <v>9</v>
      </c>
      <c r="AA277" t="s">
        <v>9</v>
      </c>
      <c r="AB277" t="s">
        <v>9</v>
      </c>
      <c r="AC277" t="s">
        <v>9</v>
      </c>
      <c r="AD277" t="s">
        <v>148</v>
      </c>
      <c r="AE277" t="s">
        <v>9</v>
      </c>
      <c r="AF277" t="s">
        <v>9</v>
      </c>
      <c r="AG277" t="s">
        <v>9</v>
      </c>
      <c r="AH277" t="s">
        <v>9947</v>
      </c>
      <c r="AI277" t="s">
        <v>9</v>
      </c>
      <c r="AJ277" t="s">
        <v>9</v>
      </c>
      <c r="AK277" t="s">
        <v>9948</v>
      </c>
      <c r="AL277" t="s">
        <v>9</v>
      </c>
      <c r="AM277" t="s">
        <v>9</v>
      </c>
      <c r="AN277" s="5">
        <v>0.20349999999999999</v>
      </c>
      <c r="AO277" t="s">
        <v>9</v>
      </c>
      <c r="AP277" t="s">
        <v>179</v>
      </c>
      <c r="AQ277" t="s">
        <v>9</v>
      </c>
      <c r="AR277" t="s">
        <v>232</v>
      </c>
      <c r="AS277" t="s">
        <v>9</v>
      </c>
      <c r="AT277" t="s">
        <v>9</v>
      </c>
      <c r="AU277" t="s">
        <v>9949</v>
      </c>
      <c r="AV277" t="s">
        <v>7910</v>
      </c>
      <c r="AW277" t="s">
        <v>9</v>
      </c>
      <c r="AX277" t="s">
        <v>3961</v>
      </c>
      <c r="AY277" t="s">
        <v>3143</v>
      </c>
      <c r="AZ277" t="s">
        <v>3962</v>
      </c>
      <c r="BA277" t="s">
        <v>3964</v>
      </c>
      <c r="BB277" t="s">
        <v>2538</v>
      </c>
      <c r="BC277" t="s">
        <v>2049</v>
      </c>
      <c r="BD277" t="s">
        <v>152</v>
      </c>
      <c r="BE277" t="s">
        <v>3965</v>
      </c>
      <c r="BF277" t="s">
        <v>2720</v>
      </c>
      <c r="BG277" t="s">
        <v>527</v>
      </c>
      <c r="BH277" t="s">
        <v>3961</v>
      </c>
      <c r="BI277" t="s">
        <v>9</v>
      </c>
      <c r="BJ277" t="s">
        <v>3143</v>
      </c>
      <c r="BK277" t="s">
        <v>2115</v>
      </c>
      <c r="BL277" t="s">
        <v>9</v>
      </c>
      <c r="BM277" t="s">
        <v>2049</v>
      </c>
      <c r="BN277">
        <v>7.77</v>
      </c>
      <c r="BO277">
        <v>9.58</v>
      </c>
      <c r="BP277">
        <v>4.55</v>
      </c>
      <c r="BQ277">
        <v>7.61</v>
      </c>
      <c r="BR277">
        <v>9.1300000000000008</v>
      </c>
      <c r="BS277">
        <v>4.5599999999999996</v>
      </c>
      <c r="BT277" t="s">
        <v>2279</v>
      </c>
      <c r="BU277" t="s">
        <v>2382</v>
      </c>
      <c r="BV277">
        <v>61.66</v>
      </c>
      <c r="BW277">
        <v>60.49</v>
      </c>
      <c r="BX277">
        <v>65.56</v>
      </c>
      <c r="BY277">
        <v>16.649999999999999</v>
      </c>
      <c r="BZ277">
        <v>19.46</v>
      </c>
      <c r="CA277">
        <v>12.16</v>
      </c>
      <c r="CB277">
        <v>-2.14</v>
      </c>
      <c r="CC277">
        <v>-22.25</v>
      </c>
      <c r="CD277" t="s">
        <v>9950</v>
      </c>
      <c r="CE277" t="s">
        <v>9951</v>
      </c>
      <c r="CF277" s="8" t="s">
        <v>9</v>
      </c>
      <c r="CG277" s="9">
        <v>-0.1358</v>
      </c>
      <c r="CH277" s="8">
        <v>1.0109519585967064E-2</v>
      </c>
      <c r="CI277" s="8">
        <v>0.27360522747039795</v>
      </c>
      <c r="CJ277" s="8">
        <v>-0.2447325736284256</v>
      </c>
      <c r="CK277" s="8">
        <v>0.80409353971481323</v>
      </c>
      <c r="CL277" s="8">
        <v>0.53020131587982178</v>
      </c>
      <c r="CM277" s="9">
        <v>0.76991152763366699</v>
      </c>
      <c r="CN277" s="9">
        <v>-0.6978609561920166</v>
      </c>
      <c r="CO277" s="9">
        <v>0.25503355264663696</v>
      </c>
      <c r="CP277" s="9">
        <v>0.80606061220169067</v>
      </c>
      <c r="CQ277" s="9">
        <v>0.3095238208770752</v>
      </c>
      <c r="CR277">
        <v>3.1509899709458735</v>
      </c>
      <c r="CS277">
        <v>1.5527272166750132</v>
      </c>
      <c r="CT277">
        <v>0</v>
      </c>
      <c r="CU277" s="8">
        <v>2.0293261669576169E-2</v>
      </c>
      <c r="CV277" s="9">
        <v>-6.5656444430351263E-2</v>
      </c>
      <c r="CW277">
        <v>0.06</v>
      </c>
      <c r="CX277">
        <v>25.351435672204527</v>
      </c>
      <c r="CY277">
        <v>192508162.57916531</v>
      </c>
      <c r="CZ277">
        <v>2.0293261669576169E-2</v>
      </c>
      <c r="DA277">
        <v>8.7923354872074118</v>
      </c>
      <c r="DB277">
        <v>555069617.9758811</v>
      </c>
      <c r="DC277">
        <v>1.9278598586097359E-2</v>
      </c>
      <c r="DD277">
        <v>4.6762085781864542</v>
      </c>
      <c r="DE277">
        <v>1043657103.4846183</v>
      </c>
      <c r="DF277">
        <v>1.785807026922703E-2</v>
      </c>
      <c r="DG277">
        <v>3.0546176260619715</v>
      </c>
      <c r="DH277">
        <v>1597698598.4631348</v>
      </c>
      <c r="DI277">
        <v>1.6234609335660937E-2</v>
      </c>
      <c r="DJ277">
        <v>1.8784083898896939</v>
      </c>
      <c r="DK277">
        <v>2598134849.8377342</v>
      </c>
      <c r="DL277">
        <v>1.4205283168703318E-2</v>
      </c>
      <c r="DM277">
        <v>200000000</v>
      </c>
      <c r="DN277">
        <v>2.0293261669576169E-2</v>
      </c>
      <c r="DO277">
        <v>4880358300</v>
      </c>
      <c r="DP277" t="e">
        <v>#VALUE!</v>
      </c>
      <c r="DQ277">
        <v>276</v>
      </c>
      <c r="DR277" t="e">
        <v>#VALUE!</v>
      </c>
      <c r="DS277">
        <v>-7.0143555569648741E-2</v>
      </c>
      <c r="DT277" t="e">
        <v>#VALUE!</v>
      </c>
      <c r="DU277" t="e">
        <v>#VALUE!</v>
      </c>
      <c r="DV277" t="e">
        <v>#VALUE!</v>
      </c>
      <c r="DW277">
        <v>-3.0706845238095237</v>
      </c>
      <c r="DX277">
        <v>0.39587594910376822</v>
      </c>
      <c r="DY277">
        <v>-3.0103111719976621</v>
      </c>
      <c r="DZ277">
        <v>0</v>
      </c>
      <c r="EA277">
        <v>-3.0103111719976621</v>
      </c>
      <c r="EB277">
        <v>3</v>
      </c>
      <c r="EC277">
        <v>1.2750892789783926E-2</v>
      </c>
      <c r="ED277">
        <v>8.7409150501660801E-2</v>
      </c>
      <c r="EE277">
        <v>0</v>
      </c>
      <c r="EF277">
        <v>0</v>
      </c>
      <c r="EG277">
        <v>25.145875949103768</v>
      </c>
      <c r="EH277" t="s">
        <v>110</v>
      </c>
      <c r="EI277">
        <v>0</v>
      </c>
      <c r="EJ277">
        <v>0</v>
      </c>
      <c r="EK277">
        <v>0</v>
      </c>
      <c r="EL277">
        <v>0</v>
      </c>
      <c r="EM277">
        <v>0</v>
      </c>
      <c r="EN277">
        <v>0</v>
      </c>
      <c r="EO277">
        <v>0</v>
      </c>
      <c r="EP277">
        <v>0</v>
      </c>
    </row>
    <row r="278" spans="1:146" ht="168" x14ac:dyDescent="0.25">
      <c r="A278" s="7"/>
      <c r="B278" s="7"/>
      <c r="C278" s="7" t="str">
        <f>"公司成立电商平台东方甄选,依托新东方的品牌知名度及多年的运营历史,公司的直播教室技术和现有人才库,透过使用直播营销销售以农产品、日用品及图书为主的优质产品。公司开始在抖音及腾讯商城等不同的社交媒体平台试点直播电商活动。"&amp;CHAR(10)&amp;Basic_Fundamental_Information_Constructure(F278)&amp;CHAR(10)&amp;Basic_Fundamental_Information_Concatenate("直播电商 17.66亿 84.89
大学教育 2.95亿 14.19
机构客户 0.19亿 0.92")</f>
        <v>公司成立电商平台东方甄选,依托新东方的品牌知名度及多年的运营历史,公司的直播教室技术和现有人才库,透过使用直播营销销售以农产品、日用品及图书为主的优质产品。公司开始在抖音及腾讯商城等不同的社交媒体平台试点直播电商活动。
市值131.793949亿, 利润10.68亿; PE18.79; 平均PE32.07; 平均PEG11.79, PB3.64; ROIC-23.7367%; ROE-26.8167%; 股利率0%; 毛利39.4733%; 净利-51.5967%; 上一年度营收增369.16%, 利润增152.79%, 利润增-57.34%; 过往5年营收增2.72%, 利润增3.4%
Income profile:
直播电商 17.66亿 84.89
大学教育 2.95亿 14.19
机构客户 0.19亿 0.92</v>
      </c>
      <c r="D278" s="11">
        <v>1797</v>
      </c>
      <c r="E278" t="s">
        <v>3966</v>
      </c>
      <c r="F278">
        <v>12.78</v>
      </c>
      <c r="G278" s="5">
        <v>1.6000000000000001E-3</v>
      </c>
      <c r="H278" t="s">
        <v>9952</v>
      </c>
      <c r="I278">
        <v>13179394900</v>
      </c>
      <c r="J278">
        <v>18.79</v>
      </c>
      <c r="K278">
        <v>3.64</v>
      </c>
      <c r="L278" t="s">
        <v>6350</v>
      </c>
      <c r="M278" t="s">
        <v>9</v>
      </c>
      <c r="N278" t="s">
        <v>9</v>
      </c>
      <c r="O278" t="s">
        <v>9</v>
      </c>
      <c r="P278" t="s">
        <v>9</v>
      </c>
      <c r="Q278" t="s">
        <v>9953</v>
      </c>
      <c r="R278">
        <v>272801850</v>
      </c>
      <c r="S278" s="5">
        <v>-0.57340000000000002</v>
      </c>
      <c r="T278" t="s">
        <v>2400</v>
      </c>
      <c r="U278">
        <v>1030016560</v>
      </c>
      <c r="V278">
        <v>1030016560</v>
      </c>
      <c r="W278" t="s">
        <v>9</v>
      </c>
      <c r="X278" t="s">
        <v>9</v>
      </c>
      <c r="Y278" t="s">
        <v>9</v>
      </c>
      <c r="Z278" t="s">
        <v>9</v>
      </c>
      <c r="AA278" t="s">
        <v>9</v>
      </c>
      <c r="AB278" t="s">
        <v>9</v>
      </c>
      <c r="AC278" t="s">
        <v>9</v>
      </c>
      <c r="AD278" t="s">
        <v>82</v>
      </c>
      <c r="AE278" t="s">
        <v>9</v>
      </c>
      <c r="AF278" t="s">
        <v>9</v>
      </c>
      <c r="AG278" t="s">
        <v>9</v>
      </c>
      <c r="AH278" t="s">
        <v>9954</v>
      </c>
      <c r="AI278" t="s">
        <v>9</v>
      </c>
      <c r="AJ278" t="s">
        <v>9</v>
      </c>
      <c r="AK278" t="s">
        <v>9955</v>
      </c>
      <c r="AL278" t="s">
        <v>9</v>
      </c>
      <c r="AM278" t="s">
        <v>9</v>
      </c>
      <c r="AN278" s="5">
        <v>0.30320000000000003</v>
      </c>
      <c r="AO278" t="s">
        <v>9</v>
      </c>
      <c r="AP278" t="s">
        <v>1155</v>
      </c>
      <c r="AQ278" t="s">
        <v>9</v>
      </c>
      <c r="AR278" t="s">
        <v>4413</v>
      </c>
      <c r="AS278" t="s">
        <v>9</v>
      </c>
      <c r="AT278" t="s">
        <v>9</v>
      </c>
      <c r="AU278" t="s">
        <v>9956</v>
      </c>
      <c r="AV278" t="s">
        <v>9957</v>
      </c>
      <c r="AW278" t="s">
        <v>9</v>
      </c>
      <c r="AX278" t="s">
        <v>1501</v>
      </c>
      <c r="AY278" t="s">
        <v>3968</v>
      </c>
      <c r="AZ278" t="s">
        <v>3200</v>
      </c>
      <c r="BA278" t="s">
        <v>176</v>
      </c>
      <c r="BB278" t="s">
        <v>2370</v>
      </c>
      <c r="BC278" t="s">
        <v>3969</v>
      </c>
      <c r="BD278" t="s">
        <v>3970</v>
      </c>
      <c r="BE278" t="s">
        <v>3971</v>
      </c>
      <c r="BF278" t="s">
        <v>2814</v>
      </c>
      <c r="BG278" t="s">
        <v>28</v>
      </c>
      <c r="BH278" t="s">
        <v>1501</v>
      </c>
      <c r="BI278" t="s">
        <v>9</v>
      </c>
      <c r="BJ278" t="s">
        <v>3968</v>
      </c>
      <c r="BK278" t="s">
        <v>3967</v>
      </c>
      <c r="BL278" t="s">
        <v>9</v>
      </c>
      <c r="BM278" t="s">
        <v>3969</v>
      </c>
      <c r="BN278">
        <v>43.7</v>
      </c>
      <c r="BO278">
        <v>-29.26</v>
      </c>
      <c r="BP278">
        <v>-85.65</v>
      </c>
      <c r="BQ278">
        <v>34.64</v>
      </c>
      <c r="BR278">
        <v>-32.54</v>
      </c>
      <c r="BS278">
        <v>-82.55</v>
      </c>
      <c r="BT278" t="s">
        <v>9</v>
      </c>
      <c r="BU278" t="s">
        <v>551</v>
      </c>
      <c r="BV278">
        <v>43.34</v>
      </c>
      <c r="BW278">
        <v>46.02</v>
      </c>
      <c r="BX278">
        <v>29.06</v>
      </c>
      <c r="BY278">
        <v>21.54</v>
      </c>
      <c r="BZ278">
        <v>-59.43</v>
      </c>
      <c r="CA278">
        <v>-116.9</v>
      </c>
      <c r="CB278">
        <v>-13.3</v>
      </c>
      <c r="CC278">
        <v>-30.54</v>
      </c>
      <c r="CD278" t="s">
        <v>9958</v>
      </c>
      <c r="CE278" t="s">
        <v>907</v>
      </c>
      <c r="CF278" s="8" t="s">
        <v>9</v>
      </c>
      <c r="CG278" s="9">
        <v>-0.57340000000000002</v>
      </c>
      <c r="CH278" s="8">
        <v>3.691580057144165</v>
      </c>
      <c r="CI278" s="8">
        <v>-0.38937029242515564</v>
      </c>
      <c r="CJ278" s="8">
        <v>0.47444629669189453</v>
      </c>
      <c r="CK278" s="8">
        <v>0.47117793560028076</v>
      </c>
      <c r="CL278" s="8">
        <v>0.55252915620803833</v>
      </c>
      <c r="CM278" s="9">
        <v>1.5279288291931152</v>
      </c>
      <c r="CN278" s="9">
        <v>-1.5099256038665771</v>
      </c>
      <c r="CO278" s="9">
        <v>-16.894845962524414</v>
      </c>
      <c r="CP278" s="9">
        <v>-1.4021508693695068</v>
      </c>
      <c r="CQ278" s="9">
        <v>3.7037037312984467E-2</v>
      </c>
      <c r="CR278">
        <v>32.066654257907544</v>
      </c>
      <c r="CS278">
        <v>11.787660470752249</v>
      </c>
      <c r="CT278">
        <v>0</v>
      </c>
      <c r="CU278" s="8">
        <v>2.7203578129410745E-2</v>
      </c>
      <c r="CV278" s="9">
        <v>3.4029524773359299E-2</v>
      </c>
      <c r="CW278">
        <v>0.06</v>
      </c>
      <c r="CX278">
        <v>12.734255525710427</v>
      </c>
      <c r="CY278">
        <v>1034956057.9643496</v>
      </c>
      <c r="CZ278">
        <v>2.7203578129410745E-2</v>
      </c>
      <c r="DA278">
        <v>4.3903310185783599</v>
      </c>
      <c r="DB278">
        <v>3001913715.441812</v>
      </c>
      <c r="DC278">
        <v>2.5843399222940207E-2</v>
      </c>
      <c r="DD278">
        <v>2.3175308533648313</v>
      </c>
      <c r="DE278">
        <v>5686826080.8113041</v>
      </c>
      <c r="DF278">
        <v>2.3939148753881454E-2</v>
      </c>
      <c r="DG278">
        <v>1.5019846509361743</v>
      </c>
      <c r="DH278">
        <v>8774653517.1217594</v>
      </c>
      <c r="DI278">
        <v>2.1762862503528598E-2</v>
      </c>
      <c r="DJ278">
        <v>0.90956326959731182</v>
      </c>
      <c r="DK278">
        <v>14489805536.930788</v>
      </c>
      <c r="DL278">
        <v>1.9042504690587519E-2</v>
      </c>
      <c r="DM278">
        <v>1068000000</v>
      </c>
      <c r="DN278">
        <v>2.7203578129410745E-2</v>
      </c>
      <c r="DO278">
        <v>13179394900</v>
      </c>
      <c r="DP278" t="e">
        <v>#VALUE!</v>
      </c>
      <c r="DQ278">
        <v>277</v>
      </c>
      <c r="DR278" t="e">
        <v>#VALUE!</v>
      </c>
      <c r="DS278">
        <v>-0.60742952477335932</v>
      </c>
      <c r="DT278" t="e">
        <v>#VALUE!</v>
      </c>
      <c r="DU278" t="e">
        <v>#VALUE!</v>
      </c>
      <c r="DV278" t="e">
        <v>#VALUE!</v>
      </c>
      <c r="DW278">
        <v>-9.4354944335297972</v>
      </c>
      <c r="DX278">
        <v>0.28942883116883256</v>
      </c>
      <c r="DY278">
        <v>-9.0520105911769964</v>
      </c>
      <c r="DZ278">
        <v>0</v>
      </c>
      <c r="EA278">
        <v>-9.0520105911769964</v>
      </c>
      <c r="EB278">
        <v>9</v>
      </c>
      <c r="EC278">
        <v>4.4640156076713948E-2</v>
      </c>
      <c r="ED278">
        <v>0.37378039824913106</v>
      </c>
      <c r="EE278">
        <v>0</v>
      </c>
      <c r="EF278">
        <v>0</v>
      </c>
      <c r="EG278">
        <v>17.119428831168833</v>
      </c>
      <c r="EH278" t="s">
        <v>110</v>
      </c>
      <c r="EI278">
        <v>0</v>
      </c>
      <c r="EJ278">
        <v>0</v>
      </c>
      <c r="EK278">
        <v>0</v>
      </c>
      <c r="EL278">
        <v>0</v>
      </c>
      <c r="EM278">
        <v>0</v>
      </c>
      <c r="EN278">
        <v>0</v>
      </c>
      <c r="EO278">
        <v>0</v>
      </c>
      <c r="EP278">
        <v>0</v>
      </c>
    </row>
    <row r="279" spans="1:146" ht="96" x14ac:dyDescent="0.25">
      <c r="A279" s="7"/>
      <c r="B279" s="7"/>
      <c r="C279" s="7" t="str">
        <f>""&amp;CHAR(10)&amp;Basic_Fundamental_Information_Constructure(F279)&amp;CHAR(10)&amp;Basic_Fundamental_Information_Concatenate("")</f>
        <v xml:space="preserve">
市值144.74665亿, 利润24.55亿; PE6.27; 平均PE34.12; 平均PEG9.88, PB.393; ROIC2.5367%; ROE7.17%; 股利率0%; 毛利99.2267%; 净利24.4133%; 上一年度营收增-.47%, 利润增32.7%; 当季营收增-.27%, 利润增-11.15%; 过往5年营收增-3.45%, 利润增-40.56%
Income profile:
</v>
      </c>
      <c r="D279" s="11">
        <v>1798</v>
      </c>
      <c r="E279" t="s">
        <v>3972</v>
      </c>
      <c r="F279">
        <v>1.99</v>
      </c>
      <c r="G279" s="5">
        <v>-1.49E-2</v>
      </c>
      <c r="H279" t="s">
        <v>9959</v>
      </c>
      <c r="I279">
        <v>14474665000</v>
      </c>
      <c r="J279">
        <v>6.27</v>
      </c>
      <c r="K279">
        <v>0.39300000000000002</v>
      </c>
      <c r="L279" t="s">
        <v>6350</v>
      </c>
      <c r="M279" t="s">
        <v>9960</v>
      </c>
      <c r="N279" t="s">
        <v>9961</v>
      </c>
      <c r="O279" t="s">
        <v>9962</v>
      </c>
      <c r="P279">
        <v>0.56999999999999995</v>
      </c>
      <c r="Q279" t="s">
        <v>9963</v>
      </c>
      <c r="R279">
        <v>2455087900</v>
      </c>
      <c r="S279" s="5">
        <v>-0.1115</v>
      </c>
      <c r="T279" t="s">
        <v>4832</v>
      </c>
      <c r="U279">
        <v>2501071100</v>
      </c>
      <c r="V279">
        <v>7273701000</v>
      </c>
      <c r="W279">
        <v>3.07</v>
      </c>
      <c r="X279">
        <v>0.03</v>
      </c>
      <c r="Y279">
        <v>40.36</v>
      </c>
      <c r="Z279" t="s">
        <v>9964</v>
      </c>
      <c r="AA279" t="s">
        <v>2619</v>
      </c>
      <c r="AB279" t="s">
        <v>6516</v>
      </c>
      <c r="AC279" t="s">
        <v>9965</v>
      </c>
      <c r="AD279" t="s">
        <v>9966</v>
      </c>
      <c r="AE279" t="s">
        <v>9967</v>
      </c>
      <c r="AF279" t="s">
        <v>9</v>
      </c>
      <c r="AG279" t="s">
        <v>9968</v>
      </c>
      <c r="AH279" t="s">
        <v>9969</v>
      </c>
      <c r="AI279" t="s">
        <v>9970</v>
      </c>
      <c r="AJ279" t="s">
        <v>9971</v>
      </c>
      <c r="AK279" t="s">
        <v>9972</v>
      </c>
      <c r="AL279" t="s">
        <v>9</v>
      </c>
      <c r="AM279" t="s">
        <v>9973</v>
      </c>
      <c r="AN279" s="5">
        <v>0.63539999999999996</v>
      </c>
      <c r="AO279" t="s">
        <v>643</v>
      </c>
      <c r="AP279" t="s">
        <v>37</v>
      </c>
      <c r="AQ279" t="s">
        <v>9974</v>
      </c>
      <c r="AR279" t="s">
        <v>3998</v>
      </c>
      <c r="AS279" t="s">
        <v>9975</v>
      </c>
      <c r="AT279" t="s">
        <v>9976</v>
      </c>
      <c r="AU279" t="s">
        <v>9977</v>
      </c>
      <c r="AV279" t="s">
        <v>9978</v>
      </c>
      <c r="AW279" t="s">
        <v>9979</v>
      </c>
      <c r="AX279" t="s">
        <v>3973</v>
      </c>
      <c r="AY279" t="s">
        <v>3976</v>
      </c>
      <c r="AZ279" t="s">
        <v>3977</v>
      </c>
      <c r="BA279" t="s">
        <v>3978</v>
      </c>
      <c r="BB279" t="s">
        <v>3979</v>
      </c>
      <c r="BC279" t="s">
        <v>3277</v>
      </c>
      <c r="BD279" t="s">
        <v>9980</v>
      </c>
      <c r="BE279" t="s">
        <v>3980</v>
      </c>
      <c r="BF279" t="s">
        <v>3981</v>
      </c>
      <c r="BG279" t="s">
        <v>3360</v>
      </c>
      <c r="BH279" t="s">
        <v>3973</v>
      </c>
      <c r="BI279" t="s">
        <v>3982</v>
      </c>
      <c r="BJ279" t="s">
        <v>3976</v>
      </c>
      <c r="BK279" t="s">
        <v>3974</v>
      </c>
      <c r="BL279" t="s">
        <v>3983</v>
      </c>
      <c r="BM279" t="s">
        <v>3277</v>
      </c>
      <c r="BN279">
        <v>2.57</v>
      </c>
      <c r="BO279">
        <v>3.44</v>
      </c>
      <c r="BP279">
        <v>1.6</v>
      </c>
      <c r="BQ279">
        <v>6.99</v>
      </c>
      <c r="BR279">
        <v>9.6999999999999993</v>
      </c>
      <c r="BS279">
        <v>4.82</v>
      </c>
      <c r="BT279" t="s">
        <v>9981</v>
      </c>
      <c r="BU279" t="s">
        <v>392</v>
      </c>
      <c r="BV279">
        <v>99.45</v>
      </c>
      <c r="BW279">
        <v>99.51</v>
      </c>
      <c r="BX279">
        <v>98.72</v>
      </c>
      <c r="BY279">
        <v>24.17</v>
      </c>
      <c r="BZ279">
        <v>31.13</v>
      </c>
      <c r="CA279">
        <v>17.940000000000001</v>
      </c>
      <c r="CB279">
        <v>-3.4</v>
      </c>
      <c r="CC279">
        <v>9.94</v>
      </c>
      <c r="CD279" t="s">
        <v>9982</v>
      </c>
      <c r="CE279" t="s">
        <v>2134</v>
      </c>
      <c r="CF279" s="8">
        <v>-2.6539278131634818E-3</v>
      </c>
      <c r="CG279" s="9">
        <v>-0.1115</v>
      </c>
      <c r="CH279" s="8">
        <v>-4.6808421611785889E-3</v>
      </c>
      <c r="CI279" s="8">
        <v>-2.9794292524456978E-2</v>
      </c>
      <c r="CJ279" s="8">
        <v>0.30095782876014709</v>
      </c>
      <c r="CK279" s="8">
        <v>0.17937080562114716</v>
      </c>
      <c r="CL279" s="8">
        <v>0.11212866008281708</v>
      </c>
      <c r="CM279" s="9">
        <v>0.32702705264091492</v>
      </c>
      <c r="CN279" s="9">
        <v>0.67420822381973267</v>
      </c>
      <c r="CO279" s="9">
        <v>5.6405290961265564E-2</v>
      </c>
      <c r="CP279" s="9">
        <v>-0.24037759006023407</v>
      </c>
      <c r="CQ279" s="9">
        <v>0.87858110666275024</v>
      </c>
      <c r="CR279">
        <v>34.116418520446871</v>
      </c>
      <c r="CS279">
        <v>9.8776179113945393</v>
      </c>
      <c r="CT279">
        <v>0</v>
      </c>
      <c r="CU279" s="8">
        <v>-3.4539115428924558E-2</v>
      </c>
      <c r="CV279" s="9">
        <v>-0.40557120442390443</v>
      </c>
      <c r="CW279">
        <v>0.06</v>
      </c>
      <c r="CX279">
        <v>18.378274949083504</v>
      </c>
      <c r="CY279" t="s">
        <v>9983</v>
      </c>
      <c r="CZ279">
        <v>-3.4539115428924558E-2</v>
      </c>
      <c r="DA279">
        <v>6.1260916496945006</v>
      </c>
      <c r="DB279" t="s">
        <v>9984</v>
      </c>
      <c r="DC279">
        <v>-3.2812159657478329E-2</v>
      </c>
      <c r="DD279">
        <v>3.0630458248472503</v>
      </c>
      <c r="DE279" t="s">
        <v>9985</v>
      </c>
      <c r="DF279">
        <v>-3.0394421577453611E-2</v>
      </c>
      <c r="DG279">
        <v>1.8378274949083504</v>
      </c>
      <c r="DH279" t="s">
        <v>9986</v>
      </c>
      <c r="DI279">
        <v>-2.7631292343139647E-2</v>
      </c>
      <c r="DJ279">
        <v>0.9189137474541752</v>
      </c>
      <c r="DK279" t="s">
        <v>9987</v>
      </c>
      <c r="DL279">
        <v>-2.417738080024719E-2</v>
      </c>
      <c r="DM279">
        <v>2455000000</v>
      </c>
      <c r="DN279">
        <v>-3.4539115428924558E-2</v>
      </c>
      <c r="DO279">
        <v>45118665000</v>
      </c>
      <c r="DP279" t="e">
        <v>#VALUE!</v>
      </c>
      <c r="DQ279">
        <v>278</v>
      </c>
      <c r="DR279">
        <v>3.1885187615761076E-2</v>
      </c>
      <c r="DS279">
        <v>0.29407120442390444</v>
      </c>
      <c r="DT279">
        <v>-0.52333333333333332</v>
      </c>
      <c r="DU279">
        <v>-0.28333333333333333</v>
      </c>
      <c r="DV279">
        <v>-0.80666666666666664</v>
      </c>
      <c r="DW279">
        <v>-6.2548725637181413</v>
      </c>
      <c r="DX279">
        <v>0.41422647058823386</v>
      </c>
      <c r="DY279">
        <v>-6.026564467766117</v>
      </c>
      <c r="DZ279">
        <v>0</v>
      </c>
      <c r="EA279">
        <v>-6.026564467766117</v>
      </c>
      <c r="EB279">
        <v>6</v>
      </c>
      <c r="EC279">
        <v>1.1692644501059363E-2</v>
      </c>
      <c r="ED279">
        <v>0.11218497983351254</v>
      </c>
      <c r="EE279">
        <v>0</v>
      </c>
      <c r="EF279">
        <v>0</v>
      </c>
      <c r="EG279">
        <v>31.104226470588234</v>
      </c>
      <c r="EH279" t="s">
        <v>110</v>
      </c>
      <c r="EI279">
        <v>0</v>
      </c>
      <c r="EJ279">
        <v>0</v>
      </c>
      <c r="EK279">
        <v>0</v>
      </c>
      <c r="EL279">
        <v>0</v>
      </c>
      <c r="EM279">
        <v>0</v>
      </c>
      <c r="EN279">
        <v>0</v>
      </c>
      <c r="EO279">
        <v>0</v>
      </c>
      <c r="EP279">
        <v>0</v>
      </c>
    </row>
    <row r="280" spans="1:146" ht="96" x14ac:dyDescent="0.25">
      <c r="A280" s="7"/>
      <c r="B280" s="7"/>
      <c r="C280" s="7" t="str">
        <f>""&amp;CHAR(10)&amp;Basic_Fundamental_Information_Constructure(F280)&amp;CHAR(10)&amp;Basic_Fundamental_Information_Concatenate("")</f>
        <v xml:space="preserve">
市值111.111亿, 利润47.63亿; PE9.35; 平均PE5.25; 平均PEG.41, PB.278; ROIC18.1567%; ROE26.2633%; 股利率0%; 毛利43.14%; 净利26.56%; 上一年度营收增-18.65%, 利润增-21.51%; 当季营收增-27.01%, 利润增-90.22%; 过往5年营收增12.91%, 利润增110.84%
Income profile:
</v>
      </c>
      <c r="D280" s="11">
        <v>1799</v>
      </c>
      <c r="E280" t="s">
        <v>3984</v>
      </c>
      <c r="F280">
        <v>7.77</v>
      </c>
      <c r="G280" s="5">
        <v>-8.8999999999999999E-3</v>
      </c>
      <c r="H280" t="s">
        <v>9988</v>
      </c>
      <c r="I280">
        <v>11111100000</v>
      </c>
      <c r="J280">
        <v>9.35</v>
      </c>
      <c r="K280">
        <v>0.27800000000000002</v>
      </c>
      <c r="L280" t="s">
        <v>6350</v>
      </c>
      <c r="M280" t="s">
        <v>9</v>
      </c>
      <c r="N280" t="s">
        <v>9</v>
      </c>
      <c r="O280" t="s">
        <v>9989</v>
      </c>
      <c r="P280">
        <v>-44.47</v>
      </c>
      <c r="Q280" t="s">
        <v>9990</v>
      </c>
      <c r="R280">
        <v>4763026900</v>
      </c>
      <c r="S280" s="5">
        <v>-0.9022</v>
      </c>
      <c r="T280" t="s">
        <v>9991</v>
      </c>
      <c r="U280">
        <v>376170760</v>
      </c>
      <c r="V280">
        <v>1430000000</v>
      </c>
      <c r="W280" t="s">
        <v>9</v>
      </c>
      <c r="X280">
        <v>0.06</v>
      </c>
      <c r="Y280" t="s">
        <v>9</v>
      </c>
      <c r="Z280" t="s">
        <v>4988</v>
      </c>
      <c r="AA280" t="s">
        <v>9992</v>
      </c>
      <c r="AB280" t="s">
        <v>9</v>
      </c>
      <c r="AC280" t="s">
        <v>9</v>
      </c>
      <c r="AD280" t="s">
        <v>32</v>
      </c>
      <c r="AE280" t="s">
        <v>9</v>
      </c>
      <c r="AF280" t="s">
        <v>9</v>
      </c>
      <c r="AG280" t="s">
        <v>9</v>
      </c>
      <c r="AH280" t="s">
        <v>17</v>
      </c>
      <c r="AI280" t="s">
        <v>9</v>
      </c>
      <c r="AJ280" t="s">
        <v>9</v>
      </c>
      <c r="AK280" t="s">
        <v>9993</v>
      </c>
      <c r="AL280" t="s">
        <v>9</v>
      </c>
      <c r="AM280" t="s">
        <v>9</v>
      </c>
      <c r="AN280" s="5">
        <v>0</v>
      </c>
      <c r="AO280" t="s">
        <v>9</v>
      </c>
      <c r="AP280" t="s">
        <v>9994</v>
      </c>
      <c r="AQ280" t="s">
        <v>9</v>
      </c>
      <c r="AR280" t="s">
        <v>9995</v>
      </c>
      <c r="AS280" t="s">
        <v>9</v>
      </c>
      <c r="AT280" t="s">
        <v>9</v>
      </c>
      <c r="AU280" t="s">
        <v>4458</v>
      </c>
      <c r="AV280" t="s">
        <v>804</v>
      </c>
      <c r="AW280" t="s">
        <v>9</v>
      </c>
      <c r="AX280" t="s">
        <v>9996</v>
      </c>
      <c r="AY280" t="s">
        <v>3988</v>
      </c>
      <c r="AZ280" t="s">
        <v>3989</v>
      </c>
      <c r="BA280" t="s">
        <v>3990</v>
      </c>
      <c r="BB280" t="s">
        <v>3991</v>
      </c>
      <c r="BC280" t="s">
        <v>1769</v>
      </c>
      <c r="BD280" t="s">
        <v>3992</v>
      </c>
      <c r="BE280" t="s">
        <v>3993</v>
      </c>
      <c r="BF280" t="s">
        <v>1249</v>
      </c>
      <c r="BG280" t="s">
        <v>3994</v>
      </c>
      <c r="BH280" t="s">
        <v>9996</v>
      </c>
      <c r="BI280" t="s">
        <v>3995</v>
      </c>
      <c r="BJ280" t="s">
        <v>3988</v>
      </c>
      <c r="BK280" t="s">
        <v>3985</v>
      </c>
      <c r="BL280" t="s">
        <v>2000</v>
      </c>
      <c r="BM280" t="s">
        <v>1769</v>
      </c>
      <c r="BN280">
        <v>8.1</v>
      </c>
      <c r="BO280">
        <v>30.72</v>
      </c>
      <c r="BP280">
        <v>15.65</v>
      </c>
      <c r="BQ280">
        <v>11.93</v>
      </c>
      <c r="BR280">
        <v>42.12</v>
      </c>
      <c r="BS280">
        <v>24.74</v>
      </c>
      <c r="BT280" t="s">
        <v>3996</v>
      </c>
      <c r="BU280" t="s">
        <v>589</v>
      </c>
      <c r="BV280">
        <v>32.93</v>
      </c>
      <c r="BW280">
        <v>55.68</v>
      </c>
      <c r="BX280">
        <v>40.81</v>
      </c>
      <c r="BY280">
        <v>16.77</v>
      </c>
      <c r="BZ280">
        <v>38.83</v>
      </c>
      <c r="CA280">
        <v>24.08</v>
      </c>
      <c r="CB280">
        <v>-11.5</v>
      </c>
      <c r="CC280">
        <v>-13.95</v>
      </c>
      <c r="CD280" t="s">
        <v>9997</v>
      </c>
      <c r="CE280" t="s">
        <v>116</v>
      </c>
      <c r="CF280" s="8">
        <v>-0.27014618823245135</v>
      </c>
      <c r="CG280" s="9">
        <v>-0.9022</v>
      </c>
      <c r="CH280" s="8">
        <v>-0.18648152053356171</v>
      </c>
      <c r="CI280" s="8">
        <v>0.50193619728088379</v>
      </c>
      <c r="CJ280" s="8">
        <v>0.6305694580078125</v>
      </c>
      <c r="CK280" s="8">
        <v>0.22325848042964935</v>
      </c>
      <c r="CL280" s="8">
        <v>2.2639725357294083E-3</v>
      </c>
      <c r="CM280" s="9">
        <v>-0.21506261825561523</v>
      </c>
      <c r="CN280" s="9">
        <v>7.0264549255371094</v>
      </c>
      <c r="CO280" s="9">
        <v>0.68000000715255737</v>
      </c>
      <c r="CP280" s="9">
        <v>-0.64314037561416626</v>
      </c>
      <c r="CQ280" s="9">
        <v>-1.7912821844220161E-2</v>
      </c>
      <c r="CR280">
        <v>5.2534751773049644</v>
      </c>
      <c r="CS280">
        <v>0.4069264154579661</v>
      </c>
      <c r="CT280">
        <v>0</v>
      </c>
      <c r="CU280" s="8">
        <v>0.12910135537385942</v>
      </c>
      <c r="CV280" s="9">
        <v>1.108370390161872</v>
      </c>
      <c r="CW280">
        <v>0.06</v>
      </c>
      <c r="CX280">
        <v>2.1900267083574216</v>
      </c>
      <c r="CY280">
        <v>5073499769.4770679</v>
      </c>
      <c r="CZ280">
        <v>0.12910135537385942</v>
      </c>
      <c r="DA280">
        <v>0.69247468105241261</v>
      </c>
      <c r="DB280">
        <v>16045496397.230751</v>
      </c>
      <c r="DC280">
        <v>0.12264628760516644</v>
      </c>
      <c r="DD280">
        <v>0.32597958866536497</v>
      </c>
      <c r="DE280">
        <v>34085262962.295845</v>
      </c>
      <c r="DF280">
        <v>0.11360919272899629</v>
      </c>
      <c r="DG280">
        <v>0.18595997773358175</v>
      </c>
      <c r="DH280">
        <v>59749953379.315186</v>
      </c>
      <c r="DI280">
        <v>0.10328108429908754</v>
      </c>
      <c r="DJ280">
        <v>8.5562163374254749E-2</v>
      </c>
      <c r="DK280">
        <v>129859970363.29352</v>
      </c>
      <c r="DL280">
        <v>9.0370948761701583E-2</v>
      </c>
      <c r="DM280">
        <v>4763000000</v>
      </c>
      <c r="DN280">
        <v>0.12910135537385942</v>
      </c>
      <c r="DO280">
        <v>11111100000</v>
      </c>
      <c r="DP280" t="e">
        <v>#VALUE!</v>
      </c>
      <c r="DQ280">
        <v>279</v>
      </c>
      <c r="DR280">
        <v>-0.39924754360631076</v>
      </c>
      <c r="DS280">
        <v>-2.0105703901618721</v>
      </c>
      <c r="DT280">
        <v>-0.39000000000000007</v>
      </c>
      <c r="DU280">
        <v>0.83000000000000007</v>
      </c>
      <c r="DV280">
        <v>0.44</v>
      </c>
      <c r="DW280">
        <v>-9.8243727598566313</v>
      </c>
      <c r="DX280">
        <v>0.25625254237288153</v>
      </c>
      <c r="DY280">
        <v>-9.1123228843934143</v>
      </c>
      <c r="DZ280">
        <v>0</v>
      </c>
      <c r="EA280">
        <v>-9.1123228843934143</v>
      </c>
      <c r="EB280">
        <v>9</v>
      </c>
      <c r="EC280">
        <v>1.1243216783216783E-2</v>
      </c>
      <c r="ED280">
        <v>8.2517482517482518E-2</v>
      </c>
      <c r="EE280">
        <v>0</v>
      </c>
      <c r="EF280">
        <v>0</v>
      </c>
      <c r="EG280">
        <v>12.136252542372882</v>
      </c>
      <c r="EH280" t="s">
        <v>110</v>
      </c>
      <c r="EI280">
        <v>0</v>
      </c>
      <c r="EJ280">
        <v>0</v>
      </c>
      <c r="EK280">
        <v>0</v>
      </c>
      <c r="EL280">
        <v>0</v>
      </c>
      <c r="EM280">
        <v>0</v>
      </c>
      <c r="EN280">
        <v>0</v>
      </c>
      <c r="EO280">
        <v>0</v>
      </c>
      <c r="EP280">
        <v>0</v>
      </c>
    </row>
    <row r="281" spans="1:146" ht="96" x14ac:dyDescent="0.25">
      <c r="A281" s="7"/>
      <c r="B281" s="7"/>
      <c r="C281" s="7" t="str">
        <f>""&amp;CHAR(10)&amp;Basic_Fundamental_Information_Constructure(F281)&amp;CHAR(10)&amp;Basic_Fundamental_Information_Concatenate("")</f>
        <v xml:space="preserve">
市值755.32757亿, 利润256.59亿; PE2.92; 平均PE12.56; 平均PEG1.13, PB.226; ROIC2.6967%; ROE6.9267%; 毛利12.1567%; 净利3.7333%; 上一年度营收增2.11%, 利润增24.58%; 当季营收增-10.05%, 利润增3.81%; 过往5年营收增11.14%, 利润增4.94%
Income profile:
</v>
      </c>
      <c r="D281" s="11">
        <v>1800</v>
      </c>
      <c r="E281" t="s">
        <v>3997</v>
      </c>
      <c r="F281">
        <v>4.6399999999999997</v>
      </c>
      <c r="G281" s="5">
        <v>-2.52E-2</v>
      </c>
      <c r="H281" t="s">
        <v>9998</v>
      </c>
      <c r="I281">
        <v>75532757000</v>
      </c>
      <c r="J281">
        <v>2.92</v>
      </c>
      <c r="K281">
        <v>0.22600000000000001</v>
      </c>
      <c r="L281" t="s">
        <v>6350</v>
      </c>
      <c r="M281" t="s">
        <v>9999</v>
      </c>
      <c r="N281" t="s">
        <v>10000</v>
      </c>
      <c r="O281" t="s">
        <v>10001</v>
      </c>
      <c r="P281">
        <v>0.18</v>
      </c>
      <c r="Q281" t="s">
        <v>10002</v>
      </c>
      <c r="R281">
        <v>25658753000</v>
      </c>
      <c r="S281" s="5">
        <v>3.8100000000000002E-2</v>
      </c>
      <c r="T281" t="s">
        <v>10003</v>
      </c>
      <c r="U281">
        <v>4418476000</v>
      </c>
      <c r="V281">
        <v>16280111000</v>
      </c>
      <c r="W281">
        <v>5.87</v>
      </c>
      <c r="X281">
        <v>0.1</v>
      </c>
      <c r="Y281">
        <v>5.29</v>
      </c>
      <c r="Z281" t="s">
        <v>10004</v>
      </c>
      <c r="AA281" t="s">
        <v>10005</v>
      </c>
      <c r="AB281" t="s">
        <v>4353</v>
      </c>
      <c r="AC281" t="s">
        <v>10006</v>
      </c>
      <c r="AD281" t="s">
        <v>10007</v>
      </c>
      <c r="AE281" t="s">
        <v>903</v>
      </c>
      <c r="AF281" t="s">
        <v>9</v>
      </c>
      <c r="AG281" t="s">
        <v>10008</v>
      </c>
      <c r="AH281" t="s">
        <v>10009</v>
      </c>
      <c r="AI281" t="s">
        <v>10010</v>
      </c>
      <c r="AJ281" t="s">
        <v>10011</v>
      </c>
      <c r="AK281" t="s">
        <v>10012</v>
      </c>
      <c r="AL281" t="s">
        <v>9</v>
      </c>
      <c r="AM281" t="s">
        <v>10013</v>
      </c>
      <c r="AN281" s="5">
        <v>0.74150000000000005</v>
      </c>
      <c r="AO281" t="s">
        <v>10014</v>
      </c>
      <c r="AP281" t="s">
        <v>10015</v>
      </c>
      <c r="AQ281" t="s">
        <v>10016</v>
      </c>
      <c r="AR281" t="s">
        <v>10017</v>
      </c>
      <c r="AS281" t="s">
        <v>10018</v>
      </c>
      <c r="AT281" t="s">
        <v>10019</v>
      </c>
      <c r="AU281" t="s">
        <v>10020</v>
      </c>
      <c r="AV281" t="s">
        <v>10021</v>
      </c>
      <c r="AW281" t="s">
        <v>10022</v>
      </c>
      <c r="AX281" t="s">
        <v>10023</v>
      </c>
      <c r="AY281" t="s">
        <v>4000</v>
      </c>
      <c r="AZ281" t="s">
        <v>4001</v>
      </c>
      <c r="BA281" t="s">
        <v>4002</v>
      </c>
      <c r="BB281" t="s">
        <v>4003</v>
      </c>
      <c r="BC281" t="s">
        <v>10024</v>
      </c>
      <c r="BD281" t="s">
        <v>4004</v>
      </c>
      <c r="BE281" t="s">
        <v>4005</v>
      </c>
      <c r="BF281" t="s">
        <v>4006</v>
      </c>
      <c r="BG281" t="s">
        <v>3210</v>
      </c>
      <c r="BH281" t="s">
        <v>10023</v>
      </c>
      <c r="BI281" t="s">
        <v>4007</v>
      </c>
      <c r="BJ281" t="s">
        <v>4000</v>
      </c>
      <c r="BK281" t="s">
        <v>3998</v>
      </c>
      <c r="BL281" t="s">
        <v>4008</v>
      </c>
      <c r="BM281" t="s">
        <v>10024</v>
      </c>
      <c r="BN281">
        <v>3</v>
      </c>
      <c r="BO281">
        <v>2.58</v>
      </c>
      <c r="BP281">
        <v>2.5099999999999998</v>
      </c>
      <c r="BQ281">
        <v>7.76</v>
      </c>
      <c r="BR281">
        <v>6.56</v>
      </c>
      <c r="BS281">
        <v>6.46</v>
      </c>
      <c r="BT281" t="s">
        <v>10025</v>
      </c>
      <c r="BU281" t="s">
        <v>1446</v>
      </c>
      <c r="BV281">
        <v>12.51</v>
      </c>
      <c r="BW281">
        <v>11.58</v>
      </c>
      <c r="BX281">
        <v>12.38</v>
      </c>
      <c r="BY281">
        <v>4.12</v>
      </c>
      <c r="BZ281">
        <v>3.58</v>
      </c>
      <c r="CA281">
        <v>3.5</v>
      </c>
      <c r="CB281">
        <v>0.87</v>
      </c>
      <c r="CC281">
        <v>5.77</v>
      </c>
      <c r="CD281" t="s">
        <v>10026</v>
      </c>
      <c r="CE281" t="s">
        <v>3582</v>
      </c>
      <c r="CF281" s="8">
        <v>-0.10051731638578386</v>
      </c>
      <c r="CG281" s="9">
        <v>3.8100000000000002E-2</v>
      </c>
      <c r="CH281" s="8">
        <v>2.1129246801137924E-2</v>
      </c>
      <c r="CI281" s="8">
        <v>-2.9747560620307922E-2</v>
      </c>
      <c r="CJ281" s="8">
        <v>0.12324275076389313</v>
      </c>
      <c r="CK281" s="8">
        <v>0.33778339624404907</v>
      </c>
      <c r="CL281" s="8">
        <v>8.7404865771532059E-3</v>
      </c>
      <c r="CM281" s="9">
        <v>0.24576397240161896</v>
      </c>
      <c r="CN281" s="9">
        <v>0.16065594553947449</v>
      </c>
      <c r="CO281" s="9">
        <v>-0.15575644373893738</v>
      </c>
      <c r="CP281" s="9">
        <v>-1.8078213557600975E-2</v>
      </c>
      <c r="CQ281" s="9">
        <v>-0.10385961830615997</v>
      </c>
      <c r="CR281">
        <v>12.562620706860708</v>
      </c>
      <c r="CS281">
        <v>1.1280135980545627</v>
      </c>
      <c r="CT281" t="e">
        <v>#VALUE!</v>
      </c>
      <c r="CU281" s="8">
        <v>0.11136940838769079</v>
      </c>
      <c r="CV281" s="9">
        <v>4.9424770474433902E-2</v>
      </c>
      <c r="CW281">
        <v>0.06</v>
      </c>
      <c r="CX281">
        <v>38.02258372675611</v>
      </c>
      <c r="CY281">
        <v>26902478914.924297</v>
      </c>
      <c r="CZ281">
        <v>0.11136940838769079</v>
      </c>
      <c r="DA281">
        <v>12.203144836475779</v>
      </c>
      <c r="DB281">
        <v>83822799016.733627</v>
      </c>
      <c r="DC281">
        <v>0.10580093796830624</v>
      </c>
      <c r="DD281">
        <v>5.8629022127982644</v>
      </c>
      <c r="DE281">
        <v>174470206029.88809</v>
      </c>
      <c r="DF281">
        <v>9.8005079381167898E-2</v>
      </c>
      <c r="DG281">
        <v>3.4245287027029496</v>
      </c>
      <c r="DH281">
        <v>298698549728.21014</v>
      </c>
      <c r="DI281">
        <v>8.9095526710152639E-2</v>
      </c>
      <c r="DJ281">
        <v>1.6630988326096663</v>
      </c>
      <c r="DK281">
        <v>615057708503.65198</v>
      </c>
      <c r="DL281">
        <v>7.7958585871383546E-2</v>
      </c>
      <c r="DM281">
        <v>25658999999.999996</v>
      </c>
      <c r="DN281">
        <v>0.11136940838769079</v>
      </c>
      <c r="DO281">
        <v>1022901757000</v>
      </c>
      <c r="DP281" t="e">
        <v>#VALUE!</v>
      </c>
      <c r="DQ281">
        <v>280</v>
      </c>
      <c r="DR281">
        <v>-0.21188672477347464</v>
      </c>
      <c r="DS281">
        <v>-1.13247704744339E-2</v>
      </c>
      <c r="DT281">
        <v>-0.3066666666666667</v>
      </c>
      <c r="DU281">
        <v>0.6333333333333333</v>
      </c>
      <c r="DV281">
        <v>0.32666666666666661</v>
      </c>
      <c r="DW281">
        <v>1.0577000000000001</v>
      </c>
      <c r="DX281">
        <v>0.29349770867430608</v>
      </c>
      <c r="DY281">
        <v>1.0053948177905074</v>
      </c>
      <c r="DZ281">
        <v>0</v>
      </c>
      <c r="EA281">
        <v>1.0053948177905074</v>
      </c>
      <c r="EB281">
        <v>1</v>
      </c>
      <c r="EC281">
        <v>3.5090117014558437E-3</v>
      </c>
      <c r="ED281">
        <v>3.753045664123543E-2</v>
      </c>
      <c r="EE281">
        <v>0</v>
      </c>
      <c r="EF281">
        <v>0</v>
      </c>
      <c r="EG281">
        <v>20.093497708674306</v>
      </c>
      <c r="EH281" t="s">
        <v>110</v>
      </c>
      <c r="EI281">
        <v>0</v>
      </c>
      <c r="EJ281">
        <v>0</v>
      </c>
      <c r="EK281">
        <v>0</v>
      </c>
      <c r="EL281">
        <v>0</v>
      </c>
      <c r="EM281">
        <v>0</v>
      </c>
      <c r="EN281">
        <v>0</v>
      </c>
      <c r="EO281">
        <v>0</v>
      </c>
      <c r="EP281">
        <v>0</v>
      </c>
    </row>
    <row r="282" spans="1:146" ht="96" x14ac:dyDescent="0.25">
      <c r="A282" s="7"/>
      <c r="B282" s="7"/>
      <c r="C282" s="7" t="str">
        <f>""&amp;CHAR(10)&amp;Basic_Fundamental_Information_Constructure(F282)&amp;CHAR(10)&amp;Basic_Fundamental_Information_Concatenate("")</f>
        <v xml:space="preserve">
市值635.74286亿, 利润-11.27亿; PE; 平均PE33.76; 平均PEG2.62, PB4.63; ROIC-16.99%; ROE-19.6333%; 股利率0%; 毛利82.6133%; 净利-45.9633%; 上一年度营收增32.35%, 利润增66.27%, 利润增54.17%; 过往5年营收增12.9%, 利润增98.2%
Income profile:
</v>
      </c>
      <c r="D282" s="11">
        <v>1801</v>
      </c>
      <c r="E282" t="s">
        <v>4009</v>
      </c>
      <c r="F282">
        <v>39.049999999999997</v>
      </c>
      <c r="G282" s="5">
        <v>-1.14E-2</v>
      </c>
      <c r="H282" t="s">
        <v>10027</v>
      </c>
      <c r="I282">
        <v>63574286000</v>
      </c>
      <c r="K282">
        <v>4.63</v>
      </c>
      <c r="L282" t="s">
        <v>6350</v>
      </c>
      <c r="M282" t="s">
        <v>9</v>
      </c>
      <c r="N282" t="s">
        <v>9</v>
      </c>
      <c r="O282" t="s">
        <v>9</v>
      </c>
      <c r="P282" t="s">
        <v>9</v>
      </c>
      <c r="Q282" t="s">
        <v>10028</v>
      </c>
      <c r="R282">
        <v>-1126798230</v>
      </c>
      <c r="S282" s="5">
        <v>0.54169999999999996</v>
      </c>
      <c r="T282" t="s">
        <v>6330</v>
      </c>
      <c r="U282">
        <v>1622682900</v>
      </c>
      <c r="V282">
        <v>1622682900</v>
      </c>
      <c r="W282" t="s">
        <v>9</v>
      </c>
      <c r="X282" t="s">
        <v>9</v>
      </c>
      <c r="Y282" t="s">
        <v>9</v>
      </c>
      <c r="Z282" t="s">
        <v>9</v>
      </c>
      <c r="AA282" t="s">
        <v>9</v>
      </c>
      <c r="AB282" t="s">
        <v>9</v>
      </c>
      <c r="AC282" t="s">
        <v>9</v>
      </c>
      <c r="AD282" t="s">
        <v>4292</v>
      </c>
      <c r="AE282" t="s">
        <v>9</v>
      </c>
      <c r="AF282" t="s">
        <v>9</v>
      </c>
      <c r="AG282" t="s">
        <v>9</v>
      </c>
      <c r="AH282" t="s">
        <v>10029</v>
      </c>
      <c r="AI282" t="s">
        <v>9</v>
      </c>
      <c r="AJ282" t="s">
        <v>9</v>
      </c>
      <c r="AK282" t="s">
        <v>10030</v>
      </c>
      <c r="AL282" t="s">
        <v>9</v>
      </c>
      <c r="AM282" t="s">
        <v>9</v>
      </c>
      <c r="AN282" s="5">
        <v>0.39269999999999999</v>
      </c>
      <c r="AO282" t="s">
        <v>9</v>
      </c>
      <c r="AP282" t="s">
        <v>1269</v>
      </c>
      <c r="AQ282" t="s">
        <v>9</v>
      </c>
      <c r="AR282" t="s">
        <v>10031</v>
      </c>
      <c r="AS282" t="s">
        <v>9</v>
      </c>
      <c r="AT282" t="s">
        <v>9</v>
      </c>
      <c r="AU282" t="s">
        <v>145</v>
      </c>
      <c r="AV282" t="s">
        <v>2068</v>
      </c>
      <c r="AW282" t="s">
        <v>9</v>
      </c>
      <c r="AX282" t="s">
        <v>4010</v>
      </c>
      <c r="AY282" t="s">
        <v>4013</v>
      </c>
      <c r="AZ282" t="s">
        <v>4014</v>
      </c>
      <c r="BA282" t="s">
        <v>4015</v>
      </c>
      <c r="BB282" t="s">
        <v>4016</v>
      </c>
      <c r="BC282" t="s">
        <v>10032</v>
      </c>
      <c r="BD282" t="s">
        <v>1272</v>
      </c>
      <c r="BE282" t="s">
        <v>4017</v>
      </c>
      <c r="BF282" t="s">
        <v>4018</v>
      </c>
      <c r="BG282" t="s">
        <v>4019</v>
      </c>
      <c r="BH282" t="s">
        <v>4010</v>
      </c>
      <c r="BI282" t="s">
        <v>9</v>
      </c>
      <c r="BJ282" t="s">
        <v>4013</v>
      </c>
      <c r="BK282" t="s">
        <v>4011</v>
      </c>
      <c r="BL282" t="s">
        <v>9</v>
      </c>
      <c r="BM282" t="s">
        <v>10032</v>
      </c>
      <c r="BN282">
        <v>-6.88</v>
      </c>
      <c r="BO282">
        <v>-16.420000000000002</v>
      </c>
      <c r="BP282">
        <v>-27.67</v>
      </c>
      <c r="BQ282">
        <v>-8.2100000000000009</v>
      </c>
      <c r="BR282">
        <v>-20.309999999999999</v>
      </c>
      <c r="BS282">
        <v>-30.38</v>
      </c>
      <c r="BT282" t="s">
        <v>9</v>
      </c>
      <c r="BU282" t="s">
        <v>489</v>
      </c>
      <c r="BV282">
        <v>81.69</v>
      </c>
      <c r="BW282">
        <v>79.569999999999993</v>
      </c>
      <c r="BX282">
        <v>86.58</v>
      </c>
      <c r="BY282">
        <v>-16.559999999999999</v>
      </c>
      <c r="BZ282">
        <v>-47.83</v>
      </c>
      <c r="CA282">
        <v>-73.5</v>
      </c>
      <c r="CB282">
        <v>5.1100000000000003</v>
      </c>
      <c r="CC282">
        <v>-1.01</v>
      </c>
      <c r="CD282" t="s">
        <v>10033</v>
      </c>
      <c r="CE282" t="s">
        <v>572</v>
      </c>
      <c r="CF282" s="8" t="s">
        <v>9</v>
      </c>
      <c r="CG282" s="9">
        <v>0.54169999999999996</v>
      </c>
      <c r="CH282" s="8">
        <v>0.32354089617729187</v>
      </c>
      <c r="CI282" s="8">
        <v>-1.6832537949085236E-2</v>
      </c>
      <c r="CJ282" s="8">
        <v>0.14123554527759552</v>
      </c>
      <c r="CK282" s="8">
        <v>423.54013061523437</v>
      </c>
      <c r="CL282" s="8">
        <v>-0.51449257135391235</v>
      </c>
      <c r="CM282" s="9">
        <v>0.66267579793930054</v>
      </c>
      <c r="CN282" s="9">
        <v>-1.8075630664825439</v>
      </c>
      <c r="CO282" s="9">
        <v>0.38085326552391052</v>
      </c>
      <c r="CP282" s="9">
        <v>0.70750266313552856</v>
      </c>
      <c r="CQ282" s="9">
        <v>-8.7492580413818359</v>
      </c>
      <c r="CR282">
        <v>33.76223366967605</v>
      </c>
      <c r="CS282">
        <v>2.6170491954030748</v>
      </c>
      <c r="CT282">
        <v>0</v>
      </c>
      <c r="CU282" s="8">
        <v>0.12900878489017487</v>
      </c>
      <c r="CV282" s="9">
        <v>0.9820159032940865</v>
      </c>
      <c r="CW282">
        <v>0.06</v>
      </c>
      <c r="CX282" t="e">
        <v>#VALUE!</v>
      </c>
      <c r="CY282" t="s">
        <v>109</v>
      </c>
      <c r="CZ282">
        <v>0.12900878489017487</v>
      </c>
      <c r="DA282" t="e">
        <v>#VALUE!</v>
      </c>
      <c r="DB282" t="s">
        <v>108</v>
      </c>
      <c r="DC282">
        <v>0.12255834564566612</v>
      </c>
      <c r="DD282" t="e">
        <v>#VALUE!</v>
      </c>
      <c r="DE282" t="s">
        <v>108</v>
      </c>
      <c r="DF282">
        <v>0.11352773070335388</v>
      </c>
      <c r="DG282" t="e">
        <v>#VALUE!</v>
      </c>
      <c r="DH282" t="s">
        <v>108</v>
      </c>
      <c r="DI282">
        <v>0.1032070279121399</v>
      </c>
      <c r="DJ282" t="e">
        <v>#VALUE!</v>
      </c>
      <c r="DK282" t="s">
        <v>108</v>
      </c>
      <c r="DL282">
        <v>9.03061494231224E-2</v>
      </c>
      <c r="DM282">
        <v>-1127000000</v>
      </c>
      <c r="DN282">
        <v>0.12900878489017487</v>
      </c>
      <c r="DO282">
        <v>63574286000</v>
      </c>
      <c r="DP282" t="e">
        <v>#VALUE!</v>
      </c>
      <c r="DQ282">
        <v>281</v>
      </c>
      <c r="DR282" t="e">
        <v>#VALUE!</v>
      </c>
      <c r="DS282">
        <v>-0.44031590329408654</v>
      </c>
      <c r="DT282" t="e">
        <v>#VALUE!</v>
      </c>
      <c r="DU282" t="e">
        <v>#VALUE!</v>
      </c>
      <c r="DV282" t="e">
        <v>#VALUE!</v>
      </c>
      <c r="DW282">
        <v>4.1976516634050878</v>
      </c>
      <c r="DX282">
        <v>0.33578222222222137</v>
      </c>
      <c r="DY282">
        <v>4.0307906153511635</v>
      </c>
      <c r="DZ282">
        <v>0</v>
      </c>
      <c r="EA282">
        <v>4.0307906153511635</v>
      </c>
      <c r="EB282">
        <v>4</v>
      </c>
      <c r="EC282">
        <v>1.7280517345687196E-2</v>
      </c>
      <c r="ED282">
        <v>0.11092740300646541</v>
      </c>
      <c r="EE282">
        <v>0</v>
      </c>
      <c r="EF282">
        <v>0</v>
      </c>
      <c r="EG282">
        <v>18.155782222222221</v>
      </c>
      <c r="EH282" t="s">
        <v>110</v>
      </c>
      <c r="EI282">
        <v>0</v>
      </c>
      <c r="EJ282">
        <v>0</v>
      </c>
      <c r="EK282">
        <v>0</v>
      </c>
      <c r="EL282">
        <v>0</v>
      </c>
      <c r="EM282">
        <v>0</v>
      </c>
      <c r="EN282">
        <v>0</v>
      </c>
      <c r="EO282">
        <v>0</v>
      </c>
      <c r="EP282">
        <v>0</v>
      </c>
    </row>
    <row r="283" spans="1:146" ht="108" x14ac:dyDescent="0.25">
      <c r="A283" s="7"/>
      <c r="B283" s="7"/>
      <c r="C283" s="7" t="str">
        <f>""&amp;CHAR(10)&amp;Basic_Fundamental_Information_Constructure(F283)&amp;CHAR(10)&amp;Basic_Fundamental_Information_Concatenate("")</f>
        <v xml:space="preserve">
市值4138.9004亿, 利润191.56亿; PE21.94; 平均PE128.08; 平均PEG517.11, PB2.29; ROIC7.9733%; ROE8.8233%; 股利率0%; 毛利18.65%; 净利4.4033%; 上一年度营收增-5.98%, 利润增-19.11%, 利润增586.4%; 过往5年营收增-.25%, 利润增1.58%
Income profile:
</v>
      </c>
      <c r="D283" s="11">
        <v>1810</v>
      </c>
      <c r="E283" t="s">
        <v>4020</v>
      </c>
      <c r="F283">
        <v>16.54</v>
      </c>
      <c r="G283" s="5">
        <v>-7.1800000000000003E-2</v>
      </c>
      <c r="H283" t="s">
        <v>241</v>
      </c>
      <c r="I283">
        <v>413890040000</v>
      </c>
      <c r="J283">
        <v>21.94</v>
      </c>
      <c r="K283">
        <v>2.29</v>
      </c>
      <c r="L283" t="s">
        <v>6350</v>
      </c>
      <c r="M283" t="s">
        <v>9</v>
      </c>
      <c r="N283" t="s">
        <v>9</v>
      </c>
      <c r="O283" t="s">
        <v>9</v>
      </c>
      <c r="P283" t="s">
        <v>9</v>
      </c>
      <c r="Q283" t="s">
        <v>10034</v>
      </c>
      <c r="R283">
        <v>19156285000</v>
      </c>
      <c r="S283" s="5">
        <v>5.8639999999999999</v>
      </c>
      <c r="T283" t="s">
        <v>10035</v>
      </c>
      <c r="U283">
        <v>24952023000</v>
      </c>
      <c r="V283">
        <v>24952023000</v>
      </c>
      <c r="W283" t="s">
        <v>9</v>
      </c>
      <c r="X283" t="s">
        <v>9</v>
      </c>
      <c r="Y283" t="s">
        <v>9</v>
      </c>
      <c r="Z283" t="s">
        <v>9</v>
      </c>
      <c r="AA283" t="s">
        <v>9</v>
      </c>
      <c r="AB283" t="s">
        <v>9</v>
      </c>
      <c r="AC283" t="s">
        <v>9</v>
      </c>
      <c r="AD283" t="s">
        <v>10036</v>
      </c>
      <c r="AE283" t="s">
        <v>9</v>
      </c>
      <c r="AF283" t="s">
        <v>9</v>
      </c>
      <c r="AG283" t="s">
        <v>9</v>
      </c>
      <c r="AH283" t="s">
        <v>10037</v>
      </c>
      <c r="AI283" t="s">
        <v>9</v>
      </c>
      <c r="AJ283" t="s">
        <v>9</v>
      </c>
      <c r="AK283" t="s">
        <v>10038</v>
      </c>
      <c r="AL283" t="s">
        <v>9</v>
      </c>
      <c r="AM283" t="s">
        <v>9</v>
      </c>
      <c r="AN283" s="5">
        <v>0.49340000000000001</v>
      </c>
      <c r="AO283" t="s">
        <v>9</v>
      </c>
      <c r="AP283" t="s">
        <v>10039</v>
      </c>
      <c r="AQ283" t="s">
        <v>9</v>
      </c>
      <c r="AR283" t="s">
        <v>10040</v>
      </c>
      <c r="AS283" t="s">
        <v>9</v>
      </c>
      <c r="AT283" t="s">
        <v>9</v>
      </c>
      <c r="AU283" t="s">
        <v>10041</v>
      </c>
      <c r="AV283" t="s">
        <v>10042</v>
      </c>
      <c r="AW283" t="s">
        <v>9</v>
      </c>
      <c r="AX283" t="s">
        <v>4021</v>
      </c>
      <c r="AY283" t="s">
        <v>4025</v>
      </c>
      <c r="AZ283" t="s">
        <v>4026</v>
      </c>
      <c r="BA283" t="s">
        <v>4027</v>
      </c>
      <c r="BB283" t="s">
        <v>4028</v>
      </c>
      <c r="BC283" t="s">
        <v>4029</v>
      </c>
      <c r="BD283" t="s">
        <v>2736</v>
      </c>
      <c r="BE283" t="s">
        <v>4030</v>
      </c>
      <c r="BF283" t="s">
        <v>4031</v>
      </c>
      <c r="BG283" t="s">
        <v>4032</v>
      </c>
      <c r="BH283" t="s">
        <v>4021</v>
      </c>
      <c r="BI283" t="s">
        <v>4033</v>
      </c>
      <c r="BJ283" t="s">
        <v>4025</v>
      </c>
      <c r="BK283" t="s">
        <v>4022</v>
      </c>
      <c r="BL283" t="s">
        <v>4034</v>
      </c>
      <c r="BM283" t="s">
        <v>4029</v>
      </c>
      <c r="BN283">
        <v>9.73</v>
      </c>
      <c r="BO283">
        <v>1.5</v>
      </c>
      <c r="BP283">
        <v>12.69</v>
      </c>
      <c r="BQ283">
        <v>10.66</v>
      </c>
      <c r="BR283">
        <v>1.72</v>
      </c>
      <c r="BS283">
        <v>14.09</v>
      </c>
      <c r="BT283" t="s">
        <v>9</v>
      </c>
      <c r="BU283" t="s">
        <v>1093</v>
      </c>
      <c r="BV283">
        <v>21.21</v>
      </c>
      <c r="BW283">
        <v>16.989999999999998</v>
      </c>
      <c r="BX283">
        <v>17.75</v>
      </c>
      <c r="BY283">
        <v>6.45</v>
      </c>
      <c r="BZ283">
        <v>0.89</v>
      </c>
      <c r="CA283">
        <v>5.87</v>
      </c>
      <c r="CB283">
        <v>-10.69</v>
      </c>
      <c r="CC283">
        <v>-17.22</v>
      </c>
      <c r="CD283" t="s">
        <v>6421</v>
      </c>
      <c r="CE283" t="s">
        <v>10043</v>
      </c>
      <c r="CF283" s="8" t="s">
        <v>9</v>
      </c>
      <c r="CG283" s="9">
        <v>5.8639999999999999</v>
      </c>
      <c r="CH283" s="8">
        <v>-5.9765469282865524E-2</v>
      </c>
      <c r="CI283" s="8">
        <v>-0.21416366100311279</v>
      </c>
      <c r="CJ283" s="8">
        <v>0.37184473872184753</v>
      </c>
      <c r="CK283" s="8">
        <v>0.47142234444618225</v>
      </c>
      <c r="CL283" s="8">
        <v>0.4492301344871521</v>
      </c>
      <c r="CM283" s="9">
        <v>-0.19108140468597412</v>
      </c>
      <c r="CN283" s="9">
        <v>-2.3946963250637054E-2</v>
      </c>
      <c r="CO283" s="9">
        <v>1.1616178750991821</v>
      </c>
      <c r="CP283" s="9">
        <v>-0.27268007397651672</v>
      </c>
      <c r="CQ283" s="9">
        <v>1.293702244758606</v>
      </c>
      <c r="CR283">
        <v>128.07788494577605</v>
      </c>
      <c r="CS283">
        <v>517.10576387533456</v>
      </c>
      <c r="CT283">
        <v>0</v>
      </c>
      <c r="CU283" s="8">
        <v>-2.4768218398094179E-3</v>
      </c>
      <c r="CV283" s="9">
        <v>1.5849731862545013E-2</v>
      </c>
      <c r="CW283">
        <v>0.06</v>
      </c>
      <c r="CX283">
        <v>21.606287325120068</v>
      </c>
      <c r="CY283" t="s">
        <v>10044</v>
      </c>
      <c r="CZ283">
        <v>-2.4768218398094179E-3</v>
      </c>
      <c r="DA283">
        <v>7.2020957750400223</v>
      </c>
      <c r="DB283" t="s">
        <v>10045</v>
      </c>
      <c r="DC283">
        <v>-2.3529807478189467E-3</v>
      </c>
      <c r="DD283">
        <v>3.6010478875200111</v>
      </c>
      <c r="DE283" t="s">
        <v>10046</v>
      </c>
      <c r="DF283">
        <v>-2.179603219032288E-3</v>
      </c>
      <c r="DG283">
        <v>2.1606287325120066</v>
      </c>
      <c r="DH283" t="s">
        <v>10047</v>
      </c>
      <c r="DI283">
        <v>-1.9814574718475344E-3</v>
      </c>
      <c r="DJ283">
        <v>1.0803143662560033</v>
      </c>
      <c r="DK283" t="s">
        <v>10048</v>
      </c>
      <c r="DL283">
        <v>-1.7337752878665924E-3</v>
      </c>
      <c r="DM283">
        <v>19156000000</v>
      </c>
      <c r="DN283">
        <v>-2.4768218398094179E-3</v>
      </c>
      <c r="DO283">
        <v>413890040000</v>
      </c>
      <c r="DP283" t="e">
        <v>#VALUE!</v>
      </c>
      <c r="DQ283">
        <v>282</v>
      </c>
      <c r="DR283" t="e">
        <v>#VALUE!</v>
      </c>
      <c r="DS283">
        <v>5.8481502681374549</v>
      </c>
      <c r="DT283" t="e">
        <v>#VALUE!</v>
      </c>
      <c r="DU283">
        <v>-0.13333333333333333</v>
      </c>
      <c r="DV283" t="e">
        <v>#VALUE!</v>
      </c>
      <c r="DW283">
        <v>-9.6207897793263655</v>
      </c>
      <c r="DX283">
        <v>1.0953576941795853</v>
      </c>
      <c r="DY283">
        <v>-9.0964444686863946</v>
      </c>
      <c r="DZ283">
        <v>0</v>
      </c>
      <c r="EA283">
        <v>-9.0964444686863946</v>
      </c>
      <c r="EB283">
        <v>9</v>
      </c>
      <c r="EC283">
        <v>2.0278916863774931E-2</v>
      </c>
      <c r="ED283">
        <v>0.13053049846900189</v>
      </c>
      <c r="EE283">
        <v>0</v>
      </c>
      <c r="EF283">
        <v>0</v>
      </c>
      <c r="EG283">
        <v>94.155357694179585</v>
      </c>
      <c r="EH283" t="s">
        <v>110</v>
      </c>
      <c r="EI283">
        <v>0</v>
      </c>
      <c r="EJ283">
        <v>0</v>
      </c>
      <c r="EK283">
        <v>0</v>
      </c>
      <c r="EL283">
        <v>0</v>
      </c>
      <c r="EM283">
        <v>0</v>
      </c>
      <c r="EN283">
        <v>0</v>
      </c>
      <c r="EO283">
        <v>0</v>
      </c>
      <c r="EP283">
        <v>0</v>
      </c>
    </row>
    <row r="284" spans="1:146" ht="96" x14ac:dyDescent="0.25">
      <c r="A284" s="7"/>
      <c r="B284" s="7"/>
      <c r="C284" s="7" t="str">
        <f>""&amp;CHAR(10)&amp;Basic_Fundamental_Information_Constructure(F284)&amp;CHAR(10)&amp;Basic_Fundamental_Information_Concatenate("")</f>
        <v xml:space="preserve">
市值104.696106亿, 利润20.91亿; PE5.01; 平均PE7.79; 平均PEG2.99, PB.868; ROIC2.9767%; ROE15.24%; 股利率0%; 毛利52.7733%; 净利11.1567%; 上一年度营收增-9.72%, 利润增9.76%, 利润增37.22%; 过往5年营收增-2.61%, 利润增-16.13%
Income profile:
</v>
      </c>
      <c r="D284" s="11">
        <v>1811</v>
      </c>
      <c r="E284" t="s">
        <v>4035</v>
      </c>
      <c r="F284">
        <v>2.44</v>
      </c>
      <c r="G284" s="5">
        <v>-4.3099999999999999E-2</v>
      </c>
      <c r="H284" t="s">
        <v>10049</v>
      </c>
      <c r="I284">
        <v>10469610600</v>
      </c>
      <c r="J284">
        <v>5.01</v>
      </c>
      <c r="K284">
        <v>0.86799999999999999</v>
      </c>
      <c r="L284" t="s">
        <v>6350</v>
      </c>
      <c r="M284" t="s">
        <v>9</v>
      </c>
      <c r="N284" t="s">
        <v>9</v>
      </c>
      <c r="O284" t="s">
        <v>9</v>
      </c>
      <c r="P284" t="s">
        <v>9</v>
      </c>
      <c r="Q284" t="s">
        <v>10050</v>
      </c>
      <c r="R284">
        <v>2090887500</v>
      </c>
      <c r="S284" s="5">
        <v>0.37219999999999998</v>
      </c>
      <c r="T284" t="s">
        <v>5280</v>
      </c>
      <c r="U284">
        <v>4290824000</v>
      </c>
      <c r="V284">
        <v>4290824000</v>
      </c>
      <c r="W284" t="s">
        <v>9</v>
      </c>
      <c r="X284" t="s">
        <v>9</v>
      </c>
      <c r="Y284" t="s">
        <v>9</v>
      </c>
      <c r="Z284" t="s">
        <v>9</v>
      </c>
      <c r="AA284" t="s">
        <v>9</v>
      </c>
      <c r="AB284" t="s">
        <v>9</v>
      </c>
      <c r="AC284" t="s">
        <v>9</v>
      </c>
      <c r="AD284" t="s">
        <v>9</v>
      </c>
      <c r="AE284" t="s">
        <v>9</v>
      </c>
      <c r="AF284" t="s">
        <v>9</v>
      </c>
      <c r="AG284" t="s">
        <v>9</v>
      </c>
      <c r="AH284" t="s">
        <v>10051</v>
      </c>
      <c r="AI284" t="s">
        <v>9</v>
      </c>
      <c r="AJ284" t="s">
        <v>9</v>
      </c>
      <c r="AK284" t="s">
        <v>10052</v>
      </c>
      <c r="AL284" t="s">
        <v>9</v>
      </c>
      <c r="AM284" t="s">
        <v>9</v>
      </c>
      <c r="AN284" s="5">
        <v>0.79779999999999995</v>
      </c>
      <c r="AO284" t="s">
        <v>9</v>
      </c>
      <c r="AP284" t="s">
        <v>2954</v>
      </c>
      <c r="AQ284" t="s">
        <v>9</v>
      </c>
      <c r="AR284" t="s">
        <v>10053</v>
      </c>
      <c r="AS284" t="s">
        <v>9</v>
      </c>
      <c r="AT284" t="s">
        <v>9</v>
      </c>
      <c r="AU284" t="s">
        <v>10054</v>
      </c>
      <c r="AV284" t="s">
        <v>10055</v>
      </c>
      <c r="AW284" t="s">
        <v>9</v>
      </c>
      <c r="AX284" t="s">
        <v>4036</v>
      </c>
      <c r="AY284" t="s">
        <v>4038</v>
      </c>
      <c r="AZ284" t="s">
        <v>4039</v>
      </c>
      <c r="BA284" t="s">
        <v>4040</v>
      </c>
      <c r="BB284" t="s">
        <v>4041</v>
      </c>
      <c r="BC284" t="s">
        <v>5170</v>
      </c>
      <c r="BD284" t="s">
        <v>3517</v>
      </c>
      <c r="BE284" t="s">
        <v>1851</v>
      </c>
      <c r="BF284" t="s">
        <v>4042</v>
      </c>
      <c r="BG284" t="s">
        <v>125</v>
      </c>
      <c r="BH284" t="s">
        <v>4036</v>
      </c>
      <c r="BI284" t="s">
        <v>9</v>
      </c>
      <c r="BJ284" t="s">
        <v>4038</v>
      </c>
      <c r="BK284" t="s">
        <v>4037</v>
      </c>
      <c r="BL284" t="s">
        <v>9</v>
      </c>
      <c r="BM284" t="s">
        <v>5170</v>
      </c>
      <c r="BN284">
        <v>3.65</v>
      </c>
      <c r="BO284">
        <v>2.62</v>
      </c>
      <c r="BP284">
        <v>2.66</v>
      </c>
      <c r="BQ284">
        <v>17.329999999999998</v>
      </c>
      <c r="BR284">
        <v>14.32</v>
      </c>
      <c r="BS284">
        <v>14.07</v>
      </c>
      <c r="BT284" t="s">
        <v>4043</v>
      </c>
      <c r="BU284" t="s">
        <v>392</v>
      </c>
      <c r="BV284">
        <v>55.16</v>
      </c>
      <c r="BW284">
        <v>48.67</v>
      </c>
      <c r="BX284">
        <v>54.49</v>
      </c>
      <c r="BY284">
        <v>12.75</v>
      </c>
      <c r="BZ284">
        <v>8.82</v>
      </c>
      <c r="CA284">
        <v>11.9</v>
      </c>
      <c r="CB284">
        <v>-9.6300000000000008</v>
      </c>
      <c r="CC284">
        <v>-0.33</v>
      </c>
      <c r="CD284" t="s">
        <v>10056</v>
      </c>
      <c r="CE284" t="s">
        <v>1945</v>
      </c>
      <c r="CF284" s="8" t="s">
        <v>9</v>
      </c>
      <c r="CG284" s="9">
        <v>0.37219999999999998</v>
      </c>
      <c r="CH284" s="8">
        <v>-9.7238287329673767E-2</v>
      </c>
      <c r="CI284" s="8">
        <v>0.37055760622024536</v>
      </c>
      <c r="CJ284" s="8">
        <v>0.55288833379745483</v>
      </c>
      <c r="CK284" s="8">
        <v>-0.16228148341178894</v>
      </c>
      <c r="CL284" s="8">
        <v>0.2285846620798111</v>
      </c>
      <c r="CM284" s="9">
        <v>9.7637869417667389E-2</v>
      </c>
      <c r="CN284" s="9">
        <v>0.51551318168640137</v>
      </c>
      <c r="CO284" s="9">
        <v>0.45150107145309448</v>
      </c>
      <c r="CP284" s="9">
        <v>0.25325614213943481</v>
      </c>
      <c r="CQ284" s="9">
        <v>0.43064182996749878</v>
      </c>
      <c r="CR284">
        <v>7.7927879419426871</v>
      </c>
      <c r="CS284">
        <v>2.9908690413424082</v>
      </c>
      <c r="CT284">
        <v>0</v>
      </c>
      <c r="CU284" s="8">
        <v>-2.6055262982845308E-2</v>
      </c>
      <c r="CV284" s="9">
        <v>-0.16133879572153093</v>
      </c>
      <c r="CW284">
        <v>0.06</v>
      </c>
      <c r="CX284">
        <v>5.0069873744619802</v>
      </c>
      <c r="CY284" t="s">
        <v>10057</v>
      </c>
      <c r="CZ284">
        <v>-2.6055262982845308E-2</v>
      </c>
      <c r="DA284">
        <v>1.6689957914873266</v>
      </c>
      <c r="DB284" t="s">
        <v>10058</v>
      </c>
      <c r="DC284">
        <v>-2.4752499833703041E-2</v>
      </c>
      <c r="DD284">
        <v>0.83449789574366329</v>
      </c>
      <c r="DE284" t="s">
        <v>10059</v>
      </c>
      <c r="DF284">
        <v>-2.292863142490387E-2</v>
      </c>
      <c r="DG284">
        <v>0.50069873744619797</v>
      </c>
      <c r="DH284" t="s">
        <v>10060</v>
      </c>
      <c r="DI284">
        <v>-2.0844210386276249E-2</v>
      </c>
      <c r="DJ284">
        <v>0.25034936872309899</v>
      </c>
      <c r="DK284" t="s">
        <v>10061</v>
      </c>
      <c r="DL284">
        <v>-1.8238684087991713E-2</v>
      </c>
      <c r="DM284">
        <v>2091000000</v>
      </c>
      <c r="DN284">
        <v>-2.6055262982845308E-2</v>
      </c>
      <c r="DO284">
        <v>10469610600</v>
      </c>
      <c r="DP284" t="e">
        <v>#VALUE!</v>
      </c>
      <c r="DQ284">
        <v>283</v>
      </c>
      <c r="DR284" t="e">
        <v>#VALUE!</v>
      </c>
      <c r="DS284">
        <v>0.53353879572153096</v>
      </c>
      <c r="DT284" t="e">
        <v>#VALUE!</v>
      </c>
      <c r="DU284" t="e">
        <v>#VALUE!</v>
      </c>
      <c r="DV284" t="e">
        <v>#VALUE!</v>
      </c>
      <c r="DW284">
        <v>-5.0342679127725853</v>
      </c>
      <c r="DX284">
        <v>0.311568265682658</v>
      </c>
      <c r="DY284">
        <v>-5.0041658907243276</v>
      </c>
      <c r="DZ284">
        <v>0</v>
      </c>
      <c r="EA284">
        <v>-5.0041658907243276</v>
      </c>
      <c r="EB284">
        <v>5</v>
      </c>
      <c r="EC284">
        <v>1.5356024856764109E-2</v>
      </c>
      <c r="ED284">
        <v>0.12631606423381617</v>
      </c>
      <c r="EE284">
        <v>0</v>
      </c>
      <c r="EF284">
        <v>0</v>
      </c>
      <c r="EG284">
        <v>19.121568265682658</v>
      </c>
      <c r="EH284" t="s">
        <v>110</v>
      </c>
      <c r="EI284">
        <v>0</v>
      </c>
      <c r="EJ284">
        <v>0</v>
      </c>
      <c r="EK284">
        <v>0</v>
      </c>
      <c r="EL284">
        <v>0</v>
      </c>
      <c r="EM284">
        <v>0</v>
      </c>
      <c r="EN284">
        <v>0</v>
      </c>
      <c r="EO284">
        <v>0</v>
      </c>
      <c r="EP284">
        <v>0</v>
      </c>
    </row>
    <row r="285" spans="1:146" ht="96" x14ac:dyDescent="0.25">
      <c r="A285" s="7"/>
      <c r="B285" s="7"/>
      <c r="C285" s="7" t="str">
        <f>""&amp;CHAR(10)&amp;Basic_Fundamental_Information_Constructure(F285)&amp;CHAR(10)&amp;Basic_Fundamental_Information_Concatenate("")</f>
        <v xml:space="preserve">
市值50.857187亿, 利润-14.05亿; PE; 平均PE-25.91; 平均PEG-2.51, PB.283; ROIC.4633%; ROE1.3767%; 股利率0%; 毛利14.7%; 净利.7833%; 上一年度营收增-19.29%, 利润增-155.56%; 当季营收增-30.55%, 利润增119.9%; 过往5年营收增10.34%, 利润增9.62%
Income profile:
</v>
      </c>
      <c r="D285" s="11">
        <v>1812</v>
      </c>
      <c r="E285" t="s">
        <v>4044</v>
      </c>
      <c r="F285">
        <v>1.72</v>
      </c>
      <c r="G285" s="5">
        <v>-3.3700000000000001E-2</v>
      </c>
      <c r="H285" t="s">
        <v>10062</v>
      </c>
      <c r="I285">
        <v>5085718700</v>
      </c>
      <c r="K285">
        <v>0.28299999999999997</v>
      </c>
      <c r="L285" t="s">
        <v>6350</v>
      </c>
      <c r="M285" t="s">
        <v>10063</v>
      </c>
      <c r="N285" t="s">
        <v>10064</v>
      </c>
      <c r="O285" t="s">
        <v>10065</v>
      </c>
      <c r="P285">
        <v>9.84</v>
      </c>
      <c r="Q285" t="s">
        <v>10066</v>
      </c>
      <c r="R285">
        <v>-1404549700</v>
      </c>
      <c r="S285" s="5">
        <v>1.1990000000000001</v>
      </c>
      <c r="T285" t="s">
        <v>10067</v>
      </c>
      <c r="U285">
        <v>528305250</v>
      </c>
      <c r="V285">
        <v>2956813200</v>
      </c>
      <c r="W285">
        <v>4.8099999999999996</v>
      </c>
      <c r="X285">
        <v>0.08</v>
      </c>
      <c r="Y285">
        <v>0.11</v>
      </c>
      <c r="Z285" t="s">
        <v>10068</v>
      </c>
      <c r="AA285" t="s">
        <v>7586</v>
      </c>
      <c r="AB285" t="s">
        <v>10069</v>
      </c>
      <c r="AC285" t="s">
        <v>218</v>
      </c>
      <c r="AD285" t="s">
        <v>428</v>
      </c>
      <c r="AE285" t="s">
        <v>2505</v>
      </c>
      <c r="AF285" t="s">
        <v>9</v>
      </c>
      <c r="AG285" t="s">
        <v>10070</v>
      </c>
      <c r="AH285" t="s">
        <v>10071</v>
      </c>
      <c r="AI285" t="s">
        <v>10072</v>
      </c>
      <c r="AJ285" t="s">
        <v>606</v>
      </c>
      <c r="AK285" t="s">
        <v>10073</v>
      </c>
      <c r="AL285" t="s">
        <v>9</v>
      </c>
      <c r="AM285" t="s">
        <v>10074</v>
      </c>
      <c r="AN285" s="5">
        <v>0.73970000000000002</v>
      </c>
      <c r="AO285" t="s">
        <v>10075</v>
      </c>
      <c r="AP285" t="s">
        <v>10076</v>
      </c>
      <c r="AQ285" t="s">
        <v>10077</v>
      </c>
      <c r="AR285" t="s">
        <v>10078</v>
      </c>
      <c r="AS285" t="s">
        <v>10079</v>
      </c>
      <c r="AT285" t="s">
        <v>3956</v>
      </c>
      <c r="AU285" t="s">
        <v>10080</v>
      </c>
      <c r="AV285" t="s">
        <v>10081</v>
      </c>
      <c r="AW285" t="s">
        <v>1267</v>
      </c>
      <c r="AX285" t="s">
        <v>4045</v>
      </c>
      <c r="AY285" t="s">
        <v>4048</v>
      </c>
      <c r="AZ285" t="s">
        <v>4049</v>
      </c>
      <c r="BA285" t="s">
        <v>4050</v>
      </c>
      <c r="BB285" t="s">
        <v>4051</v>
      </c>
      <c r="BC285" t="s">
        <v>4052</v>
      </c>
      <c r="BD285" t="s">
        <v>4053</v>
      </c>
      <c r="BE285" t="s">
        <v>2794</v>
      </c>
      <c r="BF285" t="s">
        <v>4054</v>
      </c>
      <c r="BG285" t="s">
        <v>4055</v>
      </c>
      <c r="BH285" t="s">
        <v>4045</v>
      </c>
      <c r="BI285" t="s">
        <v>4056</v>
      </c>
      <c r="BJ285" t="s">
        <v>4048</v>
      </c>
      <c r="BK285" t="s">
        <v>1395</v>
      </c>
      <c r="BL285" t="s">
        <v>98</v>
      </c>
      <c r="BM285" t="s">
        <v>4052</v>
      </c>
      <c r="BN285">
        <v>-2.2400000000000002</v>
      </c>
      <c r="BO285">
        <v>0.32</v>
      </c>
      <c r="BP285">
        <v>3.31</v>
      </c>
      <c r="BQ285">
        <v>-7.68</v>
      </c>
      <c r="BR285">
        <v>0.99</v>
      </c>
      <c r="BS285">
        <v>10.82</v>
      </c>
      <c r="BT285" t="s">
        <v>4057</v>
      </c>
      <c r="BU285" t="s">
        <v>937</v>
      </c>
      <c r="BV285">
        <v>7.34</v>
      </c>
      <c r="BW285">
        <v>13.81</v>
      </c>
      <c r="BX285">
        <v>22.95</v>
      </c>
      <c r="BY285">
        <v>-5.03</v>
      </c>
      <c r="BZ285">
        <v>1</v>
      </c>
      <c r="CA285">
        <v>6.38</v>
      </c>
      <c r="CB285">
        <v>-6.01</v>
      </c>
      <c r="CC285">
        <v>-16.5</v>
      </c>
      <c r="CD285" t="s">
        <v>10082</v>
      </c>
      <c r="CE285" t="s">
        <v>10083</v>
      </c>
      <c r="CF285" s="8">
        <v>-0.30549956809674633</v>
      </c>
      <c r="CG285" s="9">
        <v>1.1990000000000001</v>
      </c>
      <c r="CH285" s="8">
        <v>-0.19288311898708344</v>
      </c>
      <c r="CI285" s="8">
        <v>-0.10612710565328598</v>
      </c>
      <c r="CJ285" s="8">
        <v>0.10314838588237762</v>
      </c>
      <c r="CK285" s="8">
        <v>0.10517673939466476</v>
      </c>
      <c r="CL285" s="8">
        <v>-6.9534450769424438E-2</v>
      </c>
      <c r="CM285" s="9">
        <v>-1.5555555820465088</v>
      </c>
      <c r="CN285" s="9">
        <v>0.23909848928451538</v>
      </c>
      <c r="CO285" s="9">
        <v>0.10264714807271957</v>
      </c>
      <c r="CP285" s="9">
        <v>-0.35234424471855164</v>
      </c>
      <c r="CQ285" s="9">
        <v>-0.36755922436714172</v>
      </c>
      <c r="CR285">
        <v>-25.906954622540788</v>
      </c>
      <c r="CS285">
        <v>-2.5054615026371065</v>
      </c>
      <c r="CT285">
        <v>0</v>
      </c>
      <c r="CU285" s="8">
        <v>0.10340192653238774</v>
      </c>
      <c r="CV285" s="9">
        <v>9.6242809295654291E-2</v>
      </c>
      <c r="CW285">
        <v>0.06</v>
      </c>
      <c r="CX285" t="e">
        <v>#VALUE!</v>
      </c>
      <c r="CY285" t="s">
        <v>109</v>
      </c>
      <c r="CZ285">
        <v>0.10340192653238774</v>
      </c>
      <c r="DA285" t="e">
        <v>#VALUE!</v>
      </c>
      <c r="DB285" t="s">
        <v>108</v>
      </c>
      <c r="DC285">
        <v>9.8231830205768339E-2</v>
      </c>
      <c r="DD285" t="e">
        <v>#VALUE!</v>
      </c>
      <c r="DE285" t="s">
        <v>108</v>
      </c>
      <c r="DF285">
        <v>9.0993695348501213E-2</v>
      </c>
      <c r="DG285" t="e">
        <v>#VALUE!</v>
      </c>
      <c r="DH285" t="s">
        <v>108</v>
      </c>
      <c r="DI285">
        <v>8.2721541225910189E-2</v>
      </c>
      <c r="DJ285" t="e">
        <v>#VALUE!</v>
      </c>
      <c r="DK285" t="s">
        <v>108</v>
      </c>
      <c r="DL285">
        <v>7.2381348572671408E-2</v>
      </c>
      <c r="DM285">
        <v>-1405000000</v>
      </c>
      <c r="DN285">
        <v>0.10340192653238774</v>
      </c>
      <c r="DO285">
        <v>46540718700</v>
      </c>
      <c r="DP285" t="e">
        <v>#VALUE!</v>
      </c>
      <c r="DQ285">
        <v>284</v>
      </c>
      <c r="DR285">
        <v>-0.40890149462913405</v>
      </c>
      <c r="DS285">
        <v>1.1027571907043459</v>
      </c>
      <c r="DT285">
        <v>-0.20666666666666669</v>
      </c>
      <c r="DU285">
        <v>-1.415</v>
      </c>
      <c r="DV285">
        <v>-1.6216666666666668</v>
      </c>
      <c r="DW285">
        <v>-9.3642424242424234</v>
      </c>
      <c r="DX285">
        <v>0.32875282684998464</v>
      </c>
      <c r="DY285">
        <v>-9.0432548175374787</v>
      </c>
      <c r="DZ285">
        <v>0</v>
      </c>
      <c r="EA285">
        <v>-9.0432548175374787</v>
      </c>
      <c r="EB285">
        <v>9</v>
      </c>
      <c r="EC285">
        <v>1.5184253100601688E-3</v>
      </c>
      <c r="ED285">
        <v>1.2786435071380229E-2</v>
      </c>
      <c r="EE285">
        <v>0</v>
      </c>
      <c r="EF285">
        <v>0</v>
      </c>
      <c r="EG285">
        <v>21.118752826849985</v>
      </c>
      <c r="EH285" t="s">
        <v>110</v>
      </c>
      <c r="EI285">
        <v>0</v>
      </c>
      <c r="EJ285">
        <v>0</v>
      </c>
      <c r="EK285">
        <v>0</v>
      </c>
      <c r="EL285">
        <v>0</v>
      </c>
      <c r="EM285">
        <v>0</v>
      </c>
      <c r="EN285">
        <v>0</v>
      </c>
      <c r="EO285">
        <v>0</v>
      </c>
      <c r="EP285">
        <v>0</v>
      </c>
    </row>
    <row r="286" spans="1:146" ht="108" x14ac:dyDescent="0.25">
      <c r="A286" s="7"/>
      <c r="B286" s="7"/>
      <c r="C286" s="7" t="str">
        <f>""&amp;CHAR(10)&amp;Basic_Fundamental_Information_Constructure(F286)&amp;CHAR(10)&amp;Basic_Fundamental_Information_Concatenate("")</f>
        <v xml:space="preserve">
市值1201.86694亿, 利润112.41亿; PE10.07; 平均PE57.71; 平均PEG4.2, PB.995; ROIC3.4833%; ROE9.6633%; 股利率0%; 毛利33.9333%; 净利19.8133%; 上一年度营收增-5.63%, 利润增-5.68%; 当季营收增-1.43%, 利润增13.3%; 过往5年营收增13.74%, 利润增-20.98%
Income profile:
</v>
      </c>
      <c r="D286" s="11">
        <v>1816</v>
      </c>
      <c r="E286" t="s">
        <v>4059</v>
      </c>
      <c r="F286">
        <v>2.38</v>
      </c>
      <c r="G286" s="5">
        <v>4.1999999999999997E-3</v>
      </c>
      <c r="H286" t="s">
        <v>6448</v>
      </c>
      <c r="I286">
        <v>120186694000</v>
      </c>
      <c r="J286">
        <v>10.07</v>
      </c>
      <c r="K286">
        <v>0.995</v>
      </c>
      <c r="L286" t="s">
        <v>6350</v>
      </c>
      <c r="M286" t="s">
        <v>4060</v>
      </c>
      <c r="N286" t="s">
        <v>4061</v>
      </c>
      <c r="O286" t="s">
        <v>4062</v>
      </c>
      <c r="P286">
        <v>6.47</v>
      </c>
      <c r="Q286" t="s">
        <v>4063</v>
      </c>
      <c r="R286">
        <v>3984610300</v>
      </c>
      <c r="S286" s="5">
        <v>0.13300000000000001</v>
      </c>
      <c r="T286" t="s">
        <v>4064</v>
      </c>
      <c r="U286">
        <v>11163625000</v>
      </c>
      <c r="V286">
        <v>50498611000</v>
      </c>
      <c r="W286">
        <v>3.74</v>
      </c>
      <c r="X286">
        <v>0.04</v>
      </c>
      <c r="Y286">
        <v>34.36</v>
      </c>
      <c r="Z286" t="s">
        <v>4065</v>
      </c>
      <c r="AA286" t="s">
        <v>4066</v>
      </c>
      <c r="AB286" t="s">
        <v>4067</v>
      </c>
      <c r="AC286" t="s">
        <v>4068</v>
      </c>
      <c r="AD286" t="s">
        <v>4069</v>
      </c>
      <c r="AE286" t="s">
        <v>1732</v>
      </c>
      <c r="AF286" t="s">
        <v>9</v>
      </c>
      <c r="AG286" t="s">
        <v>3393</v>
      </c>
      <c r="AH286" t="s">
        <v>4070</v>
      </c>
      <c r="AI286" t="s">
        <v>4071</v>
      </c>
      <c r="AJ286" t="s">
        <v>4072</v>
      </c>
      <c r="AK286" t="s">
        <v>4073</v>
      </c>
      <c r="AL286" t="s">
        <v>9</v>
      </c>
      <c r="AM286" t="s">
        <v>4074</v>
      </c>
      <c r="AN286" s="5">
        <v>0.61009999999999998</v>
      </c>
      <c r="AO286" t="s">
        <v>4075</v>
      </c>
      <c r="AP286" t="s">
        <v>4076</v>
      </c>
      <c r="AQ286" t="s">
        <v>4077</v>
      </c>
      <c r="AR286" t="s">
        <v>4078</v>
      </c>
      <c r="AS286" t="s">
        <v>4079</v>
      </c>
      <c r="AT286" t="s">
        <v>4080</v>
      </c>
      <c r="AU286" t="s">
        <v>4081</v>
      </c>
      <c r="AV286" t="s">
        <v>4082</v>
      </c>
      <c r="AW286" t="s">
        <v>4083</v>
      </c>
      <c r="AX286" t="s">
        <v>4084</v>
      </c>
      <c r="AY286" t="s">
        <v>4085</v>
      </c>
      <c r="AZ286" t="s">
        <v>4086</v>
      </c>
      <c r="BA286" t="s">
        <v>4087</v>
      </c>
      <c r="BB286" t="s">
        <v>4088</v>
      </c>
      <c r="BC286" t="s">
        <v>4089</v>
      </c>
      <c r="BD286" t="s">
        <v>1755</v>
      </c>
      <c r="BE286" t="s">
        <v>4090</v>
      </c>
      <c r="BF286" t="s">
        <v>4091</v>
      </c>
      <c r="BG286" t="s">
        <v>2717</v>
      </c>
      <c r="BH286" t="s">
        <v>4063</v>
      </c>
      <c r="BI286" t="s">
        <v>4092</v>
      </c>
      <c r="BJ286" t="s">
        <v>4084</v>
      </c>
      <c r="BK286" t="s">
        <v>4064</v>
      </c>
      <c r="BL286" t="s">
        <v>2143</v>
      </c>
      <c r="BM286" t="s">
        <v>4089</v>
      </c>
      <c r="BN286">
        <v>3.54</v>
      </c>
      <c r="BO286">
        <v>3.46</v>
      </c>
      <c r="BP286">
        <v>3.45</v>
      </c>
      <c r="BQ286">
        <v>9.31</v>
      </c>
      <c r="BR286">
        <v>9.64</v>
      </c>
      <c r="BS286">
        <v>10.039999999999999</v>
      </c>
      <c r="BT286" t="s">
        <v>4093</v>
      </c>
      <c r="BU286" t="s">
        <v>392</v>
      </c>
      <c r="BV286">
        <v>32.6</v>
      </c>
      <c r="BW286">
        <v>32.69</v>
      </c>
      <c r="BX286">
        <v>36.51</v>
      </c>
      <c r="BY286">
        <v>18.59</v>
      </c>
      <c r="BZ286">
        <v>19.59</v>
      </c>
      <c r="CA286">
        <v>21.26</v>
      </c>
      <c r="CB286">
        <v>-3.25</v>
      </c>
      <c r="CC286">
        <v>9.68</v>
      </c>
      <c r="CD286" t="s">
        <v>2298</v>
      </c>
      <c r="CE286" t="s">
        <v>6449</v>
      </c>
      <c r="CF286" s="8">
        <v>-1.429388221841052E-2</v>
      </c>
      <c r="CG286" s="9">
        <v>0.13300000000000001</v>
      </c>
      <c r="CH286" s="8">
        <v>-5.6311435997486115E-2</v>
      </c>
      <c r="CI286" s="8">
        <v>0.17574267089366913</v>
      </c>
      <c r="CJ286" s="8">
        <v>0.24005888402462006</v>
      </c>
      <c r="CK286" s="8">
        <v>0.16195808351039886</v>
      </c>
      <c r="CL286" s="8">
        <v>5.7813867926597595E-2</v>
      </c>
      <c r="CM286" s="9">
        <v>-5.6804846972227097E-2</v>
      </c>
      <c r="CN286" s="9">
        <v>4.5713778585195541E-2</v>
      </c>
      <c r="CO286" s="9">
        <v>7.7424876391887665E-2</v>
      </c>
      <c r="CP286" s="9">
        <v>6.7514345049858093E-2</v>
      </c>
      <c r="CQ286" s="9">
        <v>-0.13579279184341431</v>
      </c>
      <c r="CR286">
        <v>57.709861894662701</v>
      </c>
      <c r="CS286">
        <v>4.1988420867674829</v>
      </c>
      <c r="CT286">
        <v>0</v>
      </c>
      <c r="CU286" s="8">
        <v>0.13744232505559922</v>
      </c>
      <c r="CV286" s="9">
        <v>-0.20975890159606933</v>
      </c>
      <c r="CW286">
        <v>0.06</v>
      </c>
      <c r="CX286">
        <v>18.574861308871245</v>
      </c>
      <c r="CY286">
        <v>12062253939.575462</v>
      </c>
      <c r="CZ286">
        <v>0.13744232505559922</v>
      </c>
      <c r="DA286">
        <v>5.8323465857953618</v>
      </c>
      <c r="DB286">
        <v>38415874417.628677</v>
      </c>
      <c r="DC286">
        <v>0.13057020880281925</v>
      </c>
      <c r="DD286">
        <v>2.7191920396763409</v>
      </c>
      <c r="DE286">
        <v>82397524974.612946</v>
      </c>
      <c r="DF286">
        <v>0.12094924604892732</v>
      </c>
      <c r="DG286">
        <v>1.5337766253944536</v>
      </c>
      <c r="DH286">
        <v>146080394165.85715</v>
      </c>
      <c r="DI286">
        <v>0.10995386004447938</v>
      </c>
      <c r="DJ286">
        <v>0.6874357001652498</v>
      </c>
      <c r="DK286">
        <v>325928219826.43677</v>
      </c>
      <c r="DL286">
        <v>9.6209627538919457E-2</v>
      </c>
      <c r="DM286">
        <v>11241000000</v>
      </c>
      <c r="DN286">
        <v>0.13744232505559922</v>
      </c>
      <c r="DO286">
        <v>224054694000</v>
      </c>
      <c r="DP286" t="e">
        <v>#VALUE!</v>
      </c>
      <c r="DQ286">
        <v>292</v>
      </c>
      <c r="DR286">
        <v>-0.15173620727400974</v>
      </c>
      <c r="DS286">
        <v>0.34275890159606937</v>
      </c>
      <c r="DT286">
        <v>-0.35666666666666669</v>
      </c>
      <c r="DU286">
        <v>-0.16333333333333336</v>
      </c>
      <c r="DV286">
        <v>-0.52</v>
      </c>
      <c r="DW286">
        <v>-6.2513534416086625</v>
      </c>
      <c r="DX286">
        <v>0.38431802318273167</v>
      </c>
      <c r="DY286">
        <v>-6.043815435061398</v>
      </c>
      <c r="DZ286">
        <v>0</v>
      </c>
      <c r="EA286">
        <v>-6.043815435061398</v>
      </c>
      <c r="EB286">
        <v>6</v>
      </c>
      <c r="EC286">
        <v>5.1882615147573067E-3</v>
      </c>
      <c r="ED286">
        <v>2.9763194872825315E-2</v>
      </c>
      <c r="EE286">
        <v>0</v>
      </c>
      <c r="EF286">
        <v>0</v>
      </c>
      <c r="EG286">
        <v>21.174318023182732</v>
      </c>
      <c r="EH286" t="s">
        <v>110</v>
      </c>
      <c r="EI286">
        <v>0</v>
      </c>
      <c r="EJ286">
        <v>0</v>
      </c>
      <c r="EK286">
        <v>0</v>
      </c>
      <c r="EL286">
        <v>0</v>
      </c>
      <c r="EM286">
        <v>0</v>
      </c>
      <c r="EN286">
        <v>0</v>
      </c>
      <c r="EO286">
        <v>0</v>
      </c>
      <c r="EP286">
        <v>0</v>
      </c>
    </row>
    <row r="287" spans="1:146" ht="108" x14ac:dyDescent="0.25">
      <c r="A287" s="7"/>
      <c r="B287" s="7"/>
      <c r="C287" s="7" t="str">
        <f>""&amp;CHAR(10)&amp;Basic_Fundamental_Information_Constructure(F287)&amp;CHAR(10)&amp;Basic_Fundamental_Information_Concatenate("")</f>
        <v xml:space="preserve">
市值431.42346亿, 利润7.52亿; PE49.11; 平均PE-9.78; 平均PEG-.79, PB2.15; ROIC1.06%; ROE2.09%; 股利率0%; 毛利37.6467%; 净利6.6133%; 上一年度营收增3.8%, 利润增1722.5%; 当季营收增2.27%, 利润增111.7%; 过往5年营收增12.39%, 利润增-161.6%
Income profile:
</v>
      </c>
      <c r="D287" s="11">
        <v>1818</v>
      </c>
      <c r="E287" t="s">
        <v>4094</v>
      </c>
      <c r="F287">
        <v>12.68</v>
      </c>
      <c r="G287" s="5">
        <v>-3.9399999999999998E-2</v>
      </c>
      <c r="H287" t="s">
        <v>10084</v>
      </c>
      <c r="I287">
        <v>43142346000</v>
      </c>
      <c r="J287">
        <v>49.11</v>
      </c>
      <c r="K287">
        <v>2.15</v>
      </c>
      <c r="L287" t="s">
        <v>6350</v>
      </c>
      <c r="M287" t="s">
        <v>10085</v>
      </c>
      <c r="N287" t="s">
        <v>10086</v>
      </c>
      <c r="O287" t="s">
        <v>842</v>
      </c>
      <c r="P287">
        <v>13.94</v>
      </c>
      <c r="Q287" t="s">
        <v>9426</v>
      </c>
      <c r="R287">
        <v>392305110</v>
      </c>
      <c r="S287" s="5">
        <v>1.117</v>
      </c>
      <c r="T287" t="s">
        <v>3810</v>
      </c>
      <c r="U287">
        <v>2741555600</v>
      </c>
      <c r="V287">
        <v>3402393200</v>
      </c>
      <c r="W287">
        <v>2.63</v>
      </c>
      <c r="X287">
        <v>0.04</v>
      </c>
      <c r="Y287">
        <v>19.579999999999998</v>
      </c>
      <c r="Z287" t="s">
        <v>10087</v>
      </c>
      <c r="AA287" t="s">
        <v>4301</v>
      </c>
      <c r="AB287" t="s">
        <v>10088</v>
      </c>
      <c r="AC287" t="s">
        <v>3731</v>
      </c>
      <c r="AD287" t="s">
        <v>9</v>
      </c>
      <c r="AE287" t="s">
        <v>10089</v>
      </c>
      <c r="AF287" t="s">
        <v>9</v>
      </c>
      <c r="AG287" t="s">
        <v>10090</v>
      </c>
      <c r="AH287" t="s">
        <v>10091</v>
      </c>
      <c r="AI287" t="s">
        <v>10092</v>
      </c>
      <c r="AJ287" t="s">
        <v>3125</v>
      </c>
      <c r="AK287" t="s">
        <v>10093</v>
      </c>
      <c r="AL287" t="s">
        <v>9</v>
      </c>
      <c r="AM287" t="s">
        <v>10094</v>
      </c>
      <c r="AN287" s="5">
        <v>0.55120000000000002</v>
      </c>
      <c r="AO287" t="s">
        <v>10095</v>
      </c>
      <c r="AP287" t="s">
        <v>2419</v>
      </c>
      <c r="AQ287" t="s">
        <v>10096</v>
      </c>
      <c r="AR287" t="s">
        <v>10097</v>
      </c>
      <c r="AS287" t="s">
        <v>10098</v>
      </c>
      <c r="AT287" t="s">
        <v>10099</v>
      </c>
      <c r="AU287" t="s">
        <v>2311</v>
      </c>
      <c r="AV287" t="s">
        <v>10100</v>
      </c>
      <c r="AW287" t="s">
        <v>10101</v>
      </c>
      <c r="AX287" t="s">
        <v>4095</v>
      </c>
      <c r="AY287" t="s">
        <v>4098</v>
      </c>
      <c r="AZ287" t="s">
        <v>4099</v>
      </c>
      <c r="BA287" t="s">
        <v>4100</v>
      </c>
      <c r="BB287" t="s">
        <v>4101</v>
      </c>
      <c r="BC287" t="s">
        <v>4102</v>
      </c>
      <c r="BD287" t="s">
        <v>803</v>
      </c>
      <c r="BE287" t="s">
        <v>981</v>
      </c>
      <c r="BF287" t="s">
        <v>1345</v>
      </c>
      <c r="BG287" t="s">
        <v>427</v>
      </c>
      <c r="BH287" t="s">
        <v>4095</v>
      </c>
      <c r="BI287" t="s">
        <v>3755</v>
      </c>
      <c r="BJ287" t="s">
        <v>4098</v>
      </c>
      <c r="BK287" t="s">
        <v>2753</v>
      </c>
      <c r="BL287" t="s">
        <v>70</v>
      </c>
      <c r="BM287" t="s">
        <v>4102</v>
      </c>
      <c r="BN287">
        <v>1.91</v>
      </c>
      <c r="BO287">
        <v>1.17</v>
      </c>
      <c r="BP287">
        <v>0.1</v>
      </c>
      <c r="BQ287">
        <v>3.64</v>
      </c>
      <c r="BR287">
        <v>2.42</v>
      </c>
      <c r="BS287">
        <v>0.21</v>
      </c>
      <c r="BT287" t="s">
        <v>4103</v>
      </c>
      <c r="BU287" t="s">
        <v>3953</v>
      </c>
      <c r="BV287">
        <v>40.01</v>
      </c>
      <c r="BW287">
        <v>33.68</v>
      </c>
      <c r="BX287">
        <v>39.25</v>
      </c>
      <c r="BY287">
        <v>9.9499999999999993</v>
      </c>
      <c r="BZ287">
        <v>7.1</v>
      </c>
      <c r="CA287">
        <v>2.79</v>
      </c>
      <c r="CB287">
        <v>-7.31</v>
      </c>
      <c r="CC287">
        <v>-7.82</v>
      </c>
      <c r="CD287" t="s">
        <v>10102</v>
      </c>
      <c r="CE287" t="s">
        <v>2454</v>
      </c>
      <c r="CF287" s="8">
        <v>2.2727272727272849E-2</v>
      </c>
      <c r="CG287" s="9">
        <v>1.117</v>
      </c>
      <c r="CH287" s="8">
        <v>3.7994589656591415E-2</v>
      </c>
      <c r="CI287" s="8">
        <v>5.9173703193664551E-2</v>
      </c>
      <c r="CJ287" s="8">
        <v>-7.8652933239936829E-2</v>
      </c>
      <c r="CK287" s="8">
        <v>0.11551639437675476</v>
      </c>
      <c r="CL287" s="8">
        <v>2.1372368559241295E-2</v>
      </c>
      <c r="CM287" s="9">
        <v>17.225000381469727</v>
      </c>
      <c r="CN287" s="9">
        <v>-0.96709573268890381</v>
      </c>
      <c r="CO287" s="9">
        <v>1.3395522832870483</v>
      </c>
      <c r="CP287" s="9">
        <v>-7.4074072763323784E-3</v>
      </c>
      <c r="CQ287" s="9">
        <v>-0.30051812529563904</v>
      </c>
      <c r="CR287">
        <v>-9.7795185311118669</v>
      </c>
      <c r="CS287">
        <v>-0.78945107904940726</v>
      </c>
      <c r="CT287">
        <v>0</v>
      </c>
      <c r="CU287" s="8">
        <v>0.12387744840234519</v>
      </c>
      <c r="CV287" s="9">
        <v>-1.6159677088260651</v>
      </c>
      <c r="CW287">
        <v>0.06</v>
      </c>
      <c r="CX287">
        <v>60.907212907620483</v>
      </c>
      <c r="CY287">
        <v>797316831.3193996</v>
      </c>
      <c r="CZ287">
        <v>0.12387744840234519</v>
      </c>
      <c r="DA287">
        <v>19.34319318115956</v>
      </c>
      <c r="DB287">
        <v>2510565114.3111238</v>
      </c>
      <c r="DC287">
        <v>0.11768357598222792</v>
      </c>
      <c r="DD287">
        <v>9.1607460648993317</v>
      </c>
      <c r="DE287">
        <v>5301134389.7058077</v>
      </c>
      <c r="DF287">
        <v>0.10901215459406377</v>
      </c>
      <c r="DG287">
        <v>5.2626801721213452</v>
      </c>
      <c r="DH287">
        <v>9227683311.8712769</v>
      </c>
      <c r="DI287">
        <v>9.910195872187616E-2</v>
      </c>
      <c r="DJ287">
        <v>2.460869611738814</v>
      </c>
      <c r="DK287">
        <v>19733815139.310272</v>
      </c>
      <c r="DL287">
        <v>8.6714213881641619E-2</v>
      </c>
      <c r="DM287">
        <v>752000000</v>
      </c>
      <c r="DN287">
        <v>0.12387744840234519</v>
      </c>
      <c r="DO287">
        <v>48562346000</v>
      </c>
      <c r="DP287" t="e">
        <v>#VALUE!</v>
      </c>
      <c r="DQ287">
        <v>286</v>
      </c>
      <c r="DR287">
        <v>-0.10115017567507234</v>
      </c>
      <c r="DS287">
        <v>2.7329677088260649</v>
      </c>
      <c r="DT287">
        <v>-0.42333333333333334</v>
      </c>
      <c r="DU287">
        <v>-0.39000000000000007</v>
      </c>
      <c r="DV287">
        <v>-0.81333333333333346</v>
      </c>
      <c r="DW287">
        <v>-9.9347826086956523</v>
      </c>
      <c r="DX287">
        <v>0.46183674418604398</v>
      </c>
      <c r="DY287">
        <v>-9.13258652173913</v>
      </c>
      <c r="DZ287">
        <v>0</v>
      </c>
      <c r="EA287">
        <v>-9.13258652173913</v>
      </c>
      <c r="EB287">
        <v>9</v>
      </c>
      <c r="EC287">
        <v>1.7925558985951415E-2</v>
      </c>
      <c r="ED287">
        <v>0.12638163043589437</v>
      </c>
      <c r="EE287">
        <v>0</v>
      </c>
      <c r="EF287">
        <v>0</v>
      </c>
      <c r="EG287">
        <v>32.141836744186044</v>
      </c>
      <c r="EH287" t="s">
        <v>110</v>
      </c>
      <c r="EI287">
        <v>0</v>
      </c>
      <c r="EJ287">
        <v>0</v>
      </c>
      <c r="EK287">
        <v>0</v>
      </c>
      <c r="EL287">
        <v>0</v>
      </c>
      <c r="EM287">
        <v>0</v>
      </c>
      <c r="EN287">
        <v>0</v>
      </c>
      <c r="EO287">
        <v>0</v>
      </c>
      <c r="EP287">
        <v>0</v>
      </c>
    </row>
    <row r="288" spans="1:146" ht="96" x14ac:dyDescent="0.25">
      <c r="A288" s="7"/>
      <c r="B288" s="7"/>
      <c r="C288" s="7" t="str">
        <f>""&amp;CHAR(10)&amp;Basic_Fundamental_Information_Constructure(F288)&amp;CHAR(10)&amp;Basic_Fundamental_Information_Concatenate("")</f>
        <v xml:space="preserve">
市值430.60467亿, 利润15.91亿; PE27.07; 平均PE-42.69; 平均PEG-1.62, PB.656; ROIC3.6767%; ROE5.7767%; 股利率0%; 毛利92.08%; 净利67.4133%; 上一年度营收增6.14%, 利润增-41.61%, 利润增-64.52%; 过往5年营收增-26.3%, 利润增-1427.16%
Income profile:
</v>
      </c>
      <c r="D288" s="11">
        <v>1821</v>
      </c>
      <c r="E288" t="s">
        <v>4104</v>
      </c>
      <c r="F288">
        <v>10.220000000000001</v>
      </c>
      <c r="G288" s="5">
        <v>-2.6700000000000002E-2</v>
      </c>
      <c r="H288" t="s">
        <v>10103</v>
      </c>
      <c r="I288">
        <v>43060467000</v>
      </c>
      <c r="J288">
        <v>27.07</v>
      </c>
      <c r="K288">
        <v>0.65600000000000003</v>
      </c>
      <c r="L288" t="s">
        <v>6350</v>
      </c>
      <c r="M288" t="s">
        <v>9</v>
      </c>
      <c r="N288" t="s">
        <v>9</v>
      </c>
      <c r="O288" t="s">
        <v>9</v>
      </c>
      <c r="P288" t="s">
        <v>9</v>
      </c>
      <c r="Q288" t="s">
        <v>10104</v>
      </c>
      <c r="R288">
        <v>1590585200</v>
      </c>
      <c r="S288" s="5">
        <v>-0.6452</v>
      </c>
      <c r="T288" t="s">
        <v>3221</v>
      </c>
      <c r="U288">
        <v>4212496400</v>
      </c>
      <c r="V288">
        <v>4212496400</v>
      </c>
      <c r="W288" t="s">
        <v>9</v>
      </c>
      <c r="X288" t="s">
        <v>9</v>
      </c>
      <c r="Y288" t="s">
        <v>9</v>
      </c>
      <c r="Z288" t="s">
        <v>9</v>
      </c>
      <c r="AA288" t="s">
        <v>9</v>
      </c>
      <c r="AB288" t="s">
        <v>9</v>
      </c>
      <c r="AC288" t="s">
        <v>9</v>
      </c>
      <c r="AD288" t="s">
        <v>9</v>
      </c>
      <c r="AE288" t="s">
        <v>9</v>
      </c>
      <c r="AF288" t="s">
        <v>9</v>
      </c>
      <c r="AG288" t="s">
        <v>9</v>
      </c>
      <c r="AH288" t="s">
        <v>10105</v>
      </c>
      <c r="AI288" t="s">
        <v>9</v>
      </c>
      <c r="AJ288" t="s">
        <v>9</v>
      </c>
      <c r="AK288" t="s">
        <v>10106</v>
      </c>
      <c r="AL288" t="s">
        <v>9</v>
      </c>
      <c r="AM288" t="s">
        <v>9</v>
      </c>
      <c r="AN288" s="5">
        <v>0.46089999999999998</v>
      </c>
      <c r="AO288" t="s">
        <v>9</v>
      </c>
      <c r="AP288" t="s">
        <v>1205</v>
      </c>
      <c r="AQ288" t="s">
        <v>9</v>
      </c>
      <c r="AR288" t="s">
        <v>382</v>
      </c>
      <c r="AS288" t="s">
        <v>9</v>
      </c>
      <c r="AT288" t="s">
        <v>9</v>
      </c>
      <c r="AU288" t="s">
        <v>10107</v>
      </c>
      <c r="AV288" t="s">
        <v>10108</v>
      </c>
      <c r="AW288" t="s">
        <v>9</v>
      </c>
      <c r="AX288" t="s">
        <v>4105</v>
      </c>
      <c r="AY288" t="s">
        <v>4107</v>
      </c>
      <c r="AZ288" t="s">
        <v>4108</v>
      </c>
      <c r="BA288" t="s">
        <v>4109</v>
      </c>
      <c r="BB288" t="s">
        <v>4110</v>
      </c>
      <c r="BC288" t="s">
        <v>4111</v>
      </c>
      <c r="BD288" t="s">
        <v>4112</v>
      </c>
      <c r="BE288" t="s">
        <v>4113</v>
      </c>
      <c r="BF288" t="s">
        <v>3221</v>
      </c>
      <c r="BG288" t="s">
        <v>4114</v>
      </c>
      <c r="BH288" t="s">
        <v>4105</v>
      </c>
      <c r="BI288" t="s">
        <v>9</v>
      </c>
      <c r="BJ288" t="s">
        <v>4107</v>
      </c>
      <c r="BK288" t="s">
        <v>4106</v>
      </c>
      <c r="BL288" t="s">
        <v>9</v>
      </c>
      <c r="BM288" t="s">
        <v>4111</v>
      </c>
      <c r="BN288">
        <v>1.41</v>
      </c>
      <c r="BO288">
        <v>5.05</v>
      </c>
      <c r="BP288">
        <v>4.57</v>
      </c>
      <c r="BQ288">
        <v>2.42</v>
      </c>
      <c r="BR288">
        <v>6.51</v>
      </c>
      <c r="BS288">
        <v>8.4</v>
      </c>
      <c r="BT288" t="s">
        <v>10109</v>
      </c>
      <c r="BU288" t="s">
        <v>826</v>
      </c>
      <c r="BV288">
        <v>93.14</v>
      </c>
      <c r="BW288">
        <v>96.44</v>
      </c>
      <c r="BX288">
        <v>86.66</v>
      </c>
      <c r="BY288">
        <v>30.76</v>
      </c>
      <c r="BZ288">
        <v>76.86</v>
      </c>
      <c r="CA288">
        <v>94.62</v>
      </c>
      <c r="CB288">
        <v>-4.66</v>
      </c>
      <c r="CC288">
        <v>-18.079999999999998</v>
      </c>
      <c r="CD288" t="s">
        <v>10110</v>
      </c>
      <c r="CE288" t="s">
        <v>3577</v>
      </c>
      <c r="CF288" s="8" t="s">
        <v>9</v>
      </c>
      <c r="CG288" s="9">
        <v>-0.6452</v>
      </c>
      <c r="CH288" s="8">
        <v>6.1447262763977051E-2</v>
      </c>
      <c r="CI288" s="8">
        <v>1.0329741239547729</v>
      </c>
      <c r="CJ288" s="8">
        <v>4.7492463141679764E-2</v>
      </c>
      <c r="CK288" s="8">
        <v>0.51230537891387939</v>
      </c>
      <c r="CL288" s="8">
        <v>0.66193664073944092</v>
      </c>
      <c r="CM288" s="9">
        <v>-0.41614675521850586</v>
      </c>
      <c r="CN288" s="9">
        <v>0.22692482173442841</v>
      </c>
      <c r="CO288" s="9">
        <v>0.16343635320663452</v>
      </c>
      <c r="CP288" s="9">
        <v>0.19987420737743378</v>
      </c>
      <c r="CQ288" s="9">
        <v>9.347078949213028E-2</v>
      </c>
      <c r="CR288">
        <v>-42.693507762083343</v>
      </c>
      <c r="CS288">
        <v>-1.6236126513130953</v>
      </c>
      <c r="CT288">
        <v>0</v>
      </c>
      <c r="CU288" s="8">
        <v>-0.26295377612113952</v>
      </c>
      <c r="CV288" s="9">
        <v>-14.271637296676635</v>
      </c>
      <c r="CW288">
        <v>0.06</v>
      </c>
      <c r="CX288">
        <v>27.065032683846638</v>
      </c>
      <c r="CY288" t="s">
        <v>10111</v>
      </c>
      <c r="CZ288">
        <v>-0.26295377612113952</v>
      </c>
      <c r="DA288">
        <v>9.0216775612822122</v>
      </c>
      <c r="DB288" t="s">
        <v>10112</v>
      </c>
      <c r="DC288">
        <v>-0.24980608731508253</v>
      </c>
      <c r="DD288">
        <v>4.5108387806411061</v>
      </c>
      <c r="DE288" t="s">
        <v>10113</v>
      </c>
      <c r="DF288">
        <v>-0.23139932298660276</v>
      </c>
      <c r="DG288">
        <v>2.7065032683846639</v>
      </c>
      <c r="DH288" t="s">
        <v>10114</v>
      </c>
      <c r="DI288">
        <v>-0.21036302089691161</v>
      </c>
      <c r="DJ288">
        <v>1.353251634192332</v>
      </c>
      <c r="DK288" t="s">
        <v>10115</v>
      </c>
      <c r="DL288">
        <v>-0.18406764328479766</v>
      </c>
      <c r="DM288">
        <v>1591000000</v>
      </c>
      <c r="DN288">
        <v>-0.26295377612113952</v>
      </c>
      <c r="DO288">
        <v>43060467000</v>
      </c>
      <c r="DP288" t="e">
        <v>#VALUE!</v>
      </c>
      <c r="DQ288">
        <v>287</v>
      </c>
      <c r="DR288" t="e">
        <v>#VALUE!</v>
      </c>
      <c r="DS288">
        <v>13.626437296676635</v>
      </c>
      <c r="DT288" t="e">
        <v>#VALUE!</v>
      </c>
      <c r="DU288" t="e">
        <v>#VALUE!</v>
      </c>
      <c r="DV288" t="e">
        <v>#VALUE!</v>
      </c>
      <c r="DW288">
        <v>-8.2577433628318584</v>
      </c>
      <c r="DX288">
        <v>0.20728278931750652</v>
      </c>
      <c r="DY288">
        <v>-8.0121868251227646</v>
      </c>
      <c r="DZ288">
        <v>0</v>
      </c>
      <c r="EA288">
        <v>-8.0121868251227646</v>
      </c>
      <c r="EB288">
        <v>8</v>
      </c>
      <c r="EC288">
        <v>3.7826263780308513E-3</v>
      </c>
      <c r="ED288">
        <v>8.0000068368010949E-2</v>
      </c>
      <c r="EE288">
        <v>0</v>
      </c>
      <c r="EF288">
        <v>0</v>
      </c>
      <c r="EG288">
        <v>16.047282789317507</v>
      </c>
      <c r="EH288" t="s">
        <v>110</v>
      </c>
      <c r="EI288">
        <v>0</v>
      </c>
      <c r="EJ288">
        <v>0</v>
      </c>
      <c r="EK288">
        <v>0</v>
      </c>
      <c r="EL288">
        <v>0</v>
      </c>
      <c r="EM288">
        <v>0</v>
      </c>
      <c r="EN288">
        <v>0</v>
      </c>
      <c r="EO288">
        <v>0</v>
      </c>
      <c r="EP288">
        <v>0</v>
      </c>
    </row>
    <row r="289" spans="1:146" ht="96" x14ac:dyDescent="0.25">
      <c r="A289" s="7"/>
      <c r="B289" s="7"/>
      <c r="C289" s="7" t="str">
        <f>""&amp;CHAR(10)&amp;Basic_Fundamental_Information_Constructure(F289)&amp;CHAR(10)&amp;Basic_Fundamental_Information_Concatenate("")</f>
        <v xml:space="preserve">
市值127.320908亿, 利润-3.54亿; PE; 平均PE192.42; 平均PEG14.41, PB.874; ROIC-5.7%; ROE-5.9533%; 股利率0%; 毛利27.6333%; 净利-12.69%; 上一年度营收增-26.81%, 利润增81.21%, 利润增50.72%; 过往5年营收增13.35%, 利润增11.34%
Income profile:
</v>
      </c>
      <c r="D289" s="11">
        <v>1833</v>
      </c>
      <c r="E289" t="s">
        <v>4115</v>
      </c>
      <c r="F289">
        <v>11.38</v>
      </c>
      <c r="G289" s="5">
        <v>-3.4000000000000002E-2</v>
      </c>
      <c r="H289" t="s">
        <v>10116</v>
      </c>
      <c r="I289">
        <v>12732090800</v>
      </c>
      <c r="K289">
        <v>0.874</v>
      </c>
      <c r="L289" t="s">
        <v>6350</v>
      </c>
      <c r="M289" t="s">
        <v>9</v>
      </c>
      <c r="N289" t="s">
        <v>9</v>
      </c>
      <c r="O289" t="s">
        <v>9</v>
      </c>
      <c r="P289" t="s">
        <v>9</v>
      </c>
      <c r="Q289" t="s">
        <v>10117</v>
      </c>
      <c r="R289">
        <v>-353627540</v>
      </c>
      <c r="S289" s="5">
        <v>0.50719999999999998</v>
      </c>
      <c r="T289" t="s">
        <v>6338</v>
      </c>
      <c r="U289">
        <v>1118812900</v>
      </c>
      <c r="V289">
        <v>1118812900</v>
      </c>
      <c r="W289" t="s">
        <v>9</v>
      </c>
      <c r="X289" t="s">
        <v>9</v>
      </c>
      <c r="Y289" t="s">
        <v>9</v>
      </c>
      <c r="Z289" t="s">
        <v>9</v>
      </c>
      <c r="AA289" t="s">
        <v>9</v>
      </c>
      <c r="AB289" t="s">
        <v>9</v>
      </c>
      <c r="AC289" t="s">
        <v>9</v>
      </c>
      <c r="AD289" t="s">
        <v>9</v>
      </c>
      <c r="AE289" t="s">
        <v>9</v>
      </c>
      <c r="AF289" t="s">
        <v>9</v>
      </c>
      <c r="AG289" t="s">
        <v>9</v>
      </c>
      <c r="AH289" t="s">
        <v>10118</v>
      </c>
      <c r="AI289" t="s">
        <v>9</v>
      </c>
      <c r="AJ289" t="s">
        <v>9</v>
      </c>
      <c r="AK289" t="s">
        <v>10119</v>
      </c>
      <c r="AL289" t="s">
        <v>9</v>
      </c>
      <c r="AM289" t="s">
        <v>9</v>
      </c>
      <c r="AN289" s="5">
        <v>0.19689999999999999</v>
      </c>
      <c r="AO289" t="s">
        <v>9</v>
      </c>
      <c r="AP289" t="s">
        <v>3583</v>
      </c>
      <c r="AQ289" t="s">
        <v>9</v>
      </c>
      <c r="AR289" t="s">
        <v>10120</v>
      </c>
      <c r="AS289" t="s">
        <v>9</v>
      </c>
      <c r="AT289" t="s">
        <v>9</v>
      </c>
      <c r="AU289" t="s">
        <v>6258</v>
      </c>
      <c r="AV289" t="s">
        <v>10121</v>
      </c>
      <c r="AW289" t="s">
        <v>9</v>
      </c>
      <c r="AX289" t="s">
        <v>10122</v>
      </c>
      <c r="AY289" t="s">
        <v>4119</v>
      </c>
      <c r="AZ289" t="s">
        <v>4120</v>
      </c>
      <c r="BA289" t="s">
        <v>4122</v>
      </c>
      <c r="BB289" t="s">
        <v>4123</v>
      </c>
      <c r="BC289" t="s">
        <v>4124</v>
      </c>
      <c r="BD289" t="s">
        <v>4125</v>
      </c>
      <c r="BE289" t="s">
        <v>4126</v>
      </c>
      <c r="BF289" t="s">
        <v>4127</v>
      </c>
      <c r="BG289" t="s">
        <v>4128</v>
      </c>
      <c r="BH289" t="s">
        <v>10122</v>
      </c>
      <c r="BI289" t="s">
        <v>9</v>
      </c>
      <c r="BJ289" t="s">
        <v>4119</v>
      </c>
      <c r="BK289" t="s">
        <v>4116</v>
      </c>
      <c r="BL289" t="s">
        <v>9</v>
      </c>
      <c r="BM289" t="s">
        <v>4124</v>
      </c>
      <c r="BN289">
        <v>-2.41</v>
      </c>
      <c r="BO289">
        <v>-4.41</v>
      </c>
      <c r="BP289">
        <v>-10.28</v>
      </c>
      <c r="BQ289">
        <v>-2.4300000000000002</v>
      </c>
      <c r="BR289">
        <v>-4.51</v>
      </c>
      <c r="BS289">
        <v>-10.92</v>
      </c>
      <c r="BT289" t="s">
        <v>4129</v>
      </c>
      <c r="BU289" t="s">
        <v>2382</v>
      </c>
      <c r="BV289">
        <v>32.28</v>
      </c>
      <c r="BW289">
        <v>27.35</v>
      </c>
      <c r="BX289">
        <v>23.27</v>
      </c>
      <c r="BY289">
        <v>-7.16</v>
      </c>
      <c r="BZ289">
        <v>-9.92</v>
      </c>
      <c r="CA289">
        <v>-20.99</v>
      </c>
      <c r="CB289">
        <v>-4.05</v>
      </c>
      <c r="CC289">
        <v>-7.18</v>
      </c>
      <c r="CD289" t="s">
        <v>10123</v>
      </c>
      <c r="CE289" t="s">
        <v>234</v>
      </c>
      <c r="CF289" s="8" t="s">
        <v>9</v>
      </c>
      <c r="CG289" s="9">
        <v>0.50719999999999998</v>
      </c>
      <c r="CH289" s="8">
        <v>-0.26814287900924683</v>
      </c>
      <c r="CI289" s="8">
        <v>-0.22057679295539856</v>
      </c>
      <c r="CJ289" s="8">
        <v>9.7385168075561523E-2</v>
      </c>
      <c r="CK289" s="8">
        <v>1.1536842584609985</v>
      </c>
      <c r="CL289" s="8">
        <v>0.69642859697341919</v>
      </c>
      <c r="CM289" s="9">
        <v>0.81210190057754517</v>
      </c>
      <c r="CN289" s="9">
        <v>-0.66725665330886841</v>
      </c>
      <c r="CO289" s="9">
        <v>-0.37804877758026123</v>
      </c>
      <c r="CP289" s="9">
        <v>0.21001926064491272</v>
      </c>
      <c r="CQ289" s="9">
        <v>0.13572019338607788</v>
      </c>
      <c r="CR289">
        <v>192.42454609571789</v>
      </c>
      <c r="CS289">
        <v>14.41117122766339</v>
      </c>
      <c r="CT289">
        <v>0</v>
      </c>
      <c r="CU289" s="8">
        <v>0.13352457135915757</v>
      </c>
      <c r="CV289" s="9">
        <v>0.11338330507278442</v>
      </c>
      <c r="CW289">
        <v>0.06</v>
      </c>
      <c r="CX289" t="e">
        <v>#VALUE!</v>
      </c>
      <c r="CY289" t="s">
        <v>109</v>
      </c>
      <c r="CZ289">
        <v>0.13352457135915757</v>
      </c>
      <c r="DA289" t="e">
        <v>#VALUE!</v>
      </c>
      <c r="DB289" t="s">
        <v>108</v>
      </c>
      <c r="DC289">
        <v>0.12684834279119969</v>
      </c>
      <c r="DD289" t="e">
        <v>#VALUE!</v>
      </c>
      <c r="DE289" t="s">
        <v>108</v>
      </c>
      <c r="DF289">
        <v>0.11750162279605866</v>
      </c>
      <c r="DG289" t="e">
        <v>#VALUE!</v>
      </c>
      <c r="DH289" t="s">
        <v>108</v>
      </c>
      <c r="DI289">
        <v>0.10681965708732606</v>
      </c>
      <c r="DJ289" t="e">
        <v>#VALUE!</v>
      </c>
      <c r="DK289" t="s">
        <v>108</v>
      </c>
      <c r="DL289">
        <v>9.3467199951410299E-2</v>
      </c>
      <c r="DM289">
        <v>-354000000</v>
      </c>
      <c r="DN289">
        <v>0.13352457135915757</v>
      </c>
      <c r="DO289">
        <v>12732090800</v>
      </c>
      <c r="DP289" t="e">
        <v>#VALUE!</v>
      </c>
      <c r="DQ289">
        <v>288</v>
      </c>
      <c r="DR289" t="e">
        <v>#VALUE!</v>
      </c>
      <c r="DS289">
        <v>0.39381669492721555</v>
      </c>
      <c r="DT289" t="e">
        <v>#VALUE!</v>
      </c>
      <c r="DU289" t="e">
        <v>#VALUE!</v>
      </c>
      <c r="DV289" t="e">
        <v>#VALUE!</v>
      </c>
      <c r="DW289">
        <v>-8.5640668523676879</v>
      </c>
      <c r="DX289">
        <v>0.45656153846153802</v>
      </c>
      <c r="DY289">
        <v>-8.0995925112491971</v>
      </c>
      <c r="DZ289">
        <v>0</v>
      </c>
      <c r="EA289">
        <v>-8.0995925112491971</v>
      </c>
      <c r="EB289">
        <v>8</v>
      </c>
      <c r="EC289">
        <v>2.4618593511032988E-2</v>
      </c>
      <c r="ED289">
        <v>0.13943350134772312</v>
      </c>
      <c r="EE289">
        <v>0</v>
      </c>
      <c r="EF289">
        <v>0</v>
      </c>
      <c r="EG289">
        <v>28.176561538461538</v>
      </c>
      <c r="EH289" t="s">
        <v>110</v>
      </c>
      <c r="EI289">
        <v>0</v>
      </c>
      <c r="EJ289">
        <v>0</v>
      </c>
      <c r="EK289">
        <v>0</v>
      </c>
      <c r="EL289">
        <v>0</v>
      </c>
      <c r="EM289">
        <v>0</v>
      </c>
      <c r="EN289">
        <v>0</v>
      </c>
      <c r="EO289">
        <v>0</v>
      </c>
      <c r="EP289">
        <v>0</v>
      </c>
    </row>
    <row r="290" spans="1:146" ht="96" x14ac:dyDescent="0.25">
      <c r="A290" s="7"/>
      <c r="B290" s="7"/>
      <c r="C290" s="7" t="str">
        <f>""&amp;CHAR(10)&amp;Basic_Fundamental_Information_Constructure(F290)&amp;CHAR(10)&amp;Basic_Fundamental_Information_Concatenate("")</f>
        <v xml:space="preserve">
市值37.973282亿, 利润3.47亿; PE12.47; 平均PE-9.4; 平均PEG-.27, PB1.2; ROIC20.0267%; ROE16.8733%; 股利率0%; 毛利75%; 净利28.5867%; 上一年度营收增-.45%, 利润增-12.15%; 当季营收增-10.83%, 利润增-30.06%; 过往5年营收增-34.5%, 利润增-360.23%
Income profile:
</v>
      </c>
      <c r="D290" s="11">
        <v>1858</v>
      </c>
      <c r="E290" t="s">
        <v>4136</v>
      </c>
      <c r="F290">
        <v>9.9</v>
      </c>
      <c r="G290" s="5">
        <v>1.6400000000000001E-2</v>
      </c>
      <c r="H290" t="s">
        <v>6450</v>
      </c>
      <c r="I290">
        <v>3797328200</v>
      </c>
      <c r="J290">
        <v>12.47</v>
      </c>
      <c r="K290">
        <v>1.2</v>
      </c>
      <c r="L290" t="s">
        <v>6350</v>
      </c>
      <c r="M290" t="s">
        <v>4137</v>
      </c>
      <c r="N290" t="s">
        <v>4138</v>
      </c>
      <c r="O290" t="s">
        <v>1856</v>
      </c>
      <c r="P290">
        <v>-4.18</v>
      </c>
      <c r="Q290" t="s">
        <v>3008</v>
      </c>
      <c r="R290">
        <v>63846792</v>
      </c>
      <c r="S290" s="5">
        <v>-0.30059999999999998</v>
      </c>
      <c r="T290" t="s">
        <v>1149</v>
      </c>
      <c r="U290">
        <v>95852000</v>
      </c>
      <c r="V290">
        <v>384280000</v>
      </c>
      <c r="W290">
        <v>1.22</v>
      </c>
      <c r="X290">
        <v>7.0000000000000007E-2</v>
      </c>
      <c r="Y290">
        <v>25.46</v>
      </c>
      <c r="Z290" t="s">
        <v>1717</v>
      </c>
      <c r="AA290" t="s">
        <v>4139</v>
      </c>
      <c r="AB290" t="s">
        <v>4140</v>
      </c>
      <c r="AC290" t="s">
        <v>4141</v>
      </c>
      <c r="AD290" t="s">
        <v>1710</v>
      </c>
      <c r="AE290" t="s">
        <v>4142</v>
      </c>
      <c r="AF290" t="s">
        <v>9</v>
      </c>
      <c r="AG290" t="s">
        <v>4143</v>
      </c>
      <c r="AH290" t="s">
        <v>4144</v>
      </c>
      <c r="AI290" t="s">
        <v>542</v>
      </c>
      <c r="AJ290" t="s">
        <v>4145</v>
      </c>
      <c r="AK290" t="s">
        <v>4146</v>
      </c>
      <c r="AL290" t="s">
        <v>9</v>
      </c>
      <c r="AM290" t="s">
        <v>738</v>
      </c>
      <c r="AN290" s="5">
        <v>0.18149999999999999</v>
      </c>
      <c r="AO290" t="s">
        <v>9</v>
      </c>
      <c r="AP290" t="s">
        <v>3167</v>
      </c>
      <c r="AQ290" t="s">
        <v>625</v>
      </c>
      <c r="AR290" t="s">
        <v>3529</v>
      </c>
      <c r="AS290" t="s">
        <v>573</v>
      </c>
      <c r="AT290" t="s">
        <v>9</v>
      </c>
      <c r="AU290" t="s">
        <v>4147</v>
      </c>
      <c r="AV290" t="s">
        <v>4148</v>
      </c>
      <c r="AW290" t="s">
        <v>4149</v>
      </c>
      <c r="AX290" t="s">
        <v>228</v>
      </c>
      <c r="AY290" t="s">
        <v>4150</v>
      </c>
      <c r="AZ290" t="s">
        <v>4151</v>
      </c>
      <c r="BA290" t="s">
        <v>1258</v>
      </c>
      <c r="BB290" t="s">
        <v>230</v>
      </c>
      <c r="BC290" t="s">
        <v>4152</v>
      </c>
      <c r="BD290" t="s">
        <v>3731</v>
      </c>
      <c r="BE290" t="s">
        <v>1819</v>
      </c>
      <c r="BF290" t="s">
        <v>82</v>
      </c>
      <c r="BG290" t="s">
        <v>4153</v>
      </c>
      <c r="BH290" t="s">
        <v>3008</v>
      </c>
      <c r="BI290" t="s">
        <v>738</v>
      </c>
      <c r="BJ290" t="s">
        <v>228</v>
      </c>
      <c r="BK290" t="s">
        <v>1149</v>
      </c>
      <c r="BL290" t="s">
        <v>4154</v>
      </c>
      <c r="BM290" t="s">
        <v>4152</v>
      </c>
      <c r="BN290">
        <v>11.86</v>
      </c>
      <c r="BO290">
        <v>18.170000000000002</v>
      </c>
      <c r="BP290">
        <v>30.05</v>
      </c>
      <c r="BQ290">
        <v>11.31</v>
      </c>
      <c r="BR290">
        <v>13.06</v>
      </c>
      <c r="BS290">
        <v>26.25</v>
      </c>
      <c r="BT290" t="s">
        <v>2841</v>
      </c>
      <c r="BU290" t="s">
        <v>2382</v>
      </c>
      <c r="BV290">
        <v>75.760000000000005</v>
      </c>
      <c r="BW290">
        <v>76.92</v>
      </c>
      <c r="BX290">
        <v>72.319999999999993</v>
      </c>
      <c r="BY290">
        <v>25.9</v>
      </c>
      <c r="BZ290">
        <v>29.33</v>
      </c>
      <c r="CA290">
        <v>30.53</v>
      </c>
      <c r="CB290">
        <v>-2.37</v>
      </c>
      <c r="CC290">
        <v>-7.99</v>
      </c>
      <c r="CD290" t="s">
        <v>6451</v>
      </c>
      <c r="CE290" t="s">
        <v>6452</v>
      </c>
      <c r="CF290" s="8">
        <v>-0.10828025477707007</v>
      </c>
      <c r="CG290" s="9">
        <v>-0.30059999999999998</v>
      </c>
      <c r="CH290" s="8">
        <v>-4.4576521031558514E-3</v>
      </c>
      <c r="CI290" s="8">
        <v>0.21699818968772888</v>
      </c>
      <c r="CJ290" s="8">
        <v>0.16543729603290558</v>
      </c>
      <c r="CK290" s="8">
        <v>0.6737213134765625</v>
      </c>
      <c r="CL290" s="8">
        <v>0.57499998807907104</v>
      </c>
      <c r="CM290" s="9">
        <v>-0.12151898443698883</v>
      </c>
      <c r="CN290" s="9">
        <v>0.16863904893398285</v>
      </c>
      <c r="CO290" s="9">
        <v>0.27547168731689453</v>
      </c>
      <c r="CP290" s="9">
        <v>1.2083333730697632</v>
      </c>
      <c r="CQ290" s="9">
        <v>0.46581542491912842</v>
      </c>
      <c r="CR290">
        <v>-9.3993272277227717</v>
      </c>
      <c r="CS290">
        <v>-0.27244064646923516</v>
      </c>
      <c r="CT290">
        <v>0</v>
      </c>
      <c r="CU290" s="8">
        <v>-0.34500458538532258</v>
      </c>
      <c r="CV290" s="9">
        <v>-3.602344810962677</v>
      </c>
      <c r="CW290">
        <v>0.06</v>
      </c>
      <c r="CX290">
        <v>3.8251533141210374</v>
      </c>
      <c r="CY290" t="s">
        <v>6453</v>
      </c>
      <c r="CZ290">
        <v>-0.34500458538532258</v>
      </c>
      <c r="DA290">
        <v>1.2750511047070126</v>
      </c>
      <c r="DB290" t="s">
        <v>6454</v>
      </c>
      <c r="DC290">
        <v>-0.32775435611605641</v>
      </c>
      <c r="DD290">
        <v>0.63752555235350628</v>
      </c>
      <c r="DE290" t="s">
        <v>6455</v>
      </c>
      <c r="DF290">
        <v>-0.30360403513908385</v>
      </c>
      <c r="DG290">
        <v>0.38251533141210375</v>
      </c>
      <c r="DH290" t="s">
        <v>6456</v>
      </c>
      <c r="DI290">
        <v>-0.27600366830825807</v>
      </c>
      <c r="DJ290">
        <v>0.19125766570605188</v>
      </c>
      <c r="DK290" t="s">
        <v>6457</v>
      </c>
      <c r="DL290">
        <v>-0.24150320976972578</v>
      </c>
      <c r="DM290">
        <v>347000000</v>
      </c>
      <c r="DN290">
        <v>-0.34500458538532258</v>
      </c>
      <c r="DO290">
        <v>1327328200</v>
      </c>
      <c r="DP290" t="e">
        <v>#VALUE!</v>
      </c>
      <c r="DQ290">
        <v>297</v>
      </c>
      <c r="DR290">
        <v>0.23672433060825251</v>
      </c>
      <c r="DS290">
        <v>3.3017448109626768</v>
      </c>
      <c r="DT290">
        <v>-1.04</v>
      </c>
      <c r="DU290">
        <v>-1.29</v>
      </c>
      <c r="DV290">
        <v>-2.33</v>
      </c>
      <c r="DW290">
        <v>-2.0798999999999999</v>
      </c>
      <c r="DX290">
        <v>0.44601149360738179</v>
      </c>
      <c r="DY290">
        <v>-2.01326431833923</v>
      </c>
      <c r="DZ290">
        <v>0</v>
      </c>
      <c r="EA290">
        <v>-2.01326431833923</v>
      </c>
      <c r="EB290">
        <v>2</v>
      </c>
      <c r="EC290">
        <v>4.6156448423024877E-3</v>
      </c>
      <c r="ED290">
        <v>2.7803164359321328E-2</v>
      </c>
      <c r="EE290">
        <v>0</v>
      </c>
      <c r="EF290">
        <v>0</v>
      </c>
      <c r="EG290">
        <v>28.166011493607382</v>
      </c>
      <c r="EH290" t="s">
        <v>110</v>
      </c>
      <c r="EI290">
        <v>0</v>
      </c>
      <c r="EJ290">
        <v>0</v>
      </c>
      <c r="EK290">
        <v>0</v>
      </c>
      <c r="EL290">
        <v>0</v>
      </c>
      <c r="EM290">
        <v>0</v>
      </c>
      <c r="EN290">
        <v>0</v>
      </c>
      <c r="EO290">
        <v>0</v>
      </c>
      <c r="EP290">
        <v>0</v>
      </c>
    </row>
    <row r="291" spans="1:146" ht="96" x14ac:dyDescent="0.25">
      <c r="A291" s="7"/>
      <c r="B291" s="7"/>
      <c r="C291" s="7" t="str">
        <f>""&amp;CHAR(10)&amp;Basic_Fundamental_Information_Constructure(F291)&amp;CHAR(10)&amp;Basic_Fundamental_Information_Concatenate("")</f>
        <v xml:space="preserve">
市值40.248686亿, 利润1.70亿; PE20.03; 平均PE20.04; 平均PEG1.23, PB2.01; ROIC1.3367%; ROE2.56%; 股利率0%; 毛利18.8467%; 净利-.1267%; 上一年度营收增17.9%, 利润增187.18%, 利润增45.47%; 过往5年营收增16.35%, 利润增-19.75%
Income profile:
</v>
      </c>
      <c r="D291" s="11">
        <v>1860</v>
      </c>
      <c r="E291" t="s">
        <v>4155</v>
      </c>
      <c r="F291">
        <v>2.5299999999999998</v>
      </c>
      <c r="G291" s="5">
        <v>-1.9400000000000001E-2</v>
      </c>
      <c r="H291" t="s">
        <v>10124</v>
      </c>
      <c r="I291">
        <v>4024868600</v>
      </c>
      <c r="J291">
        <v>20.03</v>
      </c>
      <c r="K291">
        <v>2.0099999999999998</v>
      </c>
      <c r="L291" t="s">
        <v>6350</v>
      </c>
      <c r="M291" t="s">
        <v>9</v>
      </c>
      <c r="N291" t="s">
        <v>9</v>
      </c>
      <c r="O291" t="s">
        <v>9</v>
      </c>
      <c r="P291" t="s">
        <v>9</v>
      </c>
      <c r="Q291" t="s">
        <v>4319</v>
      </c>
      <c r="R291">
        <v>170311040</v>
      </c>
      <c r="S291" s="5">
        <v>0.45469999999999999</v>
      </c>
      <c r="T291" t="s">
        <v>1692</v>
      </c>
      <c r="U291">
        <v>1590857200</v>
      </c>
      <c r="V291">
        <v>1590857200</v>
      </c>
      <c r="W291" t="s">
        <v>9</v>
      </c>
      <c r="X291" t="s">
        <v>9</v>
      </c>
      <c r="Y291" t="s">
        <v>9</v>
      </c>
      <c r="Z291" t="s">
        <v>9</v>
      </c>
      <c r="AA291" t="s">
        <v>9</v>
      </c>
      <c r="AB291" t="s">
        <v>9</v>
      </c>
      <c r="AC291" t="s">
        <v>9</v>
      </c>
      <c r="AD291" t="s">
        <v>9539</v>
      </c>
      <c r="AE291" t="s">
        <v>9</v>
      </c>
      <c r="AF291" t="s">
        <v>9</v>
      </c>
      <c r="AG291" t="s">
        <v>9</v>
      </c>
      <c r="AH291" t="s">
        <v>10125</v>
      </c>
      <c r="AI291" t="s">
        <v>9</v>
      </c>
      <c r="AJ291" t="s">
        <v>9</v>
      </c>
      <c r="AK291" t="s">
        <v>10126</v>
      </c>
      <c r="AL291" t="s">
        <v>9</v>
      </c>
      <c r="AM291" t="s">
        <v>9</v>
      </c>
      <c r="AN291" s="5">
        <v>0.62529999999999997</v>
      </c>
      <c r="AO291" t="s">
        <v>9</v>
      </c>
      <c r="AP291" t="s">
        <v>5170</v>
      </c>
      <c r="AQ291" t="s">
        <v>9</v>
      </c>
      <c r="AR291" t="s">
        <v>2609</v>
      </c>
      <c r="AS291" t="s">
        <v>9</v>
      </c>
      <c r="AT291" t="s">
        <v>9</v>
      </c>
      <c r="AU291" t="s">
        <v>1342</v>
      </c>
      <c r="AV291" t="s">
        <v>10127</v>
      </c>
      <c r="AW291" t="s">
        <v>9</v>
      </c>
      <c r="AX291" t="s">
        <v>4157</v>
      </c>
      <c r="AY291" t="s">
        <v>4158</v>
      </c>
      <c r="AZ291" t="s">
        <v>1777</v>
      </c>
      <c r="BA291" t="s">
        <v>1709</v>
      </c>
      <c r="BB291" t="s">
        <v>4159</v>
      </c>
      <c r="BC291" t="s">
        <v>4160</v>
      </c>
      <c r="BD291" t="s">
        <v>4161</v>
      </c>
      <c r="BE291" t="s">
        <v>202</v>
      </c>
      <c r="BF291" t="s">
        <v>23</v>
      </c>
      <c r="BG291" t="s">
        <v>134</v>
      </c>
      <c r="BH291" t="s">
        <v>4157</v>
      </c>
      <c r="BI291" t="s">
        <v>4162</v>
      </c>
      <c r="BJ291" t="s">
        <v>4158</v>
      </c>
      <c r="BK291" t="s">
        <v>129</v>
      </c>
      <c r="BL291" t="s">
        <v>2113</v>
      </c>
      <c r="BM291" t="s">
        <v>4160</v>
      </c>
      <c r="BN291">
        <v>6.46</v>
      </c>
      <c r="BO291">
        <v>4.07</v>
      </c>
      <c r="BP291">
        <v>-6.52</v>
      </c>
      <c r="BQ291">
        <v>8.7200000000000006</v>
      </c>
      <c r="BR291">
        <v>6.37</v>
      </c>
      <c r="BS291">
        <v>-7.41</v>
      </c>
      <c r="BT291" t="s">
        <v>22</v>
      </c>
      <c r="BU291" t="s">
        <v>743</v>
      </c>
      <c r="BV291">
        <v>20.61</v>
      </c>
      <c r="BW291">
        <v>19.79</v>
      </c>
      <c r="BX291">
        <v>16.14</v>
      </c>
      <c r="BY291">
        <v>1.76</v>
      </c>
      <c r="BZ291">
        <v>1.1399999999999999</v>
      </c>
      <c r="CA291">
        <v>-3.28</v>
      </c>
      <c r="CB291">
        <v>-7.66</v>
      </c>
      <c r="CC291">
        <v>-16.23</v>
      </c>
      <c r="CD291" t="s">
        <v>10128</v>
      </c>
      <c r="CE291" t="s">
        <v>10129</v>
      </c>
      <c r="CF291" s="8" t="s">
        <v>9</v>
      </c>
      <c r="CG291" s="9">
        <v>0.45469999999999999</v>
      </c>
      <c r="CH291" s="8">
        <v>0.1789805144071579</v>
      </c>
      <c r="CI291" s="8">
        <v>0.18553729355335236</v>
      </c>
      <c r="CJ291" s="8">
        <v>0.47201389074325562</v>
      </c>
      <c r="CK291" s="8">
        <v>0.17498531937599182</v>
      </c>
      <c r="CL291" s="8">
        <v>0.39304712414741516</v>
      </c>
      <c r="CM291" s="9">
        <v>1.8717948198318481</v>
      </c>
      <c r="CN291" s="9">
        <v>-3.8312649726867676</v>
      </c>
      <c r="CO291" s="9">
        <v>-1.2346633672714233</v>
      </c>
      <c r="CP291" s="9">
        <v>5.8479532599449158E-3</v>
      </c>
      <c r="CQ291" s="9">
        <v>-0.19339622557163239</v>
      </c>
      <c r="CR291">
        <v>20.039811734136787</v>
      </c>
      <c r="CS291">
        <v>1.2259624781197325</v>
      </c>
      <c r="CT291">
        <v>0</v>
      </c>
      <c r="CU291" s="8">
        <v>0.16346186846494676</v>
      </c>
      <c r="CV291" s="9">
        <v>-0.19750965833663942</v>
      </c>
      <c r="CW291">
        <v>0.06</v>
      </c>
      <c r="CX291">
        <v>21.570315440585894</v>
      </c>
      <c r="CY291">
        <v>186592941.16890654</v>
      </c>
      <c r="CZ291">
        <v>0.16346186846494676</v>
      </c>
      <c r="DA291">
        <v>6.6273530402113838</v>
      </c>
      <c r="DB291">
        <v>607311633.4046427</v>
      </c>
      <c r="DC291">
        <v>0.15528877504169941</v>
      </c>
      <c r="DD291">
        <v>2.9975817919364669</v>
      </c>
      <c r="DE291">
        <v>1342705180.1645405</v>
      </c>
      <c r="DF291">
        <v>0.14384644424915316</v>
      </c>
      <c r="DG291">
        <v>1.6310633423717478</v>
      </c>
      <c r="DH291">
        <v>2467634760.368897</v>
      </c>
      <c r="DI291">
        <v>0.1307694947719574</v>
      </c>
      <c r="DJ291">
        <v>0.67143977078735817</v>
      </c>
      <c r="DK291">
        <v>5994385163.2146721</v>
      </c>
      <c r="DL291">
        <v>0.11442330792546272</v>
      </c>
      <c r="DM291">
        <v>170000000</v>
      </c>
      <c r="DN291">
        <v>0.16346186846494676</v>
      </c>
      <c r="DO291">
        <v>4024868600</v>
      </c>
      <c r="DP291" t="e">
        <v>#VALUE!</v>
      </c>
      <c r="DQ291">
        <v>290</v>
      </c>
      <c r="DR291" t="e">
        <v>#VALUE!</v>
      </c>
      <c r="DS291">
        <v>0.65220965833663946</v>
      </c>
      <c r="DT291" t="e">
        <v>#VALUE!</v>
      </c>
      <c r="DU291">
        <v>-0.48666666666666664</v>
      </c>
      <c r="DV291" t="e">
        <v>#VALUE!</v>
      </c>
      <c r="DW291">
        <v>-9.4719654959950716</v>
      </c>
      <c r="DX291">
        <v>0.16432436521208196</v>
      </c>
      <c r="DY291">
        <v>-9.0303588809318889</v>
      </c>
      <c r="DZ291">
        <v>0</v>
      </c>
      <c r="EA291">
        <v>-9.0303588809318889</v>
      </c>
      <c r="EB291">
        <v>9</v>
      </c>
      <c r="EC291">
        <v>2.9934176367306885E-3</v>
      </c>
      <c r="ED291">
        <v>4.6536295023839977E-2</v>
      </c>
      <c r="EE291">
        <v>0</v>
      </c>
      <c r="EF291">
        <v>0</v>
      </c>
      <c r="EG291">
        <v>10.064324365212082</v>
      </c>
      <c r="EH291" t="s">
        <v>110</v>
      </c>
      <c r="EI291">
        <v>0</v>
      </c>
      <c r="EJ291">
        <v>0</v>
      </c>
      <c r="EK291">
        <v>0</v>
      </c>
      <c r="EL291">
        <v>0</v>
      </c>
      <c r="EM291">
        <v>0</v>
      </c>
      <c r="EN291">
        <v>0</v>
      </c>
      <c r="EO291">
        <v>0</v>
      </c>
      <c r="EP291">
        <v>0</v>
      </c>
    </row>
    <row r="292" spans="1:146" ht="96" x14ac:dyDescent="0.25">
      <c r="A292" s="7"/>
      <c r="B292" s="7"/>
      <c r="C292" s="7" t="str">
        <f>""&amp;CHAR(10)&amp;Basic_Fundamental_Information_Constructure(F292)&amp;CHAR(10)&amp;Basic_Fundamental_Information_Concatenate("")</f>
        <v xml:space="preserve">
市值1248.85234亿, 利润66.55亿; PE19.01; 平均PE112.63; 平均PEG.77, PB1.48; ROIC8.1667%; ROE8.3367%; 股利率0%; 毛利51.4167%; 净利13.98%; 上一年度营收增5.88%, 利润增-10.16%, 利润增-6.65%; 过往5年营收增147.01%, 利润增-138.46%
Income profile:
</v>
      </c>
      <c r="D292" s="11">
        <v>1876</v>
      </c>
      <c r="E292" t="s">
        <v>4164</v>
      </c>
      <c r="F292">
        <v>9.43</v>
      </c>
      <c r="G292" s="5">
        <v>-1.3599999999999999E-2</v>
      </c>
      <c r="H292" t="s">
        <v>10130</v>
      </c>
      <c r="I292">
        <v>124885234000</v>
      </c>
      <c r="J292">
        <v>19.010000000000002</v>
      </c>
      <c r="K292">
        <v>1.48</v>
      </c>
      <c r="L292" t="s">
        <v>6350</v>
      </c>
      <c r="M292" t="s">
        <v>9</v>
      </c>
      <c r="N292" t="s">
        <v>9</v>
      </c>
      <c r="O292" t="s">
        <v>9</v>
      </c>
      <c r="P292" t="s">
        <v>9</v>
      </c>
      <c r="Q292" t="s">
        <v>10131</v>
      </c>
      <c r="R292">
        <v>6654972000</v>
      </c>
      <c r="S292" s="5">
        <v>-6.6500000000000004E-2</v>
      </c>
      <c r="T292" t="s">
        <v>6542</v>
      </c>
      <c r="U292">
        <v>13243397000</v>
      </c>
      <c r="V292">
        <v>13243397000</v>
      </c>
      <c r="W292" t="s">
        <v>9</v>
      </c>
      <c r="X292" t="s">
        <v>9</v>
      </c>
      <c r="Y292" t="s">
        <v>9</v>
      </c>
      <c r="Z292" t="s">
        <v>9</v>
      </c>
      <c r="AA292" t="s">
        <v>9</v>
      </c>
      <c r="AB292" t="s">
        <v>9</v>
      </c>
      <c r="AC292" t="s">
        <v>9</v>
      </c>
      <c r="AD292" t="s">
        <v>9</v>
      </c>
      <c r="AE292" t="s">
        <v>9</v>
      </c>
      <c r="AF292" t="s">
        <v>9</v>
      </c>
      <c r="AG292" t="s">
        <v>9</v>
      </c>
      <c r="AH292" t="s">
        <v>10132</v>
      </c>
      <c r="AI292" t="s">
        <v>9</v>
      </c>
      <c r="AJ292" t="s">
        <v>9</v>
      </c>
      <c r="AK292" t="s">
        <v>10133</v>
      </c>
      <c r="AL292" t="s">
        <v>9</v>
      </c>
      <c r="AM292" t="s">
        <v>9</v>
      </c>
      <c r="AN292" s="5">
        <v>0.33169999999999999</v>
      </c>
      <c r="AO292" t="s">
        <v>9</v>
      </c>
      <c r="AP292" t="s">
        <v>10134</v>
      </c>
      <c r="AQ292" t="s">
        <v>9</v>
      </c>
      <c r="AR292" t="s">
        <v>10135</v>
      </c>
      <c r="AS292" t="s">
        <v>9</v>
      </c>
      <c r="AT292" t="s">
        <v>9</v>
      </c>
      <c r="AU292" t="s">
        <v>4411</v>
      </c>
      <c r="AV292" t="s">
        <v>10136</v>
      </c>
      <c r="AW292" t="s">
        <v>9</v>
      </c>
      <c r="AX292" t="s">
        <v>4165</v>
      </c>
      <c r="AY292" t="s">
        <v>4169</v>
      </c>
      <c r="AZ292" t="s">
        <v>4170</v>
      </c>
      <c r="BA292" t="s">
        <v>4171</v>
      </c>
      <c r="BB292" t="s">
        <v>4172</v>
      </c>
      <c r="BC292" t="s">
        <v>4173</v>
      </c>
      <c r="BD292" t="s">
        <v>4174</v>
      </c>
      <c r="BE292" t="s">
        <v>4175</v>
      </c>
      <c r="BF292" t="s">
        <v>4176</v>
      </c>
      <c r="BG292" t="s">
        <v>4177</v>
      </c>
      <c r="BH292" t="s">
        <v>4165</v>
      </c>
      <c r="BI292" t="s">
        <v>4178</v>
      </c>
      <c r="BJ292" t="s">
        <v>4169</v>
      </c>
      <c r="BK292" t="s">
        <v>4166</v>
      </c>
      <c r="BL292" t="s">
        <v>4179</v>
      </c>
      <c r="BM292" t="s">
        <v>4173</v>
      </c>
      <c r="BN292">
        <v>7.71</v>
      </c>
      <c r="BO292">
        <v>8.2100000000000009</v>
      </c>
      <c r="BP292">
        <v>8.58</v>
      </c>
      <c r="BQ292">
        <v>7.9</v>
      </c>
      <c r="BR292">
        <v>8.48</v>
      </c>
      <c r="BS292">
        <v>8.6300000000000008</v>
      </c>
      <c r="BT292" t="s">
        <v>4180</v>
      </c>
      <c r="BU292" t="s">
        <v>759</v>
      </c>
      <c r="BV292">
        <v>50.36</v>
      </c>
      <c r="BW292">
        <v>50.02</v>
      </c>
      <c r="BX292">
        <v>53.87</v>
      </c>
      <c r="BY292">
        <v>12.84</v>
      </c>
      <c r="BZ292">
        <v>14.65</v>
      </c>
      <c r="CA292">
        <v>14.45</v>
      </c>
      <c r="CB292">
        <v>7.16</v>
      </c>
      <c r="CC292">
        <v>-15.8</v>
      </c>
      <c r="CD292" t="s">
        <v>22</v>
      </c>
      <c r="CE292" t="s">
        <v>611</v>
      </c>
      <c r="CF292" s="8" t="s">
        <v>9</v>
      </c>
      <c r="CG292" s="9">
        <v>-6.6500000000000004E-2</v>
      </c>
      <c r="CH292" s="8">
        <v>5.8758407831192017E-2</v>
      </c>
      <c r="CI292" s="8">
        <v>-4.4452428817749023E-2</v>
      </c>
      <c r="CJ292" s="8">
        <v>0.2217940092086792</v>
      </c>
      <c r="CK292" s="8">
        <v>-0.1794852614402771</v>
      </c>
      <c r="CL292" s="8">
        <v>0.10791470110416412</v>
      </c>
      <c r="CM292" s="9">
        <v>-0.10164686292409897</v>
      </c>
      <c r="CN292" s="9">
        <v>0.85897117853164673</v>
      </c>
      <c r="CO292" s="9">
        <v>-0.43014442920684814</v>
      </c>
      <c r="CP292" s="9">
        <v>-6.8221189081668854E-2</v>
      </c>
      <c r="CQ292" s="9">
        <v>0.67335551977157593</v>
      </c>
      <c r="CR292">
        <v>112.62999773540942</v>
      </c>
      <c r="CS292">
        <v>0.76613502807864264</v>
      </c>
      <c r="CT292">
        <v>0</v>
      </c>
      <c r="CU292" s="8">
        <v>1.4701063599437476</v>
      </c>
      <c r="CV292" s="9">
        <v>-1.3845718979835511</v>
      </c>
      <c r="CW292">
        <v>0.06</v>
      </c>
      <c r="CX292">
        <v>8.0529173815509196</v>
      </c>
      <c r="CY292">
        <v>15508073420.212866</v>
      </c>
      <c r="CZ292">
        <v>1.4701063599437476</v>
      </c>
      <c r="DA292">
        <v>0.99129226408912019</v>
      </c>
      <c r="DB292">
        <v>125982254199.02242</v>
      </c>
      <c r="DC292">
        <v>1.3966010419465602</v>
      </c>
      <c r="DD292">
        <v>9.9290822916384427E-2</v>
      </c>
      <c r="DE292">
        <v>1257772172007.9744</v>
      </c>
      <c r="DF292">
        <v>1.2936935967504979</v>
      </c>
      <c r="DG292">
        <v>7.2445458063884879E-3</v>
      </c>
      <c r="DH292">
        <v>17238518098660.09</v>
      </c>
      <c r="DI292">
        <v>1.1760850879549982</v>
      </c>
      <c r="DJ292">
        <v>2.0539073076604925E-5</v>
      </c>
      <c r="DK292">
        <v>6080373419687123</v>
      </c>
      <c r="DL292">
        <v>1.0290744519606232</v>
      </c>
      <c r="DM292">
        <v>6655000000</v>
      </c>
      <c r="DN292">
        <v>1.4701063599437476</v>
      </c>
      <c r="DO292">
        <v>124885234000</v>
      </c>
      <c r="DP292" t="e">
        <v>#VALUE!</v>
      </c>
      <c r="DQ292">
        <v>291</v>
      </c>
      <c r="DR292" t="e">
        <v>#VALUE!</v>
      </c>
      <c r="DS292">
        <v>1.3180718979835511</v>
      </c>
      <c r="DT292" t="e">
        <v>#VALUE!</v>
      </c>
      <c r="DU292">
        <v>-0.55000000000000016</v>
      </c>
      <c r="DV292" t="e">
        <v>#VALUE!</v>
      </c>
      <c r="DW292">
        <v>7.3118466898954706</v>
      </c>
      <c r="DX292">
        <v>0.50404371584699592</v>
      </c>
      <c r="DY292">
        <v>7.0698672911787668</v>
      </c>
      <c r="DZ292">
        <v>0</v>
      </c>
      <c r="EA292">
        <v>7.0698672911787668</v>
      </c>
      <c r="EB292">
        <v>7</v>
      </c>
      <c r="EC292">
        <v>9.2876472705605666E-3</v>
      </c>
      <c r="ED292">
        <v>4.1454620744209358E-2</v>
      </c>
      <c r="EE292">
        <v>0</v>
      </c>
      <c r="EF292">
        <v>0</v>
      </c>
      <c r="EG292">
        <v>28.224043715846996</v>
      </c>
      <c r="EH292" t="s">
        <v>110</v>
      </c>
      <c r="EI292">
        <v>1</v>
      </c>
      <c r="EJ292">
        <v>0</v>
      </c>
      <c r="EK292">
        <v>0</v>
      </c>
      <c r="EL292">
        <v>0</v>
      </c>
      <c r="EM292">
        <v>0</v>
      </c>
      <c r="EN292">
        <v>0</v>
      </c>
      <c r="EO292">
        <v>0</v>
      </c>
      <c r="EP292">
        <v>0</v>
      </c>
    </row>
    <row r="293" spans="1:146" ht="96" x14ac:dyDescent="0.25">
      <c r="A293" s="7"/>
      <c r="B293" s="7"/>
      <c r="C293" s="7" t="str">
        <f>""&amp;CHAR(10)&amp;Basic_Fundamental_Information_Constructure(F293)&amp;CHAR(10)&amp;Basic_Fundamental_Information_Concatenate("")</f>
        <v xml:space="preserve">
市值115.917129亿, 利润-25.01亿; PE; 平均PE152.86; 平均PEG6.18, PB1.57; ROIC-19.2067%; ROE-21.9867%; 股利率0%; 毛利62.7067%; 净利-121.46%; 上一年度营收增.43%, 利润增-184.2%; 当季营收增-47.54%, 利润增50.85%; 过往5年营收增24.72%, 利润增29.97%
Income profile:
</v>
      </c>
      <c r="D293" s="11">
        <v>1877</v>
      </c>
      <c r="E293" t="s">
        <v>4181</v>
      </c>
      <c r="F293">
        <v>11.76</v>
      </c>
      <c r="G293" s="5">
        <v>-0.02</v>
      </c>
      <c r="H293" t="s">
        <v>10137</v>
      </c>
      <c r="I293">
        <v>11591712900</v>
      </c>
      <c r="K293">
        <v>1.57</v>
      </c>
      <c r="L293" t="s">
        <v>6350</v>
      </c>
      <c r="M293" t="s">
        <v>10138</v>
      </c>
      <c r="N293" t="s">
        <v>10139</v>
      </c>
      <c r="O293" t="s">
        <v>10140</v>
      </c>
      <c r="P293">
        <v>49.24</v>
      </c>
      <c r="Q293" t="s">
        <v>6221</v>
      </c>
      <c r="R293">
        <v>-2501116200</v>
      </c>
      <c r="S293" s="5">
        <v>0.50849999999999995</v>
      </c>
      <c r="T293" t="s">
        <v>10141</v>
      </c>
      <c r="U293">
        <v>219295700</v>
      </c>
      <c r="V293">
        <v>985689870</v>
      </c>
      <c r="W293">
        <v>1.75</v>
      </c>
      <c r="X293">
        <v>0.03</v>
      </c>
      <c r="Y293">
        <v>-78.06</v>
      </c>
      <c r="Z293" t="s">
        <v>217</v>
      </c>
      <c r="AA293" t="s">
        <v>129</v>
      </c>
      <c r="AB293" t="s">
        <v>165</v>
      </c>
      <c r="AC293" t="s">
        <v>1417</v>
      </c>
      <c r="AD293" t="s">
        <v>10142</v>
      </c>
      <c r="AE293" t="s">
        <v>10143</v>
      </c>
      <c r="AF293" t="s">
        <v>9</v>
      </c>
      <c r="AG293" t="s">
        <v>10144</v>
      </c>
      <c r="AH293" t="s">
        <v>10145</v>
      </c>
      <c r="AI293" t="s">
        <v>1162</v>
      </c>
      <c r="AJ293" t="s">
        <v>2950</v>
      </c>
      <c r="AK293" t="s">
        <v>10146</v>
      </c>
      <c r="AL293" t="s">
        <v>9</v>
      </c>
      <c r="AM293" t="s">
        <v>10147</v>
      </c>
      <c r="AN293" s="5">
        <v>0.4163</v>
      </c>
      <c r="AO293" t="s">
        <v>9404</v>
      </c>
      <c r="AP293" t="s">
        <v>691</v>
      </c>
      <c r="AQ293" t="s">
        <v>2634</v>
      </c>
      <c r="AR293" t="s">
        <v>3018</v>
      </c>
      <c r="AS293" t="s">
        <v>5803</v>
      </c>
      <c r="AT293" t="s">
        <v>10148</v>
      </c>
      <c r="AU293" t="s">
        <v>10149</v>
      </c>
      <c r="AV293" t="s">
        <v>10150</v>
      </c>
      <c r="AW293" t="s">
        <v>10151</v>
      </c>
      <c r="AX293" t="s">
        <v>4183</v>
      </c>
      <c r="AY293" t="s">
        <v>4187</v>
      </c>
      <c r="AZ293" t="s">
        <v>4188</v>
      </c>
      <c r="BA293" t="s">
        <v>4189</v>
      </c>
      <c r="BB293" t="s">
        <v>4190</v>
      </c>
      <c r="BC293" t="s">
        <v>4191</v>
      </c>
      <c r="BD293" t="s">
        <v>4192</v>
      </c>
      <c r="BE293" t="s">
        <v>4193</v>
      </c>
      <c r="BF293" t="s">
        <v>4194</v>
      </c>
      <c r="BG293" t="s">
        <v>4195</v>
      </c>
      <c r="BH293" t="s">
        <v>4183</v>
      </c>
      <c r="BI293" t="s">
        <v>427</v>
      </c>
      <c r="BJ293" t="s">
        <v>4187</v>
      </c>
      <c r="BK293" t="s">
        <v>4184</v>
      </c>
      <c r="BL293" t="s">
        <v>4196</v>
      </c>
      <c r="BM293" t="s">
        <v>4191</v>
      </c>
      <c r="BN293">
        <v>-23.24</v>
      </c>
      <c r="BO293">
        <v>-24.86</v>
      </c>
      <c r="BP293">
        <v>-9.52</v>
      </c>
      <c r="BQ293">
        <v>-31.82</v>
      </c>
      <c r="BR293">
        <v>-25.11</v>
      </c>
      <c r="BS293">
        <v>-9.0299999999999994</v>
      </c>
      <c r="BT293" t="s">
        <v>9</v>
      </c>
      <c r="BU293" t="s">
        <v>489</v>
      </c>
      <c r="BV293">
        <v>55.59</v>
      </c>
      <c r="BW293">
        <v>63.79</v>
      </c>
      <c r="BX293">
        <v>68.739999999999995</v>
      </c>
      <c r="BY293">
        <v>-168.64</v>
      </c>
      <c r="BZ293">
        <v>-177.65</v>
      </c>
      <c r="CA293">
        <v>-18.09</v>
      </c>
      <c r="CB293">
        <v>2.2599999999999998</v>
      </c>
      <c r="CC293">
        <v>-9.9499999999999993</v>
      </c>
      <c r="CD293" t="s">
        <v>10152</v>
      </c>
      <c r="CE293" t="s">
        <v>10153</v>
      </c>
      <c r="CF293" s="8">
        <v>-0.47538860103626945</v>
      </c>
      <c r="CG293" s="9">
        <v>0.50849999999999995</v>
      </c>
      <c r="CH293" s="8">
        <v>4.2683319188654423E-3</v>
      </c>
      <c r="CI293" s="8">
        <v>-0.66720777750015259</v>
      </c>
      <c r="CJ293" s="8">
        <v>1.5923197269439697</v>
      </c>
      <c r="CK293" s="8">
        <v>569.22021484375</v>
      </c>
      <c r="CL293" s="8">
        <v>1.42229163646698</v>
      </c>
      <c r="CM293" s="9">
        <v>-1.8420454263687134</v>
      </c>
      <c r="CN293" s="9">
        <v>0.55667507648468018</v>
      </c>
      <c r="CO293" s="9">
        <v>-1.3886884450912476</v>
      </c>
      <c r="CP293" s="9">
        <v>-1.8382353708148003E-2</v>
      </c>
      <c r="CQ293" s="9">
        <v>-1.1194804906845093</v>
      </c>
      <c r="CR293">
        <v>152.85775252747254</v>
      </c>
      <c r="CS293">
        <v>6.1826202285904426</v>
      </c>
      <c r="CT293">
        <v>0</v>
      </c>
      <c r="CU293" s="8">
        <v>0.24723781645298004</v>
      </c>
      <c r="CV293" s="9">
        <v>0.29968541562557222</v>
      </c>
      <c r="CW293">
        <v>0.06</v>
      </c>
      <c r="CX293" t="e">
        <v>#VALUE!</v>
      </c>
      <c r="CY293" t="s">
        <v>109</v>
      </c>
      <c r="CZ293">
        <v>0.24723781645298004</v>
      </c>
      <c r="DA293" t="e">
        <v>#VALUE!</v>
      </c>
      <c r="DB293" t="s">
        <v>108</v>
      </c>
      <c r="DC293">
        <v>0.23487592563033102</v>
      </c>
      <c r="DD293" t="e">
        <v>#VALUE!</v>
      </c>
      <c r="DE293" t="s">
        <v>108</v>
      </c>
      <c r="DF293">
        <v>0.21756927847862242</v>
      </c>
      <c r="DG293" t="e">
        <v>#VALUE!</v>
      </c>
      <c r="DH293" t="s">
        <v>108</v>
      </c>
      <c r="DI293">
        <v>0.19779025316238405</v>
      </c>
      <c r="DJ293" t="e">
        <v>#VALUE!</v>
      </c>
      <c r="DK293" t="s">
        <v>108</v>
      </c>
      <c r="DL293">
        <v>0.17306647151708601</v>
      </c>
      <c r="DM293">
        <v>-2501000000</v>
      </c>
      <c r="DN293">
        <v>0.24723781645298004</v>
      </c>
      <c r="DO293">
        <v>9420712900</v>
      </c>
      <c r="DP293" t="e">
        <v>#VALUE!</v>
      </c>
      <c r="DQ293">
        <v>292</v>
      </c>
      <c r="DR293">
        <v>-0.7226264174892495</v>
      </c>
      <c r="DS293">
        <v>0.20881458437442774</v>
      </c>
      <c r="DT293">
        <v>2.6666666666666616E-2</v>
      </c>
      <c r="DU293">
        <v>-0.7316666666666668</v>
      </c>
      <c r="DV293">
        <v>-0.70500000000000018</v>
      </c>
      <c r="DW293">
        <v>-2.0994999999999999</v>
      </c>
      <c r="DX293">
        <v>0.27190977072616096</v>
      </c>
      <c r="DY293">
        <v>-2.0111350221872533</v>
      </c>
      <c r="DZ293">
        <v>0</v>
      </c>
      <c r="EA293">
        <v>-2.0111350221872533</v>
      </c>
      <c r="EB293">
        <v>2</v>
      </c>
      <c r="EC293">
        <v>3.4054321771613623E-3</v>
      </c>
      <c r="ED293">
        <v>3.0430159538922721E-2</v>
      </c>
      <c r="EE293">
        <v>0</v>
      </c>
      <c r="EF293">
        <v>0</v>
      </c>
      <c r="EG293">
        <v>16.111909770726161</v>
      </c>
      <c r="EH293" t="s">
        <v>110</v>
      </c>
      <c r="EI293">
        <v>0</v>
      </c>
      <c r="EJ293">
        <v>0</v>
      </c>
      <c r="EK293">
        <v>0</v>
      </c>
      <c r="EL293">
        <v>0</v>
      </c>
      <c r="EM293">
        <v>0</v>
      </c>
      <c r="EN293">
        <v>0</v>
      </c>
      <c r="EO293">
        <v>0</v>
      </c>
      <c r="EP293">
        <v>0</v>
      </c>
    </row>
    <row r="294" spans="1:146" ht="96" x14ac:dyDescent="0.25">
      <c r="A294" s="7"/>
      <c r="B294" s="7"/>
      <c r="C294" s="7" t="str">
        <f>""&amp;CHAR(10)&amp;Basic_Fundamental_Information_Constructure(F294)&amp;CHAR(10)&amp;Basic_Fundamental_Information_Concatenate("")</f>
        <v xml:space="preserve">
市值1023.0508亿, 利润74.43亿; PE14.01; 平均PE37.04; 平均PEG.59, PB1.69; ROIC12.375%; ROE18.8267%; 股利率0%; 毛利29.085%; 净利11.2%; 上一年度营收增20.57%, 利润增-37.51%; 当季营收增-1.55%, 利润增-5.4%; 过往5年营收增63.25%, 利润增195.31%
Income profile:
</v>
      </c>
      <c r="D294" s="11">
        <v>1880</v>
      </c>
      <c r="E294" t="s">
        <v>4197</v>
      </c>
      <c r="F294">
        <v>49.45</v>
      </c>
      <c r="G294" s="5">
        <v>-4.3499999999999997E-2</v>
      </c>
      <c r="H294" t="s">
        <v>10154</v>
      </c>
      <c r="I294">
        <v>102305080000</v>
      </c>
      <c r="J294">
        <v>14.01</v>
      </c>
      <c r="K294">
        <v>1.69</v>
      </c>
      <c r="L294" t="s">
        <v>6350</v>
      </c>
      <c r="M294" t="s">
        <v>10155</v>
      </c>
      <c r="N294" t="s">
        <v>10156</v>
      </c>
      <c r="O294" t="s">
        <v>10157</v>
      </c>
      <c r="P294">
        <v>-9.4499999999999993</v>
      </c>
      <c r="Q294" t="s">
        <v>10158</v>
      </c>
      <c r="R294">
        <v>7443227600</v>
      </c>
      <c r="S294" s="5">
        <v>-5.3999999999999999E-2</v>
      </c>
      <c r="T294" t="s">
        <v>10159</v>
      </c>
      <c r="U294">
        <v>116383500</v>
      </c>
      <c r="V294">
        <v>2068859000</v>
      </c>
      <c r="W294">
        <v>1.43</v>
      </c>
      <c r="X294">
        <v>0.23</v>
      </c>
      <c r="Y294">
        <v>15.86</v>
      </c>
      <c r="Z294" t="s">
        <v>10160</v>
      </c>
      <c r="AA294" t="s">
        <v>10161</v>
      </c>
      <c r="AB294" t="s">
        <v>10162</v>
      </c>
      <c r="AC294" t="s">
        <v>2288</v>
      </c>
      <c r="AD294" t="s">
        <v>10163</v>
      </c>
      <c r="AE294" t="s">
        <v>10164</v>
      </c>
      <c r="AF294" t="s">
        <v>9</v>
      </c>
      <c r="AG294" t="s">
        <v>10165</v>
      </c>
      <c r="AH294" t="s">
        <v>10166</v>
      </c>
      <c r="AI294" t="s">
        <v>10167</v>
      </c>
      <c r="AJ294" t="s">
        <v>2263</v>
      </c>
      <c r="AK294" t="s">
        <v>10168</v>
      </c>
      <c r="AL294" t="s">
        <v>9</v>
      </c>
      <c r="AM294" t="s">
        <v>2961</v>
      </c>
      <c r="AN294" s="5">
        <v>0.2321</v>
      </c>
      <c r="AO294" t="s">
        <v>3656</v>
      </c>
      <c r="AP294" t="s">
        <v>10169</v>
      </c>
      <c r="AQ294" t="s">
        <v>10170</v>
      </c>
      <c r="AR294" t="s">
        <v>10171</v>
      </c>
      <c r="AS294" t="s">
        <v>10172</v>
      </c>
      <c r="AT294" t="s">
        <v>10173</v>
      </c>
      <c r="AU294" t="s">
        <v>10174</v>
      </c>
      <c r="AV294" t="s">
        <v>10175</v>
      </c>
      <c r="AW294" t="s">
        <v>1747</v>
      </c>
      <c r="AX294" t="s">
        <v>4198</v>
      </c>
      <c r="AY294" t="s">
        <v>4205</v>
      </c>
      <c r="AZ294" t="s">
        <v>4206</v>
      </c>
      <c r="BA294" t="s">
        <v>4207</v>
      </c>
      <c r="BB294" t="s">
        <v>9</v>
      </c>
      <c r="BC294" t="s">
        <v>10176</v>
      </c>
      <c r="BD294" t="s">
        <v>10177</v>
      </c>
      <c r="BE294" t="s">
        <v>9</v>
      </c>
      <c r="BF294" t="s">
        <v>9</v>
      </c>
      <c r="BG294" t="s">
        <v>9</v>
      </c>
      <c r="BH294" t="s">
        <v>4198</v>
      </c>
      <c r="BI294" t="s">
        <v>4208</v>
      </c>
      <c r="BJ294" t="s">
        <v>4205</v>
      </c>
      <c r="BK294" t="s">
        <v>4199</v>
      </c>
      <c r="BL294" t="s">
        <v>10178</v>
      </c>
      <c r="BM294" t="s">
        <v>10176</v>
      </c>
      <c r="BN294">
        <v>12.38</v>
      </c>
      <c r="BO294">
        <v>12.37</v>
      </c>
      <c r="BP294" t="s">
        <v>9</v>
      </c>
      <c r="BQ294">
        <v>12.66</v>
      </c>
      <c r="BR294">
        <v>10.59</v>
      </c>
      <c r="BS294">
        <v>33.229999999999997</v>
      </c>
      <c r="BT294" t="s">
        <v>3066</v>
      </c>
      <c r="BU294" t="s">
        <v>567</v>
      </c>
      <c r="BV294">
        <v>30.87</v>
      </c>
      <c r="BW294">
        <v>27.3</v>
      </c>
      <c r="BX294" t="s">
        <v>9</v>
      </c>
      <c r="BY294">
        <v>10.88</v>
      </c>
      <c r="BZ294">
        <v>11.52</v>
      </c>
      <c r="CA294" t="s">
        <v>9</v>
      </c>
      <c r="CB294">
        <v>-5.09</v>
      </c>
      <c r="CC294">
        <v>-25.63</v>
      </c>
      <c r="CD294" t="s">
        <v>10179</v>
      </c>
      <c r="CE294" t="s">
        <v>10180</v>
      </c>
      <c r="CF294" s="8">
        <v>-1.5476486688230904E-2</v>
      </c>
      <c r="CG294" s="9">
        <v>-5.3999999999999999E-2</v>
      </c>
      <c r="CH294" s="8">
        <v>0.20569656789302826</v>
      </c>
      <c r="CI294" s="8">
        <v>-0.25899916887283325</v>
      </c>
      <c r="CJ294" s="8">
        <v>0.32186442613601685</v>
      </c>
      <c r="CK294" s="8">
        <v>0.17129082977771759</v>
      </c>
      <c r="CL294" s="8" t="s">
        <v>9</v>
      </c>
      <c r="CM294" s="9">
        <v>-0.3750629723072052</v>
      </c>
      <c r="CN294" s="9">
        <v>0.68458265066146851</v>
      </c>
      <c r="CO294" s="9" t="s">
        <v>9</v>
      </c>
      <c r="CP294" s="9" t="s">
        <v>9</v>
      </c>
      <c r="CQ294" s="9" t="s">
        <v>9</v>
      </c>
      <c r="CR294">
        <v>37.040217233888484</v>
      </c>
      <c r="CS294">
        <v>0.58563341291554072</v>
      </c>
      <c r="CT294">
        <v>0</v>
      </c>
      <c r="CU294" s="8">
        <v>0.63248128294944761</v>
      </c>
      <c r="CV294" s="9">
        <v>1.9531241476535797</v>
      </c>
      <c r="CW294">
        <v>0.06</v>
      </c>
      <c r="CX294">
        <v>4.8793597691428197</v>
      </c>
      <c r="CY294">
        <v>11462790744.332773</v>
      </c>
      <c r="CZ294">
        <v>0.63248128294944761</v>
      </c>
      <c r="DA294">
        <v>1.0385452740335963</v>
      </c>
      <c r="DB294">
        <v>53855215943.326004</v>
      </c>
      <c r="DC294">
        <v>0.60085721880197518</v>
      </c>
      <c r="DD294">
        <v>0.26555232182388205</v>
      </c>
      <c r="DE294">
        <v>210621694496.40234</v>
      </c>
      <c r="DF294">
        <v>0.55658352899551389</v>
      </c>
      <c r="DG294">
        <v>6.8456580204024647E-2</v>
      </c>
      <c r="DH294">
        <v>817030004030.37585</v>
      </c>
      <c r="DI294">
        <v>0.50598502635955811</v>
      </c>
      <c r="DJ294">
        <v>4.1966834168338275E-3</v>
      </c>
      <c r="DK294">
        <v>13327447997542.07</v>
      </c>
      <c r="DL294">
        <v>0.4427368980646133</v>
      </c>
      <c r="DM294">
        <v>7443000000.000001</v>
      </c>
      <c r="DN294">
        <v>0.63248128294944761</v>
      </c>
      <c r="DO294">
        <v>55931080000.000008</v>
      </c>
      <c r="DP294" t="e">
        <v>#VALUE!</v>
      </c>
      <c r="DQ294">
        <v>293</v>
      </c>
      <c r="DR294">
        <v>-0.64795776963767848</v>
      </c>
      <c r="DS294">
        <v>-2.0071241476535797</v>
      </c>
      <c r="DT294">
        <v>9.6666666666666609E-2</v>
      </c>
      <c r="DU294">
        <v>1.2516666666666667</v>
      </c>
      <c r="DV294">
        <v>1.3483333333333334</v>
      </c>
      <c r="DW294">
        <v>-8.1985953960202895</v>
      </c>
      <c r="DX294">
        <v>0.42553330776163834</v>
      </c>
      <c r="DY294">
        <v>-8.0328741528094714</v>
      </c>
      <c r="DZ294">
        <v>0</v>
      </c>
      <c r="EA294">
        <v>-8.0328741528094714</v>
      </c>
      <c r="EB294">
        <v>8</v>
      </c>
      <c r="EC294">
        <v>5.4301428951900538E-3</v>
      </c>
      <c r="ED294">
        <v>3.2803927188851438E-2</v>
      </c>
      <c r="EE294">
        <v>0</v>
      </c>
      <c r="EF294">
        <v>0</v>
      </c>
      <c r="EG294">
        <v>26.165533307761638</v>
      </c>
      <c r="EH294" t="s">
        <v>110</v>
      </c>
      <c r="EI294">
        <v>0</v>
      </c>
      <c r="EJ294">
        <v>0</v>
      </c>
      <c r="EK294">
        <v>0</v>
      </c>
      <c r="EL294">
        <v>0</v>
      </c>
      <c r="EM294">
        <v>0</v>
      </c>
      <c r="EN294">
        <v>0</v>
      </c>
      <c r="EO294">
        <v>0</v>
      </c>
      <c r="EP294">
        <v>0</v>
      </c>
    </row>
    <row r="295" spans="1:146" ht="96" x14ac:dyDescent="0.25">
      <c r="A295" s="7"/>
      <c r="B295" s="7"/>
      <c r="C295" s="7" t="str">
        <f>""&amp;CHAR(10)&amp;Basic_Fundamental_Information_Constructure(F295)&amp;CHAR(10)&amp;Basic_Fundamental_Information_Concatenate("")</f>
        <v xml:space="preserve">
市值355.11亿, 利润27.31亿; PE13; 平均PE64.98; 平均PEG95.27, PB1.72; ROIC14.2267%; ROE15.2333%; 股利率0%; 毛利32.0433%; 净利18.8433%; 上一年度营收增3.18%, 利润增-26.92%, 利润增6.91%; 过往5年营收增.68%, 利润增33.34%
Income profile:
</v>
      </c>
      <c r="D295" s="11">
        <v>1882</v>
      </c>
      <c r="E295" t="s">
        <v>4209</v>
      </c>
      <c r="F295">
        <v>22.25</v>
      </c>
      <c r="G295" s="5">
        <v>-1.77E-2</v>
      </c>
      <c r="H295" t="s">
        <v>10181</v>
      </c>
      <c r="I295">
        <v>35511000000</v>
      </c>
      <c r="J295">
        <v>13</v>
      </c>
      <c r="K295">
        <v>1.72</v>
      </c>
      <c r="L295" t="s">
        <v>6350</v>
      </c>
      <c r="M295" t="s">
        <v>9</v>
      </c>
      <c r="N295" t="s">
        <v>9</v>
      </c>
      <c r="O295" t="s">
        <v>9</v>
      </c>
      <c r="P295" t="s">
        <v>9</v>
      </c>
      <c r="Q295" t="s">
        <v>10182</v>
      </c>
      <c r="R295">
        <v>2731213000</v>
      </c>
      <c r="S295" s="5">
        <v>6.9099999999999995E-2</v>
      </c>
      <c r="T295" t="s">
        <v>6132</v>
      </c>
      <c r="U295">
        <v>1596000000</v>
      </c>
      <c r="V295">
        <v>1596000000</v>
      </c>
      <c r="W295" t="s">
        <v>9</v>
      </c>
      <c r="X295" t="s">
        <v>9</v>
      </c>
      <c r="Y295" t="s">
        <v>9</v>
      </c>
      <c r="Z295" t="s">
        <v>9</v>
      </c>
      <c r="AA295" t="s">
        <v>9</v>
      </c>
      <c r="AB295" t="s">
        <v>9</v>
      </c>
      <c r="AC295" t="s">
        <v>9</v>
      </c>
      <c r="AD295" t="s">
        <v>5774</v>
      </c>
      <c r="AE295" t="s">
        <v>9</v>
      </c>
      <c r="AF295" t="s">
        <v>9</v>
      </c>
      <c r="AG295" t="s">
        <v>9</v>
      </c>
      <c r="AH295" t="s">
        <v>10183</v>
      </c>
      <c r="AI295" t="s">
        <v>9</v>
      </c>
      <c r="AJ295" t="s">
        <v>9</v>
      </c>
      <c r="AK295" t="s">
        <v>10184</v>
      </c>
      <c r="AL295" t="s">
        <v>9</v>
      </c>
      <c r="AM295" t="s">
        <v>9</v>
      </c>
      <c r="AN295" s="5">
        <v>0.35239999999999999</v>
      </c>
      <c r="AO295" t="s">
        <v>9</v>
      </c>
      <c r="AP295" t="s">
        <v>10185</v>
      </c>
      <c r="AQ295" t="s">
        <v>9</v>
      </c>
      <c r="AR295" t="s">
        <v>1393</v>
      </c>
      <c r="AS295" t="s">
        <v>9</v>
      </c>
      <c r="AT295" t="s">
        <v>9</v>
      </c>
      <c r="AU295" t="s">
        <v>231</v>
      </c>
      <c r="AV295" t="s">
        <v>6034</v>
      </c>
      <c r="AW295" t="s">
        <v>9</v>
      </c>
      <c r="AX295" t="s">
        <v>4210</v>
      </c>
      <c r="AY295" t="s">
        <v>4213</v>
      </c>
      <c r="AZ295" t="s">
        <v>4214</v>
      </c>
      <c r="BA295" t="s">
        <v>4215</v>
      </c>
      <c r="BB295" t="s">
        <v>4216</v>
      </c>
      <c r="BC295" t="s">
        <v>4217</v>
      </c>
      <c r="BD295" t="s">
        <v>4218</v>
      </c>
      <c r="BE295" t="s">
        <v>4219</v>
      </c>
      <c r="BF295" t="s">
        <v>4220</v>
      </c>
      <c r="BG295" t="s">
        <v>4221</v>
      </c>
      <c r="BH295" t="s">
        <v>4210</v>
      </c>
      <c r="BI295" t="s">
        <v>9</v>
      </c>
      <c r="BJ295" t="s">
        <v>4213</v>
      </c>
      <c r="BK295" t="s">
        <v>4211</v>
      </c>
      <c r="BL295" t="s">
        <v>9</v>
      </c>
      <c r="BM295" t="s">
        <v>4217</v>
      </c>
      <c r="BN295">
        <v>12.45</v>
      </c>
      <c r="BO295">
        <v>12.38</v>
      </c>
      <c r="BP295">
        <v>17.850000000000001</v>
      </c>
      <c r="BQ295">
        <v>13.24</v>
      </c>
      <c r="BR295">
        <v>13.31</v>
      </c>
      <c r="BS295">
        <v>19.149999999999999</v>
      </c>
      <c r="BT295" t="s">
        <v>10186</v>
      </c>
      <c r="BU295" t="s">
        <v>589</v>
      </c>
      <c r="BV295">
        <v>32.14</v>
      </c>
      <c r="BW295">
        <v>31.83</v>
      </c>
      <c r="BX295">
        <v>32.159999999999997</v>
      </c>
      <c r="BY295">
        <v>19.09</v>
      </c>
      <c r="BZ295">
        <v>18.399999999999999</v>
      </c>
      <c r="CA295">
        <v>19.04</v>
      </c>
      <c r="CB295">
        <v>-6.51</v>
      </c>
      <c r="CC295">
        <v>-15.4</v>
      </c>
      <c r="CD295" t="s">
        <v>10187</v>
      </c>
      <c r="CE295" t="s">
        <v>10188</v>
      </c>
      <c r="CF295" s="8" t="s">
        <v>9</v>
      </c>
      <c r="CG295" s="9">
        <v>6.9099999999999995E-2</v>
      </c>
      <c r="CH295" s="8">
        <v>3.1832940876483917E-2</v>
      </c>
      <c r="CI295" s="8">
        <v>-0.29208725690841675</v>
      </c>
      <c r="CJ295" s="8">
        <v>0.3946245014667511</v>
      </c>
      <c r="CK295" s="8">
        <v>0.13832452893257141</v>
      </c>
      <c r="CL295" s="8">
        <v>1.1709840968251228E-2</v>
      </c>
      <c r="CM295" s="9">
        <v>-0.26919987797737122</v>
      </c>
      <c r="CN295" s="9">
        <v>0.31307089328765869</v>
      </c>
      <c r="CO295" s="9">
        <v>0.45501029491424561</v>
      </c>
      <c r="CP295" s="9">
        <v>-0.10398536920547485</v>
      </c>
      <c r="CQ295" s="9">
        <v>-9.1930091381072998E-2</v>
      </c>
      <c r="CR295">
        <v>64.984767774904412</v>
      </c>
      <c r="CS295">
        <v>95.269602544386572</v>
      </c>
      <c r="CT295">
        <v>0</v>
      </c>
      <c r="CU295" s="8">
        <v>6.8211439996957775E-3</v>
      </c>
      <c r="CV295" s="9">
        <v>0.33337381277233363</v>
      </c>
      <c r="CW295">
        <v>0.06</v>
      </c>
      <c r="CX295">
        <v>13.689725500753781</v>
      </c>
      <c r="CY295">
        <v>2593989192.7011027</v>
      </c>
      <c r="CZ295">
        <v>6.8211439996957775E-3</v>
      </c>
      <c r="DA295">
        <v>4.8032236244529676</v>
      </c>
      <c r="DB295">
        <v>7393159839.4077053</v>
      </c>
      <c r="DC295">
        <v>6.4800867997109888E-3</v>
      </c>
      <c r="DD295">
        <v>2.5919924031926724</v>
      </c>
      <c r="DE295">
        <v>13700271635.155844</v>
      </c>
      <c r="DF295">
        <v>6.0026067197322839E-3</v>
      </c>
      <c r="DG295">
        <v>1.7188449351938289</v>
      </c>
      <c r="DH295">
        <v>20659804309.802696</v>
      </c>
      <c r="DI295">
        <v>5.4569151997566224E-3</v>
      </c>
      <c r="DJ295">
        <v>1.087740286028654</v>
      </c>
      <c r="DK295">
        <v>32646579754.484283</v>
      </c>
      <c r="DL295">
        <v>4.7748007997870439E-3</v>
      </c>
      <c r="DM295">
        <v>2731000000</v>
      </c>
      <c r="DN295">
        <v>6.8211439996957775E-3</v>
      </c>
      <c r="DO295">
        <v>35511000000</v>
      </c>
      <c r="DP295" t="e">
        <v>#VALUE!</v>
      </c>
      <c r="DQ295">
        <v>294</v>
      </c>
      <c r="DR295" t="e">
        <v>#VALUE!</v>
      </c>
      <c r="DS295">
        <v>-0.26427381277233364</v>
      </c>
      <c r="DT295" t="e">
        <v>#VALUE!</v>
      </c>
      <c r="DU295" t="e">
        <v>#VALUE!</v>
      </c>
      <c r="DV295" t="e">
        <v>#VALUE!</v>
      </c>
      <c r="DW295">
        <v>-9.422727272727272</v>
      </c>
      <c r="DX295">
        <v>0.27666269021777612</v>
      </c>
      <c r="DY295">
        <v>-9.0493165008647871</v>
      </c>
      <c r="DZ295">
        <v>0</v>
      </c>
      <c r="EA295">
        <v>-9.0493165008647871</v>
      </c>
      <c r="EB295">
        <v>9</v>
      </c>
      <c r="EC295">
        <v>4.6262531328320798E-3</v>
      </c>
      <c r="ED295">
        <v>3.9654949874686714E-2</v>
      </c>
      <c r="EE295">
        <v>0</v>
      </c>
      <c r="EF295">
        <v>0</v>
      </c>
      <c r="EG295">
        <v>16.116662690217776</v>
      </c>
      <c r="EH295" t="s">
        <v>110</v>
      </c>
      <c r="EI295">
        <v>0</v>
      </c>
      <c r="EJ295">
        <v>0</v>
      </c>
      <c r="EK295">
        <v>0</v>
      </c>
      <c r="EL295">
        <v>0</v>
      </c>
      <c r="EM295">
        <v>0</v>
      </c>
      <c r="EN295">
        <v>0</v>
      </c>
      <c r="EO295">
        <v>0</v>
      </c>
      <c r="EP295">
        <v>0</v>
      </c>
    </row>
    <row r="296" spans="1:146" ht="96" x14ac:dyDescent="0.25">
      <c r="A296" s="7"/>
      <c r="B296" s="7"/>
      <c r="C296" s="7" t="str">
        <f>""&amp;CHAR(10)&amp;Basic_Fundamental_Information_Constructure(F296)&amp;CHAR(10)&amp;Basic_Fundamental_Information_Concatenate("")</f>
        <v xml:space="preserve">
市值95.482998亿, 利润12.31亿; PE7.76; 平均PE-29.98; 平均PEG-.47, PB.888; ROIC7.6867%; ROE11.1933%; 股利率0%; 毛利42.4667%; 净利12.1067%; 上一年度营收增-1.23%, 利润增14.41%, 利润增3.36%; 过往5年营收增63.35%, 利润增-420.08%
Income profile:
</v>
      </c>
      <c r="D296" s="11">
        <v>1883</v>
      </c>
      <c r="E296" t="s">
        <v>4222</v>
      </c>
      <c r="F296">
        <v>2.58</v>
      </c>
      <c r="G296" s="5">
        <v>3.8999999999999998E-3</v>
      </c>
      <c r="H296" t="s">
        <v>10189</v>
      </c>
      <c r="I296">
        <v>9548299800</v>
      </c>
      <c r="J296">
        <v>7.76</v>
      </c>
      <c r="K296">
        <v>0.88800000000000001</v>
      </c>
      <c r="L296" t="s">
        <v>6350</v>
      </c>
      <c r="M296" t="s">
        <v>9</v>
      </c>
      <c r="N296" t="s">
        <v>9</v>
      </c>
      <c r="O296" t="s">
        <v>9</v>
      </c>
      <c r="P296" t="s">
        <v>9</v>
      </c>
      <c r="Q296" t="s">
        <v>10190</v>
      </c>
      <c r="R296">
        <v>1231000000</v>
      </c>
      <c r="S296" s="5">
        <v>3.3599999999999998E-2</v>
      </c>
      <c r="T296" t="s">
        <v>6359</v>
      </c>
      <c r="U296">
        <v>3700891400</v>
      </c>
      <c r="V296">
        <v>3700891400</v>
      </c>
      <c r="W296" t="s">
        <v>9</v>
      </c>
      <c r="X296" t="s">
        <v>9</v>
      </c>
      <c r="Y296" t="s">
        <v>9</v>
      </c>
      <c r="Z296" t="s">
        <v>9</v>
      </c>
      <c r="AA296" t="s">
        <v>9</v>
      </c>
      <c r="AB296" t="s">
        <v>9</v>
      </c>
      <c r="AC296" t="s">
        <v>9</v>
      </c>
      <c r="AD296" t="s">
        <v>9</v>
      </c>
      <c r="AE296" t="s">
        <v>9</v>
      </c>
      <c r="AF296" t="s">
        <v>9</v>
      </c>
      <c r="AG296" t="s">
        <v>9</v>
      </c>
      <c r="AH296" t="s">
        <v>10191</v>
      </c>
      <c r="AI296" t="s">
        <v>9</v>
      </c>
      <c r="AJ296" t="s">
        <v>9</v>
      </c>
      <c r="AK296" t="s">
        <v>10192</v>
      </c>
      <c r="AL296" t="s">
        <v>9</v>
      </c>
      <c r="AM296" t="s">
        <v>9</v>
      </c>
      <c r="AN296" s="5">
        <v>0.37430000000000002</v>
      </c>
      <c r="AO296" t="s">
        <v>9</v>
      </c>
      <c r="AP296" t="s">
        <v>933</v>
      </c>
      <c r="AQ296" t="s">
        <v>9</v>
      </c>
      <c r="AR296" t="s">
        <v>9497</v>
      </c>
      <c r="AS296" t="s">
        <v>9</v>
      </c>
      <c r="AT296" t="s">
        <v>9</v>
      </c>
      <c r="AU296" t="s">
        <v>6321</v>
      </c>
      <c r="AV296" t="s">
        <v>4670</v>
      </c>
      <c r="AW296" t="s">
        <v>9</v>
      </c>
      <c r="AX296" t="s">
        <v>4223</v>
      </c>
      <c r="AY296" t="s">
        <v>2186</v>
      </c>
      <c r="AZ296" t="s">
        <v>4224</v>
      </c>
      <c r="BA296" t="s">
        <v>4225</v>
      </c>
      <c r="BB296" t="s">
        <v>4226</v>
      </c>
      <c r="BC296" t="s">
        <v>1202</v>
      </c>
      <c r="BD296" t="s">
        <v>1942</v>
      </c>
      <c r="BE296" t="s">
        <v>1943</v>
      </c>
      <c r="BF296" t="s">
        <v>4227</v>
      </c>
      <c r="BG296" t="s">
        <v>4228</v>
      </c>
      <c r="BH296" t="s">
        <v>4223</v>
      </c>
      <c r="BI296" t="s">
        <v>9</v>
      </c>
      <c r="BJ296" t="s">
        <v>2186</v>
      </c>
      <c r="BK296" t="s">
        <v>1184</v>
      </c>
      <c r="BL296" t="s">
        <v>9</v>
      </c>
      <c r="BM296" t="s">
        <v>1202</v>
      </c>
      <c r="BN296">
        <v>8.32</v>
      </c>
      <c r="BO296">
        <v>7.83</v>
      </c>
      <c r="BP296">
        <v>6.91</v>
      </c>
      <c r="BQ296">
        <v>11.44</v>
      </c>
      <c r="BR296">
        <v>11.48</v>
      </c>
      <c r="BS296">
        <v>10.66</v>
      </c>
      <c r="BT296" t="s">
        <v>1529</v>
      </c>
      <c r="BU296" t="s">
        <v>449</v>
      </c>
      <c r="BV296">
        <v>42.07</v>
      </c>
      <c r="BW296">
        <v>42.88</v>
      </c>
      <c r="BX296">
        <v>42.45</v>
      </c>
      <c r="BY296">
        <v>12.54</v>
      </c>
      <c r="BZ296">
        <v>12.11</v>
      </c>
      <c r="CA296">
        <v>11.67</v>
      </c>
      <c r="CB296">
        <v>-1.53</v>
      </c>
      <c r="CC296">
        <v>-8.51</v>
      </c>
      <c r="CD296" t="s">
        <v>10193</v>
      </c>
      <c r="CE296" t="s">
        <v>6760</v>
      </c>
      <c r="CF296" s="8" t="s">
        <v>9</v>
      </c>
      <c r="CG296" s="9">
        <v>3.3599999999999998E-2</v>
      </c>
      <c r="CH296" s="8">
        <v>-1.2263795360922813E-2</v>
      </c>
      <c r="CI296" s="8">
        <v>6.5886504948139191E-2</v>
      </c>
      <c r="CJ296" s="8">
        <v>6.3095405697822571E-2</v>
      </c>
      <c r="CK296" s="8">
        <v>-5.7164061814546585E-2</v>
      </c>
      <c r="CL296" s="8">
        <v>0.27016517519950867</v>
      </c>
      <c r="CM296" s="9">
        <v>0.14405210316181183</v>
      </c>
      <c r="CN296" s="9">
        <v>5.1808405667543411E-2</v>
      </c>
      <c r="CO296" s="9">
        <v>2.0958084613084793E-2</v>
      </c>
      <c r="CP296" s="9">
        <v>5.3627759218215942E-2</v>
      </c>
      <c r="CQ296" s="9">
        <v>7.9455167055130005E-2</v>
      </c>
      <c r="CR296">
        <v>-29.979236231664277</v>
      </c>
      <c r="CS296">
        <v>-0.47319563879366699</v>
      </c>
      <c r="CT296">
        <v>0</v>
      </c>
      <c r="CU296" s="8">
        <v>0.63354844748973849</v>
      </c>
      <c r="CV296" s="9">
        <v>-4.2008002161979672</v>
      </c>
      <c r="CW296">
        <v>0.06</v>
      </c>
      <c r="CX296">
        <v>5.0331727860360358</v>
      </c>
      <c r="CY296">
        <v>1897073715.9055357</v>
      </c>
      <c r="CZ296">
        <v>0.63354844748973849</v>
      </c>
      <c r="DA296">
        <v>1.0704460644393501</v>
      </c>
      <c r="DB296">
        <v>8919926110.4303799</v>
      </c>
      <c r="DC296">
        <v>0.60187102511525148</v>
      </c>
      <c r="DD296">
        <v>0.27335445235863848</v>
      </c>
      <c r="DE296">
        <v>34930105281.302391</v>
      </c>
      <c r="DF296">
        <v>0.55752263379096989</v>
      </c>
      <c r="DG296">
        <v>7.0343773029387296E-2</v>
      </c>
      <c r="DH296">
        <v>135737669288.95096</v>
      </c>
      <c r="DI296">
        <v>0.50683875799179079</v>
      </c>
      <c r="DJ296">
        <v>4.2932425312825944E-3</v>
      </c>
      <c r="DK296">
        <v>2224029909893.6465</v>
      </c>
      <c r="DL296">
        <v>0.44348391324281689</v>
      </c>
      <c r="DM296">
        <v>1231000000</v>
      </c>
      <c r="DN296">
        <v>0.63354844748973849</v>
      </c>
      <c r="DO296">
        <v>9548299800</v>
      </c>
      <c r="DP296" t="e">
        <v>#VALUE!</v>
      </c>
      <c r="DQ296">
        <v>295</v>
      </c>
      <c r="DR296" t="e">
        <v>#VALUE!</v>
      </c>
      <c r="DS296">
        <v>4.234400216197967</v>
      </c>
      <c r="DT296" t="e">
        <v>#VALUE!</v>
      </c>
      <c r="DU296" t="e">
        <v>#VALUE!</v>
      </c>
      <c r="DV296" t="e">
        <v>#VALUE!</v>
      </c>
      <c r="DW296">
        <v>-2.0851000000000002</v>
      </c>
      <c r="DX296">
        <v>0.26583186813186888</v>
      </c>
      <c r="DY296">
        <v>-2.0090062919780221</v>
      </c>
      <c r="DZ296">
        <v>0</v>
      </c>
      <c r="EA296">
        <v>-2.0090062919780221</v>
      </c>
      <c r="EB296">
        <v>2</v>
      </c>
      <c r="EC296">
        <v>5.2045299140634068E-3</v>
      </c>
      <c r="ED296">
        <v>4.9177341437254822E-2</v>
      </c>
      <c r="EE296">
        <v>0</v>
      </c>
      <c r="EF296">
        <v>0</v>
      </c>
      <c r="EG296">
        <v>16.105831868131869</v>
      </c>
      <c r="EH296" t="s">
        <v>110</v>
      </c>
      <c r="EI296">
        <v>0</v>
      </c>
      <c r="EJ296">
        <v>0</v>
      </c>
      <c r="EK296">
        <v>0</v>
      </c>
      <c r="EL296">
        <v>0</v>
      </c>
      <c r="EM296">
        <v>0</v>
      </c>
      <c r="EN296">
        <v>0</v>
      </c>
      <c r="EO296">
        <v>0</v>
      </c>
      <c r="EP296">
        <v>0</v>
      </c>
    </row>
    <row r="297" spans="1:146" ht="96" x14ac:dyDescent="0.25">
      <c r="A297" s="7"/>
      <c r="B297" s="7"/>
      <c r="C297" s="7" t="str">
        <f>""&amp;CHAR(10)&amp;Basic_Fundamental_Information_Constructure(F297)&amp;CHAR(10)&amp;Basic_Fundamental_Information_Concatenate("")</f>
        <v xml:space="preserve">
市值255.84亿, 利润9.07亿; PE28.19; 平均PE160.95; 平均PEG.52, PB1.71; ROIC16.7867%; ROE18.1267%; 股利率0%; 毛利24.25%; 净利12.5033%; 上一年度营收增-25.1%, 利润增-86.63%, 利润增-52.47%; 过往5年营收增310.35%, 利润增-418.5%
Income profile:
</v>
      </c>
      <c r="D297" s="11">
        <v>1888</v>
      </c>
      <c r="E297" t="s">
        <v>4230</v>
      </c>
      <c r="F297">
        <v>8.1999999999999993</v>
      </c>
      <c r="G297" s="5">
        <v>-1.09E-2</v>
      </c>
      <c r="H297" t="s">
        <v>10194</v>
      </c>
      <c r="I297">
        <v>25584000000</v>
      </c>
      <c r="J297">
        <v>28.19</v>
      </c>
      <c r="K297">
        <v>1.71</v>
      </c>
      <c r="L297" t="s">
        <v>6350</v>
      </c>
      <c r="M297" t="s">
        <v>9</v>
      </c>
      <c r="N297" t="s">
        <v>9</v>
      </c>
      <c r="O297" t="s">
        <v>9</v>
      </c>
      <c r="P297" t="s">
        <v>9</v>
      </c>
      <c r="Q297" t="s">
        <v>10195</v>
      </c>
      <c r="R297">
        <v>907402000</v>
      </c>
      <c r="S297" s="5">
        <v>-0.52470000000000006</v>
      </c>
      <c r="T297" t="s">
        <v>10196</v>
      </c>
      <c r="U297">
        <v>3120000000</v>
      </c>
      <c r="V297">
        <v>3120000000</v>
      </c>
      <c r="W297" t="s">
        <v>9</v>
      </c>
      <c r="X297" t="s">
        <v>9</v>
      </c>
      <c r="Y297" t="s">
        <v>9</v>
      </c>
      <c r="Z297" t="s">
        <v>9</v>
      </c>
      <c r="AA297" t="s">
        <v>9</v>
      </c>
      <c r="AB297" t="s">
        <v>9</v>
      </c>
      <c r="AC297" t="s">
        <v>9</v>
      </c>
      <c r="AD297" t="s">
        <v>9</v>
      </c>
      <c r="AE297" t="s">
        <v>9</v>
      </c>
      <c r="AF297" t="s">
        <v>9</v>
      </c>
      <c r="AG297" t="s">
        <v>9</v>
      </c>
      <c r="AH297" t="s">
        <v>10197</v>
      </c>
      <c r="AI297" t="s">
        <v>9</v>
      </c>
      <c r="AJ297" t="s">
        <v>9</v>
      </c>
      <c r="AK297" t="s">
        <v>10198</v>
      </c>
      <c r="AL297" t="s">
        <v>9</v>
      </c>
      <c r="AM297" t="s">
        <v>9</v>
      </c>
      <c r="AN297" s="5">
        <v>0.36449999999999999</v>
      </c>
      <c r="AO297" t="s">
        <v>9</v>
      </c>
      <c r="AP297" t="s">
        <v>622</v>
      </c>
      <c r="AQ297" t="s">
        <v>9</v>
      </c>
      <c r="AR297" t="s">
        <v>10199</v>
      </c>
      <c r="AS297" t="s">
        <v>9</v>
      </c>
      <c r="AT297" t="s">
        <v>9</v>
      </c>
      <c r="AU297" t="s">
        <v>10200</v>
      </c>
      <c r="AV297" t="s">
        <v>7715</v>
      </c>
      <c r="AW297" t="s">
        <v>9</v>
      </c>
      <c r="AX297" t="s">
        <v>4231</v>
      </c>
      <c r="AY297" t="s">
        <v>4233</v>
      </c>
      <c r="AZ297" t="s">
        <v>4234</v>
      </c>
      <c r="BA297" t="s">
        <v>4235</v>
      </c>
      <c r="BB297" t="s">
        <v>4236</v>
      </c>
      <c r="BC297" t="s">
        <v>4237</v>
      </c>
      <c r="BD297" t="s">
        <v>3000</v>
      </c>
      <c r="BE297" t="s">
        <v>4238</v>
      </c>
      <c r="BF297" t="s">
        <v>3251</v>
      </c>
      <c r="BG297" t="s">
        <v>4239</v>
      </c>
      <c r="BH297" t="s">
        <v>4231</v>
      </c>
      <c r="BI297" t="s">
        <v>9</v>
      </c>
      <c r="BJ297" t="s">
        <v>4233</v>
      </c>
      <c r="BK297" t="s">
        <v>4113</v>
      </c>
      <c r="BL297" t="s">
        <v>9</v>
      </c>
      <c r="BM297" t="s">
        <v>4237</v>
      </c>
      <c r="BN297">
        <v>4.67</v>
      </c>
      <c r="BO297">
        <v>9.27</v>
      </c>
      <c r="BP297">
        <v>36.42</v>
      </c>
      <c r="BQ297">
        <v>6.07</v>
      </c>
      <c r="BR297">
        <v>12.69</v>
      </c>
      <c r="BS297">
        <v>35.619999999999997</v>
      </c>
      <c r="BT297" t="s">
        <v>10201</v>
      </c>
      <c r="BU297" t="s">
        <v>589</v>
      </c>
      <c r="BV297">
        <v>15.98</v>
      </c>
      <c r="BW297">
        <v>22.76</v>
      </c>
      <c r="BX297">
        <v>34.01</v>
      </c>
      <c r="BY297">
        <v>5.42</v>
      </c>
      <c r="BZ297">
        <v>8.5399999999999991</v>
      </c>
      <c r="CA297">
        <v>23.55</v>
      </c>
      <c r="CB297">
        <v>-7.45</v>
      </c>
      <c r="CC297">
        <v>2.5</v>
      </c>
      <c r="CD297" t="s">
        <v>10202</v>
      </c>
      <c r="CE297" t="s">
        <v>2072</v>
      </c>
      <c r="CF297" s="8" t="s">
        <v>9</v>
      </c>
      <c r="CG297" s="9">
        <v>-0.52470000000000006</v>
      </c>
      <c r="CH297" s="8">
        <v>-0.25102844834327698</v>
      </c>
      <c r="CI297" s="8">
        <v>-0.22347220778465271</v>
      </c>
      <c r="CJ297" s="8">
        <v>0.66464364528656006</v>
      </c>
      <c r="CK297" s="8">
        <v>-0.16201686859130859</v>
      </c>
      <c r="CL297" s="8">
        <v>0.1258588582277298</v>
      </c>
      <c r="CM297" s="9">
        <v>-0.86626368761062622</v>
      </c>
      <c r="CN297" s="9">
        <v>1.4195504188537598</v>
      </c>
      <c r="CO297" s="9">
        <v>0.16694429516792297</v>
      </c>
      <c r="CP297" s="9">
        <v>-0.26092308759689331</v>
      </c>
      <c r="CQ297" s="9">
        <v>-0.13678620755672455</v>
      </c>
      <c r="CR297">
        <v>160.94724685151877</v>
      </c>
      <c r="CS297">
        <v>0.51859631007522788</v>
      </c>
      <c r="CT297">
        <v>0</v>
      </c>
      <c r="CU297" s="8">
        <v>3.103517007827759</v>
      </c>
      <c r="CV297" s="9">
        <v>-4.1850264817476273</v>
      </c>
      <c r="CW297">
        <v>0.06</v>
      </c>
      <c r="CX297">
        <v>7.2863627185284434</v>
      </c>
      <c r="CY297">
        <v>3511216911.4148841</v>
      </c>
      <c r="CZ297">
        <v>3.103517007827759</v>
      </c>
      <c r="DA297">
        <v>0.40714994617181971</v>
      </c>
      <c r="DB297">
        <v>62836800644.456917</v>
      </c>
      <c r="DC297">
        <v>2.9483411574363707</v>
      </c>
      <c r="DD297">
        <v>1.0623312765933512E-2</v>
      </c>
      <c r="DE297">
        <v>2408288314925.8228</v>
      </c>
      <c r="DF297">
        <v>2.7310949668884281</v>
      </c>
      <c r="DG297">
        <v>1.3381667074556852E-4</v>
      </c>
      <c r="DH297">
        <v>191186941488358.91</v>
      </c>
      <c r="DI297">
        <v>2.4828136062622073</v>
      </c>
      <c r="DJ297">
        <v>5.6486233632789476E-9</v>
      </c>
      <c r="DK297">
        <v>4.5292451549024579E+18</v>
      </c>
      <c r="DL297">
        <v>2.1724619054794312</v>
      </c>
      <c r="DM297">
        <v>907000000</v>
      </c>
      <c r="DN297">
        <v>3.103517007827759</v>
      </c>
      <c r="DO297">
        <v>25584000000</v>
      </c>
      <c r="DP297" t="e">
        <v>#VALUE!</v>
      </c>
      <c r="DQ297">
        <v>296</v>
      </c>
      <c r="DR297" t="e">
        <v>#VALUE!</v>
      </c>
      <c r="DS297">
        <v>3.6603264817476271</v>
      </c>
      <c r="DT297" t="e">
        <v>#VALUE!</v>
      </c>
      <c r="DU297" t="e">
        <v>#VALUE!</v>
      </c>
      <c r="DV297" t="e">
        <v>#VALUE!</v>
      </c>
      <c r="DW297">
        <v>-5.3355704697986575</v>
      </c>
      <c r="DX297">
        <v>0.3358614334470984</v>
      </c>
      <c r="DY297">
        <v>-5.0254568568614424</v>
      </c>
      <c r="DZ297">
        <v>0</v>
      </c>
      <c r="EA297">
        <v>-5.0254568568614424</v>
      </c>
      <c r="EB297">
        <v>5</v>
      </c>
      <c r="EC297">
        <v>7.1241666666666658E-3</v>
      </c>
      <c r="ED297">
        <v>9.391025641025641E-2</v>
      </c>
      <c r="EE297">
        <v>0</v>
      </c>
      <c r="EF297">
        <v>0</v>
      </c>
      <c r="EG297">
        <v>26.075861433447098</v>
      </c>
      <c r="EH297" t="s">
        <v>110</v>
      </c>
      <c r="EI297">
        <v>0</v>
      </c>
      <c r="EJ297">
        <v>0</v>
      </c>
      <c r="EK297">
        <v>0</v>
      </c>
      <c r="EL297">
        <v>0</v>
      </c>
      <c r="EM297">
        <v>0</v>
      </c>
      <c r="EN297">
        <v>0</v>
      </c>
      <c r="EO297">
        <v>0</v>
      </c>
      <c r="EP297">
        <v>0</v>
      </c>
    </row>
    <row r="298" spans="1:146" ht="84" x14ac:dyDescent="0.25">
      <c r="A298" s="7"/>
      <c r="B298" s="7"/>
      <c r="C298" s="7" t="str">
        <f>""&amp;CHAR(10)&amp;Basic_Fundamental_Information_Constructure(F298)&amp;CHAR(10)&amp;Basic_Fundamental_Information_Concatenate("")</f>
        <v xml:space="preserve">
市值30.415155亿, 利润7.99亿; PE3.75; 平均PE2.11; 平均PEG.13, PB.575; ROIC12.855%; ROE17.845%; 股利率0%; 毛利60.18%; 净利48.945%; 上一年度营收增-.37%, 利润增0%; 过往5年营收增15.81%, 利润增101.79%
Income profile:
</v>
      </c>
      <c r="D298" s="11">
        <v>1890</v>
      </c>
      <c r="E298" t="s">
        <v>4240</v>
      </c>
      <c r="F298">
        <v>1.51</v>
      </c>
      <c r="G298" s="5">
        <v>-2.58E-2</v>
      </c>
      <c r="H298" t="s">
        <v>10203</v>
      </c>
      <c r="I298">
        <v>3041515500</v>
      </c>
      <c r="J298">
        <v>3.75</v>
      </c>
      <c r="K298">
        <v>0.57499999999999996</v>
      </c>
      <c r="L298" t="s">
        <v>6350</v>
      </c>
      <c r="M298" t="s">
        <v>9</v>
      </c>
      <c r="N298" t="s">
        <v>9</v>
      </c>
      <c r="O298" t="s">
        <v>9</v>
      </c>
      <c r="P298" t="s">
        <v>9</v>
      </c>
      <c r="Q298" t="s">
        <v>2784</v>
      </c>
      <c r="R298">
        <v>799004960</v>
      </c>
      <c r="S298" s="5">
        <v>0</v>
      </c>
      <c r="T298" t="s">
        <v>169</v>
      </c>
      <c r="U298">
        <v>2014248700</v>
      </c>
      <c r="V298">
        <v>2014248700</v>
      </c>
      <c r="W298" t="s">
        <v>9</v>
      </c>
      <c r="X298" t="s">
        <v>9</v>
      </c>
      <c r="Y298" t="s">
        <v>9</v>
      </c>
      <c r="Z298" t="s">
        <v>9</v>
      </c>
      <c r="AA298" t="s">
        <v>9</v>
      </c>
      <c r="AB298" t="s">
        <v>9</v>
      </c>
      <c r="AC298" t="s">
        <v>9</v>
      </c>
      <c r="AD298" t="s">
        <v>9</v>
      </c>
      <c r="AE298" t="s">
        <v>9</v>
      </c>
      <c r="AF298" t="s">
        <v>9</v>
      </c>
      <c r="AG298" t="s">
        <v>9</v>
      </c>
      <c r="AH298" t="s">
        <v>10204</v>
      </c>
      <c r="AI298" t="s">
        <v>9</v>
      </c>
      <c r="AJ298" t="s">
        <v>9</v>
      </c>
      <c r="AK298" t="s">
        <v>10205</v>
      </c>
      <c r="AL298" t="s">
        <v>9</v>
      </c>
      <c r="AM298" t="s">
        <v>9</v>
      </c>
      <c r="AN298" s="5">
        <v>0.32569999999999999</v>
      </c>
      <c r="AO298" t="s">
        <v>9</v>
      </c>
      <c r="AP298" t="s">
        <v>9</v>
      </c>
      <c r="AQ298" t="s">
        <v>9</v>
      </c>
      <c r="AR298" t="s">
        <v>3136</v>
      </c>
      <c r="AS298" t="s">
        <v>9</v>
      </c>
      <c r="AT298" t="s">
        <v>9</v>
      </c>
      <c r="AU298" t="s">
        <v>684</v>
      </c>
      <c r="AV298" t="s">
        <v>10206</v>
      </c>
      <c r="AW298" t="s">
        <v>9</v>
      </c>
      <c r="AX298" t="s">
        <v>4241</v>
      </c>
      <c r="AY298" t="s">
        <v>9</v>
      </c>
      <c r="AZ298" t="s">
        <v>211</v>
      </c>
      <c r="BA298" t="s">
        <v>4242</v>
      </c>
      <c r="BB298" t="s">
        <v>232</v>
      </c>
      <c r="BC298" t="s">
        <v>9</v>
      </c>
      <c r="BD298" t="s">
        <v>4243</v>
      </c>
      <c r="BE298" t="s">
        <v>1507</v>
      </c>
      <c r="BF298" t="s">
        <v>4244</v>
      </c>
      <c r="BG298" t="s">
        <v>4245</v>
      </c>
      <c r="BH298" t="s">
        <v>4241</v>
      </c>
      <c r="BI298" t="s">
        <v>9</v>
      </c>
      <c r="BJ298" t="s">
        <v>9</v>
      </c>
      <c r="BK298" t="s">
        <v>1600</v>
      </c>
      <c r="BL298" t="s">
        <v>9</v>
      </c>
      <c r="BM298" t="s">
        <v>9</v>
      </c>
      <c r="BN298">
        <v>12.38</v>
      </c>
      <c r="BO298">
        <v>13.33</v>
      </c>
      <c r="BP298" t="s">
        <v>9</v>
      </c>
      <c r="BQ298">
        <v>16.920000000000002</v>
      </c>
      <c r="BR298">
        <v>18.77</v>
      </c>
      <c r="BS298" t="s">
        <v>9</v>
      </c>
      <c r="BT298" t="s">
        <v>6320</v>
      </c>
      <c r="BU298" t="s">
        <v>1974</v>
      </c>
      <c r="BV298">
        <v>57.64</v>
      </c>
      <c r="BW298">
        <v>62.72</v>
      </c>
      <c r="BX298" t="s">
        <v>9</v>
      </c>
      <c r="BY298">
        <v>48.98</v>
      </c>
      <c r="BZ298">
        <v>48.91</v>
      </c>
      <c r="CA298" t="s">
        <v>9</v>
      </c>
      <c r="CB298">
        <v>-2.58</v>
      </c>
      <c r="CC298">
        <v>-18.38</v>
      </c>
      <c r="CD298" t="s">
        <v>10207</v>
      </c>
      <c r="CE298" t="s">
        <v>6493</v>
      </c>
      <c r="CF298" s="8" t="s">
        <v>9</v>
      </c>
      <c r="CG298" s="9">
        <v>0</v>
      </c>
      <c r="CH298" s="8">
        <v>-3.6652414128184319E-3</v>
      </c>
      <c r="CI298" s="8" t="s">
        <v>9</v>
      </c>
      <c r="CJ298" s="8" t="s">
        <v>9</v>
      </c>
      <c r="CK298" s="8">
        <v>0.57862597703933716</v>
      </c>
      <c r="CL298" s="8">
        <v>0.19963370263576508</v>
      </c>
      <c r="CM298" s="9" t="s">
        <v>9</v>
      </c>
      <c r="CN298" s="9" t="s">
        <v>9</v>
      </c>
      <c r="CO298" s="9">
        <v>0.31960785388946533</v>
      </c>
      <c r="CP298" s="9">
        <v>0.31105399131774902</v>
      </c>
      <c r="CQ298" s="9">
        <v>0.40433213114738464</v>
      </c>
      <c r="CR298">
        <v>2.1141210611677477</v>
      </c>
      <c r="CS298">
        <v>0.13372969450927782</v>
      </c>
      <c r="CT298">
        <v>0</v>
      </c>
      <c r="CU298" s="8">
        <v>0.1580891266465187</v>
      </c>
      <c r="CV298" s="9">
        <v>1.0178974390029907</v>
      </c>
      <c r="CW298">
        <v>0.06</v>
      </c>
      <c r="CX298">
        <v>3.4842325685240678</v>
      </c>
      <c r="CY298">
        <v>872936992.63261175</v>
      </c>
      <c r="CZ298">
        <v>0.1580891266465187</v>
      </c>
      <c r="DA298">
        <v>1.0753105930226345</v>
      </c>
      <c r="DB298">
        <v>2828499523.5195069</v>
      </c>
      <c r="DC298">
        <v>0.15018467031419275</v>
      </c>
      <c r="DD298">
        <v>0.48943465617066079</v>
      </c>
      <c r="DE298">
        <v>6214344369.8834743</v>
      </c>
      <c r="DF298">
        <v>0.13911843144893646</v>
      </c>
      <c r="DG298">
        <v>0.26832324941573127</v>
      </c>
      <c r="DH298">
        <v>11335266349.907589</v>
      </c>
      <c r="DI298">
        <v>0.12647130131721496</v>
      </c>
      <c r="DJ298">
        <v>0.11245744182294709</v>
      </c>
      <c r="DK298">
        <v>27045924668.894386</v>
      </c>
      <c r="DL298">
        <v>0.11066238865256307</v>
      </c>
      <c r="DM298">
        <v>799000000</v>
      </c>
      <c r="DN298">
        <v>0.1580891266465187</v>
      </c>
      <c r="DO298">
        <v>3041515500</v>
      </c>
      <c r="DP298" t="e">
        <v>#VALUE!</v>
      </c>
      <c r="DQ298">
        <v>297</v>
      </c>
      <c r="DR298" t="e">
        <v>#VALUE!</v>
      </c>
      <c r="DS298">
        <v>-1.0178974390029907</v>
      </c>
      <c r="DT298" t="e">
        <v>#VALUE!</v>
      </c>
      <c r="DU298" t="e">
        <v>#VALUE!</v>
      </c>
      <c r="DV298" t="e">
        <v>#VALUE!</v>
      </c>
      <c r="DW298">
        <v>-8.1403699673558219</v>
      </c>
      <c r="DX298">
        <v>0.27879289940828234</v>
      </c>
      <c r="DY298">
        <v>-8.0152712557384866</v>
      </c>
      <c r="DZ298">
        <v>0</v>
      </c>
      <c r="EA298">
        <v>-8.0152712557384866</v>
      </c>
      <c r="EB298">
        <v>8</v>
      </c>
      <c r="EC298">
        <v>9.1279691529650726E-3</v>
      </c>
      <c r="ED298">
        <v>8.3902250998101668E-2</v>
      </c>
      <c r="EE298">
        <v>0</v>
      </c>
      <c r="EF298">
        <v>0</v>
      </c>
      <c r="EG298">
        <v>17.108792899408282</v>
      </c>
      <c r="EH298" t="s">
        <v>110</v>
      </c>
      <c r="EI298">
        <v>0</v>
      </c>
      <c r="EJ298">
        <v>0</v>
      </c>
      <c r="EK298">
        <v>0</v>
      </c>
      <c r="EL298">
        <v>0</v>
      </c>
      <c r="EM298">
        <v>0</v>
      </c>
      <c r="EN298">
        <v>0</v>
      </c>
      <c r="EO298">
        <v>0</v>
      </c>
      <c r="EP298">
        <v>0</v>
      </c>
    </row>
    <row r="299" spans="1:146" ht="96" x14ac:dyDescent="0.25">
      <c r="A299" s="7"/>
      <c r="B299" s="7"/>
      <c r="C299" s="7" t="str">
        <f>""&amp;CHAR(10)&amp;Basic_Fundamental_Information_Constructure(F299)&amp;CHAR(10)&amp;Basic_Fundamental_Information_Concatenate("")</f>
        <v xml:space="preserve">
市值94.991371亿, 利润9.98亿; PE9.52; 平均PE73.91; 平均PEG3, PB.958; ROIC5.2567%; ROE5.3233%; 股利率0%; 毛利49.8433%; 净利11.5633%; 上一年度营收增99.27%, 利润增121.29%, 利润增741%; 过往5年营收增-24.65%, 利润增-82.7%
Income profile:
</v>
      </c>
      <c r="D299" s="11">
        <v>1896</v>
      </c>
      <c r="E299" t="s">
        <v>4247</v>
      </c>
      <c r="F299">
        <v>8.1999999999999993</v>
      </c>
      <c r="G299" s="5">
        <v>-3.1899999999999998E-2</v>
      </c>
      <c r="H299" t="s">
        <v>10208</v>
      </c>
      <c r="I299">
        <v>9499137100</v>
      </c>
      <c r="J299">
        <v>9.52</v>
      </c>
      <c r="K299">
        <v>0.95799999999999996</v>
      </c>
      <c r="L299" t="s">
        <v>6350</v>
      </c>
      <c r="M299" t="s">
        <v>9</v>
      </c>
      <c r="N299" t="s">
        <v>9</v>
      </c>
      <c r="O299" t="s">
        <v>9</v>
      </c>
      <c r="P299" t="s">
        <v>9</v>
      </c>
      <c r="Q299" t="s">
        <v>10209</v>
      </c>
      <c r="R299">
        <v>997993630</v>
      </c>
      <c r="S299" s="5">
        <v>7.41</v>
      </c>
      <c r="T299" t="s">
        <v>171</v>
      </c>
      <c r="U299">
        <v>1158013340</v>
      </c>
      <c r="V299">
        <v>1158013340</v>
      </c>
      <c r="W299" t="s">
        <v>9</v>
      </c>
      <c r="X299" t="s">
        <v>9</v>
      </c>
      <c r="Y299" t="s">
        <v>9</v>
      </c>
      <c r="Z299" t="s">
        <v>9</v>
      </c>
      <c r="AA299" t="s">
        <v>9</v>
      </c>
      <c r="AB299" t="s">
        <v>9</v>
      </c>
      <c r="AC299" t="s">
        <v>9</v>
      </c>
      <c r="AD299" t="s">
        <v>896</v>
      </c>
      <c r="AE299" t="s">
        <v>9</v>
      </c>
      <c r="AF299" t="s">
        <v>9</v>
      </c>
      <c r="AG299" t="s">
        <v>9</v>
      </c>
      <c r="AH299" t="s">
        <v>10210</v>
      </c>
      <c r="AI299" t="s">
        <v>9</v>
      </c>
      <c r="AJ299" t="s">
        <v>9</v>
      </c>
      <c r="AK299" t="s">
        <v>10211</v>
      </c>
      <c r="AL299" t="s">
        <v>9</v>
      </c>
      <c r="AM299" t="s">
        <v>9</v>
      </c>
      <c r="AN299" s="5">
        <v>0.27929999999999999</v>
      </c>
      <c r="AO299" t="s">
        <v>9</v>
      </c>
      <c r="AP299" t="s">
        <v>3007</v>
      </c>
      <c r="AQ299" t="s">
        <v>9</v>
      </c>
      <c r="AR299" t="s">
        <v>3793</v>
      </c>
      <c r="AS299" t="s">
        <v>9</v>
      </c>
      <c r="AT299" t="s">
        <v>9</v>
      </c>
      <c r="AU299" t="s">
        <v>2391</v>
      </c>
      <c r="AV299" t="s">
        <v>6006</v>
      </c>
      <c r="AW299" t="s">
        <v>9</v>
      </c>
      <c r="AX299" t="s">
        <v>4248</v>
      </c>
      <c r="AY299" t="s">
        <v>4250</v>
      </c>
      <c r="AZ299" t="s">
        <v>4251</v>
      </c>
      <c r="BA299" t="s">
        <v>4252</v>
      </c>
      <c r="BB299" t="s">
        <v>4253</v>
      </c>
      <c r="BC299" t="s">
        <v>4254</v>
      </c>
      <c r="BD299" t="s">
        <v>4255</v>
      </c>
      <c r="BE299" t="s">
        <v>1317</v>
      </c>
      <c r="BF299" t="s">
        <v>4256</v>
      </c>
      <c r="BG299" t="s">
        <v>4257</v>
      </c>
      <c r="BH299" t="s">
        <v>4248</v>
      </c>
      <c r="BI299" t="s">
        <v>9</v>
      </c>
      <c r="BJ299" t="s">
        <v>4250</v>
      </c>
      <c r="BK299" t="s">
        <v>760</v>
      </c>
      <c r="BL299" t="s">
        <v>9</v>
      </c>
      <c r="BM299" t="s">
        <v>4254</v>
      </c>
      <c r="BN299">
        <v>10.23</v>
      </c>
      <c r="BO299">
        <v>1.24</v>
      </c>
      <c r="BP299">
        <v>4.3</v>
      </c>
      <c r="BQ299">
        <v>10.07</v>
      </c>
      <c r="BR299">
        <v>1.29</v>
      </c>
      <c r="BS299">
        <v>4.6100000000000003</v>
      </c>
      <c r="BT299" t="s">
        <v>9</v>
      </c>
      <c r="BU299" t="s">
        <v>743</v>
      </c>
      <c r="BV299">
        <v>50.13</v>
      </c>
      <c r="BW299">
        <v>43.97</v>
      </c>
      <c r="BX299">
        <v>55.43</v>
      </c>
      <c r="BY299">
        <v>19.079999999999998</v>
      </c>
      <c r="BZ299">
        <v>4.5199999999999996</v>
      </c>
      <c r="CA299">
        <v>11.09</v>
      </c>
      <c r="CB299">
        <v>-6.29</v>
      </c>
      <c r="CC299">
        <v>-14.76</v>
      </c>
      <c r="CD299" t="s">
        <v>10212</v>
      </c>
      <c r="CE299" t="s">
        <v>10213</v>
      </c>
      <c r="CF299" s="8" t="s">
        <v>9</v>
      </c>
      <c r="CG299" s="9">
        <v>7.41</v>
      </c>
      <c r="CH299" s="8">
        <v>0.99273985624313354</v>
      </c>
      <c r="CI299" s="8">
        <v>-0.35700249671936035</v>
      </c>
      <c r="CJ299" s="8">
        <v>1.5000001192092896</v>
      </c>
      <c r="CK299" s="8">
        <v>-0.61918127536773682</v>
      </c>
      <c r="CL299" s="8">
        <v>0.39934533834457397</v>
      </c>
      <c r="CM299" s="9">
        <v>1.2128603458404541</v>
      </c>
      <c r="CN299" s="9">
        <v>1.5857142210006714</v>
      </c>
      <c r="CO299" s="9">
        <v>-2.4864864349365234</v>
      </c>
      <c r="CP299" s="9">
        <v>4.3205127716064453</v>
      </c>
      <c r="CQ299" s="9">
        <v>-0.72414171695709229</v>
      </c>
      <c r="CR299">
        <v>73.913218258586454</v>
      </c>
      <c r="CS299">
        <v>2.9986717061648385</v>
      </c>
      <c r="CT299">
        <v>0</v>
      </c>
      <c r="CU299" s="8">
        <v>-0.24648652970790863</v>
      </c>
      <c r="CV299" s="9">
        <v>-0.82699278593063352</v>
      </c>
      <c r="CW299">
        <v>0.06</v>
      </c>
      <c r="CX299">
        <v>9.5181734468937869</v>
      </c>
      <c r="CY299" t="s">
        <v>10214</v>
      </c>
      <c r="CZ299">
        <v>-0.24648652970790863</v>
      </c>
      <c r="DA299">
        <v>3.1727244822979292</v>
      </c>
      <c r="DB299" t="s">
        <v>10215</v>
      </c>
      <c r="DC299">
        <v>-0.23416220322251319</v>
      </c>
      <c r="DD299">
        <v>1.5863622411489646</v>
      </c>
      <c r="DE299" t="s">
        <v>10216</v>
      </c>
      <c r="DF299">
        <v>-0.21690814614295958</v>
      </c>
      <c r="DG299">
        <v>0.95181734468937873</v>
      </c>
      <c r="DH299" t="s">
        <v>10217</v>
      </c>
      <c r="DI299">
        <v>-0.19718922376632692</v>
      </c>
      <c r="DJ299">
        <v>0.47590867234468937</v>
      </c>
      <c r="DK299" t="s">
        <v>10218</v>
      </c>
      <c r="DL299">
        <v>-0.17254057079553603</v>
      </c>
      <c r="DM299">
        <v>998000000</v>
      </c>
      <c r="DN299">
        <v>-0.24648652970790863</v>
      </c>
      <c r="DO299">
        <v>9499137100</v>
      </c>
      <c r="DP299" t="e">
        <v>#VALUE!</v>
      </c>
      <c r="DQ299">
        <v>298</v>
      </c>
      <c r="DR299" t="e">
        <v>#VALUE!</v>
      </c>
      <c r="DS299">
        <v>8.2369927859306333</v>
      </c>
      <c r="DT299" t="e">
        <v>#VALUE!</v>
      </c>
      <c r="DU299" t="e">
        <v>#VALUE!</v>
      </c>
      <c r="DV299" t="e">
        <v>#VALUE!</v>
      </c>
      <c r="DW299">
        <v>-9.426151761517616</v>
      </c>
      <c r="DX299">
        <v>0.60712472022691855</v>
      </c>
      <c r="DY299">
        <v>-9.0499129058419605</v>
      </c>
      <c r="DZ299">
        <v>0</v>
      </c>
      <c r="EA299">
        <v>-9.0499129058419605</v>
      </c>
      <c r="EB299">
        <v>9</v>
      </c>
      <c r="EC299">
        <v>9.4016188103670725E-3</v>
      </c>
      <c r="ED299">
        <v>8.0270146110752061E-2</v>
      </c>
      <c r="EE299">
        <v>0</v>
      </c>
      <c r="EF299">
        <v>0</v>
      </c>
      <c r="EG299">
        <v>49.117124720226919</v>
      </c>
      <c r="EH299" t="s">
        <v>110</v>
      </c>
      <c r="EI299">
        <v>0</v>
      </c>
      <c r="EJ299">
        <v>0</v>
      </c>
      <c r="EK299">
        <v>0</v>
      </c>
      <c r="EL299">
        <v>0</v>
      </c>
      <c r="EM299">
        <v>0</v>
      </c>
      <c r="EN299">
        <v>0</v>
      </c>
      <c r="EO299">
        <v>0</v>
      </c>
      <c r="EP299">
        <v>0</v>
      </c>
    </row>
    <row r="300" spans="1:146" ht="108" x14ac:dyDescent="0.25">
      <c r="A300" s="7"/>
      <c r="B300" s="7"/>
      <c r="C300" s="7" t="str">
        <f>""&amp;CHAR(10)&amp;Basic_Fundamental_Information_Constructure(F300)&amp;CHAR(10)&amp;Basic_Fundamental_Information_Concatenate("")</f>
        <v xml:space="preserve">
市值1189.30211亿, 利润221.25亿; PE6.16; 平均PE28.88; 平均PEG4.58, PB.736; ROIC8.58%; ROE14.0333%; 毛利20.15%; 净利11.66%; 上一年度营收增-14.99%, 利润增19.09%; 当季营收增-36.51%, 利润增-34.46%; 过往5年营收增6.3%, 利润增25.59%
Income profile:
</v>
      </c>
      <c r="D300" s="11">
        <v>1898</v>
      </c>
      <c r="E300" t="s">
        <v>4258</v>
      </c>
      <c r="F300">
        <v>8.9700000000000006</v>
      </c>
      <c r="G300" s="5">
        <v>-2.7099999999999999E-2</v>
      </c>
      <c r="H300" t="s">
        <v>10219</v>
      </c>
      <c r="I300">
        <v>118930211000</v>
      </c>
      <c r="J300">
        <v>6.16</v>
      </c>
      <c r="K300">
        <v>0.73599999999999999</v>
      </c>
      <c r="L300" t="s">
        <v>6350</v>
      </c>
      <c r="M300" t="s">
        <v>10220</v>
      </c>
      <c r="N300" t="s">
        <v>10221</v>
      </c>
      <c r="O300" t="s">
        <v>10222</v>
      </c>
      <c r="P300">
        <v>-23.27</v>
      </c>
      <c r="Q300" t="s">
        <v>10223</v>
      </c>
      <c r="R300">
        <v>22125260000</v>
      </c>
      <c r="S300" s="5">
        <v>-0.34460000000000002</v>
      </c>
      <c r="T300" t="s">
        <v>10224</v>
      </c>
      <c r="U300">
        <v>4106663000</v>
      </c>
      <c r="V300">
        <v>13258663400</v>
      </c>
      <c r="W300">
        <v>2.35</v>
      </c>
      <c r="X300">
        <v>0.12</v>
      </c>
      <c r="Y300">
        <v>20</v>
      </c>
      <c r="Z300" t="s">
        <v>10225</v>
      </c>
      <c r="AA300" t="s">
        <v>10226</v>
      </c>
      <c r="AB300" t="s">
        <v>142</v>
      </c>
      <c r="AC300" t="s">
        <v>10227</v>
      </c>
      <c r="AD300" t="s">
        <v>154</v>
      </c>
      <c r="AE300" t="s">
        <v>226</v>
      </c>
      <c r="AF300" t="s">
        <v>9</v>
      </c>
      <c r="AG300" t="s">
        <v>26</v>
      </c>
      <c r="AH300" t="s">
        <v>10228</v>
      </c>
      <c r="AI300" t="s">
        <v>10229</v>
      </c>
      <c r="AJ300" t="s">
        <v>10230</v>
      </c>
      <c r="AK300" t="s">
        <v>10231</v>
      </c>
      <c r="AL300" t="s">
        <v>9</v>
      </c>
      <c r="AM300" t="s">
        <v>10232</v>
      </c>
      <c r="AN300" s="5">
        <v>0.46150000000000002</v>
      </c>
      <c r="AO300" t="s">
        <v>378</v>
      </c>
      <c r="AP300" t="s">
        <v>10233</v>
      </c>
      <c r="AQ300" t="s">
        <v>10234</v>
      </c>
      <c r="AR300" t="s">
        <v>10235</v>
      </c>
      <c r="AS300" t="s">
        <v>10236</v>
      </c>
      <c r="AT300" t="s">
        <v>10237</v>
      </c>
      <c r="AU300" t="s">
        <v>10238</v>
      </c>
      <c r="AV300" t="s">
        <v>10239</v>
      </c>
      <c r="AW300" t="s">
        <v>3733</v>
      </c>
      <c r="AX300" t="s">
        <v>4259</v>
      </c>
      <c r="AY300" t="s">
        <v>4261</v>
      </c>
      <c r="AZ300" t="s">
        <v>4262</v>
      </c>
      <c r="BA300" t="s">
        <v>4263</v>
      </c>
      <c r="BB300" t="s">
        <v>4264</v>
      </c>
      <c r="BC300" t="s">
        <v>10240</v>
      </c>
      <c r="BD300" t="s">
        <v>4265</v>
      </c>
      <c r="BE300" t="s">
        <v>1321</v>
      </c>
      <c r="BF300" t="s">
        <v>401</v>
      </c>
      <c r="BG300" t="s">
        <v>4266</v>
      </c>
      <c r="BH300" t="s">
        <v>4259</v>
      </c>
      <c r="BI300" t="s">
        <v>4267</v>
      </c>
      <c r="BJ300" t="s">
        <v>4261</v>
      </c>
      <c r="BK300" t="s">
        <v>4260</v>
      </c>
      <c r="BL300" t="s">
        <v>4268</v>
      </c>
      <c r="BM300" t="s">
        <v>10240</v>
      </c>
      <c r="BN300">
        <v>9.32</v>
      </c>
      <c r="BO300">
        <v>9.2100000000000009</v>
      </c>
      <c r="BP300">
        <v>7.21</v>
      </c>
      <c r="BQ300">
        <v>14.03</v>
      </c>
      <c r="BR300">
        <v>15.11</v>
      </c>
      <c r="BS300">
        <v>12.96</v>
      </c>
      <c r="BT300" t="s">
        <v>10241</v>
      </c>
      <c r="BU300" t="s">
        <v>1919</v>
      </c>
      <c r="BV300">
        <v>21.55</v>
      </c>
      <c r="BW300">
        <v>22.49</v>
      </c>
      <c r="BX300">
        <v>16.41</v>
      </c>
      <c r="BY300">
        <v>13.69</v>
      </c>
      <c r="BZ300">
        <v>12.28</v>
      </c>
      <c r="CA300">
        <v>9.01</v>
      </c>
      <c r="CB300">
        <v>-9.94</v>
      </c>
      <c r="CC300">
        <v>5.04</v>
      </c>
      <c r="CD300" t="s">
        <v>129</v>
      </c>
      <c r="CE300" t="s">
        <v>7963</v>
      </c>
      <c r="CF300" s="8">
        <v>-0.36514921735362615</v>
      </c>
      <c r="CG300" s="9">
        <v>-0.34460000000000002</v>
      </c>
      <c r="CH300" s="8">
        <v>-0.14990372955799103</v>
      </c>
      <c r="CI300" s="8">
        <v>-0.15267816185951233</v>
      </c>
      <c r="CJ300" s="8">
        <v>0.74786919355392456</v>
      </c>
      <c r="CK300" s="8">
        <v>0.41697174310684204</v>
      </c>
      <c r="CL300" s="8">
        <v>0.21334357559680939</v>
      </c>
      <c r="CM300" s="9">
        <v>0.19092479348182678</v>
      </c>
      <c r="CN300" s="9">
        <v>1.9114557504653931</v>
      </c>
      <c r="CO300" s="9">
        <v>-7.8555956482887268E-2</v>
      </c>
      <c r="CP300" s="9">
        <v>0.38030701875686646</v>
      </c>
      <c r="CQ300" s="9">
        <v>0.24275451898574829</v>
      </c>
      <c r="CR300">
        <v>28.875901019747491</v>
      </c>
      <c r="CS300">
        <v>4.5799558884169311</v>
      </c>
      <c r="CT300" t="e">
        <v>#VALUE!</v>
      </c>
      <c r="CU300" s="8">
        <v>6.3048426061868668E-2</v>
      </c>
      <c r="CV300" s="9">
        <v>0.25592524260282518</v>
      </c>
      <c r="CW300">
        <v>0.06</v>
      </c>
      <c r="CX300">
        <v>4.0428460990193464</v>
      </c>
      <c r="CY300">
        <v>22188628704.357399</v>
      </c>
      <c r="CZ300">
        <v>6.3048426061868668E-2</v>
      </c>
      <c r="DA300">
        <v>1.3517561586333311</v>
      </c>
      <c r="DB300">
        <v>66361976919.48735</v>
      </c>
      <c r="DC300">
        <v>5.9896004758775233E-2</v>
      </c>
      <c r="DD300">
        <v>0.68590398105682771</v>
      </c>
      <c r="DE300">
        <v>130783919436.92168</v>
      </c>
      <c r="DF300">
        <v>5.5482614934444431E-2</v>
      </c>
      <c r="DG300">
        <v>0.42602056366036034</v>
      </c>
      <c r="DH300">
        <v>210565448365.34317</v>
      </c>
      <c r="DI300">
        <v>5.0438740849494935E-2</v>
      </c>
      <c r="DJ300">
        <v>0.23661104458090884</v>
      </c>
      <c r="DK300">
        <v>379125205921.3382</v>
      </c>
      <c r="DL300">
        <v>4.4133898243308066E-2</v>
      </c>
      <c r="DM300">
        <v>22125000000</v>
      </c>
      <c r="DN300">
        <v>6.3048426061868668E-2</v>
      </c>
      <c r="DO300">
        <v>89705211000</v>
      </c>
      <c r="DP300" t="e">
        <v>#VALUE!</v>
      </c>
      <c r="DQ300">
        <v>299</v>
      </c>
      <c r="DR300">
        <v>-0.42819764341549482</v>
      </c>
      <c r="DS300">
        <v>-0.60052524260282514</v>
      </c>
      <c r="DT300">
        <v>-0.3066666666666667</v>
      </c>
      <c r="DU300">
        <v>0.81666666666666654</v>
      </c>
      <c r="DV300">
        <v>0.50999999999999979</v>
      </c>
      <c r="DW300">
        <v>-5.507042253521127</v>
      </c>
      <c r="DX300">
        <v>0.60432584269662692</v>
      </c>
      <c r="DY300">
        <v>-5.0833201455926567</v>
      </c>
      <c r="DZ300">
        <v>0</v>
      </c>
      <c r="EA300">
        <v>-5.0833201455926567</v>
      </c>
      <c r="EB300">
        <v>5</v>
      </c>
      <c r="EC300">
        <v>8.8244189078666851E-3</v>
      </c>
      <c r="ED300">
        <v>5.3700737285479319E-2</v>
      </c>
      <c r="EE300">
        <v>0</v>
      </c>
      <c r="EF300">
        <v>0</v>
      </c>
      <c r="EG300">
        <v>44.164325842696627</v>
      </c>
      <c r="EH300" t="s">
        <v>110</v>
      </c>
      <c r="EI300">
        <v>0</v>
      </c>
      <c r="EJ300">
        <v>0</v>
      </c>
      <c r="EK300">
        <v>0</v>
      </c>
      <c r="EL300">
        <v>0</v>
      </c>
      <c r="EM300">
        <v>0</v>
      </c>
      <c r="EN300">
        <v>0</v>
      </c>
      <c r="EO300">
        <v>0</v>
      </c>
      <c r="EP300">
        <v>0</v>
      </c>
    </row>
    <row r="301" spans="1:146" ht="96" x14ac:dyDescent="0.25">
      <c r="A301" s="7"/>
      <c r="B301" s="7"/>
      <c r="C301" s="7" t="str">
        <f>""&amp;CHAR(10)&amp;Basic_Fundamental_Information_Constructure(F301)&amp;CHAR(10)&amp;Basic_Fundamental_Information_Concatenate("")</f>
        <v xml:space="preserve">
市值131.730011亿, 利润9.44亿; PE13.96; 平均PE30.04; 平均PEG1.85, PB.932; ROIC7.0067%; ROE15.26%; 股利率0%; 毛利10.5067%; 净利4.4067%; 上一年度营收增3.76%, 利润增-70.5%, 利润增-54.91%; 过往5年营收增16.22%, 利润增28.12%
Income profile:
</v>
      </c>
      <c r="D301" s="11">
        <v>1907</v>
      </c>
      <c r="E301" t="s">
        <v>4269</v>
      </c>
      <c r="F301">
        <v>2.99</v>
      </c>
      <c r="G301" s="5">
        <v>3.3999999999999998E-3</v>
      </c>
      <c r="H301" t="s">
        <v>10242</v>
      </c>
      <c r="I301">
        <v>13173001100</v>
      </c>
      <c r="J301">
        <v>13.96</v>
      </c>
      <c r="K301">
        <v>0.93200000000000005</v>
      </c>
      <c r="L301" t="s">
        <v>6350</v>
      </c>
      <c r="M301" t="s">
        <v>9</v>
      </c>
      <c r="N301" t="s">
        <v>9</v>
      </c>
      <c r="O301" t="s">
        <v>9</v>
      </c>
      <c r="P301" t="s">
        <v>9</v>
      </c>
      <c r="Q301" t="s">
        <v>10243</v>
      </c>
      <c r="R301">
        <v>943624310</v>
      </c>
      <c r="S301" s="5">
        <v>-0.54910000000000003</v>
      </c>
      <c r="T301" t="s">
        <v>10244</v>
      </c>
      <c r="U301">
        <v>4405686000</v>
      </c>
      <c r="V301">
        <v>4405686000</v>
      </c>
      <c r="W301" t="s">
        <v>9</v>
      </c>
      <c r="X301" t="s">
        <v>9</v>
      </c>
      <c r="Y301" t="s">
        <v>9</v>
      </c>
      <c r="Z301" t="s">
        <v>9</v>
      </c>
      <c r="AA301" t="s">
        <v>9</v>
      </c>
      <c r="AB301" t="s">
        <v>9</v>
      </c>
      <c r="AC301" t="s">
        <v>9</v>
      </c>
      <c r="AD301" t="s">
        <v>2263</v>
      </c>
      <c r="AE301" t="s">
        <v>9</v>
      </c>
      <c r="AF301" t="s">
        <v>9</v>
      </c>
      <c r="AG301" t="s">
        <v>9</v>
      </c>
      <c r="AH301" t="s">
        <v>10245</v>
      </c>
      <c r="AI301" t="s">
        <v>9</v>
      </c>
      <c r="AJ301" t="s">
        <v>9</v>
      </c>
      <c r="AK301" t="s">
        <v>10246</v>
      </c>
      <c r="AL301" t="s">
        <v>9</v>
      </c>
      <c r="AM301" t="s">
        <v>9</v>
      </c>
      <c r="AN301" s="5">
        <v>0.73119999999999996</v>
      </c>
      <c r="AO301" t="s">
        <v>9</v>
      </c>
      <c r="AP301" t="s">
        <v>10247</v>
      </c>
      <c r="AQ301" t="s">
        <v>9</v>
      </c>
      <c r="AR301" t="s">
        <v>10248</v>
      </c>
      <c r="AS301" t="s">
        <v>9</v>
      </c>
      <c r="AT301" t="s">
        <v>9</v>
      </c>
      <c r="AU301" t="s">
        <v>2715</v>
      </c>
      <c r="AV301" t="s">
        <v>10249</v>
      </c>
      <c r="AW301" t="s">
        <v>9</v>
      </c>
      <c r="AX301" t="s">
        <v>4270</v>
      </c>
      <c r="AY301" t="s">
        <v>4272</v>
      </c>
      <c r="AZ301" t="s">
        <v>4273</v>
      </c>
      <c r="BA301" t="s">
        <v>4274</v>
      </c>
      <c r="BB301" t="s">
        <v>4275</v>
      </c>
      <c r="BC301" t="s">
        <v>4276</v>
      </c>
      <c r="BD301" t="s">
        <v>1624</v>
      </c>
      <c r="BE301" t="s">
        <v>1415</v>
      </c>
      <c r="BF301" t="s">
        <v>3854</v>
      </c>
      <c r="BG301" t="s">
        <v>3475</v>
      </c>
      <c r="BH301" t="s">
        <v>4270</v>
      </c>
      <c r="BI301" t="s">
        <v>9</v>
      </c>
      <c r="BJ301" t="s">
        <v>4272</v>
      </c>
      <c r="BK301" t="s">
        <v>1475</v>
      </c>
      <c r="BL301" t="s">
        <v>9</v>
      </c>
      <c r="BM301" t="s">
        <v>4276</v>
      </c>
      <c r="BN301">
        <v>2.4300000000000002</v>
      </c>
      <c r="BO301">
        <v>6.52</v>
      </c>
      <c r="BP301">
        <v>12.07</v>
      </c>
      <c r="BQ301">
        <v>6.67</v>
      </c>
      <c r="BR301">
        <v>15.32</v>
      </c>
      <c r="BS301">
        <v>23.79</v>
      </c>
      <c r="BT301" t="s">
        <v>2549</v>
      </c>
      <c r="BU301" t="s">
        <v>937</v>
      </c>
      <c r="BV301">
        <v>7.22</v>
      </c>
      <c r="BW301">
        <v>9.91</v>
      </c>
      <c r="BX301">
        <v>14.39</v>
      </c>
      <c r="BY301">
        <v>2.15</v>
      </c>
      <c r="BZ301">
        <v>4.3099999999999996</v>
      </c>
      <c r="CA301">
        <v>6.76</v>
      </c>
      <c r="CB301">
        <v>-1.64</v>
      </c>
      <c r="CC301">
        <v>-4.99</v>
      </c>
      <c r="CD301" t="s">
        <v>10250</v>
      </c>
      <c r="CE301" t="s">
        <v>165</v>
      </c>
      <c r="CF301" s="8" t="s">
        <v>9</v>
      </c>
      <c r="CG301" s="9">
        <v>-0.54910000000000003</v>
      </c>
      <c r="CH301" s="8">
        <v>3.7623759359121323E-2</v>
      </c>
      <c r="CI301" s="8">
        <v>9.4796204939484596E-3</v>
      </c>
      <c r="CJ301" s="8">
        <v>1.0443134307861328</v>
      </c>
      <c r="CK301" s="8">
        <v>6.2297265976667404E-3</v>
      </c>
      <c r="CL301" s="8">
        <v>4.7699935734272003E-2</v>
      </c>
      <c r="CM301" s="9">
        <v>-0.70499998331069946</v>
      </c>
      <c r="CN301" s="9">
        <v>0.62436550855636597</v>
      </c>
      <c r="CO301" s="9">
        <v>0.29349961876869202</v>
      </c>
      <c r="CP301" s="9">
        <v>-0.35954576730728149</v>
      </c>
      <c r="CQ301" s="9">
        <v>1.6276242733001709</v>
      </c>
      <c r="CR301">
        <v>30.041051539338653</v>
      </c>
      <c r="CS301">
        <v>1.85184672280803</v>
      </c>
      <c r="CT301">
        <v>0</v>
      </c>
      <c r="CU301" s="8">
        <v>0.16222212761640548</v>
      </c>
      <c r="CV301" s="9">
        <v>0.28124038577079774</v>
      </c>
      <c r="CW301">
        <v>0.06</v>
      </c>
      <c r="CX301">
        <v>12.72710008301137</v>
      </c>
      <c r="CY301">
        <v>1035035555.1602706</v>
      </c>
      <c r="CZ301">
        <v>0.16222212761640548</v>
      </c>
      <c r="DA301">
        <v>3.9143641459255498</v>
      </c>
      <c r="DB301">
        <v>3365297813.1101418</v>
      </c>
      <c r="DC301">
        <v>0.1541110212355852</v>
      </c>
      <c r="DD301">
        <v>1.7730564735771912</v>
      </c>
      <c r="DE301">
        <v>7429544008.5013762</v>
      </c>
      <c r="DF301">
        <v>0.14275547230243682</v>
      </c>
      <c r="DG301">
        <v>0.96644505562771887</v>
      </c>
      <c r="DH301">
        <v>13630367317.099016</v>
      </c>
      <c r="DI301">
        <v>0.12977770209312439</v>
      </c>
      <c r="DJ301">
        <v>0.39950226761049468</v>
      </c>
      <c r="DK301">
        <v>32973532738.100418</v>
      </c>
      <c r="DL301">
        <v>0.11355548933148382</v>
      </c>
      <c r="DM301">
        <v>944000000</v>
      </c>
      <c r="DN301">
        <v>0.16222212761640548</v>
      </c>
      <c r="DO301">
        <v>13173001100</v>
      </c>
      <c r="DP301" t="e">
        <v>#VALUE!</v>
      </c>
      <c r="DQ301">
        <v>300</v>
      </c>
      <c r="DR301" t="e">
        <v>#VALUE!</v>
      </c>
      <c r="DS301">
        <v>-0.83034038577079783</v>
      </c>
      <c r="DT301" t="e">
        <v>#VALUE!</v>
      </c>
      <c r="DU301" t="e">
        <v>#VALUE!</v>
      </c>
      <c r="DV301" t="e">
        <v>#VALUE!</v>
      </c>
      <c r="DW301">
        <v>-1.0499000000000001</v>
      </c>
      <c r="DX301">
        <v>0.37264734299516999</v>
      </c>
      <c r="DY301">
        <v>-1.007617102415459</v>
      </c>
      <c r="DZ301">
        <v>0</v>
      </c>
      <c r="EA301">
        <v>-1.007617102415459</v>
      </c>
      <c r="EB301">
        <v>1</v>
      </c>
      <c r="EC301">
        <v>7.1720953331671847E-3</v>
      </c>
      <c r="ED301">
        <v>4.6984737450648996E-2</v>
      </c>
      <c r="EE301">
        <v>0</v>
      </c>
      <c r="EF301">
        <v>0</v>
      </c>
      <c r="EG301">
        <v>22.15264734299517</v>
      </c>
      <c r="EH301" t="s">
        <v>110</v>
      </c>
      <c r="EI301">
        <v>0</v>
      </c>
      <c r="EJ301">
        <v>0</v>
      </c>
      <c r="EK301">
        <v>0</v>
      </c>
      <c r="EL301">
        <v>0</v>
      </c>
      <c r="EM301">
        <v>0</v>
      </c>
      <c r="EN301">
        <v>0</v>
      </c>
      <c r="EO301">
        <v>0</v>
      </c>
      <c r="EP301">
        <v>0</v>
      </c>
    </row>
    <row r="302" spans="1:146" ht="96" x14ac:dyDescent="0.25">
      <c r="A302" s="7"/>
      <c r="B302" s="7"/>
      <c r="C302" s="7" t="str">
        <f>""&amp;CHAR(10)&amp;Basic_Fundamental_Information_Constructure(F302)&amp;CHAR(10)&amp;Basic_Fundamental_Information_Concatenate("")</f>
        <v xml:space="preserve">
市值272.22024亿, 利润47.57亿; PE5.72; 平均PE33.2; 平均PEG5.51, PB.742; ROIC3.68%; ROE12.7433%; 股利率0%; 毛利14.2433%; 净利5.93%; 上一年度营收增31.11%, 利润增21.14%, 利润增-.09%; 过往5年营收增6.03%, 利润增19.39%
Income profile:
</v>
      </c>
      <c r="D302" s="11">
        <v>1908</v>
      </c>
      <c r="E302" t="s">
        <v>4277</v>
      </c>
      <c r="F302">
        <v>14.36</v>
      </c>
      <c r="G302" s="5">
        <v>-6.8999999999999999E-3</v>
      </c>
      <c r="H302" t="s">
        <v>10251</v>
      </c>
      <c r="I302">
        <v>27222024000</v>
      </c>
      <c r="J302">
        <v>5.72</v>
      </c>
      <c r="K302">
        <v>0.74199999999999999</v>
      </c>
      <c r="L302" t="s">
        <v>6350</v>
      </c>
      <c r="M302" t="s">
        <v>9</v>
      </c>
      <c r="N302" t="s">
        <v>9</v>
      </c>
      <c r="O302" t="s">
        <v>9</v>
      </c>
      <c r="P302" t="s">
        <v>9</v>
      </c>
      <c r="Q302" t="s">
        <v>10252</v>
      </c>
      <c r="R302">
        <v>4756555400</v>
      </c>
      <c r="S302" s="5">
        <v>-8.5999999999999998E-4</v>
      </c>
      <c r="T302" t="s">
        <v>10253</v>
      </c>
      <c r="U302">
        <v>1895684100</v>
      </c>
      <c r="V302">
        <v>1895684100</v>
      </c>
      <c r="W302" t="s">
        <v>9</v>
      </c>
      <c r="X302" t="s">
        <v>9</v>
      </c>
      <c r="Y302" t="s">
        <v>9</v>
      </c>
      <c r="Z302" t="s">
        <v>9</v>
      </c>
      <c r="AA302" t="s">
        <v>9</v>
      </c>
      <c r="AB302" t="s">
        <v>9</v>
      </c>
      <c r="AC302" t="s">
        <v>9</v>
      </c>
      <c r="AD302" t="s">
        <v>9</v>
      </c>
      <c r="AE302" t="s">
        <v>9</v>
      </c>
      <c r="AF302" t="s">
        <v>9</v>
      </c>
      <c r="AG302" t="s">
        <v>9</v>
      </c>
      <c r="AH302" t="s">
        <v>10254</v>
      </c>
      <c r="AI302" t="s">
        <v>9</v>
      </c>
      <c r="AJ302" t="s">
        <v>9</v>
      </c>
      <c r="AK302" t="s">
        <v>10255</v>
      </c>
      <c r="AL302" t="s">
        <v>9</v>
      </c>
      <c r="AM302" t="s">
        <v>9</v>
      </c>
      <c r="AN302" s="5">
        <v>0.78720000000000001</v>
      </c>
      <c r="AO302" t="s">
        <v>9</v>
      </c>
      <c r="AP302" t="s">
        <v>10256</v>
      </c>
      <c r="AQ302" t="s">
        <v>9</v>
      </c>
      <c r="AR302" t="s">
        <v>10257</v>
      </c>
      <c r="AS302" t="s">
        <v>9</v>
      </c>
      <c r="AT302" t="s">
        <v>9</v>
      </c>
      <c r="AU302" t="s">
        <v>6566</v>
      </c>
      <c r="AV302" t="s">
        <v>10258</v>
      </c>
      <c r="AW302" t="s">
        <v>9</v>
      </c>
      <c r="AX302" t="s">
        <v>4278</v>
      </c>
      <c r="AY302" t="s">
        <v>4281</v>
      </c>
      <c r="AZ302" t="s">
        <v>4282</v>
      </c>
      <c r="BA302" t="s">
        <v>4283</v>
      </c>
      <c r="BB302" t="s">
        <v>4284</v>
      </c>
      <c r="BC302" t="s">
        <v>10259</v>
      </c>
      <c r="BD302" t="s">
        <v>4285</v>
      </c>
      <c r="BE302" t="s">
        <v>936</v>
      </c>
      <c r="BF302" t="s">
        <v>4286</v>
      </c>
      <c r="BG302" t="s">
        <v>4287</v>
      </c>
      <c r="BH302" t="s">
        <v>4278</v>
      </c>
      <c r="BI302" t="s">
        <v>9</v>
      </c>
      <c r="BJ302" t="s">
        <v>4281</v>
      </c>
      <c r="BK302" t="s">
        <v>4279</v>
      </c>
      <c r="BL302" t="s">
        <v>9</v>
      </c>
      <c r="BM302" t="s">
        <v>10259</v>
      </c>
      <c r="BN302">
        <v>3.7</v>
      </c>
      <c r="BO302">
        <v>3.71</v>
      </c>
      <c r="BP302">
        <v>3.63</v>
      </c>
      <c r="BQ302">
        <v>12.97</v>
      </c>
      <c r="BR302">
        <v>13.34</v>
      </c>
      <c r="BS302">
        <v>11.92</v>
      </c>
      <c r="BT302" t="s">
        <v>4288</v>
      </c>
      <c r="BU302" t="s">
        <v>410</v>
      </c>
      <c r="BV302">
        <v>11.1</v>
      </c>
      <c r="BW302">
        <v>15.28</v>
      </c>
      <c r="BX302">
        <v>16.350000000000001</v>
      </c>
      <c r="BY302">
        <v>4.71</v>
      </c>
      <c r="BZ302">
        <v>5.58</v>
      </c>
      <c r="CA302">
        <v>7.5</v>
      </c>
      <c r="CB302">
        <v>-5.03</v>
      </c>
      <c r="CC302">
        <v>-14.93</v>
      </c>
      <c r="CD302" t="s">
        <v>10260</v>
      </c>
      <c r="CE302" t="s">
        <v>20</v>
      </c>
      <c r="CF302" s="8" t="s">
        <v>9</v>
      </c>
      <c r="CG302" s="9">
        <v>-8.5999999999999998E-4</v>
      </c>
      <c r="CH302" s="8">
        <v>0.31106153130531311</v>
      </c>
      <c r="CI302" s="8">
        <v>0.68224197626113892</v>
      </c>
      <c r="CJ302" s="8">
        <v>0.31146097183227539</v>
      </c>
      <c r="CK302" s="8">
        <v>2.6168534755706787</v>
      </c>
      <c r="CL302" s="8">
        <v>1.4587187767028809</v>
      </c>
      <c r="CM302" s="9">
        <v>0.21135729551315308</v>
      </c>
      <c r="CN302" s="9">
        <v>0.4724409282207489</v>
      </c>
      <c r="CO302" s="9">
        <v>0.38906252384185791</v>
      </c>
      <c r="CP302" s="9">
        <v>0.1873839944601059</v>
      </c>
      <c r="CQ302" s="9">
        <v>1.5545024871826172</v>
      </c>
      <c r="CR302">
        <v>33.196751553614206</v>
      </c>
      <c r="CS302">
        <v>5.506421010054761</v>
      </c>
      <c r="CT302">
        <v>0</v>
      </c>
      <c r="CU302" s="8">
        <v>6.0287347249686721E-2</v>
      </c>
      <c r="CV302" s="9">
        <v>0.19391469657421112</v>
      </c>
      <c r="CW302">
        <v>0.06</v>
      </c>
      <c r="CX302">
        <v>5.7209683814817023</v>
      </c>
      <c r="CY302">
        <v>4758289538.5535469</v>
      </c>
      <c r="CZ302">
        <v>6.0287347249686721E-2</v>
      </c>
      <c r="DA302">
        <v>1.9173549086727759</v>
      </c>
      <c r="DB302">
        <v>14197696981.850651</v>
      </c>
      <c r="DC302">
        <v>5.7272979887202383E-2</v>
      </c>
      <c r="DD302">
        <v>0.97589601746175891</v>
      </c>
      <c r="DE302">
        <v>27894389886.744991</v>
      </c>
      <c r="DF302">
        <v>5.3052865579724315E-2</v>
      </c>
      <c r="DG302">
        <v>0.60818435770569113</v>
      </c>
      <c r="DH302">
        <v>44759493819.755745</v>
      </c>
      <c r="DI302">
        <v>4.8229877799749382E-2</v>
      </c>
      <c r="DJ302">
        <v>0.34018030652192111</v>
      </c>
      <c r="DK302">
        <v>80022339559.641205</v>
      </c>
      <c r="DL302">
        <v>4.2201143074780699E-2</v>
      </c>
      <c r="DM302">
        <v>4757000000</v>
      </c>
      <c r="DN302">
        <v>6.0287347249686721E-2</v>
      </c>
      <c r="DO302">
        <v>27222024000</v>
      </c>
      <c r="DP302" t="e">
        <v>#VALUE!</v>
      </c>
      <c r="DQ302">
        <v>301</v>
      </c>
      <c r="DR302" t="e">
        <v>#VALUE!</v>
      </c>
      <c r="DS302">
        <v>-0.19477469657421112</v>
      </c>
      <c r="DT302" t="e">
        <v>#VALUE!</v>
      </c>
      <c r="DU302" t="e">
        <v>#VALUE!</v>
      </c>
      <c r="DV302" t="e">
        <v>#VALUE!</v>
      </c>
      <c r="DW302">
        <v>-8.3369055592766248</v>
      </c>
      <c r="DX302">
        <v>0.39743383458646692</v>
      </c>
      <c r="DY302">
        <v>-8.0227188337555209</v>
      </c>
      <c r="DZ302">
        <v>0</v>
      </c>
      <c r="EA302">
        <v>-8.0227188337555209</v>
      </c>
      <c r="EB302">
        <v>8</v>
      </c>
      <c r="EC302">
        <v>4.7311152739003296E-3</v>
      </c>
      <c r="ED302">
        <v>7.0159368852647966E-2</v>
      </c>
      <c r="EE302">
        <v>0</v>
      </c>
      <c r="EF302">
        <v>0</v>
      </c>
      <c r="EG302">
        <v>33.067433834586467</v>
      </c>
      <c r="EH302" t="s">
        <v>110</v>
      </c>
      <c r="EI302">
        <v>0</v>
      </c>
      <c r="EJ302">
        <v>0</v>
      </c>
      <c r="EK302">
        <v>0</v>
      </c>
      <c r="EL302">
        <v>0</v>
      </c>
      <c r="EM302">
        <v>0</v>
      </c>
      <c r="EN302">
        <v>0</v>
      </c>
      <c r="EO302">
        <v>0</v>
      </c>
      <c r="EP302">
        <v>0</v>
      </c>
    </row>
    <row r="303" spans="1:146" ht="96" x14ac:dyDescent="0.25">
      <c r="A303" s="7"/>
      <c r="B303" s="7"/>
      <c r="C303" s="7" t="str">
        <f>""&amp;CHAR(10)&amp;Basic_Fundamental_Information_Constructure(F303)&amp;CHAR(10)&amp;Basic_Fundamental_Information_Concatenate("")</f>
        <v xml:space="preserve">
市值358.22331亿, 利润32.57亿; PE10.77; 平均PE45.68; 平均PEG1.52, PB2.96; ROIC7.7367%; ROE20.3733%; 股利率0%; 毛利56.5133%; 净利8.38%; 上一年度营收增27.93%, 利润增2808.04%, 利润增33.41%; 过往5年营收增-30.12%, 利润增19.29%
Income profile:
</v>
      </c>
      <c r="D303" s="11">
        <v>1910</v>
      </c>
      <c r="E303" t="s">
        <v>4289</v>
      </c>
      <c r="F303">
        <v>24.5</v>
      </c>
      <c r="G303" s="5">
        <v>4.1000000000000003E-3</v>
      </c>
      <c r="H303" t="s">
        <v>10261</v>
      </c>
      <c r="I303">
        <v>35822331000</v>
      </c>
      <c r="J303">
        <v>10.77</v>
      </c>
      <c r="K303">
        <v>2.96</v>
      </c>
      <c r="L303" t="s">
        <v>6350</v>
      </c>
      <c r="M303" t="s">
        <v>9</v>
      </c>
      <c r="N303" t="s">
        <v>9</v>
      </c>
      <c r="O303" t="s">
        <v>9</v>
      </c>
      <c r="P303" t="s">
        <v>9</v>
      </c>
      <c r="Q303" t="s">
        <v>10262</v>
      </c>
      <c r="R303">
        <v>3257187000</v>
      </c>
      <c r="S303" s="5">
        <v>0.33410000000000001</v>
      </c>
      <c r="T303" t="s">
        <v>10043</v>
      </c>
      <c r="U303">
        <v>1458898900</v>
      </c>
      <c r="V303">
        <v>1458898900</v>
      </c>
      <c r="W303" t="s">
        <v>9</v>
      </c>
      <c r="X303" t="s">
        <v>9</v>
      </c>
      <c r="Y303" t="s">
        <v>9</v>
      </c>
      <c r="Z303" t="s">
        <v>9</v>
      </c>
      <c r="AA303" t="s">
        <v>9</v>
      </c>
      <c r="AB303" t="s">
        <v>9</v>
      </c>
      <c r="AC303" t="s">
        <v>9</v>
      </c>
      <c r="AD303" t="s">
        <v>1805</v>
      </c>
      <c r="AE303" t="s">
        <v>9</v>
      </c>
      <c r="AF303" t="s">
        <v>9</v>
      </c>
      <c r="AG303" t="s">
        <v>9</v>
      </c>
      <c r="AH303" t="s">
        <v>10263</v>
      </c>
      <c r="AI303" t="s">
        <v>9</v>
      </c>
      <c r="AJ303" t="s">
        <v>9</v>
      </c>
      <c r="AK303" t="s">
        <v>10264</v>
      </c>
      <c r="AL303" t="s">
        <v>9</v>
      </c>
      <c r="AM303" t="s">
        <v>9</v>
      </c>
      <c r="AN303" s="5">
        <v>0.70309999999999995</v>
      </c>
      <c r="AO303" t="s">
        <v>9</v>
      </c>
      <c r="AP303" t="s">
        <v>1845</v>
      </c>
      <c r="AQ303" t="s">
        <v>9</v>
      </c>
      <c r="AR303" t="s">
        <v>4977</v>
      </c>
      <c r="AS303" t="s">
        <v>9</v>
      </c>
      <c r="AT303" t="s">
        <v>9</v>
      </c>
      <c r="AU303" t="s">
        <v>10265</v>
      </c>
      <c r="AV303" t="s">
        <v>4148</v>
      </c>
      <c r="AW303" t="s">
        <v>9</v>
      </c>
      <c r="AX303" t="s">
        <v>4291</v>
      </c>
      <c r="AY303" t="s">
        <v>4294</v>
      </c>
      <c r="AZ303" t="s">
        <v>4295</v>
      </c>
      <c r="BA303" t="s">
        <v>4296</v>
      </c>
      <c r="BB303" t="s">
        <v>4297</v>
      </c>
      <c r="BC303" t="s">
        <v>2814</v>
      </c>
      <c r="BD303" t="s">
        <v>3900</v>
      </c>
      <c r="BE303" t="s">
        <v>3668</v>
      </c>
      <c r="BF303" t="s">
        <v>4298</v>
      </c>
      <c r="BG303" t="s">
        <v>4299</v>
      </c>
      <c r="BH303" t="s">
        <v>4291</v>
      </c>
      <c r="BI303" t="s">
        <v>3654</v>
      </c>
      <c r="BJ303" t="s">
        <v>4294</v>
      </c>
      <c r="BK303" t="s">
        <v>4292</v>
      </c>
      <c r="BL303" t="s">
        <v>669</v>
      </c>
      <c r="BM303" t="s">
        <v>2814</v>
      </c>
      <c r="BN303">
        <v>13.23</v>
      </c>
      <c r="BO303">
        <v>9.59</v>
      </c>
      <c r="BP303">
        <v>0.39</v>
      </c>
      <c r="BQ303">
        <v>28.74</v>
      </c>
      <c r="BR303">
        <v>30.31</v>
      </c>
      <c r="BS303">
        <v>2.0699999999999998</v>
      </c>
      <c r="BT303" t="s">
        <v>552</v>
      </c>
      <c r="BU303" t="s">
        <v>1004</v>
      </c>
      <c r="BV303">
        <v>59.28</v>
      </c>
      <c r="BW303">
        <v>55.75</v>
      </c>
      <c r="BX303">
        <v>54.51</v>
      </c>
      <c r="BY303">
        <v>12.23</v>
      </c>
      <c r="BZ303">
        <v>11.75</v>
      </c>
      <c r="CA303">
        <v>1.1599999999999999</v>
      </c>
      <c r="CB303">
        <v>1.66</v>
      </c>
      <c r="CC303">
        <v>-12.63</v>
      </c>
      <c r="CD303" t="s">
        <v>10266</v>
      </c>
      <c r="CE303" t="s">
        <v>3884</v>
      </c>
      <c r="CF303" s="8" t="s">
        <v>9</v>
      </c>
      <c r="CG303" s="9">
        <v>0.33410000000000001</v>
      </c>
      <c r="CH303" s="8">
        <v>0.27926525473594666</v>
      </c>
      <c r="CI303" s="8">
        <v>0.42683085799217224</v>
      </c>
      <c r="CJ303" s="8">
        <v>0.32264560461044312</v>
      </c>
      <c r="CK303" s="8">
        <v>-0.59947556257247925</v>
      </c>
      <c r="CL303" s="8">
        <v>9.0475834906101227E-2</v>
      </c>
      <c r="CM303" s="9">
        <v>28.080356597900391</v>
      </c>
      <c r="CN303" s="9">
        <v>1.0113062858581543</v>
      </c>
      <c r="CO303" s="9">
        <v>-10.598836898803711</v>
      </c>
      <c r="CP303" s="9">
        <v>-0.44336569309234619</v>
      </c>
      <c r="CQ303" s="9">
        <v>-0.28992724418640137</v>
      </c>
      <c r="CR303">
        <v>45.677503635664642</v>
      </c>
      <c r="CS303">
        <v>1.5166882715029355</v>
      </c>
      <c r="CT303">
        <v>0</v>
      </c>
      <c r="CU303" s="8">
        <v>-0.30116606354713438</v>
      </c>
      <c r="CV303" s="9">
        <v>0.19294823408126832</v>
      </c>
      <c r="CW303">
        <v>0.06</v>
      </c>
      <c r="CX303">
        <v>10.998566472213694</v>
      </c>
      <c r="CY303" t="s">
        <v>10267</v>
      </c>
      <c r="CZ303">
        <v>-0.30116606354713438</v>
      </c>
      <c r="DA303">
        <v>3.6661888240712313</v>
      </c>
      <c r="DB303" t="s">
        <v>10268</v>
      </c>
      <c r="DC303">
        <v>-0.28610776036977764</v>
      </c>
      <c r="DD303">
        <v>1.8330944120356156</v>
      </c>
      <c r="DE303" t="s">
        <v>10269</v>
      </c>
      <c r="DF303">
        <v>-0.26502613592147828</v>
      </c>
      <c r="DG303">
        <v>1.0998566472213693</v>
      </c>
      <c r="DH303" t="s">
        <v>10270</v>
      </c>
      <c r="DI303">
        <v>-0.24093285083770752</v>
      </c>
      <c r="DJ303">
        <v>0.54992832361068467</v>
      </c>
      <c r="DK303" t="s">
        <v>10271</v>
      </c>
      <c r="DL303">
        <v>-0.21081624448299405</v>
      </c>
      <c r="DM303">
        <v>3257000000</v>
      </c>
      <c r="DN303">
        <v>-0.30116606354713438</v>
      </c>
      <c r="DO303">
        <v>35822331000</v>
      </c>
      <c r="DP303" t="e">
        <v>#VALUE!</v>
      </c>
      <c r="DQ303">
        <v>302</v>
      </c>
      <c r="DR303" t="e">
        <v>#VALUE!</v>
      </c>
      <c r="DS303">
        <v>0.14115176591873169</v>
      </c>
      <c r="DT303" t="e">
        <v>#VALUE!</v>
      </c>
      <c r="DU303">
        <v>-0.74666666666666659</v>
      </c>
      <c r="DV303" t="e">
        <v>#VALUE!</v>
      </c>
      <c r="DW303">
        <v>-2.1263000000000001</v>
      </c>
      <c r="DX303">
        <v>0.18320000000000042</v>
      </c>
      <c r="DY303">
        <v>-2.0168231599999999</v>
      </c>
      <c r="DZ303">
        <v>0</v>
      </c>
      <c r="EA303">
        <v>-2.0168231599999999</v>
      </c>
      <c r="EB303">
        <v>2</v>
      </c>
      <c r="EC303">
        <v>2.1912416275041403E-2</v>
      </c>
      <c r="ED303">
        <v>0.16450762969250302</v>
      </c>
      <c r="EE303">
        <v>0</v>
      </c>
      <c r="EF303">
        <v>0</v>
      </c>
      <c r="EG303">
        <v>5.1332000000000004</v>
      </c>
      <c r="EH303" t="s">
        <v>110</v>
      </c>
      <c r="EI303">
        <v>0</v>
      </c>
      <c r="EJ303">
        <v>0</v>
      </c>
      <c r="EK303">
        <v>0</v>
      </c>
      <c r="EL303">
        <v>0</v>
      </c>
      <c r="EM303">
        <v>0</v>
      </c>
      <c r="EN303">
        <v>0</v>
      </c>
      <c r="EO303">
        <v>0</v>
      </c>
      <c r="EP303">
        <v>0</v>
      </c>
    </row>
    <row r="304" spans="1:146" ht="96" x14ac:dyDescent="0.25">
      <c r="A304"/>
      <c r="B304"/>
      <c r="C304" s="7" t="str">
        <f>""&amp;CHAR(10)&amp;Basic_Fundamental_Information_Constructure(F304)&amp;CHAR(10)&amp;Basic_Fundamental_Information_Concatenate("")</f>
        <v xml:space="preserve">
市值99.381923亿, 利润-87.36亿; PE; 平均PE-6.74; 平均PEG-7.49, PB.145; ROIC-4.775%; ROE-35.4933%; 股利率0%; 毛利-1.235%; 净利-18.825%; 上一年度营收增54.9%, 利润增81.36%, 利润增72.01%; 过往5年营收增.9%, 利润增-255.09%
Income profile:
</v>
      </c>
      <c r="D304" s="11">
        <v>1918</v>
      </c>
      <c r="E304" t="s">
        <v>6458</v>
      </c>
      <c r="F304">
        <v>1.18</v>
      </c>
      <c r="G304">
        <v>-1.67E-2</v>
      </c>
      <c r="H304" t="s">
        <v>10272</v>
      </c>
      <c r="I304">
        <v>9938192300</v>
      </c>
      <c r="K304">
        <v>0.14499999999999999</v>
      </c>
      <c r="L304" t="s">
        <v>6350</v>
      </c>
      <c r="M304" t="s">
        <v>9</v>
      </c>
      <c r="N304" t="s">
        <v>9</v>
      </c>
      <c r="O304" t="s">
        <v>9</v>
      </c>
      <c r="P304" s="5" t="s">
        <v>9</v>
      </c>
      <c r="Q304" t="s">
        <v>10273</v>
      </c>
      <c r="R304">
        <v>-8735577200</v>
      </c>
      <c r="S304">
        <v>0.72009999999999996</v>
      </c>
      <c r="T304" t="s">
        <v>10274</v>
      </c>
      <c r="U304">
        <v>8396760400</v>
      </c>
      <c r="V304">
        <v>8396760400</v>
      </c>
      <c r="W304" t="s">
        <v>9</v>
      </c>
      <c r="X304" t="s">
        <v>9</v>
      </c>
      <c r="Y304" t="s">
        <v>9</v>
      </c>
      <c r="Z304" t="s">
        <v>9</v>
      </c>
      <c r="AA304" t="s">
        <v>9</v>
      </c>
      <c r="AB304" t="s">
        <v>9</v>
      </c>
      <c r="AC304" t="s">
        <v>9</v>
      </c>
      <c r="AD304" t="s">
        <v>9</v>
      </c>
      <c r="AE304" t="s">
        <v>9</v>
      </c>
      <c r="AF304" t="s">
        <v>9</v>
      </c>
      <c r="AG304" t="s">
        <v>9</v>
      </c>
      <c r="AH304" t="s">
        <v>10275</v>
      </c>
      <c r="AI304" t="s">
        <v>9</v>
      </c>
      <c r="AJ304" t="s">
        <v>9</v>
      </c>
      <c r="AK304" s="5" t="s">
        <v>10276</v>
      </c>
      <c r="AL304" t="s">
        <v>9</v>
      </c>
      <c r="AM304" t="s">
        <v>9</v>
      </c>
      <c r="AN304">
        <v>0.9143</v>
      </c>
      <c r="AO304" t="s">
        <v>9</v>
      </c>
      <c r="AP304" t="s">
        <v>10277</v>
      </c>
      <c r="AQ304" t="s">
        <v>9</v>
      </c>
      <c r="AR304" t="s">
        <v>10278</v>
      </c>
      <c r="AS304" t="s">
        <v>9</v>
      </c>
      <c r="AT304" t="s">
        <v>9</v>
      </c>
      <c r="AU304" t="s">
        <v>10279</v>
      </c>
      <c r="AV304" t="s">
        <v>10280</v>
      </c>
      <c r="AW304" t="s">
        <v>9</v>
      </c>
      <c r="AX304" t="s">
        <v>10281</v>
      </c>
      <c r="AY304" t="s">
        <v>10282</v>
      </c>
      <c r="AZ304" t="s">
        <v>10283</v>
      </c>
      <c r="BA304" t="s">
        <v>10284</v>
      </c>
      <c r="BB304" t="s">
        <v>10285</v>
      </c>
      <c r="BC304" t="s">
        <v>10286</v>
      </c>
      <c r="BD304" t="s">
        <v>10287</v>
      </c>
      <c r="BE304" t="s">
        <v>10288</v>
      </c>
      <c r="BF304" t="s">
        <v>10289</v>
      </c>
      <c r="BG304" t="s">
        <v>10290</v>
      </c>
      <c r="BH304" t="s">
        <v>10281</v>
      </c>
      <c r="BI304" t="s">
        <v>9</v>
      </c>
      <c r="BJ304" t="s">
        <v>10282</v>
      </c>
      <c r="BK304" t="s">
        <v>10291</v>
      </c>
      <c r="BL304" t="s">
        <v>9</v>
      </c>
      <c r="BM304" t="s">
        <v>10286</v>
      </c>
      <c r="BN304">
        <v>-2.2799999999999998</v>
      </c>
      <c r="BO304">
        <v>-7.27</v>
      </c>
      <c r="BP304" t="s">
        <v>9</v>
      </c>
      <c r="BQ304">
        <v>-12.76</v>
      </c>
      <c r="BR304">
        <v>-47.32</v>
      </c>
      <c r="BS304">
        <v>-46.4</v>
      </c>
      <c r="BT304" t="s">
        <v>10292</v>
      </c>
      <c r="BU304" t="s">
        <v>410</v>
      </c>
      <c r="BV304">
        <v>-1.62</v>
      </c>
      <c r="BW304">
        <v>-0.85</v>
      </c>
      <c r="BX304" t="s">
        <v>9</v>
      </c>
      <c r="BY304">
        <v>-6.75</v>
      </c>
      <c r="BZ304">
        <v>-30.9</v>
      </c>
      <c r="CA304" t="s">
        <v>9</v>
      </c>
      <c r="CB304">
        <v>0</v>
      </c>
      <c r="CC304" s="8">
        <v>-11.28</v>
      </c>
      <c r="CD304" s="10" t="s">
        <v>10293</v>
      </c>
      <c r="CE304" s="8" t="s">
        <v>1846</v>
      </c>
      <c r="CF304" s="8" t="s">
        <v>9</v>
      </c>
      <c r="CG304" s="8">
        <v>0.72009999999999996</v>
      </c>
      <c r="CH304" s="8">
        <v>0.5490078330039978</v>
      </c>
      <c r="CI304" s="8">
        <v>-0.550700843334198</v>
      </c>
      <c r="CJ304" s="9">
        <v>-0.11611246317625046</v>
      </c>
      <c r="CK304" s="9">
        <v>0.93499493598937988</v>
      </c>
      <c r="CL304" s="9">
        <v>0.79845768213272095</v>
      </c>
      <c r="CM304" s="9">
        <v>0.8135523796081543</v>
      </c>
      <c r="CN304" s="9">
        <v>-2.1028859615325928</v>
      </c>
      <c r="CO304">
        <v>0.46063399314880371</v>
      </c>
      <c r="CP304">
        <v>0.54196041822433472</v>
      </c>
      <c r="CQ304">
        <v>0.42977333068847656</v>
      </c>
      <c r="CR304" s="8">
        <v>-6.7441835172326634</v>
      </c>
      <c r="CS304" s="9">
        <v>-7.4943953690664999</v>
      </c>
      <c r="CT304">
        <v>0</v>
      </c>
      <c r="CU304">
        <v>8.9989694766700271E-3</v>
      </c>
      <c r="CV304">
        <v>-2.5508711896836758</v>
      </c>
      <c r="CW304">
        <v>0.06</v>
      </c>
      <c r="CX304" t="e">
        <v>#VALUE!</v>
      </c>
      <c r="CY304" t="s">
        <v>109</v>
      </c>
      <c r="CZ304">
        <v>8.9989694766700271E-3</v>
      </c>
      <c r="DA304" t="e">
        <v>#VALUE!</v>
      </c>
      <c r="DB304" t="s">
        <v>108</v>
      </c>
      <c r="DC304">
        <v>8.5490210028365248E-3</v>
      </c>
      <c r="DD304" t="e">
        <v>#VALUE!</v>
      </c>
      <c r="DE304" t="s">
        <v>108</v>
      </c>
      <c r="DF304">
        <v>7.9190931394696237E-3</v>
      </c>
      <c r="DG304" t="e">
        <v>#VALUE!</v>
      </c>
      <c r="DH304" t="s">
        <v>108</v>
      </c>
      <c r="DI304">
        <v>7.1991755813360222E-3</v>
      </c>
      <c r="DJ304" t="e">
        <v>#VALUE!</v>
      </c>
      <c r="DK304" t="s">
        <v>108</v>
      </c>
      <c r="DL304">
        <v>6.2992786336690185E-3</v>
      </c>
      <c r="DM304">
        <v>-8736000000</v>
      </c>
      <c r="DN304">
        <v>8.9989694766700271E-3</v>
      </c>
      <c r="DO304">
        <v>9938192300</v>
      </c>
      <c r="DP304" t="e">
        <v>#VALUE!</v>
      </c>
      <c r="DQ304">
        <v>303</v>
      </c>
      <c r="DR304" t="e">
        <v>#VALUE!</v>
      </c>
      <c r="DS304">
        <v>3.2709711896836757</v>
      </c>
      <c r="DT304" t="e">
        <v>#VALUE!</v>
      </c>
      <c r="DU304" t="e">
        <v>#VALUE!</v>
      </c>
      <c r="DV304" t="e">
        <v>#VALUE!</v>
      </c>
      <c r="DW304">
        <v>-2.1128</v>
      </c>
      <c r="DX304">
        <v>0.25006319973143132</v>
      </c>
      <c r="DY304">
        <v>-2.0045191289297057</v>
      </c>
      <c r="DZ304">
        <v>0</v>
      </c>
      <c r="EA304">
        <v>-2.0045191289297057</v>
      </c>
      <c r="EB304">
        <v>2</v>
      </c>
      <c r="EC304">
        <v>4.2278210058250561E-2</v>
      </c>
      <c r="ED304">
        <v>1.0552879417638259</v>
      </c>
      <c r="EE304">
        <v>0</v>
      </c>
      <c r="EF304">
        <v>0</v>
      </c>
      <c r="EG304">
        <v>21.040063199731431</v>
      </c>
      <c r="EH304" t="s">
        <v>110</v>
      </c>
      <c r="EI304">
        <v>0</v>
      </c>
      <c r="EJ304">
        <v>0</v>
      </c>
      <c r="EK304">
        <v>0</v>
      </c>
      <c r="EL304">
        <v>0</v>
      </c>
      <c r="EM304">
        <v>0</v>
      </c>
      <c r="EN304">
        <v>0</v>
      </c>
      <c r="EO304">
        <v>0</v>
      </c>
      <c r="EP304">
        <v>0</v>
      </c>
    </row>
    <row r="305" spans="1:146" ht="96" x14ac:dyDescent="0.25">
      <c r="A305" s="7"/>
      <c r="B305" s="7"/>
      <c r="C305" s="7" t="str">
        <f>""&amp;CHAR(10)&amp;Basic_Fundamental_Information_Constructure(F305)&amp;CHAR(10)&amp;Basic_Fundamental_Information_Concatenate("")</f>
        <v xml:space="preserve">
市值2132.3286亿, 利润261.56亿; PE8.43; 平均PE50.54; 平均PEG39.66, PB.975; ROIC36.77%; ROE44.6667%; 毛利33.7667%; 净利26.97%; 上一年度营收增-56.4%, 利润增-76.09%; 当季营收增-59.96%, 利润增-10.56%; 过往5年营收增1.27%, 利润增-519.34%
Income profile:
</v>
      </c>
      <c r="D305" s="11">
        <v>1919</v>
      </c>
      <c r="E305" t="s">
        <v>4302</v>
      </c>
      <c r="F305">
        <v>13.36</v>
      </c>
      <c r="G305" s="5">
        <v>-3.61E-2</v>
      </c>
      <c r="H305" t="s">
        <v>10294</v>
      </c>
      <c r="I305">
        <v>213232860000</v>
      </c>
      <c r="J305">
        <v>8.43</v>
      </c>
      <c r="K305">
        <v>0.97499999999999998</v>
      </c>
      <c r="L305" t="s">
        <v>6350</v>
      </c>
      <c r="M305" t="s">
        <v>10295</v>
      </c>
      <c r="N305" t="s">
        <v>10296</v>
      </c>
      <c r="O305" t="s">
        <v>3420</v>
      </c>
      <c r="P305">
        <v>1.94</v>
      </c>
      <c r="Q305" t="s">
        <v>10297</v>
      </c>
      <c r="R305">
        <v>26155615000</v>
      </c>
      <c r="S305" s="5">
        <v>-0.1056</v>
      </c>
      <c r="T305" t="s">
        <v>10298</v>
      </c>
      <c r="U305">
        <v>3199780000</v>
      </c>
      <c r="V305">
        <v>15957587000</v>
      </c>
      <c r="W305">
        <v>2.2599999999999998</v>
      </c>
      <c r="X305">
        <v>0.1</v>
      </c>
      <c r="Y305">
        <v>19.09</v>
      </c>
      <c r="Z305" t="s">
        <v>5904</v>
      </c>
      <c r="AA305" t="s">
        <v>10299</v>
      </c>
      <c r="AB305" t="s">
        <v>2113</v>
      </c>
      <c r="AC305" t="s">
        <v>4542</v>
      </c>
      <c r="AD305" t="s">
        <v>2634</v>
      </c>
      <c r="AE305" t="s">
        <v>10300</v>
      </c>
      <c r="AF305" t="s">
        <v>9</v>
      </c>
      <c r="AG305" t="s">
        <v>212</v>
      </c>
      <c r="AH305" t="s">
        <v>10301</v>
      </c>
      <c r="AI305" t="s">
        <v>10302</v>
      </c>
      <c r="AJ305" t="s">
        <v>10006</v>
      </c>
      <c r="AK305" t="s">
        <v>10303</v>
      </c>
      <c r="AL305" t="s">
        <v>9</v>
      </c>
      <c r="AM305" t="s">
        <v>10304</v>
      </c>
      <c r="AN305" s="5">
        <v>0.45569999999999999</v>
      </c>
      <c r="AO305" t="s">
        <v>7276</v>
      </c>
      <c r="AP305" t="s">
        <v>10305</v>
      </c>
      <c r="AQ305" t="s">
        <v>10306</v>
      </c>
      <c r="AR305" t="s">
        <v>10307</v>
      </c>
      <c r="AS305" t="s">
        <v>10308</v>
      </c>
      <c r="AT305" t="s">
        <v>10309</v>
      </c>
      <c r="AU305" t="s">
        <v>10310</v>
      </c>
      <c r="AV305" t="s">
        <v>10311</v>
      </c>
      <c r="AW305" t="s">
        <v>10312</v>
      </c>
      <c r="AX305" t="s">
        <v>4303</v>
      </c>
      <c r="AY305" t="s">
        <v>4308</v>
      </c>
      <c r="AZ305" t="s">
        <v>4309</v>
      </c>
      <c r="BA305" t="s">
        <v>4310</v>
      </c>
      <c r="BB305" t="s">
        <v>4311</v>
      </c>
      <c r="BC305" t="s">
        <v>10313</v>
      </c>
      <c r="BD305" t="s">
        <v>4312</v>
      </c>
      <c r="BE305" t="s">
        <v>4313</v>
      </c>
      <c r="BF305" t="s">
        <v>4314</v>
      </c>
      <c r="BG305" t="s">
        <v>1652</v>
      </c>
      <c r="BH305" t="s">
        <v>4303</v>
      </c>
      <c r="BI305" t="s">
        <v>4315</v>
      </c>
      <c r="BJ305" t="s">
        <v>4308</v>
      </c>
      <c r="BK305" t="s">
        <v>4304</v>
      </c>
      <c r="BL305" t="s">
        <v>10314</v>
      </c>
      <c r="BM305" t="s">
        <v>10313</v>
      </c>
      <c r="BN305">
        <v>9.8800000000000008</v>
      </c>
      <c r="BO305">
        <v>48.72</v>
      </c>
      <c r="BP305">
        <v>51.71</v>
      </c>
      <c r="BQ305">
        <v>12.17</v>
      </c>
      <c r="BR305">
        <v>54.74</v>
      </c>
      <c r="BS305">
        <v>67.09</v>
      </c>
      <c r="BT305" t="s">
        <v>10315</v>
      </c>
      <c r="BU305" t="s">
        <v>687</v>
      </c>
      <c r="BV305">
        <v>15.72</v>
      </c>
      <c r="BW305">
        <v>43.59</v>
      </c>
      <c r="BX305">
        <v>41.99</v>
      </c>
      <c r="BY305">
        <v>16.18</v>
      </c>
      <c r="BZ305">
        <v>33.61</v>
      </c>
      <c r="CA305">
        <v>31.12</v>
      </c>
      <c r="CB305">
        <v>-8.49</v>
      </c>
      <c r="CC305">
        <v>8.56</v>
      </c>
      <c r="CD305" t="s">
        <v>1692</v>
      </c>
      <c r="CE305" t="s">
        <v>2156</v>
      </c>
      <c r="CF305" s="8">
        <v>-0.59961948073041138</v>
      </c>
      <c r="CG305" s="9">
        <v>-0.1056</v>
      </c>
      <c r="CH305" s="8">
        <v>-0.56403785943984985</v>
      </c>
      <c r="CI305" s="8">
        <v>7.9648412764072418E-2</v>
      </c>
      <c r="CJ305" s="8">
        <v>1.0017735958099365</v>
      </c>
      <c r="CK305" s="8">
        <v>0.48970967531204224</v>
      </c>
      <c r="CL305" s="8">
        <v>0.26428553462028503</v>
      </c>
      <c r="CM305" s="9">
        <v>-0.76093155145645142</v>
      </c>
      <c r="CN305" s="9">
        <v>8.2467880249023437</v>
      </c>
      <c r="CO305" s="9">
        <v>0.58266454935073853</v>
      </c>
      <c r="CP305" s="9">
        <v>4.336188793182373</v>
      </c>
      <c r="CQ305" s="9">
        <v>-0.56095272302627563</v>
      </c>
      <c r="CR305">
        <v>50.541595042870618</v>
      </c>
      <c r="CS305">
        <v>39.663109547038623</v>
      </c>
      <c r="CT305" t="e">
        <v>#VALUE!</v>
      </c>
      <c r="CU305" s="8">
        <v>1.2742721289396287E-2</v>
      </c>
      <c r="CV305" s="9">
        <v>-5.1933512955904009</v>
      </c>
      <c r="CW305">
        <v>0.06</v>
      </c>
      <c r="CX305">
        <v>6.7771711961336294</v>
      </c>
      <c r="CY305">
        <v>24989904356.646648</v>
      </c>
      <c r="CZ305">
        <v>1.2742721289396287E-2</v>
      </c>
      <c r="DA305">
        <v>2.3657624588133057</v>
      </c>
      <c r="DB305">
        <v>71588277753.360489</v>
      </c>
      <c r="DC305">
        <v>1.2105585224926472E-2</v>
      </c>
      <c r="DD305">
        <v>1.2685445784069089</v>
      </c>
      <c r="DE305">
        <v>133508008218.90735</v>
      </c>
      <c r="DF305">
        <v>1.1213594734668732E-2</v>
      </c>
      <c r="DG305">
        <v>0.83571079796387859</v>
      </c>
      <c r="DH305">
        <v>202654866267.88821</v>
      </c>
      <c r="DI305">
        <v>1.0194177031517031E-2</v>
      </c>
      <c r="DJ305">
        <v>0.52234548503430667</v>
      </c>
      <c r="DK305">
        <v>324231499749.39801</v>
      </c>
      <c r="DL305">
        <v>8.9199049025773993E-3</v>
      </c>
      <c r="DM305">
        <v>26156000000</v>
      </c>
      <c r="DN305">
        <v>1.2742721289396287E-2</v>
      </c>
      <c r="DO305">
        <v>169360859999.99997</v>
      </c>
      <c r="DP305" t="e">
        <v>#VALUE!</v>
      </c>
      <c r="DQ305">
        <v>304</v>
      </c>
      <c r="DR305">
        <v>-0.61236220201980762</v>
      </c>
      <c r="DS305">
        <v>5.087751295590401</v>
      </c>
      <c r="DT305">
        <v>-0.34</v>
      </c>
      <c r="DU305">
        <v>-2.0066666666666668</v>
      </c>
      <c r="DV305">
        <v>-2.3466666666666667</v>
      </c>
      <c r="DW305">
        <v>-7.4979472140762464</v>
      </c>
      <c r="DX305">
        <v>0.43977099236641365</v>
      </c>
      <c r="DY305">
        <v>-7.0646191041167645</v>
      </c>
      <c r="DZ305">
        <v>0</v>
      </c>
      <c r="EA305">
        <v>-7.0646191041167645</v>
      </c>
      <c r="EB305">
        <v>7</v>
      </c>
      <c r="EC305">
        <v>1.0653239741071128E-2</v>
      </c>
      <c r="ED305">
        <v>8.2092612122371636E-2</v>
      </c>
      <c r="EE305">
        <v>0</v>
      </c>
      <c r="EF305">
        <v>0</v>
      </c>
      <c r="EG305">
        <v>31.129770992366414</v>
      </c>
      <c r="EH305" t="s">
        <v>110</v>
      </c>
      <c r="EI305">
        <v>0</v>
      </c>
      <c r="EJ305">
        <v>0</v>
      </c>
      <c r="EK305">
        <v>0</v>
      </c>
      <c r="EL305">
        <v>0</v>
      </c>
      <c r="EM305">
        <v>0</v>
      </c>
      <c r="EN305">
        <v>0</v>
      </c>
      <c r="EO305">
        <v>0</v>
      </c>
      <c r="EP305">
        <v>0</v>
      </c>
    </row>
    <row r="306" spans="1:146" ht="84" x14ac:dyDescent="0.25">
      <c r="A306" s="7"/>
      <c r="B306" s="7"/>
      <c r="C306" s="7" t="str">
        <f>""&amp;CHAR(10)&amp;Basic_Fundamental_Information_Constructure(F306)&amp;CHAR(10)&amp;Basic_Fundamental_Information_Concatenate("")</f>
        <v xml:space="preserve">
市值1337.0263亿, 利润54.05亿; PE24.74; 平均PE108.22; 平均PEG151.66, PB; ROIC-7.08%; ROE53.99%; 毛利88.2033%; 净利-54.94%; 上一年度营收增278.39%, 利润增166.14%, 利润增143.8%; 过往5年营收增.71%, 利润增7.03%
Income profile:
</v>
      </c>
      <c r="D306" s="11">
        <v>1928</v>
      </c>
      <c r="E306" t="s">
        <v>4316</v>
      </c>
      <c r="F306">
        <v>16.52</v>
      </c>
      <c r="G306" s="5">
        <v>-2.2499999999999999E-2</v>
      </c>
      <c r="H306" t="s">
        <v>10316</v>
      </c>
      <c r="I306">
        <v>133702630000</v>
      </c>
      <c r="J306">
        <v>24.74</v>
      </c>
      <c r="L306" t="s">
        <v>6350</v>
      </c>
      <c r="M306" t="s">
        <v>9</v>
      </c>
      <c r="N306" t="s">
        <v>9</v>
      </c>
      <c r="O306" t="s">
        <v>9</v>
      </c>
      <c r="P306" t="s">
        <v>9</v>
      </c>
      <c r="Q306" t="s">
        <v>10317</v>
      </c>
      <c r="R306">
        <v>5405212000</v>
      </c>
      <c r="S306" s="5">
        <v>1.4379999999999999</v>
      </c>
      <c r="T306" t="s">
        <v>1496</v>
      </c>
      <c r="U306">
        <v>8093379600</v>
      </c>
      <c r="V306">
        <v>8093379600</v>
      </c>
      <c r="W306" t="s">
        <v>9</v>
      </c>
      <c r="X306" t="s">
        <v>9</v>
      </c>
      <c r="Y306" t="s">
        <v>9</v>
      </c>
      <c r="Z306" t="s">
        <v>9</v>
      </c>
      <c r="AA306" t="s">
        <v>9</v>
      </c>
      <c r="AB306" t="s">
        <v>9</v>
      </c>
      <c r="AC306" t="s">
        <v>9</v>
      </c>
      <c r="AD306" t="s">
        <v>9</v>
      </c>
      <c r="AE306" t="s">
        <v>9</v>
      </c>
      <c r="AF306" t="s">
        <v>9</v>
      </c>
      <c r="AG306" t="s">
        <v>9</v>
      </c>
      <c r="AH306" t="s">
        <v>10318</v>
      </c>
      <c r="AI306" t="s">
        <v>9</v>
      </c>
      <c r="AJ306" t="s">
        <v>9</v>
      </c>
      <c r="AK306" t="s">
        <v>10319</v>
      </c>
      <c r="AL306" t="s">
        <v>9</v>
      </c>
      <c r="AM306" t="s">
        <v>9</v>
      </c>
      <c r="AN306" s="5">
        <v>1.0004</v>
      </c>
      <c r="AO306" t="s">
        <v>9</v>
      </c>
      <c r="AP306" t="s">
        <v>3426</v>
      </c>
      <c r="AQ306" t="s">
        <v>9</v>
      </c>
      <c r="AR306" t="s">
        <v>10320</v>
      </c>
      <c r="AS306" t="s">
        <v>9</v>
      </c>
      <c r="AT306" t="s">
        <v>9</v>
      </c>
      <c r="AU306" t="s">
        <v>10321</v>
      </c>
      <c r="AV306" t="s">
        <v>10322</v>
      </c>
      <c r="AW306" t="s">
        <v>9</v>
      </c>
      <c r="AX306" t="s">
        <v>4317</v>
      </c>
      <c r="AY306" t="s">
        <v>929</v>
      </c>
      <c r="AZ306" t="s">
        <v>4319</v>
      </c>
      <c r="BA306" t="s">
        <v>4320</v>
      </c>
      <c r="BB306" t="s">
        <v>4321</v>
      </c>
      <c r="BC306" t="s">
        <v>4322</v>
      </c>
      <c r="BD306" t="s">
        <v>4323</v>
      </c>
      <c r="BE306" t="s">
        <v>4324</v>
      </c>
      <c r="BF306" t="s">
        <v>4325</v>
      </c>
      <c r="BG306" t="s">
        <v>4326</v>
      </c>
      <c r="BH306" t="s">
        <v>4317</v>
      </c>
      <c r="BI306" t="s">
        <v>9</v>
      </c>
      <c r="BJ306" t="s">
        <v>929</v>
      </c>
      <c r="BK306" t="s">
        <v>4318</v>
      </c>
      <c r="BL306" t="s">
        <v>9</v>
      </c>
      <c r="BM306" t="s">
        <v>4322</v>
      </c>
      <c r="BN306">
        <v>7.76</v>
      </c>
      <c r="BO306">
        <v>-17.260000000000002</v>
      </c>
      <c r="BP306">
        <v>-11.74</v>
      </c>
      <c r="BQ306" t="s">
        <v>3697</v>
      </c>
      <c r="BR306">
        <v>226</v>
      </c>
      <c r="BS306">
        <v>-118.02</v>
      </c>
      <c r="BT306" t="s">
        <v>4327</v>
      </c>
      <c r="BU306" t="s">
        <v>567</v>
      </c>
      <c r="BV306">
        <v>100</v>
      </c>
      <c r="BW306">
        <v>100</v>
      </c>
      <c r="BX306">
        <v>64.61</v>
      </c>
      <c r="BY306">
        <v>16.78</v>
      </c>
      <c r="BZ306">
        <v>-145.13999999999999</v>
      </c>
      <c r="CA306">
        <v>-36.46</v>
      </c>
      <c r="CB306">
        <v>-7.5</v>
      </c>
      <c r="CC306">
        <v>-19.22</v>
      </c>
      <c r="CD306" t="s">
        <v>10323</v>
      </c>
      <c r="CE306" t="s">
        <v>3663</v>
      </c>
      <c r="CF306" s="8" t="s">
        <v>9</v>
      </c>
      <c r="CG306" s="9">
        <v>1.4379999999999999</v>
      </c>
      <c r="CH306" s="8">
        <v>2.7839267253875732</v>
      </c>
      <c r="CI306" s="8">
        <v>-0.41226434707641602</v>
      </c>
      <c r="CJ306" s="8">
        <v>0.75868356227874756</v>
      </c>
      <c r="CK306" s="8">
        <v>-0.7992246150970459</v>
      </c>
      <c r="CL306" s="8">
        <v>0.12602613866329193</v>
      </c>
      <c r="CM306" s="9">
        <v>1.6614048480987549</v>
      </c>
      <c r="CN306" s="9">
        <v>0.30792680382728577</v>
      </c>
      <c r="CO306" s="9">
        <v>-1.7458784580230713</v>
      </c>
      <c r="CP306" s="9">
        <v>7.7745221555233002E-2</v>
      </c>
      <c r="CQ306" s="9">
        <v>0.17268085479736328</v>
      </c>
      <c r="CR306">
        <v>108.21742614326183</v>
      </c>
      <c r="CS306">
        <v>151.65959325099593</v>
      </c>
      <c r="CT306" t="e">
        <v>#VALUE!</v>
      </c>
      <c r="CU306" s="8">
        <v>7.1355476975440979E-3</v>
      </c>
      <c r="CV306" s="9">
        <v>7.0298370718955991E-2</v>
      </c>
      <c r="CW306">
        <v>0.06</v>
      </c>
      <c r="CX306">
        <v>26.035276365598676</v>
      </c>
      <c r="CY306">
        <v>5135441165.382288</v>
      </c>
      <c r="CZ306">
        <v>7.1355476975440979E-3</v>
      </c>
      <c r="DA306">
        <v>9.132350425055451</v>
      </c>
      <c r="DB306">
        <v>14640549669.79524</v>
      </c>
      <c r="DC306">
        <v>6.7787703126668923E-3</v>
      </c>
      <c r="DD306">
        <v>4.9264822174411389</v>
      </c>
      <c r="DE306">
        <v>27139574263.894611</v>
      </c>
      <c r="DF306">
        <v>6.2792819738388059E-3</v>
      </c>
      <c r="DG306">
        <v>3.2657978769471456</v>
      </c>
      <c r="DH306">
        <v>40940264841.186272</v>
      </c>
      <c r="DI306">
        <v>5.708438158035279E-3</v>
      </c>
      <c r="DJ306">
        <v>2.0653577210130356</v>
      </c>
      <c r="DK306">
        <v>64735822099.825066</v>
      </c>
      <c r="DL306">
        <v>4.9948833882808678E-3</v>
      </c>
      <c r="DM306">
        <v>5405000000</v>
      </c>
      <c r="DN306">
        <v>7.1355476975440979E-3</v>
      </c>
      <c r="DO306">
        <v>133702630000</v>
      </c>
      <c r="DP306" t="e">
        <v>#VALUE!</v>
      </c>
      <c r="DQ306">
        <v>305</v>
      </c>
      <c r="DR306" t="e">
        <v>#VALUE!</v>
      </c>
      <c r="DS306">
        <v>1.367701629281044</v>
      </c>
      <c r="DT306" t="e">
        <v>#VALUE!</v>
      </c>
      <c r="DU306" t="e">
        <v>#VALUE!</v>
      </c>
      <c r="DV306" t="e">
        <v>#VALUE!</v>
      </c>
      <c r="DW306">
        <v>-9.3902185223725283</v>
      </c>
      <c r="DX306">
        <v>0.6160973076923062</v>
      </c>
      <c r="DY306">
        <v>-9.0609120607540223</v>
      </c>
      <c r="DZ306">
        <v>0</v>
      </c>
      <c r="EA306">
        <v>-9.0609120607540223</v>
      </c>
      <c r="EB306">
        <v>9</v>
      </c>
      <c r="EC306">
        <v>1.0029258976064832E-2</v>
      </c>
      <c r="ED306">
        <v>6.4250044567290526E-2</v>
      </c>
      <c r="EE306">
        <v>0</v>
      </c>
      <c r="EF306">
        <v>0</v>
      </c>
      <c r="EG306">
        <v>46.156097307692306</v>
      </c>
      <c r="EH306" t="s">
        <v>110</v>
      </c>
      <c r="EI306">
        <v>0</v>
      </c>
      <c r="EJ306">
        <v>0</v>
      </c>
      <c r="EK306">
        <v>0</v>
      </c>
      <c r="EL306">
        <v>0</v>
      </c>
      <c r="EM306">
        <v>0</v>
      </c>
      <c r="EN306">
        <v>0</v>
      </c>
      <c r="EO306">
        <v>0</v>
      </c>
      <c r="EP306">
        <v>0</v>
      </c>
    </row>
    <row r="307" spans="1:146" ht="96" x14ac:dyDescent="0.25">
      <c r="A307" s="7"/>
      <c r="B307" s="7"/>
      <c r="C307" s="7" t="str">
        <f>""&amp;CHAR(10)&amp;Basic_Fundamental_Information_Constructure(F307)&amp;CHAR(10)&amp;Basic_Fundamental_Information_Concatenate("")</f>
        <v xml:space="preserve">
市值850.95518亿, 利润53.84亿; PE13.09; 平均PE90.09; 平均PEG6.98, PB3.31; ROIC12%; ROE18.7267%; 毛利24.5167%; 净利7.1833%; 上一年度营收增-4.3%, 利润增-10.65%, 利润增36.44%; 过往5年营收增12.91%, 利润增29.5%
Income profile:
</v>
      </c>
      <c r="D307" s="11">
        <v>1929</v>
      </c>
      <c r="E307" t="s">
        <v>4328</v>
      </c>
      <c r="F307">
        <v>8.52</v>
      </c>
      <c r="G307" s="5">
        <v>-2.07E-2</v>
      </c>
      <c r="H307" t="s">
        <v>10324</v>
      </c>
      <c r="I307">
        <v>85095518000</v>
      </c>
      <c r="J307">
        <v>13.09</v>
      </c>
      <c r="K307">
        <v>3.31</v>
      </c>
      <c r="L307" t="s">
        <v>6350</v>
      </c>
      <c r="M307" t="s">
        <v>9</v>
      </c>
      <c r="N307" t="s">
        <v>9</v>
      </c>
      <c r="O307" t="s">
        <v>9</v>
      </c>
      <c r="P307" t="s">
        <v>9</v>
      </c>
      <c r="Q307" t="s">
        <v>10325</v>
      </c>
      <c r="R307">
        <v>4551100000</v>
      </c>
      <c r="S307" s="5">
        <v>0.3644</v>
      </c>
      <c r="T307" t="s">
        <v>1896</v>
      </c>
      <c r="U307">
        <v>9987736800</v>
      </c>
      <c r="V307">
        <v>9987736800</v>
      </c>
      <c r="W307" t="s">
        <v>9</v>
      </c>
      <c r="X307" t="s">
        <v>9</v>
      </c>
      <c r="Y307" t="s">
        <v>9</v>
      </c>
      <c r="Z307" t="s">
        <v>9</v>
      </c>
      <c r="AA307" t="s">
        <v>9</v>
      </c>
      <c r="AB307" t="s">
        <v>9</v>
      </c>
      <c r="AC307" t="s">
        <v>9</v>
      </c>
      <c r="AD307" t="s">
        <v>9</v>
      </c>
      <c r="AE307" t="s">
        <v>9</v>
      </c>
      <c r="AF307" t="s">
        <v>9</v>
      </c>
      <c r="AG307" t="s">
        <v>9</v>
      </c>
      <c r="AH307" t="s">
        <v>10326</v>
      </c>
      <c r="AI307" t="s">
        <v>9</v>
      </c>
      <c r="AJ307" t="s">
        <v>9</v>
      </c>
      <c r="AK307" t="s">
        <v>10327</v>
      </c>
      <c r="AL307" t="s">
        <v>9</v>
      </c>
      <c r="AM307" t="s">
        <v>9</v>
      </c>
      <c r="AN307" s="5">
        <v>0.68030000000000002</v>
      </c>
      <c r="AO307" t="s">
        <v>9</v>
      </c>
      <c r="AP307" t="s">
        <v>10328</v>
      </c>
      <c r="AQ307" t="s">
        <v>9</v>
      </c>
      <c r="AR307" t="s">
        <v>10329</v>
      </c>
      <c r="AS307" t="s">
        <v>9</v>
      </c>
      <c r="AT307" t="s">
        <v>9</v>
      </c>
      <c r="AU307" t="s">
        <v>10330</v>
      </c>
      <c r="AV307" t="s">
        <v>10331</v>
      </c>
      <c r="AW307" t="s">
        <v>9</v>
      </c>
      <c r="AX307" t="s">
        <v>4329</v>
      </c>
      <c r="AY307" t="s">
        <v>4332</v>
      </c>
      <c r="AZ307" t="s">
        <v>4333</v>
      </c>
      <c r="BA307" t="s">
        <v>4334</v>
      </c>
      <c r="BB307" t="s">
        <v>4335</v>
      </c>
      <c r="BC307" t="s">
        <v>4336</v>
      </c>
      <c r="BD307" t="s">
        <v>224</v>
      </c>
      <c r="BE307" t="s">
        <v>4337</v>
      </c>
      <c r="BF307" t="s">
        <v>4338</v>
      </c>
      <c r="BG307" t="s">
        <v>4253</v>
      </c>
      <c r="BH307" t="s">
        <v>4329</v>
      </c>
      <c r="BI307" t="s">
        <v>9</v>
      </c>
      <c r="BJ307" t="s">
        <v>4332</v>
      </c>
      <c r="BK307" t="s">
        <v>4330</v>
      </c>
      <c r="BL307" t="s">
        <v>9</v>
      </c>
      <c r="BM307" t="s">
        <v>4336</v>
      </c>
      <c r="BN307">
        <v>9.64</v>
      </c>
      <c r="BO307">
        <v>13.25</v>
      </c>
      <c r="BP307">
        <v>13.11</v>
      </c>
      <c r="BQ307">
        <v>16.62</v>
      </c>
      <c r="BR307">
        <v>19.97</v>
      </c>
      <c r="BS307">
        <v>19.59</v>
      </c>
      <c r="BT307" t="s">
        <v>10332</v>
      </c>
      <c r="BU307" t="s">
        <v>1541</v>
      </c>
      <c r="BV307">
        <v>22.36</v>
      </c>
      <c r="BW307">
        <v>22.58</v>
      </c>
      <c r="BX307">
        <v>28.61</v>
      </c>
      <c r="BY307">
        <v>5.8</v>
      </c>
      <c r="BZ307">
        <v>6.95</v>
      </c>
      <c r="CA307">
        <v>8.8000000000000007</v>
      </c>
      <c r="CB307">
        <v>-5.0199999999999996</v>
      </c>
      <c r="CC307">
        <v>-20.079999999999998</v>
      </c>
      <c r="CD307" t="s">
        <v>10333</v>
      </c>
      <c r="CE307" t="s">
        <v>1149</v>
      </c>
      <c r="CF307" s="8" t="s">
        <v>9</v>
      </c>
      <c r="CG307" s="9">
        <v>0.3644</v>
      </c>
      <c r="CH307" s="8">
        <v>-4.2996697127819061E-2</v>
      </c>
      <c r="CI307" s="8">
        <v>0.41009646654129028</v>
      </c>
      <c r="CJ307" s="8">
        <v>0.23634816706180573</v>
      </c>
      <c r="CK307" s="8">
        <v>-4.065520316362381E-2</v>
      </c>
      <c r="CL307" s="8">
        <v>0.15435357391834259</v>
      </c>
      <c r="CM307" s="9">
        <v>-0.1065383180975914</v>
      </c>
      <c r="CN307" s="9">
        <v>1.0772147178649902</v>
      </c>
      <c r="CO307" s="9">
        <v>-0.3661787211894989</v>
      </c>
      <c r="CP307" s="9">
        <v>0.11770448088645935</v>
      </c>
      <c r="CQ307" s="9">
        <v>0.3404255211353302</v>
      </c>
      <c r="CR307">
        <v>90.091193287884352</v>
      </c>
      <c r="CS307">
        <v>6.980796115514309</v>
      </c>
      <c r="CT307" t="e">
        <v>#VALUE!</v>
      </c>
      <c r="CU307" s="8">
        <v>0.12905575782060624</v>
      </c>
      <c r="CV307" s="9">
        <v>0.29500405490398407</v>
      </c>
      <c r="CW307">
        <v>0.06</v>
      </c>
      <c r="CX307">
        <v>14.838572073783627</v>
      </c>
      <c r="CY307">
        <v>5734751132.1756067</v>
      </c>
      <c r="CZ307">
        <v>0.12905575782060624</v>
      </c>
      <c r="DA307">
        <v>4.6920563110807114</v>
      </c>
      <c r="DB307">
        <v>18136081998.640831</v>
      </c>
      <c r="DC307">
        <v>0.12260296992957592</v>
      </c>
      <c r="DD307">
        <v>2.2088823578809746</v>
      </c>
      <c r="DE307">
        <v>38524241771.587074</v>
      </c>
      <c r="DF307">
        <v>0.11356906688213349</v>
      </c>
      <c r="DG307">
        <v>1.2601677147945849</v>
      </c>
      <c r="DH307">
        <v>67527137063.554344</v>
      </c>
      <c r="DI307">
        <v>0.103244606256485</v>
      </c>
      <c r="DJ307">
        <v>0.57989889087532087</v>
      </c>
      <c r="DK307">
        <v>146741991300.50702</v>
      </c>
      <c r="DL307">
        <v>9.0339030474424362E-2</v>
      </c>
      <c r="DM307">
        <v>5384000000</v>
      </c>
      <c r="DN307">
        <v>0.12905575782060624</v>
      </c>
      <c r="DO307">
        <v>85095518000</v>
      </c>
      <c r="DP307" t="e">
        <v>#VALUE!</v>
      </c>
      <c r="DQ307">
        <v>306</v>
      </c>
      <c r="DR307" t="e">
        <v>#VALUE!</v>
      </c>
      <c r="DS307">
        <v>6.9395945096015932E-2</v>
      </c>
      <c r="DT307" t="e">
        <v>#VALUE!</v>
      </c>
      <c r="DU307" t="e">
        <v>#VALUE!</v>
      </c>
      <c r="DV307" t="e">
        <v>#VALUE!</v>
      </c>
      <c r="DW307">
        <v>-8.25</v>
      </c>
      <c r="DX307">
        <v>0.43415360230547395</v>
      </c>
      <c r="DY307">
        <v>-8.0385384005763694</v>
      </c>
      <c r="DZ307">
        <v>0</v>
      </c>
      <c r="EA307">
        <v>-8.0385384005763694</v>
      </c>
      <c r="EB307">
        <v>8</v>
      </c>
      <c r="EC307">
        <v>5.3556977993252687E-3</v>
      </c>
      <c r="ED307">
        <v>3.4742605552040576E-2</v>
      </c>
      <c r="EE307">
        <v>0</v>
      </c>
      <c r="EF307">
        <v>0</v>
      </c>
      <c r="EG307">
        <v>28.154153602305474</v>
      </c>
      <c r="EH307" t="s">
        <v>110</v>
      </c>
      <c r="EI307">
        <v>0</v>
      </c>
      <c r="EJ307">
        <v>0</v>
      </c>
      <c r="EK307">
        <v>0</v>
      </c>
      <c r="EL307">
        <v>0</v>
      </c>
      <c r="EM307">
        <v>0</v>
      </c>
      <c r="EN307">
        <v>0</v>
      </c>
      <c r="EO307">
        <v>0</v>
      </c>
      <c r="EP307">
        <v>0</v>
      </c>
    </row>
    <row r="308" spans="1:146" ht="84" x14ac:dyDescent="0.25">
      <c r="C308" s="7" t="str">
        <f>""&amp;CHAR(10)&amp;Basic_Fundamental_Information_Constructure(F308)&amp;CHAR(10)&amp;Basic_Fundamental_Information_Concatenate("")</f>
        <v xml:space="preserve">
市值7.6843737亿, 利润-8283.33万; PE; 平均PE-3.83; 平均PEG0, PB1.31; ROIC1.4933%; ROE.7433%; 毛利38.1%; 净利4.17%; 上一年度营收增293.92%, 利润增-545.86%, 利润增0%; 过往5年营收增1416.99%, 利润增86.44%
Income profile:
</v>
      </c>
      <c r="D308" s="11">
        <v>1942</v>
      </c>
      <c r="E308" t="s">
        <v>6374</v>
      </c>
      <c r="F308">
        <v>0.99</v>
      </c>
      <c r="G308">
        <v>-4.8099999999999997E-2</v>
      </c>
      <c r="H308" t="s">
        <v>10334</v>
      </c>
      <c r="I308">
        <v>768437370</v>
      </c>
      <c r="K308">
        <v>1.31</v>
      </c>
      <c r="L308" t="s">
        <v>6350</v>
      </c>
      <c r="M308" t="s">
        <v>9</v>
      </c>
      <c r="N308" t="s">
        <v>9</v>
      </c>
      <c r="O308" t="s">
        <v>9</v>
      </c>
      <c r="P308" s="5" t="s">
        <v>9</v>
      </c>
      <c r="Q308" t="s">
        <v>5424</v>
      </c>
      <c r="R308">
        <v>-82833257</v>
      </c>
      <c r="S308">
        <v>0</v>
      </c>
      <c r="T308" t="s">
        <v>10335</v>
      </c>
      <c r="U308">
        <v>776199370</v>
      </c>
      <c r="V308">
        <v>776199370</v>
      </c>
      <c r="W308" t="s">
        <v>9</v>
      </c>
      <c r="X308" t="s">
        <v>9</v>
      </c>
      <c r="Y308" t="s">
        <v>9</v>
      </c>
      <c r="Z308" t="s">
        <v>9</v>
      </c>
      <c r="AA308" t="s">
        <v>9</v>
      </c>
      <c r="AB308" t="s">
        <v>9</v>
      </c>
      <c r="AC308" t="s">
        <v>9</v>
      </c>
      <c r="AD308" t="s">
        <v>9</v>
      </c>
      <c r="AE308" t="s">
        <v>9</v>
      </c>
      <c r="AF308" t="s">
        <v>9</v>
      </c>
      <c r="AG308" t="s">
        <v>9</v>
      </c>
      <c r="AH308" t="s">
        <v>10336</v>
      </c>
      <c r="AI308" t="s">
        <v>9</v>
      </c>
      <c r="AJ308" t="s">
        <v>9</v>
      </c>
      <c r="AK308" s="5" t="s">
        <v>10337</v>
      </c>
      <c r="AL308" t="s">
        <v>9</v>
      </c>
      <c r="AM308" t="s">
        <v>9</v>
      </c>
      <c r="AN308">
        <v>0.1943</v>
      </c>
      <c r="AO308" t="s">
        <v>9</v>
      </c>
      <c r="AP308" t="s">
        <v>10338</v>
      </c>
      <c r="AQ308" t="s">
        <v>9</v>
      </c>
      <c r="AR308" t="s">
        <v>212</v>
      </c>
      <c r="AS308" t="s">
        <v>9</v>
      </c>
      <c r="AT308" t="s">
        <v>9</v>
      </c>
      <c r="AU308" t="s">
        <v>10339</v>
      </c>
      <c r="AV308" t="s">
        <v>10340</v>
      </c>
      <c r="AW308" t="s">
        <v>9</v>
      </c>
      <c r="AX308" t="s">
        <v>4152</v>
      </c>
      <c r="AY308" t="s">
        <v>915</v>
      </c>
      <c r="AZ308" t="s">
        <v>1819</v>
      </c>
      <c r="BA308" t="s">
        <v>2263</v>
      </c>
      <c r="BB308" t="s">
        <v>140</v>
      </c>
      <c r="BC308" t="s">
        <v>10341</v>
      </c>
      <c r="BD308" t="s">
        <v>10342</v>
      </c>
      <c r="BE308" t="s">
        <v>10343</v>
      </c>
      <c r="BF308" t="s">
        <v>10344</v>
      </c>
      <c r="BG308" t="s">
        <v>10345</v>
      </c>
      <c r="BH308" t="s">
        <v>4152</v>
      </c>
      <c r="BI308" t="s">
        <v>9</v>
      </c>
      <c r="BJ308" t="s">
        <v>915</v>
      </c>
      <c r="BK308" t="s">
        <v>10346</v>
      </c>
      <c r="BL308" t="s">
        <v>9</v>
      </c>
      <c r="BM308" t="s">
        <v>10341</v>
      </c>
      <c r="BN308">
        <v>-14.79</v>
      </c>
      <c r="BO308">
        <v>8.2200000000000006</v>
      </c>
      <c r="BP308">
        <v>11.05</v>
      </c>
      <c r="BQ308">
        <v>-14.15</v>
      </c>
      <c r="BR308">
        <v>8.1199999999999992</v>
      </c>
      <c r="BS308">
        <v>8.26</v>
      </c>
      <c r="BT308" t="s">
        <v>10347</v>
      </c>
      <c r="BU308" t="s">
        <v>1541</v>
      </c>
      <c r="BV308">
        <v>14.49</v>
      </c>
      <c r="BW308">
        <v>30.44</v>
      </c>
      <c r="BX308">
        <v>69.37</v>
      </c>
      <c r="BY308">
        <v>-5.24</v>
      </c>
      <c r="BZ308">
        <v>5.4</v>
      </c>
      <c r="CA308">
        <v>12.35</v>
      </c>
      <c r="CB308">
        <v>-17.5</v>
      </c>
      <c r="CC308" s="8">
        <v>-29.29</v>
      </c>
      <c r="CD308" s="10" t="s">
        <v>116</v>
      </c>
      <c r="CE308" s="8" t="s">
        <v>10348</v>
      </c>
      <c r="CF308" s="8" t="s">
        <v>9</v>
      </c>
      <c r="CG308" s="8">
        <v>0</v>
      </c>
      <c r="CH308" s="8">
        <v>2.9392404556274414</v>
      </c>
      <c r="CI308" s="8">
        <v>1.1236559152603149</v>
      </c>
      <c r="CJ308" s="9">
        <v>-0.29811319708824158</v>
      </c>
      <c r="CK308" s="9">
        <v>0.13247863948345184</v>
      </c>
      <c r="CL308" s="9">
        <v>0.30726256966590881</v>
      </c>
      <c r="CM308" s="9">
        <v>-5.458580493927002</v>
      </c>
      <c r="CN308" s="9">
        <v>-5.311281606554985E-2</v>
      </c>
      <c r="CO308">
        <v>-0.50576591491699219</v>
      </c>
      <c r="CP308">
        <v>0.4844113290309906</v>
      </c>
      <c r="CQ308">
        <v>0.46038836240768433</v>
      </c>
      <c r="CR308" s="8">
        <v>-3.8302199660859579</v>
      </c>
      <c r="CS308" s="9">
        <v>-2.7030637873453008E-3</v>
      </c>
      <c r="CT308" t="e">
        <v>#VALUE!</v>
      </c>
      <c r="CU308">
        <v>14.169920754432678</v>
      </c>
      <c r="CV308">
        <v>0.86440258324146269</v>
      </c>
      <c r="CW308">
        <v>0.06</v>
      </c>
      <c r="CX308" t="e">
        <v>#VALUE!</v>
      </c>
      <c r="CY308" t="s">
        <v>109</v>
      </c>
      <c r="CZ308">
        <v>14.169920754432678</v>
      </c>
      <c r="DA308" t="e">
        <v>#VALUE!</v>
      </c>
      <c r="DB308" t="s">
        <v>108</v>
      </c>
      <c r="DC308">
        <v>13.461424716711043</v>
      </c>
      <c r="DD308" t="e">
        <v>#VALUE!</v>
      </c>
      <c r="DE308" t="s">
        <v>108</v>
      </c>
      <c r="DF308">
        <v>12.469530263900756</v>
      </c>
      <c r="DG308" t="e">
        <v>#VALUE!</v>
      </c>
      <c r="DH308" t="s">
        <v>108</v>
      </c>
      <c r="DI308">
        <v>11.335936603546143</v>
      </c>
      <c r="DJ308" t="e">
        <v>#VALUE!</v>
      </c>
      <c r="DK308" t="s">
        <v>108</v>
      </c>
      <c r="DL308">
        <v>9.9189445281028732</v>
      </c>
      <c r="DM308">
        <v>-82833300</v>
      </c>
      <c r="DN308">
        <v>14.169920754432678</v>
      </c>
      <c r="DO308">
        <v>768437370</v>
      </c>
      <c r="DP308" t="e">
        <v>#VALUE!</v>
      </c>
      <c r="DQ308">
        <v>307</v>
      </c>
      <c r="DR308" t="e">
        <v>#VALUE!</v>
      </c>
      <c r="DS308">
        <v>-0.86440258324146269</v>
      </c>
      <c r="DT308" t="e">
        <v>#VALUE!</v>
      </c>
      <c r="DU308" t="e">
        <v>#VALUE!</v>
      </c>
      <c r="DV308" t="e">
        <v>#VALUE!</v>
      </c>
      <c r="DW308">
        <v>-9.5974735404574947</v>
      </c>
      <c r="DX308">
        <v>0.26775819691800162</v>
      </c>
      <c r="DY308">
        <v>-9.0345089944030388</v>
      </c>
      <c r="DZ308">
        <v>0</v>
      </c>
      <c r="EA308">
        <v>-9.0345089944030388</v>
      </c>
      <c r="EB308">
        <v>9</v>
      </c>
      <c r="EC308">
        <v>0.15202279795717949</v>
      </c>
      <c r="ED308">
        <v>2.6320557307332009</v>
      </c>
      <c r="EE308">
        <v>0</v>
      </c>
      <c r="EF308">
        <v>0</v>
      </c>
      <c r="EG308">
        <v>21.057758196918002</v>
      </c>
      <c r="EH308" t="s">
        <v>110</v>
      </c>
      <c r="EI308">
        <v>0</v>
      </c>
      <c r="EJ308">
        <v>0</v>
      </c>
      <c r="EK308">
        <v>0</v>
      </c>
      <c r="EL308">
        <v>0</v>
      </c>
      <c r="EM308">
        <v>0</v>
      </c>
      <c r="EN308">
        <v>0</v>
      </c>
      <c r="EO308">
        <v>0</v>
      </c>
      <c r="EP308">
        <v>0</v>
      </c>
    </row>
    <row r="309" spans="1:146" ht="96" x14ac:dyDescent="0.25">
      <c r="A309" s="7"/>
      <c r="B309" s="7"/>
      <c r="C309" s="7" t="str">
        <f>""&amp;CHAR(10)&amp;Basic_Fundamental_Information_Constructure(F309)&amp;CHAR(10)&amp;Basic_Fundamental_Information_Concatenate("")</f>
        <v xml:space="preserve">
市值75.836916亿, 利润3.78亿; PE20.07; 平均PE93.09; 平均PEG3.34, PB.686; ROIC2.5667%; ROE2.9333%; 股利率0%; 毛利40.3633%; 净利12.22%; 上一年度营收增14.62%, 利润增-9.13%, 利润增176.6%; 过往5年营收增27.87%, 利润增-23.02%
Income profile:
</v>
      </c>
      <c r="D309" s="11">
        <v>1951</v>
      </c>
      <c r="E309" t="s">
        <v>4339</v>
      </c>
      <c r="F309">
        <v>2.75</v>
      </c>
      <c r="G309" s="5">
        <v>-3.8800000000000001E-2</v>
      </c>
      <c r="H309" t="s">
        <v>10349</v>
      </c>
      <c r="I309">
        <v>7583691600</v>
      </c>
      <c r="J309">
        <v>20.07</v>
      </c>
      <c r="K309">
        <v>0.68600000000000005</v>
      </c>
      <c r="L309" t="s">
        <v>6350</v>
      </c>
      <c r="M309" t="s">
        <v>9</v>
      </c>
      <c r="N309" t="s">
        <v>9</v>
      </c>
      <c r="O309" t="s">
        <v>9</v>
      </c>
      <c r="P309" t="s">
        <v>9</v>
      </c>
      <c r="Q309" t="s">
        <v>10350</v>
      </c>
      <c r="R309">
        <v>377885350</v>
      </c>
      <c r="S309" s="5">
        <v>1.766</v>
      </c>
      <c r="T309" t="s">
        <v>832</v>
      </c>
      <c r="U309">
        <v>2757706000</v>
      </c>
      <c r="V309">
        <v>2757706000</v>
      </c>
      <c r="W309" t="s">
        <v>9</v>
      </c>
      <c r="X309" t="s">
        <v>9</v>
      </c>
      <c r="Y309" t="s">
        <v>9</v>
      </c>
      <c r="Z309" t="s">
        <v>9</v>
      </c>
      <c r="AA309" t="s">
        <v>9</v>
      </c>
      <c r="AB309" t="s">
        <v>9</v>
      </c>
      <c r="AC309" t="s">
        <v>9</v>
      </c>
      <c r="AD309" t="s">
        <v>10351</v>
      </c>
      <c r="AE309" t="s">
        <v>9</v>
      </c>
      <c r="AF309" t="s">
        <v>9</v>
      </c>
      <c r="AG309" t="s">
        <v>9</v>
      </c>
      <c r="AH309" t="s">
        <v>10352</v>
      </c>
      <c r="AI309" t="s">
        <v>9</v>
      </c>
      <c r="AJ309" t="s">
        <v>9</v>
      </c>
      <c r="AK309" t="s">
        <v>10353</v>
      </c>
      <c r="AL309" t="s">
        <v>9</v>
      </c>
      <c r="AM309" t="s">
        <v>9</v>
      </c>
      <c r="AN309" s="5">
        <v>0.31609999999999999</v>
      </c>
      <c r="AO309" t="s">
        <v>9</v>
      </c>
      <c r="AP309" t="s">
        <v>1119</v>
      </c>
      <c r="AQ309" t="s">
        <v>9</v>
      </c>
      <c r="AR309" t="s">
        <v>705</v>
      </c>
      <c r="AS309" t="s">
        <v>9</v>
      </c>
      <c r="AT309" t="s">
        <v>9</v>
      </c>
      <c r="AU309" t="s">
        <v>184</v>
      </c>
      <c r="AV309" t="s">
        <v>10354</v>
      </c>
      <c r="AW309" t="s">
        <v>9</v>
      </c>
      <c r="AX309" t="s">
        <v>4285</v>
      </c>
      <c r="AY309" t="s">
        <v>4340</v>
      </c>
      <c r="AZ309" t="s">
        <v>1259</v>
      </c>
      <c r="BA309" t="s">
        <v>2630</v>
      </c>
      <c r="BB309" t="s">
        <v>192</v>
      </c>
      <c r="BC309" t="s">
        <v>1041</v>
      </c>
      <c r="BD309" t="s">
        <v>32</v>
      </c>
      <c r="BE309" t="s">
        <v>86</v>
      </c>
      <c r="BF309" t="s">
        <v>249</v>
      </c>
      <c r="BG309" t="s">
        <v>116</v>
      </c>
      <c r="BH309" t="s">
        <v>4285</v>
      </c>
      <c r="BI309" t="s">
        <v>9</v>
      </c>
      <c r="BJ309" t="s">
        <v>4340</v>
      </c>
      <c r="BK309" t="s">
        <v>27</v>
      </c>
      <c r="BL309" t="s">
        <v>9</v>
      </c>
      <c r="BM309" t="s">
        <v>1041</v>
      </c>
      <c r="BN309">
        <v>2.78</v>
      </c>
      <c r="BO309">
        <v>1.07</v>
      </c>
      <c r="BP309">
        <v>3.85</v>
      </c>
      <c r="BQ309">
        <v>3.42</v>
      </c>
      <c r="BR309">
        <v>1.4</v>
      </c>
      <c r="BS309">
        <v>3.98</v>
      </c>
      <c r="BT309" t="s">
        <v>2422</v>
      </c>
      <c r="BU309" t="s">
        <v>489</v>
      </c>
      <c r="BV309">
        <v>42.15</v>
      </c>
      <c r="BW309">
        <v>36.979999999999997</v>
      </c>
      <c r="BX309">
        <v>41.96</v>
      </c>
      <c r="BY309">
        <v>12.44</v>
      </c>
      <c r="BZ309">
        <v>4.99</v>
      </c>
      <c r="CA309">
        <v>19.23</v>
      </c>
      <c r="CB309">
        <v>-4.55</v>
      </c>
      <c r="CC309">
        <v>-12.73</v>
      </c>
      <c r="CD309" t="s">
        <v>10355</v>
      </c>
      <c r="CE309" t="s">
        <v>2056</v>
      </c>
      <c r="CF309" s="8" t="s">
        <v>9</v>
      </c>
      <c r="CG309" s="9">
        <v>1.766</v>
      </c>
      <c r="CH309" s="8">
        <v>0.14623166620731354</v>
      </c>
      <c r="CI309" s="8">
        <v>0.18428066372871399</v>
      </c>
      <c r="CJ309" s="8">
        <v>0.32470586895942688</v>
      </c>
      <c r="CK309" s="8">
        <v>0.61904764175415039</v>
      </c>
      <c r="CL309" s="8">
        <v>0.32075470685958862</v>
      </c>
      <c r="CM309" s="9">
        <v>-9.1346152126789093E-2</v>
      </c>
      <c r="CN309" s="9">
        <v>0.38666665554046631</v>
      </c>
      <c r="CO309" s="9">
        <v>-0.34497815370559692</v>
      </c>
      <c r="CP309" s="9">
        <v>1.4105262756347656</v>
      </c>
      <c r="CQ309" s="9">
        <v>0.61016947031021118</v>
      </c>
      <c r="CR309">
        <v>93.088418567950427</v>
      </c>
      <c r="CS309">
        <v>3.3400691954920627</v>
      </c>
      <c r="CT309">
        <v>0</v>
      </c>
      <c r="CU309" s="8">
        <v>0.27870206609368325</v>
      </c>
      <c r="CV309" s="9">
        <v>-0.23017888814210891</v>
      </c>
      <c r="CW309">
        <v>0.06</v>
      </c>
      <c r="CX309">
        <v>16.631268006684124</v>
      </c>
      <c r="CY309">
        <v>455989982.05982286</v>
      </c>
      <c r="CZ309">
        <v>0.27870206609368325</v>
      </c>
      <c r="DA309">
        <v>4.6489424307455423</v>
      </c>
      <c r="DB309">
        <v>1631272426.5729005</v>
      </c>
      <c r="DC309">
        <v>0.26476696278899908</v>
      </c>
      <c r="DD309">
        <v>1.8327288236783785</v>
      </c>
      <c r="DE309">
        <v>4137923462.5552249</v>
      </c>
      <c r="DF309">
        <v>0.24525781816244127</v>
      </c>
      <c r="DG309">
        <v>0.84095812811416237</v>
      </c>
      <c r="DH309">
        <v>9017918189.3471069</v>
      </c>
      <c r="DI309">
        <v>0.22296165287494663</v>
      </c>
      <c r="DJ309">
        <v>0.22649132050379722</v>
      </c>
      <c r="DK309">
        <v>33483365204.155167</v>
      </c>
      <c r="DL309">
        <v>0.19509144626557826</v>
      </c>
      <c r="DM309">
        <v>378000000</v>
      </c>
      <c r="DN309">
        <v>0.27870206609368325</v>
      </c>
      <c r="DO309">
        <v>7583691600</v>
      </c>
      <c r="DP309" t="e">
        <v>#VALUE!</v>
      </c>
      <c r="DQ309">
        <v>308</v>
      </c>
      <c r="DR309" t="e">
        <v>#VALUE!</v>
      </c>
      <c r="DS309">
        <v>1.996178888142109</v>
      </c>
      <c r="DT309" t="e">
        <v>#VALUE!</v>
      </c>
      <c r="DU309" t="e">
        <v>#VALUE!</v>
      </c>
      <c r="DV309" t="e">
        <v>#VALUE!</v>
      </c>
      <c r="DW309">
        <v>-8.3574234092694422</v>
      </c>
      <c r="DX309">
        <v>0.25296488296296304</v>
      </c>
      <c r="DY309">
        <v>-8.0403762935963456</v>
      </c>
      <c r="DZ309">
        <v>0</v>
      </c>
      <c r="EA309">
        <v>-8.0403762935963456</v>
      </c>
      <c r="EB309">
        <v>8</v>
      </c>
      <c r="EC309">
        <v>2.7650264386413926E-2</v>
      </c>
      <c r="ED309">
        <v>0.24476865916816368</v>
      </c>
      <c r="EE309">
        <v>0</v>
      </c>
      <c r="EF309">
        <v>0</v>
      </c>
      <c r="EG309">
        <v>14.112964882962963</v>
      </c>
      <c r="EH309" t="s">
        <v>110</v>
      </c>
      <c r="EI309">
        <v>0</v>
      </c>
      <c r="EJ309">
        <v>0</v>
      </c>
      <c r="EK309">
        <v>0</v>
      </c>
      <c r="EL309">
        <v>0</v>
      </c>
      <c r="EM309">
        <v>0</v>
      </c>
      <c r="EN309">
        <v>0</v>
      </c>
      <c r="EO309">
        <v>0</v>
      </c>
      <c r="EP309">
        <v>0</v>
      </c>
    </row>
    <row r="310" spans="1:146" ht="96" x14ac:dyDescent="0.25">
      <c r="A310" s="7"/>
      <c r="B310" s="7"/>
      <c r="C310" s="7" t="str">
        <f>""&amp;CHAR(10)&amp;Basic_Fundamental_Information_Constructure(F310)&amp;CHAR(10)&amp;Basic_Fundamental_Information_Concatenate("")</f>
        <v xml:space="preserve">
市值65.358123亿, 利润-9.26亿; PE; 平均PE27.4; 平均PEG1.67, PB1.2; ROIC-11.79%; ROE-12.83%; 股利率0%; 毛利64.59%; 净利-1301.84%; 上一年度营收增856.29%, 利润增25.02%, 利润增-231.8%; 过往5年营收增16.42%, 利润增22.59%
Income profile:
</v>
      </c>
      <c r="D310" s="11">
        <v>1952</v>
      </c>
      <c r="E310" t="s">
        <v>4341</v>
      </c>
      <c r="F310">
        <v>20.100000000000001</v>
      </c>
      <c r="G310" s="5">
        <v>-4.0599999999999997E-2</v>
      </c>
      <c r="H310" t="s">
        <v>10356</v>
      </c>
      <c r="I310">
        <v>6535812300</v>
      </c>
      <c r="K310">
        <v>1.2</v>
      </c>
      <c r="L310" t="s">
        <v>6350</v>
      </c>
      <c r="M310" t="s">
        <v>9</v>
      </c>
      <c r="N310" t="s">
        <v>9</v>
      </c>
      <c r="O310" t="s">
        <v>9</v>
      </c>
      <c r="P310" t="s">
        <v>9</v>
      </c>
      <c r="Q310" t="s">
        <v>1133</v>
      </c>
      <c r="R310">
        <v>-925700340</v>
      </c>
      <c r="S310" s="5">
        <v>-2.3180000000000001</v>
      </c>
      <c r="T310" t="s">
        <v>10357</v>
      </c>
      <c r="U310">
        <v>324183350</v>
      </c>
      <c r="V310">
        <v>324183350</v>
      </c>
      <c r="W310" t="s">
        <v>9</v>
      </c>
      <c r="X310" t="s">
        <v>9</v>
      </c>
      <c r="Y310" t="s">
        <v>9</v>
      </c>
      <c r="Z310" t="s">
        <v>9</v>
      </c>
      <c r="AA310" t="s">
        <v>9</v>
      </c>
      <c r="AB310" t="s">
        <v>9</v>
      </c>
      <c r="AC310" t="s">
        <v>9</v>
      </c>
      <c r="AD310" t="s">
        <v>4549</v>
      </c>
      <c r="AE310" t="s">
        <v>9</v>
      </c>
      <c r="AF310" t="s">
        <v>9</v>
      </c>
      <c r="AG310" t="s">
        <v>9</v>
      </c>
      <c r="AH310" t="s">
        <v>10358</v>
      </c>
      <c r="AI310" t="s">
        <v>9</v>
      </c>
      <c r="AJ310" t="s">
        <v>9</v>
      </c>
      <c r="AK310" t="s">
        <v>10359</v>
      </c>
      <c r="AL310" t="s">
        <v>9</v>
      </c>
      <c r="AM310" t="s">
        <v>9</v>
      </c>
      <c r="AN310" s="5">
        <v>0.13930000000000001</v>
      </c>
      <c r="AO310" t="s">
        <v>9</v>
      </c>
      <c r="AP310" t="s">
        <v>10360</v>
      </c>
      <c r="AQ310" t="s">
        <v>9</v>
      </c>
      <c r="AR310" t="s">
        <v>2802</v>
      </c>
      <c r="AS310" t="s">
        <v>9</v>
      </c>
      <c r="AT310" t="s">
        <v>9</v>
      </c>
      <c r="AU310" t="s">
        <v>10361</v>
      </c>
      <c r="AV310" t="s">
        <v>7684</v>
      </c>
      <c r="AW310" t="s">
        <v>9</v>
      </c>
      <c r="AX310" t="s">
        <v>4342</v>
      </c>
      <c r="AY310" t="s">
        <v>4344</v>
      </c>
      <c r="AZ310" t="s">
        <v>9</v>
      </c>
      <c r="BA310" t="s">
        <v>9</v>
      </c>
      <c r="BB310" t="s">
        <v>9</v>
      </c>
      <c r="BC310" t="s">
        <v>4345</v>
      </c>
      <c r="BD310" t="s">
        <v>4346</v>
      </c>
      <c r="BE310" t="s">
        <v>4347</v>
      </c>
      <c r="BF310" t="s">
        <v>4348</v>
      </c>
      <c r="BG310" t="s">
        <v>9</v>
      </c>
      <c r="BH310" t="s">
        <v>4342</v>
      </c>
      <c r="BI310" t="s">
        <v>9</v>
      </c>
      <c r="BJ310" t="s">
        <v>4344</v>
      </c>
      <c r="BK310" t="s">
        <v>4343</v>
      </c>
      <c r="BL310" t="s">
        <v>9</v>
      </c>
      <c r="BM310" t="s">
        <v>4345</v>
      </c>
      <c r="BN310">
        <v>-15.25</v>
      </c>
      <c r="BO310">
        <v>-4.28</v>
      </c>
      <c r="BP310">
        <v>-15.84</v>
      </c>
      <c r="BQ310">
        <v>-17</v>
      </c>
      <c r="BR310">
        <v>-4.37</v>
      </c>
      <c r="BS310">
        <v>-17.12</v>
      </c>
      <c r="BT310" t="s">
        <v>9</v>
      </c>
      <c r="BU310" t="s">
        <v>489</v>
      </c>
      <c r="BV310">
        <v>72.67</v>
      </c>
      <c r="BW310">
        <v>63.69</v>
      </c>
      <c r="BX310">
        <v>57.41</v>
      </c>
      <c r="BY310">
        <v>-670.57</v>
      </c>
      <c r="BZ310">
        <v>-1933.11</v>
      </c>
      <c r="CA310" t="s">
        <v>4349</v>
      </c>
      <c r="CB310">
        <v>0.5</v>
      </c>
      <c r="CC310">
        <v>-21.48</v>
      </c>
      <c r="CD310" t="s">
        <v>10362</v>
      </c>
      <c r="CE310" t="s">
        <v>10363</v>
      </c>
      <c r="CF310" s="8" t="s">
        <v>9</v>
      </c>
      <c r="CG310" s="9">
        <v>-2.3180000000000001</v>
      </c>
      <c r="CH310" s="8">
        <v>8.5629453659057617</v>
      </c>
      <c r="CI310" s="8">
        <v>217.31619262695312</v>
      </c>
      <c r="CJ310" s="8" t="s">
        <v>9</v>
      </c>
      <c r="CK310" s="8" t="s">
        <v>9</v>
      </c>
      <c r="CL310" s="8" t="s">
        <v>9</v>
      </c>
      <c r="CM310" s="9">
        <v>0.250202476978302</v>
      </c>
      <c r="CN310" s="9">
        <v>0.81687426567077637</v>
      </c>
      <c r="CO310" s="9">
        <v>-27.100000381469727</v>
      </c>
      <c r="CP310" s="9">
        <v>0.78742247819900513</v>
      </c>
      <c r="CQ310" s="9" t="s">
        <v>9</v>
      </c>
      <c r="CR310">
        <v>27.403825157232703</v>
      </c>
      <c r="CS310">
        <v>1.6686894294143255</v>
      </c>
      <c r="CT310">
        <v>0</v>
      </c>
      <c r="CU310" s="8">
        <v>0.16422363966703415</v>
      </c>
      <c r="CV310" s="9">
        <v>0.22588684484362603</v>
      </c>
      <c r="CW310">
        <v>0.06</v>
      </c>
      <c r="CX310" t="e">
        <v>#VALUE!</v>
      </c>
      <c r="CY310" t="s">
        <v>109</v>
      </c>
      <c r="CZ310">
        <v>0.16422363966703415</v>
      </c>
      <c r="DA310" t="e">
        <v>#VALUE!</v>
      </c>
      <c r="DB310" t="s">
        <v>108</v>
      </c>
      <c r="DC310">
        <v>0.15601245768368244</v>
      </c>
      <c r="DD310" t="e">
        <v>#VALUE!</v>
      </c>
      <c r="DE310" t="s">
        <v>108</v>
      </c>
      <c r="DF310">
        <v>0.14451680290699007</v>
      </c>
      <c r="DG310" t="e">
        <v>#VALUE!</v>
      </c>
      <c r="DH310" t="s">
        <v>108</v>
      </c>
      <c r="DI310">
        <v>0.13137891173362734</v>
      </c>
      <c r="DJ310" t="e">
        <v>#VALUE!</v>
      </c>
      <c r="DK310" t="s">
        <v>108</v>
      </c>
      <c r="DL310">
        <v>0.11495654776692391</v>
      </c>
      <c r="DM310">
        <v>-926000000</v>
      </c>
      <c r="DN310">
        <v>0.16422363966703415</v>
      </c>
      <c r="DO310">
        <v>6535812300</v>
      </c>
      <c r="DP310" t="e">
        <v>#VALUE!</v>
      </c>
      <c r="DQ310">
        <v>309</v>
      </c>
      <c r="DR310" t="e">
        <v>#VALUE!</v>
      </c>
      <c r="DS310">
        <v>-2.5438868448436263</v>
      </c>
      <c r="DT310" t="e">
        <v>#VALUE!</v>
      </c>
      <c r="DU310" t="e">
        <v>#VALUE!</v>
      </c>
      <c r="DV310" t="e">
        <v>#VALUE!</v>
      </c>
      <c r="DW310">
        <v>-3.0619761904761904</v>
      </c>
      <c r="DX310">
        <v>0.23235881077464116</v>
      </c>
      <c r="DY310">
        <v>-3.0057240472487234</v>
      </c>
      <c r="DZ310">
        <v>0</v>
      </c>
      <c r="EA310">
        <v>-3.0057240472487234</v>
      </c>
      <c r="EB310">
        <v>3</v>
      </c>
      <c r="EC310">
        <v>2.2310214266093555E-2</v>
      </c>
      <c r="ED310">
        <v>0.24156021584698906</v>
      </c>
      <c r="EE310">
        <v>0</v>
      </c>
      <c r="EF310">
        <v>0</v>
      </c>
      <c r="EG310">
        <v>14.092358810774641</v>
      </c>
      <c r="EH310" t="s">
        <v>110</v>
      </c>
      <c r="EI310">
        <v>0</v>
      </c>
      <c r="EJ310">
        <v>0</v>
      </c>
      <c r="EK310">
        <v>0</v>
      </c>
      <c r="EL310">
        <v>0</v>
      </c>
      <c r="EM310">
        <v>0</v>
      </c>
      <c r="EN310">
        <v>0</v>
      </c>
      <c r="EO310">
        <v>0</v>
      </c>
      <c r="EP310">
        <v>0</v>
      </c>
    </row>
    <row r="311" spans="1:146" ht="96" x14ac:dyDescent="0.25">
      <c r="A311" s="7"/>
      <c r="B311" s="7"/>
      <c r="C311" s="7" t="str">
        <f>""&amp;CHAR(10)&amp;Basic_Fundamental_Information_Constructure(F311)&amp;CHAR(10)&amp;Basic_Fundamental_Information_Concatenate("")</f>
        <v xml:space="preserve">
市值157.90216亿, 利润33.22亿; PE5.69; 平均PE18.96; 平均PEG5.97, PB.247; ROIC5.0167%; ROE6.7867%; 股利率0%; 毛利21.29%; 净利8.0233%; 上一年度营收增.99%, 利润增-29.68%; 当季营收增-10.41%, 利润增-32.89%; 过往5年营收增3.18%, 利润增-1.25%
Income profile:
</v>
      </c>
      <c r="D311" s="11">
        <v>1958</v>
      </c>
      <c r="E311" t="s">
        <v>4350</v>
      </c>
      <c r="F311">
        <v>1.97</v>
      </c>
      <c r="G311" s="5">
        <v>-2.4799999999999999E-2</v>
      </c>
      <c r="H311" t="s">
        <v>10364</v>
      </c>
      <c r="I311">
        <v>15790216000</v>
      </c>
      <c r="J311">
        <v>5.69</v>
      </c>
      <c r="K311">
        <v>0.247</v>
      </c>
      <c r="L311" t="s">
        <v>6350</v>
      </c>
      <c r="M311" t="s">
        <v>10365</v>
      </c>
      <c r="N311" t="s">
        <v>10366</v>
      </c>
      <c r="O311" t="s">
        <v>10367</v>
      </c>
      <c r="P311">
        <v>-2.46</v>
      </c>
      <c r="Q311" t="s">
        <v>10368</v>
      </c>
      <c r="R311">
        <v>3321865300</v>
      </c>
      <c r="S311" s="5">
        <v>-0.32890000000000003</v>
      </c>
      <c r="T311" t="s">
        <v>1505</v>
      </c>
      <c r="U311">
        <v>2520690700</v>
      </c>
      <c r="V311">
        <v>8015338200</v>
      </c>
      <c r="W311">
        <v>2.93</v>
      </c>
      <c r="X311">
        <v>0.26</v>
      </c>
      <c r="Y311">
        <v>11.72</v>
      </c>
      <c r="Z311" t="s">
        <v>1414</v>
      </c>
      <c r="AA311" t="s">
        <v>10369</v>
      </c>
      <c r="AB311" t="s">
        <v>10370</v>
      </c>
      <c r="AC311" t="s">
        <v>174</v>
      </c>
      <c r="AD311" t="s">
        <v>426</v>
      </c>
      <c r="AE311" t="s">
        <v>1154</v>
      </c>
      <c r="AF311" t="s">
        <v>9</v>
      </c>
      <c r="AG311" t="s">
        <v>10371</v>
      </c>
      <c r="AH311" t="s">
        <v>10372</v>
      </c>
      <c r="AI311" t="s">
        <v>10373</v>
      </c>
      <c r="AJ311" t="s">
        <v>10374</v>
      </c>
      <c r="AK311" t="s">
        <v>10375</v>
      </c>
      <c r="AL311" t="s">
        <v>9</v>
      </c>
      <c r="AM311" t="s">
        <v>10376</v>
      </c>
      <c r="AN311" s="5">
        <v>0.51619999999999999</v>
      </c>
      <c r="AO311" t="s">
        <v>9349</v>
      </c>
      <c r="AP311" t="s">
        <v>10377</v>
      </c>
      <c r="AQ311" t="s">
        <v>10378</v>
      </c>
      <c r="AR311" t="s">
        <v>10379</v>
      </c>
      <c r="AS311" t="s">
        <v>10380</v>
      </c>
      <c r="AT311" t="s">
        <v>10381</v>
      </c>
      <c r="AU311" t="s">
        <v>10382</v>
      </c>
      <c r="AV311" t="s">
        <v>10383</v>
      </c>
      <c r="AW311" t="s">
        <v>10384</v>
      </c>
      <c r="AX311" t="s">
        <v>4351</v>
      </c>
      <c r="AY311" t="s">
        <v>4357</v>
      </c>
      <c r="AZ311" t="s">
        <v>4358</v>
      </c>
      <c r="BA311" t="s">
        <v>4359</v>
      </c>
      <c r="BB311" t="s">
        <v>4360</v>
      </c>
      <c r="BC311" t="s">
        <v>3046</v>
      </c>
      <c r="BD311" t="s">
        <v>4361</v>
      </c>
      <c r="BE311" t="s">
        <v>4362</v>
      </c>
      <c r="BF311" t="s">
        <v>2407</v>
      </c>
      <c r="BG311" t="s">
        <v>4363</v>
      </c>
      <c r="BH311" t="s">
        <v>4351</v>
      </c>
      <c r="BI311" t="s">
        <v>4364</v>
      </c>
      <c r="BJ311" t="s">
        <v>4357</v>
      </c>
      <c r="BK311" t="s">
        <v>4352</v>
      </c>
      <c r="BL311" t="s">
        <v>4365</v>
      </c>
      <c r="BM311" t="s">
        <v>3046</v>
      </c>
      <c r="BN311">
        <v>4.18</v>
      </c>
      <c r="BO311">
        <v>5.6</v>
      </c>
      <c r="BP311">
        <v>5.27</v>
      </c>
      <c r="BQ311">
        <v>5.32</v>
      </c>
      <c r="BR311">
        <v>7.7</v>
      </c>
      <c r="BS311">
        <v>7.34</v>
      </c>
      <c r="BT311" t="s">
        <v>10385</v>
      </c>
      <c r="BU311" t="s">
        <v>861</v>
      </c>
      <c r="BV311">
        <v>20.239999999999998</v>
      </c>
      <c r="BW311">
        <v>22.23</v>
      </c>
      <c r="BX311">
        <v>21.4</v>
      </c>
      <c r="BY311">
        <v>6.88</v>
      </c>
      <c r="BZ311">
        <v>8.58</v>
      </c>
      <c r="CA311">
        <v>8.61</v>
      </c>
      <c r="CB311">
        <v>-2.33</v>
      </c>
      <c r="CC311">
        <v>-9.09</v>
      </c>
      <c r="CD311" t="s">
        <v>10386</v>
      </c>
      <c r="CE311" t="s">
        <v>214</v>
      </c>
      <c r="CF311" s="8">
        <v>-0.1040729940739346</v>
      </c>
      <c r="CG311" s="9">
        <v>-0.32890000000000003</v>
      </c>
      <c r="CH311" s="8">
        <v>9.9180461838841438E-3</v>
      </c>
      <c r="CI311" s="8">
        <v>-2.5439774617552757E-3</v>
      </c>
      <c r="CJ311" s="8">
        <v>2.1215140819549561E-2</v>
      </c>
      <c r="CK311" s="8">
        <v>0.21943385899066925</v>
      </c>
      <c r="CL311" s="8">
        <v>7.5439959764480591E-2</v>
      </c>
      <c r="CM311" s="9">
        <v>-0.29678237438201904</v>
      </c>
      <c r="CN311" s="9">
        <v>0.95368075370788574</v>
      </c>
      <c r="CO311" s="9">
        <v>-0.46996933221817017</v>
      </c>
      <c r="CP311" s="9">
        <v>-9.5379725098609924E-2</v>
      </c>
      <c r="CQ311" s="9">
        <v>0.86708623170852661</v>
      </c>
      <c r="CR311">
        <v>18.955841536614646</v>
      </c>
      <c r="CS311">
        <v>5.9669614482023778</v>
      </c>
      <c r="CT311">
        <v>0</v>
      </c>
      <c r="CU311" s="8">
        <v>3.1767997331917285E-2</v>
      </c>
      <c r="CV311" s="9">
        <v>-1.2541138380765916E-2</v>
      </c>
      <c r="CW311">
        <v>0.06</v>
      </c>
      <c r="CX311">
        <v>6.7567860090272625</v>
      </c>
      <c r="CY311">
        <v>3233521968.99682</v>
      </c>
      <c r="CZ311">
        <v>3.1767997331917285E-2</v>
      </c>
      <c r="DA311">
        <v>2.3204011231139101</v>
      </c>
      <c r="DB311">
        <v>9415706526.9302826</v>
      </c>
      <c r="DC311">
        <v>3.0179597465321419E-2</v>
      </c>
      <c r="DD311">
        <v>1.2187886738511045</v>
      </c>
      <c r="DE311">
        <v>17926172493.024929</v>
      </c>
      <c r="DF311">
        <v>2.7955837652087211E-2</v>
      </c>
      <c r="DG311">
        <v>0.78574634241040286</v>
      </c>
      <c r="DH311">
        <v>27805685907.461044</v>
      </c>
      <c r="DI311">
        <v>2.541439786553383E-2</v>
      </c>
      <c r="DJ311">
        <v>0.47091676505026836</v>
      </c>
      <c r="DK311">
        <v>46395069408.216537</v>
      </c>
      <c r="DL311">
        <v>2.2237598132342096E-2</v>
      </c>
      <c r="DM311">
        <v>3322000000</v>
      </c>
      <c r="DN311">
        <v>3.1767997331917285E-2</v>
      </c>
      <c r="DO311">
        <v>21848216000</v>
      </c>
      <c r="DP311" t="e">
        <v>#VALUE!</v>
      </c>
      <c r="DQ311">
        <v>310</v>
      </c>
      <c r="DR311">
        <v>-0.13584099140585187</v>
      </c>
      <c r="DS311">
        <v>-0.3163588616192341</v>
      </c>
      <c r="DT311">
        <v>-0.47333333333333333</v>
      </c>
      <c r="DU311">
        <v>0.56666666666666665</v>
      </c>
      <c r="DV311">
        <v>9.3333333333333324E-2</v>
      </c>
      <c r="DW311">
        <v>-2.0909</v>
      </c>
      <c r="DX311">
        <v>0.41928671328671396</v>
      </c>
      <c r="DY311">
        <v>-2.0181151622377622</v>
      </c>
      <c r="DZ311">
        <v>0</v>
      </c>
      <c r="EA311">
        <v>-2.0181151622377622</v>
      </c>
      <c r="EB311">
        <v>2</v>
      </c>
      <c r="EC311">
        <v>7.1108665134055104E-3</v>
      </c>
      <c r="ED311">
        <v>3.5681588582250963E-2</v>
      </c>
      <c r="EE311">
        <v>0</v>
      </c>
      <c r="EF311">
        <v>0</v>
      </c>
      <c r="EG311">
        <v>22.199286713286714</v>
      </c>
      <c r="EH311" t="s">
        <v>110</v>
      </c>
      <c r="EI311">
        <v>0</v>
      </c>
      <c r="EJ311">
        <v>0</v>
      </c>
      <c r="EK311">
        <v>0</v>
      </c>
      <c r="EL311">
        <v>0</v>
      </c>
      <c r="EM311">
        <v>0</v>
      </c>
      <c r="EN311">
        <v>0</v>
      </c>
      <c r="EO311">
        <v>0</v>
      </c>
      <c r="EP311">
        <v>0</v>
      </c>
    </row>
    <row r="312" spans="1:146" ht="96" x14ac:dyDescent="0.25">
      <c r="A312" s="7"/>
      <c r="B312" s="7"/>
      <c r="C312" s="7" t="str">
        <f>""&amp;CHAR(10)&amp;Basic_Fundamental_Information_Constructure(F312)&amp;CHAR(10)&amp;Basic_Fundamental_Information_Concatenate("")</f>
        <v xml:space="preserve">
市值171.6435亿, 利润51.72亿; PE3.34; 平均PE5.03; 平均PEG.53, PB.27; ROIC0%; ROE8.93%; 股利率0%; 毛利0%; 净利41.9667%; 上一年度营收增-6.78%, 利润增-3.38%; 当季营收增-16.75%, 利润增-1.82%; 过往5年营收增9.43%, 利润增-142.27%
Income profile:
</v>
      </c>
      <c r="D312" s="11">
        <v>1963</v>
      </c>
      <c r="E312" t="s">
        <v>4366</v>
      </c>
      <c r="F312">
        <v>4.9400000000000004</v>
      </c>
      <c r="G312" s="5">
        <v>-8.0000000000000002E-3</v>
      </c>
      <c r="H312" t="s">
        <v>10387</v>
      </c>
      <c r="I312">
        <v>17164350000</v>
      </c>
      <c r="J312">
        <v>3.34</v>
      </c>
      <c r="K312">
        <v>0.27</v>
      </c>
      <c r="L312" t="s">
        <v>6350</v>
      </c>
      <c r="M312" t="s">
        <v>10388</v>
      </c>
      <c r="N312" t="s">
        <v>10389</v>
      </c>
      <c r="O312" t="s">
        <v>5807</v>
      </c>
      <c r="P312" t="s">
        <v>9</v>
      </c>
      <c r="Q312" t="s">
        <v>10390</v>
      </c>
      <c r="R312">
        <v>5172186200</v>
      </c>
      <c r="S312" s="5">
        <v>-1.8200000000000001E-2</v>
      </c>
      <c r="T312" t="s">
        <v>10391</v>
      </c>
      <c r="U312">
        <v>1579020800</v>
      </c>
      <c r="V312">
        <v>3474563500</v>
      </c>
      <c r="W312">
        <v>13.25</v>
      </c>
      <c r="X312">
        <v>0</v>
      </c>
      <c r="Y312">
        <v>44.97</v>
      </c>
      <c r="Z312" t="s">
        <v>9</v>
      </c>
      <c r="AA312" t="s">
        <v>9</v>
      </c>
      <c r="AB312" t="s">
        <v>9</v>
      </c>
      <c r="AC312" t="s">
        <v>9</v>
      </c>
      <c r="AD312" t="s">
        <v>9</v>
      </c>
      <c r="AE312" t="s">
        <v>9</v>
      </c>
      <c r="AF312" t="s">
        <v>9</v>
      </c>
      <c r="AG312" t="s">
        <v>10392</v>
      </c>
      <c r="AH312" t="s">
        <v>10393</v>
      </c>
      <c r="AI312" t="s">
        <v>9</v>
      </c>
      <c r="AJ312" t="s">
        <v>9</v>
      </c>
      <c r="AK312" t="s">
        <v>10394</v>
      </c>
      <c r="AL312" t="s">
        <v>9</v>
      </c>
      <c r="AM312" t="s">
        <v>10395</v>
      </c>
      <c r="AN312" s="5">
        <v>0.9214</v>
      </c>
      <c r="AO312" t="s">
        <v>9</v>
      </c>
      <c r="AP312" t="s">
        <v>9</v>
      </c>
      <c r="AQ312" t="s">
        <v>9</v>
      </c>
      <c r="AR312" t="s">
        <v>9</v>
      </c>
      <c r="AS312" t="s">
        <v>9</v>
      </c>
      <c r="AT312" t="s">
        <v>9</v>
      </c>
      <c r="AU312" t="s">
        <v>10396</v>
      </c>
      <c r="AV312" t="s">
        <v>10397</v>
      </c>
      <c r="AW312" t="s">
        <v>10398</v>
      </c>
      <c r="AX312" t="s">
        <v>4367</v>
      </c>
      <c r="AY312" t="s">
        <v>4368</v>
      </c>
      <c r="AZ312" t="s">
        <v>4369</v>
      </c>
      <c r="BA312" t="s">
        <v>4371</v>
      </c>
      <c r="BB312" t="s">
        <v>4372</v>
      </c>
      <c r="BC312" t="s">
        <v>4373</v>
      </c>
      <c r="BD312" t="s">
        <v>10031</v>
      </c>
      <c r="BE312" t="s">
        <v>4374</v>
      </c>
      <c r="BF312" t="s">
        <v>4375</v>
      </c>
      <c r="BG312" t="s">
        <v>4376</v>
      </c>
      <c r="BH312" t="s">
        <v>4367</v>
      </c>
      <c r="BI312" t="s">
        <v>4377</v>
      </c>
      <c r="BJ312" t="s">
        <v>4368</v>
      </c>
      <c r="BK312" t="s">
        <v>770</v>
      </c>
      <c r="BL312" t="s">
        <v>882</v>
      </c>
      <c r="BM312" t="s">
        <v>4373</v>
      </c>
      <c r="BN312" t="s">
        <v>9</v>
      </c>
      <c r="BO312" t="s">
        <v>9</v>
      </c>
      <c r="BP312" t="s">
        <v>9</v>
      </c>
      <c r="BQ312">
        <v>8.2899999999999991</v>
      </c>
      <c r="BR312">
        <v>9.25</v>
      </c>
      <c r="BS312">
        <v>9.25</v>
      </c>
      <c r="BT312" t="s">
        <v>10399</v>
      </c>
      <c r="BU312" t="s">
        <v>422</v>
      </c>
      <c r="BV312" t="s">
        <v>9</v>
      </c>
      <c r="BW312" t="s">
        <v>9</v>
      </c>
      <c r="BX312" t="s">
        <v>9</v>
      </c>
      <c r="BY312">
        <v>45.34</v>
      </c>
      <c r="BZ312">
        <v>42.56</v>
      </c>
      <c r="CA312">
        <v>38</v>
      </c>
      <c r="CB312">
        <v>-0.04</v>
      </c>
      <c r="CC312">
        <v>5.74</v>
      </c>
      <c r="CD312" t="s">
        <v>10400</v>
      </c>
      <c r="CE312" t="s">
        <v>10401</v>
      </c>
      <c r="CF312" s="8">
        <v>-0.16750000000000001</v>
      </c>
      <c r="CG312" s="9">
        <v>-1.8200000000000001E-2</v>
      </c>
      <c r="CH312" s="8">
        <v>-6.7831560969352722E-2</v>
      </c>
      <c r="CI312" s="8">
        <v>-0.13374210894107819</v>
      </c>
      <c r="CJ312" s="8">
        <v>9.4053514301776886E-2</v>
      </c>
      <c r="CK312" s="8">
        <v>0.43483063578605652</v>
      </c>
      <c r="CL312" s="8">
        <v>-0.1574590653181076</v>
      </c>
      <c r="CM312" s="9">
        <v>-3.3812850713729858E-2</v>
      </c>
      <c r="CN312" s="9">
        <v>9.0890593826770782E-2</v>
      </c>
      <c r="CO312" s="9">
        <v>4.3598398566246033E-2</v>
      </c>
      <c r="CP312" s="9">
        <v>9.5526590943336487E-2</v>
      </c>
      <c r="CQ312" s="9">
        <v>-3.9176139980554581E-2</v>
      </c>
      <c r="CR312">
        <v>5.0318121854692919</v>
      </c>
      <c r="CS312">
        <v>0.53349351178245119</v>
      </c>
      <c r="CT312">
        <v>0</v>
      </c>
      <c r="CU312" s="8">
        <v>9.4318151473999023E-2</v>
      </c>
      <c r="CV312" s="9">
        <v>-1.4227291226387024</v>
      </c>
      <c r="CW312">
        <v>0.06</v>
      </c>
      <c r="CX312">
        <v>136.14319867630752</v>
      </c>
      <c r="CY312">
        <v>5339446678.701436</v>
      </c>
      <c r="CZ312">
        <v>9.4318151473999023E-2</v>
      </c>
      <c r="DA312">
        <v>44.328023272859774</v>
      </c>
      <c r="DB312">
        <v>16398866818.973833</v>
      </c>
      <c r="DC312">
        <v>8.9602243900299069E-2</v>
      </c>
      <c r="DD312">
        <v>21.715088645505261</v>
      </c>
      <c r="DE312">
        <v>33475771702.661911</v>
      </c>
      <c r="DF312">
        <v>8.299997329711914E-2</v>
      </c>
      <c r="DG312">
        <v>12.968340627817676</v>
      </c>
      <c r="DH312">
        <v>56054153022.531174</v>
      </c>
      <c r="DI312">
        <v>7.5454521179199222E-2</v>
      </c>
      <c r="DJ312">
        <v>6.6181370109788036</v>
      </c>
      <c r="DK312">
        <v>109838969606.41635</v>
      </c>
      <c r="DL312">
        <v>6.6022706031799314E-2</v>
      </c>
      <c r="DM312">
        <v>5172000000</v>
      </c>
      <c r="DN312">
        <v>9.4318151473999023E-2</v>
      </c>
      <c r="DO312">
        <v>726929350000</v>
      </c>
      <c r="DP312" t="e">
        <v>#VALUE!</v>
      </c>
      <c r="DQ312">
        <v>311</v>
      </c>
      <c r="DR312">
        <v>-0.26181815147399901</v>
      </c>
      <c r="DS312">
        <v>1.4045291226387024</v>
      </c>
      <c r="DT312">
        <v>-0.3066666666666667</v>
      </c>
      <c r="DU312">
        <v>8.6666666666666628E-2</v>
      </c>
      <c r="DV312">
        <v>-0.22000000000000008</v>
      </c>
      <c r="DW312">
        <v>1.0573999999999999</v>
      </c>
      <c r="DX312">
        <v>0.34132029261061358</v>
      </c>
      <c r="DY312">
        <v>1.0075377847958493</v>
      </c>
      <c r="DZ312">
        <v>0</v>
      </c>
      <c r="EA312">
        <v>1.0075377847958493</v>
      </c>
      <c r="EB312">
        <v>1</v>
      </c>
      <c r="EC312">
        <v>2.8147420532104246E-3</v>
      </c>
      <c r="ED312">
        <v>2.1434174393416612E-2</v>
      </c>
      <c r="EE312">
        <v>0</v>
      </c>
      <c r="EF312">
        <v>0</v>
      </c>
      <c r="EG312">
        <v>21.131320292610614</v>
      </c>
      <c r="EH312" t="s">
        <v>110</v>
      </c>
      <c r="EI312">
        <v>0</v>
      </c>
      <c r="EJ312">
        <v>0</v>
      </c>
      <c r="EK312">
        <v>0</v>
      </c>
      <c r="EL312">
        <v>0</v>
      </c>
      <c r="EM312">
        <v>0</v>
      </c>
      <c r="EN312">
        <v>0</v>
      </c>
      <c r="EO312">
        <v>0</v>
      </c>
      <c r="EP312">
        <v>0</v>
      </c>
    </row>
    <row r="313" spans="1:146" ht="96" x14ac:dyDescent="0.25">
      <c r="A313"/>
      <c r="B313"/>
      <c r="C313" s="7" t="str">
        <f>""&amp;CHAR(10)&amp;Basic_Fundamental_Information_Constructure(F313)&amp;CHAR(10)&amp;Basic_Fundamental_Information_Concatenate("")</f>
        <v xml:space="preserve">
市值54亿, 利润7.36亿; PE6.93; 平均PE-5.94; 平均PEG-.48, PB1.38; ROIC13.5467%; ROE23.8233%; 股利率0%; 毛利61.0567%; 净利48.7067%; 上一年度营收增8.2%, 利润增.68%, 利润增0%; 过往5年营收增-12.3%, 利润增-161.67%
Income profile:
</v>
      </c>
      <c r="D313" s="11">
        <v>1969</v>
      </c>
      <c r="E313" t="s">
        <v>10402</v>
      </c>
      <c r="F313">
        <v>4.5</v>
      </c>
      <c r="G313">
        <v>-1.0999999999999999E-2</v>
      </c>
      <c r="H313" t="s">
        <v>10403</v>
      </c>
      <c r="I313">
        <v>5400000000</v>
      </c>
      <c r="J313">
        <v>6.93</v>
      </c>
      <c r="K313">
        <v>1.38</v>
      </c>
      <c r="L313" t="s">
        <v>6350</v>
      </c>
      <c r="M313" t="s">
        <v>9</v>
      </c>
      <c r="N313" t="s">
        <v>9</v>
      </c>
      <c r="O313" t="s">
        <v>9</v>
      </c>
      <c r="P313" s="6" t="s">
        <v>9</v>
      </c>
      <c r="Q313" t="s">
        <v>10404</v>
      </c>
      <c r="R313">
        <v>735688260</v>
      </c>
      <c r="S313">
        <v>0</v>
      </c>
      <c r="T313" t="s">
        <v>9539</v>
      </c>
      <c r="U313">
        <v>1200000000</v>
      </c>
      <c r="V313">
        <v>1200000000</v>
      </c>
      <c r="W313" t="s">
        <v>9</v>
      </c>
      <c r="X313" t="s">
        <v>9</v>
      </c>
      <c r="Y313" t="s">
        <v>9</v>
      </c>
      <c r="Z313" t="s">
        <v>9</v>
      </c>
      <c r="AA313" t="s">
        <v>9</v>
      </c>
      <c r="AB313" t="s">
        <v>9</v>
      </c>
      <c r="AC313" t="s">
        <v>9</v>
      </c>
      <c r="AD313" t="s">
        <v>9</v>
      </c>
      <c r="AE313" t="s">
        <v>9</v>
      </c>
      <c r="AF313" t="s">
        <v>9</v>
      </c>
      <c r="AG313" t="s">
        <v>9</v>
      </c>
      <c r="AH313" t="s">
        <v>10405</v>
      </c>
      <c r="AI313" t="s">
        <v>9</v>
      </c>
      <c r="AJ313" t="s">
        <v>9</v>
      </c>
      <c r="AK313" s="5" t="s">
        <v>10406</v>
      </c>
      <c r="AL313" t="s">
        <v>9</v>
      </c>
      <c r="AM313" t="s">
        <v>9</v>
      </c>
      <c r="AN313">
        <v>0.45660000000000001</v>
      </c>
      <c r="AO313" t="s">
        <v>9</v>
      </c>
      <c r="AP313" t="s">
        <v>9</v>
      </c>
      <c r="AQ313" t="s">
        <v>9</v>
      </c>
      <c r="AR313" t="s">
        <v>8304</v>
      </c>
      <c r="AS313" t="s">
        <v>9</v>
      </c>
      <c r="AT313" t="s">
        <v>9</v>
      </c>
      <c r="AU313" t="s">
        <v>4331</v>
      </c>
      <c r="AV313" t="s">
        <v>10407</v>
      </c>
      <c r="AW313" t="s">
        <v>9</v>
      </c>
      <c r="AX313" t="s">
        <v>1468</v>
      </c>
      <c r="AY313" t="s">
        <v>10408</v>
      </c>
      <c r="AZ313" t="s">
        <v>10409</v>
      </c>
      <c r="BA313" t="s">
        <v>3606</v>
      </c>
      <c r="BB313" t="s">
        <v>232</v>
      </c>
      <c r="BC313" t="s">
        <v>10410</v>
      </c>
      <c r="BD313" t="s">
        <v>2579</v>
      </c>
      <c r="BE313" t="s">
        <v>572</v>
      </c>
      <c r="BF313" t="s">
        <v>64</v>
      </c>
      <c r="BG313" t="s">
        <v>572</v>
      </c>
      <c r="BH313" t="s">
        <v>1468</v>
      </c>
      <c r="BI313" t="s">
        <v>9</v>
      </c>
      <c r="BJ313" t="s">
        <v>10408</v>
      </c>
      <c r="BK313" t="s">
        <v>3590</v>
      </c>
      <c r="BL313" t="s">
        <v>9</v>
      </c>
      <c r="BM313" t="s">
        <v>10410</v>
      </c>
      <c r="BN313">
        <v>13.09</v>
      </c>
      <c r="BO313">
        <v>11.71</v>
      </c>
      <c r="BP313">
        <v>15.84</v>
      </c>
      <c r="BQ313">
        <v>20.89</v>
      </c>
      <c r="BR313">
        <v>21.11</v>
      </c>
      <c r="BS313">
        <v>29.47</v>
      </c>
      <c r="BT313" t="s">
        <v>1001</v>
      </c>
      <c r="BU313" t="s">
        <v>1974</v>
      </c>
      <c r="BV313">
        <v>59.42</v>
      </c>
      <c r="BW313">
        <v>63.15</v>
      </c>
      <c r="BX313">
        <v>60.6</v>
      </c>
      <c r="BY313">
        <v>45.69</v>
      </c>
      <c r="BZ313">
        <v>42.18</v>
      </c>
      <c r="CA313">
        <v>58.25</v>
      </c>
      <c r="CB313">
        <v>-0.22</v>
      </c>
      <c r="CC313" s="8">
        <v>-6.25</v>
      </c>
      <c r="CD313" s="10" t="s">
        <v>10411</v>
      </c>
      <c r="CE313" s="8" t="s">
        <v>10412</v>
      </c>
      <c r="CF313" s="8" t="s">
        <v>9</v>
      </c>
      <c r="CG313" s="8">
        <v>0</v>
      </c>
      <c r="CH313" s="8">
        <v>8.1989243626594543E-2</v>
      </c>
      <c r="CI313" s="8">
        <v>0.18471337854862213</v>
      </c>
      <c r="CJ313" s="9">
        <v>0.58186399936676025</v>
      </c>
      <c r="CK313" s="9">
        <v>0.41785714030265808</v>
      </c>
      <c r="CL313" s="9">
        <v>2.5641025975346565E-2</v>
      </c>
      <c r="CM313" s="9">
        <v>6.8399454466998577E-3</v>
      </c>
      <c r="CN313" s="9">
        <v>3.5687499046325684</v>
      </c>
      <c r="CO313">
        <v>-0.1111111119389534</v>
      </c>
      <c r="CP313">
        <v>0.32352942228317261</v>
      </c>
      <c r="CQ313">
        <v>-0.24444444477558136</v>
      </c>
      <c r="CR313" s="8">
        <v>-5.9395050412465631</v>
      </c>
      <c r="CS313" s="9">
        <v>-0.48295618939732071</v>
      </c>
      <c r="CT313">
        <v>0</v>
      </c>
      <c r="CU313">
        <v>-0.12298227399587632</v>
      </c>
      <c r="CV313">
        <v>-1.6167344212532044</v>
      </c>
      <c r="CW313">
        <v>0.06</v>
      </c>
      <c r="CX313">
        <v>7.3369565217391308</v>
      </c>
      <c r="CY313" t="s">
        <v>9553</v>
      </c>
      <c r="CZ313">
        <v>-0.12298227399587632</v>
      </c>
      <c r="DA313">
        <v>2.4456521739130435</v>
      </c>
      <c r="DB313" t="s">
        <v>9554</v>
      </c>
      <c r="DC313">
        <v>-0.1168331602960825</v>
      </c>
      <c r="DD313">
        <v>1.2228260869565217</v>
      </c>
      <c r="DE313" t="s">
        <v>9555</v>
      </c>
      <c r="DF313">
        <v>-0.10822440111637116</v>
      </c>
      <c r="DG313">
        <v>0.73369565217391308</v>
      </c>
      <c r="DH313" t="s">
        <v>9556</v>
      </c>
      <c r="DI313">
        <v>-9.8385819196701058E-2</v>
      </c>
      <c r="DJ313">
        <v>0.36684782608695654</v>
      </c>
      <c r="DK313" t="s">
        <v>9557</v>
      </c>
      <c r="DL313">
        <v>-8.6087591797113422E-2</v>
      </c>
      <c r="DM313">
        <v>736000000</v>
      </c>
      <c r="DN313">
        <v>-0.12298227399587632</v>
      </c>
      <c r="DO313">
        <v>5400000000</v>
      </c>
      <c r="DP313" t="e">
        <v>#VALUE!</v>
      </c>
      <c r="DQ313">
        <v>312</v>
      </c>
      <c r="DR313" t="e">
        <v>#VALUE!</v>
      </c>
      <c r="DS313">
        <v>1.6167344212532044</v>
      </c>
      <c r="DT313" t="e">
        <v>#VALUE!</v>
      </c>
      <c r="DU313" t="e">
        <v>#VALUE!</v>
      </c>
      <c r="DV313" t="e">
        <v>#VALUE!</v>
      </c>
      <c r="DW313">
        <v>-2.0625</v>
      </c>
      <c r="DX313">
        <v>0.29404392470353657</v>
      </c>
      <c r="DY313">
        <v>-2.009627745293971</v>
      </c>
      <c r="DZ313">
        <v>0</v>
      </c>
      <c r="EA313">
        <v>-2.009627745293971</v>
      </c>
      <c r="EB313">
        <v>2</v>
      </c>
      <c r="EC313">
        <v>2.4215833333333329E-3</v>
      </c>
      <c r="ED313">
        <v>1.5720083333333332E-2</v>
      </c>
      <c r="EE313">
        <v>0</v>
      </c>
      <c r="EF313">
        <v>0</v>
      </c>
      <c r="EG313">
        <v>14.154043924703537</v>
      </c>
      <c r="EH313" t="s">
        <v>110</v>
      </c>
      <c r="EI313">
        <v>0</v>
      </c>
      <c r="EJ313">
        <v>0</v>
      </c>
      <c r="EK313">
        <v>0</v>
      </c>
      <c r="EL313">
        <v>0</v>
      </c>
      <c r="EM313">
        <v>0</v>
      </c>
      <c r="EN313">
        <v>0</v>
      </c>
      <c r="EO313">
        <v>0</v>
      </c>
      <c r="EP313">
        <v>0</v>
      </c>
    </row>
    <row r="314" spans="1:146" ht="96" x14ac:dyDescent="0.25">
      <c r="A314" s="7"/>
      <c r="B314" s="7"/>
      <c r="C314" s="7" t="str">
        <f>""&amp;CHAR(10)&amp;Basic_Fundamental_Information_Constructure(F314)&amp;CHAR(10)&amp;Basic_Fundamental_Information_Concatenate("")</f>
        <v xml:space="preserve">
市值724.23亿, 利润26.37亿; PE27.46; 平均PE58.48; 平均PEG.99, PB.254; ROIC1.8733%; ROE2.04%; 毛利68.63%; 净利41.3733%; 上一年度营收增6.1%, 利润增-62.92%, 利润增-66.95%; 过往5年营收增58.86%, 利润增-8.23%
Income profile:
</v>
      </c>
      <c r="D314" s="11">
        <v>1972</v>
      </c>
      <c r="E314" t="s">
        <v>4378</v>
      </c>
      <c r="F314">
        <v>12.38</v>
      </c>
      <c r="G314" s="5">
        <v>-1.5900000000000001E-2</v>
      </c>
      <c r="H314" t="s">
        <v>10413</v>
      </c>
      <c r="I314">
        <v>72423000000</v>
      </c>
      <c r="J314">
        <v>27.46</v>
      </c>
      <c r="K314">
        <v>0.254</v>
      </c>
      <c r="L314" t="s">
        <v>6350</v>
      </c>
      <c r="M314" t="s">
        <v>9</v>
      </c>
      <c r="N314" t="s">
        <v>9</v>
      </c>
      <c r="O314" t="s">
        <v>9</v>
      </c>
      <c r="P314" t="s">
        <v>9</v>
      </c>
      <c r="Q314" t="s">
        <v>10414</v>
      </c>
      <c r="R314">
        <v>2637000000</v>
      </c>
      <c r="S314" s="5">
        <v>-0.66949999999999998</v>
      </c>
      <c r="T314" t="s">
        <v>10415</v>
      </c>
      <c r="U314">
        <v>5850000000</v>
      </c>
      <c r="V314">
        <v>5850000000</v>
      </c>
      <c r="W314" t="s">
        <v>9</v>
      </c>
      <c r="X314" t="s">
        <v>9</v>
      </c>
      <c r="Y314" t="s">
        <v>9</v>
      </c>
      <c r="Z314" t="s">
        <v>9</v>
      </c>
      <c r="AA314" t="s">
        <v>9</v>
      </c>
      <c r="AB314" t="s">
        <v>9</v>
      </c>
      <c r="AC314" t="s">
        <v>9</v>
      </c>
      <c r="AD314" t="s">
        <v>9</v>
      </c>
      <c r="AE314" t="s">
        <v>9</v>
      </c>
      <c r="AF314" t="s">
        <v>9</v>
      </c>
      <c r="AG314" t="s">
        <v>9</v>
      </c>
      <c r="AH314" t="s">
        <v>10416</v>
      </c>
      <c r="AI314" t="s">
        <v>9</v>
      </c>
      <c r="AJ314" t="s">
        <v>9</v>
      </c>
      <c r="AK314" t="s">
        <v>10417</v>
      </c>
      <c r="AL314" t="s">
        <v>9</v>
      </c>
      <c r="AM314" t="s">
        <v>9</v>
      </c>
      <c r="AN314" s="5">
        <v>0.18709999999999999</v>
      </c>
      <c r="AO314" t="s">
        <v>9</v>
      </c>
      <c r="AP314" t="s">
        <v>3980</v>
      </c>
      <c r="AQ314" t="s">
        <v>9</v>
      </c>
      <c r="AR314" t="s">
        <v>10418</v>
      </c>
      <c r="AS314" t="s">
        <v>9</v>
      </c>
      <c r="AT314" t="s">
        <v>9</v>
      </c>
      <c r="AU314" t="s">
        <v>10419</v>
      </c>
      <c r="AV314" t="s">
        <v>10420</v>
      </c>
      <c r="AW314" t="s">
        <v>9</v>
      </c>
      <c r="AX314" t="s">
        <v>4379</v>
      </c>
      <c r="AY314" t="s">
        <v>4382</v>
      </c>
      <c r="AZ314" t="s">
        <v>4383</v>
      </c>
      <c r="BA314" t="s">
        <v>4384</v>
      </c>
      <c r="BB314" t="s">
        <v>4385</v>
      </c>
      <c r="BC314" t="s">
        <v>8795</v>
      </c>
      <c r="BD314" t="s">
        <v>4387</v>
      </c>
      <c r="BE314" t="s">
        <v>4388</v>
      </c>
      <c r="BF314" t="s">
        <v>4389</v>
      </c>
      <c r="BG314" t="s">
        <v>4390</v>
      </c>
      <c r="BH314" t="s">
        <v>4379</v>
      </c>
      <c r="BI314" t="s">
        <v>9</v>
      </c>
      <c r="BJ314" t="s">
        <v>4382</v>
      </c>
      <c r="BK314" t="s">
        <v>4380</v>
      </c>
      <c r="BL314" t="s">
        <v>9</v>
      </c>
      <c r="BM314" t="s">
        <v>8795</v>
      </c>
      <c r="BN314">
        <v>0.83</v>
      </c>
      <c r="BO314">
        <v>2.54</v>
      </c>
      <c r="BP314">
        <v>2.25</v>
      </c>
      <c r="BQ314">
        <v>0.92</v>
      </c>
      <c r="BR314">
        <v>2.76</v>
      </c>
      <c r="BS314">
        <v>2.44</v>
      </c>
      <c r="BT314" t="s">
        <v>10421</v>
      </c>
      <c r="BU314" t="s">
        <v>410</v>
      </c>
      <c r="BV314">
        <v>70.8</v>
      </c>
      <c r="BW314">
        <v>68.88</v>
      </c>
      <c r="BX314">
        <v>66.209999999999994</v>
      </c>
      <c r="BY314">
        <v>18.75</v>
      </c>
      <c r="BZ314">
        <v>59.5</v>
      </c>
      <c r="CA314">
        <v>45.87</v>
      </c>
      <c r="CB314">
        <v>-2.67</v>
      </c>
      <c r="CC314">
        <v>-18.98</v>
      </c>
      <c r="CD314" t="s">
        <v>10422</v>
      </c>
      <c r="CE314" t="s">
        <v>1075</v>
      </c>
      <c r="CF314" s="8" t="s">
        <v>9</v>
      </c>
      <c r="CG314" s="9">
        <v>-0.66949999999999998</v>
      </c>
      <c r="CH314" s="8">
        <v>6.1044428497552872E-2</v>
      </c>
      <c r="CI314" s="8">
        <v>-0.152714803814888</v>
      </c>
      <c r="CJ314" s="8">
        <v>0.22617973387241364</v>
      </c>
      <c r="CK314" s="8">
        <v>-9.5862448215484619E-2</v>
      </c>
      <c r="CL314" s="8">
        <v>-0.20686495304107666</v>
      </c>
      <c r="CM314" s="9">
        <v>-0.62921822071075439</v>
      </c>
      <c r="CN314" s="9">
        <v>0.736328125</v>
      </c>
      <c r="CO314" s="9">
        <v>-0.69485211372375488</v>
      </c>
      <c r="CP314" s="9">
        <v>-0.53174495697021484</v>
      </c>
      <c r="CQ314" s="9">
        <v>-0.15581470727920532</v>
      </c>
      <c r="CR314">
        <v>58.476382721033509</v>
      </c>
      <c r="CS314">
        <v>0.99354628294938363</v>
      </c>
      <c r="CT314" t="e">
        <v>#VALUE!</v>
      </c>
      <c r="CU314" s="8">
        <v>0.58856224138289692</v>
      </c>
      <c r="CV314" s="9">
        <v>-8.2315320149064064E-2</v>
      </c>
      <c r="CW314">
        <v>0.06</v>
      </c>
      <c r="CX314">
        <v>18.326013859258136</v>
      </c>
      <c r="CY314">
        <v>3951923236.345942</v>
      </c>
      <c r="CZ314">
        <v>0.58856224138289692</v>
      </c>
      <c r="DA314">
        <v>4.0290048516170405</v>
      </c>
      <c r="DB314">
        <v>17975406500.424797</v>
      </c>
      <c r="DC314">
        <v>0.55913412931375206</v>
      </c>
      <c r="DD314">
        <v>1.0868324641888685</v>
      </c>
      <c r="DE314">
        <v>66636765450.368828</v>
      </c>
      <c r="DF314">
        <v>0.5179347724169493</v>
      </c>
      <c r="DG314">
        <v>0.30129132058009117</v>
      </c>
      <c r="DH314">
        <v>240375327973.47229</v>
      </c>
      <c r="DI314">
        <v>0.47084979310631758</v>
      </c>
      <c r="DJ314">
        <v>2.2199194085673585E-2</v>
      </c>
      <c r="DK314">
        <v>3262415730971.9058</v>
      </c>
      <c r="DL314">
        <v>0.4119935689680278</v>
      </c>
      <c r="DM314">
        <v>2637000000</v>
      </c>
      <c r="DN314">
        <v>0.58856224138289692</v>
      </c>
      <c r="DO314">
        <v>72423000000</v>
      </c>
      <c r="DP314" t="e">
        <v>#VALUE!</v>
      </c>
      <c r="DQ314">
        <v>313</v>
      </c>
      <c r="DR314" t="e">
        <v>#VALUE!</v>
      </c>
      <c r="DS314">
        <v>-0.58718467985093592</v>
      </c>
      <c r="DT314" t="e">
        <v>#VALUE!</v>
      </c>
      <c r="DU314" t="e">
        <v>#VALUE!</v>
      </c>
      <c r="DV314" t="e">
        <v>#VALUE!</v>
      </c>
      <c r="DW314">
        <v>-8.1406743940990509</v>
      </c>
      <c r="DX314">
        <v>0.41722663043478203</v>
      </c>
      <c r="DY314">
        <v>-8.0291514806776014</v>
      </c>
      <c r="DZ314">
        <v>0</v>
      </c>
      <c r="EA314">
        <v>-8.0291514806776014</v>
      </c>
      <c r="EB314">
        <v>8</v>
      </c>
      <c r="EC314">
        <v>6.5178974358974361E-3</v>
      </c>
      <c r="ED314">
        <v>3.1452991452991456E-2</v>
      </c>
      <c r="EE314">
        <v>0</v>
      </c>
      <c r="EF314">
        <v>0</v>
      </c>
      <c r="EG314">
        <v>21.207226630434782</v>
      </c>
      <c r="EH314" t="s">
        <v>110</v>
      </c>
      <c r="EI314">
        <v>0</v>
      </c>
      <c r="EJ314">
        <v>0</v>
      </c>
      <c r="EK314">
        <v>0</v>
      </c>
      <c r="EL314">
        <v>0</v>
      </c>
      <c r="EM314">
        <v>0</v>
      </c>
      <c r="EN314">
        <v>0</v>
      </c>
      <c r="EO314">
        <v>0</v>
      </c>
      <c r="EP314">
        <v>0</v>
      </c>
    </row>
    <row r="315" spans="1:146" ht="96" x14ac:dyDescent="0.25">
      <c r="A315" s="7"/>
      <c r="B315" s="7"/>
      <c r="C315" s="7" t="str">
        <f>""&amp;CHAR(10)&amp;Basic_Fundamental_Information_Constructure(F315)&amp;CHAR(10)&amp;Basic_Fundamental_Information_Concatenate("")</f>
        <v xml:space="preserve">
市值1265.31189亿, 利润345.38亿; PE3.86; 平均PE21.78; 平均PEG1.24, PB.189; ROIC0%; ROE5.2133%; 毛利0%; 净利25.4967%; 上一年度营收增-7.15%, 利润增-9.17%; 当季营收增-26.2%, 利润增-10.94%; 过往5年营收增17.61%, 利润增65.84%
Income profile:
</v>
      </c>
      <c r="D315" s="11">
        <v>1988</v>
      </c>
      <c r="E315" t="s">
        <v>4391</v>
      </c>
      <c r="F315">
        <v>2.89</v>
      </c>
      <c r="G315" s="5">
        <v>-1.7000000000000001E-2</v>
      </c>
      <c r="H315" t="s">
        <v>10423</v>
      </c>
      <c r="I315">
        <v>126531189000</v>
      </c>
      <c r="J315">
        <v>3.86</v>
      </c>
      <c r="K315">
        <v>0.189</v>
      </c>
      <c r="L315" t="s">
        <v>6350</v>
      </c>
      <c r="M315" t="s">
        <v>10424</v>
      </c>
      <c r="N315" t="s">
        <v>10425</v>
      </c>
      <c r="O315" t="s">
        <v>10426</v>
      </c>
      <c r="P315" t="s">
        <v>9</v>
      </c>
      <c r="Q315" t="s">
        <v>10427</v>
      </c>
      <c r="R315">
        <v>34537973000</v>
      </c>
      <c r="S315" s="5">
        <v>-0.1094</v>
      </c>
      <c r="T315" t="s">
        <v>10428</v>
      </c>
      <c r="U315">
        <v>8320295300</v>
      </c>
      <c r="V315">
        <v>43782419000</v>
      </c>
      <c r="W315">
        <v>12.09</v>
      </c>
      <c r="X315">
        <v>0</v>
      </c>
      <c r="Y315">
        <v>33.32</v>
      </c>
      <c r="Z315" t="s">
        <v>9</v>
      </c>
      <c r="AA315" t="s">
        <v>9</v>
      </c>
      <c r="AB315" t="s">
        <v>9</v>
      </c>
      <c r="AC315" t="s">
        <v>9</v>
      </c>
      <c r="AD315" t="s">
        <v>9</v>
      </c>
      <c r="AE315" t="s">
        <v>9</v>
      </c>
      <c r="AF315" t="s">
        <v>9</v>
      </c>
      <c r="AG315" t="s">
        <v>10429</v>
      </c>
      <c r="AH315" t="s">
        <v>10430</v>
      </c>
      <c r="AI315" t="s">
        <v>9</v>
      </c>
      <c r="AJ315" t="s">
        <v>9</v>
      </c>
      <c r="AK315" t="s">
        <v>10431</v>
      </c>
      <c r="AL315" t="s">
        <v>9</v>
      </c>
      <c r="AM315" t="s">
        <v>10432</v>
      </c>
      <c r="AN315" s="5">
        <v>0.91559999999999997</v>
      </c>
      <c r="AO315" t="s">
        <v>9</v>
      </c>
      <c r="AP315" t="s">
        <v>9</v>
      </c>
      <c r="AQ315" t="s">
        <v>9</v>
      </c>
      <c r="AR315" t="s">
        <v>9</v>
      </c>
      <c r="AS315" t="s">
        <v>9</v>
      </c>
      <c r="AT315" t="s">
        <v>9</v>
      </c>
      <c r="AU315" t="s">
        <v>10433</v>
      </c>
      <c r="AV315" t="s">
        <v>10434</v>
      </c>
      <c r="AW315" t="s">
        <v>10435</v>
      </c>
      <c r="AX315" t="s">
        <v>4392</v>
      </c>
      <c r="AY315" t="s">
        <v>4394</v>
      </c>
      <c r="AZ315" t="s">
        <v>4395</v>
      </c>
      <c r="BA315" t="s">
        <v>4396</v>
      </c>
      <c r="BB315" t="s">
        <v>4397</v>
      </c>
      <c r="BC315" t="s">
        <v>4398</v>
      </c>
      <c r="BD315" t="s">
        <v>4399</v>
      </c>
      <c r="BE315" t="s">
        <v>4400</v>
      </c>
      <c r="BF315" t="s">
        <v>4401</v>
      </c>
      <c r="BG315" t="s">
        <v>4402</v>
      </c>
      <c r="BH315" t="s">
        <v>4392</v>
      </c>
      <c r="BI315" t="s">
        <v>4403</v>
      </c>
      <c r="BJ315" t="s">
        <v>4394</v>
      </c>
      <c r="BK315" t="s">
        <v>4393</v>
      </c>
      <c r="BL315" t="s">
        <v>4404</v>
      </c>
      <c r="BM315" t="s">
        <v>4398</v>
      </c>
      <c r="BN315" t="s">
        <v>9</v>
      </c>
      <c r="BO315" t="s">
        <v>9</v>
      </c>
      <c r="BP315" t="s">
        <v>9</v>
      </c>
      <c r="BQ315">
        <v>5.04</v>
      </c>
      <c r="BR315">
        <v>5.19</v>
      </c>
      <c r="BS315">
        <v>5.41</v>
      </c>
      <c r="BT315" t="s">
        <v>10436</v>
      </c>
      <c r="BU315" t="s">
        <v>422</v>
      </c>
      <c r="BV315" t="s">
        <v>9</v>
      </c>
      <c r="BW315" t="s">
        <v>9</v>
      </c>
      <c r="BX315" t="s">
        <v>9</v>
      </c>
      <c r="BY315">
        <v>27.93</v>
      </c>
      <c r="BZ315">
        <v>26.53</v>
      </c>
      <c r="CA315">
        <v>22.03</v>
      </c>
      <c r="CB315">
        <v>-3.99</v>
      </c>
      <c r="CC315">
        <v>-2.0299999999999998</v>
      </c>
      <c r="CD315" t="s">
        <v>908</v>
      </c>
      <c r="CE315" t="s">
        <v>1600</v>
      </c>
      <c r="CF315" s="8">
        <v>-0.26197432057545478</v>
      </c>
      <c r="CG315" s="9">
        <v>-0.1094</v>
      </c>
      <c r="CH315" s="8">
        <v>-7.1507498621940613E-2</v>
      </c>
      <c r="CI315" s="8">
        <v>-0.21467432379722595</v>
      </c>
      <c r="CJ315" s="8">
        <v>-3.4897428005933762E-2</v>
      </c>
      <c r="CK315" s="8">
        <v>0.32192936539649963</v>
      </c>
      <c r="CL315" s="8">
        <v>-8.2695074379444122E-2</v>
      </c>
      <c r="CM315" s="9">
        <v>-9.1678917407989502E-2</v>
      </c>
      <c r="CN315" s="9">
        <v>3.0014107003808022E-2</v>
      </c>
      <c r="CO315" s="9">
        <v>-0.37976109981536865</v>
      </c>
      <c r="CP315" s="9">
        <v>5.0162341445684433E-2</v>
      </c>
      <c r="CQ315" s="9">
        <v>-4.0917858481407166E-2</v>
      </c>
      <c r="CR315">
        <v>21.777119793428241</v>
      </c>
      <c r="CS315">
        <v>1.236354364662156</v>
      </c>
      <c r="CT315" t="e">
        <v>#VALUE!</v>
      </c>
      <c r="CU315" s="8">
        <v>0.1761397898197174</v>
      </c>
      <c r="CV315" s="9">
        <v>0.65836079120635982</v>
      </c>
      <c r="CW315">
        <v>0.06</v>
      </c>
      <c r="CX315">
        <v>184.06805864039825</v>
      </c>
      <c r="CY315">
        <v>38322184963.012642</v>
      </c>
      <c r="CZ315">
        <v>0.1761397898197174</v>
      </c>
      <c r="DA315">
        <v>55.961183250810201</v>
      </c>
      <c r="DB315">
        <v>126049696936.99022</v>
      </c>
      <c r="DC315">
        <v>0.16733280032873152</v>
      </c>
      <c r="DD315">
        <v>24.937577517437571</v>
      </c>
      <c r="DE315">
        <v>282861885203.86853</v>
      </c>
      <c r="DF315">
        <v>0.15500301504135131</v>
      </c>
      <c r="DG315">
        <v>13.328387860815221</v>
      </c>
      <c r="DH315">
        <v>529238064097.61493</v>
      </c>
      <c r="DI315">
        <v>0.14091183185577391</v>
      </c>
      <c r="DJ315">
        <v>5.2552714801395544</v>
      </c>
      <c r="DK315">
        <v>1342250389091.7319</v>
      </c>
      <c r="DL315">
        <v>0.12329785287380217</v>
      </c>
      <c r="DM315">
        <v>34538000000</v>
      </c>
      <c r="DN315">
        <v>0.1761397898197174</v>
      </c>
      <c r="DO315">
        <v>7053890188999.999</v>
      </c>
      <c r="DP315" t="e">
        <v>#VALUE!</v>
      </c>
      <c r="DQ315">
        <v>314</v>
      </c>
      <c r="DR315">
        <v>-0.43811411039517217</v>
      </c>
      <c r="DS315">
        <v>-0.76776079120635976</v>
      </c>
      <c r="DT315">
        <v>-4.0000000000000036E-2</v>
      </c>
      <c r="DU315">
        <v>0.74166666666666659</v>
      </c>
      <c r="DV315">
        <v>0.70166666666666655</v>
      </c>
      <c r="DW315">
        <v>-4.5087719298245617</v>
      </c>
      <c r="DX315">
        <v>0.47232209737827618</v>
      </c>
      <c r="DY315">
        <v>-4.072409488139825</v>
      </c>
      <c r="DZ315">
        <v>0</v>
      </c>
      <c r="EA315">
        <v>-4.072409488139825</v>
      </c>
      <c r="EB315">
        <v>4</v>
      </c>
      <c r="EC315">
        <v>2.6037848662496237E-3</v>
      </c>
      <c r="ED315">
        <v>1.8295014718122359E-2</v>
      </c>
      <c r="EE315">
        <v>0</v>
      </c>
      <c r="EF315">
        <v>0</v>
      </c>
      <c r="EG315">
        <v>33.142322097378276</v>
      </c>
      <c r="EH315" t="s">
        <v>110</v>
      </c>
      <c r="EI315">
        <v>0</v>
      </c>
      <c r="EJ315">
        <v>0</v>
      </c>
      <c r="EK315">
        <v>0</v>
      </c>
      <c r="EL315">
        <v>0</v>
      </c>
      <c r="EM315">
        <v>0</v>
      </c>
      <c r="EN315">
        <v>0</v>
      </c>
      <c r="EO315">
        <v>0</v>
      </c>
      <c r="EP315">
        <v>0</v>
      </c>
    </row>
    <row r="316" spans="1:146" ht="96" x14ac:dyDescent="0.25">
      <c r="A316" s="7"/>
      <c r="B316" s="7"/>
      <c r="C316" s="7" t="str">
        <f>""&amp;CHAR(10)&amp;Basic_Fundamental_Information_Constructure(F316)&amp;CHAR(10)&amp;Basic_Fundamental_Information_Concatenate("")</f>
        <v xml:space="preserve">
市值44.151194亿, 利润3.37亿; PE13.11; 平均PE1.93; 平均PEG.23, PB1.75; ROIC-5.6833%; ROE-34.9933%; 股利率0%; 毛利29.7667%; 净利-10.62%; 上一年度营收增20.97%, 利润增110.12%, 利润增154.8%; 过往5年营收增8.38%, 利润增51.64%
Income profile:
</v>
      </c>
      <c r="D316" s="11">
        <v>1992</v>
      </c>
      <c r="E316" t="s">
        <v>4405</v>
      </c>
      <c r="F316">
        <v>3.55</v>
      </c>
      <c r="G316" s="5">
        <v>-3.0099999999999998E-2</v>
      </c>
      <c r="H316" t="s">
        <v>10437</v>
      </c>
      <c r="I316">
        <v>4415119400</v>
      </c>
      <c r="J316">
        <v>13.11</v>
      </c>
      <c r="K316">
        <v>1.75</v>
      </c>
      <c r="L316" t="s">
        <v>6350</v>
      </c>
      <c r="M316" t="s">
        <v>9</v>
      </c>
      <c r="N316" t="s">
        <v>9</v>
      </c>
      <c r="O316" t="s">
        <v>9</v>
      </c>
      <c r="P316" t="s">
        <v>9</v>
      </c>
      <c r="Q316" t="s">
        <v>10438</v>
      </c>
      <c r="R316">
        <v>336751540</v>
      </c>
      <c r="S316" s="5">
        <v>1.548</v>
      </c>
      <c r="T316" t="s">
        <v>3577</v>
      </c>
      <c r="U316">
        <v>1243376370</v>
      </c>
      <c r="V316">
        <v>1243376370</v>
      </c>
      <c r="W316" t="s">
        <v>9</v>
      </c>
      <c r="X316" t="s">
        <v>9</v>
      </c>
      <c r="Y316" t="s">
        <v>9</v>
      </c>
      <c r="Z316" t="s">
        <v>9</v>
      </c>
      <c r="AA316" t="s">
        <v>9</v>
      </c>
      <c r="AB316" t="s">
        <v>9</v>
      </c>
      <c r="AC316" t="s">
        <v>9</v>
      </c>
      <c r="AD316" t="s">
        <v>9</v>
      </c>
      <c r="AE316" t="s">
        <v>9</v>
      </c>
      <c r="AF316" t="s">
        <v>9</v>
      </c>
      <c r="AG316" t="s">
        <v>9</v>
      </c>
      <c r="AH316" t="s">
        <v>10439</v>
      </c>
      <c r="AI316" t="s">
        <v>9</v>
      </c>
      <c r="AJ316" t="s">
        <v>9</v>
      </c>
      <c r="AK316" t="s">
        <v>10440</v>
      </c>
      <c r="AL316" t="s">
        <v>9</v>
      </c>
      <c r="AM316" t="s">
        <v>9</v>
      </c>
      <c r="AN316" s="5">
        <v>0.93840000000000001</v>
      </c>
      <c r="AO316" t="s">
        <v>9</v>
      </c>
      <c r="AP316" t="s">
        <v>4473</v>
      </c>
      <c r="AQ316" t="s">
        <v>9</v>
      </c>
      <c r="AR316" t="s">
        <v>10441</v>
      </c>
      <c r="AS316" t="s">
        <v>9</v>
      </c>
      <c r="AT316" t="s">
        <v>9</v>
      </c>
      <c r="AU316" t="s">
        <v>10442</v>
      </c>
      <c r="AV316" t="s">
        <v>10443</v>
      </c>
      <c r="AW316" t="s">
        <v>9</v>
      </c>
      <c r="AX316" t="s">
        <v>4406</v>
      </c>
      <c r="AY316" t="s">
        <v>4408</v>
      </c>
      <c r="AZ316" t="s">
        <v>4409</v>
      </c>
      <c r="BA316" t="s">
        <v>4410</v>
      </c>
      <c r="BB316" t="s">
        <v>4411</v>
      </c>
      <c r="BC316" t="s">
        <v>10444</v>
      </c>
      <c r="BD316" t="s">
        <v>4412</v>
      </c>
      <c r="BE316" t="s">
        <v>4097</v>
      </c>
      <c r="BF316" t="s">
        <v>3831</v>
      </c>
      <c r="BG316" t="s">
        <v>3696</v>
      </c>
      <c r="BH316" t="s">
        <v>4406</v>
      </c>
      <c r="BI316" t="s">
        <v>9</v>
      </c>
      <c r="BJ316" t="s">
        <v>4408</v>
      </c>
      <c r="BK316" t="s">
        <v>4407</v>
      </c>
      <c r="BL316" t="s">
        <v>9</v>
      </c>
      <c r="BM316" t="s">
        <v>10444</v>
      </c>
      <c r="BN316">
        <v>2.16</v>
      </c>
      <c r="BO316">
        <v>-3.58</v>
      </c>
      <c r="BP316">
        <v>-15.63</v>
      </c>
      <c r="BQ316">
        <v>13.38</v>
      </c>
      <c r="BR316">
        <v>-22.17</v>
      </c>
      <c r="BS316">
        <v>-96.19</v>
      </c>
      <c r="BT316" t="s">
        <v>3454</v>
      </c>
      <c r="BU316" t="s">
        <v>567</v>
      </c>
      <c r="BV316">
        <v>32.619999999999997</v>
      </c>
      <c r="BW316">
        <v>28.96</v>
      </c>
      <c r="BX316">
        <v>27.72</v>
      </c>
      <c r="BY316">
        <v>2.02</v>
      </c>
      <c r="BZ316">
        <v>-3.86</v>
      </c>
      <c r="CA316">
        <v>-30.02</v>
      </c>
      <c r="CB316">
        <v>1.1399999999999999</v>
      </c>
      <c r="CC316">
        <v>-17.63</v>
      </c>
      <c r="CD316" t="s">
        <v>10445</v>
      </c>
      <c r="CE316" t="s">
        <v>10446</v>
      </c>
      <c r="CF316" s="8" t="s">
        <v>9</v>
      </c>
      <c r="CG316" s="9">
        <v>1.548</v>
      </c>
      <c r="CH316" s="8">
        <v>0.20967637002468109</v>
      </c>
      <c r="CI316" s="8">
        <v>0.37051409482955933</v>
      </c>
      <c r="CJ316" s="8">
        <v>0.34771236777305603</v>
      </c>
      <c r="CK316" s="8">
        <v>-0.54574894905090332</v>
      </c>
      <c r="CL316" s="8">
        <v>0.3095574676990509</v>
      </c>
      <c r="CM316" s="9">
        <v>1.101231575012207</v>
      </c>
      <c r="CN316" s="9">
        <v>-8.5071690380573273E-2</v>
      </c>
      <c r="CO316" s="9">
        <v>-5.5117645263671875</v>
      </c>
      <c r="CP316" s="9">
        <v>0.93732196092605591</v>
      </c>
      <c r="CQ316" s="9">
        <v>2.487288236618042</v>
      </c>
      <c r="CR316">
        <v>1.9294039621267296</v>
      </c>
      <c r="CS316">
        <v>0.23023884574439438</v>
      </c>
      <c r="CT316">
        <v>0</v>
      </c>
      <c r="CU316" s="8">
        <v>8.3800105750560766E-2</v>
      </c>
      <c r="CV316" s="9">
        <v>0.51639785766601565</v>
      </c>
      <c r="CW316">
        <v>0.06</v>
      </c>
      <c r="CX316">
        <v>12.813542928556513</v>
      </c>
      <c r="CY316">
        <v>344566637.3942821</v>
      </c>
      <c r="CZ316">
        <v>8.3800105750560766E-2</v>
      </c>
      <c r="DA316">
        <v>4.2094029997266524</v>
      </c>
      <c r="DB316">
        <v>1048870683.1554751</v>
      </c>
      <c r="DC316">
        <v>7.9610100463032726E-2</v>
      </c>
      <c r="DD316">
        <v>2.0867670208413518</v>
      </c>
      <c r="DE316">
        <v>2115770163.0821695</v>
      </c>
      <c r="DF316">
        <v>7.3744093060493468E-2</v>
      </c>
      <c r="DG316">
        <v>1.2630550306688975</v>
      </c>
      <c r="DH316">
        <v>3495587518.1953158</v>
      </c>
      <c r="DI316">
        <v>6.7040084600448621E-2</v>
      </c>
      <c r="DJ316">
        <v>0.66380264308415204</v>
      </c>
      <c r="DK316">
        <v>6651253118.6777506</v>
      </c>
      <c r="DL316">
        <v>5.8660074025392535E-2</v>
      </c>
      <c r="DM316">
        <v>337000000</v>
      </c>
      <c r="DN316">
        <v>8.3800105750560766E-2</v>
      </c>
      <c r="DO316">
        <v>4415119400</v>
      </c>
      <c r="DP316" t="e">
        <v>#VALUE!</v>
      </c>
      <c r="DQ316">
        <v>315</v>
      </c>
      <c r="DR316" t="e">
        <v>#VALUE!</v>
      </c>
      <c r="DS316">
        <v>1.0316021423339845</v>
      </c>
      <c r="DT316" t="e">
        <v>#VALUE!</v>
      </c>
      <c r="DU316" t="e">
        <v>#VALUE!</v>
      </c>
      <c r="DV316" t="e">
        <v>#VALUE!</v>
      </c>
      <c r="DW316">
        <v>-3.0184345238095238</v>
      </c>
      <c r="DX316">
        <v>0.3142256221741917</v>
      </c>
      <c r="DY316">
        <v>-3.0011839687611515</v>
      </c>
      <c r="DZ316">
        <v>0</v>
      </c>
      <c r="EA316">
        <v>-3.0011839687611515</v>
      </c>
      <c r="EB316">
        <v>3</v>
      </c>
      <c r="EC316">
        <v>3.6421795598383455E-3</v>
      </c>
      <c r="ED316">
        <v>5.6709136269012417E-2</v>
      </c>
      <c r="EE316">
        <v>0</v>
      </c>
      <c r="EF316">
        <v>0</v>
      </c>
      <c r="EG316">
        <v>25.064225622174192</v>
      </c>
      <c r="EH316" t="s">
        <v>110</v>
      </c>
      <c r="EI316">
        <v>0</v>
      </c>
      <c r="EJ316">
        <v>0</v>
      </c>
      <c r="EK316">
        <v>0</v>
      </c>
      <c r="EL316">
        <v>0</v>
      </c>
      <c r="EM316">
        <v>0</v>
      </c>
      <c r="EN316">
        <v>0</v>
      </c>
      <c r="EO316">
        <v>0</v>
      </c>
      <c r="EP316">
        <v>0</v>
      </c>
    </row>
    <row r="317" spans="1:146" ht="96" x14ac:dyDescent="0.25">
      <c r="A317"/>
      <c r="B317"/>
      <c r="C317" s="7" t="str">
        <f>""&amp;CHAR(10)&amp;Basic_Fundamental_Information_Constructure(F317)&amp;CHAR(10)&amp;Basic_Fundamental_Information_Concatenate("")</f>
        <v xml:space="preserve">
市值633.0534亿, 利润47.66亿; PE13.28; 平均PE61.29; 平均PEG1.58, PB.331; ROIC.06%; ROE-.01%; 股利率0%; 毛利75.7033%; 净利-3.07%; 上一年度营收增6.8%, 利润增8.54%, 利润增153.8%; 过往5年营收增38.91%, 利润增85.53%
Income profile:
</v>
      </c>
      <c r="D317" s="11">
        <v>1997</v>
      </c>
      <c r="E317" t="s">
        <v>10447</v>
      </c>
      <c r="F317">
        <v>20.85</v>
      </c>
      <c r="G317">
        <v>-1.18E-2</v>
      </c>
      <c r="H317" t="s">
        <v>10448</v>
      </c>
      <c r="I317">
        <v>63305340000</v>
      </c>
      <c r="J317">
        <v>13.28</v>
      </c>
      <c r="K317">
        <v>0.33100000000000002</v>
      </c>
      <c r="L317" t="s">
        <v>6350</v>
      </c>
      <c r="M317" t="s">
        <v>9</v>
      </c>
      <c r="N317" t="s">
        <v>9</v>
      </c>
      <c r="O317" t="s">
        <v>9</v>
      </c>
      <c r="P317" s="5" t="s">
        <v>9</v>
      </c>
      <c r="Q317" t="s">
        <v>10449</v>
      </c>
      <c r="R317">
        <v>4766000000</v>
      </c>
      <c r="S317">
        <v>1.538</v>
      </c>
      <c r="T317" t="s">
        <v>7491</v>
      </c>
      <c r="U317">
        <v>3036227300</v>
      </c>
      <c r="V317">
        <v>3036227300</v>
      </c>
      <c r="W317" t="s">
        <v>9</v>
      </c>
      <c r="X317" t="s">
        <v>9</v>
      </c>
      <c r="Y317" t="s">
        <v>9</v>
      </c>
      <c r="Z317" t="s">
        <v>9</v>
      </c>
      <c r="AA317" t="s">
        <v>9</v>
      </c>
      <c r="AB317" t="s">
        <v>9</v>
      </c>
      <c r="AC317" t="s">
        <v>9</v>
      </c>
      <c r="AD317" t="s">
        <v>9</v>
      </c>
      <c r="AE317" t="s">
        <v>9</v>
      </c>
      <c r="AF317" t="s">
        <v>9</v>
      </c>
      <c r="AG317" t="s">
        <v>9</v>
      </c>
      <c r="AH317" t="s">
        <v>10450</v>
      </c>
      <c r="AI317" t="s">
        <v>9</v>
      </c>
      <c r="AJ317" t="s">
        <v>9</v>
      </c>
      <c r="AK317" s="5" t="s">
        <v>10451</v>
      </c>
      <c r="AL317" t="s">
        <v>9</v>
      </c>
      <c r="AM317" t="s">
        <v>9</v>
      </c>
      <c r="AN317">
        <v>0.20269999999999999</v>
      </c>
      <c r="AO317" t="s">
        <v>9</v>
      </c>
      <c r="AP317" t="s">
        <v>89</v>
      </c>
      <c r="AQ317" t="s">
        <v>9</v>
      </c>
      <c r="AR317" t="s">
        <v>10452</v>
      </c>
      <c r="AS317" t="s">
        <v>9</v>
      </c>
      <c r="AT317" t="s">
        <v>9</v>
      </c>
      <c r="AU317" t="s">
        <v>10453</v>
      </c>
      <c r="AV317" t="s">
        <v>7238</v>
      </c>
      <c r="AW317" t="s">
        <v>9</v>
      </c>
      <c r="AX317" t="s">
        <v>10454</v>
      </c>
      <c r="AY317" t="s">
        <v>10455</v>
      </c>
      <c r="AZ317" t="s">
        <v>10456</v>
      </c>
      <c r="BA317" t="s">
        <v>10457</v>
      </c>
      <c r="BB317" t="s">
        <v>10458</v>
      </c>
      <c r="BC317" t="s">
        <v>10459</v>
      </c>
      <c r="BD317" t="s">
        <v>10460</v>
      </c>
      <c r="BE317" t="s">
        <v>4418</v>
      </c>
      <c r="BF317" t="s">
        <v>10461</v>
      </c>
      <c r="BG317" t="s">
        <v>10462</v>
      </c>
      <c r="BH317" t="s">
        <v>10454</v>
      </c>
      <c r="BI317" t="s">
        <v>9</v>
      </c>
      <c r="BJ317" t="s">
        <v>10455</v>
      </c>
      <c r="BK317" t="s">
        <v>10463</v>
      </c>
      <c r="BL317" t="s">
        <v>9</v>
      </c>
      <c r="BM317" t="s">
        <v>10459</v>
      </c>
      <c r="BN317">
        <v>2.04</v>
      </c>
      <c r="BO317">
        <v>-3.57</v>
      </c>
      <c r="BP317">
        <v>1.71</v>
      </c>
      <c r="BQ317">
        <v>2.4900000000000002</v>
      </c>
      <c r="BR317">
        <v>-4.6500000000000004</v>
      </c>
      <c r="BS317">
        <v>2.13</v>
      </c>
      <c r="BT317" t="s">
        <v>10464</v>
      </c>
      <c r="BU317" t="s">
        <v>410</v>
      </c>
      <c r="BV317">
        <v>80.290000000000006</v>
      </c>
      <c r="BW317">
        <v>80.09</v>
      </c>
      <c r="BX317">
        <v>66.73</v>
      </c>
      <c r="BY317">
        <v>34.9</v>
      </c>
      <c r="BZ317">
        <v>-71.78</v>
      </c>
      <c r="CA317">
        <v>27.67</v>
      </c>
      <c r="CB317">
        <v>-0.48</v>
      </c>
      <c r="CC317" s="8">
        <v>-18.55</v>
      </c>
      <c r="CD317" s="10" t="s">
        <v>10465</v>
      </c>
      <c r="CE317" s="8" t="s">
        <v>527</v>
      </c>
      <c r="CF317" s="8" t="s">
        <v>9</v>
      </c>
      <c r="CG317" s="8">
        <v>1.538</v>
      </c>
      <c r="CH317" s="8">
        <v>6.7983031272888184E-2</v>
      </c>
      <c r="CI317" s="8">
        <v>-0.22339960932731628</v>
      </c>
      <c r="CJ317" s="9">
        <v>3.403158113360405E-2</v>
      </c>
      <c r="CK317" s="9">
        <v>-5.8612983673810959E-2</v>
      </c>
      <c r="CL317" s="9">
        <v>-0.21158625185489655</v>
      </c>
      <c r="CM317" s="9">
        <v>8.5401974618434906E-2</v>
      </c>
      <c r="CN317" s="9">
        <v>1.5590782165527344</v>
      </c>
      <c r="CO317">
        <v>-2.9994909763336182</v>
      </c>
      <c r="CP317">
        <v>-0.78210461139678955</v>
      </c>
      <c r="CQ317">
        <v>4.6985648572444916E-2</v>
      </c>
      <c r="CR317" s="8">
        <v>61.29393458762182</v>
      </c>
      <c r="CS317" s="9">
        <v>1.5754273305980933</v>
      </c>
      <c r="CT317">
        <v>0</v>
      </c>
      <c r="CU317">
        <v>0.38906227787956593</v>
      </c>
      <c r="CV317">
        <v>0.85527077317237854</v>
      </c>
      <c r="CW317">
        <v>0.06</v>
      </c>
      <c r="CX317">
        <v>10.136089936688323</v>
      </c>
      <c r="CY317">
        <v>6245538506.0132179</v>
      </c>
      <c r="CZ317">
        <v>0.38906227787956593</v>
      </c>
      <c r="DA317">
        <v>2.5949481271888466</v>
      </c>
      <c r="DB317">
        <v>24395609043.861622</v>
      </c>
      <c r="DC317">
        <v>0.36960916398558763</v>
      </c>
      <c r="DD317">
        <v>0.89414936842589632</v>
      </c>
      <c r="DE317">
        <v>70799513185.86264</v>
      </c>
      <c r="DF317">
        <v>0.34237480453401803</v>
      </c>
      <c r="DG317">
        <v>0.34436880635374068</v>
      </c>
      <c r="DH317">
        <v>183830064837.44009</v>
      </c>
      <c r="DI317">
        <v>0.31124982230365278</v>
      </c>
      <c r="DJ317">
        <v>5.9042682677984591E-2</v>
      </c>
      <c r="DK317">
        <v>1072196199912.9291</v>
      </c>
      <c r="DL317">
        <v>0.27234359451569612</v>
      </c>
      <c r="DM317">
        <v>4766000000</v>
      </c>
      <c r="DN317">
        <v>0.38906227787956593</v>
      </c>
      <c r="DO317">
        <v>63305340000</v>
      </c>
      <c r="DP317" t="e">
        <v>#VALUE!</v>
      </c>
      <c r="DQ317">
        <v>316</v>
      </c>
      <c r="DR317" t="e">
        <v>#VALUE!</v>
      </c>
      <c r="DS317">
        <v>0.68272922682762149</v>
      </c>
      <c r="DT317" t="e">
        <v>#VALUE!</v>
      </c>
      <c r="DU317" t="e">
        <v>#VALUE!</v>
      </c>
      <c r="DV317" t="e">
        <v>#VALUE!</v>
      </c>
      <c r="DW317">
        <v>-3.0288392857142856</v>
      </c>
      <c r="DX317">
        <v>0.34589444444444528</v>
      </c>
      <c r="DY317">
        <v>-3.005072670138889</v>
      </c>
      <c r="DZ317">
        <v>0</v>
      </c>
      <c r="EA317">
        <v>-3.005072670138889</v>
      </c>
      <c r="EB317">
        <v>3</v>
      </c>
      <c r="EC317">
        <v>7.2994205670965408E-3</v>
      </c>
      <c r="ED317">
        <v>4.1498869336956429E-2</v>
      </c>
      <c r="EE317">
        <v>0</v>
      </c>
      <c r="EF317">
        <v>0</v>
      </c>
      <c r="EG317">
        <v>17.175894444444445</v>
      </c>
      <c r="EH317" t="s">
        <v>110</v>
      </c>
      <c r="EI317">
        <v>0</v>
      </c>
      <c r="EJ317">
        <v>0</v>
      </c>
      <c r="EK317">
        <v>0</v>
      </c>
      <c r="EL317">
        <v>0</v>
      </c>
      <c r="EM317">
        <v>0</v>
      </c>
      <c r="EN317">
        <v>0</v>
      </c>
      <c r="EO317">
        <v>0</v>
      </c>
      <c r="EP317">
        <v>0</v>
      </c>
    </row>
    <row r="318" spans="1:146" ht="96" x14ac:dyDescent="0.25">
      <c r="A318" s="7"/>
      <c r="B318" s="7"/>
      <c r="C318" s="7" t="str">
        <f>""&amp;CHAR(10)&amp;Basic_Fundamental_Information_Constructure(F318)&amp;CHAR(10)&amp;Basic_Fundamental_Information_Concatenate("")</f>
        <v xml:space="preserve">
市值210.16254亿, 利润19.15亿; PE9.13; 平均PE46.63; 平均PEG30.83, PB1.74; ROIC14.08%; ROE17.8933%; 股利率0%; 毛利37.0933%; 净利11.2667%; 上一年度营收增-19.29%, 利润增-.52%, 利润增4.02%; 过往5年营收增1.51%, 利润增43.95%
Income profile:
</v>
      </c>
      <c r="D318" s="11">
        <v>1999</v>
      </c>
      <c r="E318" t="s">
        <v>4419</v>
      </c>
      <c r="F318">
        <v>5.42</v>
      </c>
      <c r="G318" s="5">
        <v>-2.52E-2</v>
      </c>
      <c r="H318" t="s">
        <v>10466</v>
      </c>
      <c r="I318">
        <v>21016254000</v>
      </c>
      <c r="J318">
        <v>9.1300000000000008</v>
      </c>
      <c r="K318">
        <v>1.74</v>
      </c>
      <c r="L318" t="s">
        <v>6350</v>
      </c>
      <c r="M318" t="s">
        <v>9</v>
      </c>
      <c r="N318" t="s">
        <v>9</v>
      </c>
      <c r="O318" t="s">
        <v>9</v>
      </c>
      <c r="P318" t="s">
        <v>9</v>
      </c>
      <c r="Q318" t="s">
        <v>10467</v>
      </c>
      <c r="R318">
        <v>1136042000</v>
      </c>
      <c r="S318" s="5">
        <v>4.02E-2</v>
      </c>
      <c r="T318" t="s">
        <v>1495</v>
      </c>
      <c r="U318">
        <v>3877537600</v>
      </c>
      <c r="V318">
        <v>3877537600</v>
      </c>
      <c r="W318" t="s">
        <v>9</v>
      </c>
      <c r="X318" t="s">
        <v>9</v>
      </c>
      <c r="Y318" t="s">
        <v>9</v>
      </c>
      <c r="Z318" t="s">
        <v>9</v>
      </c>
      <c r="AA318" t="s">
        <v>9</v>
      </c>
      <c r="AB318" t="s">
        <v>9</v>
      </c>
      <c r="AC318" t="s">
        <v>9</v>
      </c>
      <c r="AD318" t="s">
        <v>9</v>
      </c>
      <c r="AE318" t="s">
        <v>9</v>
      </c>
      <c r="AF318" t="s">
        <v>9</v>
      </c>
      <c r="AG318" t="s">
        <v>9</v>
      </c>
      <c r="AH318" t="s">
        <v>10468</v>
      </c>
      <c r="AI318" t="s">
        <v>9</v>
      </c>
      <c r="AJ318" t="s">
        <v>9</v>
      </c>
      <c r="AK318" t="s">
        <v>10469</v>
      </c>
      <c r="AL318" t="s">
        <v>9</v>
      </c>
      <c r="AM318" t="s">
        <v>9</v>
      </c>
      <c r="AN318" s="5">
        <v>0.37530000000000002</v>
      </c>
      <c r="AO318" t="s">
        <v>9</v>
      </c>
      <c r="AP318" t="s">
        <v>4227</v>
      </c>
      <c r="AQ318" t="s">
        <v>9</v>
      </c>
      <c r="AR318" t="s">
        <v>1238</v>
      </c>
      <c r="AS318" t="s">
        <v>9</v>
      </c>
      <c r="AT318" t="s">
        <v>9</v>
      </c>
      <c r="AU318" t="s">
        <v>5630</v>
      </c>
      <c r="AV318" t="s">
        <v>10470</v>
      </c>
      <c r="AW318" t="s">
        <v>9</v>
      </c>
      <c r="AX318" t="s">
        <v>4420</v>
      </c>
      <c r="AY318" t="s">
        <v>4422</v>
      </c>
      <c r="AZ318" t="s">
        <v>4423</v>
      </c>
      <c r="BA318" t="s">
        <v>4424</v>
      </c>
      <c r="BB318" t="s">
        <v>4425</v>
      </c>
      <c r="BC318" t="s">
        <v>4426</v>
      </c>
      <c r="BD318" t="s">
        <v>1522</v>
      </c>
      <c r="BE318" t="s">
        <v>1808</v>
      </c>
      <c r="BF318" t="s">
        <v>4427</v>
      </c>
      <c r="BG318" t="s">
        <v>4428</v>
      </c>
      <c r="BH318" t="s">
        <v>4420</v>
      </c>
      <c r="BI318" t="s">
        <v>9</v>
      </c>
      <c r="BJ318" t="s">
        <v>4422</v>
      </c>
      <c r="BK318" t="s">
        <v>4421</v>
      </c>
      <c r="BL318" t="s">
        <v>9</v>
      </c>
      <c r="BM318" t="s">
        <v>4426</v>
      </c>
      <c r="BN318">
        <v>12.05</v>
      </c>
      <c r="BO318">
        <v>14.8</v>
      </c>
      <c r="BP318">
        <v>15.39</v>
      </c>
      <c r="BQ318">
        <v>16.57</v>
      </c>
      <c r="BR318">
        <v>19.190000000000001</v>
      </c>
      <c r="BS318">
        <v>17.920000000000002</v>
      </c>
      <c r="BT318" t="s">
        <v>10471</v>
      </c>
      <c r="BU318" t="s">
        <v>1987</v>
      </c>
      <c r="BV318">
        <v>38.49</v>
      </c>
      <c r="BW318">
        <v>36.71</v>
      </c>
      <c r="BX318">
        <v>36.08</v>
      </c>
      <c r="BY318">
        <v>10.71</v>
      </c>
      <c r="BZ318">
        <v>10.78</v>
      </c>
      <c r="CA318">
        <v>12.31</v>
      </c>
      <c r="CB318">
        <v>-11</v>
      </c>
      <c r="CC318">
        <v>-14.38</v>
      </c>
      <c r="CD318" t="s">
        <v>10472</v>
      </c>
      <c r="CE318" t="s">
        <v>210</v>
      </c>
      <c r="CF318" s="8" t="s">
        <v>9</v>
      </c>
      <c r="CG318" s="9">
        <v>4.02E-2</v>
      </c>
      <c r="CH318" s="8">
        <v>-0.19286412000656128</v>
      </c>
      <c r="CI318" s="8">
        <v>0.30808082222938538</v>
      </c>
      <c r="CJ318" s="8">
        <v>0.35326084494590759</v>
      </c>
      <c r="CK318" s="8">
        <v>0.21112997829914093</v>
      </c>
      <c r="CL318" s="8">
        <v>0.28898316621780396</v>
      </c>
      <c r="CM318" s="9">
        <v>-5.1948055624961853E-3</v>
      </c>
      <c r="CN318" s="9">
        <v>0.17521363496780396</v>
      </c>
      <c r="CO318" s="9">
        <v>0.200879767537117</v>
      </c>
      <c r="CP318" s="9">
        <v>-0.1119791641831398</v>
      </c>
      <c r="CQ318" s="9">
        <v>-0.12328767031431198</v>
      </c>
      <c r="CR318">
        <v>46.629373036355467</v>
      </c>
      <c r="CS318">
        <v>30.830590272792197</v>
      </c>
      <c r="CT318">
        <v>0</v>
      </c>
      <c r="CU318" s="8">
        <v>1.5124385431408881E-2</v>
      </c>
      <c r="CV318" s="9">
        <v>0.43946072906255723</v>
      </c>
      <c r="CW318">
        <v>0.06</v>
      </c>
      <c r="CX318">
        <v>11.459697005457855</v>
      </c>
      <c r="CY318">
        <v>1833927545.3784413</v>
      </c>
      <c r="CZ318">
        <v>1.5124385431408881E-2</v>
      </c>
      <c r="DA318">
        <v>3.9921378201633324</v>
      </c>
      <c r="DB318">
        <v>5264410936.3789825</v>
      </c>
      <c r="DC318">
        <v>1.4368166159838438E-2</v>
      </c>
      <c r="DD318">
        <v>2.1351286726238587</v>
      </c>
      <c r="DE318">
        <v>9843085463.4035397</v>
      </c>
      <c r="DF318">
        <v>1.3309459179639816E-2</v>
      </c>
      <c r="DG318">
        <v>1.4028694321058279</v>
      </c>
      <c r="DH318">
        <v>14980905221.131514</v>
      </c>
      <c r="DI318">
        <v>1.2099508345127106E-2</v>
      </c>
      <c r="DJ318">
        <v>0.8723959428060698</v>
      </c>
      <c r="DK318">
        <v>24090270218.819473</v>
      </c>
      <c r="DL318">
        <v>1.0587069801986216E-2</v>
      </c>
      <c r="DM318">
        <v>1914999999.9999998</v>
      </c>
      <c r="DN318">
        <v>1.5124385431408881E-2</v>
      </c>
      <c r="DO318">
        <v>21016254000</v>
      </c>
      <c r="DP318" t="e">
        <v>#VALUE!</v>
      </c>
      <c r="DQ318">
        <v>317</v>
      </c>
      <c r="DR318" t="e">
        <v>#VALUE!</v>
      </c>
      <c r="DS318">
        <v>-0.39926072906255722</v>
      </c>
      <c r="DT318" t="e">
        <v>#VALUE!</v>
      </c>
      <c r="DU318" t="e">
        <v>#VALUE!</v>
      </c>
      <c r="DV318" t="e">
        <v>#VALUE!</v>
      </c>
      <c r="DW318">
        <v>-9.764951321279554</v>
      </c>
      <c r="DX318">
        <v>0.22384822695035383</v>
      </c>
      <c r="DY318">
        <v>-9.1100368912693952</v>
      </c>
      <c r="DZ318">
        <v>0</v>
      </c>
      <c r="EA318">
        <v>-9.1100368912693952</v>
      </c>
      <c r="EB318">
        <v>9</v>
      </c>
      <c r="EC318">
        <v>1.0461587787053309E-2</v>
      </c>
      <c r="ED318">
        <v>7.2726567499951517E-2</v>
      </c>
      <c r="EE318">
        <v>0</v>
      </c>
      <c r="EF318">
        <v>0</v>
      </c>
      <c r="EG318">
        <v>8.1438482269503538</v>
      </c>
      <c r="EH318" t="s">
        <v>110</v>
      </c>
      <c r="EI318">
        <v>0</v>
      </c>
      <c r="EJ318">
        <v>0</v>
      </c>
      <c r="EK318">
        <v>0</v>
      </c>
      <c r="EL318">
        <v>0</v>
      </c>
      <c r="EM318">
        <v>0</v>
      </c>
      <c r="EN318">
        <v>0</v>
      </c>
      <c r="EO318">
        <v>0</v>
      </c>
      <c r="EP318">
        <v>0</v>
      </c>
    </row>
    <row r="319" spans="1:146" ht="96" x14ac:dyDescent="0.25">
      <c r="A319" s="7"/>
      <c r="B319" s="7"/>
      <c r="C319" s="7" t="str">
        <f>""&amp;CHAR(10)&amp;Basic_Fundamental_Information_Constructure(F319)&amp;CHAR(10)&amp;Basic_Fundamental_Information_Concatenate("")</f>
        <v xml:space="preserve">
市值130.934813亿, 利润11.23亿; PE10.99; 平均PE34.96; 平均PEG4.09, PB2.06; ROIC9.7667%; ROE13.8433%; 股利率0%; 毛利59.3967%; 净利15.85%; 上一年度营收增20.1%, 利润增42.88%; 当季营收增.92%, 利润增19.8%; 过往5年营收增8.54%, 利润增14.64%
Income profile:
</v>
      </c>
      <c r="D319" s="11">
        <v>2005</v>
      </c>
      <c r="E319" t="s">
        <v>4429</v>
      </c>
      <c r="F319">
        <v>4.41</v>
      </c>
      <c r="G319" s="5">
        <v>-1.12E-2</v>
      </c>
      <c r="H319" t="s">
        <v>6459</v>
      </c>
      <c r="I319">
        <v>13093481300</v>
      </c>
      <c r="J319">
        <v>10.99</v>
      </c>
      <c r="K319">
        <v>2.06</v>
      </c>
      <c r="L319" t="s">
        <v>6350</v>
      </c>
      <c r="M319" t="s">
        <v>9</v>
      </c>
      <c r="N319" t="s">
        <v>9</v>
      </c>
      <c r="O319" t="s">
        <v>4430</v>
      </c>
      <c r="P319">
        <v>0.92</v>
      </c>
      <c r="Q319" t="s">
        <v>4431</v>
      </c>
      <c r="R319">
        <v>363000000</v>
      </c>
      <c r="S319" s="5">
        <v>0.19800000000000001</v>
      </c>
      <c r="T319" t="s">
        <v>3092</v>
      </c>
      <c r="U319">
        <v>2970043400</v>
      </c>
      <c r="V319">
        <v>2970043400</v>
      </c>
      <c r="W319" t="s">
        <v>9</v>
      </c>
      <c r="X319">
        <v>0.16</v>
      </c>
      <c r="Y319" t="s">
        <v>9</v>
      </c>
      <c r="Z319" t="s">
        <v>4432</v>
      </c>
      <c r="AA319" t="s">
        <v>9</v>
      </c>
      <c r="AB319" t="s">
        <v>9</v>
      </c>
      <c r="AC319" t="s">
        <v>9</v>
      </c>
      <c r="AD319" t="s">
        <v>3518</v>
      </c>
      <c r="AE319" t="s">
        <v>9</v>
      </c>
      <c r="AF319" t="s">
        <v>9</v>
      </c>
      <c r="AG319" t="s">
        <v>9</v>
      </c>
      <c r="AH319" t="s">
        <v>17</v>
      </c>
      <c r="AI319" t="s">
        <v>9</v>
      </c>
      <c r="AJ319" t="s">
        <v>9</v>
      </c>
      <c r="AK319" t="s">
        <v>4433</v>
      </c>
      <c r="AL319" t="s">
        <v>9</v>
      </c>
      <c r="AM319" t="s">
        <v>9</v>
      </c>
      <c r="AN319" s="5">
        <v>0.40310000000000001</v>
      </c>
      <c r="AO319" t="s">
        <v>9</v>
      </c>
      <c r="AP319" t="s">
        <v>909</v>
      </c>
      <c r="AQ319" t="s">
        <v>9</v>
      </c>
      <c r="AR319" t="s">
        <v>4434</v>
      </c>
      <c r="AS319" t="s">
        <v>9</v>
      </c>
      <c r="AT319" t="s">
        <v>9</v>
      </c>
      <c r="AU319" t="s">
        <v>128</v>
      </c>
      <c r="AV319" t="s">
        <v>3837</v>
      </c>
      <c r="AW319" t="s">
        <v>9</v>
      </c>
      <c r="AX319" t="s">
        <v>4435</v>
      </c>
      <c r="AY319" t="s">
        <v>4436</v>
      </c>
      <c r="AZ319" t="s">
        <v>196</v>
      </c>
      <c r="BA319" t="s">
        <v>4437</v>
      </c>
      <c r="BB319" t="s">
        <v>4438</v>
      </c>
      <c r="BC319" t="s">
        <v>3347</v>
      </c>
      <c r="BD319" t="s">
        <v>1411</v>
      </c>
      <c r="BE319" t="s">
        <v>185</v>
      </c>
      <c r="BF319" t="s">
        <v>4439</v>
      </c>
      <c r="BG319" t="s">
        <v>4440</v>
      </c>
      <c r="BH319" t="s">
        <v>4431</v>
      </c>
      <c r="BI319" t="s">
        <v>187</v>
      </c>
      <c r="BJ319" t="s">
        <v>4435</v>
      </c>
      <c r="BK319" t="s">
        <v>3092</v>
      </c>
      <c r="BL319" t="s">
        <v>9</v>
      </c>
      <c r="BM319" t="s">
        <v>3347</v>
      </c>
      <c r="BN319">
        <v>11.98</v>
      </c>
      <c r="BO319">
        <v>9.0299999999999994</v>
      </c>
      <c r="BP319">
        <v>8.2899999999999991</v>
      </c>
      <c r="BQ319">
        <v>18.07</v>
      </c>
      <c r="BR319">
        <v>12.63</v>
      </c>
      <c r="BS319">
        <v>10.83</v>
      </c>
      <c r="BT319" t="s">
        <v>4441</v>
      </c>
      <c r="BU319" t="s">
        <v>489</v>
      </c>
      <c r="BV319">
        <v>55.45</v>
      </c>
      <c r="BW319">
        <v>59.18</v>
      </c>
      <c r="BX319">
        <v>63.56</v>
      </c>
      <c r="BY319">
        <v>18.489999999999998</v>
      </c>
      <c r="BZ319">
        <v>14.72</v>
      </c>
      <c r="CA319">
        <v>14.34</v>
      </c>
      <c r="CB319">
        <v>1.38</v>
      </c>
      <c r="CC319">
        <v>-8.1199999999999992</v>
      </c>
      <c r="CD319" t="s">
        <v>6460</v>
      </c>
      <c r="CE319" t="s">
        <v>6461</v>
      </c>
      <c r="CF319" s="8">
        <v>9.2325447201384893E-3</v>
      </c>
      <c r="CG319" s="9">
        <v>0.19800000000000001</v>
      </c>
      <c r="CH319" s="8">
        <v>0.20104528963565826</v>
      </c>
      <c r="CI319" s="8">
        <v>0.2572166919708252</v>
      </c>
      <c r="CJ319" s="8">
        <v>-8.0888763070106506E-2</v>
      </c>
      <c r="CK319" s="8">
        <v>0.10882572084665298</v>
      </c>
      <c r="CL319" s="8">
        <v>0.35923275351524353</v>
      </c>
      <c r="CM319" s="9">
        <v>0.42875325679779053</v>
      </c>
      <c r="CN319" s="9">
        <v>0.28431373834609985</v>
      </c>
      <c r="CO319" s="9">
        <v>-0.4612676203250885</v>
      </c>
      <c r="CP319" s="9">
        <v>0.24561403691768646</v>
      </c>
      <c r="CQ319" s="9">
        <v>0.37142857909202576</v>
      </c>
      <c r="CR319">
        <v>34.962566889185581</v>
      </c>
      <c r="CS319">
        <v>4.0947195426089396</v>
      </c>
      <c r="CT319">
        <v>0</v>
      </c>
      <c r="CU319" s="8">
        <v>8.538452151697129E-2</v>
      </c>
      <c r="CV319" s="9">
        <v>0.14642995297908784</v>
      </c>
      <c r="CW319">
        <v>0.06</v>
      </c>
      <c r="CX319">
        <v>11.386693150562033</v>
      </c>
      <c r="CY319">
        <v>1149893224.2109046</v>
      </c>
      <c r="CZ319">
        <v>8.538452151697129E-2</v>
      </c>
      <c r="DA319">
        <v>3.7356442391764531</v>
      </c>
      <c r="DB319">
        <v>3505012913.8867202</v>
      </c>
      <c r="DC319">
        <v>8.1115295441122726E-2</v>
      </c>
      <c r="DD319">
        <v>1.8485960788250837</v>
      </c>
      <c r="DE319">
        <v>7082932529.1665945</v>
      </c>
      <c r="DF319">
        <v>7.5138378934934733E-2</v>
      </c>
      <c r="DG319">
        <v>1.1166541123184253</v>
      </c>
      <c r="DH319">
        <v>11725637469.614458</v>
      </c>
      <c r="DI319">
        <v>6.8307617213577032E-2</v>
      </c>
      <c r="DJ319">
        <v>0.58430310188604018</v>
      </c>
      <c r="DK319">
        <v>22408714343.182957</v>
      </c>
      <c r="DL319">
        <v>5.9769165061879896E-2</v>
      </c>
      <c r="DM319">
        <v>1123000000</v>
      </c>
      <c r="DN319">
        <v>8.538452151697129E-2</v>
      </c>
      <c r="DO319">
        <v>13093481300</v>
      </c>
      <c r="DP319" t="e">
        <v>#VALUE!</v>
      </c>
      <c r="DQ319">
        <v>325</v>
      </c>
      <c r="DR319">
        <v>-7.6151976796832804E-2</v>
      </c>
      <c r="DS319">
        <v>5.1570047020912169E-2</v>
      </c>
      <c r="DT319">
        <v>-0.34</v>
      </c>
      <c r="DU319" t="e">
        <v>#VALUE!</v>
      </c>
      <c r="DV319" t="e">
        <v>#VALUE!</v>
      </c>
      <c r="DW319">
        <v>-2.0811999999999999</v>
      </c>
      <c r="DX319">
        <v>0.39244979513720279</v>
      </c>
      <c r="DY319">
        <v>-2.013190923365141</v>
      </c>
      <c r="DZ319">
        <v>0</v>
      </c>
      <c r="EA319">
        <v>-2.013190923365141</v>
      </c>
      <c r="EB319">
        <v>2</v>
      </c>
      <c r="EC319">
        <v>3.2465855549450892E-3</v>
      </c>
      <c r="ED319">
        <v>1.9985162506379536E-2</v>
      </c>
      <c r="EE319">
        <v>0</v>
      </c>
      <c r="EF319">
        <v>0</v>
      </c>
      <c r="EG319">
        <v>23.162449795137203</v>
      </c>
      <c r="EH319" t="s">
        <v>110</v>
      </c>
      <c r="EI319">
        <v>0</v>
      </c>
      <c r="EJ319">
        <v>0</v>
      </c>
      <c r="EK319">
        <v>0</v>
      </c>
      <c r="EL319">
        <v>0</v>
      </c>
      <c r="EM319">
        <v>0</v>
      </c>
      <c r="EN319">
        <v>0</v>
      </c>
      <c r="EO319">
        <v>0</v>
      </c>
      <c r="EP319">
        <v>0</v>
      </c>
    </row>
    <row r="320" spans="1:146" ht="96" x14ac:dyDescent="0.25">
      <c r="A320" s="7"/>
      <c r="B320" s="7"/>
      <c r="C320" s="7" t="str">
        <f>""&amp;CHAR(10)&amp;Basic_Fundamental_Information_Constructure(F320)&amp;CHAR(10)&amp;Basic_Fundamental_Information_Concatenate("")</f>
        <v xml:space="preserve">
市值135.74426亿, 利润--; PE; 平均PE518.11; 平均PEG103.96, PB.081; ROIC2.015%; ROE5.255%; 毛利12.69%; 净利3.57%, 利润增-7461%; 过往5年营收增4.98%, 利润增29.09%
Income profile:
</v>
      </c>
      <c r="D320" s="11">
        <v>2007</v>
      </c>
      <c r="E320" t="s">
        <v>4442</v>
      </c>
      <c r="F320">
        <v>0.48499999999999999</v>
      </c>
      <c r="G320" s="5">
        <v>0</v>
      </c>
      <c r="H320" t="s">
        <v>9</v>
      </c>
      <c r="I320">
        <v>13574426000</v>
      </c>
      <c r="K320">
        <v>8.1000000000000003E-2</v>
      </c>
      <c r="L320" t="s">
        <v>6350</v>
      </c>
      <c r="M320" t="s">
        <v>9</v>
      </c>
      <c r="N320" t="s">
        <v>9</v>
      </c>
      <c r="O320" t="s">
        <v>9</v>
      </c>
      <c r="P320" t="s">
        <v>9</v>
      </c>
      <c r="Q320" t="s">
        <v>9</v>
      </c>
      <c r="R320">
        <v>-52768269000</v>
      </c>
      <c r="S320" s="5">
        <v>-74.61</v>
      </c>
      <c r="T320" t="s">
        <v>9</v>
      </c>
      <c r="U320">
        <v>27988508000</v>
      </c>
      <c r="V320">
        <v>27988508000</v>
      </c>
      <c r="W320" t="s">
        <v>9</v>
      </c>
      <c r="X320" t="s">
        <v>9</v>
      </c>
      <c r="Y320" t="s">
        <v>9</v>
      </c>
      <c r="Z320" t="s">
        <v>9</v>
      </c>
      <c r="AA320" t="s">
        <v>9</v>
      </c>
      <c r="AB320" t="s">
        <v>9</v>
      </c>
      <c r="AC320" t="s">
        <v>9</v>
      </c>
      <c r="AD320" t="s">
        <v>9</v>
      </c>
      <c r="AE320" t="s">
        <v>9</v>
      </c>
      <c r="AF320" t="s">
        <v>9</v>
      </c>
      <c r="AG320" t="s">
        <v>9</v>
      </c>
      <c r="AH320" t="s">
        <v>10473</v>
      </c>
      <c r="AI320" t="s">
        <v>9</v>
      </c>
      <c r="AJ320" t="s">
        <v>9</v>
      </c>
      <c r="AK320" t="s">
        <v>10474</v>
      </c>
      <c r="AL320" t="s">
        <v>9</v>
      </c>
      <c r="AM320" t="s">
        <v>9</v>
      </c>
      <c r="AN320" s="5">
        <v>0.84279999999999999</v>
      </c>
      <c r="AO320" t="s">
        <v>9</v>
      </c>
      <c r="AP320" t="s">
        <v>9</v>
      </c>
      <c r="AQ320" t="s">
        <v>9</v>
      </c>
      <c r="AR320" t="s">
        <v>9</v>
      </c>
      <c r="AS320" t="s">
        <v>9</v>
      </c>
      <c r="AT320" t="s">
        <v>9</v>
      </c>
      <c r="AU320" t="s">
        <v>9</v>
      </c>
      <c r="AV320" t="s">
        <v>9</v>
      </c>
      <c r="AW320" t="s">
        <v>9</v>
      </c>
      <c r="AX320" t="s">
        <v>4443</v>
      </c>
      <c r="AY320" t="s">
        <v>4445</v>
      </c>
      <c r="AZ320" t="s">
        <v>4446</v>
      </c>
      <c r="BA320" t="s">
        <v>4447</v>
      </c>
      <c r="BB320" t="s">
        <v>4448</v>
      </c>
      <c r="BC320" t="s">
        <v>4449</v>
      </c>
      <c r="BD320" t="s">
        <v>4450</v>
      </c>
      <c r="BE320" t="s">
        <v>4451</v>
      </c>
      <c r="BF320" t="s">
        <v>4452</v>
      </c>
      <c r="BG320" t="s">
        <v>4453</v>
      </c>
      <c r="BH320" t="s">
        <v>4443</v>
      </c>
      <c r="BI320" t="s">
        <v>9</v>
      </c>
      <c r="BJ320" t="s">
        <v>4445</v>
      </c>
      <c r="BK320" t="s">
        <v>4444</v>
      </c>
      <c r="BL320" t="s">
        <v>9</v>
      </c>
      <c r="BM320" t="s">
        <v>4449</v>
      </c>
      <c r="BN320" t="s">
        <v>9</v>
      </c>
      <c r="BO320">
        <v>-1.22</v>
      </c>
      <c r="BP320">
        <v>5.25</v>
      </c>
      <c r="BQ320" t="s">
        <v>9</v>
      </c>
      <c r="BR320">
        <v>-2.97</v>
      </c>
      <c r="BS320">
        <v>13.48</v>
      </c>
      <c r="BT320" t="s">
        <v>4454</v>
      </c>
      <c r="BU320" t="s">
        <v>410</v>
      </c>
      <c r="BV320" t="s">
        <v>9</v>
      </c>
      <c r="BW320">
        <v>7.64</v>
      </c>
      <c r="BX320">
        <v>17.739999999999998</v>
      </c>
      <c r="BY320" t="s">
        <v>9</v>
      </c>
      <c r="BZ320">
        <v>-0.69</v>
      </c>
      <c r="CA320">
        <v>7.83</v>
      </c>
      <c r="CB320" t="s">
        <v>9</v>
      </c>
      <c r="CC320" t="s">
        <v>9</v>
      </c>
      <c r="CD320">
        <v>0</v>
      </c>
      <c r="CE320">
        <v>0</v>
      </c>
      <c r="CF320" s="8" t="s">
        <v>9</v>
      </c>
      <c r="CG320" s="9">
        <v>-74.61</v>
      </c>
      <c r="CH320" s="8" t="s">
        <v>9</v>
      </c>
      <c r="CI320" s="8">
        <v>-0.24198582768440247</v>
      </c>
      <c r="CJ320" s="8">
        <v>0.16098883748054504</v>
      </c>
      <c r="CK320" s="8">
        <v>0.27815958857536316</v>
      </c>
      <c r="CL320" s="8">
        <v>0.58665955066680908</v>
      </c>
      <c r="CM320" s="9" t="s">
        <v>9</v>
      </c>
      <c r="CN320" s="9">
        <v>-0.21392805874347687</v>
      </c>
      <c r="CO320" s="9">
        <v>-5.5524121969938278E-2</v>
      </c>
      <c r="CP320" s="9">
        <v>0.12129588425159454</v>
      </c>
      <c r="CQ320" s="9">
        <v>0.26139277219772339</v>
      </c>
      <c r="CR320">
        <v>518.10786259541987</v>
      </c>
      <c r="CS320">
        <v>103.96462226940248</v>
      </c>
      <c r="CT320" t="e">
        <v>#VALUE!</v>
      </c>
      <c r="CU320" s="8">
        <v>4.9835016112774612E-2</v>
      </c>
      <c r="CV320" s="9">
        <v>0.29088326990604402</v>
      </c>
      <c r="CW320">
        <v>0.06</v>
      </c>
      <c r="CX320" t="e">
        <v>#DIV/0!</v>
      </c>
      <c r="CY320">
        <v>0</v>
      </c>
      <c r="CZ320">
        <v>4.9835016112774612E-2</v>
      </c>
      <c r="DA320" t="e">
        <v>#DIV/0!</v>
      </c>
      <c r="DB320">
        <v>0</v>
      </c>
      <c r="DC320">
        <v>4.7343265307135882E-2</v>
      </c>
      <c r="DD320" t="e">
        <v>#DIV/0!</v>
      </c>
      <c r="DE320">
        <v>0</v>
      </c>
      <c r="DF320">
        <v>4.3854814179241662E-2</v>
      </c>
      <c r="DG320" t="e">
        <v>#DIV/0!</v>
      </c>
      <c r="DH320">
        <v>0</v>
      </c>
      <c r="DI320">
        <v>3.9868012890219691E-2</v>
      </c>
      <c r="DJ320" t="e">
        <v>#DIV/0!</v>
      </c>
      <c r="DK320">
        <v>0</v>
      </c>
      <c r="DL320">
        <v>3.4884511278942223E-2</v>
      </c>
      <c r="DM320">
        <v>0</v>
      </c>
      <c r="DN320">
        <v>4.9835016112774612E-2</v>
      </c>
      <c r="DO320">
        <v>13574426000</v>
      </c>
      <c r="DP320" t="e">
        <v>#VALUE!</v>
      </c>
      <c r="DQ320">
        <v>319</v>
      </c>
      <c r="DR320" t="e">
        <v>#VALUE!</v>
      </c>
      <c r="DS320">
        <v>-74.900883269906046</v>
      </c>
      <c r="DT320" t="e">
        <v>#VALUE!</v>
      </c>
      <c r="DU320" t="e">
        <v>#VALUE!</v>
      </c>
      <c r="DV320" t="e">
        <v>#VALUE!</v>
      </c>
      <c r="DW320" t="e">
        <v>#VALUE!</v>
      </c>
      <c r="DX320" t="e">
        <v>#VALUE!</v>
      </c>
      <c r="DY320" t="e">
        <v>#VALUE!</v>
      </c>
      <c r="DZ320">
        <v>0</v>
      </c>
      <c r="EA320" t="e">
        <v>#VALUE!</v>
      </c>
      <c r="EB320" t="e">
        <v>#VALUE!</v>
      </c>
      <c r="EC320">
        <v>0</v>
      </c>
      <c r="ED320">
        <v>0</v>
      </c>
      <c r="EE320">
        <v>0</v>
      </c>
      <c r="EF320">
        <v>0</v>
      </c>
      <c r="EG320" t="e">
        <v>#VALUE!</v>
      </c>
      <c r="EH320" t="s">
        <v>110</v>
      </c>
      <c r="EI320" t="e">
        <v>#VALUE!</v>
      </c>
      <c r="EJ320">
        <v>0</v>
      </c>
      <c r="EK320">
        <v>0</v>
      </c>
      <c r="EL320">
        <v>0</v>
      </c>
      <c r="EM320">
        <v>0</v>
      </c>
      <c r="EN320">
        <v>0</v>
      </c>
      <c r="EO320">
        <v>0</v>
      </c>
      <c r="EP320">
        <v>0</v>
      </c>
    </row>
    <row r="321" spans="1:146" ht="96" x14ac:dyDescent="0.25">
      <c r="A321" s="7"/>
      <c r="B321" s="7"/>
      <c r="C321" s="7" t="str">
        <f>""&amp;CHAR(10)&amp;Basic_Fundamental_Information_Constructure(F321)&amp;CHAR(10)&amp;Basic_Fundamental_Information_Concatenate("")</f>
        <v xml:space="preserve">
市值59.795518亿, 利润-9.40亿; PE; 平均PE-22.84; 平均PEG-2.2, PB.078; ROIC.5067%; ROE.9267%; 股利率0%; 毛利13.0267%; 净利1.5967%; 上一年度营收增2.25%, 利润增-135.46%; 当季营收增-50.36%, 利润增-272.4%; 过往5年营收增10.4%, 利润增-135.13%
Income profile:
</v>
      </c>
      <c r="D321" s="11">
        <v>2009</v>
      </c>
      <c r="E321" t="s">
        <v>4455</v>
      </c>
      <c r="F321">
        <v>0.56000000000000005</v>
      </c>
      <c r="G321" s="5">
        <v>-1.7500000000000002E-2</v>
      </c>
      <c r="H321" t="s">
        <v>10475</v>
      </c>
      <c r="I321">
        <v>5979551800</v>
      </c>
      <c r="K321">
        <v>7.8E-2</v>
      </c>
      <c r="L321" t="s">
        <v>6350</v>
      </c>
      <c r="M321" t="s">
        <v>10476</v>
      </c>
      <c r="N321" t="s">
        <v>10477</v>
      </c>
      <c r="O321" t="s">
        <v>10478</v>
      </c>
      <c r="P321">
        <v>-45.34</v>
      </c>
      <c r="Q321" t="s">
        <v>10479</v>
      </c>
      <c r="R321">
        <v>77647500</v>
      </c>
      <c r="S321" s="5">
        <v>-2.7240000000000002</v>
      </c>
      <c r="T321" t="s">
        <v>4621</v>
      </c>
      <c r="U321">
        <v>2338764900</v>
      </c>
      <c r="V321">
        <v>10677771100</v>
      </c>
      <c r="W321">
        <v>3.82</v>
      </c>
      <c r="X321">
        <v>0.05</v>
      </c>
      <c r="Y321">
        <v>-15.71</v>
      </c>
      <c r="Z321" t="s">
        <v>5251</v>
      </c>
      <c r="AA321" t="s">
        <v>10480</v>
      </c>
      <c r="AB321" t="s">
        <v>252</v>
      </c>
      <c r="AC321" t="s">
        <v>10481</v>
      </c>
      <c r="AD321" t="s">
        <v>1972</v>
      </c>
      <c r="AE321" t="s">
        <v>4656</v>
      </c>
      <c r="AF321" t="s">
        <v>9</v>
      </c>
      <c r="AG321" t="s">
        <v>10482</v>
      </c>
      <c r="AH321" t="s">
        <v>10483</v>
      </c>
      <c r="AI321" t="s">
        <v>10484</v>
      </c>
      <c r="AJ321" t="s">
        <v>10485</v>
      </c>
      <c r="AK321" t="s">
        <v>10486</v>
      </c>
      <c r="AL321" t="s">
        <v>9</v>
      </c>
      <c r="AM321" t="s">
        <v>10487</v>
      </c>
      <c r="AN321" s="5">
        <v>0.66320000000000001</v>
      </c>
      <c r="AO321" t="s">
        <v>10488</v>
      </c>
      <c r="AP321" t="s">
        <v>10489</v>
      </c>
      <c r="AQ321" t="s">
        <v>10490</v>
      </c>
      <c r="AR321" t="s">
        <v>10491</v>
      </c>
      <c r="AS321" t="s">
        <v>10492</v>
      </c>
      <c r="AT321" t="s">
        <v>10493</v>
      </c>
      <c r="AU321" t="s">
        <v>10494</v>
      </c>
      <c r="AV321" t="s">
        <v>3031</v>
      </c>
      <c r="AW321" t="s">
        <v>10495</v>
      </c>
      <c r="AX321" t="s">
        <v>4456</v>
      </c>
      <c r="AY321" t="s">
        <v>4460</v>
      </c>
      <c r="AZ321" t="s">
        <v>4461</v>
      </c>
      <c r="BA321" t="s">
        <v>4462</v>
      </c>
      <c r="BB321" t="s">
        <v>4463</v>
      </c>
      <c r="BC321" t="s">
        <v>3061</v>
      </c>
      <c r="BD321" t="s">
        <v>5337</v>
      </c>
      <c r="BE321" t="s">
        <v>4465</v>
      </c>
      <c r="BF321" t="s">
        <v>4466</v>
      </c>
      <c r="BG321" t="s">
        <v>4467</v>
      </c>
      <c r="BH321" t="s">
        <v>4456</v>
      </c>
      <c r="BI321" t="s">
        <v>3472</v>
      </c>
      <c r="BJ321" t="s">
        <v>4460</v>
      </c>
      <c r="BK321" t="s">
        <v>4152</v>
      </c>
      <c r="BL321" t="s">
        <v>1156</v>
      </c>
      <c r="BM321" t="s">
        <v>3061</v>
      </c>
      <c r="BN321">
        <v>-0.56999999999999995</v>
      </c>
      <c r="BO321">
        <v>0.23</v>
      </c>
      <c r="BP321">
        <v>1.86</v>
      </c>
      <c r="BQ321">
        <v>-1.17</v>
      </c>
      <c r="BR321">
        <v>0.55000000000000004</v>
      </c>
      <c r="BS321">
        <v>3.4</v>
      </c>
      <c r="BT321" t="s">
        <v>4468</v>
      </c>
      <c r="BU321" t="s">
        <v>1446</v>
      </c>
      <c r="BV321">
        <v>10.19</v>
      </c>
      <c r="BW321">
        <v>13.87</v>
      </c>
      <c r="BX321">
        <v>15.02</v>
      </c>
      <c r="BY321">
        <v>-1.2</v>
      </c>
      <c r="BZ321">
        <v>1.71</v>
      </c>
      <c r="CA321">
        <v>4.28</v>
      </c>
      <c r="CB321">
        <v>-3.45</v>
      </c>
      <c r="CC321">
        <v>-10.11</v>
      </c>
      <c r="CD321" t="s">
        <v>10496</v>
      </c>
      <c r="CE321" t="s">
        <v>866</v>
      </c>
      <c r="CF321" s="8">
        <v>-0.50362735239189771</v>
      </c>
      <c r="CG321" s="9">
        <v>-2.7240000000000002</v>
      </c>
      <c r="CH321" s="8">
        <v>2.2538958117365837E-2</v>
      </c>
      <c r="CI321" s="8">
        <v>-0.23234085738658905</v>
      </c>
      <c r="CJ321" s="8">
        <v>0.18140354752540588</v>
      </c>
      <c r="CK321" s="8">
        <v>0.33473172783851624</v>
      </c>
      <c r="CL321" s="8">
        <v>0.23961277306079865</v>
      </c>
      <c r="CM321" s="9">
        <v>-1.3545831441879272</v>
      </c>
      <c r="CN321" s="9">
        <v>0.11386557668447495</v>
      </c>
      <c r="CO321" s="9">
        <v>-0.42344960570335388</v>
      </c>
      <c r="CP321" s="9">
        <v>0.11206896603107452</v>
      </c>
      <c r="CQ321" s="9">
        <v>9.1443710029125214E-2</v>
      </c>
      <c r="CR321">
        <v>-22.837244302991724</v>
      </c>
      <c r="CS321">
        <v>-2.1966869059481038</v>
      </c>
      <c r="CT321">
        <v>0</v>
      </c>
      <c r="CU321" s="8">
        <v>0.10396221801638603</v>
      </c>
      <c r="CV321" s="9">
        <v>-1.3513433851301671</v>
      </c>
      <c r="CW321">
        <v>0.06</v>
      </c>
      <c r="CX321" t="e">
        <v>#VALUE!</v>
      </c>
      <c r="CY321" t="s">
        <v>108</v>
      </c>
      <c r="CZ321">
        <v>0.10396221801638603</v>
      </c>
      <c r="DA321" t="e">
        <v>#VALUE!</v>
      </c>
      <c r="DB321" t="s">
        <v>108</v>
      </c>
      <c r="DC321">
        <v>9.8764107115566727E-2</v>
      </c>
      <c r="DD321" t="e">
        <v>#VALUE!</v>
      </c>
      <c r="DE321" t="s">
        <v>108</v>
      </c>
      <c r="DF321">
        <v>9.1486751854419707E-2</v>
      </c>
      <c r="DG321" t="e">
        <v>#VALUE!</v>
      </c>
      <c r="DH321" t="s">
        <v>108</v>
      </c>
      <c r="DI321">
        <v>8.3169774413108827E-2</v>
      </c>
      <c r="DJ321" t="e">
        <v>#VALUE!</v>
      </c>
      <c r="DK321" t="s">
        <v>108</v>
      </c>
      <c r="DL321">
        <v>7.2773552611470213E-2</v>
      </c>
      <c r="DM321">
        <v>-940000000</v>
      </c>
      <c r="DN321">
        <v>0.10396221801638603</v>
      </c>
      <c r="DO321">
        <v>102110551800</v>
      </c>
      <c r="DP321" t="e">
        <v>#VALUE!</v>
      </c>
      <c r="DQ321">
        <v>320</v>
      </c>
      <c r="DR321">
        <v>-0.60758957040828376</v>
      </c>
      <c r="DS321">
        <v>-1.3726566148698331</v>
      </c>
      <c r="DT321">
        <v>-0.49000000000000005</v>
      </c>
      <c r="DU321">
        <v>-1.6566666666666665</v>
      </c>
      <c r="DV321">
        <v>-2.1466666666666665</v>
      </c>
      <c r="DW321">
        <v>-8.3412462908011875</v>
      </c>
      <c r="DX321">
        <v>0.28754389438944045</v>
      </c>
      <c r="DY321">
        <v>-8.0366989550587107</v>
      </c>
      <c r="DZ321">
        <v>0</v>
      </c>
      <c r="EA321">
        <v>-8.0366989550587107</v>
      </c>
      <c r="EB321">
        <v>8</v>
      </c>
      <c r="EC321">
        <v>3.0517417628478662E-3</v>
      </c>
      <c r="ED321">
        <v>2.8376708693446332E-2</v>
      </c>
      <c r="EE321">
        <v>0</v>
      </c>
      <c r="EF321">
        <v>0</v>
      </c>
      <c r="EG321">
        <v>18.10754389438944</v>
      </c>
      <c r="EH321" t="s">
        <v>110</v>
      </c>
      <c r="EI321">
        <v>0</v>
      </c>
      <c r="EJ321">
        <v>0</v>
      </c>
      <c r="EK321">
        <v>0</v>
      </c>
      <c r="EL321">
        <v>0</v>
      </c>
      <c r="EM321">
        <v>0</v>
      </c>
      <c r="EN321">
        <v>0</v>
      </c>
      <c r="EO321">
        <v>0</v>
      </c>
      <c r="EP321">
        <v>0</v>
      </c>
    </row>
    <row r="322" spans="1:146" ht="96" x14ac:dyDescent="0.25">
      <c r="A322" s="7"/>
      <c r="B322" s="7"/>
      <c r="C322" s="7" t="str">
        <f>""&amp;CHAR(10)&amp;Basic_Fundamental_Information_Constructure(F322)&amp;CHAR(10)&amp;Basic_Fundamental_Information_Concatenate("")</f>
        <v xml:space="preserve">
市值42.776018亿, 利润-8.31亿; PE; 平均PE-5.94; 平均PEG-1.5, PB1.45; ROIC-28.16%; ROE-44.14%; 股利率0%; 毛利60.79%; 净利-56.7767%; 上一年度营收增17.69%, 利润增13.35%, 利润增59.71%; 过往5年营收增-3.97%, 利润增-8133.57%
Income profile:
</v>
      </c>
      <c r="D322" s="11">
        <v>2013</v>
      </c>
      <c r="E322" t="s">
        <v>4469</v>
      </c>
      <c r="F322">
        <v>1.39</v>
      </c>
      <c r="G322" s="5">
        <v>-7.3300000000000004E-2</v>
      </c>
      <c r="H322" t="s">
        <v>10497</v>
      </c>
      <c r="I322">
        <v>4277601800</v>
      </c>
      <c r="K322">
        <v>1.45</v>
      </c>
      <c r="L322" t="s">
        <v>6350</v>
      </c>
      <c r="M322" t="s">
        <v>9</v>
      </c>
      <c r="N322" t="s">
        <v>9</v>
      </c>
      <c r="O322" t="s">
        <v>9</v>
      </c>
      <c r="P322" t="s">
        <v>9</v>
      </c>
      <c r="Q322" t="s">
        <v>4292</v>
      </c>
      <c r="R322">
        <v>-831194750</v>
      </c>
      <c r="S322" s="5">
        <v>0.59709999999999996</v>
      </c>
      <c r="T322" t="s">
        <v>4193</v>
      </c>
      <c r="U322">
        <v>3077411400</v>
      </c>
      <c r="V322">
        <v>3077411400</v>
      </c>
      <c r="W322" t="s">
        <v>9</v>
      </c>
      <c r="X322" t="s">
        <v>9</v>
      </c>
      <c r="Y322" t="s">
        <v>9</v>
      </c>
      <c r="Z322" t="s">
        <v>9</v>
      </c>
      <c r="AA322" t="s">
        <v>9</v>
      </c>
      <c r="AB322" t="s">
        <v>9</v>
      </c>
      <c r="AC322" t="s">
        <v>9</v>
      </c>
      <c r="AD322" t="s">
        <v>3888</v>
      </c>
      <c r="AE322" t="s">
        <v>9</v>
      </c>
      <c r="AF322" t="s">
        <v>9</v>
      </c>
      <c r="AG322" t="s">
        <v>9</v>
      </c>
      <c r="AH322" t="s">
        <v>10498</v>
      </c>
      <c r="AI322" t="s">
        <v>9</v>
      </c>
      <c r="AJ322" t="s">
        <v>9</v>
      </c>
      <c r="AK322" t="s">
        <v>10499</v>
      </c>
      <c r="AL322" t="s">
        <v>9</v>
      </c>
      <c r="AM322" t="s">
        <v>9</v>
      </c>
      <c r="AN322" s="5">
        <v>0.64380000000000004</v>
      </c>
      <c r="AO322" t="s">
        <v>9</v>
      </c>
      <c r="AP322" t="s">
        <v>10500</v>
      </c>
      <c r="AQ322" t="s">
        <v>9</v>
      </c>
      <c r="AR322" t="s">
        <v>10501</v>
      </c>
      <c r="AS322" t="s">
        <v>9</v>
      </c>
      <c r="AT322" t="s">
        <v>9</v>
      </c>
      <c r="AU322" t="s">
        <v>10502</v>
      </c>
      <c r="AV322" t="s">
        <v>2847</v>
      </c>
      <c r="AW322" t="s">
        <v>9</v>
      </c>
      <c r="AX322" t="s">
        <v>2846</v>
      </c>
      <c r="AY322" t="s">
        <v>4472</v>
      </c>
      <c r="AZ322" t="s">
        <v>4473</v>
      </c>
      <c r="BA322" t="s">
        <v>4474</v>
      </c>
      <c r="BB322" t="s">
        <v>2345</v>
      </c>
      <c r="BC322" t="s">
        <v>4475</v>
      </c>
      <c r="BD322" t="s">
        <v>4476</v>
      </c>
      <c r="BE322" t="s">
        <v>1045</v>
      </c>
      <c r="BF322" t="s">
        <v>4477</v>
      </c>
      <c r="BG322" t="s">
        <v>4478</v>
      </c>
      <c r="BH322" t="s">
        <v>2846</v>
      </c>
      <c r="BI322" t="s">
        <v>9</v>
      </c>
      <c r="BJ322" t="s">
        <v>4472</v>
      </c>
      <c r="BK322" t="s">
        <v>4470</v>
      </c>
      <c r="BL322" t="s">
        <v>9</v>
      </c>
      <c r="BM322" t="s">
        <v>4475</v>
      </c>
      <c r="BN322">
        <v>-18.04</v>
      </c>
      <c r="BO322">
        <v>-41.67</v>
      </c>
      <c r="BP322">
        <v>-24.77</v>
      </c>
      <c r="BQ322">
        <v>-28.08</v>
      </c>
      <c r="BR322">
        <v>-85.07</v>
      </c>
      <c r="BS322">
        <v>-19.27</v>
      </c>
      <c r="BT322" t="s">
        <v>9</v>
      </c>
      <c r="BU322" t="s">
        <v>743</v>
      </c>
      <c r="BV322">
        <v>66.59</v>
      </c>
      <c r="BW322">
        <v>59.31</v>
      </c>
      <c r="BX322">
        <v>56.47</v>
      </c>
      <c r="BY322">
        <v>-34.17</v>
      </c>
      <c r="BZ322">
        <v>-104.39</v>
      </c>
      <c r="CA322">
        <v>-31.77</v>
      </c>
      <c r="CB322">
        <v>-7.95</v>
      </c>
      <c r="CC322">
        <v>-21.91</v>
      </c>
      <c r="CD322" t="s">
        <v>107</v>
      </c>
      <c r="CE322" t="s">
        <v>10503</v>
      </c>
      <c r="CF322" s="8" t="s">
        <v>9</v>
      </c>
      <c r="CG322" s="9">
        <v>0.59709999999999996</v>
      </c>
      <c r="CH322" s="8">
        <v>0.17686736583709717</v>
      </c>
      <c r="CI322" s="8">
        <v>-0.36910912394523621</v>
      </c>
      <c r="CJ322" s="8">
        <v>0.40136337280273438</v>
      </c>
      <c r="CK322" s="8">
        <v>1.3827412128448486</v>
      </c>
      <c r="CL322" s="8">
        <v>0.5390625</v>
      </c>
      <c r="CM322" s="9">
        <v>0.13347236812114716</v>
      </c>
      <c r="CN322" s="9">
        <v>0.30456855893135071</v>
      </c>
      <c r="CO322" s="9">
        <v>-4.951289176940918</v>
      </c>
      <c r="CP322" s="9">
        <v>1.2814515829086304</v>
      </c>
      <c r="CQ322" s="9">
        <v>-366.33984375</v>
      </c>
      <c r="CR322">
        <v>-5.9445376372691703</v>
      </c>
      <c r="CS322">
        <v>-1.4984056517082192</v>
      </c>
      <c r="CT322">
        <v>0</v>
      </c>
      <c r="CU322" s="8">
        <v>-3.9672418683767322E-2</v>
      </c>
      <c r="CV322" s="9">
        <v>-81.335700665414336</v>
      </c>
      <c r="CW322">
        <v>0.06</v>
      </c>
      <c r="CX322" t="e">
        <v>#VALUE!</v>
      </c>
      <c r="CY322" t="s">
        <v>109</v>
      </c>
      <c r="CZ322">
        <v>-3.9672418683767322E-2</v>
      </c>
      <c r="DA322" t="e">
        <v>#VALUE!</v>
      </c>
      <c r="DB322" t="s">
        <v>108</v>
      </c>
      <c r="DC322">
        <v>-3.7688797749578951E-2</v>
      </c>
      <c r="DD322" t="e">
        <v>#VALUE!</v>
      </c>
      <c r="DE322" t="s">
        <v>108</v>
      </c>
      <c r="DF322">
        <v>-3.4911728441715244E-2</v>
      </c>
      <c r="DG322" t="e">
        <v>#VALUE!</v>
      </c>
      <c r="DH322" t="s">
        <v>108</v>
      </c>
      <c r="DI322">
        <v>-3.1737934947013859E-2</v>
      </c>
      <c r="DJ322" t="e">
        <v>#VALUE!</v>
      </c>
      <c r="DK322" t="s">
        <v>108</v>
      </c>
      <c r="DL322">
        <v>-2.7770693078637124E-2</v>
      </c>
      <c r="DM322">
        <v>-831000000</v>
      </c>
      <c r="DN322">
        <v>-3.9672418683767322E-2</v>
      </c>
      <c r="DO322">
        <v>4277601800</v>
      </c>
      <c r="DP322" t="e">
        <v>#VALUE!</v>
      </c>
      <c r="DQ322">
        <v>321</v>
      </c>
      <c r="DR322" t="e">
        <v>#VALUE!</v>
      </c>
      <c r="DS322">
        <v>81.932800665414334</v>
      </c>
      <c r="DT322" t="e">
        <v>#VALUE!</v>
      </c>
      <c r="DU322" t="e">
        <v>#VALUE!</v>
      </c>
      <c r="DV322" t="e">
        <v>#VALUE!</v>
      </c>
      <c r="DW322">
        <v>-9.3628480146052038</v>
      </c>
      <c r="DX322">
        <v>0.329433962264152</v>
      </c>
      <c r="DY322">
        <v>-9.0397078959379282</v>
      </c>
      <c r="DZ322">
        <v>0</v>
      </c>
      <c r="EA322">
        <v>-9.0397078959379282</v>
      </c>
      <c r="EB322">
        <v>9</v>
      </c>
      <c r="EC322">
        <v>3.7694017770909666E-2</v>
      </c>
      <c r="ED322">
        <v>0.34444533480314005</v>
      </c>
      <c r="EE322">
        <v>0</v>
      </c>
      <c r="EF322">
        <v>0</v>
      </c>
      <c r="EG322">
        <v>22.109433962264152</v>
      </c>
      <c r="EH322" t="s">
        <v>110</v>
      </c>
      <c r="EI322">
        <v>0</v>
      </c>
      <c r="EJ322">
        <v>0</v>
      </c>
      <c r="EK322">
        <v>0</v>
      </c>
      <c r="EL322">
        <v>0</v>
      </c>
      <c r="EM322">
        <v>0</v>
      </c>
      <c r="EN322">
        <v>0</v>
      </c>
      <c r="EO322">
        <v>0</v>
      </c>
      <c r="EP322">
        <v>0</v>
      </c>
    </row>
    <row r="323" spans="1:146" ht="96" x14ac:dyDescent="0.25">
      <c r="A323" s="7"/>
      <c r="B323" s="7"/>
      <c r="C323" s="7" t="str">
        <f>""&amp;CHAR(10)&amp;Basic_Fundamental_Information_Constructure(F323)&amp;CHAR(10)&amp;Basic_Fundamental_Information_Concatenate("")</f>
        <v xml:space="preserve">
市值1532.0986亿, 利润128.30亿; PE12.35; 平均PE60.04; 平均PEG7.35, PB2.31; ROIC4.73%; ROE4.73%; 股利率0%; 毛利20.98%; 净利1.2833%; 上一年度营收增165.75%, 利润增3356.35%, 利润增665.2%; 过往5年营收增8.17%, 利润增9.81%
Income profile:
</v>
      </c>
      <c r="D323" s="11">
        <v>2015</v>
      </c>
      <c r="E323" t="s">
        <v>4479</v>
      </c>
      <c r="F323">
        <v>72.2</v>
      </c>
      <c r="G323" s="5">
        <v>-1.4999999999999999E-2</v>
      </c>
      <c r="H323" t="s">
        <v>10504</v>
      </c>
      <c r="I323">
        <v>153209860000</v>
      </c>
      <c r="J323">
        <v>12.35</v>
      </c>
      <c r="K323">
        <v>2.31</v>
      </c>
      <c r="L323" t="s">
        <v>6350</v>
      </c>
      <c r="M323" t="s">
        <v>9</v>
      </c>
      <c r="N323" t="s">
        <v>9</v>
      </c>
      <c r="O323" t="s">
        <v>9</v>
      </c>
      <c r="P323" t="s">
        <v>9</v>
      </c>
      <c r="Q323" t="s">
        <v>10505</v>
      </c>
      <c r="R323">
        <v>12830070600</v>
      </c>
      <c r="S323" s="6">
        <v>6.6520000000000001</v>
      </c>
      <c r="T323" t="s">
        <v>10506</v>
      </c>
      <c r="U323">
        <v>2122020300</v>
      </c>
      <c r="V323">
        <v>2122020300</v>
      </c>
      <c r="W323" t="s">
        <v>9</v>
      </c>
      <c r="X323" t="s">
        <v>9</v>
      </c>
      <c r="Y323" t="s">
        <v>9</v>
      </c>
      <c r="Z323" t="s">
        <v>9</v>
      </c>
      <c r="AA323" t="s">
        <v>9</v>
      </c>
      <c r="AB323" t="s">
        <v>9</v>
      </c>
      <c r="AC323" t="s">
        <v>9</v>
      </c>
      <c r="AD323" t="s">
        <v>10507</v>
      </c>
      <c r="AE323" t="s">
        <v>9</v>
      </c>
      <c r="AF323" t="s">
        <v>9</v>
      </c>
      <c r="AG323" t="s">
        <v>9</v>
      </c>
      <c r="AH323" t="s">
        <v>10508</v>
      </c>
      <c r="AI323" t="s">
        <v>9</v>
      </c>
      <c r="AJ323" t="s">
        <v>9</v>
      </c>
      <c r="AK323" t="s">
        <v>10509</v>
      </c>
      <c r="AL323" t="s">
        <v>9</v>
      </c>
      <c r="AM323" t="s">
        <v>9</v>
      </c>
      <c r="AN323" s="5">
        <v>0.57779999999999998</v>
      </c>
      <c r="AO323" t="s">
        <v>9</v>
      </c>
      <c r="AP323" t="s">
        <v>10510</v>
      </c>
      <c r="AQ323" t="s">
        <v>9</v>
      </c>
      <c r="AR323" t="s">
        <v>10511</v>
      </c>
      <c r="AS323" t="s">
        <v>9</v>
      </c>
      <c r="AT323" t="s">
        <v>9</v>
      </c>
      <c r="AU323" t="s">
        <v>10512</v>
      </c>
      <c r="AV323" t="s">
        <v>10513</v>
      </c>
      <c r="AW323" t="s">
        <v>9</v>
      </c>
      <c r="AX323" t="s">
        <v>4480</v>
      </c>
      <c r="AY323" t="s">
        <v>4482</v>
      </c>
      <c r="AZ323" t="s">
        <v>4483</v>
      </c>
      <c r="BA323" t="s">
        <v>4484</v>
      </c>
      <c r="BB323" t="s">
        <v>9</v>
      </c>
      <c r="BC323" t="s">
        <v>4485</v>
      </c>
      <c r="BD323" t="s">
        <v>4486</v>
      </c>
      <c r="BE323" t="s">
        <v>9</v>
      </c>
      <c r="BF323" t="s">
        <v>9</v>
      </c>
      <c r="BG323" t="s">
        <v>9</v>
      </c>
      <c r="BH323" t="s">
        <v>4480</v>
      </c>
      <c r="BI323" t="s">
        <v>4487</v>
      </c>
      <c r="BJ323" t="s">
        <v>4482</v>
      </c>
      <c r="BK323" t="s">
        <v>4481</v>
      </c>
      <c r="BL323" t="s">
        <v>4488</v>
      </c>
      <c r="BM323" t="s">
        <v>4485</v>
      </c>
      <c r="BN323">
        <v>18.98</v>
      </c>
      <c r="BO323">
        <v>-3.96</v>
      </c>
      <c r="BP323">
        <v>-0.83</v>
      </c>
      <c r="BQ323">
        <v>19.46</v>
      </c>
      <c r="BR323">
        <v>-4.49</v>
      </c>
      <c r="BS323">
        <v>-0.78</v>
      </c>
      <c r="BT323" t="s">
        <v>9</v>
      </c>
      <c r="BU323" t="s">
        <v>861</v>
      </c>
      <c r="BV323">
        <v>22.2</v>
      </c>
      <c r="BW323">
        <v>19.41</v>
      </c>
      <c r="BX323">
        <v>21.33</v>
      </c>
      <c r="BY323">
        <v>9.5299999999999994</v>
      </c>
      <c r="BZ323">
        <v>-4.49</v>
      </c>
      <c r="CA323">
        <v>-1.19</v>
      </c>
      <c r="CB323">
        <v>1.4</v>
      </c>
      <c r="CC323">
        <v>-29.56</v>
      </c>
      <c r="CD323" t="s">
        <v>10514</v>
      </c>
      <c r="CE323" t="s">
        <v>180</v>
      </c>
      <c r="CF323" s="8" t="s">
        <v>9</v>
      </c>
      <c r="CG323" s="9">
        <v>6.6520000000000001</v>
      </c>
      <c r="CH323" s="8">
        <v>1.657492995262146</v>
      </c>
      <c r="CI323" s="8">
        <v>0.54470407962799072</v>
      </c>
      <c r="CJ323" s="8">
        <v>1.9340846538543701</v>
      </c>
      <c r="CK323" s="8">
        <v>1180.9354248046875</v>
      </c>
      <c r="CL323" s="8" t="s">
        <v>9</v>
      </c>
      <c r="CM323" s="9">
        <v>33.563453674316406</v>
      </c>
      <c r="CN323" s="9">
        <v>0.58262711763381958</v>
      </c>
      <c r="CO323" s="9" t="s">
        <v>9</v>
      </c>
      <c r="CP323" s="9" t="s">
        <v>9</v>
      </c>
      <c r="CQ323" s="9" t="s">
        <v>9</v>
      </c>
      <c r="CR323">
        <v>60.035211598746073</v>
      </c>
      <c r="CS323">
        <v>7.3487568053999555</v>
      </c>
      <c r="CT323">
        <v>0</v>
      </c>
      <c r="CU323" s="8">
        <v>8.1694377958774572E-2</v>
      </c>
      <c r="CV323" s="9">
        <v>9.8065142333507535E-2</v>
      </c>
      <c r="CW323">
        <v>0.06</v>
      </c>
      <c r="CX323">
        <v>11.702033906022729</v>
      </c>
      <c r="CY323">
        <v>13092583838.878378</v>
      </c>
      <c r="CZ323">
        <v>8.1694377958774572E-2</v>
      </c>
      <c r="DA323">
        <v>3.8511309438461589</v>
      </c>
      <c r="DB323">
        <v>39783082485.112267</v>
      </c>
      <c r="DC323">
        <v>7.7609659060835834E-2</v>
      </c>
      <c r="DD323">
        <v>1.9136973837781248</v>
      </c>
      <c r="DE323">
        <v>80059606758.475479</v>
      </c>
      <c r="DF323">
        <v>7.1891052603721625E-2</v>
      </c>
      <c r="DG323">
        <v>1.1613865086676767</v>
      </c>
      <c r="DH323">
        <v>131919786269.74048</v>
      </c>
      <c r="DI323">
        <v>6.5355502367019661E-2</v>
      </c>
      <c r="DJ323">
        <v>0.61390422199876848</v>
      </c>
      <c r="DK323">
        <v>249566389201.84415</v>
      </c>
      <c r="DL323">
        <v>5.7186064571142198E-2</v>
      </c>
      <c r="DM323">
        <v>12830000000.000002</v>
      </c>
      <c r="DN323">
        <v>8.1694377958774572E-2</v>
      </c>
      <c r="DO323">
        <v>153209860000</v>
      </c>
      <c r="DP323" t="e">
        <v>#VALUE!</v>
      </c>
      <c r="DQ323">
        <v>322</v>
      </c>
      <c r="DR323" t="e">
        <v>#VALUE!</v>
      </c>
      <c r="DS323">
        <v>6.5539348576664924</v>
      </c>
      <c r="DT323" t="e">
        <v>#VALUE!</v>
      </c>
      <c r="DU323">
        <v>0.13333333333333333</v>
      </c>
      <c r="DV323" t="e">
        <v>#VALUE!</v>
      </c>
      <c r="DW323">
        <v>-3.1533571428571427</v>
      </c>
      <c r="DX323">
        <v>0.31879532710280256</v>
      </c>
      <c r="DY323">
        <v>-3.0151509690921228</v>
      </c>
      <c r="DZ323">
        <v>0</v>
      </c>
      <c r="EA323">
        <v>-3.0151509690921228</v>
      </c>
      <c r="EB323">
        <v>3</v>
      </c>
      <c r="EC323">
        <v>1.9926482324415084E-2</v>
      </c>
      <c r="ED323">
        <v>0.20169458322335559</v>
      </c>
      <c r="EE323">
        <v>0</v>
      </c>
      <c r="EF323">
        <v>0</v>
      </c>
      <c r="EG323">
        <v>22.098795327102803</v>
      </c>
      <c r="EH323" t="s">
        <v>110</v>
      </c>
      <c r="EI323">
        <v>0</v>
      </c>
      <c r="EJ323">
        <v>0</v>
      </c>
      <c r="EK323">
        <v>0</v>
      </c>
      <c r="EL323">
        <v>0</v>
      </c>
      <c r="EM323">
        <v>0</v>
      </c>
      <c r="EN323">
        <v>0</v>
      </c>
      <c r="EO323">
        <v>0</v>
      </c>
      <c r="EP323">
        <v>0</v>
      </c>
    </row>
    <row r="324" spans="1:146" ht="84" x14ac:dyDescent="0.25">
      <c r="A324" s="7"/>
      <c r="B324" s="7"/>
      <c r="C324" s="7" t="str">
        <f>""&amp;CHAR(10)&amp;Basic_Fundamental_Information_Constructure(F324)&amp;CHAR(10)&amp;Basic_Fundamental_Information_Concatenate("")</f>
        <v xml:space="preserve">
市值568.51796亿, 利润154.40亿; PE3.69; 平均PE20.95; 平均PEG4.03, PB.274; ROIC0%; ROE7.33%; 股利率0%; 毛利0%; 净利24.3367%; 上一年度营收增.39%, 利润增6.95%; 当季营收增-4.35%, 利润增-.8%; 过往5年营收增5.2%, 利润增47.53%
Income profile:
</v>
      </c>
      <c r="D324" s="11">
        <v>2016</v>
      </c>
      <c r="E324" t="s">
        <v>4489</v>
      </c>
      <c r="F324">
        <v>2.0699999999999998</v>
      </c>
      <c r="G324" s="5">
        <v>-4.7999999999999996E-3</v>
      </c>
      <c r="H324" t="s">
        <v>10515</v>
      </c>
      <c r="I324">
        <v>56851796000</v>
      </c>
      <c r="J324">
        <v>3.69</v>
      </c>
      <c r="K324">
        <v>0.27400000000000002</v>
      </c>
      <c r="L324" t="s">
        <v>6350</v>
      </c>
      <c r="M324" t="s">
        <v>10516</v>
      </c>
      <c r="N324" t="s">
        <v>10517</v>
      </c>
      <c r="O324" t="s">
        <v>10518</v>
      </c>
      <c r="P324" t="s">
        <v>9</v>
      </c>
      <c r="Q324" t="s">
        <v>10519</v>
      </c>
      <c r="R324">
        <v>15439977000</v>
      </c>
      <c r="S324" s="5">
        <v>-7.9799999999999992E-3</v>
      </c>
      <c r="T324" t="s">
        <v>5743</v>
      </c>
      <c r="U324">
        <v>5920200000</v>
      </c>
      <c r="V324">
        <v>27464636000</v>
      </c>
      <c r="W324">
        <v>16.43</v>
      </c>
      <c r="X324">
        <v>0.01</v>
      </c>
      <c r="Y324">
        <v>34.1</v>
      </c>
      <c r="Z324" t="s">
        <v>9</v>
      </c>
      <c r="AA324" t="s">
        <v>9</v>
      </c>
      <c r="AB324" t="s">
        <v>9</v>
      </c>
      <c r="AC324" t="s">
        <v>9</v>
      </c>
      <c r="AD324" t="s">
        <v>9</v>
      </c>
      <c r="AE324" t="s">
        <v>9</v>
      </c>
      <c r="AF324" t="s">
        <v>9</v>
      </c>
      <c r="AG324" t="s">
        <v>3530</v>
      </c>
      <c r="AH324" t="s">
        <v>10520</v>
      </c>
      <c r="AI324" t="s">
        <v>9</v>
      </c>
      <c r="AJ324" t="s">
        <v>9</v>
      </c>
      <c r="AK324" t="s">
        <v>10521</v>
      </c>
      <c r="AL324" t="s">
        <v>9</v>
      </c>
      <c r="AM324" t="s">
        <v>10522</v>
      </c>
      <c r="AN324" s="5">
        <v>0.93799999999999994</v>
      </c>
      <c r="AO324" t="s">
        <v>9</v>
      </c>
      <c r="AP324" t="s">
        <v>9</v>
      </c>
      <c r="AQ324" t="s">
        <v>9</v>
      </c>
      <c r="AR324" t="s">
        <v>9</v>
      </c>
      <c r="AS324" t="s">
        <v>9</v>
      </c>
      <c r="AT324" t="s">
        <v>9</v>
      </c>
      <c r="AU324" t="s">
        <v>10523</v>
      </c>
      <c r="AV324" t="s">
        <v>10524</v>
      </c>
      <c r="AW324" t="s">
        <v>10525</v>
      </c>
      <c r="AX324" t="s">
        <v>4490</v>
      </c>
      <c r="AY324" t="s">
        <v>10526</v>
      </c>
      <c r="AZ324" t="s">
        <v>10527</v>
      </c>
      <c r="BA324" t="s">
        <v>10528</v>
      </c>
      <c r="BB324" t="s">
        <v>10529</v>
      </c>
      <c r="BC324" t="s">
        <v>10530</v>
      </c>
      <c r="BD324" t="s">
        <v>10531</v>
      </c>
      <c r="BE324" t="s">
        <v>10532</v>
      </c>
      <c r="BF324" t="s">
        <v>10533</v>
      </c>
      <c r="BG324" t="s">
        <v>10534</v>
      </c>
      <c r="BH324" t="s">
        <v>4490</v>
      </c>
      <c r="BI324" t="s">
        <v>10535</v>
      </c>
      <c r="BJ324" t="s">
        <v>10526</v>
      </c>
      <c r="BK324" t="s">
        <v>10536</v>
      </c>
      <c r="BL324" t="s">
        <v>10537</v>
      </c>
      <c r="BM324" t="s">
        <v>10530</v>
      </c>
      <c r="BN324" t="s">
        <v>9</v>
      </c>
      <c r="BO324" t="s">
        <v>9</v>
      </c>
      <c r="BP324" t="s">
        <v>9</v>
      </c>
      <c r="BQ324">
        <v>7.56</v>
      </c>
      <c r="BR324">
        <v>7.25</v>
      </c>
      <c r="BS324">
        <v>7.18</v>
      </c>
      <c r="BT324" t="s">
        <v>10538</v>
      </c>
      <c r="BU324" t="s">
        <v>422</v>
      </c>
      <c r="BV324" t="s">
        <v>9</v>
      </c>
      <c r="BW324" t="s">
        <v>9</v>
      </c>
      <c r="BX324" t="s">
        <v>9</v>
      </c>
      <c r="BY324">
        <v>25.36</v>
      </c>
      <c r="BZ324">
        <v>23.65</v>
      </c>
      <c r="CA324">
        <v>24</v>
      </c>
      <c r="CB324">
        <v>-0.48</v>
      </c>
      <c r="CC324">
        <v>-2.36</v>
      </c>
      <c r="CD324" t="s">
        <v>10539</v>
      </c>
      <c r="CE324" t="s">
        <v>1043</v>
      </c>
      <c r="CF324" s="8">
        <v>-4.3492407809110629E-2</v>
      </c>
      <c r="CG324" s="9">
        <v>-7.9799999999999992E-3</v>
      </c>
      <c r="CH324" s="8">
        <v>3.8668890483677387E-3</v>
      </c>
      <c r="CI324" s="8">
        <v>1.2566052377223969E-2</v>
      </c>
      <c r="CJ324" s="8">
        <v>0.19612254202365875</v>
      </c>
      <c r="CK324" s="8">
        <v>0.25949972867965698</v>
      </c>
      <c r="CL324" s="8">
        <v>9.3614093959331512E-2</v>
      </c>
      <c r="CM324" s="9">
        <v>6.9474250078201294E-2</v>
      </c>
      <c r="CN324" s="9">
        <v>6.4675487577915192E-2</v>
      </c>
      <c r="CO324" s="9">
        <v>-6.1136834323406219E-2</v>
      </c>
      <c r="CP324" s="9">
        <v>0.10395169258117676</v>
      </c>
      <c r="CQ324" s="9">
        <v>-3.4277637023478746E-3</v>
      </c>
      <c r="CR324">
        <v>20.946317224439671</v>
      </c>
      <c r="CS324">
        <v>4.0300529499712203</v>
      </c>
      <c r="CT324">
        <v>0</v>
      </c>
      <c r="CU324" s="8">
        <v>5.1975290360860529E-2</v>
      </c>
      <c r="CV324" s="9">
        <v>0.47529809474945067</v>
      </c>
      <c r="CW324">
        <v>0.06</v>
      </c>
      <c r="CX324">
        <v>198.68782792891014</v>
      </c>
      <c r="CY324">
        <v>15323111776.577063</v>
      </c>
      <c r="CZ324">
        <v>5.1975290360860529E-2</v>
      </c>
      <c r="DA324">
        <v>67.063163163787863</v>
      </c>
      <c r="DB324">
        <v>45397736288.764099</v>
      </c>
      <c r="DC324">
        <v>4.9376525842817501E-2</v>
      </c>
      <c r="DD324">
        <v>34.450340836875746</v>
      </c>
      <c r="DE324">
        <v>88374039909.095505</v>
      </c>
      <c r="DF324">
        <v>4.5738255517557266E-2</v>
      </c>
      <c r="DG324">
        <v>21.68666722003217</v>
      </c>
      <c r="DH324">
        <v>140386522516.82791</v>
      </c>
      <c r="DI324">
        <v>4.1580232288688429E-2</v>
      </c>
      <c r="DJ324">
        <v>12.386007598559925</v>
      </c>
      <c r="DK324">
        <v>245802836125.65961</v>
      </c>
      <c r="DL324">
        <v>3.6382703252602365E-2</v>
      </c>
      <c r="DM324">
        <v>15440000000</v>
      </c>
      <c r="DN324">
        <v>5.1975290360860529E-2</v>
      </c>
      <c r="DO324">
        <v>3044515796000</v>
      </c>
      <c r="DP324" t="e">
        <v>#VALUE!</v>
      </c>
      <c r="DQ324">
        <v>323</v>
      </c>
      <c r="DR324">
        <v>-9.5467698169971166E-2</v>
      </c>
      <c r="DS324">
        <v>-0.48327809474945066</v>
      </c>
      <c r="DT324">
        <v>-0.44</v>
      </c>
      <c r="DU324">
        <v>0.68333333333333324</v>
      </c>
      <c r="DV324">
        <v>0.24333333333333323</v>
      </c>
      <c r="DW324">
        <v>-2.3599999999999999E-2</v>
      </c>
      <c r="DX324">
        <v>0.34342043010752521</v>
      </c>
      <c r="DY324">
        <v>-1.7327221505376343E-3</v>
      </c>
      <c r="DZ324">
        <v>0</v>
      </c>
      <c r="EA324">
        <v>-1.7327221505376343E-3</v>
      </c>
      <c r="EB324">
        <v>0</v>
      </c>
      <c r="EC324">
        <v>9.9445701738045951E-4</v>
      </c>
      <c r="ED324">
        <v>1.3544690706987706E-2</v>
      </c>
      <c r="EE324">
        <v>0</v>
      </c>
      <c r="EF324">
        <v>0</v>
      </c>
      <c r="EG324">
        <v>27.073420430107525</v>
      </c>
      <c r="EH324" t="s">
        <v>110</v>
      </c>
      <c r="EI324">
        <v>0</v>
      </c>
      <c r="EJ324">
        <v>0</v>
      </c>
      <c r="EK324">
        <v>0</v>
      </c>
      <c r="EL324">
        <v>0</v>
      </c>
      <c r="EM324">
        <v>0</v>
      </c>
      <c r="EN324">
        <v>0</v>
      </c>
      <c r="EO324">
        <v>0</v>
      </c>
      <c r="EP324">
        <v>0</v>
      </c>
    </row>
    <row r="325" spans="1:146" ht="96" x14ac:dyDescent="0.25">
      <c r="A325" s="7"/>
      <c r="B325" s="7"/>
      <c r="C325" s="7" t="str">
        <f>""&amp;CHAR(10)&amp;Basic_Fundamental_Information_Constructure(F325)&amp;CHAR(10)&amp;Basic_Fundamental_Information_Concatenate("")</f>
        <v xml:space="preserve">
市值366.741亿, 利润8.12亿; PE45.19; 平均PE281.5; 平均PEG52.46, PB1.53; ROIC3.1%; ROE4.4033%; 股利率0%; 毛利19.97%; 净利4.3867%; 上一年度营收增-3.8%, 利润增-49.63%, 利润增-12.4%; 过往5年营收增-5.37%, 利润增-1741.46%
Income profile:
</v>
      </c>
      <c r="D325" s="11">
        <v>2018</v>
      </c>
      <c r="E325" t="s">
        <v>4491</v>
      </c>
      <c r="F325">
        <v>30.6</v>
      </c>
      <c r="G325" s="5">
        <v>-1.6000000000000001E-3</v>
      </c>
      <c r="H325" t="s">
        <v>10540</v>
      </c>
      <c r="I325">
        <v>36674100000</v>
      </c>
      <c r="J325">
        <v>45.19</v>
      </c>
      <c r="K325">
        <v>1.53</v>
      </c>
      <c r="L325" t="s">
        <v>6350</v>
      </c>
      <c r="M325" t="s">
        <v>9</v>
      </c>
      <c r="N325" t="s">
        <v>9</v>
      </c>
      <c r="O325" t="s">
        <v>9</v>
      </c>
      <c r="P325" t="s">
        <v>9</v>
      </c>
      <c r="Q325" t="s">
        <v>10541</v>
      </c>
      <c r="R325">
        <v>811593590</v>
      </c>
      <c r="S325" s="5">
        <v>-0.124</v>
      </c>
      <c r="T325" t="s">
        <v>4381</v>
      </c>
      <c r="U325">
        <v>1198500000</v>
      </c>
      <c r="V325">
        <v>1198500000</v>
      </c>
      <c r="W325" t="s">
        <v>9</v>
      </c>
      <c r="X325" t="s">
        <v>9</v>
      </c>
      <c r="Y325" t="s">
        <v>9</v>
      </c>
      <c r="Z325" t="s">
        <v>9</v>
      </c>
      <c r="AA325" t="s">
        <v>9</v>
      </c>
      <c r="AB325" t="s">
        <v>9</v>
      </c>
      <c r="AC325" t="s">
        <v>9</v>
      </c>
      <c r="AD325" t="s">
        <v>5811</v>
      </c>
      <c r="AE325" t="s">
        <v>9</v>
      </c>
      <c r="AF325" t="s">
        <v>9</v>
      </c>
      <c r="AG325" t="s">
        <v>9</v>
      </c>
      <c r="AH325" t="s">
        <v>10542</v>
      </c>
      <c r="AI325" t="s">
        <v>9</v>
      </c>
      <c r="AJ325" t="s">
        <v>9</v>
      </c>
      <c r="AK325" t="s">
        <v>10543</v>
      </c>
      <c r="AL325" t="s">
        <v>9</v>
      </c>
      <c r="AM325" t="s">
        <v>9</v>
      </c>
      <c r="AN325" s="5">
        <v>0.42509999999999998</v>
      </c>
      <c r="AO325" t="s">
        <v>9</v>
      </c>
      <c r="AP325" t="s">
        <v>9309</v>
      </c>
      <c r="AQ325" t="s">
        <v>9</v>
      </c>
      <c r="AR325" t="s">
        <v>10544</v>
      </c>
      <c r="AS325" t="s">
        <v>9</v>
      </c>
      <c r="AT325" t="s">
        <v>9</v>
      </c>
      <c r="AU325" t="s">
        <v>10545</v>
      </c>
      <c r="AV325" t="s">
        <v>10546</v>
      </c>
      <c r="AW325" t="s">
        <v>9</v>
      </c>
      <c r="AX325" t="s">
        <v>4492</v>
      </c>
      <c r="AY325" t="s">
        <v>4496</v>
      </c>
      <c r="AZ325" t="s">
        <v>4497</v>
      </c>
      <c r="BA325" t="s">
        <v>4498</v>
      </c>
      <c r="BB325" t="s">
        <v>4499</v>
      </c>
      <c r="BC325" t="s">
        <v>4500</v>
      </c>
      <c r="BD325" t="s">
        <v>4501</v>
      </c>
      <c r="BE325" t="s">
        <v>4502</v>
      </c>
      <c r="BF325" t="s">
        <v>4503</v>
      </c>
      <c r="BG325" t="s">
        <v>4504</v>
      </c>
      <c r="BH325" t="s">
        <v>4492</v>
      </c>
      <c r="BI325" t="s">
        <v>4505</v>
      </c>
      <c r="BJ325" t="s">
        <v>4496</v>
      </c>
      <c r="BK325" t="s">
        <v>4493</v>
      </c>
      <c r="BL325" t="s">
        <v>834</v>
      </c>
      <c r="BM325" t="s">
        <v>4500</v>
      </c>
      <c r="BN325">
        <v>2.39</v>
      </c>
      <c r="BO325">
        <v>2.61</v>
      </c>
      <c r="BP325">
        <v>4.3</v>
      </c>
      <c r="BQ325">
        <v>3.38</v>
      </c>
      <c r="BR325">
        <v>3.79</v>
      </c>
      <c r="BS325">
        <v>6.04</v>
      </c>
      <c r="BT325" t="s">
        <v>4506</v>
      </c>
      <c r="BU325" t="s">
        <v>589</v>
      </c>
      <c r="BV325">
        <v>16.899999999999999</v>
      </c>
      <c r="BW325">
        <v>18.3</v>
      </c>
      <c r="BX325">
        <v>24.71</v>
      </c>
      <c r="BY325">
        <v>2.79</v>
      </c>
      <c r="BZ325">
        <v>3.05</v>
      </c>
      <c r="CA325">
        <v>7.32</v>
      </c>
      <c r="CB325">
        <v>-4.97</v>
      </c>
      <c r="CC325">
        <v>14.82</v>
      </c>
      <c r="CD325" t="s">
        <v>10547</v>
      </c>
      <c r="CE325" t="s">
        <v>701</v>
      </c>
      <c r="CF325" s="8" t="s">
        <v>9</v>
      </c>
      <c r="CG325" s="9">
        <v>-0.124</v>
      </c>
      <c r="CH325" s="8">
        <v>-3.7993758916854858E-2</v>
      </c>
      <c r="CI325" s="8">
        <v>7.5532793998718262E-2</v>
      </c>
      <c r="CJ325" s="8">
        <v>5.8935761451721191E-2</v>
      </c>
      <c r="CK325" s="8">
        <v>-1.0414602234959602E-2</v>
      </c>
      <c r="CL325" s="8">
        <v>-0.18464395403862</v>
      </c>
      <c r="CM325" s="9">
        <v>-0.49627792835235596</v>
      </c>
      <c r="CN325" s="9">
        <v>-0.10244988650083542</v>
      </c>
      <c r="CO325" s="9">
        <v>-0.27697262167930603</v>
      </c>
      <c r="CP325" s="9">
        <v>-0.42526605725288391</v>
      </c>
      <c r="CQ325" s="9">
        <v>-0.32299500703811646</v>
      </c>
      <c r="CR325">
        <v>281.50060069007407</v>
      </c>
      <c r="CS325">
        <v>52.46474259404426</v>
      </c>
      <c r="CT325">
        <v>0</v>
      </c>
      <c r="CU325" s="8">
        <v>-5.3655195236206057E-2</v>
      </c>
      <c r="CV325" s="9">
        <v>-17.414560824632645</v>
      </c>
      <c r="CW325">
        <v>0.06</v>
      </c>
      <c r="CX325">
        <v>45.165147783251228</v>
      </c>
      <c r="CY325" t="s">
        <v>10548</v>
      </c>
      <c r="CZ325">
        <v>-5.3655195236206057E-2</v>
      </c>
      <c r="DA325">
        <v>15.055049261083743</v>
      </c>
      <c r="DB325" t="s">
        <v>10549</v>
      </c>
      <c r="DC325">
        <v>-5.0972435474395755E-2</v>
      </c>
      <c r="DD325">
        <v>7.5275246305418717</v>
      </c>
      <c r="DE325" t="s">
        <v>10550</v>
      </c>
      <c r="DF325">
        <v>-4.7216571807861332E-2</v>
      </c>
      <c r="DG325">
        <v>4.5165147783251234</v>
      </c>
      <c r="DH325" t="s">
        <v>10551</v>
      </c>
      <c r="DI325">
        <v>-4.2924156188964849E-2</v>
      </c>
      <c r="DJ325">
        <v>2.2582573891625617</v>
      </c>
      <c r="DK325" t="s">
        <v>10552</v>
      </c>
      <c r="DL325">
        <v>-3.7558636665344237E-2</v>
      </c>
      <c r="DM325">
        <v>811999999.99999988</v>
      </c>
      <c r="DN325">
        <v>-5.3655195236206057E-2</v>
      </c>
      <c r="DO325">
        <v>36674100000</v>
      </c>
      <c r="DP325" t="e">
        <v>#VALUE!</v>
      </c>
      <c r="DQ325">
        <v>324</v>
      </c>
      <c r="DR325" t="e">
        <v>#VALUE!</v>
      </c>
      <c r="DS325">
        <v>17.290560824632646</v>
      </c>
      <c r="DT325" t="e">
        <v>#VALUE!</v>
      </c>
      <c r="DU325">
        <v>-6.6666666666666693E-2</v>
      </c>
      <c r="DV325" t="e">
        <v>#VALUE!</v>
      </c>
      <c r="DW325">
        <v>-6.2511369378473978</v>
      </c>
      <c r="DX325">
        <v>0.45438122448979512</v>
      </c>
      <c r="DY325">
        <v>-6.0538390442503429</v>
      </c>
      <c r="DZ325">
        <v>0</v>
      </c>
      <c r="EA325">
        <v>-6.0538390442503429</v>
      </c>
      <c r="EB325">
        <v>6</v>
      </c>
      <c r="EC325">
        <v>4.3824280350438047E-2</v>
      </c>
      <c r="ED325">
        <v>0.20442219440967879</v>
      </c>
      <c r="EE325">
        <v>0</v>
      </c>
      <c r="EF325">
        <v>0</v>
      </c>
      <c r="EG325">
        <v>24.214381224489795</v>
      </c>
      <c r="EH325" t="s">
        <v>110</v>
      </c>
      <c r="EI325">
        <v>0</v>
      </c>
      <c r="EJ325">
        <v>0</v>
      </c>
      <c r="EK325">
        <v>0</v>
      </c>
      <c r="EL325">
        <v>0</v>
      </c>
      <c r="EM325">
        <v>0</v>
      </c>
      <c r="EN325">
        <v>0</v>
      </c>
      <c r="EO325">
        <v>0</v>
      </c>
      <c r="EP325">
        <v>0</v>
      </c>
    </row>
    <row r="326" spans="1:146" ht="96" x14ac:dyDescent="0.25">
      <c r="A326" s="7"/>
      <c r="B326" s="7"/>
      <c r="C326" s="7" t="str">
        <f>""&amp;CHAR(10)&amp;Basic_Fundamental_Information_Constructure(F326)&amp;CHAR(10)&amp;Basic_Fundamental_Information_Concatenate("")</f>
        <v xml:space="preserve">
市值2158.4591亿, 利润112.21亿; PE19.24; 平均PE113.97; 平均PEG9.5, PB3.83; ROIC18.0767%; ROE22.88%; 股利率0%; 毛利61.49%; 净利16.7033%; 上一年度营收增12.94%, 利润增18.7%, 利润增31.05%; 过往5年营收增11.99%, 利润增126.35%
Income profile:
</v>
      </c>
      <c r="D326" s="11">
        <v>2020</v>
      </c>
      <c r="E326" t="s">
        <v>4508</v>
      </c>
      <c r="F326">
        <v>76.2</v>
      </c>
      <c r="G326" s="5">
        <v>-2.18E-2</v>
      </c>
      <c r="H326" t="s">
        <v>10553</v>
      </c>
      <c r="I326">
        <v>215845910000</v>
      </c>
      <c r="J326">
        <v>19.239999999999998</v>
      </c>
      <c r="K326">
        <v>3.83</v>
      </c>
      <c r="L326" t="s">
        <v>6350</v>
      </c>
      <c r="M326" t="s">
        <v>9</v>
      </c>
      <c r="N326" t="s">
        <v>9</v>
      </c>
      <c r="O326" t="s">
        <v>9</v>
      </c>
      <c r="P326" t="s">
        <v>9</v>
      </c>
      <c r="Q326" t="s">
        <v>10554</v>
      </c>
      <c r="R326">
        <v>11220703200</v>
      </c>
      <c r="S326" s="5">
        <v>0.3105</v>
      </c>
      <c r="T326" t="s">
        <v>10555</v>
      </c>
      <c r="U326">
        <v>2832623500</v>
      </c>
      <c r="V326">
        <v>2832623500</v>
      </c>
      <c r="W326" t="s">
        <v>9</v>
      </c>
      <c r="X326" t="s">
        <v>9</v>
      </c>
      <c r="Y326" t="s">
        <v>9</v>
      </c>
      <c r="Z326" t="s">
        <v>9</v>
      </c>
      <c r="AA326" t="s">
        <v>9</v>
      </c>
      <c r="AB326" t="s">
        <v>9</v>
      </c>
      <c r="AC326" t="s">
        <v>9</v>
      </c>
      <c r="AD326" t="s">
        <v>10556</v>
      </c>
      <c r="AE326" t="s">
        <v>9</v>
      </c>
      <c r="AF326" t="s">
        <v>9</v>
      </c>
      <c r="AG326" t="s">
        <v>9</v>
      </c>
      <c r="AH326" t="s">
        <v>10557</v>
      </c>
      <c r="AI326" t="s">
        <v>9</v>
      </c>
      <c r="AJ326" t="s">
        <v>9</v>
      </c>
      <c r="AK326" t="s">
        <v>10558</v>
      </c>
      <c r="AL326" t="s">
        <v>9</v>
      </c>
      <c r="AM326" t="s">
        <v>9</v>
      </c>
      <c r="AN326" s="5">
        <v>0.39269999999999999</v>
      </c>
      <c r="AO326" t="s">
        <v>9</v>
      </c>
      <c r="AP326" t="s">
        <v>72</v>
      </c>
      <c r="AQ326" t="s">
        <v>9</v>
      </c>
      <c r="AR326" t="s">
        <v>10559</v>
      </c>
      <c r="AS326" t="s">
        <v>9</v>
      </c>
      <c r="AT326" t="s">
        <v>9</v>
      </c>
      <c r="AU326" t="s">
        <v>10560</v>
      </c>
      <c r="AV326" t="s">
        <v>10561</v>
      </c>
      <c r="AW326" t="s">
        <v>9</v>
      </c>
      <c r="AX326" t="s">
        <v>4509</v>
      </c>
      <c r="AY326" t="s">
        <v>4511</v>
      </c>
      <c r="AZ326" t="s">
        <v>4512</v>
      </c>
      <c r="BA326" t="s">
        <v>4513</v>
      </c>
      <c r="BB326" t="s">
        <v>4514</v>
      </c>
      <c r="BC326" t="s">
        <v>3448</v>
      </c>
      <c r="BD326" t="s">
        <v>2295</v>
      </c>
      <c r="BE326" t="s">
        <v>2108</v>
      </c>
      <c r="BF326" t="s">
        <v>4515</v>
      </c>
      <c r="BG326" t="s">
        <v>4516</v>
      </c>
      <c r="BH326" t="s">
        <v>4509</v>
      </c>
      <c r="BI326" t="s">
        <v>9</v>
      </c>
      <c r="BJ326" t="s">
        <v>4511</v>
      </c>
      <c r="BK326" t="s">
        <v>4510</v>
      </c>
      <c r="BL326" t="s">
        <v>9</v>
      </c>
      <c r="BM326" t="s">
        <v>3448</v>
      </c>
      <c r="BN326">
        <v>18.04</v>
      </c>
      <c r="BO326">
        <v>17.02</v>
      </c>
      <c r="BP326">
        <v>19.170000000000002</v>
      </c>
      <c r="BQ326">
        <v>19.89</v>
      </c>
      <c r="BR326">
        <v>22.06</v>
      </c>
      <c r="BS326">
        <v>26.69</v>
      </c>
      <c r="BT326" t="s">
        <v>10562</v>
      </c>
      <c r="BU326" t="s">
        <v>1004</v>
      </c>
      <c r="BV326">
        <v>62.59</v>
      </c>
      <c r="BW326">
        <v>60.24</v>
      </c>
      <c r="BX326">
        <v>61.64</v>
      </c>
      <c r="BY326">
        <v>18.079999999999998</v>
      </c>
      <c r="BZ326">
        <v>15.37</v>
      </c>
      <c r="CA326">
        <v>16.66</v>
      </c>
      <c r="CB326">
        <v>-4.45</v>
      </c>
      <c r="CC326">
        <v>-15.1</v>
      </c>
      <c r="CD326" t="s">
        <v>10563</v>
      </c>
      <c r="CE326" t="s">
        <v>2923</v>
      </c>
      <c r="CF326" s="8" t="s">
        <v>9</v>
      </c>
      <c r="CG326" s="9">
        <v>0.3105</v>
      </c>
      <c r="CH326" s="8">
        <v>0.12938667833805084</v>
      </c>
      <c r="CI326" s="8">
        <v>2.0197900012135506E-3</v>
      </c>
      <c r="CJ326" s="8">
        <v>0.42703241109848022</v>
      </c>
      <c r="CK326" s="8">
        <v>0.54252916574478149</v>
      </c>
      <c r="CL326" s="8">
        <v>0.37110868096351624</v>
      </c>
      <c r="CM326" s="9">
        <v>0.18703062832355499</v>
      </c>
      <c r="CN326" s="9">
        <v>0.53632372617721558</v>
      </c>
      <c r="CO326" s="9">
        <v>3.0308138579130173E-2</v>
      </c>
      <c r="CP326" s="9">
        <v>0.27825337648391724</v>
      </c>
      <c r="CQ326" s="9">
        <v>0.26202049851417542</v>
      </c>
      <c r="CR326">
        <v>113.97090663897731</v>
      </c>
      <c r="CS326">
        <v>9.5019037996218021</v>
      </c>
      <c r="CT326">
        <v>0</v>
      </c>
      <c r="CU326" s="8">
        <v>0.11994533836841584</v>
      </c>
      <c r="CV326" s="9">
        <v>1.2634669452905656</v>
      </c>
      <c r="CW326">
        <v>0.06</v>
      </c>
      <c r="CX326">
        <v>18.206283465048976</v>
      </c>
      <c r="CY326">
        <v>11855572303.615089</v>
      </c>
      <c r="CZ326">
        <v>0.11994533836841584</v>
      </c>
      <c r="DA326">
        <v>5.8011777952712729</v>
      </c>
      <c r="DB326">
        <v>37207256460.221397</v>
      </c>
      <c r="DC326">
        <v>0.11394807144999504</v>
      </c>
      <c r="DD326">
        <v>2.7598401207938466</v>
      </c>
      <c r="DE326">
        <v>78209570320.295807</v>
      </c>
      <c r="DF326">
        <v>0.10555189776420594</v>
      </c>
      <c r="DG326">
        <v>1.5938231583334772</v>
      </c>
      <c r="DH326">
        <v>135426511323.68498</v>
      </c>
      <c r="DI326">
        <v>9.595627069473267E-2</v>
      </c>
      <c r="DJ326">
        <v>0.75430248817856516</v>
      </c>
      <c r="DK326">
        <v>286152986875.60876</v>
      </c>
      <c r="DL326">
        <v>8.3961736857891087E-2</v>
      </c>
      <c r="DM326">
        <v>11221000000</v>
      </c>
      <c r="DN326">
        <v>0.11994533836841584</v>
      </c>
      <c r="DO326">
        <v>215845910000</v>
      </c>
      <c r="DP326" t="e">
        <v>#VALUE!</v>
      </c>
      <c r="DQ326">
        <v>325</v>
      </c>
      <c r="DR326" t="e">
        <v>#VALUE!</v>
      </c>
      <c r="DS326">
        <v>-0.95296694529056558</v>
      </c>
      <c r="DT326" t="e">
        <v>#VALUE!</v>
      </c>
      <c r="DU326" t="e">
        <v>#VALUE!</v>
      </c>
      <c r="DV326" t="e">
        <v>#VALUE!</v>
      </c>
      <c r="DW326">
        <v>-8.2947019867549674</v>
      </c>
      <c r="DX326">
        <v>0.40634628571428522</v>
      </c>
      <c r="DY326">
        <v>-8.0460755610217589</v>
      </c>
      <c r="DZ326">
        <v>0</v>
      </c>
      <c r="EA326">
        <v>-8.0460755610217589</v>
      </c>
      <c r="EB326">
        <v>8</v>
      </c>
      <c r="EC326">
        <v>9.6591022421440766E-3</v>
      </c>
      <c r="ED326">
        <v>6.1780183635417839E-2</v>
      </c>
      <c r="EE326">
        <v>0</v>
      </c>
      <c r="EF326">
        <v>0</v>
      </c>
      <c r="EG326">
        <v>25.156346285714285</v>
      </c>
      <c r="EH326" t="s">
        <v>110</v>
      </c>
      <c r="EI326">
        <v>0</v>
      </c>
      <c r="EJ326">
        <v>0</v>
      </c>
      <c r="EK326">
        <v>0</v>
      </c>
      <c r="EL326">
        <v>0</v>
      </c>
      <c r="EM326">
        <v>0</v>
      </c>
      <c r="EN326">
        <v>0</v>
      </c>
      <c r="EO326">
        <v>0</v>
      </c>
      <c r="EP326">
        <v>0</v>
      </c>
    </row>
    <row r="327" spans="1:146" ht="96" x14ac:dyDescent="0.25">
      <c r="A327" s="7"/>
      <c r="B327" s="7"/>
      <c r="C327" s="7" t="str">
        <f>""&amp;CHAR(10)&amp;Basic_Fundamental_Information_Constructure(F327)&amp;CHAR(10)&amp;Basic_Fundamental_Information_Concatenate("")</f>
        <v xml:space="preserve">
市值68.59515亿, 利润-9.43亿; PE; 平均PE-48.71; 平均PEG-5.78, PB.572; ROIC-1.9567%; ROE-3.06%; 股利率0%; 毛利2.1167%; 净利-.66%; 上一年度营收增-31.36%, 利润增-314.81%, 利润增61.13%; 过往5年营收增8.43%, 利润增17.5%
Income profile:
</v>
      </c>
      <c r="D327" s="11">
        <v>2038</v>
      </c>
      <c r="E327" t="s">
        <v>4517</v>
      </c>
      <c r="F327">
        <v>0.87</v>
      </c>
      <c r="G327" s="5">
        <v>1.1599999999999999E-2</v>
      </c>
      <c r="H327" t="s">
        <v>10564</v>
      </c>
      <c r="I327">
        <v>6859515000</v>
      </c>
      <c r="K327">
        <v>0.57199999999999995</v>
      </c>
      <c r="L327" t="s">
        <v>6350</v>
      </c>
      <c r="M327" t="s">
        <v>10565</v>
      </c>
      <c r="N327" t="s">
        <v>10566</v>
      </c>
      <c r="O327" t="s">
        <v>5128</v>
      </c>
      <c r="P327">
        <v>-21.71</v>
      </c>
      <c r="Q327" t="s">
        <v>10567</v>
      </c>
      <c r="R327">
        <v>-942631480</v>
      </c>
      <c r="S327" s="5">
        <v>0.61129999999999995</v>
      </c>
      <c r="T327" t="s">
        <v>10568</v>
      </c>
      <c r="U327">
        <v>7884500000</v>
      </c>
      <c r="V327">
        <v>7884500000</v>
      </c>
      <c r="W327" t="s">
        <v>9</v>
      </c>
      <c r="X327">
        <v>0.24</v>
      </c>
      <c r="Y327" t="s">
        <v>9</v>
      </c>
      <c r="Z327" t="s">
        <v>9</v>
      </c>
      <c r="AA327" t="s">
        <v>9</v>
      </c>
      <c r="AB327" t="s">
        <v>9</v>
      </c>
      <c r="AC327" t="s">
        <v>9</v>
      </c>
      <c r="AD327" t="s">
        <v>75</v>
      </c>
      <c r="AE327" t="s">
        <v>9</v>
      </c>
      <c r="AF327" t="s">
        <v>9</v>
      </c>
      <c r="AG327" t="s">
        <v>9</v>
      </c>
      <c r="AH327" t="s">
        <v>10569</v>
      </c>
      <c r="AI327" t="s">
        <v>9</v>
      </c>
      <c r="AJ327" t="s">
        <v>9</v>
      </c>
      <c r="AK327" t="s">
        <v>10570</v>
      </c>
      <c r="AL327" t="s">
        <v>9</v>
      </c>
      <c r="AM327" t="s">
        <v>9</v>
      </c>
      <c r="AN327" s="5">
        <v>0.63849999999999996</v>
      </c>
      <c r="AO327" t="s">
        <v>9</v>
      </c>
      <c r="AP327" t="s">
        <v>9</v>
      </c>
      <c r="AQ327" t="s">
        <v>9</v>
      </c>
      <c r="AR327" t="s">
        <v>10571</v>
      </c>
      <c r="AS327" t="s">
        <v>10572</v>
      </c>
      <c r="AT327" t="s">
        <v>9</v>
      </c>
      <c r="AU327" t="s">
        <v>48</v>
      </c>
      <c r="AV327" t="s">
        <v>10573</v>
      </c>
      <c r="AW327" t="s">
        <v>9</v>
      </c>
      <c r="AX327" t="s">
        <v>4518</v>
      </c>
      <c r="AY327" t="s">
        <v>4519</v>
      </c>
      <c r="AZ327" t="s">
        <v>4520</v>
      </c>
      <c r="BA327" t="s">
        <v>4521</v>
      </c>
      <c r="BB327" t="s">
        <v>4522</v>
      </c>
      <c r="BC327" t="s">
        <v>1740</v>
      </c>
      <c r="BD327" t="s">
        <v>4523</v>
      </c>
      <c r="BE327" t="s">
        <v>4524</v>
      </c>
      <c r="BF327" t="s">
        <v>4525</v>
      </c>
      <c r="BG327" t="s">
        <v>4526</v>
      </c>
      <c r="BH327" t="s">
        <v>4518</v>
      </c>
      <c r="BI327" t="s">
        <v>9</v>
      </c>
      <c r="BJ327" t="s">
        <v>4519</v>
      </c>
      <c r="BK327" t="s">
        <v>3803</v>
      </c>
      <c r="BL327" t="s">
        <v>220</v>
      </c>
      <c r="BM327" t="s">
        <v>1740</v>
      </c>
      <c r="BN327">
        <v>-5.1100000000000003</v>
      </c>
      <c r="BO327">
        <v>-2.63</v>
      </c>
      <c r="BP327">
        <v>1.87</v>
      </c>
      <c r="BQ327">
        <v>-7.74</v>
      </c>
      <c r="BR327">
        <v>-4.05</v>
      </c>
      <c r="BS327">
        <v>2.61</v>
      </c>
      <c r="BT327" t="s">
        <v>4527</v>
      </c>
      <c r="BU327" t="s">
        <v>1093</v>
      </c>
      <c r="BV327">
        <v>1.7</v>
      </c>
      <c r="BW327">
        <v>2.04</v>
      </c>
      <c r="BX327">
        <v>2.61</v>
      </c>
      <c r="BY327">
        <v>-1.87</v>
      </c>
      <c r="BZ327">
        <v>-0.77</v>
      </c>
      <c r="CA327">
        <v>0.66</v>
      </c>
      <c r="CB327">
        <v>-11.22</v>
      </c>
      <c r="CC327">
        <v>8.75</v>
      </c>
      <c r="CD327" t="s">
        <v>10574</v>
      </c>
      <c r="CE327" t="s">
        <v>951</v>
      </c>
      <c r="CF327" s="8" t="s">
        <v>9</v>
      </c>
      <c r="CG327" s="9">
        <v>0.61129999999999995</v>
      </c>
      <c r="CH327" s="8">
        <v>-0.31360170245170593</v>
      </c>
      <c r="CI327" s="8">
        <v>9.5985092222690582E-2</v>
      </c>
      <c r="CJ327" s="8">
        <v>-3.3838134258985519E-2</v>
      </c>
      <c r="CK327" s="8">
        <v>-0.40528172254562378</v>
      </c>
      <c r="CL327" s="8">
        <v>0.23394498229026794</v>
      </c>
      <c r="CM327" s="9">
        <v>-3.1480638980865479</v>
      </c>
      <c r="CN327" s="9">
        <v>1.3254263401031494</v>
      </c>
      <c r="CO327" s="9">
        <v>-13.092363357543945</v>
      </c>
      <c r="CP327" s="9">
        <v>0.98574453592300415</v>
      </c>
      <c r="CQ327" s="9">
        <v>-0.63541162014007568</v>
      </c>
      <c r="CR327">
        <v>-48.706811364684782</v>
      </c>
      <c r="CS327">
        <v>-5.7781870832640339</v>
      </c>
      <c r="CT327">
        <v>0</v>
      </c>
      <c r="CU327" s="8">
        <v>8.4294278919696805E-2</v>
      </c>
      <c r="CV327" s="9">
        <v>0.17504223063588142</v>
      </c>
      <c r="CW327">
        <v>0.06</v>
      </c>
      <c r="CX327" t="e">
        <v>#VALUE!</v>
      </c>
      <c r="CY327" t="s">
        <v>109</v>
      </c>
      <c r="CZ327">
        <v>8.4294278919696805E-2</v>
      </c>
      <c r="DA327" t="e">
        <v>#VALUE!</v>
      </c>
      <c r="DB327" t="s">
        <v>108</v>
      </c>
      <c r="DC327">
        <v>8.0079564973711964E-2</v>
      </c>
      <c r="DD327" t="e">
        <v>#VALUE!</v>
      </c>
      <c r="DE327" t="s">
        <v>108</v>
      </c>
      <c r="DF327">
        <v>7.4178965449333195E-2</v>
      </c>
      <c r="DG327" t="e">
        <v>#VALUE!</v>
      </c>
      <c r="DH327" t="s">
        <v>108</v>
      </c>
      <c r="DI327">
        <v>6.7435423135757441E-2</v>
      </c>
      <c r="DJ327" t="e">
        <v>#VALUE!</v>
      </c>
      <c r="DK327" t="s">
        <v>108</v>
      </c>
      <c r="DL327">
        <v>5.9005995243787759E-2</v>
      </c>
      <c r="DM327">
        <v>-943000000</v>
      </c>
      <c r="DN327">
        <v>8.4294278919696805E-2</v>
      </c>
      <c r="DO327">
        <v>14584515000</v>
      </c>
      <c r="DP327" t="e">
        <v>#VALUE!</v>
      </c>
      <c r="DQ327">
        <v>326</v>
      </c>
      <c r="DR327" t="e">
        <v>#VALUE!</v>
      </c>
      <c r="DS327">
        <v>0.43625776936411853</v>
      </c>
      <c r="DT327" t="e">
        <v>#VALUE!</v>
      </c>
      <c r="DU327">
        <v>-1.115</v>
      </c>
      <c r="DV327" t="e">
        <v>#VALUE!</v>
      </c>
      <c r="DW327">
        <v>-5.7798573975044567</v>
      </c>
      <c r="DX327">
        <v>0.24646518987341792</v>
      </c>
      <c r="DY327">
        <v>-5.0986248138495904</v>
      </c>
      <c r="DZ327">
        <v>0</v>
      </c>
      <c r="EA327">
        <v>-5.0986248138495904</v>
      </c>
      <c r="EB327">
        <v>5</v>
      </c>
      <c r="EC327">
        <v>7.6028283340731813E-3</v>
      </c>
      <c r="ED327">
        <v>6.0117952945652864E-2</v>
      </c>
      <c r="EE327">
        <v>0</v>
      </c>
      <c r="EF327">
        <v>0</v>
      </c>
      <c r="EG327">
        <v>12.126465189873418</v>
      </c>
      <c r="EH327" t="s">
        <v>110</v>
      </c>
      <c r="EI327">
        <v>0</v>
      </c>
      <c r="EJ327">
        <v>0</v>
      </c>
      <c r="EK327">
        <v>0</v>
      </c>
      <c r="EL327">
        <v>0</v>
      </c>
      <c r="EM327">
        <v>0</v>
      </c>
      <c r="EN327">
        <v>0</v>
      </c>
      <c r="EO327">
        <v>0</v>
      </c>
      <c r="EP327">
        <v>0</v>
      </c>
    </row>
    <row r="328" spans="1:146" ht="108" x14ac:dyDescent="0.25">
      <c r="A328" s="7"/>
      <c r="B328" s="7"/>
      <c r="C328" s="7" t="str">
        <f>""&amp;CHAR(10)&amp;Basic_Fundamental_Information_Constructure(F328)&amp;CHAR(10)&amp;Basic_Fundamental_Information_Concatenate("")</f>
        <v xml:space="preserve">
市值368.30914亿, 利润3.91亿; PE123.4; 平均PE2.18; 平均PEG.14, PB.688; ROIC4.4%; ROE7.2133%; 股利率0%; 毛利15.3533%; 净利3.2833%; 上一年度营收增-12.28%, 利润增-95.08%; 当季营收增-20.13%, 利润增-50.73%; 过往5年营收增15.88%, 利润增17.84%
Income profile:
</v>
      </c>
      <c r="D328" s="11">
        <v>2039</v>
      </c>
      <c r="E328" t="s">
        <v>4528</v>
      </c>
      <c r="F328">
        <v>6.83</v>
      </c>
      <c r="G328" s="5">
        <v>-4.2099999999999999E-2</v>
      </c>
      <c r="H328" t="s">
        <v>10575</v>
      </c>
      <c r="I328">
        <v>36830914000</v>
      </c>
      <c r="J328">
        <v>123.4</v>
      </c>
      <c r="K328">
        <v>0.68799999999999994</v>
      </c>
      <c r="L328" t="s">
        <v>6350</v>
      </c>
      <c r="M328" t="s">
        <v>10576</v>
      </c>
      <c r="N328" t="s">
        <v>10577</v>
      </c>
      <c r="O328" t="s">
        <v>10578</v>
      </c>
      <c r="P328">
        <v>21.74</v>
      </c>
      <c r="Q328" t="s">
        <v>10579</v>
      </c>
      <c r="R328">
        <v>391397110</v>
      </c>
      <c r="S328" s="5">
        <v>-0.50729999999999997</v>
      </c>
      <c r="T328" t="s">
        <v>2920</v>
      </c>
      <c r="U328">
        <v>3089837900</v>
      </c>
      <c r="V328">
        <v>5392520400</v>
      </c>
      <c r="W328">
        <v>3.47</v>
      </c>
      <c r="X328">
        <v>0.19</v>
      </c>
      <c r="Y328">
        <v>1.26</v>
      </c>
      <c r="Z328" t="s">
        <v>4414</v>
      </c>
      <c r="AA328" t="s">
        <v>10580</v>
      </c>
      <c r="AB328" t="s">
        <v>10581</v>
      </c>
      <c r="AC328" t="s">
        <v>1599</v>
      </c>
      <c r="AD328" t="s">
        <v>10582</v>
      </c>
      <c r="AE328" t="s">
        <v>2720</v>
      </c>
      <c r="AF328" t="s">
        <v>9</v>
      </c>
      <c r="AG328" t="s">
        <v>10583</v>
      </c>
      <c r="AH328" t="s">
        <v>10584</v>
      </c>
      <c r="AI328" t="s">
        <v>10585</v>
      </c>
      <c r="AJ328" t="s">
        <v>10586</v>
      </c>
      <c r="AK328" t="s">
        <v>10587</v>
      </c>
      <c r="AL328" t="s">
        <v>9</v>
      </c>
      <c r="AM328" t="s">
        <v>10588</v>
      </c>
      <c r="AN328" s="5">
        <v>0.61339999999999995</v>
      </c>
      <c r="AO328" t="s">
        <v>10589</v>
      </c>
      <c r="AP328" t="s">
        <v>10590</v>
      </c>
      <c r="AQ328" t="s">
        <v>10591</v>
      </c>
      <c r="AR328" t="s">
        <v>10592</v>
      </c>
      <c r="AS328" t="s">
        <v>10593</v>
      </c>
      <c r="AT328" t="s">
        <v>10594</v>
      </c>
      <c r="AU328" t="s">
        <v>5153</v>
      </c>
      <c r="AV328" t="s">
        <v>10595</v>
      </c>
      <c r="AW328" t="s">
        <v>10596</v>
      </c>
      <c r="AX328" t="s">
        <v>4530</v>
      </c>
      <c r="AY328" t="s">
        <v>4533</v>
      </c>
      <c r="AZ328" t="s">
        <v>4534</v>
      </c>
      <c r="BA328" t="s">
        <v>4535</v>
      </c>
      <c r="BB328" t="s">
        <v>4536</v>
      </c>
      <c r="BC328" t="s">
        <v>4537</v>
      </c>
      <c r="BD328" t="s">
        <v>10597</v>
      </c>
      <c r="BE328" t="s">
        <v>3617</v>
      </c>
      <c r="BF328" t="s">
        <v>4539</v>
      </c>
      <c r="BG328" t="s">
        <v>4540</v>
      </c>
      <c r="BH328" t="s">
        <v>4530</v>
      </c>
      <c r="BI328" t="s">
        <v>4541</v>
      </c>
      <c r="BJ328" t="s">
        <v>4533</v>
      </c>
      <c r="BK328" t="s">
        <v>4271</v>
      </c>
      <c r="BL328" t="s">
        <v>4542</v>
      </c>
      <c r="BM328" t="s">
        <v>4537</v>
      </c>
      <c r="BN328">
        <v>0.48</v>
      </c>
      <c r="BO328">
        <v>4.29</v>
      </c>
      <c r="BP328">
        <v>8.43</v>
      </c>
      <c r="BQ328">
        <v>0.75</v>
      </c>
      <c r="BR328">
        <v>6.51</v>
      </c>
      <c r="BS328">
        <v>14.38</v>
      </c>
      <c r="BT328" t="s">
        <v>10598</v>
      </c>
      <c r="BU328" t="s">
        <v>589</v>
      </c>
      <c r="BV328">
        <v>13.4</v>
      </c>
      <c r="BW328">
        <v>14.95</v>
      </c>
      <c r="BX328">
        <v>17.71</v>
      </c>
      <c r="BY328">
        <v>1.46</v>
      </c>
      <c r="BZ328">
        <v>3.26</v>
      </c>
      <c r="CA328">
        <v>5.13</v>
      </c>
      <c r="CB328">
        <v>-9.5399999999999991</v>
      </c>
      <c r="CC328">
        <v>-0.87</v>
      </c>
      <c r="CD328" t="s">
        <v>10599</v>
      </c>
      <c r="CE328" t="s">
        <v>10600</v>
      </c>
      <c r="CF328" s="8">
        <v>-0.20134689389774602</v>
      </c>
      <c r="CG328" s="9">
        <v>-0.50729999999999997</v>
      </c>
      <c r="CH328" s="8">
        <v>-0.12282602488994598</v>
      </c>
      <c r="CI328" s="8">
        <v>-0.20345178246498108</v>
      </c>
      <c r="CJ328" s="8">
        <v>0.79263442754745483</v>
      </c>
      <c r="CK328" s="8">
        <v>4.6282075345516205E-2</v>
      </c>
      <c r="CL328" s="8">
        <v>0.1637587696313858</v>
      </c>
      <c r="CM328" s="9">
        <v>-0.95079904794692993</v>
      </c>
      <c r="CN328" s="9">
        <v>0.31355372071266174</v>
      </c>
      <c r="CO328" s="9">
        <v>2.5113174915313721</v>
      </c>
      <c r="CP328" s="9">
        <v>-0.55235123634338379</v>
      </c>
      <c r="CQ328" s="9">
        <v>0.27958774566650391</v>
      </c>
      <c r="CR328">
        <v>2.1836726054605284</v>
      </c>
      <c r="CS328">
        <v>0.13755211094735217</v>
      </c>
      <c r="CT328">
        <v>0</v>
      </c>
      <c r="CU328" s="8">
        <v>0.15875238776206971</v>
      </c>
      <c r="CV328" s="9">
        <v>0.1784089833498001</v>
      </c>
      <c r="CW328">
        <v>0.06</v>
      </c>
      <c r="CX328">
        <v>184.78708662271066</v>
      </c>
      <c r="CY328">
        <v>427426588.31600875</v>
      </c>
      <c r="CZ328">
        <v>0.15875238776206971</v>
      </c>
      <c r="DA328">
        <v>56.997838307789756</v>
      </c>
      <c r="DB328">
        <v>1385717710.4417589</v>
      </c>
      <c r="DC328">
        <v>0.15081476837396621</v>
      </c>
      <c r="DD328">
        <v>25.922834548101484</v>
      </c>
      <c r="DE328">
        <v>3046847128.2892361</v>
      </c>
      <c r="DF328">
        <v>0.13970210123062135</v>
      </c>
      <c r="DG328">
        <v>14.198556825964934</v>
      </c>
      <c r="DH328">
        <v>5562742394.7456236</v>
      </c>
      <c r="DI328">
        <v>0.12700191020965576</v>
      </c>
      <c r="DJ328">
        <v>5.9376769057802301</v>
      </c>
      <c r="DK328">
        <v>13301989187.574594</v>
      </c>
      <c r="DL328">
        <v>0.11112667143344879</v>
      </c>
      <c r="DM328">
        <v>391000000</v>
      </c>
      <c r="DN328">
        <v>0.15875238776206971</v>
      </c>
      <c r="DO328">
        <v>78982914000</v>
      </c>
      <c r="DP328" t="e">
        <v>#VALUE!</v>
      </c>
      <c r="DQ328">
        <v>327</v>
      </c>
      <c r="DR328">
        <v>-0.36009928165981575</v>
      </c>
      <c r="DS328">
        <v>-0.68570898334980002</v>
      </c>
      <c r="DT328">
        <v>-0.20666666666666669</v>
      </c>
      <c r="DU328">
        <v>-0.20666666666666669</v>
      </c>
      <c r="DV328">
        <v>-0.41333333333333339</v>
      </c>
      <c r="DW328">
        <v>-5.0911949685534594</v>
      </c>
      <c r="DX328">
        <v>0.25817639905010659</v>
      </c>
      <c r="DY328">
        <v>-5.0116890426806702</v>
      </c>
      <c r="DZ328">
        <v>0</v>
      </c>
      <c r="EA328">
        <v>-5.0116890426806702</v>
      </c>
      <c r="EB328">
        <v>5</v>
      </c>
      <c r="EC328">
        <v>1.6648986622285194E-3</v>
      </c>
      <c r="ED328">
        <v>1.2989121005457856E-2</v>
      </c>
      <c r="EE328">
        <v>0</v>
      </c>
      <c r="EF328">
        <v>0</v>
      </c>
      <c r="EG328">
        <v>13.128176399050107</v>
      </c>
      <c r="EH328" t="s">
        <v>110</v>
      </c>
      <c r="EI328">
        <v>0</v>
      </c>
      <c r="EJ328">
        <v>0</v>
      </c>
      <c r="EK328">
        <v>0</v>
      </c>
      <c r="EL328">
        <v>0</v>
      </c>
      <c r="EM328">
        <v>0</v>
      </c>
      <c r="EN328">
        <v>0</v>
      </c>
      <c r="EO328">
        <v>0</v>
      </c>
      <c r="EP328">
        <v>0</v>
      </c>
    </row>
    <row r="329" spans="1:146" ht="96" x14ac:dyDescent="0.25">
      <c r="A329"/>
      <c r="B329"/>
      <c r="C329" s="7" t="str">
        <f>""&amp;CHAR(10)&amp;Basic_Fundamental_Information_Constructure(F329)&amp;CHAR(10)&amp;Basic_Fundamental_Information_Concatenate("")</f>
        <v xml:space="preserve">
市值1342.8557亿, 利润95.91亿; PE14.57; 平均PE77.44; 平均PEG5.72, PB2.15; ROIC11.0733%; ROE12.3367%; 股利率0%; 毛利25.86%; 净利19.0233%; 上一年度营收增5.53%, 利润增64.74%, 利润增24.86%; 过往5年营收增13.55%, 利润增6.73%
Income profile:
</v>
      </c>
      <c r="D329" s="11">
        <v>2057</v>
      </c>
      <c r="E329" t="s">
        <v>10601</v>
      </c>
      <c r="F329">
        <v>165.2</v>
      </c>
      <c r="G329">
        <v>-2.5399999999999999E-2</v>
      </c>
      <c r="H329" t="s">
        <v>10602</v>
      </c>
      <c r="I329">
        <v>134285570000</v>
      </c>
      <c r="J329">
        <v>14.57</v>
      </c>
      <c r="K329">
        <v>2.15</v>
      </c>
      <c r="L329" t="s">
        <v>6350</v>
      </c>
      <c r="M329" t="s">
        <v>9</v>
      </c>
      <c r="N329" t="s">
        <v>9</v>
      </c>
      <c r="O329" t="s">
        <v>9</v>
      </c>
      <c r="P329" s="5" t="s">
        <v>9</v>
      </c>
      <c r="Q329" t="s">
        <v>10603</v>
      </c>
      <c r="R329">
        <v>9590658200</v>
      </c>
      <c r="S329">
        <v>0.24859999999999999</v>
      </c>
      <c r="T329" t="s">
        <v>10604</v>
      </c>
      <c r="U329">
        <v>812866660</v>
      </c>
      <c r="V329">
        <v>812866660</v>
      </c>
      <c r="W329" t="s">
        <v>9</v>
      </c>
      <c r="X329" t="s">
        <v>9</v>
      </c>
      <c r="Y329" t="s">
        <v>9</v>
      </c>
      <c r="Z329" t="s">
        <v>9</v>
      </c>
      <c r="AA329" t="s">
        <v>9</v>
      </c>
      <c r="AB329" t="s">
        <v>9</v>
      </c>
      <c r="AC329" t="s">
        <v>9</v>
      </c>
      <c r="AD329" t="s">
        <v>9</v>
      </c>
      <c r="AE329" t="s">
        <v>9</v>
      </c>
      <c r="AF329" t="s">
        <v>9</v>
      </c>
      <c r="AG329" t="s">
        <v>9</v>
      </c>
      <c r="AH329" t="s">
        <v>10605</v>
      </c>
      <c r="AI329" t="s">
        <v>9</v>
      </c>
      <c r="AJ329" t="s">
        <v>9</v>
      </c>
      <c r="AK329" s="5" t="s">
        <v>10606</v>
      </c>
      <c r="AL329" t="s">
        <v>9</v>
      </c>
      <c r="AM329" t="s">
        <v>9</v>
      </c>
      <c r="AN329">
        <v>0.31859999999999999</v>
      </c>
      <c r="AO329" t="s">
        <v>9</v>
      </c>
      <c r="AP329" t="s">
        <v>3000</v>
      </c>
      <c r="AQ329" t="s">
        <v>9</v>
      </c>
      <c r="AR329" t="s">
        <v>10607</v>
      </c>
      <c r="AS329" t="s">
        <v>9</v>
      </c>
      <c r="AT329" t="s">
        <v>9</v>
      </c>
      <c r="AU329" t="s">
        <v>9040</v>
      </c>
      <c r="AV329" t="s">
        <v>10608</v>
      </c>
      <c r="AW329" t="s">
        <v>9</v>
      </c>
      <c r="AX329" t="s">
        <v>10609</v>
      </c>
      <c r="AY329" t="s">
        <v>10610</v>
      </c>
      <c r="AZ329" t="s">
        <v>10611</v>
      </c>
      <c r="BA329" t="s">
        <v>10612</v>
      </c>
      <c r="BB329" t="s">
        <v>10613</v>
      </c>
      <c r="BC329" t="s">
        <v>3792</v>
      </c>
      <c r="BD329" t="s">
        <v>4010</v>
      </c>
      <c r="BE329" t="s">
        <v>2584</v>
      </c>
      <c r="BF329" t="s">
        <v>10614</v>
      </c>
      <c r="BG329" t="s">
        <v>1674</v>
      </c>
      <c r="BH329" t="s">
        <v>10609</v>
      </c>
      <c r="BI329" t="s">
        <v>10615</v>
      </c>
      <c r="BJ329" t="s">
        <v>10610</v>
      </c>
      <c r="BK329" t="s">
        <v>10616</v>
      </c>
      <c r="BL329" t="s">
        <v>3094</v>
      </c>
      <c r="BM329" t="s">
        <v>3792</v>
      </c>
      <c r="BN329">
        <v>12.43</v>
      </c>
      <c r="BO329">
        <v>11.51</v>
      </c>
      <c r="BP329">
        <v>9.2799999999999994</v>
      </c>
      <c r="BQ329">
        <v>14.63</v>
      </c>
      <c r="BR329">
        <v>12.6</v>
      </c>
      <c r="BS329">
        <v>9.7799999999999994</v>
      </c>
      <c r="BT329" t="s">
        <v>1619</v>
      </c>
      <c r="BU329" t="s">
        <v>687</v>
      </c>
      <c r="BV329">
        <v>30.36</v>
      </c>
      <c r="BW329">
        <v>25.55</v>
      </c>
      <c r="BX329">
        <v>21.67</v>
      </c>
      <c r="BY329">
        <v>22.79</v>
      </c>
      <c r="BZ329">
        <v>18.82</v>
      </c>
      <c r="CA329">
        <v>15.46</v>
      </c>
      <c r="CB329">
        <v>-2.25</v>
      </c>
      <c r="CC329" s="8">
        <v>-4.84</v>
      </c>
      <c r="CD329" s="10" t="s">
        <v>10617</v>
      </c>
      <c r="CE329" s="8" t="s">
        <v>10618</v>
      </c>
      <c r="CF329" s="8" t="s">
        <v>9</v>
      </c>
      <c r="CG329" s="8">
        <v>0.24859999999999999</v>
      </c>
      <c r="CH329" s="8">
        <v>5.5275730788707733E-2</v>
      </c>
      <c r="CI329" s="8">
        <v>7.1900464594364166E-2</v>
      </c>
      <c r="CJ329" s="9">
        <v>0.23887805640697479</v>
      </c>
      <c r="CK329" s="9">
        <v>0.49935144186019897</v>
      </c>
      <c r="CL329" s="9">
        <v>0.28011232614517212</v>
      </c>
      <c r="CM329" s="9">
        <v>0.64737200736999512</v>
      </c>
      <c r="CN329" s="9">
        <v>0.13268490135669708</v>
      </c>
      <c r="CO329">
        <v>-0.18940237164497375</v>
      </c>
      <c r="CP329">
        <v>0.27048689126968384</v>
      </c>
      <c r="CQ329">
        <v>0.31758186221122742</v>
      </c>
      <c r="CR329" s="8">
        <v>77.44320271992683</v>
      </c>
      <c r="CS329" s="9">
        <v>5.7174611496840653</v>
      </c>
      <c r="CT329">
        <v>0</v>
      </c>
      <c r="CU329">
        <v>0.13545033484697341</v>
      </c>
      <c r="CV329">
        <v>6.7266607284545893E-2</v>
      </c>
      <c r="CW329">
        <v>0.06</v>
      </c>
      <c r="CX329">
        <v>13.070830369373377</v>
      </c>
      <c r="CY329">
        <v>10273683171.242756</v>
      </c>
      <c r="CZ329">
        <v>0.13545033484697341</v>
      </c>
      <c r="DA329">
        <v>4.1109823327984838</v>
      </c>
      <c r="DB329">
        <v>32665080783.401783</v>
      </c>
      <c r="DC329">
        <v>0.12867781810462472</v>
      </c>
      <c r="DD329">
        <v>1.9210745197139676</v>
      </c>
      <c r="DE329">
        <v>69901281091.372772</v>
      </c>
      <c r="DF329">
        <v>0.1191962946653366</v>
      </c>
      <c r="DG329">
        <v>1.0865329406790905</v>
      </c>
      <c r="DH329">
        <v>123590887098.2509</v>
      </c>
      <c r="DI329">
        <v>0.10836026787757874</v>
      </c>
      <c r="DJ329">
        <v>0.49006530015808109</v>
      </c>
      <c r="DK329">
        <v>274015666803.34909</v>
      </c>
      <c r="DL329">
        <v>9.4815234392881378E-2</v>
      </c>
      <c r="DM329">
        <v>9591000000</v>
      </c>
      <c r="DN329">
        <v>0.13545033484697341</v>
      </c>
      <c r="DO329">
        <v>134285570000</v>
      </c>
      <c r="DP329" t="e">
        <v>#VALUE!</v>
      </c>
      <c r="DQ329">
        <v>328</v>
      </c>
      <c r="DR329" t="e">
        <v>#VALUE!</v>
      </c>
      <c r="DS329">
        <v>0.18133339271545409</v>
      </c>
      <c r="DT329" t="e">
        <v>#VALUE!</v>
      </c>
      <c r="DU329">
        <v>0.40000000000000008</v>
      </c>
      <c r="DV329" t="e">
        <v>#VALUE!</v>
      </c>
      <c r="DW329">
        <v>-1.0484</v>
      </c>
      <c r="DX329">
        <v>0.53289560656135415</v>
      </c>
      <c r="DY329">
        <v>-1.0049801473575695</v>
      </c>
      <c r="DZ329">
        <v>0</v>
      </c>
      <c r="EA329">
        <v>-1.0049801473575695</v>
      </c>
      <c r="EB329">
        <v>1</v>
      </c>
      <c r="EC329">
        <v>6.262281688364485E-3</v>
      </c>
      <c r="ED329">
        <v>6.0860535232186791E-2</v>
      </c>
      <c r="EE329">
        <v>0</v>
      </c>
      <c r="EF329">
        <v>0</v>
      </c>
      <c r="EG329">
        <v>43.102895606561354</v>
      </c>
      <c r="EH329" t="s">
        <v>110</v>
      </c>
      <c r="EI329">
        <v>0</v>
      </c>
      <c r="EJ329">
        <v>0</v>
      </c>
      <c r="EK329">
        <v>0</v>
      </c>
      <c r="EL329">
        <v>0</v>
      </c>
      <c r="EM329">
        <v>0</v>
      </c>
      <c r="EN329">
        <v>0</v>
      </c>
      <c r="EO329">
        <v>0</v>
      </c>
      <c r="EP329">
        <v>0</v>
      </c>
    </row>
    <row r="330" spans="1:146" ht="96" x14ac:dyDescent="0.25">
      <c r="A330" s="7"/>
      <c r="B330" s="7"/>
      <c r="C330" s="7" t="str">
        <f>""&amp;CHAR(10)&amp;Basic_Fundamental_Information_Constructure(F330)&amp;CHAR(10)&amp;Basic_Fundamental_Information_Concatenate("")</f>
        <v xml:space="preserve">
市值48.528693亿, 利润-30.52亿; PE; 平均PE-17.65; 平均PEG-11.95, PB.633; ROIC-7.4033%; ROE-18%; 股利率0%; 毛利11.2567%; 净利-5.1967%; 上一年度营收增-8.43%, 利润增-107.2%; 当季营收增-9.46%, 利润增3150%; 过往5年营收增-1.48%, 利润增-163.77%
Income profile:
</v>
      </c>
      <c r="D330" s="11">
        <v>2068</v>
      </c>
      <c r="E330" t="s">
        <v>4543</v>
      </c>
      <c r="F330">
        <v>1.64</v>
      </c>
      <c r="G330" s="5">
        <v>-2.3800000000000002E-2</v>
      </c>
      <c r="H330" t="s">
        <v>10619</v>
      </c>
      <c r="I330">
        <v>4852869300</v>
      </c>
      <c r="K330">
        <v>0.63300000000000001</v>
      </c>
      <c r="L330" t="s">
        <v>6350</v>
      </c>
      <c r="M330" t="s">
        <v>10620</v>
      </c>
      <c r="N330" t="s">
        <v>10621</v>
      </c>
      <c r="O330" t="s">
        <v>5031</v>
      </c>
      <c r="P330">
        <v>15.77</v>
      </c>
      <c r="Q330" t="s">
        <v>10622</v>
      </c>
      <c r="R330">
        <v>-3051914000</v>
      </c>
      <c r="S330" s="5">
        <v>31.5</v>
      </c>
      <c r="T330" t="s">
        <v>10623</v>
      </c>
      <c r="U330">
        <v>399476000</v>
      </c>
      <c r="V330">
        <v>2959066700</v>
      </c>
      <c r="W330">
        <v>5.75</v>
      </c>
      <c r="X330">
        <v>0.12</v>
      </c>
      <c r="Y330">
        <v>2.5499999999999998</v>
      </c>
      <c r="Z330" t="s">
        <v>2361</v>
      </c>
      <c r="AA330" t="s">
        <v>10624</v>
      </c>
      <c r="AB330" t="s">
        <v>10625</v>
      </c>
      <c r="AC330" t="s">
        <v>161</v>
      </c>
      <c r="AD330" t="s">
        <v>229</v>
      </c>
      <c r="AE330" t="s">
        <v>10626</v>
      </c>
      <c r="AF330" t="s">
        <v>9</v>
      </c>
      <c r="AG330" t="s">
        <v>10627</v>
      </c>
      <c r="AH330" t="s">
        <v>10628</v>
      </c>
      <c r="AI330" t="s">
        <v>10629</v>
      </c>
      <c r="AJ330" t="s">
        <v>10630</v>
      </c>
      <c r="AK330" t="s">
        <v>10631</v>
      </c>
      <c r="AL330" t="s">
        <v>9</v>
      </c>
      <c r="AM330" t="s">
        <v>10632</v>
      </c>
      <c r="AN330" s="5">
        <v>0.81989999999999996</v>
      </c>
      <c r="AO330" t="s">
        <v>3566</v>
      </c>
      <c r="AP330" t="s">
        <v>10633</v>
      </c>
      <c r="AQ330" t="s">
        <v>10634</v>
      </c>
      <c r="AR330" t="s">
        <v>10635</v>
      </c>
      <c r="AS330" t="s">
        <v>10636</v>
      </c>
      <c r="AT330" t="s">
        <v>4232</v>
      </c>
      <c r="AU330" t="s">
        <v>2052</v>
      </c>
      <c r="AV330" t="s">
        <v>70</v>
      </c>
      <c r="AW330" t="s">
        <v>4556</v>
      </c>
      <c r="AX330" t="s">
        <v>4544</v>
      </c>
      <c r="AY330" t="s">
        <v>4550</v>
      </c>
      <c r="AZ330" t="s">
        <v>4551</v>
      </c>
      <c r="BA330" t="s">
        <v>4552</v>
      </c>
      <c r="BB330" t="s">
        <v>4553</v>
      </c>
      <c r="BC330" t="s">
        <v>10637</v>
      </c>
      <c r="BD330" t="s">
        <v>4554</v>
      </c>
      <c r="BE330" t="s">
        <v>4555</v>
      </c>
      <c r="BF330" t="s">
        <v>1045</v>
      </c>
      <c r="BG330" t="s">
        <v>4556</v>
      </c>
      <c r="BH330" t="s">
        <v>4544</v>
      </c>
      <c r="BI330" t="s">
        <v>4557</v>
      </c>
      <c r="BJ330" t="s">
        <v>4550</v>
      </c>
      <c r="BK330" t="s">
        <v>4545</v>
      </c>
      <c r="BL330" t="s">
        <v>10638</v>
      </c>
      <c r="BM330" t="s">
        <v>10637</v>
      </c>
      <c r="BN330">
        <v>-17.670000000000002</v>
      </c>
      <c r="BO330">
        <v>-0.05</v>
      </c>
      <c r="BP330">
        <v>-4.49</v>
      </c>
      <c r="BQ330">
        <v>-39.68</v>
      </c>
      <c r="BR330">
        <v>-0.14000000000000001</v>
      </c>
      <c r="BS330">
        <v>-14.18</v>
      </c>
      <c r="BT330" t="s">
        <v>4558</v>
      </c>
      <c r="BU330" t="s">
        <v>1446</v>
      </c>
      <c r="BV330">
        <v>8.2899999999999991</v>
      </c>
      <c r="BW330">
        <v>12.33</v>
      </c>
      <c r="BX330">
        <v>13.15</v>
      </c>
      <c r="BY330">
        <v>-12.75</v>
      </c>
      <c r="BZ330">
        <v>0.87</v>
      </c>
      <c r="CA330">
        <v>-3.71</v>
      </c>
      <c r="CB330">
        <v>-7.87</v>
      </c>
      <c r="CC330">
        <v>-18.41</v>
      </c>
      <c r="CD330" t="s">
        <v>10639</v>
      </c>
      <c r="CE330" t="s">
        <v>3211</v>
      </c>
      <c r="CF330" s="8">
        <v>-9.4585448392554991E-2</v>
      </c>
      <c r="CG330" s="9">
        <v>31.5</v>
      </c>
      <c r="CH330" s="8">
        <v>-8.4316976368427277E-2</v>
      </c>
      <c r="CI330" s="8">
        <v>-8.6563877761363983E-2</v>
      </c>
      <c r="CJ330" s="8">
        <v>6.6346921026706696E-2</v>
      </c>
      <c r="CK330" s="8">
        <v>-0.28527691960334778</v>
      </c>
      <c r="CL330" s="8">
        <v>-0.11626069992780685</v>
      </c>
      <c r="CM330" s="9">
        <v>-1.0719621181488037</v>
      </c>
      <c r="CN330" s="9">
        <v>0.41244518756866455</v>
      </c>
      <c r="CO330" s="9">
        <v>-65.368370056152344</v>
      </c>
      <c r="CP330" s="9">
        <v>-0.88840198516845703</v>
      </c>
      <c r="CQ330" s="9">
        <v>-0.52837836742401123</v>
      </c>
      <c r="CR330">
        <v>-17.646797454545453</v>
      </c>
      <c r="CS330">
        <v>-11.948709876003365</v>
      </c>
      <c r="CT330">
        <v>0</v>
      </c>
      <c r="CU330" s="8">
        <v>-1.476878896355629E-2</v>
      </c>
      <c r="CV330" s="9">
        <v>-1.6376957312226295</v>
      </c>
      <c r="CW330">
        <v>0.06</v>
      </c>
      <c r="CX330" t="e">
        <v>#VALUE!</v>
      </c>
      <c r="CY330" t="s">
        <v>109</v>
      </c>
      <c r="CZ330">
        <v>-1.476878896355629E-2</v>
      </c>
      <c r="DA330" t="e">
        <v>#VALUE!</v>
      </c>
      <c r="DB330" t="s">
        <v>108</v>
      </c>
      <c r="DC330">
        <v>-1.4030349515378475E-2</v>
      </c>
      <c r="DD330" t="e">
        <v>#VALUE!</v>
      </c>
      <c r="DE330" t="s">
        <v>108</v>
      </c>
      <c r="DF330">
        <v>-1.2996534287929535E-2</v>
      </c>
      <c r="DG330" t="e">
        <v>#VALUE!</v>
      </c>
      <c r="DH330" t="s">
        <v>108</v>
      </c>
      <c r="DI330">
        <v>-1.1815031170845033E-2</v>
      </c>
      <c r="DJ330" t="e">
        <v>#VALUE!</v>
      </c>
      <c r="DK330" t="s">
        <v>108</v>
      </c>
      <c r="DL330">
        <v>-1.0338152274489403E-2</v>
      </c>
      <c r="DM330">
        <v>-3052000000</v>
      </c>
      <c r="DN330">
        <v>-1.476878896355629E-2</v>
      </c>
      <c r="DO330">
        <v>33033869300</v>
      </c>
      <c r="DP330" t="e">
        <v>#VALUE!</v>
      </c>
      <c r="DQ330">
        <v>329</v>
      </c>
      <c r="DR330">
        <v>-7.9816659428998696E-2</v>
      </c>
      <c r="DS330">
        <v>33.137695731222628</v>
      </c>
      <c r="DT330">
        <v>-0.49</v>
      </c>
      <c r="DU330">
        <v>-2.2483333333333335</v>
      </c>
      <c r="DV330">
        <v>-2.7383333333333333</v>
      </c>
      <c r="DW330">
        <v>-9.4274850624660509</v>
      </c>
      <c r="DX330">
        <v>0.6266513761467869</v>
      </c>
      <c r="DY330">
        <v>-9.0284924676955587</v>
      </c>
      <c r="DZ330">
        <v>0</v>
      </c>
      <c r="EA330">
        <v>-9.0284924676955587</v>
      </c>
      <c r="EB330">
        <v>9</v>
      </c>
      <c r="EC330">
        <v>2.4551660156900148E-3</v>
      </c>
      <c r="ED330">
        <v>3.6835938845177101E-2</v>
      </c>
      <c r="EE330">
        <v>0</v>
      </c>
      <c r="EF330">
        <v>0</v>
      </c>
      <c r="EG330">
        <v>56.066651376146787</v>
      </c>
      <c r="EH330" t="s">
        <v>110</v>
      </c>
      <c r="EI330">
        <v>0</v>
      </c>
      <c r="EJ330">
        <v>0</v>
      </c>
      <c r="EK330">
        <v>0</v>
      </c>
      <c r="EL330">
        <v>0</v>
      </c>
      <c r="EM330">
        <v>0</v>
      </c>
      <c r="EN330">
        <v>0</v>
      </c>
      <c r="EO330">
        <v>0</v>
      </c>
      <c r="EP330">
        <v>0</v>
      </c>
    </row>
    <row r="331" spans="1:146" ht="96" x14ac:dyDescent="0.25">
      <c r="A331" s="7"/>
      <c r="B331" s="7"/>
      <c r="C331" s="7" t="str">
        <f>""&amp;CHAR(10)&amp;Basic_Fundamental_Information_Constructure(F331)&amp;CHAR(10)&amp;Basic_Fundamental_Information_Concatenate("")</f>
        <v xml:space="preserve">
市值146.77643亿, 利润7.84亿; PE18.73; 平均PE1013.67; 平均PEG63.15, PB1.85; ROIC12.7667%; ROE15.4667%; 股利率0%; 毛利77.6367%; 净利18.4933%; 上一年度营收增1.53%, 利润增-57.51%, 利润增-25.39%; 过往5年营收增-16.05%, 利润增-406.57%
Income profile:
</v>
      </c>
      <c r="D331" s="11">
        <v>2096</v>
      </c>
      <c r="E331" t="s">
        <v>4559</v>
      </c>
      <c r="F331">
        <v>5.77</v>
      </c>
      <c r="G331" s="5">
        <v>-6.8999999999999999E-3</v>
      </c>
      <c r="H331" t="s">
        <v>10640</v>
      </c>
      <c r="I331">
        <v>14677643000</v>
      </c>
      <c r="J331">
        <v>18.73</v>
      </c>
      <c r="K331">
        <v>1.85</v>
      </c>
      <c r="L331" t="s">
        <v>6350</v>
      </c>
      <c r="M331" t="s">
        <v>9</v>
      </c>
      <c r="N331" t="s">
        <v>9</v>
      </c>
      <c r="O331" t="s">
        <v>9</v>
      </c>
      <c r="P331" t="s">
        <v>9</v>
      </c>
      <c r="Q331" t="s">
        <v>10641</v>
      </c>
      <c r="R331">
        <v>783521010</v>
      </c>
      <c r="S331" s="5">
        <v>-0.25390000000000001</v>
      </c>
      <c r="T331" t="s">
        <v>5193</v>
      </c>
      <c r="U331">
        <v>2609761600</v>
      </c>
      <c r="V331">
        <v>2609761600</v>
      </c>
      <c r="W331" t="s">
        <v>9</v>
      </c>
      <c r="X331" t="s">
        <v>9</v>
      </c>
      <c r="Y331" t="s">
        <v>9</v>
      </c>
      <c r="Z331" t="s">
        <v>9</v>
      </c>
      <c r="AA331" t="s">
        <v>9</v>
      </c>
      <c r="AB331" t="s">
        <v>9</v>
      </c>
      <c r="AC331" t="s">
        <v>9</v>
      </c>
      <c r="AD331" t="s">
        <v>2556</v>
      </c>
      <c r="AE331" t="s">
        <v>9</v>
      </c>
      <c r="AF331" t="s">
        <v>9</v>
      </c>
      <c r="AG331" t="s">
        <v>9</v>
      </c>
      <c r="AH331" t="s">
        <v>10642</v>
      </c>
      <c r="AI331" t="s">
        <v>9</v>
      </c>
      <c r="AJ331" t="s">
        <v>9</v>
      </c>
      <c r="AK331" t="s">
        <v>10643</v>
      </c>
      <c r="AL331" t="s">
        <v>9</v>
      </c>
      <c r="AM331" t="s">
        <v>9</v>
      </c>
      <c r="AN331" s="5">
        <v>0.33450000000000002</v>
      </c>
      <c r="AO331" t="s">
        <v>9</v>
      </c>
      <c r="AP331" t="s">
        <v>3644</v>
      </c>
      <c r="AQ331" t="s">
        <v>9</v>
      </c>
      <c r="AR331" t="s">
        <v>10644</v>
      </c>
      <c r="AS331" t="s">
        <v>9</v>
      </c>
      <c r="AT331" t="s">
        <v>9</v>
      </c>
      <c r="AU331" t="s">
        <v>41</v>
      </c>
      <c r="AV331" t="s">
        <v>10645</v>
      </c>
      <c r="AW331" t="s">
        <v>9</v>
      </c>
      <c r="AX331" t="s">
        <v>10646</v>
      </c>
      <c r="AY331" t="s">
        <v>4561</v>
      </c>
      <c r="AZ331" t="s">
        <v>4562</v>
      </c>
      <c r="BA331" t="s">
        <v>4010</v>
      </c>
      <c r="BB331" t="s">
        <v>2246</v>
      </c>
      <c r="BC331" t="s">
        <v>4563</v>
      </c>
      <c r="BD331" t="s">
        <v>176</v>
      </c>
      <c r="BE331" t="s">
        <v>4564</v>
      </c>
      <c r="BF331" t="s">
        <v>2155</v>
      </c>
      <c r="BG331" t="s">
        <v>2948</v>
      </c>
      <c r="BH331" t="s">
        <v>10646</v>
      </c>
      <c r="BI331" t="s">
        <v>9</v>
      </c>
      <c r="BJ331" t="s">
        <v>4561</v>
      </c>
      <c r="BK331" t="s">
        <v>4560</v>
      </c>
      <c r="BL331" t="s">
        <v>9</v>
      </c>
      <c r="BM331" t="s">
        <v>4563</v>
      </c>
      <c r="BN331">
        <v>8.4700000000000006</v>
      </c>
      <c r="BO331">
        <v>11.38</v>
      </c>
      <c r="BP331">
        <v>18.45</v>
      </c>
      <c r="BQ331">
        <v>9.9</v>
      </c>
      <c r="BR331">
        <v>13.09</v>
      </c>
      <c r="BS331">
        <v>23.41</v>
      </c>
      <c r="BT331" t="s">
        <v>2741</v>
      </c>
      <c r="BU331" t="s">
        <v>489</v>
      </c>
      <c r="BV331">
        <v>75.430000000000007</v>
      </c>
      <c r="BW331">
        <v>79.08</v>
      </c>
      <c r="BX331">
        <v>78.400000000000006</v>
      </c>
      <c r="BY331">
        <v>10.8</v>
      </c>
      <c r="BZ331">
        <v>14.7</v>
      </c>
      <c r="CA331">
        <v>29.98</v>
      </c>
      <c r="CB331">
        <v>0</v>
      </c>
      <c r="CC331">
        <v>4.45</v>
      </c>
      <c r="CD331" t="s">
        <v>10647</v>
      </c>
      <c r="CE331" t="s">
        <v>814</v>
      </c>
      <c r="CF331" s="8" t="s">
        <v>9</v>
      </c>
      <c r="CG331" s="9">
        <v>-0.25390000000000001</v>
      </c>
      <c r="CH331" s="8">
        <v>1.5278900973498821E-2</v>
      </c>
      <c r="CI331" s="8">
        <v>0.165305495262146</v>
      </c>
      <c r="CJ331" s="8">
        <v>0.13918863236904144</v>
      </c>
      <c r="CK331" s="8">
        <v>4.5525368303060532E-2</v>
      </c>
      <c r="CL331" s="8">
        <v>0.1084752082824707</v>
      </c>
      <c r="CM331" s="9">
        <v>-0.57506775856018066</v>
      </c>
      <c r="CN331" s="9">
        <v>1.3120299577713013</v>
      </c>
      <c r="CO331" s="9">
        <v>-0.28877004981040955</v>
      </c>
      <c r="CP331" s="9">
        <v>0.34371256828308105</v>
      </c>
      <c r="CQ331" s="9">
        <v>0.98809522390365601</v>
      </c>
      <c r="CR331">
        <v>1013.6657128452807</v>
      </c>
      <c r="CS331">
        <v>63.152802264784142</v>
      </c>
      <c r="CT331">
        <v>0</v>
      </c>
      <c r="CU331" s="8">
        <v>-0.16051001325249672</v>
      </c>
      <c r="CV331" s="9">
        <v>-4.0656759377568958</v>
      </c>
      <c r="CW331">
        <v>0.06</v>
      </c>
      <c r="CX331">
        <v>18.721483418367345</v>
      </c>
      <c r="CY331" t="s">
        <v>10648</v>
      </c>
      <c r="CZ331">
        <v>-0.16051001325249672</v>
      </c>
      <c r="DA331">
        <v>6.2404944727891154</v>
      </c>
      <c r="DB331" t="s">
        <v>10649</v>
      </c>
      <c r="DC331">
        <v>-0.15248451258987189</v>
      </c>
      <c r="DD331">
        <v>3.1202472363945577</v>
      </c>
      <c r="DE331" t="s">
        <v>10650</v>
      </c>
      <c r="DF331">
        <v>-0.14124881166219713</v>
      </c>
      <c r="DG331">
        <v>1.8721483418367346</v>
      </c>
      <c r="DH331" t="s">
        <v>10651</v>
      </c>
      <c r="DI331">
        <v>-0.12840801060199739</v>
      </c>
      <c r="DJ331">
        <v>0.93607417091836731</v>
      </c>
      <c r="DK331" t="s">
        <v>10652</v>
      </c>
      <c r="DL331">
        <v>-0.1123570092767477</v>
      </c>
      <c r="DM331">
        <v>784000000</v>
      </c>
      <c r="DN331">
        <v>-0.16051001325249672</v>
      </c>
      <c r="DO331">
        <v>14677643000</v>
      </c>
      <c r="DP331" t="e">
        <v>#VALUE!</v>
      </c>
      <c r="DQ331">
        <v>330</v>
      </c>
      <c r="DR331" t="e">
        <v>#VALUE!</v>
      </c>
      <c r="DS331">
        <v>3.811775937756896</v>
      </c>
      <c r="DT331" t="e">
        <v>#VALUE!</v>
      </c>
      <c r="DU331" t="e">
        <v>#VALUE!</v>
      </c>
      <c r="DV331" t="e">
        <v>#VALUE!</v>
      </c>
      <c r="DW331">
        <v>1.0445</v>
      </c>
      <c r="DX331">
        <v>0.39310344827586036</v>
      </c>
      <c r="DY331">
        <v>1.0036981034482759</v>
      </c>
      <c r="DZ331">
        <v>0</v>
      </c>
      <c r="EA331">
        <v>1.0036981034482759</v>
      </c>
      <c r="EB331">
        <v>1</v>
      </c>
      <c r="EC331">
        <v>4.6172799845012663E-3</v>
      </c>
      <c r="ED331">
        <v>5.5560630518894906E-2</v>
      </c>
      <c r="EE331">
        <v>0</v>
      </c>
      <c r="EF331">
        <v>0</v>
      </c>
      <c r="EG331">
        <v>31.08310344827586</v>
      </c>
      <c r="EH331" t="s">
        <v>110</v>
      </c>
      <c r="EI331">
        <v>0</v>
      </c>
      <c r="EJ331">
        <v>0</v>
      </c>
      <c r="EK331">
        <v>0</v>
      </c>
      <c r="EL331">
        <v>0</v>
      </c>
      <c r="EM331">
        <v>0</v>
      </c>
      <c r="EN331">
        <v>0</v>
      </c>
      <c r="EO331">
        <v>0</v>
      </c>
      <c r="EP331">
        <v>0</v>
      </c>
    </row>
    <row r="332" spans="1:146" ht="108" x14ac:dyDescent="0.25">
      <c r="A332" s="7"/>
      <c r="B332" s="7"/>
      <c r="C332" s="7" t="str">
        <f>""&amp;CHAR(10)&amp;Basic_Fundamental_Information_Constructure(F332)&amp;CHAR(10)&amp;Basic_Fundamental_Information_Concatenate("")</f>
        <v xml:space="preserve">
市值192.85529亿, 利润-1.99亿; PE; 平均PE538.25; 平均PEG234.31, PB1.46; ROIC5.56%; ROE8.35%; 股利率0%; 毛利29.6067%; 净利13.0067%; 上一年度营收增-58.4%, 利润增-109.54%, 利润增-111.5%; 过往5年营收增2.3%, 利润增48.45%
Income profile:
</v>
      </c>
      <c r="D332" s="11">
        <v>2099</v>
      </c>
      <c r="E332" t="s">
        <v>4566</v>
      </c>
      <c r="F332">
        <v>48.65</v>
      </c>
      <c r="G332" s="5">
        <v>-3.6600000000000001E-2</v>
      </c>
      <c r="H332" t="s">
        <v>10653</v>
      </c>
      <c r="I332">
        <v>19285529000</v>
      </c>
      <c r="K332">
        <v>1.46</v>
      </c>
      <c r="L332" t="s">
        <v>6350</v>
      </c>
      <c r="M332" t="s">
        <v>9</v>
      </c>
      <c r="N332" t="s">
        <v>9</v>
      </c>
      <c r="O332" t="s">
        <v>9</v>
      </c>
      <c r="P332" t="s">
        <v>9</v>
      </c>
      <c r="Q332" t="s">
        <v>10654</v>
      </c>
      <c r="R332">
        <v>-199180500</v>
      </c>
      <c r="S332" s="5">
        <v>-1.115</v>
      </c>
      <c r="T332" t="s">
        <v>10655</v>
      </c>
      <c r="U332">
        <v>396413750</v>
      </c>
      <c r="V332">
        <v>396413750</v>
      </c>
      <c r="W332" t="s">
        <v>9</v>
      </c>
      <c r="X332" t="s">
        <v>9</v>
      </c>
      <c r="Y332" t="s">
        <v>9</v>
      </c>
      <c r="Z332" t="s">
        <v>9</v>
      </c>
      <c r="AA332" t="s">
        <v>9</v>
      </c>
      <c r="AB332" t="s">
        <v>9</v>
      </c>
      <c r="AC332" t="s">
        <v>9</v>
      </c>
      <c r="AD332" t="s">
        <v>10656</v>
      </c>
      <c r="AE332" t="s">
        <v>9</v>
      </c>
      <c r="AF332" t="s">
        <v>9</v>
      </c>
      <c r="AG332" t="s">
        <v>9</v>
      </c>
      <c r="AH332" t="s">
        <v>10657</v>
      </c>
      <c r="AI332" t="s">
        <v>9</v>
      </c>
      <c r="AJ332" t="s">
        <v>9</v>
      </c>
      <c r="AK332" t="s">
        <v>10658</v>
      </c>
      <c r="AL332" t="s">
        <v>9</v>
      </c>
      <c r="AM332" t="s">
        <v>9</v>
      </c>
      <c r="AN332" s="5">
        <v>0.39050000000000001</v>
      </c>
      <c r="AO332" t="s">
        <v>9</v>
      </c>
      <c r="AP332" t="s">
        <v>1288</v>
      </c>
      <c r="AQ332" t="s">
        <v>9</v>
      </c>
      <c r="AR332" t="s">
        <v>10659</v>
      </c>
      <c r="AS332" t="s">
        <v>9</v>
      </c>
      <c r="AT332" t="s">
        <v>9</v>
      </c>
      <c r="AU332" t="s">
        <v>10660</v>
      </c>
      <c r="AV332" t="s">
        <v>10661</v>
      </c>
      <c r="AW332" t="s">
        <v>9</v>
      </c>
      <c r="AX332" t="s">
        <v>4567</v>
      </c>
      <c r="AY332" t="s">
        <v>4570</v>
      </c>
      <c r="AZ332" t="s">
        <v>4571</v>
      </c>
      <c r="BA332" t="s">
        <v>4572</v>
      </c>
      <c r="BB332" t="s">
        <v>1186</v>
      </c>
      <c r="BC332" t="s">
        <v>1871</v>
      </c>
      <c r="BD332" t="s">
        <v>4573</v>
      </c>
      <c r="BE332" t="s">
        <v>4574</v>
      </c>
      <c r="BF332" t="s">
        <v>4575</v>
      </c>
      <c r="BG332" t="s">
        <v>4576</v>
      </c>
      <c r="BH332" t="s">
        <v>4567</v>
      </c>
      <c r="BI332" t="s">
        <v>4577</v>
      </c>
      <c r="BJ332" t="s">
        <v>4570</v>
      </c>
      <c r="BK332" t="s">
        <v>4507</v>
      </c>
      <c r="BL332" t="s">
        <v>4578</v>
      </c>
      <c r="BM332" t="s">
        <v>1871</v>
      </c>
      <c r="BN332">
        <v>-0.98</v>
      </c>
      <c r="BO332">
        <v>8.09</v>
      </c>
      <c r="BP332">
        <v>9.57</v>
      </c>
      <c r="BQ332">
        <v>-1.49</v>
      </c>
      <c r="BR332">
        <v>11.82</v>
      </c>
      <c r="BS332">
        <v>14.72</v>
      </c>
      <c r="BT332" t="s">
        <v>4579</v>
      </c>
      <c r="BU332" t="s">
        <v>1254</v>
      </c>
      <c r="BV332">
        <v>17.489999999999998</v>
      </c>
      <c r="BW332">
        <v>35.799999999999997</v>
      </c>
      <c r="BX332">
        <v>35.53</v>
      </c>
      <c r="BY332">
        <v>-5</v>
      </c>
      <c r="BZ332">
        <v>20.399999999999999</v>
      </c>
      <c r="CA332">
        <v>23.62</v>
      </c>
      <c r="CB332">
        <v>-8.81</v>
      </c>
      <c r="CC332">
        <v>-4.79</v>
      </c>
      <c r="CD332" t="s">
        <v>10662</v>
      </c>
      <c r="CE332" t="s">
        <v>10663</v>
      </c>
      <c r="CF332" s="8" t="s">
        <v>9</v>
      </c>
      <c r="CG332" s="9">
        <v>-1.115</v>
      </c>
      <c r="CH332" s="8">
        <v>-0.5839805006980896</v>
      </c>
      <c r="CI332" s="8">
        <v>-2.7286037802696228E-2</v>
      </c>
      <c r="CJ332" s="8">
        <v>0.32392901182174683</v>
      </c>
      <c r="CK332" s="8">
        <v>0.49865764379501343</v>
      </c>
      <c r="CL332" s="8">
        <v>0.38906162977218628</v>
      </c>
      <c r="CM332" s="9">
        <v>-1.0954436063766479</v>
      </c>
      <c r="CN332" s="9">
        <v>1.402073860168457</v>
      </c>
      <c r="CO332" s="9">
        <v>4.390625</v>
      </c>
      <c r="CP332" s="9">
        <v>-5.7558474540710449</v>
      </c>
      <c r="CQ332" s="9">
        <v>-1.0768622159957886</v>
      </c>
      <c r="CR332">
        <v>538.25037840694165</v>
      </c>
      <c r="CS332">
        <v>234.31026083539405</v>
      </c>
      <c r="CT332">
        <v>0</v>
      </c>
      <c r="CU332" s="8">
        <v>2.2971694730222224E-2</v>
      </c>
      <c r="CV332" s="9">
        <v>0.48450611829757689</v>
      </c>
      <c r="CW332">
        <v>0.06</v>
      </c>
      <c r="CX332" t="e">
        <v>#VALUE!</v>
      </c>
      <c r="CY332" t="s">
        <v>109</v>
      </c>
      <c r="CZ332">
        <v>2.2971694730222224E-2</v>
      </c>
      <c r="DA332" t="e">
        <v>#VALUE!</v>
      </c>
      <c r="DB332" t="s">
        <v>108</v>
      </c>
      <c r="DC332">
        <v>2.182310999371111E-2</v>
      </c>
      <c r="DD332" t="e">
        <v>#VALUE!</v>
      </c>
      <c r="DE332" t="s">
        <v>108</v>
      </c>
      <c r="DF332">
        <v>2.0215091362595559E-2</v>
      </c>
      <c r="DG332" t="e">
        <v>#VALUE!</v>
      </c>
      <c r="DH332" t="s">
        <v>108</v>
      </c>
      <c r="DI332">
        <v>1.837735578417778E-2</v>
      </c>
      <c r="DJ332" t="e">
        <v>#VALUE!</v>
      </c>
      <c r="DK332" t="s">
        <v>108</v>
      </c>
      <c r="DL332">
        <v>1.6080186311155556E-2</v>
      </c>
      <c r="DM332">
        <v>-199000000</v>
      </c>
      <c r="DN332">
        <v>2.2971694730222224E-2</v>
      </c>
      <c r="DO332">
        <v>19285529000</v>
      </c>
      <c r="DP332" t="e">
        <v>#VALUE!</v>
      </c>
      <c r="DQ332">
        <v>331</v>
      </c>
      <c r="DR332" t="e">
        <v>#VALUE!</v>
      </c>
      <c r="DS332">
        <v>-1.5995061182975769</v>
      </c>
      <c r="DT332" t="e">
        <v>#VALUE!</v>
      </c>
      <c r="DU332">
        <v>-0.89833333333333332</v>
      </c>
      <c r="DV332" t="e">
        <v>#VALUE!</v>
      </c>
      <c r="DW332">
        <v>-5.5437003405221343</v>
      </c>
      <c r="DX332">
        <v>0.42373614830455381</v>
      </c>
      <c r="DY332">
        <v>-5.0618383825628621</v>
      </c>
      <c r="DZ332">
        <v>0</v>
      </c>
      <c r="EA332">
        <v>-5.0618383825628621</v>
      </c>
      <c r="EB332">
        <v>5</v>
      </c>
      <c r="EC332">
        <v>1.078897994834942E-2</v>
      </c>
      <c r="ED332">
        <v>9.485972673753118E-2</v>
      </c>
      <c r="EE332">
        <v>0</v>
      </c>
      <c r="EF332">
        <v>0</v>
      </c>
      <c r="EG332">
        <v>31.113736148304554</v>
      </c>
      <c r="EH332" t="s">
        <v>110</v>
      </c>
      <c r="EI332">
        <v>0</v>
      </c>
      <c r="EJ332">
        <v>0</v>
      </c>
      <c r="EK332">
        <v>0</v>
      </c>
      <c r="EL332">
        <v>0</v>
      </c>
      <c r="EM332">
        <v>0</v>
      </c>
      <c r="EN332">
        <v>0</v>
      </c>
      <c r="EO332">
        <v>0</v>
      </c>
      <c r="EP332">
        <v>0</v>
      </c>
    </row>
    <row r="333" spans="1:146" ht="96" x14ac:dyDescent="0.25">
      <c r="C333" s="7" t="str">
        <f>""&amp;CHAR(10)&amp;Basic_Fundamental_Information_Constructure(F333)&amp;CHAR(10)&amp;Basic_Fundamental_Information_Concatenate("")</f>
        <v xml:space="preserve">
市值19.973138亿, 利润--; PE; 平均PE37.13; 平均PEG3.32, PB2.27; ROIC0%; ROE0%; 股利率0%; 毛利0%; 净利0%, 利润增54.15%; 过往5年营收增11.19%, 利润增-12.7%
Income profile:
</v>
      </c>
      <c r="D333" s="11">
        <v>2105</v>
      </c>
      <c r="E333" t="s">
        <v>6375</v>
      </c>
      <c r="F333">
        <v>5.12</v>
      </c>
      <c r="G333">
        <v>-8.8999999999999996E-2</v>
      </c>
      <c r="H333" t="s">
        <v>10664</v>
      </c>
      <c r="I333">
        <v>1997313800</v>
      </c>
      <c r="K333">
        <v>2.27</v>
      </c>
      <c r="L333" t="s">
        <v>6350</v>
      </c>
      <c r="M333" t="s">
        <v>9</v>
      </c>
      <c r="N333" t="s">
        <v>9</v>
      </c>
      <c r="O333" t="s">
        <v>9</v>
      </c>
      <c r="P333" s="5" t="s">
        <v>9</v>
      </c>
      <c r="Q333" t="s">
        <v>9</v>
      </c>
      <c r="R333">
        <v>-404293910</v>
      </c>
      <c r="S333">
        <v>0.54149999999999998</v>
      </c>
      <c r="T333" t="s">
        <v>9</v>
      </c>
      <c r="U333">
        <v>390100350</v>
      </c>
      <c r="V333">
        <v>390100350</v>
      </c>
      <c r="W333" t="s">
        <v>9</v>
      </c>
      <c r="X333" t="s">
        <v>9</v>
      </c>
      <c r="Y333" t="s">
        <v>9</v>
      </c>
      <c r="Z333" t="s">
        <v>9</v>
      </c>
      <c r="AA333" t="s">
        <v>9</v>
      </c>
      <c r="AB333" t="s">
        <v>9</v>
      </c>
      <c r="AC333" t="s">
        <v>9</v>
      </c>
      <c r="AD333" t="s">
        <v>9</v>
      </c>
      <c r="AE333" t="s">
        <v>9</v>
      </c>
      <c r="AF333" t="s">
        <v>9</v>
      </c>
      <c r="AG333" t="s">
        <v>9</v>
      </c>
      <c r="AH333" t="s">
        <v>10665</v>
      </c>
      <c r="AI333" t="s">
        <v>9</v>
      </c>
      <c r="AJ333" t="s">
        <v>9</v>
      </c>
      <c r="AK333" s="5" t="s">
        <v>10666</v>
      </c>
      <c r="AL333" t="s">
        <v>9</v>
      </c>
      <c r="AM333" t="s">
        <v>9</v>
      </c>
      <c r="AN333">
        <v>0.1376</v>
      </c>
      <c r="AO333" t="s">
        <v>9</v>
      </c>
      <c r="AP333" t="s">
        <v>9</v>
      </c>
      <c r="AQ333" t="s">
        <v>9</v>
      </c>
      <c r="AR333" t="s">
        <v>9</v>
      </c>
      <c r="AS333" t="s">
        <v>9</v>
      </c>
      <c r="AT333" t="s">
        <v>9</v>
      </c>
      <c r="AU333" t="s">
        <v>9</v>
      </c>
      <c r="AV333" t="s">
        <v>9</v>
      </c>
      <c r="AW333" t="s">
        <v>9</v>
      </c>
      <c r="AX333" t="s">
        <v>9</v>
      </c>
      <c r="AY333" t="s">
        <v>9</v>
      </c>
      <c r="AZ333" t="s">
        <v>9</v>
      </c>
      <c r="BA333" t="s">
        <v>9</v>
      </c>
      <c r="BB333" t="s">
        <v>9</v>
      </c>
      <c r="BC333" t="s">
        <v>9</v>
      </c>
      <c r="BD333" t="s">
        <v>9</v>
      </c>
      <c r="BE333" t="s">
        <v>9</v>
      </c>
      <c r="BF333" t="s">
        <v>9</v>
      </c>
      <c r="BG333" t="s">
        <v>9</v>
      </c>
      <c r="BH333" t="s">
        <v>9</v>
      </c>
      <c r="BI333" t="s">
        <v>9</v>
      </c>
      <c r="BJ333" t="s">
        <v>9</v>
      </c>
      <c r="BK333" t="s">
        <v>9</v>
      </c>
      <c r="BL333" t="s">
        <v>9</v>
      </c>
      <c r="BM333" t="s">
        <v>9</v>
      </c>
      <c r="BN333" t="s">
        <v>9</v>
      </c>
      <c r="BO333" t="s">
        <v>9</v>
      </c>
      <c r="BP333" t="s">
        <v>9</v>
      </c>
      <c r="BQ333" t="s">
        <v>9</v>
      </c>
      <c r="BR333" t="s">
        <v>9</v>
      </c>
      <c r="BS333" t="s">
        <v>9</v>
      </c>
      <c r="BT333" t="s">
        <v>9</v>
      </c>
      <c r="BU333" t="s">
        <v>9</v>
      </c>
      <c r="BV333" t="s">
        <v>9</v>
      </c>
      <c r="BW333" t="s">
        <v>9</v>
      </c>
      <c r="BX333" t="s">
        <v>9</v>
      </c>
      <c r="BY333" t="s">
        <v>9</v>
      </c>
      <c r="BZ333" t="s">
        <v>9</v>
      </c>
      <c r="CA333" t="s">
        <v>9</v>
      </c>
      <c r="CB333">
        <v>-9.6999999999999993</v>
      </c>
      <c r="CC333" s="8">
        <v>-34.36</v>
      </c>
      <c r="CD333" s="10" t="s">
        <v>10667</v>
      </c>
      <c r="CE333" s="8" t="s">
        <v>10668</v>
      </c>
      <c r="CF333" s="8" t="s">
        <v>9</v>
      </c>
      <c r="CG333" s="8">
        <v>0.54149999999999998</v>
      </c>
      <c r="CH333" s="8" t="s">
        <v>9</v>
      </c>
      <c r="CI333" s="8" t="s">
        <v>9</v>
      </c>
      <c r="CJ333" s="9" t="s">
        <v>9</v>
      </c>
      <c r="CK333" s="9" t="s">
        <v>9</v>
      </c>
      <c r="CL333" s="9" t="s">
        <v>9</v>
      </c>
      <c r="CM333" s="9" t="s">
        <v>9</v>
      </c>
      <c r="CN333" s="9" t="s">
        <v>9</v>
      </c>
      <c r="CO333" t="s">
        <v>9</v>
      </c>
      <c r="CP333" t="s">
        <v>9</v>
      </c>
      <c r="CQ333" t="s">
        <v>9</v>
      </c>
      <c r="CR333" s="8">
        <v>37.132563432420973</v>
      </c>
      <c r="CS333" s="9">
        <v>3.319017723798058</v>
      </c>
      <c r="CT333">
        <v>0</v>
      </c>
      <c r="CU333">
        <v>0.1118781715631485</v>
      </c>
      <c r="CV333">
        <v>-0.12696463912725447</v>
      </c>
      <c r="CW333">
        <v>0.06</v>
      </c>
      <c r="CX333" t="e">
        <v>#DIV/0!</v>
      </c>
      <c r="CY333">
        <v>0</v>
      </c>
      <c r="CZ333">
        <v>0.1118781715631485</v>
      </c>
      <c r="DA333" t="e">
        <v>#DIV/0!</v>
      </c>
      <c r="DB333">
        <v>0</v>
      </c>
      <c r="DC333">
        <v>0.10628426298499107</v>
      </c>
      <c r="DD333" t="e">
        <v>#DIV/0!</v>
      </c>
      <c r="DE333">
        <v>0</v>
      </c>
      <c r="DF333">
        <v>9.8452790975570678E-2</v>
      </c>
      <c r="DG333" t="e">
        <v>#DIV/0!</v>
      </c>
      <c r="DH333">
        <v>0</v>
      </c>
      <c r="DI333">
        <v>8.9502537250518807E-2</v>
      </c>
      <c r="DJ333" t="e">
        <v>#DIV/0!</v>
      </c>
      <c r="DK333">
        <v>0</v>
      </c>
      <c r="DL333">
        <v>7.8314720094203941E-2</v>
      </c>
      <c r="DM333">
        <v>0</v>
      </c>
      <c r="DN333">
        <v>0.1118781715631485</v>
      </c>
      <c r="DO333">
        <v>1997313800</v>
      </c>
      <c r="DP333" t="e">
        <v>#VALUE!</v>
      </c>
      <c r="DQ333">
        <v>332</v>
      </c>
      <c r="DR333" t="e">
        <v>#VALUE!</v>
      </c>
      <c r="DS333">
        <v>0.6684646391272544</v>
      </c>
      <c r="DT333" t="e">
        <v>#VALUE!</v>
      </c>
      <c r="DU333" t="e">
        <v>#VALUE!</v>
      </c>
      <c r="DV333" t="e">
        <v>#VALUE!</v>
      </c>
      <c r="DW333">
        <v>-9.2823050058207226</v>
      </c>
      <c r="DX333">
        <v>0.42339272790710142</v>
      </c>
      <c r="DY333">
        <v>-9.0263652345954277</v>
      </c>
      <c r="DZ333">
        <v>0</v>
      </c>
      <c r="EA333">
        <v>-9.0263652345954277</v>
      </c>
      <c r="EB333">
        <v>9</v>
      </c>
      <c r="EC333">
        <v>1.3860536141533838E-2</v>
      </c>
      <c r="ED333">
        <v>0.14841129981042059</v>
      </c>
      <c r="EE333">
        <v>0</v>
      </c>
      <c r="EF333">
        <v>0</v>
      </c>
      <c r="EG333">
        <v>33.093392727907101</v>
      </c>
      <c r="EH333" t="s">
        <v>110</v>
      </c>
      <c r="EI333">
        <v>0</v>
      </c>
      <c r="EJ333">
        <v>0</v>
      </c>
      <c r="EK333">
        <v>0</v>
      </c>
      <c r="EL333">
        <v>0</v>
      </c>
      <c r="EM333">
        <v>0</v>
      </c>
      <c r="EN333">
        <v>0</v>
      </c>
      <c r="EO333">
        <v>0</v>
      </c>
      <c r="EP333">
        <v>0</v>
      </c>
    </row>
    <row r="334" spans="1:146" ht="96" x14ac:dyDescent="0.25">
      <c r="A334" s="7"/>
      <c r="B334" s="7"/>
      <c r="C334" s="7" t="str">
        <f>""&amp;CHAR(10)&amp;Basic_Fundamental_Information_Constructure(F334)&amp;CHAR(10)&amp;Basic_Fundamental_Information_Concatenate("")</f>
        <v xml:space="preserve">
市值30.343225亿, 利润-6.38亿; PE; 平均PE-9.57; 平均PEG-3.48, PB1.36; ROIC-48.13%; ROE-26.7667%; 股利率0%; 毛利32.3967%; 净利-43.17%; 上一年度营收增9.22%, 利润增18.21%, 利润增-55.87%; 过往5年营收增-2.75%, 利润增-5.38%
Income profile:
</v>
      </c>
      <c r="D334" s="11">
        <v>2121</v>
      </c>
      <c r="E334" t="s">
        <v>4580</v>
      </c>
      <c r="F334">
        <v>5.37</v>
      </c>
      <c r="G334" s="5">
        <v>-7.5700000000000003E-2</v>
      </c>
      <c r="H334" t="s">
        <v>10669</v>
      </c>
      <c r="I334">
        <v>3034322500</v>
      </c>
      <c r="K334">
        <v>1.36</v>
      </c>
      <c r="L334" t="s">
        <v>6350</v>
      </c>
      <c r="M334" t="s">
        <v>9</v>
      </c>
      <c r="N334" t="s">
        <v>9</v>
      </c>
      <c r="O334" t="s">
        <v>9</v>
      </c>
      <c r="P334" t="s">
        <v>9</v>
      </c>
      <c r="Q334" t="s">
        <v>7650</v>
      </c>
      <c r="R334">
        <v>-638357820</v>
      </c>
      <c r="S334" s="5">
        <v>-0.55869999999999997</v>
      </c>
      <c r="T334" t="s">
        <v>6273</v>
      </c>
      <c r="U334">
        <v>565050740</v>
      </c>
      <c r="V334">
        <v>565050740</v>
      </c>
      <c r="W334" t="s">
        <v>9</v>
      </c>
      <c r="X334" t="s">
        <v>9</v>
      </c>
      <c r="Y334" t="s">
        <v>9</v>
      </c>
      <c r="Z334" t="s">
        <v>9</v>
      </c>
      <c r="AA334" t="s">
        <v>9</v>
      </c>
      <c r="AB334" t="s">
        <v>9</v>
      </c>
      <c r="AC334" t="s">
        <v>9</v>
      </c>
      <c r="AD334" t="s">
        <v>4576</v>
      </c>
      <c r="AE334" t="s">
        <v>9</v>
      </c>
      <c r="AF334" t="s">
        <v>9</v>
      </c>
      <c r="AG334" t="s">
        <v>9</v>
      </c>
      <c r="AH334" t="s">
        <v>10670</v>
      </c>
      <c r="AI334" t="s">
        <v>9</v>
      </c>
      <c r="AJ334" t="s">
        <v>9</v>
      </c>
      <c r="AK334" t="s">
        <v>10671</v>
      </c>
      <c r="AL334" t="s">
        <v>9</v>
      </c>
      <c r="AM334" t="s">
        <v>9</v>
      </c>
      <c r="AN334" s="5">
        <v>0.32379999999999998</v>
      </c>
      <c r="AO334" t="s">
        <v>9</v>
      </c>
      <c r="AP334" t="s">
        <v>114</v>
      </c>
      <c r="AQ334" t="s">
        <v>9</v>
      </c>
      <c r="AR334" t="s">
        <v>4151</v>
      </c>
      <c r="AS334" t="s">
        <v>9</v>
      </c>
      <c r="AT334" t="s">
        <v>9</v>
      </c>
      <c r="AU334" t="s">
        <v>7020</v>
      </c>
      <c r="AV334" t="s">
        <v>2206</v>
      </c>
      <c r="AW334" t="s">
        <v>9</v>
      </c>
      <c r="AX334" t="s">
        <v>4581</v>
      </c>
      <c r="AY334" t="s">
        <v>3778</v>
      </c>
      <c r="AZ334" t="s">
        <v>4583</v>
      </c>
      <c r="BA334" t="s">
        <v>9</v>
      </c>
      <c r="BB334" t="s">
        <v>9</v>
      </c>
      <c r="BC334" t="s">
        <v>4584</v>
      </c>
      <c r="BD334" t="s">
        <v>4585</v>
      </c>
      <c r="BE334" t="s">
        <v>9</v>
      </c>
      <c r="BF334" t="s">
        <v>9</v>
      </c>
      <c r="BG334" t="s">
        <v>9</v>
      </c>
      <c r="BH334" t="s">
        <v>4581</v>
      </c>
      <c r="BI334" t="s">
        <v>9</v>
      </c>
      <c r="BJ334" t="s">
        <v>3778</v>
      </c>
      <c r="BK334" t="s">
        <v>4582</v>
      </c>
      <c r="BL334" t="s">
        <v>9</v>
      </c>
      <c r="BM334" t="s">
        <v>4584</v>
      </c>
      <c r="BN334">
        <v>-26.25</v>
      </c>
      <c r="BO334">
        <v>-17.66</v>
      </c>
      <c r="BP334">
        <v>-100.48</v>
      </c>
      <c r="BQ334">
        <v>-28.64</v>
      </c>
      <c r="BR334">
        <v>-16</v>
      </c>
      <c r="BS334">
        <v>-35.659999999999997</v>
      </c>
      <c r="BT334" t="s">
        <v>254</v>
      </c>
      <c r="BU334" t="s">
        <v>551</v>
      </c>
      <c r="BV334">
        <v>33.61</v>
      </c>
      <c r="BW334">
        <v>32.549999999999997</v>
      </c>
      <c r="BX334">
        <v>31.03</v>
      </c>
      <c r="BY334">
        <v>-32.57</v>
      </c>
      <c r="BZ334">
        <v>-23.19</v>
      </c>
      <c r="CA334">
        <v>-73.75</v>
      </c>
      <c r="CB334">
        <v>-8.2100000000000009</v>
      </c>
      <c r="CC334">
        <v>3.47</v>
      </c>
      <c r="CD334" t="s">
        <v>10672</v>
      </c>
      <c r="CE334" t="s">
        <v>834</v>
      </c>
      <c r="CF334" s="8" t="s">
        <v>9</v>
      </c>
      <c r="CG334" s="9">
        <v>-0.55869999999999997</v>
      </c>
      <c r="CH334" s="8">
        <v>9.2202693223953247E-2</v>
      </c>
      <c r="CI334" s="8">
        <v>0.66540277004241943</v>
      </c>
      <c r="CJ334" s="8">
        <v>0.91470056772232056</v>
      </c>
      <c r="CK334" s="8" t="s">
        <v>9</v>
      </c>
      <c r="CL334" s="8" t="s">
        <v>9</v>
      </c>
      <c r="CM334" s="9">
        <v>0.18205128610134125</v>
      </c>
      <c r="CN334" s="9">
        <v>-0.8139534592628479</v>
      </c>
      <c r="CO334" s="9" t="s">
        <v>9</v>
      </c>
      <c r="CP334" s="9" t="s">
        <v>9</v>
      </c>
      <c r="CQ334" s="9" t="s">
        <v>9</v>
      </c>
      <c r="CR334">
        <v>-9.5730169939273217</v>
      </c>
      <c r="CS334">
        <v>-3.4789848259600373</v>
      </c>
      <c r="CT334">
        <v>0</v>
      </c>
      <c r="CU334" s="8">
        <v>-2.7516696602106094E-2</v>
      </c>
      <c r="CV334" s="9">
        <v>-5.378003120422363E-2</v>
      </c>
      <c r="CW334">
        <v>0.06</v>
      </c>
      <c r="CX334" t="e">
        <v>#VALUE!</v>
      </c>
      <c r="CY334" t="s">
        <v>109</v>
      </c>
      <c r="CZ334">
        <v>-2.7516696602106094E-2</v>
      </c>
      <c r="DA334" t="e">
        <v>#VALUE!</v>
      </c>
      <c r="DB334" t="s">
        <v>108</v>
      </c>
      <c r="DC334">
        <v>-2.6140861772000788E-2</v>
      </c>
      <c r="DD334" t="e">
        <v>#VALUE!</v>
      </c>
      <c r="DE334" t="s">
        <v>108</v>
      </c>
      <c r="DF334">
        <v>-2.4214693009853364E-2</v>
      </c>
      <c r="DG334" t="e">
        <v>#VALUE!</v>
      </c>
      <c r="DH334" t="s">
        <v>108</v>
      </c>
      <c r="DI334">
        <v>-2.2013357281684878E-2</v>
      </c>
      <c r="DJ334" t="e">
        <v>#VALUE!</v>
      </c>
      <c r="DK334" t="s">
        <v>108</v>
      </c>
      <c r="DL334">
        <v>-1.9261687621474264E-2</v>
      </c>
      <c r="DM334">
        <v>-638000000</v>
      </c>
      <c r="DN334">
        <v>-2.7516696602106094E-2</v>
      </c>
      <c r="DO334">
        <v>3034322500</v>
      </c>
      <c r="DP334" t="e">
        <v>#VALUE!</v>
      </c>
      <c r="DQ334">
        <v>333</v>
      </c>
      <c r="DR334" t="e">
        <v>#VALUE!</v>
      </c>
      <c r="DS334">
        <v>-0.50491996879577639</v>
      </c>
      <c r="DT334" t="e">
        <v>#VALUE!</v>
      </c>
      <c r="DU334" t="e">
        <v>#VALUE!</v>
      </c>
      <c r="DV334" t="e">
        <v>#VALUE!</v>
      </c>
      <c r="DW334">
        <v>-5.422655298416565</v>
      </c>
      <c r="DX334">
        <v>0.7125225296442681</v>
      </c>
      <c r="DY334">
        <v>-5.1194096440762014</v>
      </c>
      <c r="DZ334">
        <v>0</v>
      </c>
      <c r="EA334">
        <v>-5.1194096440762014</v>
      </c>
      <c r="EB334">
        <v>5</v>
      </c>
      <c r="EC334">
        <v>0.12649872823810476</v>
      </c>
      <c r="ED334">
        <v>0.44774740052548195</v>
      </c>
      <c r="EE334">
        <v>0</v>
      </c>
      <c r="EF334">
        <v>0</v>
      </c>
      <c r="EG334">
        <v>43.282522529644268</v>
      </c>
      <c r="EH334" t="s">
        <v>110</v>
      </c>
      <c r="EI334">
        <v>0</v>
      </c>
      <c r="EJ334">
        <v>0</v>
      </c>
      <c r="EK334">
        <v>0</v>
      </c>
      <c r="EL334">
        <v>0</v>
      </c>
      <c r="EM334">
        <v>0</v>
      </c>
      <c r="EN334">
        <v>0</v>
      </c>
      <c r="EO334">
        <v>0</v>
      </c>
      <c r="EP334">
        <v>0</v>
      </c>
    </row>
    <row r="335" spans="1:146" ht="96" x14ac:dyDescent="0.25">
      <c r="A335" s="7"/>
      <c r="B335" s="7"/>
      <c r="C335" s="7" t="str">
        <f>""&amp;CHAR(10)&amp;Basic_Fundamental_Information_Constructure(F335)&amp;CHAR(10)&amp;Basic_Fundamental_Information_Concatenate("")</f>
        <v xml:space="preserve">
市值103.000291亿, 利润25.96亿; PE3.97; 平均PE10; 平均PEG7.2, PB.4; ROIC6.6767%; ROE12.0967%; 股利率0%; 毛利26.4833%; 净利8.37%; 上一年度营收增-2.51%, 利润增-30.36%, 利润增-8.73%; 过往5年营收增-1.39%, 利润增-6.67%
Income profile:
</v>
      </c>
      <c r="D335" s="11">
        <v>2128</v>
      </c>
      <c r="E335" t="s">
        <v>4586</v>
      </c>
      <c r="F335">
        <v>3.32</v>
      </c>
      <c r="G335" s="5">
        <v>-2.06E-2</v>
      </c>
      <c r="H335" t="s">
        <v>10673</v>
      </c>
      <c r="I335">
        <v>10300029100</v>
      </c>
      <c r="J335">
        <v>3.97</v>
      </c>
      <c r="K335">
        <v>0.4</v>
      </c>
      <c r="L335" t="s">
        <v>6350</v>
      </c>
      <c r="M335" t="s">
        <v>9</v>
      </c>
      <c r="N335" t="s">
        <v>9</v>
      </c>
      <c r="O335" t="s">
        <v>9</v>
      </c>
      <c r="P335" t="s">
        <v>9</v>
      </c>
      <c r="Q335" t="s">
        <v>10674</v>
      </c>
      <c r="R335">
        <v>2595869600</v>
      </c>
      <c r="S335" s="5">
        <v>-8.7300000000000003E-2</v>
      </c>
      <c r="T335" t="s">
        <v>10675</v>
      </c>
      <c r="U335">
        <v>3102418400</v>
      </c>
      <c r="V335">
        <v>3102418400</v>
      </c>
      <c r="W335" t="s">
        <v>9</v>
      </c>
      <c r="X335" t="s">
        <v>9</v>
      </c>
      <c r="Y335" t="s">
        <v>9</v>
      </c>
      <c r="Z335" t="s">
        <v>9</v>
      </c>
      <c r="AA335" t="s">
        <v>9</v>
      </c>
      <c r="AB335" t="s">
        <v>9</v>
      </c>
      <c r="AC335" t="s">
        <v>9</v>
      </c>
      <c r="AD335" t="s">
        <v>4609</v>
      </c>
      <c r="AE335" t="s">
        <v>9</v>
      </c>
      <c r="AF335" t="s">
        <v>9</v>
      </c>
      <c r="AG335" t="s">
        <v>9</v>
      </c>
      <c r="AH335" t="s">
        <v>10676</v>
      </c>
      <c r="AI335" t="s">
        <v>9</v>
      </c>
      <c r="AJ335" t="s">
        <v>9</v>
      </c>
      <c r="AK335" t="s">
        <v>10677</v>
      </c>
      <c r="AL335" t="s">
        <v>9</v>
      </c>
      <c r="AM335" t="s">
        <v>9</v>
      </c>
      <c r="AN335" s="5">
        <v>0.59499999999999997</v>
      </c>
      <c r="AO335" t="s">
        <v>9</v>
      </c>
      <c r="AP335" t="s">
        <v>10678</v>
      </c>
      <c r="AQ335" t="s">
        <v>9</v>
      </c>
      <c r="AR335" t="s">
        <v>10679</v>
      </c>
      <c r="AS335" t="s">
        <v>9</v>
      </c>
      <c r="AT335" t="s">
        <v>9</v>
      </c>
      <c r="AU335" t="s">
        <v>10680</v>
      </c>
      <c r="AV335" t="s">
        <v>10681</v>
      </c>
      <c r="AW335" t="s">
        <v>9</v>
      </c>
      <c r="AX335" t="s">
        <v>4587</v>
      </c>
      <c r="AY335" t="s">
        <v>4589</v>
      </c>
      <c r="AZ335" t="s">
        <v>4590</v>
      </c>
      <c r="BA335" t="s">
        <v>4591</v>
      </c>
      <c r="BB335" t="s">
        <v>4592</v>
      </c>
      <c r="BC335" t="s">
        <v>1368</v>
      </c>
      <c r="BD335" t="s">
        <v>1381</v>
      </c>
      <c r="BE335" t="s">
        <v>4593</v>
      </c>
      <c r="BF335" t="s">
        <v>4594</v>
      </c>
      <c r="BG335" t="s">
        <v>2967</v>
      </c>
      <c r="BH335" t="s">
        <v>4587</v>
      </c>
      <c r="BI335" t="s">
        <v>9</v>
      </c>
      <c r="BJ335" t="s">
        <v>4589</v>
      </c>
      <c r="BK335" t="s">
        <v>4588</v>
      </c>
      <c r="BL335" t="s">
        <v>9</v>
      </c>
      <c r="BM335" t="s">
        <v>1368</v>
      </c>
      <c r="BN335">
        <v>5.59</v>
      </c>
      <c r="BO335">
        <v>6.26</v>
      </c>
      <c r="BP335">
        <v>8.18</v>
      </c>
      <c r="BQ335">
        <v>10.08</v>
      </c>
      <c r="BR335">
        <v>11.55</v>
      </c>
      <c r="BS335">
        <v>14.66</v>
      </c>
      <c r="BT335" t="s">
        <v>4595</v>
      </c>
      <c r="BU335" t="s">
        <v>1446</v>
      </c>
      <c r="BV335">
        <v>26.31</v>
      </c>
      <c r="BW335">
        <v>26.79</v>
      </c>
      <c r="BX335">
        <v>26.35</v>
      </c>
      <c r="BY335">
        <v>7.52</v>
      </c>
      <c r="BZ335">
        <v>8.17</v>
      </c>
      <c r="CA335">
        <v>9.42</v>
      </c>
      <c r="CB335">
        <v>-3.77</v>
      </c>
      <c r="CC335">
        <v>-13.77</v>
      </c>
      <c r="CD335" t="s">
        <v>10682</v>
      </c>
      <c r="CE335" t="s">
        <v>2335</v>
      </c>
      <c r="CF335" s="8" t="s">
        <v>9</v>
      </c>
      <c r="CG335" s="9">
        <v>-8.7300000000000003E-2</v>
      </c>
      <c r="CH335" s="8">
        <v>-2.5066284462809563E-2</v>
      </c>
      <c r="CI335" s="8">
        <v>-0.11583233624696732</v>
      </c>
      <c r="CJ335" s="8">
        <v>0.17319181561470032</v>
      </c>
      <c r="CK335" s="8">
        <v>0.23820453882217407</v>
      </c>
      <c r="CL335" s="8">
        <v>0.10704630613327026</v>
      </c>
      <c r="CM335" s="9">
        <v>-0.30364805459976196</v>
      </c>
      <c r="CN335" s="9">
        <v>-0.16618207097053528</v>
      </c>
      <c r="CO335" s="9">
        <v>0.32278108596801758</v>
      </c>
      <c r="CP335" s="9">
        <v>0.19139939546585083</v>
      </c>
      <c r="CQ335" s="9">
        <v>3.2011643052101135E-2</v>
      </c>
      <c r="CR335">
        <v>10.000028252427185</v>
      </c>
      <c r="CS335">
        <v>7.1983094620132366</v>
      </c>
      <c r="CT335">
        <v>0</v>
      </c>
      <c r="CU335" s="8">
        <v>-1.3892189972102642E-2</v>
      </c>
      <c r="CV335" s="9">
        <v>-6.6716025024652487E-2</v>
      </c>
      <c r="CW335">
        <v>0.06</v>
      </c>
      <c r="CX335">
        <v>3.9676537365177196</v>
      </c>
      <c r="CY335" t="s">
        <v>10683</v>
      </c>
      <c r="CZ335">
        <v>-1.3892189972102642E-2</v>
      </c>
      <c r="DA335">
        <v>1.3225512455059065</v>
      </c>
      <c r="DB335" t="s">
        <v>10684</v>
      </c>
      <c r="DC335">
        <v>-1.3197580473497509E-2</v>
      </c>
      <c r="DD335">
        <v>0.66127562275295326</v>
      </c>
      <c r="DE335" t="s">
        <v>10685</v>
      </c>
      <c r="DF335">
        <v>-1.2225127175450325E-2</v>
      </c>
      <c r="DG335">
        <v>0.39676537365177195</v>
      </c>
      <c r="DH335" t="s">
        <v>10686</v>
      </c>
      <c r="DI335">
        <v>-1.1113751977682114E-2</v>
      </c>
      <c r="DJ335">
        <v>0.19838268682588597</v>
      </c>
      <c r="DK335" t="s">
        <v>10687</v>
      </c>
      <c r="DL335">
        <v>-9.7245329804718488E-3</v>
      </c>
      <c r="DM335">
        <v>2596000000</v>
      </c>
      <c r="DN335">
        <v>-1.3892189972102642E-2</v>
      </c>
      <c r="DO335">
        <v>10300029100</v>
      </c>
      <c r="DP335" t="e">
        <v>#VALUE!</v>
      </c>
      <c r="DQ335">
        <v>334</v>
      </c>
      <c r="DR335" t="e">
        <v>#VALUE!</v>
      </c>
      <c r="DS335">
        <v>-2.0583974975347516E-2</v>
      </c>
      <c r="DT335" t="e">
        <v>#VALUE!</v>
      </c>
      <c r="DU335" t="e">
        <v>#VALUE!</v>
      </c>
      <c r="DV335" t="e">
        <v>#VALUE!</v>
      </c>
      <c r="DW335">
        <v>-8.2737835875090777</v>
      </c>
      <c r="DX335">
        <v>0.52096338461538116</v>
      </c>
      <c r="DY335">
        <v>-8.0303799535221501</v>
      </c>
      <c r="DZ335">
        <v>0</v>
      </c>
      <c r="EA335">
        <v>-8.0303799535221501</v>
      </c>
      <c r="EB335">
        <v>8</v>
      </c>
      <c r="EC335">
        <v>1.1624189696657291E-2</v>
      </c>
      <c r="ED335">
        <v>0.10475698571153394</v>
      </c>
      <c r="EE335">
        <v>0</v>
      </c>
      <c r="EF335">
        <v>0</v>
      </c>
      <c r="EG335">
        <v>41.110963384615381</v>
      </c>
      <c r="EH335" t="s">
        <v>110</v>
      </c>
      <c r="EI335">
        <v>0</v>
      </c>
      <c r="EJ335">
        <v>0</v>
      </c>
      <c r="EK335">
        <v>0</v>
      </c>
      <c r="EL335">
        <v>0</v>
      </c>
      <c r="EM335">
        <v>0</v>
      </c>
      <c r="EN335">
        <v>0</v>
      </c>
      <c r="EO335">
        <v>0</v>
      </c>
      <c r="EP335">
        <v>0</v>
      </c>
    </row>
    <row r="336" spans="1:146" ht="96" x14ac:dyDescent="0.25">
      <c r="A336" s="7"/>
      <c r="B336" s="7"/>
      <c r="C336" s="7" t="str">
        <f>""&amp;CHAR(10)&amp;Basic_Fundamental_Information_Constructure(F336)&amp;CHAR(10)&amp;Basic_Fundamental_Information_Concatenate("")</f>
        <v xml:space="preserve">
市值17.89669亿, 利润1.98亿; PE; 平均PE7.36; 平均PEG3.11, PB.952; ROIC14.3767%; ROE18.0933%; 股利率0%; 毛利100%; 净利12.01%; 上一年度营收增40.38%, 利润增2.59%, 利润增-50.04%; 过往5年营收增2.37%, 利润增11.06%
Income profile:
</v>
      </c>
      <c r="D336" s="11">
        <v>2138</v>
      </c>
      <c r="E336" t="s">
        <v>4596</v>
      </c>
      <c r="F336">
        <v>1.51</v>
      </c>
      <c r="G336" s="5">
        <v>1.34E-2</v>
      </c>
      <c r="H336" t="s">
        <v>6462</v>
      </c>
      <c r="I336">
        <v>1789669000</v>
      </c>
      <c r="K336">
        <v>0.95199999999999996</v>
      </c>
      <c r="L336" t="s">
        <v>6350</v>
      </c>
      <c r="M336" t="s">
        <v>9</v>
      </c>
      <c r="N336" t="s">
        <v>9</v>
      </c>
      <c r="O336" t="s">
        <v>9</v>
      </c>
      <c r="P336" t="s">
        <v>9</v>
      </c>
      <c r="Q336" t="s">
        <v>4597</v>
      </c>
      <c r="R336">
        <v>80046000</v>
      </c>
      <c r="S336" s="5">
        <v>-0.50039999999999996</v>
      </c>
      <c r="T336" t="s">
        <v>240</v>
      </c>
      <c r="U336">
        <v>1185211270</v>
      </c>
      <c r="V336">
        <v>1185211270</v>
      </c>
      <c r="W336" t="s">
        <v>9</v>
      </c>
      <c r="X336" t="s">
        <v>9</v>
      </c>
      <c r="Y336" t="s">
        <v>9</v>
      </c>
      <c r="Z336" t="s">
        <v>9</v>
      </c>
      <c r="AA336" t="s">
        <v>9</v>
      </c>
      <c r="AB336" t="s">
        <v>9</v>
      </c>
      <c r="AC336" t="s">
        <v>9</v>
      </c>
      <c r="AD336" t="s">
        <v>9</v>
      </c>
      <c r="AE336" t="s">
        <v>9</v>
      </c>
      <c r="AF336" t="s">
        <v>9</v>
      </c>
      <c r="AG336" t="s">
        <v>9</v>
      </c>
      <c r="AH336" t="s">
        <v>4598</v>
      </c>
      <c r="AI336" t="s">
        <v>9</v>
      </c>
      <c r="AJ336" t="s">
        <v>9</v>
      </c>
      <c r="AK336" t="s">
        <v>4599</v>
      </c>
      <c r="AL336" t="s">
        <v>9</v>
      </c>
      <c r="AM336" t="s">
        <v>9</v>
      </c>
      <c r="AN336" s="5">
        <v>0.5383</v>
      </c>
      <c r="AO336" t="s">
        <v>9</v>
      </c>
      <c r="AP336" t="s">
        <v>4600</v>
      </c>
      <c r="AQ336" t="s">
        <v>9</v>
      </c>
      <c r="AR336" t="s">
        <v>4601</v>
      </c>
      <c r="AS336" t="s">
        <v>9</v>
      </c>
      <c r="AT336" t="s">
        <v>9</v>
      </c>
      <c r="AU336" t="s">
        <v>95</v>
      </c>
      <c r="AV336" t="s">
        <v>4602</v>
      </c>
      <c r="AW336" t="s">
        <v>9</v>
      </c>
      <c r="AX336" t="s">
        <v>1290</v>
      </c>
      <c r="AY336" t="s">
        <v>4603</v>
      </c>
      <c r="AZ336" t="s">
        <v>705</v>
      </c>
      <c r="BA336" t="s">
        <v>1492</v>
      </c>
      <c r="BB336" t="s">
        <v>3007</v>
      </c>
      <c r="BC336" t="s">
        <v>3700</v>
      </c>
      <c r="BD336" t="s">
        <v>246</v>
      </c>
      <c r="BE336" t="s">
        <v>909</v>
      </c>
      <c r="BF336" t="s">
        <v>3690</v>
      </c>
      <c r="BG336" t="s">
        <v>1001</v>
      </c>
      <c r="BH336" t="s">
        <v>4597</v>
      </c>
      <c r="BI336" t="s">
        <v>9</v>
      </c>
      <c r="BJ336" t="s">
        <v>1290</v>
      </c>
      <c r="BK336" t="s">
        <v>240</v>
      </c>
      <c r="BL336" t="s">
        <v>9</v>
      </c>
      <c r="BM336" t="s">
        <v>3700</v>
      </c>
      <c r="BN336">
        <v>10.09</v>
      </c>
      <c r="BO336">
        <v>12.6</v>
      </c>
      <c r="BP336">
        <v>20.440000000000001</v>
      </c>
      <c r="BQ336">
        <v>10.5</v>
      </c>
      <c r="BR336">
        <v>15.2</v>
      </c>
      <c r="BS336">
        <v>28.58</v>
      </c>
      <c r="BT336" t="s">
        <v>924</v>
      </c>
      <c r="BU336" t="s">
        <v>2382</v>
      </c>
      <c r="BV336">
        <v>100</v>
      </c>
      <c r="BW336">
        <v>100</v>
      </c>
      <c r="BX336">
        <v>100</v>
      </c>
      <c r="BY336">
        <v>9.27</v>
      </c>
      <c r="BZ336">
        <v>10.84</v>
      </c>
      <c r="CA336">
        <v>15.92</v>
      </c>
      <c r="CB336">
        <v>8.6300000000000008</v>
      </c>
      <c r="CC336">
        <v>7.86</v>
      </c>
      <c r="CD336" t="s">
        <v>6463</v>
      </c>
      <c r="CE336" t="s">
        <v>107</v>
      </c>
      <c r="CF336" s="8" t="s">
        <v>9</v>
      </c>
      <c r="CG336" s="9">
        <v>-0.50039999999999996</v>
      </c>
      <c r="CH336" s="8">
        <v>0.4038461446762085</v>
      </c>
      <c r="CI336" s="8">
        <v>6.7213989794254303E-2</v>
      </c>
      <c r="CJ336" s="8">
        <v>5.2375774830579758E-2</v>
      </c>
      <c r="CK336" s="8">
        <v>0.41590213775634766</v>
      </c>
      <c r="CL336" s="8">
        <v>0.3554404079914093</v>
      </c>
      <c r="CM336" s="9">
        <v>2.590673603117466E-2</v>
      </c>
      <c r="CN336" s="9">
        <v>-0.32752612233161926</v>
      </c>
      <c r="CO336" s="9">
        <v>-0.20498615503311157</v>
      </c>
      <c r="CP336" s="9">
        <v>0.2939068078994751</v>
      </c>
      <c r="CQ336" s="9">
        <v>0.38805970549583435</v>
      </c>
      <c r="CR336">
        <v>7.3648930041152267</v>
      </c>
      <c r="CS336">
        <v>3.113345867698349</v>
      </c>
      <c r="CT336">
        <v>0</v>
      </c>
      <c r="CU336" s="8">
        <v>2.3655878007411958E-2</v>
      </c>
      <c r="CV336" s="9">
        <v>0.11059907525777816</v>
      </c>
      <c r="CW336">
        <v>0.06</v>
      </c>
      <c r="CX336">
        <v>9.3596456274702202</v>
      </c>
      <c r="CY336">
        <v>191211192.30704486</v>
      </c>
      <c r="CZ336">
        <v>2.3655878007411958E-2</v>
      </c>
      <c r="DA336">
        <v>3.2367277563848145</v>
      </c>
      <c r="DB336">
        <v>552925403.27794755</v>
      </c>
      <c r="DC336">
        <v>2.2473084107041359E-2</v>
      </c>
      <c r="DD336">
        <v>1.7151842926889382</v>
      </c>
      <c r="DE336">
        <v>1043426649.6192605</v>
      </c>
      <c r="DF336">
        <v>2.0817172646522525E-2</v>
      </c>
      <c r="DG336">
        <v>1.1161275775640898</v>
      </c>
      <c r="DH336">
        <v>1603462754.5946777</v>
      </c>
      <c r="DI336">
        <v>1.8924702405929569E-2</v>
      </c>
      <c r="DJ336">
        <v>0.68128186444447836</v>
      </c>
      <c r="DK336">
        <v>2626914194.2583599</v>
      </c>
      <c r="DL336">
        <v>1.6559114605188368E-2</v>
      </c>
      <c r="DM336">
        <v>198000000</v>
      </c>
      <c r="DN336">
        <v>2.3655878007411958E-2</v>
      </c>
      <c r="DO336">
        <v>1789669000</v>
      </c>
      <c r="DP336" t="e">
        <v>#VALUE!</v>
      </c>
      <c r="DQ336">
        <v>342</v>
      </c>
      <c r="DR336" t="e">
        <v>#VALUE!</v>
      </c>
      <c r="DS336">
        <v>-0.61099907525777808</v>
      </c>
      <c r="DT336" t="e">
        <v>#VALUE!</v>
      </c>
      <c r="DU336" t="e">
        <v>#VALUE!</v>
      </c>
      <c r="DV336" t="e">
        <v>#VALUE!</v>
      </c>
      <c r="DW336">
        <v>5.9107763615295479</v>
      </c>
      <c r="DX336">
        <v>1.0622586206896534</v>
      </c>
      <c r="DY336">
        <v>5.3208288248691415</v>
      </c>
      <c r="DZ336">
        <v>0</v>
      </c>
      <c r="EA336">
        <v>5.3208288248691415</v>
      </c>
      <c r="EB336">
        <v>5</v>
      </c>
      <c r="EC336">
        <v>3.4476553703374761E-2</v>
      </c>
      <c r="ED336">
        <v>9.7872845910417297E-2</v>
      </c>
      <c r="EE336">
        <v>0</v>
      </c>
      <c r="EF336">
        <v>0</v>
      </c>
      <c r="EG336">
        <v>71.352258620689653</v>
      </c>
      <c r="EH336" t="s">
        <v>110</v>
      </c>
      <c r="EI336">
        <v>1</v>
      </c>
      <c r="EJ336">
        <v>0</v>
      </c>
      <c r="EK336">
        <v>0</v>
      </c>
      <c r="EL336">
        <v>0</v>
      </c>
      <c r="EM336">
        <v>0</v>
      </c>
      <c r="EN336">
        <v>0</v>
      </c>
      <c r="EO336">
        <v>0</v>
      </c>
      <c r="EP336">
        <v>0</v>
      </c>
    </row>
    <row r="337" spans="1:146" ht="96" x14ac:dyDescent="0.25">
      <c r="A337" s="7"/>
      <c r="B337" s="7"/>
      <c r="C337" s="7" t="str">
        <f>""&amp;CHAR(10)&amp;Basic_Fundamental_Information_Constructure(F337)&amp;CHAR(10)&amp;Basic_Fundamental_Information_Concatenate("")</f>
        <v xml:space="preserve">
市值164.15763亿, 利润5.05亿; PE32.48; 平均PE86.02; 平均PEG5.39, PB7.45; ROIC14.54%; ROE22.4167%; 股利率0%; 毛利67.79%; 净利8.07%; 上一年度营收增52.22%, 利润增21.69%, 利润增204.6%; 过往5年营收增15.97%, 利润增20.32%
Income profile:
</v>
      </c>
      <c r="D337" s="11">
        <v>2145</v>
      </c>
      <c r="E337" t="s">
        <v>4604</v>
      </c>
      <c r="F337">
        <v>41.25</v>
      </c>
      <c r="G337" s="5">
        <v>-3.2800000000000003E-2</v>
      </c>
      <c r="H337" t="s">
        <v>10688</v>
      </c>
      <c r="I337">
        <v>16415763000</v>
      </c>
      <c r="J337">
        <v>32.479999999999997</v>
      </c>
      <c r="K337">
        <v>7.45</v>
      </c>
      <c r="L337" t="s">
        <v>6350</v>
      </c>
      <c r="M337" t="s">
        <v>9</v>
      </c>
      <c r="N337" t="s">
        <v>9</v>
      </c>
      <c r="O337" t="s">
        <v>9</v>
      </c>
      <c r="P337" t="s">
        <v>9</v>
      </c>
      <c r="Q337" t="s">
        <v>1277</v>
      </c>
      <c r="R337">
        <v>505462200</v>
      </c>
      <c r="S337" s="5">
        <v>2.0459999999999998</v>
      </c>
      <c r="T337" t="s">
        <v>3357</v>
      </c>
      <c r="U337">
        <v>197343760</v>
      </c>
      <c r="V337">
        <v>397957900</v>
      </c>
      <c r="W337" t="s">
        <v>9</v>
      </c>
      <c r="X337" t="s">
        <v>9</v>
      </c>
      <c r="Y337" t="s">
        <v>9</v>
      </c>
      <c r="Z337" t="s">
        <v>9</v>
      </c>
      <c r="AA337" t="s">
        <v>9</v>
      </c>
      <c r="AB337" t="s">
        <v>9</v>
      </c>
      <c r="AC337" t="s">
        <v>9</v>
      </c>
      <c r="AD337" t="s">
        <v>1133</v>
      </c>
      <c r="AE337" t="s">
        <v>9</v>
      </c>
      <c r="AF337" t="s">
        <v>9</v>
      </c>
      <c r="AG337" t="s">
        <v>9</v>
      </c>
      <c r="AH337" t="s">
        <v>10689</v>
      </c>
      <c r="AI337" t="s">
        <v>9</v>
      </c>
      <c r="AJ337" t="s">
        <v>9</v>
      </c>
      <c r="AK337" t="s">
        <v>10690</v>
      </c>
      <c r="AL337" t="s">
        <v>9</v>
      </c>
      <c r="AM337" t="s">
        <v>9</v>
      </c>
      <c r="AN337" s="5">
        <v>0.35139999999999999</v>
      </c>
      <c r="AO337" t="s">
        <v>9</v>
      </c>
      <c r="AP337" t="s">
        <v>737</v>
      </c>
      <c r="AQ337" t="s">
        <v>9</v>
      </c>
      <c r="AR337" t="s">
        <v>10691</v>
      </c>
      <c r="AS337" t="s">
        <v>9</v>
      </c>
      <c r="AT337" t="s">
        <v>9</v>
      </c>
      <c r="AU337" t="s">
        <v>8299</v>
      </c>
      <c r="AV337" t="s">
        <v>10692</v>
      </c>
      <c r="AW337" t="s">
        <v>9</v>
      </c>
      <c r="AX337" t="s">
        <v>960</v>
      </c>
      <c r="AY337" t="s">
        <v>4605</v>
      </c>
      <c r="AZ337" t="s">
        <v>4212</v>
      </c>
      <c r="BA337" t="s">
        <v>9</v>
      </c>
      <c r="BB337" t="s">
        <v>9</v>
      </c>
      <c r="BC337" t="s">
        <v>9414</v>
      </c>
      <c r="BD337" t="s">
        <v>1807</v>
      </c>
      <c r="BE337" t="s">
        <v>9</v>
      </c>
      <c r="BF337" t="s">
        <v>9</v>
      </c>
      <c r="BG337" t="s">
        <v>9</v>
      </c>
      <c r="BH337" t="s">
        <v>960</v>
      </c>
      <c r="BI337" t="s">
        <v>9</v>
      </c>
      <c r="BJ337" t="s">
        <v>4605</v>
      </c>
      <c r="BK337" t="s">
        <v>41</v>
      </c>
      <c r="BL337" t="s">
        <v>9</v>
      </c>
      <c r="BM337" t="s">
        <v>9414</v>
      </c>
      <c r="BN337">
        <v>20.66</v>
      </c>
      <c r="BO337">
        <v>8.42</v>
      </c>
      <c r="BP337" t="s">
        <v>9</v>
      </c>
      <c r="BQ337">
        <v>22.95</v>
      </c>
      <c r="BR337">
        <v>8.6300000000000008</v>
      </c>
      <c r="BS337">
        <v>35.67</v>
      </c>
      <c r="BT337" t="s">
        <v>640</v>
      </c>
      <c r="BU337" t="s">
        <v>1541</v>
      </c>
      <c r="BV337">
        <v>72.05</v>
      </c>
      <c r="BW337">
        <v>63.53</v>
      </c>
      <c r="BX337" t="s">
        <v>9</v>
      </c>
      <c r="BY337">
        <v>11.02</v>
      </c>
      <c r="BZ337">
        <v>5.12</v>
      </c>
      <c r="CA337" t="s">
        <v>9</v>
      </c>
      <c r="CB337">
        <v>-5.39</v>
      </c>
      <c r="CC337">
        <v>-21.77</v>
      </c>
      <c r="CD337" t="s">
        <v>10693</v>
      </c>
      <c r="CE337" t="s">
        <v>10694</v>
      </c>
      <c r="CF337" s="8" t="s">
        <v>9</v>
      </c>
      <c r="CG337" s="9">
        <v>2.0459999999999998</v>
      </c>
      <c r="CH337" s="8">
        <v>0.52220016717910767</v>
      </c>
      <c r="CI337" s="8">
        <v>-0.31888967752456665</v>
      </c>
      <c r="CJ337" s="8">
        <v>9.9230960011482239E-2</v>
      </c>
      <c r="CK337" s="8" t="s">
        <v>9</v>
      </c>
      <c r="CL337" s="8" t="s">
        <v>9</v>
      </c>
      <c r="CM337" s="9">
        <v>0.21686747670173645</v>
      </c>
      <c r="CN337" s="9">
        <v>0.70781892538070679</v>
      </c>
      <c r="CO337" s="9" t="s">
        <v>9</v>
      </c>
      <c r="CP337" s="9" t="s">
        <v>9</v>
      </c>
      <c r="CQ337" s="9" t="s">
        <v>9</v>
      </c>
      <c r="CR337">
        <v>86.021465502183403</v>
      </c>
      <c r="CS337">
        <v>5.3874579427170239</v>
      </c>
      <c r="CT337">
        <v>0</v>
      </c>
      <c r="CU337" s="8">
        <v>0.15966985991690308</v>
      </c>
      <c r="CV337" s="9">
        <v>0.20322855934500694</v>
      </c>
      <c r="CW337">
        <v>0.06</v>
      </c>
      <c r="CX337">
        <v>29.712636553110006</v>
      </c>
      <c r="CY337">
        <v>552484225.7151283</v>
      </c>
      <c r="CZ337">
        <v>0.15966985991690308</v>
      </c>
      <c r="DA337">
        <v>9.1579022885736308</v>
      </c>
      <c r="DB337">
        <v>1792524366.6862493</v>
      </c>
      <c r="DC337">
        <v>0.15168636692105791</v>
      </c>
      <c r="DD337">
        <v>4.1605833693708849</v>
      </c>
      <c r="DE337">
        <v>3945543579.5010161</v>
      </c>
      <c r="DF337">
        <v>0.14050947672687472</v>
      </c>
      <c r="DG337">
        <v>2.2759334598270113</v>
      </c>
      <c r="DH337">
        <v>7212760517.7208147</v>
      </c>
      <c r="DI337">
        <v>0.12773588793352247</v>
      </c>
      <c r="DJ337">
        <v>0.948866781807848</v>
      </c>
      <c r="DK337">
        <v>17300387488.24522</v>
      </c>
      <c r="DL337">
        <v>0.11176890194183214</v>
      </c>
      <c r="DM337">
        <v>505000000</v>
      </c>
      <c r="DN337">
        <v>0.15966985991690308</v>
      </c>
      <c r="DO337">
        <v>16415763000</v>
      </c>
      <c r="DP337" t="e">
        <v>#VALUE!</v>
      </c>
      <c r="DQ337">
        <v>336</v>
      </c>
      <c r="DR337" t="e">
        <v>#VALUE!</v>
      </c>
      <c r="DS337">
        <v>1.8427714406549929</v>
      </c>
      <c r="DT337" t="e">
        <v>#VALUE!</v>
      </c>
      <c r="DU337" t="e">
        <v>#VALUE!</v>
      </c>
      <c r="DV337" t="e">
        <v>#VALUE!</v>
      </c>
      <c r="DW337">
        <v>-8.2475884244372999</v>
      </c>
      <c r="DX337">
        <v>0.23638054617617443</v>
      </c>
      <c r="DY337">
        <v>-8.0238627075741658</v>
      </c>
      <c r="DZ337">
        <v>0</v>
      </c>
      <c r="EA337">
        <v>-8.0238627075741658</v>
      </c>
      <c r="EB337">
        <v>8</v>
      </c>
      <c r="EC337">
        <v>4.0883721619799484E-3</v>
      </c>
      <c r="ED337">
        <v>4.2419059905582979E-2</v>
      </c>
      <c r="EE337">
        <v>0</v>
      </c>
      <c r="EF337">
        <v>0</v>
      </c>
      <c r="EG337">
        <v>14.096380546176174</v>
      </c>
      <c r="EH337" t="s">
        <v>110</v>
      </c>
      <c r="EI337">
        <v>0</v>
      </c>
      <c r="EJ337">
        <v>0</v>
      </c>
      <c r="EK337">
        <v>0</v>
      </c>
      <c r="EL337">
        <v>0</v>
      </c>
      <c r="EM337">
        <v>0</v>
      </c>
      <c r="EN337">
        <v>0</v>
      </c>
      <c r="EO337">
        <v>0</v>
      </c>
      <c r="EP337">
        <v>0</v>
      </c>
    </row>
    <row r="338" spans="1:146" ht="96" x14ac:dyDescent="0.25">
      <c r="A338" s="7"/>
      <c r="B338" s="7"/>
      <c r="C338" s="7" t="str">
        <f>""&amp;CHAR(10)&amp;Basic_Fundamental_Information_Constructure(F338)&amp;CHAR(10)&amp;Basic_Fundamental_Information_Concatenate("")</f>
        <v xml:space="preserve">
市值35.503111亿, 利润1449.61万; PE244.9; 平均PE.65; 平均PEG0, PB.671; ROIC-65.9133%; ROE-33.6933%; 股利率0%; 毛利67.1633%; 净利-38.7333%; 上一年度营收增16.94%, 利润增100.26%, 利润增102.7%; 过往5年营收增311.94%, 利润增120.36%
Income profile:
</v>
      </c>
      <c r="D338" s="11">
        <v>2150</v>
      </c>
      <c r="E338" t="s">
        <v>4606</v>
      </c>
      <c r="F338">
        <v>2.0699999999999998</v>
      </c>
      <c r="G338" s="5">
        <v>-3.7199999999999997E-2</v>
      </c>
      <c r="H338" t="s">
        <v>10695</v>
      </c>
      <c r="I338">
        <v>3550311100</v>
      </c>
      <c r="J338">
        <v>244.9</v>
      </c>
      <c r="K338">
        <v>0.67100000000000004</v>
      </c>
      <c r="L338" t="s">
        <v>6350</v>
      </c>
      <c r="M338" t="s">
        <v>9</v>
      </c>
      <c r="N338" t="s">
        <v>9</v>
      </c>
      <c r="O338" t="s">
        <v>9</v>
      </c>
      <c r="P338" t="s">
        <v>9</v>
      </c>
      <c r="Q338" t="s">
        <v>4121</v>
      </c>
      <c r="R338">
        <v>14496149</v>
      </c>
      <c r="S338" s="5">
        <v>1.0269999999999999</v>
      </c>
      <c r="T338" t="s">
        <v>10696</v>
      </c>
      <c r="U338">
        <v>1715126100</v>
      </c>
      <c r="V338">
        <v>1715126100</v>
      </c>
      <c r="W338" t="s">
        <v>9</v>
      </c>
      <c r="X338" t="s">
        <v>9</v>
      </c>
      <c r="Y338" t="s">
        <v>9</v>
      </c>
      <c r="Z338" t="s">
        <v>9</v>
      </c>
      <c r="AA338" t="s">
        <v>9</v>
      </c>
      <c r="AB338" t="s">
        <v>9</v>
      </c>
      <c r="AC338" t="s">
        <v>9</v>
      </c>
      <c r="AD338" t="s">
        <v>9</v>
      </c>
      <c r="AE338" t="s">
        <v>9</v>
      </c>
      <c r="AF338" t="s">
        <v>9</v>
      </c>
      <c r="AG338" t="s">
        <v>9</v>
      </c>
      <c r="AH338" t="s">
        <v>10697</v>
      </c>
      <c r="AI338" t="s">
        <v>9</v>
      </c>
      <c r="AJ338" t="s">
        <v>9</v>
      </c>
      <c r="AK338" t="s">
        <v>10698</v>
      </c>
      <c r="AL338" t="s">
        <v>9</v>
      </c>
      <c r="AM338" t="s">
        <v>9</v>
      </c>
      <c r="AN338" s="5">
        <v>0.36049999999999999</v>
      </c>
      <c r="AO338" t="s">
        <v>9</v>
      </c>
      <c r="AP338" t="s">
        <v>1962</v>
      </c>
      <c r="AQ338" t="s">
        <v>9</v>
      </c>
      <c r="AR338" t="s">
        <v>6193</v>
      </c>
      <c r="AS338" t="s">
        <v>9</v>
      </c>
      <c r="AT338" t="s">
        <v>9</v>
      </c>
      <c r="AU338" t="s">
        <v>10699</v>
      </c>
      <c r="AV338" t="s">
        <v>10700</v>
      </c>
      <c r="AW338" t="s">
        <v>9</v>
      </c>
      <c r="AX338" t="s">
        <v>4607</v>
      </c>
      <c r="AY338" t="s">
        <v>4610</v>
      </c>
      <c r="AZ338" t="s">
        <v>4611</v>
      </c>
      <c r="BA338" t="s">
        <v>4301</v>
      </c>
      <c r="BB338" t="s">
        <v>9</v>
      </c>
      <c r="BC338" t="s">
        <v>4612</v>
      </c>
      <c r="BD338" t="s">
        <v>4613</v>
      </c>
      <c r="BE338" t="s">
        <v>9</v>
      </c>
      <c r="BF338" t="s">
        <v>9</v>
      </c>
      <c r="BG338" t="s">
        <v>9</v>
      </c>
      <c r="BH338" t="s">
        <v>4607</v>
      </c>
      <c r="BI338" t="s">
        <v>9</v>
      </c>
      <c r="BJ338" t="s">
        <v>4610</v>
      </c>
      <c r="BK338" t="s">
        <v>4608</v>
      </c>
      <c r="BL338" t="s">
        <v>9</v>
      </c>
      <c r="BM338" t="s">
        <v>4612</v>
      </c>
      <c r="BN338">
        <v>0.28000000000000003</v>
      </c>
      <c r="BO338">
        <v>-9.66</v>
      </c>
      <c r="BP338">
        <v>-188.36</v>
      </c>
      <c r="BQ338">
        <v>0.27</v>
      </c>
      <c r="BR338">
        <v>-9.84</v>
      </c>
      <c r="BS338">
        <v>-91.51</v>
      </c>
      <c r="BT338" t="s">
        <v>9</v>
      </c>
      <c r="BU338" t="s">
        <v>567</v>
      </c>
      <c r="BV338">
        <v>67.09</v>
      </c>
      <c r="BW338">
        <v>67</v>
      </c>
      <c r="BX338">
        <v>67.400000000000006</v>
      </c>
      <c r="BY338">
        <v>0.22</v>
      </c>
      <c r="BZ338">
        <v>-11.09</v>
      </c>
      <c r="CA338">
        <v>-105.33</v>
      </c>
      <c r="CB338">
        <v>-8.41</v>
      </c>
      <c r="CC338">
        <v>-26.86</v>
      </c>
      <c r="CD338" t="s">
        <v>10701</v>
      </c>
      <c r="CE338" t="s">
        <v>89</v>
      </c>
      <c r="CF338" s="8" t="s">
        <v>9</v>
      </c>
      <c r="CG338" s="9">
        <v>1.0269999999999999</v>
      </c>
      <c r="CH338" s="8">
        <v>0.16938655078411102</v>
      </c>
      <c r="CI338" s="8">
        <v>-7.9832777380943298E-2</v>
      </c>
      <c r="CJ338" s="8">
        <v>0.44374319911003113</v>
      </c>
      <c r="CK338" s="8">
        <v>1.9458369016647339</v>
      </c>
      <c r="CL338" s="8" t="s">
        <v>9</v>
      </c>
      <c r="CM338" s="9">
        <v>1.0026166439056396</v>
      </c>
      <c r="CN338" s="9">
        <v>-21.987550735473633</v>
      </c>
      <c r="CO338" s="9" t="s">
        <v>9</v>
      </c>
      <c r="CP338" s="9" t="s">
        <v>9</v>
      </c>
      <c r="CQ338" s="9" t="s">
        <v>9</v>
      </c>
      <c r="CR338">
        <v>0.6461083461933772</v>
      </c>
      <c r="CS338">
        <v>2.0712912529511772E-3</v>
      </c>
      <c r="CT338">
        <v>0</v>
      </c>
      <c r="CU338" s="8">
        <v>3.1193505272269251</v>
      </c>
      <c r="CV338" s="9">
        <v>1.2035777561366559</v>
      </c>
      <c r="CW338">
        <v>0.06</v>
      </c>
      <c r="CX338">
        <v>63.022024523765793</v>
      </c>
      <c r="CY338">
        <v>56334450.167673796</v>
      </c>
      <c r="CZ338">
        <v>3.1193505272269251</v>
      </c>
      <c r="DA338">
        <v>3.4991424752563955</v>
      </c>
      <c r="DB338">
        <v>1014623189.8544958</v>
      </c>
      <c r="DC338">
        <v>2.9633830008655786</v>
      </c>
      <c r="DD338">
        <v>9.033099973805539E-2</v>
      </c>
      <c r="DE338">
        <v>39303352230.079391</v>
      </c>
      <c r="DF338">
        <v>2.7450284639596942</v>
      </c>
      <c r="DG338">
        <v>1.1222400709350044E-3</v>
      </c>
      <c r="DH338">
        <v>3163593238158.0586</v>
      </c>
      <c r="DI338">
        <v>2.4954804217815401</v>
      </c>
      <c r="DJ338">
        <v>4.5820747683650019E-8</v>
      </c>
      <c r="DK338">
        <v>7.748260950501336E+16</v>
      </c>
      <c r="DL338">
        <v>2.1835453690588476</v>
      </c>
      <c r="DM338">
        <v>14496099.999999998</v>
      </c>
      <c r="DN338">
        <v>3.1193505272269251</v>
      </c>
      <c r="DO338">
        <v>3550311100</v>
      </c>
      <c r="DP338" t="e">
        <v>#VALUE!</v>
      </c>
      <c r="DQ338">
        <v>337</v>
      </c>
      <c r="DR338" t="e">
        <v>#VALUE!</v>
      </c>
      <c r="DS338">
        <v>-0.17657775613665594</v>
      </c>
      <c r="DT338" t="e">
        <v>#VALUE!</v>
      </c>
      <c r="DU338" t="e">
        <v>#VALUE!</v>
      </c>
      <c r="DV338" t="e">
        <v>#VALUE!</v>
      </c>
      <c r="DW338">
        <v>-9.3131049888309754</v>
      </c>
      <c r="DX338">
        <v>0.4388954545454547</v>
      </c>
      <c r="DY338">
        <v>-9.0779304085155346</v>
      </c>
      <c r="DZ338">
        <v>0</v>
      </c>
      <c r="EA338">
        <v>-9.0779304085155346</v>
      </c>
      <c r="EB338">
        <v>9</v>
      </c>
      <c r="EC338">
        <v>1.5962966221550707E-2</v>
      </c>
      <c r="ED338">
        <v>6.4135225975512827E-2</v>
      </c>
      <c r="EE338">
        <v>0</v>
      </c>
      <c r="EF338">
        <v>0</v>
      </c>
      <c r="EG338">
        <v>19.248895454545455</v>
      </c>
      <c r="EH338" t="s">
        <v>110</v>
      </c>
      <c r="EI338">
        <v>0</v>
      </c>
      <c r="EJ338">
        <v>0</v>
      </c>
      <c r="EK338">
        <v>0</v>
      </c>
      <c r="EL338">
        <v>0</v>
      </c>
      <c r="EM338">
        <v>0</v>
      </c>
      <c r="EN338">
        <v>0</v>
      </c>
      <c r="EO338">
        <v>0</v>
      </c>
      <c r="EP338">
        <v>0</v>
      </c>
    </row>
    <row r="339" spans="1:146" ht="84" x14ac:dyDescent="0.25">
      <c r="A339" s="7"/>
      <c r="B339" s="7"/>
      <c r="C339" s="7" t="str">
        <f>""&amp;CHAR(10)&amp;Basic_Fundamental_Information_Constructure(F339)&amp;CHAR(10)&amp;Basic_Fundamental_Information_Concatenate("")</f>
        <v xml:space="preserve">
市值62.950626亿, 利润-2422.16万; PE; 平均PE10.47; 平均PEG.4, PB6.4; ROIC-42.1133%; ROE-66.5967%; 股利率0%; 毛利87.285%; 净利-2252.555%; 上一年度营收增1306.06%, 利润增98.04%, 利润增96.88%; 过往5年营收增26.4%, 利润增125.91%
Income profile:
</v>
      </c>
      <c r="D339" s="11">
        <v>2157</v>
      </c>
      <c r="E339" t="s">
        <v>4614</v>
      </c>
      <c r="F339">
        <v>3.68</v>
      </c>
      <c r="G339" s="5">
        <v>-7.7700000000000005E-2</v>
      </c>
      <c r="H339" t="s">
        <v>10702</v>
      </c>
      <c r="I339">
        <v>6295062600</v>
      </c>
      <c r="K339">
        <v>6.4</v>
      </c>
      <c r="L339" t="s">
        <v>6350</v>
      </c>
      <c r="M339" t="s">
        <v>9</v>
      </c>
      <c r="N339" t="s">
        <v>9</v>
      </c>
      <c r="O339" t="s">
        <v>9</v>
      </c>
      <c r="P339" t="s">
        <v>9</v>
      </c>
      <c r="Q339" t="s">
        <v>1302</v>
      </c>
      <c r="R339">
        <v>-24221635</v>
      </c>
      <c r="S339" s="5">
        <v>0.96879999999999999</v>
      </c>
      <c r="T339" t="s">
        <v>10703</v>
      </c>
      <c r="U339">
        <v>1605176500</v>
      </c>
      <c r="V339">
        <v>1659444800</v>
      </c>
      <c r="W339" t="s">
        <v>9</v>
      </c>
      <c r="X339" t="s">
        <v>9</v>
      </c>
      <c r="Y339" t="s">
        <v>9</v>
      </c>
      <c r="Z339" t="s">
        <v>9</v>
      </c>
      <c r="AA339" t="s">
        <v>9</v>
      </c>
      <c r="AB339" t="s">
        <v>9</v>
      </c>
      <c r="AC339" t="s">
        <v>9</v>
      </c>
      <c r="AD339" t="s">
        <v>2131</v>
      </c>
      <c r="AE339" t="s">
        <v>9</v>
      </c>
      <c r="AF339" t="s">
        <v>9</v>
      </c>
      <c r="AG339" t="s">
        <v>9</v>
      </c>
      <c r="AH339" t="s">
        <v>10704</v>
      </c>
      <c r="AI339" t="s">
        <v>9</v>
      </c>
      <c r="AJ339" t="s">
        <v>9</v>
      </c>
      <c r="AK339" t="s">
        <v>10705</v>
      </c>
      <c r="AL339" t="s">
        <v>9</v>
      </c>
      <c r="AM339" t="s">
        <v>9</v>
      </c>
      <c r="AN339" s="5">
        <v>0.62729999999999997</v>
      </c>
      <c r="AO339" t="s">
        <v>9</v>
      </c>
      <c r="AP339" t="s">
        <v>3638</v>
      </c>
      <c r="AQ339" t="s">
        <v>9</v>
      </c>
      <c r="AR339" t="s">
        <v>5164</v>
      </c>
      <c r="AS339" t="s">
        <v>9</v>
      </c>
      <c r="AT339" t="s">
        <v>9</v>
      </c>
      <c r="AU339" t="s">
        <v>8450</v>
      </c>
      <c r="AV339" t="s">
        <v>10706</v>
      </c>
      <c r="AW339" t="s">
        <v>9</v>
      </c>
      <c r="AX339" t="s">
        <v>4615</v>
      </c>
      <c r="AY339" t="s">
        <v>9</v>
      </c>
      <c r="AZ339" t="s">
        <v>9</v>
      </c>
      <c r="BA339" t="s">
        <v>9</v>
      </c>
      <c r="BB339" t="s">
        <v>9</v>
      </c>
      <c r="BC339" t="s">
        <v>4618</v>
      </c>
      <c r="BD339" t="s">
        <v>4619</v>
      </c>
      <c r="BE339" t="s">
        <v>9</v>
      </c>
      <c r="BF339" t="s">
        <v>9</v>
      </c>
      <c r="BG339" t="s">
        <v>9</v>
      </c>
      <c r="BH339" t="s">
        <v>4615</v>
      </c>
      <c r="BI339" t="s">
        <v>9</v>
      </c>
      <c r="BJ339" t="s">
        <v>9</v>
      </c>
      <c r="BK339" t="s">
        <v>4616</v>
      </c>
      <c r="BL339" t="s">
        <v>9</v>
      </c>
      <c r="BM339" t="s">
        <v>4618</v>
      </c>
      <c r="BN339">
        <v>-1.41</v>
      </c>
      <c r="BO339">
        <v>-51.41</v>
      </c>
      <c r="BP339">
        <v>-73.52</v>
      </c>
      <c r="BQ339">
        <v>-2.46</v>
      </c>
      <c r="BR339">
        <v>-76.5</v>
      </c>
      <c r="BS339">
        <v>-120.83</v>
      </c>
      <c r="BT339" t="s">
        <v>9</v>
      </c>
      <c r="BU339" t="s">
        <v>489</v>
      </c>
      <c r="BV339">
        <v>87.45</v>
      </c>
      <c r="BW339">
        <v>87.12</v>
      </c>
      <c r="BX339" t="s">
        <v>9</v>
      </c>
      <c r="BY339">
        <v>-13.45</v>
      </c>
      <c r="BZ339">
        <v>-4491.66</v>
      </c>
      <c r="CA339" t="s">
        <v>9</v>
      </c>
      <c r="CB339">
        <v>-8.91</v>
      </c>
      <c r="CC339">
        <v>-35.33</v>
      </c>
      <c r="CD339" t="s">
        <v>10707</v>
      </c>
      <c r="CE339" t="s">
        <v>915</v>
      </c>
      <c r="CF339" s="8" t="s">
        <v>9</v>
      </c>
      <c r="CG339" s="9">
        <v>0.96879999999999999</v>
      </c>
      <c r="CH339" s="8">
        <v>13.060614585876465</v>
      </c>
      <c r="CI339" s="8" t="s">
        <v>9</v>
      </c>
      <c r="CJ339" s="8" t="s">
        <v>9</v>
      </c>
      <c r="CK339" s="8" t="s">
        <v>9</v>
      </c>
      <c r="CL339" s="8" t="s">
        <v>9</v>
      </c>
      <c r="CM339" s="9">
        <v>0.98043489456176758</v>
      </c>
      <c r="CN339" s="9">
        <v>-0.78386169672012329</v>
      </c>
      <c r="CO339" s="9" t="s">
        <v>9</v>
      </c>
      <c r="CP339" s="9" t="s">
        <v>9</v>
      </c>
      <c r="CQ339" s="9" t="s">
        <v>9</v>
      </c>
      <c r="CR339">
        <v>10.466249631731337</v>
      </c>
      <c r="CS339">
        <v>0.39650274204152586</v>
      </c>
      <c r="CT339">
        <v>0</v>
      </c>
      <c r="CU339" s="8">
        <v>0.26396411731839181</v>
      </c>
      <c r="CV339" s="9">
        <v>1.2590564519166947</v>
      </c>
      <c r="CW339">
        <v>0.06</v>
      </c>
      <c r="CX339" t="e">
        <v>#VALUE!</v>
      </c>
      <c r="CY339" t="s">
        <v>109</v>
      </c>
      <c r="CZ339">
        <v>0.26396411731839181</v>
      </c>
      <c r="DA339" t="e">
        <v>#VALUE!</v>
      </c>
      <c r="DB339" t="s">
        <v>108</v>
      </c>
      <c r="DC339">
        <v>0.25076591145247223</v>
      </c>
      <c r="DD339" t="e">
        <v>#VALUE!</v>
      </c>
      <c r="DE339" t="s">
        <v>108</v>
      </c>
      <c r="DF339">
        <v>0.23228842324018478</v>
      </c>
      <c r="DG339" t="e">
        <v>#VALUE!</v>
      </c>
      <c r="DH339" t="s">
        <v>108</v>
      </c>
      <c r="DI339">
        <v>0.21117129385471345</v>
      </c>
      <c r="DJ339" t="e">
        <v>#VALUE!</v>
      </c>
      <c r="DK339" t="s">
        <v>108</v>
      </c>
      <c r="DL339">
        <v>0.18477488212287427</v>
      </c>
      <c r="DM339">
        <v>-24221600</v>
      </c>
      <c r="DN339">
        <v>0.26396411731839181</v>
      </c>
      <c r="DO339">
        <v>6295062600</v>
      </c>
      <c r="DP339" t="e">
        <v>#VALUE!</v>
      </c>
      <c r="DQ339">
        <v>338</v>
      </c>
      <c r="DR339" t="e">
        <v>#VALUE!</v>
      </c>
      <c r="DS339">
        <v>-0.29025645191669469</v>
      </c>
      <c r="DT339" t="e">
        <v>#VALUE!</v>
      </c>
      <c r="DU339" t="e">
        <v>#VALUE!</v>
      </c>
      <c r="DV339" t="e">
        <v>#VALUE!</v>
      </c>
      <c r="DW339">
        <v>-9.2521936031701095</v>
      </c>
      <c r="DX339">
        <v>0.89492311827956483</v>
      </c>
      <c r="DY339">
        <v>-9.00880738703286</v>
      </c>
      <c r="DZ339">
        <v>0</v>
      </c>
      <c r="EA339">
        <v>-9.00880738703286</v>
      </c>
      <c r="EB339">
        <v>9</v>
      </c>
      <c r="EC339">
        <v>3.9143814846989795E-3</v>
      </c>
      <c r="ED339">
        <v>0.11208568070477548</v>
      </c>
      <c r="EE339">
        <v>0</v>
      </c>
      <c r="EF339">
        <v>0</v>
      </c>
      <c r="EG339">
        <v>86.034923118279565</v>
      </c>
      <c r="EH339" t="s">
        <v>110</v>
      </c>
      <c r="EI339">
        <v>0</v>
      </c>
      <c r="EJ339">
        <v>0</v>
      </c>
      <c r="EK339">
        <v>0</v>
      </c>
      <c r="EL339">
        <v>0</v>
      </c>
      <c r="EM339">
        <v>0</v>
      </c>
      <c r="EN339">
        <v>0</v>
      </c>
      <c r="EO339">
        <v>0</v>
      </c>
      <c r="EP339">
        <v>0</v>
      </c>
    </row>
    <row r="340" spans="1:146" ht="96" x14ac:dyDescent="0.25">
      <c r="A340" s="7"/>
      <c r="B340" s="7"/>
      <c r="C340" s="7" t="str">
        <f>""&amp;CHAR(10)&amp;Basic_Fundamental_Information_Constructure(F340)&amp;CHAR(10)&amp;Basic_Fundamental_Information_Concatenate("")</f>
        <v xml:space="preserve">
市值41.333444亿, 利润-7.18亿; PE; 平均PE-121.12; 平均PEG-12.12, PB.953; ROIC-176.5267%; ROE-37.5767%; 股利率0%; 毛利34.72%; 净利-188.8867%; 上一年度营收增-39.71%, 利润增83.61%, 利润增79.2%; 过往5年营收增10%, 利润增35.59%
Income profile:
</v>
      </c>
      <c r="D340" s="11">
        <v>2158</v>
      </c>
      <c r="E340" t="s">
        <v>4620</v>
      </c>
      <c r="F340">
        <v>3.89</v>
      </c>
      <c r="G340" s="5">
        <v>-4.6600000000000003E-2</v>
      </c>
      <c r="H340" t="s">
        <v>10708</v>
      </c>
      <c r="I340">
        <v>4133344400</v>
      </c>
      <c r="K340">
        <v>0.95299999999999996</v>
      </c>
      <c r="L340" t="s">
        <v>6350</v>
      </c>
      <c r="M340" t="s">
        <v>9</v>
      </c>
      <c r="N340" t="s">
        <v>9</v>
      </c>
      <c r="O340" t="s">
        <v>9</v>
      </c>
      <c r="P340" t="s">
        <v>9</v>
      </c>
      <c r="Q340" t="s">
        <v>933</v>
      </c>
      <c r="R340">
        <v>-81368329</v>
      </c>
      <c r="S340" s="5">
        <v>0.79200000000000004</v>
      </c>
      <c r="T340" t="s">
        <v>10709</v>
      </c>
      <c r="U340">
        <v>1062040860</v>
      </c>
      <c r="V340">
        <v>1062040860</v>
      </c>
      <c r="W340" t="s">
        <v>9</v>
      </c>
      <c r="X340" t="s">
        <v>9</v>
      </c>
      <c r="Y340" t="s">
        <v>9</v>
      </c>
      <c r="Z340" t="s">
        <v>9</v>
      </c>
      <c r="AA340" t="s">
        <v>9</v>
      </c>
      <c r="AB340" t="s">
        <v>9</v>
      </c>
      <c r="AC340" t="s">
        <v>9</v>
      </c>
      <c r="AD340" t="s">
        <v>2920</v>
      </c>
      <c r="AE340" t="s">
        <v>9</v>
      </c>
      <c r="AF340" t="s">
        <v>9</v>
      </c>
      <c r="AG340" t="s">
        <v>9</v>
      </c>
      <c r="AH340" t="s">
        <v>10710</v>
      </c>
      <c r="AI340" t="s">
        <v>9</v>
      </c>
      <c r="AJ340" t="s">
        <v>9</v>
      </c>
      <c r="AK340" t="s">
        <v>10711</v>
      </c>
      <c r="AL340" t="s">
        <v>9</v>
      </c>
      <c r="AM340" t="s">
        <v>9</v>
      </c>
      <c r="AN340" s="5">
        <v>0.12790000000000001</v>
      </c>
      <c r="AO340" t="s">
        <v>9</v>
      </c>
      <c r="AP340" t="s">
        <v>1710</v>
      </c>
      <c r="AQ340" t="s">
        <v>9</v>
      </c>
      <c r="AR340" t="s">
        <v>2239</v>
      </c>
      <c r="AS340" t="s">
        <v>9</v>
      </c>
      <c r="AT340" t="s">
        <v>9</v>
      </c>
      <c r="AU340" t="s">
        <v>10712</v>
      </c>
      <c r="AV340" t="s">
        <v>10713</v>
      </c>
      <c r="AW340" t="s">
        <v>9</v>
      </c>
      <c r="AX340" t="s">
        <v>4415</v>
      </c>
      <c r="AY340" t="s">
        <v>4623</v>
      </c>
      <c r="AZ340" t="s">
        <v>2956</v>
      </c>
      <c r="BA340" t="s">
        <v>4624</v>
      </c>
      <c r="BB340" t="s">
        <v>9</v>
      </c>
      <c r="BC340" t="s">
        <v>4625</v>
      </c>
      <c r="BD340" t="s">
        <v>4626</v>
      </c>
      <c r="BE340" t="s">
        <v>4627</v>
      </c>
      <c r="BF340" t="s">
        <v>4628</v>
      </c>
      <c r="BG340" t="s">
        <v>9</v>
      </c>
      <c r="BH340" t="s">
        <v>4415</v>
      </c>
      <c r="BI340" t="s">
        <v>9</v>
      </c>
      <c r="BJ340" t="s">
        <v>4623</v>
      </c>
      <c r="BK340" t="s">
        <v>4621</v>
      </c>
      <c r="BL340" t="s">
        <v>9</v>
      </c>
      <c r="BM340" t="s">
        <v>4625</v>
      </c>
      <c r="BN340">
        <v>-15.56</v>
      </c>
      <c r="BO340">
        <v>-17.489999999999998</v>
      </c>
      <c r="BP340">
        <v>-496.53</v>
      </c>
      <c r="BQ340">
        <v>-15.38</v>
      </c>
      <c r="BR340">
        <v>-19.11</v>
      </c>
      <c r="BS340">
        <v>-78.239999999999995</v>
      </c>
      <c r="BT340" t="s">
        <v>9</v>
      </c>
      <c r="BU340" t="s">
        <v>2382</v>
      </c>
      <c r="BV340">
        <v>34.119999999999997</v>
      </c>
      <c r="BW340">
        <v>32.29</v>
      </c>
      <c r="BX340">
        <v>37.75</v>
      </c>
      <c r="BY340">
        <v>-78.58</v>
      </c>
      <c r="BZ340">
        <v>-61.94</v>
      </c>
      <c r="CA340">
        <v>-426.14</v>
      </c>
      <c r="CB340">
        <v>-6.04</v>
      </c>
      <c r="CC340">
        <v>-8.69</v>
      </c>
      <c r="CD340" t="s">
        <v>10714</v>
      </c>
      <c r="CE340" t="s">
        <v>10715</v>
      </c>
      <c r="CF340" s="8" t="s">
        <v>9</v>
      </c>
      <c r="CG340" s="9">
        <v>0.79200000000000004</v>
      </c>
      <c r="CH340" s="8">
        <v>-0.39711663126945496</v>
      </c>
      <c r="CI340" s="8">
        <v>0.48588120937347412</v>
      </c>
      <c r="CJ340" s="8">
        <v>0.6863710880279541</v>
      </c>
      <c r="CK340" s="8">
        <v>20.443056106567383</v>
      </c>
      <c r="CL340" s="8" t="s">
        <v>9</v>
      </c>
      <c r="CM340" s="9">
        <v>0.83614784479141235</v>
      </c>
      <c r="CN340" s="9">
        <v>-1.6589806079864502</v>
      </c>
      <c r="CO340" s="9">
        <v>-0.51192659139633179</v>
      </c>
      <c r="CP340" s="9">
        <v>0.10874902456998825</v>
      </c>
      <c r="CQ340" s="9" t="s">
        <v>9</v>
      </c>
      <c r="CR340">
        <v>-121.11832153897997</v>
      </c>
      <c r="CS340">
        <v>-12.115272838601042</v>
      </c>
      <c r="CT340">
        <v>0</v>
      </c>
      <c r="CU340" s="8">
        <v>9.9971600435674185E-2</v>
      </c>
      <c r="CV340" s="9">
        <v>0.35593173466622829</v>
      </c>
      <c r="CW340">
        <v>0.06</v>
      </c>
      <c r="CX340" t="e">
        <v>#VALUE!</v>
      </c>
      <c r="CY340" t="s">
        <v>109</v>
      </c>
      <c r="CZ340">
        <v>9.9971600435674185E-2</v>
      </c>
      <c r="DA340" t="e">
        <v>#VALUE!</v>
      </c>
      <c r="DB340" t="s">
        <v>108</v>
      </c>
      <c r="DC340">
        <v>9.4973020413890469E-2</v>
      </c>
      <c r="DD340" t="e">
        <v>#VALUE!</v>
      </c>
      <c r="DE340" t="s">
        <v>108</v>
      </c>
      <c r="DF340">
        <v>8.7975008383393283E-2</v>
      </c>
      <c r="DG340" t="e">
        <v>#VALUE!</v>
      </c>
      <c r="DH340" t="s">
        <v>108</v>
      </c>
      <c r="DI340">
        <v>7.9977280348539348E-2</v>
      </c>
      <c r="DJ340" t="e">
        <v>#VALUE!</v>
      </c>
      <c r="DK340" t="s">
        <v>108</v>
      </c>
      <c r="DL340">
        <v>6.9980120304971929E-2</v>
      </c>
      <c r="DM340">
        <v>-718000000</v>
      </c>
      <c r="DN340">
        <v>9.9971600435674185E-2</v>
      </c>
      <c r="DO340">
        <v>4133344400</v>
      </c>
      <c r="DP340" t="e">
        <v>#VALUE!</v>
      </c>
      <c r="DQ340">
        <v>339</v>
      </c>
      <c r="DR340" t="e">
        <v>#VALUE!</v>
      </c>
      <c r="DS340">
        <v>0.43606826533377174</v>
      </c>
      <c r="DT340" t="e">
        <v>#VALUE!</v>
      </c>
      <c r="DU340" t="e">
        <v>#VALUE!</v>
      </c>
      <c r="DV340" t="e">
        <v>#VALUE!</v>
      </c>
      <c r="DW340">
        <v>-9.6950517836593786</v>
      </c>
      <c r="DX340">
        <v>0.33371001519957277</v>
      </c>
      <c r="DY340">
        <v>-9.1276879737405547</v>
      </c>
      <c r="DZ340">
        <v>0</v>
      </c>
      <c r="EA340">
        <v>-9.1276879737405547</v>
      </c>
      <c r="EB340">
        <v>9</v>
      </c>
      <c r="EC340">
        <v>1.4978519752997074E-2</v>
      </c>
      <c r="ED340">
        <v>8.153349203532527E-2</v>
      </c>
      <c r="EE340">
        <v>0</v>
      </c>
      <c r="EF340">
        <v>0</v>
      </c>
      <c r="EG340">
        <v>15.183710015199573</v>
      </c>
      <c r="EH340" t="s">
        <v>110</v>
      </c>
      <c r="EI340">
        <v>0</v>
      </c>
      <c r="EJ340">
        <v>0</v>
      </c>
      <c r="EK340">
        <v>0</v>
      </c>
      <c r="EL340">
        <v>0</v>
      </c>
      <c r="EM340">
        <v>0</v>
      </c>
      <c r="EN340">
        <v>0</v>
      </c>
      <c r="EO340">
        <v>0</v>
      </c>
      <c r="EP340">
        <v>0</v>
      </c>
    </row>
    <row r="341" spans="1:146" ht="96" x14ac:dyDescent="0.25">
      <c r="A341" s="7"/>
      <c r="B341" s="7"/>
      <c r="C341" s="7" t="str">
        <f>""&amp;CHAR(10)&amp;Basic_Fundamental_Information_Constructure(F341)&amp;CHAR(10)&amp;Basic_Fundamental_Information_Concatenate("")</f>
        <v xml:space="preserve">
市值20.024521亿, 利润-5.17亿; PE; 平均PE21.69; 平均PEG33.76, PB.782; ROIC-15.76%; ROE-14.2067%; 股利率0%; 毛利64.03%; 净利-137.51%; 上一年度营收增30.39%, 利润增-130.8%, 利润增-.84%; 过往5年营收增-.64%, 利润增-78.98%
Income profile:
</v>
      </c>
      <c r="D341" s="11">
        <v>2160</v>
      </c>
      <c r="E341" t="s">
        <v>4629</v>
      </c>
      <c r="F341">
        <v>0.83</v>
      </c>
      <c r="G341" s="5">
        <v>-6.7400000000000002E-2</v>
      </c>
      <c r="H341" t="s">
        <v>10716</v>
      </c>
      <c r="I341">
        <v>2002452100</v>
      </c>
      <c r="K341">
        <v>0.78200000000000003</v>
      </c>
      <c r="L341" t="s">
        <v>6350</v>
      </c>
      <c r="M341" t="s">
        <v>9</v>
      </c>
      <c r="N341" t="s">
        <v>9</v>
      </c>
      <c r="O341" t="s">
        <v>9</v>
      </c>
      <c r="P341" t="s">
        <v>9</v>
      </c>
      <c r="Q341" t="s">
        <v>1155</v>
      </c>
      <c r="R341">
        <v>-516895570</v>
      </c>
      <c r="S341" s="5">
        <v>-8.3700000000000007E-3</v>
      </c>
      <c r="T341" t="s">
        <v>3427</v>
      </c>
      <c r="U341">
        <v>2412592800</v>
      </c>
      <c r="V341">
        <v>2412592800</v>
      </c>
      <c r="W341" t="s">
        <v>9</v>
      </c>
      <c r="X341" t="s">
        <v>9</v>
      </c>
      <c r="Y341" t="s">
        <v>9</v>
      </c>
      <c r="Z341" t="s">
        <v>9</v>
      </c>
      <c r="AA341" t="s">
        <v>9</v>
      </c>
      <c r="AB341" t="s">
        <v>9</v>
      </c>
      <c r="AC341" t="s">
        <v>9</v>
      </c>
      <c r="AD341" t="s">
        <v>24</v>
      </c>
      <c r="AE341" t="s">
        <v>9</v>
      </c>
      <c r="AF341" t="s">
        <v>9</v>
      </c>
      <c r="AG341" t="s">
        <v>9</v>
      </c>
      <c r="AH341" t="s">
        <v>10717</v>
      </c>
      <c r="AI341" t="s">
        <v>9</v>
      </c>
      <c r="AJ341" t="s">
        <v>9</v>
      </c>
      <c r="AK341" t="s">
        <v>10718</v>
      </c>
      <c r="AL341" t="s">
        <v>9</v>
      </c>
      <c r="AM341" t="s">
        <v>9</v>
      </c>
      <c r="AN341" s="5">
        <v>9.4E-2</v>
      </c>
      <c r="AO341" t="s">
        <v>9</v>
      </c>
      <c r="AP341" t="s">
        <v>10719</v>
      </c>
      <c r="AQ341" t="s">
        <v>9</v>
      </c>
      <c r="AR341" t="s">
        <v>134</v>
      </c>
      <c r="AS341" t="s">
        <v>9</v>
      </c>
      <c r="AT341" t="s">
        <v>9</v>
      </c>
      <c r="AU341" t="s">
        <v>10720</v>
      </c>
      <c r="AV341" t="s">
        <v>10502</v>
      </c>
      <c r="AW341" t="s">
        <v>9</v>
      </c>
      <c r="AX341" t="s">
        <v>4630</v>
      </c>
      <c r="AY341" t="s">
        <v>241</v>
      </c>
      <c r="AZ341" t="s">
        <v>115</v>
      </c>
      <c r="BA341" t="s">
        <v>9</v>
      </c>
      <c r="BB341" t="s">
        <v>9</v>
      </c>
      <c r="BC341" t="s">
        <v>1173</v>
      </c>
      <c r="BD341" t="s">
        <v>4633</v>
      </c>
      <c r="BE341" t="s">
        <v>4634</v>
      </c>
      <c r="BF341" t="s">
        <v>4635</v>
      </c>
      <c r="BG341" t="s">
        <v>9</v>
      </c>
      <c r="BH341" t="s">
        <v>4630</v>
      </c>
      <c r="BI341" t="s">
        <v>9</v>
      </c>
      <c r="BJ341" t="s">
        <v>241</v>
      </c>
      <c r="BK341" t="s">
        <v>4631</v>
      </c>
      <c r="BL341" t="s">
        <v>9</v>
      </c>
      <c r="BM341" t="s">
        <v>1173</v>
      </c>
      <c r="BN341">
        <v>-18.53</v>
      </c>
      <c r="BO341">
        <v>-15.47</v>
      </c>
      <c r="BP341">
        <v>-13.28</v>
      </c>
      <c r="BQ341">
        <v>-20.2</v>
      </c>
      <c r="BR341">
        <v>-16.5</v>
      </c>
      <c r="BS341">
        <v>-5.92</v>
      </c>
      <c r="BT341" t="s">
        <v>9</v>
      </c>
      <c r="BU341" t="s">
        <v>2382</v>
      </c>
      <c r="BV341">
        <v>68.39</v>
      </c>
      <c r="BW341">
        <v>64.59</v>
      </c>
      <c r="BX341">
        <v>59.11</v>
      </c>
      <c r="BY341">
        <v>-140.25</v>
      </c>
      <c r="BZ341">
        <v>-181.02</v>
      </c>
      <c r="CA341">
        <v>-91.26</v>
      </c>
      <c r="CB341">
        <v>-4.5999999999999996</v>
      </c>
      <c r="CC341">
        <v>-30.83</v>
      </c>
      <c r="CD341" t="s">
        <v>10721</v>
      </c>
      <c r="CE341" t="s">
        <v>239</v>
      </c>
      <c r="CF341" s="8" t="s">
        <v>9</v>
      </c>
      <c r="CG341" s="9">
        <v>-8.3700000000000007E-3</v>
      </c>
      <c r="CH341" s="8">
        <v>0.30388692021369934</v>
      </c>
      <c r="CI341" s="8">
        <v>0.15040650963783264</v>
      </c>
      <c r="CJ341" s="8">
        <v>0.9838709831237793</v>
      </c>
      <c r="CK341" s="8" t="s">
        <v>9</v>
      </c>
      <c r="CL341" s="8" t="s">
        <v>9</v>
      </c>
      <c r="CM341" s="9">
        <v>-1.3080357313156128</v>
      </c>
      <c r="CN341" s="9">
        <v>0.52742618322372437</v>
      </c>
      <c r="CO341" s="9">
        <v>-1.9259259700775146</v>
      </c>
      <c r="CP341" s="9">
        <v>-1.3609824180603027</v>
      </c>
      <c r="CQ341" s="9" t="s">
        <v>9</v>
      </c>
      <c r="CR341">
        <v>21.687206859205777</v>
      </c>
      <c r="CS341">
        <v>33.758435890785407</v>
      </c>
      <c r="CT341">
        <v>0</v>
      </c>
      <c r="CU341" s="8">
        <v>-6.4242333173751831E-3</v>
      </c>
      <c r="CV341" s="9">
        <v>-0.78979538977146146</v>
      </c>
      <c r="CW341">
        <v>0.06</v>
      </c>
      <c r="CX341" t="e">
        <v>#VALUE!</v>
      </c>
      <c r="CY341" t="s">
        <v>109</v>
      </c>
      <c r="CZ341">
        <v>-6.4242333173751831E-3</v>
      </c>
      <c r="DA341" t="e">
        <v>#VALUE!</v>
      </c>
      <c r="DB341" t="s">
        <v>108</v>
      </c>
      <c r="DC341">
        <v>-6.1030216515064236E-3</v>
      </c>
      <c r="DD341" t="e">
        <v>#VALUE!</v>
      </c>
      <c r="DE341" t="s">
        <v>108</v>
      </c>
      <c r="DF341">
        <v>-5.653325319290161E-3</v>
      </c>
      <c r="DG341" t="e">
        <v>#VALUE!</v>
      </c>
      <c r="DH341" t="s">
        <v>108</v>
      </c>
      <c r="DI341">
        <v>-5.1393866539001468E-3</v>
      </c>
      <c r="DJ341" t="e">
        <v>#VALUE!</v>
      </c>
      <c r="DK341" t="s">
        <v>108</v>
      </c>
      <c r="DL341">
        <v>-4.4969633221626278E-3</v>
      </c>
      <c r="DM341">
        <v>-517000000</v>
      </c>
      <c r="DN341">
        <v>-6.4242333173751831E-3</v>
      </c>
      <c r="DO341">
        <v>2002452100</v>
      </c>
      <c r="DP341" t="e">
        <v>#VALUE!</v>
      </c>
      <c r="DQ341">
        <v>340</v>
      </c>
      <c r="DR341" t="e">
        <v>#VALUE!</v>
      </c>
      <c r="DS341">
        <v>0.78142538977146148</v>
      </c>
      <c r="DT341" t="e">
        <v>#VALUE!</v>
      </c>
      <c r="DU341" t="e">
        <v>#VALUE!</v>
      </c>
      <c r="DV341" t="e">
        <v>#VALUE!</v>
      </c>
      <c r="DW341">
        <v>-8.1492053194939995</v>
      </c>
      <c r="DX341">
        <v>0.36423703703703769</v>
      </c>
      <c r="DY341">
        <v>-8.0289811991686797</v>
      </c>
      <c r="DZ341">
        <v>0</v>
      </c>
      <c r="EA341">
        <v>-8.0289811991686797</v>
      </c>
      <c r="EB341">
        <v>8</v>
      </c>
      <c r="EC341">
        <v>1.0868804714993761E-2</v>
      </c>
      <c r="ED341">
        <v>5.5956396786063525E-2</v>
      </c>
      <c r="EE341">
        <v>0</v>
      </c>
      <c r="EF341">
        <v>0</v>
      </c>
      <c r="EG341">
        <v>17.194237037037038</v>
      </c>
      <c r="EH341" t="s">
        <v>110</v>
      </c>
      <c r="EI341">
        <v>0</v>
      </c>
      <c r="EJ341">
        <v>0</v>
      </c>
      <c r="EK341">
        <v>0</v>
      </c>
      <c r="EL341">
        <v>0</v>
      </c>
      <c r="EM341">
        <v>0</v>
      </c>
      <c r="EN341">
        <v>0</v>
      </c>
      <c r="EO341">
        <v>0</v>
      </c>
      <c r="EP341">
        <v>0</v>
      </c>
    </row>
    <row r="342" spans="1:146" ht="96" x14ac:dyDescent="0.25">
      <c r="A342" s="7"/>
      <c r="B342" s="7"/>
      <c r="C342" s="7" t="str">
        <f>""&amp;CHAR(10)&amp;Basic_Fundamental_Information_Constructure(F342)&amp;CHAR(10)&amp;Basic_Fundamental_Information_Concatenate("")</f>
        <v xml:space="preserve">
市值97.208109亿, 利润-3.94亿; PE; 平均PE-88.9; 平均PEG-220.66, PB2.97; ROIC-107.8%; ROE-42.5733%; 股利率0%; 毛利90.47%; 净利-1311.5233%; 上一年度营收增243.36%, 利润增91.72%, 利润增-13.33%; 过往5年营收增-.4%, 利润增-153.52%
Income profile:
</v>
      </c>
      <c r="D342" s="11">
        <v>2162</v>
      </c>
      <c r="E342" t="s">
        <v>4636</v>
      </c>
      <c r="F342">
        <v>34.75</v>
      </c>
      <c r="G342" s="5">
        <v>-3.0700000000000002E-2</v>
      </c>
      <c r="H342" t="s">
        <v>10722</v>
      </c>
      <c r="I342">
        <v>9720810900</v>
      </c>
      <c r="K342">
        <v>2.97</v>
      </c>
      <c r="L342" t="s">
        <v>6350</v>
      </c>
      <c r="M342" t="s">
        <v>9</v>
      </c>
      <c r="N342" t="s">
        <v>9</v>
      </c>
      <c r="O342" t="s">
        <v>9</v>
      </c>
      <c r="P342" t="s">
        <v>9</v>
      </c>
      <c r="Q342" t="s">
        <v>114</v>
      </c>
      <c r="R342">
        <v>-393927140</v>
      </c>
      <c r="S342" s="5">
        <v>-0.1333</v>
      </c>
      <c r="T342" t="s">
        <v>4485</v>
      </c>
      <c r="U342">
        <v>279735570</v>
      </c>
      <c r="V342">
        <v>279735570</v>
      </c>
      <c r="W342" t="s">
        <v>9</v>
      </c>
      <c r="X342" t="s">
        <v>9</v>
      </c>
      <c r="Y342" t="s">
        <v>9</v>
      </c>
      <c r="Z342" t="s">
        <v>9</v>
      </c>
      <c r="AA342" t="s">
        <v>9</v>
      </c>
      <c r="AB342" t="s">
        <v>9</v>
      </c>
      <c r="AC342" t="s">
        <v>9</v>
      </c>
      <c r="AD342" t="s">
        <v>7133</v>
      </c>
      <c r="AE342" t="s">
        <v>9</v>
      </c>
      <c r="AF342" t="s">
        <v>9</v>
      </c>
      <c r="AG342" t="s">
        <v>9</v>
      </c>
      <c r="AH342" t="s">
        <v>10723</v>
      </c>
      <c r="AI342" t="s">
        <v>9</v>
      </c>
      <c r="AJ342" t="s">
        <v>9</v>
      </c>
      <c r="AK342" t="s">
        <v>10724</v>
      </c>
      <c r="AL342" t="s">
        <v>9</v>
      </c>
      <c r="AM342" t="s">
        <v>9</v>
      </c>
      <c r="AN342" s="5">
        <v>0.23080000000000001</v>
      </c>
      <c r="AO342" t="s">
        <v>9</v>
      </c>
      <c r="AP342" t="s">
        <v>10725</v>
      </c>
      <c r="AQ342" t="s">
        <v>9</v>
      </c>
      <c r="AR342" t="s">
        <v>50</v>
      </c>
      <c r="AS342" t="s">
        <v>9</v>
      </c>
      <c r="AT342" t="s">
        <v>9</v>
      </c>
      <c r="AU342" t="s">
        <v>8840</v>
      </c>
      <c r="AV342" t="s">
        <v>2288</v>
      </c>
      <c r="AW342" t="s">
        <v>9</v>
      </c>
      <c r="AX342" t="s">
        <v>2049</v>
      </c>
      <c r="AY342" t="s">
        <v>239</v>
      </c>
      <c r="AZ342" t="s">
        <v>9</v>
      </c>
      <c r="BA342" t="s">
        <v>9</v>
      </c>
      <c r="BB342" t="s">
        <v>9</v>
      </c>
      <c r="BC342" t="s">
        <v>4641</v>
      </c>
      <c r="BD342" t="s">
        <v>4642</v>
      </c>
      <c r="BE342" t="s">
        <v>9</v>
      </c>
      <c r="BF342" t="s">
        <v>9</v>
      </c>
      <c r="BG342" t="s">
        <v>9</v>
      </c>
      <c r="BH342" t="s">
        <v>2049</v>
      </c>
      <c r="BI342" t="s">
        <v>9</v>
      </c>
      <c r="BJ342" t="s">
        <v>239</v>
      </c>
      <c r="BK342" t="s">
        <v>4637</v>
      </c>
      <c r="BL342" t="s">
        <v>9</v>
      </c>
      <c r="BM342" t="s">
        <v>4641</v>
      </c>
      <c r="BN342">
        <v>-10.58</v>
      </c>
      <c r="BO342">
        <v>-8.6999999999999993</v>
      </c>
      <c r="BP342">
        <v>-304.12</v>
      </c>
      <c r="BQ342">
        <v>-12.03</v>
      </c>
      <c r="BR342">
        <v>-9.2200000000000006</v>
      </c>
      <c r="BS342">
        <v>-106.47</v>
      </c>
      <c r="BT342" t="s">
        <v>9</v>
      </c>
      <c r="BU342" t="s">
        <v>489</v>
      </c>
      <c r="BV342">
        <v>89.59</v>
      </c>
      <c r="BW342">
        <v>97.42</v>
      </c>
      <c r="BX342">
        <v>84.4</v>
      </c>
      <c r="BY342">
        <v>-101.04</v>
      </c>
      <c r="BZ342">
        <v>-303.41000000000003</v>
      </c>
      <c r="CA342">
        <v>-3530.12</v>
      </c>
      <c r="CB342">
        <v>5.3</v>
      </c>
      <c r="CC342">
        <v>-11.8</v>
      </c>
      <c r="CD342" t="s">
        <v>10726</v>
      </c>
      <c r="CE342" t="s">
        <v>10727</v>
      </c>
      <c r="CF342" s="8" t="s">
        <v>9</v>
      </c>
      <c r="CG342" s="9">
        <v>-0.1333</v>
      </c>
      <c r="CH342" s="8">
        <v>2.4336283206939697</v>
      </c>
      <c r="CI342" s="8">
        <v>-0.16296295821666718</v>
      </c>
      <c r="CJ342" s="8" t="s">
        <v>9</v>
      </c>
      <c r="CK342" s="8" t="s">
        <v>9</v>
      </c>
      <c r="CL342" s="8" t="s">
        <v>9</v>
      </c>
      <c r="CM342" s="9">
        <v>0.91722691059112549</v>
      </c>
      <c r="CN342" s="9">
        <v>-3.8770492076873779</v>
      </c>
      <c r="CO342" s="9" t="s">
        <v>9</v>
      </c>
      <c r="CP342" s="9" t="s">
        <v>9</v>
      </c>
      <c r="CQ342" s="9" t="s">
        <v>9</v>
      </c>
      <c r="CR342">
        <v>-88.89816080597933</v>
      </c>
      <c r="CS342">
        <v>-220.66345818446374</v>
      </c>
      <c r="CT342">
        <v>0</v>
      </c>
      <c r="CU342" s="8">
        <v>-4.028676135931164E-3</v>
      </c>
      <c r="CV342" s="9">
        <v>-1.5352147862315177</v>
      </c>
      <c r="CW342">
        <v>0.06</v>
      </c>
      <c r="CX342" t="e">
        <v>#VALUE!</v>
      </c>
      <c r="CY342" t="s">
        <v>109</v>
      </c>
      <c r="CZ342">
        <v>-4.028676135931164E-3</v>
      </c>
      <c r="DA342" t="e">
        <v>#VALUE!</v>
      </c>
      <c r="DB342" t="s">
        <v>108</v>
      </c>
      <c r="DC342">
        <v>-3.8272423291346057E-3</v>
      </c>
      <c r="DD342" t="e">
        <v>#VALUE!</v>
      </c>
      <c r="DE342" t="s">
        <v>108</v>
      </c>
      <c r="DF342">
        <v>-3.5452349996194245E-3</v>
      </c>
      <c r="DG342" t="e">
        <v>#VALUE!</v>
      </c>
      <c r="DH342" t="s">
        <v>108</v>
      </c>
      <c r="DI342">
        <v>-3.2229409087449314E-3</v>
      </c>
      <c r="DJ342" t="e">
        <v>#VALUE!</v>
      </c>
      <c r="DK342" t="s">
        <v>108</v>
      </c>
      <c r="DL342">
        <v>-2.8200732951518146E-3</v>
      </c>
      <c r="DM342">
        <v>-394000000</v>
      </c>
      <c r="DN342">
        <v>-4.028676135931164E-3</v>
      </c>
      <c r="DO342">
        <v>9720810900</v>
      </c>
      <c r="DP342" t="e">
        <v>#VALUE!</v>
      </c>
      <c r="DQ342">
        <v>341</v>
      </c>
      <c r="DR342" t="e">
        <v>#VALUE!</v>
      </c>
      <c r="DS342">
        <v>1.4019147862315178</v>
      </c>
      <c r="DT342" t="e">
        <v>#VALUE!</v>
      </c>
      <c r="DU342" t="e">
        <v>#VALUE!</v>
      </c>
      <c r="DV342" t="e">
        <v>#VALUE!</v>
      </c>
      <c r="DW342">
        <v>6.3099415204678362</v>
      </c>
      <c r="DX342">
        <v>0.24292612784970696</v>
      </c>
      <c r="DY342">
        <v>6.0566964021990319</v>
      </c>
      <c r="DZ342">
        <v>0</v>
      </c>
      <c r="EA342">
        <v>6.0566964021990319</v>
      </c>
      <c r="EB342">
        <v>6</v>
      </c>
      <c r="EC342">
        <v>2.1601829184611739E-2</v>
      </c>
      <c r="ED342">
        <v>0.11809045235112574</v>
      </c>
      <c r="EE342">
        <v>0</v>
      </c>
      <c r="EF342">
        <v>0</v>
      </c>
      <c r="EG342">
        <v>6.182926127849707</v>
      </c>
      <c r="EH342" t="s">
        <v>110</v>
      </c>
      <c r="EI342">
        <v>0</v>
      </c>
      <c r="EJ342">
        <v>0</v>
      </c>
      <c r="EK342">
        <v>0</v>
      </c>
      <c r="EL342">
        <v>0</v>
      </c>
      <c r="EM342">
        <v>0</v>
      </c>
      <c r="EN342">
        <v>0</v>
      </c>
      <c r="EO342">
        <v>0</v>
      </c>
      <c r="EP342">
        <v>0</v>
      </c>
    </row>
    <row r="343" spans="1:146" ht="96" x14ac:dyDescent="0.25">
      <c r="A343"/>
      <c r="B343"/>
      <c r="C343" s="7" t="str">
        <f>""&amp;CHAR(10)&amp;Basic_Fundamental_Information_Constructure(F343)&amp;CHAR(10)&amp;Basic_Fundamental_Information_Concatenate("")</f>
        <v xml:space="preserve">
市值34.4亿, 利润6465.17万; PE53.21; 平均PE2.21; 平均PEG.22, PB4.21; ROIC5.72%; ROE8.9567%; 股利率0%; 毛利78.0833%; 净利19.6633%; 上一年度营收增1.86%, 利润增-31.78%, 利润增-15.81%; 过往5年营收增10.19%, 利润增8.44%
Income profile:
</v>
      </c>
      <c r="D343" s="11">
        <v>2169</v>
      </c>
      <c r="E343" t="s">
        <v>10728</v>
      </c>
      <c r="F343">
        <v>0.86</v>
      </c>
      <c r="G343">
        <v>-1.15E-2</v>
      </c>
      <c r="H343" t="s">
        <v>10729</v>
      </c>
      <c r="I343">
        <v>3440000000</v>
      </c>
      <c r="J343">
        <v>53.21</v>
      </c>
      <c r="K343">
        <v>4.21</v>
      </c>
      <c r="L343" t="s">
        <v>6350</v>
      </c>
      <c r="M343" t="s">
        <v>9</v>
      </c>
      <c r="N343" t="s">
        <v>9</v>
      </c>
      <c r="O343" t="s">
        <v>9</v>
      </c>
      <c r="P343" s="5" t="s">
        <v>9</v>
      </c>
      <c r="Q343" t="s">
        <v>247</v>
      </c>
      <c r="R343">
        <v>64651684</v>
      </c>
      <c r="S343">
        <v>-0.15809999999999999</v>
      </c>
      <c r="T343" t="s">
        <v>10730</v>
      </c>
      <c r="U343">
        <v>4000000000</v>
      </c>
      <c r="V343">
        <v>4000000000</v>
      </c>
      <c r="W343" t="s">
        <v>9</v>
      </c>
      <c r="X343" t="s">
        <v>9</v>
      </c>
      <c r="Y343" t="s">
        <v>9</v>
      </c>
      <c r="Z343" t="s">
        <v>9</v>
      </c>
      <c r="AA343" t="s">
        <v>9</v>
      </c>
      <c r="AB343" t="s">
        <v>9</v>
      </c>
      <c r="AC343" t="s">
        <v>9</v>
      </c>
      <c r="AD343" t="s">
        <v>9</v>
      </c>
      <c r="AE343" t="s">
        <v>9</v>
      </c>
      <c r="AF343" t="s">
        <v>9</v>
      </c>
      <c r="AG343" t="s">
        <v>9</v>
      </c>
      <c r="AH343" t="s">
        <v>10731</v>
      </c>
      <c r="AI343" t="s">
        <v>9</v>
      </c>
      <c r="AJ343" t="s">
        <v>9</v>
      </c>
      <c r="AK343" s="5" t="s">
        <v>10732</v>
      </c>
      <c r="AL343" t="s">
        <v>9</v>
      </c>
      <c r="AM343" t="s">
        <v>9</v>
      </c>
      <c r="AN343">
        <v>0.41549999999999998</v>
      </c>
      <c r="AO343" t="s">
        <v>9</v>
      </c>
      <c r="AP343" t="s">
        <v>10733</v>
      </c>
      <c r="AQ343" t="s">
        <v>9</v>
      </c>
      <c r="AR343" t="s">
        <v>251</v>
      </c>
      <c r="AS343" t="s">
        <v>9</v>
      </c>
      <c r="AT343" t="s">
        <v>9</v>
      </c>
      <c r="AU343" t="s">
        <v>10734</v>
      </c>
      <c r="AV343" t="s">
        <v>10735</v>
      </c>
      <c r="AW343" t="s">
        <v>9</v>
      </c>
      <c r="AX343" t="s">
        <v>4836</v>
      </c>
      <c r="AY343" t="s">
        <v>4131</v>
      </c>
      <c r="AZ343" t="s">
        <v>1417</v>
      </c>
      <c r="BA343" t="s">
        <v>10736</v>
      </c>
      <c r="BB343" t="s">
        <v>7745</v>
      </c>
      <c r="BC343" t="s">
        <v>10737</v>
      </c>
      <c r="BD343" t="s">
        <v>10738</v>
      </c>
      <c r="BE343" t="s">
        <v>10739</v>
      </c>
      <c r="BF343" t="s">
        <v>10740</v>
      </c>
      <c r="BG343" t="s">
        <v>10741</v>
      </c>
      <c r="BH343" t="s">
        <v>4836</v>
      </c>
      <c r="BI343" t="s">
        <v>9</v>
      </c>
      <c r="BJ343" t="s">
        <v>4131</v>
      </c>
      <c r="BK343" t="s">
        <v>10742</v>
      </c>
      <c r="BL343" t="s">
        <v>9</v>
      </c>
      <c r="BM343" t="s">
        <v>10737</v>
      </c>
      <c r="BN343">
        <v>4.8</v>
      </c>
      <c r="BO343">
        <v>5.76</v>
      </c>
      <c r="BP343">
        <v>6.6</v>
      </c>
      <c r="BQ343">
        <v>7.91</v>
      </c>
      <c r="BR343">
        <v>8.9700000000000006</v>
      </c>
      <c r="BS343">
        <v>9.99</v>
      </c>
      <c r="BT343" t="s">
        <v>129</v>
      </c>
      <c r="BU343" t="s">
        <v>687</v>
      </c>
      <c r="BV343">
        <v>76.430000000000007</v>
      </c>
      <c r="BW343">
        <v>79.86</v>
      </c>
      <c r="BX343">
        <v>77.959999999999994</v>
      </c>
      <c r="BY343">
        <v>16.78</v>
      </c>
      <c r="BZ343">
        <v>20.37</v>
      </c>
      <c r="CA343">
        <v>21.84</v>
      </c>
      <c r="CB343">
        <v>-11.34</v>
      </c>
      <c r="CC343" s="8">
        <v>3.12</v>
      </c>
      <c r="CD343" s="10" t="s">
        <v>10743</v>
      </c>
      <c r="CE343" s="8" t="s">
        <v>5781</v>
      </c>
      <c r="CF343" s="8" t="s">
        <v>9</v>
      </c>
      <c r="CG343" s="8">
        <v>-0.15809999999999999</v>
      </c>
      <c r="CH343" s="8">
        <v>1.8617020919919014E-2</v>
      </c>
      <c r="CI343" s="8">
        <v>-0.13761468231678009</v>
      </c>
      <c r="CJ343" s="9">
        <v>1.1600928381085396E-2</v>
      </c>
      <c r="CK343" s="9">
        <v>-2.2675737738609314E-2</v>
      </c>
      <c r="CL343" s="9">
        <v>3.7647057324647903E-2</v>
      </c>
      <c r="CM343" s="9">
        <v>-0.31779694557189941</v>
      </c>
      <c r="CN343" s="9">
        <v>0.24920910596847534</v>
      </c>
      <c r="CO343">
        <v>-3.2872781157493591E-2</v>
      </c>
      <c r="CP343">
        <v>-0.1568162739276886</v>
      </c>
      <c r="CQ343">
        <v>-3.533666580915451E-2</v>
      </c>
      <c r="CR343" s="8">
        <v>2.2089864501263463</v>
      </c>
      <c r="CS343" s="9">
        <v>0.21687675886081306</v>
      </c>
      <c r="CT343">
        <v>0</v>
      </c>
      <c r="CU343">
        <v>0.10185445696115494</v>
      </c>
      <c r="CV343">
        <v>8.4365912526845929E-2</v>
      </c>
      <c r="CW343">
        <v>0.06</v>
      </c>
      <c r="CX343">
        <v>51.187052944845078</v>
      </c>
      <c r="CY343">
        <v>67204494.146335378</v>
      </c>
      <c r="CZ343">
        <v>0.10185445696115494</v>
      </c>
      <c r="DA343">
        <v>16.560602808578921</v>
      </c>
      <c r="DB343">
        <v>207721907.21330327</v>
      </c>
      <c r="DC343">
        <v>9.6761734113097186E-2</v>
      </c>
      <c r="DD343">
        <v>8.0433520088378501</v>
      </c>
      <c r="DE343">
        <v>427682388.66335917</v>
      </c>
      <c r="DF343">
        <v>8.9631922125816346E-2</v>
      </c>
      <c r="DG343">
        <v>4.7569673681153812</v>
      </c>
      <c r="DH343">
        <v>723149799.81938827</v>
      </c>
      <c r="DI343">
        <v>8.1483565568923957E-2</v>
      </c>
      <c r="DJ343">
        <v>2.3756923358700224</v>
      </c>
      <c r="DK343">
        <v>1447998946.6902955</v>
      </c>
      <c r="DL343">
        <v>7.1298119872808458E-2</v>
      </c>
      <c r="DM343">
        <v>64651700</v>
      </c>
      <c r="DN343">
        <v>0.10185445696115494</v>
      </c>
      <c r="DO343">
        <v>3440000000</v>
      </c>
      <c r="DP343" t="e">
        <v>#VALUE!</v>
      </c>
      <c r="DQ343">
        <v>342</v>
      </c>
      <c r="DR343" t="e">
        <v>#VALUE!</v>
      </c>
      <c r="DS343">
        <v>-0.24246591252684591</v>
      </c>
      <c r="DT343" t="e">
        <v>#VALUE!</v>
      </c>
      <c r="DU343" t="e">
        <v>#VALUE!</v>
      </c>
      <c r="DV343" t="e">
        <v>#VALUE!</v>
      </c>
      <c r="DW343">
        <v>-5.2751322751322753</v>
      </c>
      <c r="DX343">
        <v>0.25767324849126849</v>
      </c>
      <c r="DY343">
        <v>-5.007613803817704</v>
      </c>
      <c r="DZ343">
        <v>0</v>
      </c>
      <c r="EA343">
        <v>-5.007613803817704</v>
      </c>
      <c r="EB343">
        <v>5</v>
      </c>
      <c r="EC343">
        <v>1.15605E-2</v>
      </c>
      <c r="ED343">
        <v>0.41775000000000001</v>
      </c>
      <c r="EE343">
        <v>0</v>
      </c>
      <c r="EF343">
        <v>0</v>
      </c>
      <c r="EG343">
        <v>23.027673248491269</v>
      </c>
      <c r="EH343" t="s">
        <v>110</v>
      </c>
      <c r="EI343">
        <v>0</v>
      </c>
      <c r="EJ343">
        <v>0</v>
      </c>
      <c r="EK343">
        <v>0</v>
      </c>
      <c r="EL343">
        <v>0</v>
      </c>
      <c r="EM343">
        <v>0</v>
      </c>
      <c r="EN343">
        <v>0</v>
      </c>
      <c r="EO343">
        <v>0</v>
      </c>
      <c r="EP343">
        <v>0</v>
      </c>
    </row>
    <row r="344" spans="1:146" ht="84" x14ac:dyDescent="0.25">
      <c r="A344" s="7"/>
      <c r="B344" s="7"/>
      <c r="C344" s="7" t="str">
        <f>""&amp;CHAR(10)&amp;Basic_Fundamental_Information_Constructure(F344)&amp;CHAR(10)&amp;Basic_Fundamental_Information_Concatenate("")</f>
        <v xml:space="preserve">
市值28.207017亿, 利润-8.20亿; PE; 平均PE5.59; 平均PEG.2, PB1.43; ROIC-216.3967%; ROE-78.6333%; 股利率0%; 毛利100%; 净利0%, 利润增85.89%, 利润增18.56%; 过往5年营收增28.61%, 利润增14.81%
Income profile:
</v>
      </c>
      <c r="D344" s="11">
        <v>2171</v>
      </c>
      <c r="E344" t="s">
        <v>4643</v>
      </c>
      <c r="F344">
        <v>4.9000000000000004</v>
      </c>
      <c r="G344" s="5">
        <v>-1.21E-2</v>
      </c>
      <c r="H344" t="s">
        <v>10744</v>
      </c>
      <c r="I344">
        <v>2820701700</v>
      </c>
      <c r="K344">
        <v>1.43</v>
      </c>
      <c r="L344" t="s">
        <v>6350</v>
      </c>
      <c r="M344" t="s">
        <v>9</v>
      </c>
      <c r="N344" t="s">
        <v>9</v>
      </c>
      <c r="O344" t="s">
        <v>9</v>
      </c>
      <c r="P344" t="s">
        <v>9</v>
      </c>
      <c r="Q344" t="s">
        <v>9</v>
      </c>
      <c r="R344">
        <v>-819731780</v>
      </c>
      <c r="S344" s="5">
        <v>0.18559999999999999</v>
      </c>
      <c r="T344" t="s">
        <v>4126</v>
      </c>
      <c r="U344">
        <v>575643920</v>
      </c>
      <c r="V344">
        <v>575643920</v>
      </c>
      <c r="W344" t="s">
        <v>9</v>
      </c>
      <c r="X344" t="s">
        <v>9</v>
      </c>
      <c r="Y344" t="s">
        <v>9</v>
      </c>
      <c r="Z344" t="s">
        <v>9</v>
      </c>
      <c r="AA344" t="s">
        <v>9</v>
      </c>
      <c r="AB344" t="s">
        <v>9</v>
      </c>
      <c r="AC344" t="s">
        <v>9</v>
      </c>
      <c r="AD344" t="s">
        <v>7616</v>
      </c>
      <c r="AE344" t="s">
        <v>9</v>
      </c>
      <c r="AF344" t="s">
        <v>9</v>
      </c>
      <c r="AG344" t="s">
        <v>9</v>
      </c>
      <c r="AH344" t="s">
        <v>10745</v>
      </c>
      <c r="AI344" t="s">
        <v>9</v>
      </c>
      <c r="AJ344" t="s">
        <v>9</v>
      </c>
      <c r="AK344" t="s">
        <v>10746</v>
      </c>
      <c r="AL344" t="s">
        <v>9</v>
      </c>
      <c r="AM344" t="s">
        <v>9</v>
      </c>
      <c r="AN344" s="5">
        <v>0.20180000000000001</v>
      </c>
      <c r="AO344" t="s">
        <v>9</v>
      </c>
      <c r="AP344" t="s">
        <v>9</v>
      </c>
      <c r="AQ344" t="s">
        <v>9</v>
      </c>
      <c r="AR344" t="s">
        <v>3452</v>
      </c>
      <c r="AS344" t="s">
        <v>9</v>
      </c>
      <c r="AT344" t="s">
        <v>9</v>
      </c>
      <c r="AU344" t="s">
        <v>10747</v>
      </c>
      <c r="AV344" t="s">
        <v>10748</v>
      </c>
      <c r="AW344" t="s">
        <v>9</v>
      </c>
      <c r="AX344" t="s">
        <v>9</v>
      </c>
      <c r="AY344" t="s">
        <v>4645</v>
      </c>
      <c r="AZ344" t="s">
        <v>9</v>
      </c>
      <c r="BA344" t="s">
        <v>9</v>
      </c>
      <c r="BB344" t="s">
        <v>9</v>
      </c>
      <c r="BC344" t="s">
        <v>4646</v>
      </c>
      <c r="BD344" t="s">
        <v>87</v>
      </c>
      <c r="BE344" t="s">
        <v>9</v>
      </c>
      <c r="BF344" t="s">
        <v>9</v>
      </c>
      <c r="BG344" t="s">
        <v>9</v>
      </c>
      <c r="BH344" t="s">
        <v>9</v>
      </c>
      <c r="BI344" t="s">
        <v>9</v>
      </c>
      <c r="BJ344" t="s">
        <v>4645</v>
      </c>
      <c r="BK344" t="s">
        <v>4644</v>
      </c>
      <c r="BL344" t="s">
        <v>9</v>
      </c>
      <c r="BM344" t="s">
        <v>4646</v>
      </c>
      <c r="BN344">
        <v>-34.9</v>
      </c>
      <c r="BO344">
        <v>-31.29</v>
      </c>
      <c r="BP344">
        <v>-583</v>
      </c>
      <c r="BQ344">
        <v>-41.5</v>
      </c>
      <c r="BR344">
        <v>-36.08</v>
      </c>
      <c r="BS344">
        <v>-158.32</v>
      </c>
      <c r="BT344" t="s">
        <v>9</v>
      </c>
      <c r="BU344" t="s">
        <v>489</v>
      </c>
      <c r="BV344" t="s">
        <v>9</v>
      </c>
      <c r="BW344" t="s">
        <v>9</v>
      </c>
      <c r="BX344">
        <v>100</v>
      </c>
      <c r="BY344" t="s">
        <v>9</v>
      </c>
      <c r="BZ344" t="s">
        <v>9</v>
      </c>
      <c r="CA344" t="s">
        <v>4647</v>
      </c>
      <c r="CB344">
        <v>-14.04</v>
      </c>
      <c r="CC344">
        <v>-20.45</v>
      </c>
      <c r="CD344" t="s">
        <v>10749</v>
      </c>
      <c r="CE344" t="s">
        <v>10750</v>
      </c>
      <c r="CF344" s="8" t="s">
        <v>9</v>
      </c>
      <c r="CG344" s="9">
        <v>0.18559999999999999</v>
      </c>
      <c r="CH344" s="8" t="s">
        <v>9</v>
      </c>
      <c r="CI344" s="8" t="s">
        <v>9</v>
      </c>
      <c r="CJ344" s="8" t="s">
        <v>9</v>
      </c>
      <c r="CK344" s="8" t="s">
        <v>9</v>
      </c>
      <c r="CL344" s="8" t="s">
        <v>9</v>
      </c>
      <c r="CM344" s="9">
        <v>0.85886406898498535</v>
      </c>
      <c r="CN344" s="9">
        <v>-3.5820190906524658</v>
      </c>
      <c r="CO344" s="9" t="s">
        <v>9</v>
      </c>
      <c r="CP344" s="9" t="s">
        <v>9</v>
      </c>
      <c r="CQ344" s="9" t="s">
        <v>9</v>
      </c>
      <c r="CR344">
        <v>5.5929313284864506</v>
      </c>
      <c r="CS344">
        <v>0.19545830335139658</v>
      </c>
      <c r="CT344">
        <v>0</v>
      </c>
      <c r="CU344" s="8">
        <v>0.28614447340369226</v>
      </c>
      <c r="CV344" s="9">
        <v>0.14811512958258391</v>
      </c>
      <c r="CW344">
        <v>0.06</v>
      </c>
      <c r="CX344" t="e">
        <v>#VALUE!</v>
      </c>
      <c r="CY344" t="s">
        <v>109</v>
      </c>
      <c r="CZ344">
        <v>0.28614447340369226</v>
      </c>
      <c r="DA344" t="e">
        <v>#VALUE!</v>
      </c>
      <c r="DB344" t="s">
        <v>108</v>
      </c>
      <c r="DC344">
        <v>0.27183724973350765</v>
      </c>
      <c r="DD344" t="e">
        <v>#VALUE!</v>
      </c>
      <c r="DE344" t="s">
        <v>108</v>
      </c>
      <c r="DF344">
        <v>0.25180713659524917</v>
      </c>
      <c r="DG344" t="e">
        <v>#VALUE!</v>
      </c>
      <c r="DH344" t="s">
        <v>108</v>
      </c>
      <c r="DI344">
        <v>0.22891557872295382</v>
      </c>
      <c r="DJ344" t="e">
        <v>#VALUE!</v>
      </c>
      <c r="DK344" t="s">
        <v>108</v>
      </c>
      <c r="DL344">
        <v>0.20030113138258457</v>
      </c>
      <c r="DM344">
        <v>-819999999.99999988</v>
      </c>
      <c r="DN344">
        <v>0.28614447340369226</v>
      </c>
      <c r="DO344">
        <v>2820701700</v>
      </c>
      <c r="DP344" t="e">
        <v>#VALUE!</v>
      </c>
      <c r="DQ344">
        <v>343</v>
      </c>
      <c r="DR344" t="e">
        <v>#VALUE!</v>
      </c>
      <c r="DS344">
        <v>3.7484870417416077E-2</v>
      </c>
      <c r="DT344" t="e">
        <v>#VALUE!</v>
      </c>
      <c r="DU344" t="e">
        <v>#VALUE!</v>
      </c>
      <c r="DV344" t="e">
        <v>#VALUE!</v>
      </c>
      <c r="DW344">
        <v>-9.6865525672371646</v>
      </c>
      <c r="DX344">
        <v>0.22675039921385612</v>
      </c>
      <c r="DY344">
        <v>-9.0870208119786078</v>
      </c>
      <c r="DZ344">
        <v>0</v>
      </c>
      <c r="EA344">
        <v>-9.0870208119786078</v>
      </c>
      <c r="EB344">
        <v>9</v>
      </c>
      <c r="EC344">
        <v>2.0076647382986344E-2</v>
      </c>
      <c r="ED344">
        <v>0.15839514121855053</v>
      </c>
      <c r="EE344">
        <v>0</v>
      </c>
      <c r="EF344">
        <v>0</v>
      </c>
      <c r="EG344">
        <v>10.126750399213856</v>
      </c>
      <c r="EH344" t="s">
        <v>110</v>
      </c>
      <c r="EI344">
        <v>0</v>
      </c>
      <c r="EJ344">
        <v>0</v>
      </c>
      <c r="EK344">
        <v>0</v>
      </c>
      <c r="EL344">
        <v>0</v>
      </c>
      <c r="EM344">
        <v>0</v>
      </c>
      <c r="EN344">
        <v>0</v>
      </c>
      <c r="EO344">
        <v>0</v>
      </c>
      <c r="EP344">
        <v>0</v>
      </c>
    </row>
    <row r="345" spans="1:146" ht="96" x14ac:dyDescent="0.25">
      <c r="A345" s="7"/>
      <c r="B345" s="7"/>
      <c r="C345" s="7" t="str">
        <f>""&amp;CHAR(10)&amp;Basic_Fundamental_Information_Constructure(F345)&amp;CHAR(10)&amp;Basic_Fundamental_Information_Concatenate("")</f>
        <v xml:space="preserve">
市值38.630232亿, 利润1.60亿; PE24.21; 平均PE29.62; 平均PEG1.83, PB2.15; ROIC5.1367%; ROE-2.1333%; 股利率0%; 毛利75.5433%; 净利7.34%; 上一年度营收增18.31%, 利润增440.61%, 利润增749.8%; 过往5年营收增-16.22%, 利润增52.91%
Income profile:
</v>
      </c>
      <c r="D345" s="11">
        <v>2172</v>
      </c>
      <c r="E345" t="s">
        <v>4648</v>
      </c>
      <c r="F345">
        <v>6.63</v>
      </c>
      <c r="G345" s="5">
        <v>-1.9199999999999998E-2</v>
      </c>
      <c r="H345" t="s">
        <v>10751</v>
      </c>
      <c r="I345">
        <v>3863023200</v>
      </c>
      <c r="J345">
        <v>24.21</v>
      </c>
      <c r="K345">
        <v>2.15</v>
      </c>
      <c r="L345" t="s">
        <v>6350</v>
      </c>
      <c r="M345" t="s">
        <v>9</v>
      </c>
      <c r="N345" t="s">
        <v>9</v>
      </c>
      <c r="O345" t="s">
        <v>9</v>
      </c>
      <c r="P345" t="s">
        <v>9</v>
      </c>
      <c r="Q345" t="s">
        <v>1684</v>
      </c>
      <c r="R345">
        <v>159549720</v>
      </c>
      <c r="S345" s="5">
        <v>7.4980000000000002</v>
      </c>
      <c r="T345" t="s">
        <v>2579</v>
      </c>
      <c r="U345">
        <v>582658100</v>
      </c>
      <c r="V345">
        <v>582658100</v>
      </c>
      <c r="W345" t="s">
        <v>9</v>
      </c>
      <c r="X345" t="s">
        <v>9</v>
      </c>
      <c r="Y345" t="s">
        <v>9</v>
      </c>
      <c r="Z345" t="s">
        <v>9</v>
      </c>
      <c r="AA345" t="s">
        <v>9</v>
      </c>
      <c r="AB345" t="s">
        <v>9</v>
      </c>
      <c r="AC345" t="s">
        <v>9</v>
      </c>
      <c r="AD345" t="s">
        <v>1857</v>
      </c>
      <c r="AE345" t="s">
        <v>9</v>
      </c>
      <c r="AF345" t="s">
        <v>9</v>
      </c>
      <c r="AG345" t="s">
        <v>9</v>
      </c>
      <c r="AH345" t="s">
        <v>10752</v>
      </c>
      <c r="AI345" t="s">
        <v>9</v>
      </c>
      <c r="AJ345" t="s">
        <v>9</v>
      </c>
      <c r="AK345" t="s">
        <v>10753</v>
      </c>
      <c r="AL345" t="s">
        <v>9</v>
      </c>
      <c r="AM345" t="s">
        <v>9</v>
      </c>
      <c r="AN345" s="5">
        <v>0.16439999999999999</v>
      </c>
      <c r="AO345" t="s">
        <v>9</v>
      </c>
      <c r="AP345" t="s">
        <v>10754</v>
      </c>
      <c r="AQ345" t="s">
        <v>9</v>
      </c>
      <c r="AR345" t="s">
        <v>2854</v>
      </c>
      <c r="AS345" t="s">
        <v>9</v>
      </c>
      <c r="AT345" t="s">
        <v>9</v>
      </c>
      <c r="AU345" t="s">
        <v>6493</v>
      </c>
      <c r="AV345" t="s">
        <v>4574</v>
      </c>
      <c r="AW345" t="s">
        <v>9</v>
      </c>
      <c r="AX345" t="s">
        <v>2959</v>
      </c>
      <c r="AY345" t="s">
        <v>1042</v>
      </c>
      <c r="AZ345" t="s">
        <v>1819</v>
      </c>
      <c r="BA345" t="s">
        <v>2432</v>
      </c>
      <c r="BB345" t="s">
        <v>9</v>
      </c>
      <c r="BC345" t="s">
        <v>4650</v>
      </c>
      <c r="BD345" t="s">
        <v>10755</v>
      </c>
      <c r="BE345" t="s">
        <v>9</v>
      </c>
      <c r="BF345" t="s">
        <v>9</v>
      </c>
      <c r="BG345" t="s">
        <v>9</v>
      </c>
      <c r="BH345" t="s">
        <v>2959</v>
      </c>
      <c r="BI345" t="s">
        <v>9</v>
      </c>
      <c r="BJ345" t="s">
        <v>1042</v>
      </c>
      <c r="BK345" t="s">
        <v>4649</v>
      </c>
      <c r="BL345" t="s">
        <v>9</v>
      </c>
      <c r="BM345" t="s">
        <v>4650</v>
      </c>
      <c r="BN345">
        <v>9.3699999999999992</v>
      </c>
      <c r="BO345">
        <v>-3.35</v>
      </c>
      <c r="BP345">
        <v>9.39</v>
      </c>
      <c r="BQ345">
        <v>8.9</v>
      </c>
      <c r="BR345">
        <v>-1.48</v>
      </c>
      <c r="BS345">
        <v>-13.82</v>
      </c>
      <c r="BT345" t="s">
        <v>9</v>
      </c>
      <c r="BU345" t="s">
        <v>2382</v>
      </c>
      <c r="BV345">
        <v>76.89</v>
      </c>
      <c r="BW345">
        <v>71.8</v>
      </c>
      <c r="BX345">
        <v>77.94</v>
      </c>
      <c r="BY345">
        <v>20.22</v>
      </c>
      <c r="BZ345">
        <v>-4.51</v>
      </c>
      <c r="CA345">
        <v>6.31</v>
      </c>
      <c r="CB345">
        <v>-6.36</v>
      </c>
      <c r="CC345">
        <v>-27.06</v>
      </c>
      <c r="CD345" t="s">
        <v>10756</v>
      </c>
      <c r="CE345" t="s">
        <v>10757</v>
      </c>
      <c r="CF345" s="8" t="s">
        <v>9</v>
      </c>
      <c r="CG345" s="9">
        <v>7.4980000000000002</v>
      </c>
      <c r="CH345" s="8">
        <v>0.18314424157142639</v>
      </c>
      <c r="CI345" s="8">
        <v>0.31556501984596252</v>
      </c>
      <c r="CJ345" s="8">
        <v>0.76981133222579956</v>
      </c>
      <c r="CK345" s="8">
        <v>0.87943261861801147</v>
      </c>
      <c r="CL345" s="8" t="s">
        <v>9</v>
      </c>
      <c r="CM345" s="9">
        <v>4.4060993194580078</v>
      </c>
      <c r="CN345" s="9">
        <v>-0.4516947865486145</v>
      </c>
      <c r="CO345" s="9" t="s">
        <v>9</v>
      </c>
      <c r="CP345" s="9" t="s">
        <v>9</v>
      </c>
      <c r="CQ345" s="9" t="s">
        <v>9</v>
      </c>
      <c r="CR345">
        <v>29.620996147938978</v>
      </c>
      <c r="CS345">
        <v>1.8263109209546071</v>
      </c>
      <c r="CT345">
        <v>0</v>
      </c>
      <c r="CU345" s="8">
        <v>-0.16219032481312751</v>
      </c>
      <c r="CV345" s="9">
        <v>0.52905076146125796</v>
      </c>
      <c r="CW345">
        <v>0.06</v>
      </c>
      <c r="CX345">
        <v>24.143895000000001</v>
      </c>
      <c r="CY345" t="s">
        <v>10758</v>
      </c>
      <c r="CZ345">
        <v>-0.16219032481312751</v>
      </c>
      <c r="DA345">
        <v>8.0479649999999996</v>
      </c>
      <c r="DB345" t="s">
        <v>10759</v>
      </c>
      <c r="DC345">
        <v>-0.15408080857247111</v>
      </c>
      <c r="DD345">
        <v>4.0239824999999998</v>
      </c>
      <c r="DE345" t="s">
        <v>10760</v>
      </c>
      <c r="DF345">
        <v>-0.1427274858355522</v>
      </c>
      <c r="DG345">
        <v>2.4143895</v>
      </c>
      <c r="DH345" t="s">
        <v>10761</v>
      </c>
      <c r="DI345">
        <v>-0.12975225985050201</v>
      </c>
      <c r="DJ345">
        <v>1.20719475</v>
      </c>
      <c r="DK345" t="s">
        <v>10762</v>
      </c>
      <c r="DL345">
        <v>-0.11353322736918925</v>
      </c>
      <c r="DM345">
        <v>160000000</v>
      </c>
      <c r="DN345">
        <v>-0.16219032481312751</v>
      </c>
      <c r="DO345">
        <v>3863023200</v>
      </c>
      <c r="DP345" t="e">
        <v>#VALUE!</v>
      </c>
      <c r="DQ345">
        <v>344</v>
      </c>
      <c r="DR345" t="e">
        <v>#VALUE!</v>
      </c>
      <c r="DS345">
        <v>6.9689492385387419</v>
      </c>
      <c r="DT345" t="e">
        <v>#VALUE!</v>
      </c>
      <c r="DU345" t="e">
        <v>#VALUE!</v>
      </c>
      <c r="DV345" t="e">
        <v>#VALUE!</v>
      </c>
      <c r="DW345">
        <v>-9.2350332594235027</v>
      </c>
      <c r="DX345">
        <v>0.24284088841616186</v>
      </c>
      <c r="DY345">
        <v>-9.0406233573661048</v>
      </c>
      <c r="DZ345">
        <v>0</v>
      </c>
      <c r="EA345">
        <v>-9.0406233573661048</v>
      </c>
      <c r="EB345">
        <v>9</v>
      </c>
      <c r="EC345">
        <v>1.2717578284760823E-2</v>
      </c>
      <c r="ED345">
        <v>7.3579685925588265E-2</v>
      </c>
      <c r="EE345">
        <v>0</v>
      </c>
      <c r="EF345">
        <v>0</v>
      </c>
      <c r="EG345">
        <v>7.1728408884161619</v>
      </c>
      <c r="EH345" t="s">
        <v>110</v>
      </c>
      <c r="EI345">
        <v>0</v>
      </c>
      <c r="EJ345">
        <v>0</v>
      </c>
      <c r="EK345">
        <v>0</v>
      </c>
      <c r="EL345">
        <v>0</v>
      </c>
      <c r="EM345">
        <v>0</v>
      </c>
      <c r="EN345">
        <v>0</v>
      </c>
      <c r="EO345">
        <v>0</v>
      </c>
      <c r="EP345">
        <v>0</v>
      </c>
    </row>
    <row r="346" spans="1:146" ht="96" x14ac:dyDescent="0.25">
      <c r="A346" s="7"/>
      <c r="B346" s="7"/>
      <c r="C346" s="7" t="str">
        <f>""&amp;CHAR(10)&amp;Basic_Fundamental_Information_Constructure(F346)&amp;CHAR(10)&amp;Basic_Fundamental_Information_Concatenate("")</f>
        <v xml:space="preserve">
市值102.317441亿, 利润5.84亿; PE17.52; 平均PE13.03; 平均PEG1.8, PB.745; ROIC1.7167%; ROE2.87%; 股利率0%; 毛利67.66%; 净利5.25%; 上一年度营收增-.21%, 利润增453.94%, 利润增-14.43%; 过往5年营收增7.24%, 利润增9.46%
Income profile:
</v>
      </c>
      <c r="D346" s="11">
        <v>2186</v>
      </c>
      <c r="E346" t="s">
        <v>4651</v>
      </c>
      <c r="F346">
        <v>2.72</v>
      </c>
      <c r="G346" s="5">
        <v>-4.2299999999999997E-2</v>
      </c>
      <c r="H346" t="s">
        <v>10763</v>
      </c>
      <c r="I346">
        <v>10231744100</v>
      </c>
      <c r="J346">
        <v>17.52</v>
      </c>
      <c r="K346">
        <v>0.745</v>
      </c>
      <c r="L346" t="s">
        <v>6350</v>
      </c>
      <c r="M346" t="s">
        <v>9</v>
      </c>
      <c r="N346" t="s">
        <v>9</v>
      </c>
      <c r="O346" t="s">
        <v>9</v>
      </c>
      <c r="P346" t="s">
        <v>9</v>
      </c>
      <c r="Q346" t="s">
        <v>10764</v>
      </c>
      <c r="R346">
        <v>583841600</v>
      </c>
      <c r="S346" s="5">
        <v>-0.14430000000000001</v>
      </c>
      <c r="T346" t="s">
        <v>5615</v>
      </c>
      <c r="U346">
        <v>3761670600</v>
      </c>
      <c r="V346">
        <v>3761670600</v>
      </c>
      <c r="W346" t="s">
        <v>9</v>
      </c>
      <c r="X346" t="s">
        <v>9</v>
      </c>
      <c r="Y346" t="s">
        <v>9</v>
      </c>
      <c r="Z346" t="s">
        <v>9</v>
      </c>
      <c r="AA346" t="s">
        <v>9</v>
      </c>
      <c r="AB346" t="s">
        <v>9</v>
      </c>
      <c r="AC346" t="s">
        <v>9</v>
      </c>
      <c r="AD346" t="s">
        <v>3888</v>
      </c>
      <c r="AE346" t="s">
        <v>9</v>
      </c>
      <c r="AF346" t="s">
        <v>9</v>
      </c>
      <c r="AG346" t="s">
        <v>9</v>
      </c>
      <c r="AH346" t="s">
        <v>10765</v>
      </c>
      <c r="AI346" t="s">
        <v>9</v>
      </c>
      <c r="AJ346" t="s">
        <v>9</v>
      </c>
      <c r="AK346" t="s">
        <v>10766</v>
      </c>
      <c r="AL346" t="s">
        <v>9</v>
      </c>
      <c r="AM346" t="s">
        <v>9</v>
      </c>
      <c r="AN346" s="5">
        <v>0.46929999999999999</v>
      </c>
      <c r="AO346" t="s">
        <v>9</v>
      </c>
      <c r="AP346" t="s">
        <v>1736</v>
      </c>
      <c r="AQ346" t="s">
        <v>9</v>
      </c>
      <c r="AR346" t="s">
        <v>10767</v>
      </c>
      <c r="AS346" t="s">
        <v>9</v>
      </c>
      <c r="AT346" t="s">
        <v>9</v>
      </c>
      <c r="AU346" t="s">
        <v>4430</v>
      </c>
      <c r="AV346" t="s">
        <v>10768</v>
      </c>
      <c r="AW346" t="s">
        <v>9</v>
      </c>
      <c r="AX346" t="s">
        <v>4652</v>
      </c>
      <c r="AY346" t="s">
        <v>4654</v>
      </c>
      <c r="AZ346" t="s">
        <v>2515</v>
      </c>
      <c r="BA346" t="s">
        <v>2495</v>
      </c>
      <c r="BB346" t="s">
        <v>4655</v>
      </c>
      <c r="BC346" t="s">
        <v>2253</v>
      </c>
      <c r="BD346" t="s">
        <v>4656</v>
      </c>
      <c r="BE346" t="s">
        <v>4657</v>
      </c>
      <c r="BF346" t="s">
        <v>4658</v>
      </c>
      <c r="BG346" t="s">
        <v>4659</v>
      </c>
      <c r="BH346" t="s">
        <v>4652</v>
      </c>
      <c r="BI346" t="s">
        <v>9</v>
      </c>
      <c r="BJ346" t="s">
        <v>4654</v>
      </c>
      <c r="BK346" t="s">
        <v>173</v>
      </c>
      <c r="BL346" t="s">
        <v>9</v>
      </c>
      <c r="BM346" t="s">
        <v>2253</v>
      </c>
      <c r="BN346">
        <v>2.65</v>
      </c>
      <c r="BO346">
        <v>3.25</v>
      </c>
      <c r="BP346">
        <v>-0.75</v>
      </c>
      <c r="BQ346">
        <v>4.25</v>
      </c>
      <c r="BR346">
        <v>5.94</v>
      </c>
      <c r="BS346">
        <v>-1.58</v>
      </c>
      <c r="BT346" t="s">
        <v>147</v>
      </c>
      <c r="BU346" t="s">
        <v>489</v>
      </c>
      <c r="BV346">
        <v>68.44</v>
      </c>
      <c r="BW346">
        <v>69.22</v>
      </c>
      <c r="BX346">
        <v>65.319999999999993</v>
      </c>
      <c r="BY346">
        <v>8.7799999999999994</v>
      </c>
      <c r="BZ346">
        <v>9.75</v>
      </c>
      <c r="CA346">
        <v>-2.78</v>
      </c>
      <c r="CB346">
        <v>-4.9000000000000004</v>
      </c>
      <c r="CC346">
        <v>-8.7200000000000006</v>
      </c>
      <c r="CD346" t="s">
        <v>10769</v>
      </c>
      <c r="CE346" t="s">
        <v>6445</v>
      </c>
      <c r="CF346" s="8" t="s">
        <v>9</v>
      </c>
      <c r="CG346" s="9">
        <v>-0.14430000000000001</v>
      </c>
      <c r="CH346" s="8">
        <v>-2.0747077651321888E-3</v>
      </c>
      <c r="CI346" s="8">
        <v>5.9673406183719635E-2</v>
      </c>
      <c r="CJ346" s="8">
        <v>-3.5589855164289474E-2</v>
      </c>
      <c r="CK346" s="8">
        <v>0.12105262279510498</v>
      </c>
      <c r="CL346" s="8">
        <v>0.28771311044692993</v>
      </c>
      <c r="CM346" s="9">
        <v>4.5393939018249512</v>
      </c>
      <c r="CN346" s="9">
        <v>-1.1959619522094727</v>
      </c>
      <c r="CO346" s="9">
        <v>-0.48689821362495422</v>
      </c>
      <c r="CP346" s="9">
        <v>0.10579510778188705</v>
      </c>
      <c r="CQ346" s="9">
        <v>0.26083269715309143</v>
      </c>
      <c r="CR346">
        <v>13.025772246976448</v>
      </c>
      <c r="CS346">
        <v>1.797950874403335</v>
      </c>
      <c r="CT346">
        <v>0</v>
      </c>
      <c r="CU346" s="8">
        <v>7.244787625968456E-2</v>
      </c>
      <c r="CV346" s="9">
        <v>9.460151866078377E-2</v>
      </c>
      <c r="CW346">
        <v>0.06</v>
      </c>
      <c r="CX346">
        <v>17.316754274958832</v>
      </c>
      <c r="CY346">
        <v>590858075.22231674</v>
      </c>
      <c r="CZ346">
        <v>7.244787625968456E-2</v>
      </c>
      <c r="DA346">
        <v>5.7438586934178275</v>
      </c>
      <c r="DB346">
        <v>1781336318.6885262</v>
      </c>
      <c r="DC346">
        <v>6.8825482446700323E-2</v>
      </c>
      <c r="DD346">
        <v>2.884056576407338</v>
      </c>
      <c r="DE346">
        <v>3547691880.8387794</v>
      </c>
      <c r="DF346">
        <v>6.3754131108522419E-2</v>
      </c>
      <c r="DG346">
        <v>1.7706608897792493</v>
      </c>
      <c r="DH346">
        <v>5778488788.5989313</v>
      </c>
      <c r="DI346">
        <v>5.7958301007747653E-2</v>
      </c>
      <c r="DJ346">
        <v>0.95956447914682552</v>
      </c>
      <c r="DK346">
        <v>10662904184.508078</v>
      </c>
      <c r="DL346">
        <v>5.0713513381779186E-2</v>
      </c>
      <c r="DM346">
        <v>584000000</v>
      </c>
      <c r="DN346">
        <v>7.244787625968456E-2</v>
      </c>
      <c r="DO346">
        <v>10231744100</v>
      </c>
      <c r="DP346" t="e">
        <v>#VALUE!</v>
      </c>
      <c r="DQ346">
        <v>345</v>
      </c>
      <c r="DR346" t="e">
        <v>#VALUE!</v>
      </c>
      <c r="DS346">
        <v>-0.2389015186607838</v>
      </c>
      <c r="DT346" t="e">
        <v>#VALUE!</v>
      </c>
      <c r="DU346" t="e">
        <v>#VALUE!</v>
      </c>
      <c r="DV346" t="e">
        <v>#VALUE!</v>
      </c>
      <c r="DW346">
        <v>-8.5619266055045866</v>
      </c>
      <c r="DX346">
        <v>0.51674289772727378</v>
      </c>
      <c r="DY346">
        <v>-8.076839472346748</v>
      </c>
      <c r="DZ346">
        <v>0</v>
      </c>
      <c r="EA346">
        <v>-8.076839472346748</v>
      </c>
      <c r="EB346">
        <v>8</v>
      </c>
      <c r="EC346">
        <v>1.2795777493117021E-2</v>
      </c>
      <c r="ED346">
        <v>9.3575444910035457E-2</v>
      </c>
      <c r="EE346">
        <v>0</v>
      </c>
      <c r="EF346">
        <v>0</v>
      </c>
      <c r="EG346">
        <v>38.136742897727274</v>
      </c>
      <c r="EH346" t="s">
        <v>110</v>
      </c>
      <c r="EI346">
        <v>0</v>
      </c>
      <c r="EJ346">
        <v>0</v>
      </c>
      <c r="EK346">
        <v>0</v>
      </c>
      <c r="EL346">
        <v>0</v>
      </c>
      <c r="EM346">
        <v>0</v>
      </c>
      <c r="EN346">
        <v>0</v>
      </c>
      <c r="EO346">
        <v>0</v>
      </c>
      <c r="EP346">
        <v>0</v>
      </c>
    </row>
    <row r="347" spans="1:146" ht="96" x14ac:dyDescent="0.25">
      <c r="A347" s="7"/>
      <c r="B347" s="7"/>
      <c r="C347" s="7" t="str">
        <f>""&amp;CHAR(10)&amp;Basic_Fundamental_Information_Constructure(F347)&amp;CHAR(10)&amp;Basic_Fundamental_Information_Concatenate("")</f>
        <v xml:space="preserve">
市值54.231403亿, 利润2.66亿; PE20.42; 平均PE60.87; 平均PEG3.34, PB1.08; ROIC3.3933%; ROE2.99%; 股利率0%; 毛利66.4367%; 净利39.09%; 上一年度营收增27.68%, 利润增434.84%, 利润增100.7%; 过往5年营收增18.24%, 利润增-122.62%
Income profile:
</v>
      </c>
      <c r="D347" s="11">
        <v>2192</v>
      </c>
      <c r="E347" t="s">
        <v>4660</v>
      </c>
      <c r="F347">
        <v>7.46</v>
      </c>
      <c r="G347" s="5">
        <v>-2.6100000000000002E-2</v>
      </c>
      <c r="H347" t="s">
        <v>10770</v>
      </c>
      <c r="I347">
        <v>5423140300</v>
      </c>
      <c r="J347">
        <v>20.420000000000002</v>
      </c>
      <c r="K347">
        <v>1.08</v>
      </c>
      <c r="L347" t="s">
        <v>6350</v>
      </c>
      <c r="M347" t="s">
        <v>9</v>
      </c>
      <c r="N347" t="s">
        <v>9</v>
      </c>
      <c r="O347" t="s">
        <v>9</v>
      </c>
      <c r="P347" t="s">
        <v>9</v>
      </c>
      <c r="Q347" t="s">
        <v>1809</v>
      </c>
      <c r="R347">
        <v>265610360</v>
      </c>
      <c r="S347" s="5">
        <v>1.0069999999999999</v>
      </c>
      <c r="T347" t="s">
        <v>94</v>
      </c>
      <c r="U347">
        <v>726962500</v>
      </c>
      <c r="V347">
        <v>726962500</v>
      </c>
      <c r="W347" t="s">
        <v>9</v>
      </c>
      <c r="X347" t="s">
        <v>9</v>
      </c>
      <c r="Y347" t="s">
        <v>9</v>
      </c>
      <c r="Z347" t="s">
        <v>9</v>
      </c>
      <c r="AA347" t="s">
        <v>9</v>
      </c>
      <c r="AB347" t="s">
        <v>9</v>
      </c>
      <c r="AC347" t="s">
        <v>9</v>
      </c>
      <c r="AD347" t="s">
        <v>10771</v>
      </c>
      <c r="AE347" t="s">
        <v>9</v>
      </c>
      <c r="AF347" t="s">
        <v>9</v>
      </c>
      <c r="AG347" t="s">
        <v>9</v>
      </c>
      <c r="AH347" t="s">
        <v>10772</v>
      </c>
      <c r="AI347" t="s">
        <v>9</v>
      </c>
      <c r="AJ347" t="s">
        <v>9</v>
      </c>
      <c r="AK347" t="s">
        <v>10773</v>
      </c>
      <c r="AL347" t="s">
        <v>9</v>
      </c>
      <c r="AM347" t="s">
        <v>9</v>
      </c>
      <c r="AN347" s="5">
        <v>5.0799999999999998E-2</v>
      </c>
      <c r="AO347" t="s">
        <v>9</v>
      </c>
      <c r="AP347" t="s">
        <v>10774</v>
      </c>
      <c r="AQ347" t="s">
        <v>9</v>
      </c>
      <c r="AR347" t="s">
        <v>3689</v>
      </c>
      <c r="AS347" t="s">
        <v>9</v>
      </c>
      <c r="AT347" t="s">
        <v>9</v>
      </c>
      <c r="AU347" t="s">
        <v>2814</v>
      </c>
      <c r="AV347" t="s">
        <v>10775</v>
      </c>
      <c r="AW347" t="s">
        <v>9</v>
      </c>
      <c r="AX347" t="s">
        <v>673</v>
      </c>
      <c r="AY347" t="s">
        <v>3644</v>
      </c>
      <c r="AZ347" t="s">
        <v>4661</v>
      </c>
      <c r="BA347" t="s">
        <v>4662</v>
      </c>
      <c r="BB347" t="s">
        <v>9</v>
      </c>
      <c r="BC347" t="s">
        <v>4663</v>
      </c>
      <c r="BD347" t="s">
        <v>99</v>
      </c>
      <c r="BE347" t="s">
        <v>9</v>
      </c>
      <c r="BF347" t="s">
        <v>9</v>
      </c>
      <c r="BG347" t="s">
        <v>9</v>
      </c>
      <c r="BH347" t="s">
        <v>673</v>
      </c>
      <c r="BI347" t="s">
        <v>9</v>
      </c>
      <c r="BJ347" t="s">
        <v>3644</v>
      </c>
      <c r="BK347" t="s">
        <v>378</v>
      </c>
      <c r="BL347" t="s">
        <v>9</v>
      </c>
      <c r="BM347" t="s">
        <v>4663</v>
      </c>
      <c r="BN347">
        <v>5.39</v>
      </c>
      <c r="BO347">
        <v>2.81</v>
      </c>
      <c r="BP347">
        <v>1.98</v>
      </c>
      <c r="BQ347">
        <v>5.27</v>
      </c>
      <c r="BR347">
        <v>2.67</v>
      </c>
      <c r="BS347">
        <v>1.03</v>
      </c>
      <c r="BT347" t="s">
        <v>2146</v>
      </c>
      <c r="BU347" t="s">
        <v>2382</v>
      </c>
      <c r="BV347">
        <v>61</v>
      </c>
      <c r="BW347">
        <v>67.739999999999995</v>
      </c>
      <c r="BX347">
        <v>70.569999999999993</v>
      </c>
      <c r="BY347">
        <v>61.11</v>
      </c>
      <c r="BZ347">
        <v>40.25</v>
      </c>
      <c r="CA347">
        <v>15.91</v>
      </c>
      <c r="CB347">
        <v>-3.74</v>
      </c>
      <c r="CC347">
        <v>-9.61</v>
      </c>
      <c r="CD347" t="s">
        <v>10776</v>
      </c>
      <c r="CE347" t="s">
        <v>10777</v>
      </c>
      <c r="CF347" s="8" t="s">
        <v>9</v>
      </c>
      <c r="CG347" s="9">
        <v>1.0069999999999999</v>
      </c>
      <c r="CH347" s="8">
        <v>0.27683615684509277</v>
      </c>
      <c r="CI347" s="8">
        <v>1.7241379246115685E-2</v>
      </c>
      <c r="CJ347" s="8">
        <v>0.364705890417099</v>
      </c>
      <c r="CK347" s="8">
        <v>1.6833348274230957</v>
      </c>
      <c r="CL347" s="8" t="s">
        <v>9</v>
      </c>
      <c r="CM347" s="9">
        <v>4.348421573638916</v>
      </c>
      <c r="CN347" s="9">
        <v>-0.51240885257720947</v>
      </c>
      <c r="CO347" s="9" t="s">
        <v>9</v>
      </c>
      <c r="CP347" s="9" t="s">
        <v>9</v>
      </c>
      <c r="CQ347" s="9" t="s">
        <v>9</v>
      </c>
      <c r="CR347">
        <v>60.870064723980718</v>
      </c>
      <c r="CS347">
        <v>3.3380316420743785</v>
      </c>
      <c r="CT347">
        <v>0</v>
      </c>
      <c r="CU347" s="8">
        <v>0.18235316872596741</v>
      </c>
      <c r="CV347" s="9">
        <v>-1.2262357965111732</v>
      </c>
      <c r="CW347">
        <v>0.06</v>
      </c>
      <c r="CX347">
        <v>18.277965323450555</v>
      </c>
      <c r="CY347">
        <v>296703719.69915783</v>
      </c>
      <c r="CZ347">
        <v>0.18235316872596741</v>
      </c>
      <c r="DA347">
        <v>5.5283974860035521</v>
      </c>
      <c r="DB347">
        <v>980960633.48012948</v>
      </c>
      <c r="DC347">
        <v>0.17323551028966902</v>
      </c>
      <c r="DD347">
        <v>2.4456146303510229</v>
      </c>
      <c r="DE347">
        <v>2217495852.656724</v>
      </c>
      <c r="DF347">
        <v>0.16047078847885132</v>
      </c>
      <c r="DG347">
        <v>1.2955758733610663</v>
      </c>
      <c r="DH347">
        <v>4185891703.8420458</v>
      </c>
      <c r="DI347">
        <v>0.14588253498077394</v>
      </c>
      <c r="DJ347">
        <v>0.49996969786332141</v>
      </c>
      <c r="DK347">
        <v>10846937970.793871</v>
      </c>
      <c r="DL347">
        <v>0.12764721810817717</v>
      </c>
      <c r="DM347">
        <v>266000000</v>
      </c>
      <c r="DN347">
        <v>0.18235316872596741</v>
      </c>
      <c r="DO347">
        <v>5423140300</v>
      </c>
      <c r="DP347" t="e">
        <v>#VALUE!</v>
      </c>
      <c r="DQ347">
        <v>346</v>
      </c>
      <c r="DR347" t="e">
        <v>#VALUE!</v>
      </c>
      <c r="DS347">
        <v>2.2332357965111731</v>
      </c>
      <c r="DT347" t="e">
        <v>#VALUE!</v>
      </c>
      <c r="DU347" t="e">
        <v>#VALUE!</v>
      </c>
      <c r="DV347" t="e">
        <v>#VALUE!</v>
      </c>
      <c r="DW347">
        <v>-8.3891779396462027</v>
      </c>
      <c r="DX347">
        <v>0.35129792092296663</v>
      </c>
      <c r="DY347">
        <v>-8.0783407101198641</v>
      </c>
      <c r="DZ347">
        <v>0</v>
      </c>
      <c r="EA347">
        <v>-8.0783407101198641</v>
      </c>
      <c r="EB347">
        <v>8</v>
      </c>
      <c r="EC347">
        <v>3.225750984404285E-3</v>
      </c>
      <c r="ED347">
        <v>1.6024760561927198E-2</v>
      </c>
      <c r="EE347">
        <v>0</v>
      </c>
      <c r="EF347">
        <v>0</v>
      </c>
      <c r="EG347">
        <v>15.201297920922967</v>
      </c>
      <c r="EH347" t="s">
        <v>110</v>
      </c>
      <c r="EI347">
        <v>0</v>
      </c>
      <c r="EJ347">
        <v>0</v>
      </c>
      <c r="EK347">
        <v>0</v>
      </c>
      <c r="EL347">
        <v>0</v>
      </c>
      <c r="EM347">
        <v>0</v>
      </c>
      <c r="EN347">
        <v>0</v>
      </c>
      <c r="EO347">
        <v>0</v>
      </c>
      <c r="EP347">
        <v>0</v>
      </c>
    </row>
    <row r="348" spans="1:146" ht="96" x14ac:dyDescent="0.25">
      <c r="A348" s="7"/>
      <c r="B348" s="7"/>
      <c r="C348" s="7" t="str">
        <f>""&amp;CHAR(10)&amp;Basic_Fundamental_Information_Constructure(F348)&amp;CHAR(10)&amp;Basic_Fundamental_Information_Concatenate("")</f>
        <v xml:space="preserve">
市值351.68767亿, 利润26.28亿; PE16.3; 平均PE-498.9; 平均PEG-37.51, PB.704; ROIC5.4233%; ROE8.58%; 股利率0%; 毛利47.5667%; 净利9.6367%; 上一年度营收增-8.51%, 利润增-54.61%; 当季营收增-14.79%, 利润增-41.7%; 过往5年营收增-13.3%, 利润增-2098.55%
Income profile:
</v>
      </c>
      <c r="D348" s="11">
        <v>2196</v>
      </c>
      <c r="E348" t="s">
        <v>4664</v>
      </c>
      <c r="F348">
        <v>13.16</v>
      </c>
      <c r="G348" s="5">
        <v>-4.0800000000000003E-2</v>
      </c>
      <c r="H348" t="s">
        <v>10778</v>
      </c>
      <c r="I348">
        <v>35168767000</v>
      </c>
      <c r="J348">
        <v>16.3</v>
      </c>
      <c r="K348">
        <v>0.70399999999999996</v>
      </c>
      <c r="L348" t="s">
        <v>6350</v>
      </c>
      <c r="M348" t="s">
        <v>10779</v>
      </c>
      <c r="N348" t="s">
        <v>10780</v>
      </c>
      <c r="O348" t="s">
        <v>10781</v>
      </c>
      <c r="P348">
        <v>-6.56</v>
      </c>
      <c r="Q348" t="s">
        <v>10782</v>
      </c>
      <c r="R348">
        <v>2628200900</v>
      </c>
      <c r="S348" s="5">
        <v>-0.41699999999999998</v>
      </c>
      <c r="T348" t="s">
        <v>10783</v>
      </c>
      <c r="U348">
        <v>551940500</v>
      </c>
      <c r="V348">
        <v>2672398700</v>
      </c>
      <c r="W348">
        <v>2.4500000000000002</v>
      </c>
      <c r="X348">
        <v>0.09</v>
      </c>
      <c r="Y348">
        <v>10.15</v>
      </c>
      <c r="Z348" t="s">
        <v>8899</v>
      </c>
      <c r="AA348" t="s">
        <v>2215</v>
      </c>
      <c r="AB348" t="s">
        <v>2715</v>
      </c>
      <c r="AC348" t="s">
        <v>6942</v>
      </c>
      <c r="AD348" t="s">
        <v>10784</v>
      </c>
      <c r="AE348" t="s">
        <v>2428</v>
      </c>
      <c r="AF348" t="s">
        <v>9</v>
      </c>
      <c r="AG348" t="s">
        <v>10785</v>
      </c>
      <c r="AH348" t="s">
        <v>10786</v>
      </c>
      <c r="AI348" t="s">
        <v>10787</v>
      </c>
      <c r="AJ348" t="s">
        <v>10788</v>
      </c>
      <c r="AK348" t="s">
        <v>10789</v>
      </c>
      <c r="AL348" t="s">
        <v>9</v>
      </c>
      <c r="AM348" t="s">
        <v>10790</v>
      </c>
      <c r="AN348" s="5">
        <v>0.49419999999999997</v>
      </c>
      <c r="AO348" t="s">
        <v>10791</v>
      </c>
      <c r="AP348" t="s">
        <v>10792</v>
      </c>
      <c r="AQ348" t="s">
        <v>10793</v>
      </c>
      <c r="AR348" t="s">
        <v>10794</v>
      </c>
      <c r="AS348" t="s">
        <v>10795</v>
      </c>
      <c r="AT348" t="s">
        <v>10796</v>
      </c>
      <c r="AU348" t="s">
        <v>5801</v>
      </c>
      <c r="AV348" t="s">
        <v>10797</v>
      </c>
      <c r="AW348" t="s">
        <v>6189</v>
      </c>
      <c r="AX348" t="s">
        <v>4665</v>
      </c>
      <c r="AY348" t="s">
        <v>4671</v>
      </c>
      <c r="AZ348" t="s">
        <v>4672</v>
      </c>
      <c r="BA348" t="s">
        <v>4673</v>
      </c>
      <c r="BB348" t="s">
        <v>4674</v>
      </c>
      <c r="BC348" t="s">
        <v>8591</v>
      </c>
      <c r="BD348" t="s">
        <v>4675</v>
      </c>
      <c r="BE348" t="s">
        <v>4466</v>
      </c>
      <c r="BF348" t="s">
        <v>4676</v>
      </c>
      <c r="BG348" t="s">
        <v>4677</v>
      </c>
      <c r="BH348" t="s">
        <v>4665</v>
      </c>
      <c r="BI348" t="s">
        <v>4678</v>
      </c>
      <c r="BJ348" t="s">
        <v>4671</v>
      </c>
      <c r="BK348" t="s">
        <v>4666</v>
      </c>
      <c r="BL348" t="s">
        <v>6349</v>
      </c>
      <c r="BM348" t="s">
        <v>8591</v>
      </c>
      <c r="BN348">
        <v>3.16</v>
      </c>
      <c r="BO348">
        <v>5.44</v>
      </c>
      <c r="BP348">
        <v>7.67</v>
      </c>
      <c r="BQ348">
        <v>5.25</v>
      </c>
      <c r="BR348">
        <v>8.39</v>
      </c>
      <c r="BS348">
        <v>12.1</v>
      </c>
      <c r="BT348" t="s">
        <v>10798</v>
      </c>
      <c r="BU348" t="s">
        <v>489</v>
      </c>
      <c r="BV348">
        <v>47.65</v>
      </c>
      <c r="BW348">
        <v>47.11</v>
      </c>
      <c r="BX348">
        <v>47.94</v>
      </c>
      <c r="BY348">
        <v>7.05</v>
      </c>
      <c r="BZ348">
        <v>9.02</v>
      </c>
      <c r="CA348">
        <v>12.84</v>
      </c>
      <c r="CB348">
        <v>-1.79</v>
      </c>
      <c r="CC348">
        <v>-1.79</v>
      </c>
      <c r="CD348" t="s">
        <v>10799</v>
      </c>
      <c r="CE348" t="s">
        <v>3565</v>
      </c>
      <c r="CF348" s="8">
        <v>-0.14794757083431442</v>
      </c>
      <c r="CG348" s="9">
        <v>-0.41699999999999998</v>
      </c>
      <c r="CH348" s="8">
        <v>-8.5120543837547302E-2</v>
      </c>
      <c r="CI348" s="8">
        <v>3.8559328764677048E-2</v>
      </c>
      <c r="CJ348" s="8">
        <v>0.32368150353431702</v>
      </c>
      <c r="CK348" s="8">
        <v>0.27765738964080811</v>
      </c>
      <c r="CL348" s="8">
        <v>0.27823206782341003</v>
      </c>
      <c r="CM348" s="9">
        <v>-0.54611402750015259</v>
      </c>
      <c r="CN348" s="9">
        <v>0.32615664601325989</v>
      </c>
      <c r="CO348" s="9">
        <v>0.17618538439273834</v>
      </c>
      <c r="CP348" s="9">
        <v>0.20402203500270844</v>
      </c>
      <c r="CQ348" s="9">
        <v>-0.17698873579502106</v>
      </c>
      <c r="CR348">
        <v>-498.90071546601513</v>
      </c>
      <c r="CS348">
        <v>-37.507188821464418</v>
      </c>
      <c r="CT348">
        <v>0</v>
      </c>
      <c r="CU348" s="8">
        <v>-0.13301469162106513</v>
      </c>
      <c r="CV348" s="9">
        <v>-20.985505843162535</v>
      </c>
      <c r="CW348">
        <v>0.06</v>
      </c>
      <c r="CX348">
        <v>12.838191400304412</v>
      </c>
      <c r="CY348" t="s">
        <v>10800</v>
      </c>
      <c r="CZ348">
        <v>-0.13301469162106513</v>
      </c>
      <c r="DA348">
        <v>4.279397133434804</v>
      </c>
      <c r="DB348" t="s">
        <v>10801</v>
      </c>
      <c r="DC348">
        <v>-0.12636395704001188</v>
      </c>
      <c r="DD348">
        <v>2.139698566717402</v>
      </c>
      <c r="DE348" t="s">
        <v>10802</v>
      </c>
      <c r="DF348">
        <v>-0.11705292862653732</v>
      </c>
      <c r="DG348">
        <v>1.2838191400304411</v>
      </c>
      <c r="DH348" t="s">
        <v>10803</v>
      </c>
      <c r="DI348">
        <v>-0.10641175329685211</v>
      </c>
      <c r="DJ348">
        <v>0.64190957001522053</v>
      </c>
      <c r="DK348" t="s">
        <v>10804</v>
      </c>
      <c r="DL348">
        <v>-9.3110284134745591E-2</v>
      </c>
      <c r="DM348">
        <v>2628000000</v>
      </c>
      <c r="DN348">
        <v>-0.13301469162106513</v>
      </c>
      <c r="DO348">
        <v>33738766999.999992</v>
      </c>
      <c r="DP348" t="e">
        <v>#VALUE!</v>
      </c>
      <c r="DQ348">
        <v>347</v>
      </c>
      <c r="DR348">
        <v>-1.4932879213249289E-2</v>
      </c>
      <c r="DS348">
        <v>20.568505843162534</v>
      </c>
      <c r="DT348">
        <v>-0.84</v>
      </c>
      <c r="DU348">
        <v>-0.75000000000000033</v>
      </c>
      <c r="DV348">
        <v>-1.5900000000000003</v>
      </c>
      <c r="DW348">
        <v>-1.7899999999999999E-2</v>
      </c>
      <c r="DX348">
        <v>0.34898584474885852</v>
      </c>
      <c r="DY348">
        <v>-1.5928466210045661E-3</v>
      </c>
      <c r="DZ348">
        <v>0</v>
      </c>
      <c r="EA348">
        <v>-1.5928466210045661E-3</v>
      </c>
      <c r="EB348">
        <v>0</v>
      </c>
      <c r="EC348">
        <v>7.2922876365715938E-3</v>
      </c>
      <c r="ED348">
        <v>8.1948849922730466E-2</v>
      </c>
      <c r="EE348">
        <v>0</v>
      </c>
      <c r="EF348">
        <v>0</v>
      </c>
      <c r="EG348">
        <v>26.088985844748859</v>
      </c>
      <c r="EH348" t="s">
        <v>110</v>
      </c>
      <c r="EI348">
        <v>0</v>
      </c>
      <c r="EJ348">
        <v>0</v>
      </c>
      <c r="EK348">
        <v>0</v>
      </c>
      <c r="EL348">
        <v>0</v>
      </c>
      <c r="EM348">
        <v>0</v>
      </c>
      <c r="EN348">
        <v>0</v>
      </c>
      <c r="EO348">
        <v>0</v>
      </c>
      <c r="EP348">
        <v>0</v>
      </c>
    </row>
    <row r="349" spans="1:146" ht="96" x14ac:dyDescent="0.25">
      <c r="A349" s="7"/>
      <c r="B349" s="7"/>
      <c r="C349" s="7" t="str">
        <f>""&amp;CHAR(10)&amp;Basic_Fundamental_Information_Constructure(F349)&amp;CHAR(10)&amp;Basic_Fundamental_Information_Concatenate("")</f>
        <v xml:space="preserve">
市值560.74335亿, 利润133.33亿; PE4.97; 平均PE27.01; 平均PEG1.61, PB.207; ROIC3.6567%; ROE7.9067%; 毛利18.3567%; 净利6.75%; 上一年度营收增-10.18%, 利润增-51.66%; 当季营收增-14.04%, 利润增-123.6%; 过往5年营收增-16.82%, 利润增-22.15%
Income profile:
</v>
      </c>
      <c r="D349" s="11">
        <v>2202</v>
      </c>
      <c r="E349" t="s">
        <v>4679</v>
      </c>
      <c r="F349">
        <v>4.7</v>
      </c>
      <c r="G349" s="5">
        <v>-5.0500000000000003E-2</v>
      </c>
      <c r="H349" t="s">
        <v>10805</v>
      </c>
      <c r="I349">
        <v>56074335000</v>
      </c>
      <c r="J349">
        <v>4.97</v>
      </c>
      <c r="K349">
        <v>0.20699999999999999</v>
      </c>
      <c r="L349" t="s">
        <v>6350</v>
      </c>
      <c r="M349" t="s">
        <v>10806</v>
      </c>
      <c r="N349" t="s">
        <v>10807</v>
      </c>
      <c r="O349" t="s">
        <v>10808</v>
      </c>
      <c r="P349">
        <v>-10.050000000000001</v>
      </c>
      <c r="Q349" t="s">
        <v>10809</v>
      </c>
      <c r="R349">
        <v>13332734200</v>
      </c>
      <c r="S349" s="5">
        <v>-1.236</v>
      </c>
      <c r="T349" t="s">
        <v>3655</v>
      </c>
      <c r="U349">
        <v>2206512900</v>
      </c>
      <c r="V349">
        <v>11930709500</v>
      </c>
      <c r="W349">
        <v>5.84</v>
      </c>
      <c r="X349">
        <v>0.04</v>
      </c>
      <c r="Y349">
        <v>5.18</v>
      </c>
      <c r="Z349" t="s">
        <v>10810</v>
      </c>
      <c r="AA349" t="s">
        <v>10811</v>
      </c>
      <c r="AB349" t="s">
        <v>1923</v>
      </c>
      <c r="AC349" t="s">
        <v>10812</v>
      </c>
      <c r="AD349" t="s">
        <v>3393</v>
      </c>
      <c r="AE349" t="s">
        <v>6491</v>
      </c>
      <c r="AF349" t="s">
        <v>9</v>
      </c>
      <c r="AG349" t="s">
        <v>3059</v>
      </c>
      <c r="AH349" t="s">
        <v>10813</v>
      </c>
      <c r="AI349" t="s">
        <v>10814</v>
      </c>
      <c r="AJ349" t="s">
        <v>9</v>
      </c>
      <c r="AK349" t="s">
        <v>10815</v>
      </c>
      <c r="AL349" t="s">
        <v>9</v>
      </c>
      <c r="AM349" t="s">
        <v>10816</v>
      </c>
      <c r="AN349" s="5">
        <v>0.72709999999999997</v>
      </c>
      <c r="AO349" t="s">
        <v>10817</v>
      </c>
      <c r="AP349" t="s">
        <v>9</v>
      </c>
      <c r="AQ349" t="s">
        <v>9</v>
      </c>
      <c r="AR349" t="s">
        <v>10818</v>
      </c>
      <c r="AS349" t="s">
        <v>10819</v>
      </c>
      <c r="AT349" t="s">
        <v>10820</v>
      </c>
      <c r="AU349" t="s">
        <v>10821</v>
      </c>
      <c r="AV349" t="s">
        <v>10822</v>
      </c>
      <c r="AW349" t="s">
        <v>5810</v>
      </c>
      <c r="AX349" t="s">
        <v>4680</v>
      </c>
      <c r="AY349" t="s">
        <v>4684</v>
      </c>
      <c r="AZ349" t="s">
        <v>4685</v>
      </c>
      <c r="BA349" t="s">
        <v>4686</v>
      </c>
      <c r="BB349" t="s">
        <v>4687</v>
      </c>
      <c r="BC349" t="s">
        <v>4688</v>
      </c>
      <c r="BD349" t="s">
        <v>4689</v>
      </c>
      <c r="BE349" t="s">
        <v>4690</v>
      </c>
      <c r="BF349" t="s">
        <v>4691</v>
      </c>
      <c r="BG349" t="s">
        <v>4692</v>
      </c>
      <c r="BH349" t="s">
        <v>4680</v>
      </c>
      <c r="BI349" t="s">
        <v>4693</v>
      </c>
      <c r="BJ349" t="s">
        <v>4684</v>
      </c>
      <c r="BK349" t="s">
        <v>4681</v>
      </c>
      <c r="BL349" t="s">
        <v>10823</v>
      </c>
      <c r="BM349" t="s">
        <v>4688</v>
      </c>
      <c r="BN349">
        <v>2.15</v>
      </c>
      <c r="BO349">
        <v>4.26</v>
      </c>
      <c r="BP349">
        <v>4.5599999999999996</v>
      </c>
      <c r="BQ349">
        <v>4.8499999999999996</v>
      </c>
      <c r="BR349">
        <v>9.32</v>
      </c>
      <c r="BS349">
        <v>9.5500000000000007</v>
      </c>
      <c r="BT349" t="s">
        <v>10824</v>
      </c>
      <c r="BU349" t="s">
        <v>410</v>
      </c>
      <c r="BV349">
        <v>14.48</v>
      </c>
      <c r="BW349">
        <v>19.46</v>
      </c>
      <c r="BX349">
        <v>21.13</v>
      </c>
      <c r="BY349">
        <v>4.3899999999999997</v>
      </c>
      <c r="BZ349">
        <v>7.45</v>
      </c>
      <c r="CA349">
        <v>8.41</v>
      </c>
      <c r="CB349">
        <v>-4.08</v>
      </c>
      <c r="CC349">
        <v>-4.8600000000000003</v>
      </c>
      <c r="CD349" t="s">
        <v>4707</v>
      </c>
      <c r="CE349" t="s">
        <v>10825</v>
      </c>
      <c r="CF349" s="8">
        <v>-0.14037834480616945</v>
      </c>
      <c r="CG349" s="9">
        <v>-1.236</v>
      </c>
      <c r="CH349" s="8">
        <v>-0.10175766795873642</v>
      </c>
      <c r="CI349" s="8">
        <v>2.5122186169028282E-2</v>
      </c>
      <c r="CJ349" s="8">
        <v>0.10992540419101715</v>
      </c>
      <c r="CK349" s="8">
        <v>0.47679442167282104</v>
      </c>
      <c r="CL349" s="8">
        <v>0.18873812258243561</v>
      </c>
      <c r="CM349" s="9">
        <v>-0.51658749580383301</v>
      </c>
      <c r="CN349" s="9">
        <v>-0.44260537624359131</v>
      </c>
      <c r="CO349" s="9">
        <v>0.13908833265304565</v>
      </c>
      <c r="CP349" s="9">
        <v>0.12966139614582062</v>
      </c>
      <c r="CQ349" s="9">
        <v>0.14340938627719879</v>
      </c>
      <c r="CR349">
        <v>27.01364437662231</v>
      </c>
      <c r="CS349">
        <v>1.6060386129300639</v>
      </c>
      <c r="CT349" t="e">
        <v>#VALUE!</v>
      </c>
      <c r="CU349" s="8">
        <v>-0.16820046640932559</v>
      </c>
      <c r="CV349" s="9">
        <v>-0.22149124145507812</v>
      </c>
      <c r="CW349">
        <v>0.06</v>
      </c>
      <c r="CX349">
        <v>57.987574814370362</v>
      </c>
      <c r="CY349" t="s">
        <v>10826</v>
      </c>
      <c r="CZ349">
        <v>-0.16820046640932559</v>
      </c>
      <c r="DA349">
        <v>19.329191604790118</v>
      </c>
      <c r="DB349" t="s">
        <v>10827</v>
      </c>
      <c r="DC349">
        <v>-0.15979044308885931</v>
      </c>
      <c r="DD349">
        <v>9.6645958023950591</v>
      </c>
      <c r="DE349" t="s">
        <v>10828</v>
      </c>
      <c r="DF349">
        <v>-0.14801641044020653</v>
      </c>
      <c r="DG349">
        <v>5.7987574814370362</v>
      </c>
      <c r="DH349" t="s">
        <v>10829</v>
      </c>
      <c r="DI349">
        <v>-0.13456037312746047</v>
      </c>
      <c r="DJ349">
        <v>2.8993787407185181</v>
      </c>
      <c r="DK349" t="s">
        <v>10830</v>
      </c>
      <c r="DL349">
        <v>-0.11774032648652791</v>
      </c>
      <c r="DM349">
        <v>13333000000.000002</v>
      </c>
      <c r="DN349">
        <v>-0.16820046640932559</v>
      </c>
      <c r="DO349">
        <v>773148335000</v>
      </c>
      <c r="DP349" t="e">
        <v>#VALUE!</v>
      </c>
      <c r="DQ349">
        <v>348</v>
      </c>
      <c r="DR349">
        <v>2.7822121603156141E-2</v>
      </c>
      <c r="DS349">
        <v>-1.014508758544922</v>
      </c>
      <c r="DT349">
        <v>-0.69</v>
      </c>
      <c r="DU349">
        <v>6.666666666666661E-2</v>
      </c>
      <c r="DV349">
        <v>-0.62333333333333329</v>
      </c>
      <c r="DW349">
        <v>-8.8395061728395063</v>
      </c>
      <c r="DX349">
        <v>0.28560509554140023</v>
      </c>
      <c r="DY349">
        <v>-8.0550758826767321</v>
      </c>
      <c r="DZ349">
        <v>0</v>
      </c>
      <c r="EA349">
        <v>-8.0550758826767321</v>
      </c>
      <c r="EB349">
        <v>8</v>
      </c>
      <c r="EC349">
        <v>1.726636626262671E-2</v>
      </c>
      <c r="ED349">
        <v>0.2631863595371256</v>
      </c>
      <c r="EE349">
        <v>0</v>
      </c>
      <c r="EF349">
        <v>0</v>
      </c>
      <c r="EG349">
        <v>22.0656050955414</v>
      </c>
      <c r="EH349" t="s">
        <v>110</v>
      </c>
      <c r="EI349">
        <v>0</v>
      </c>
      <c r="EJ349">
        <v>0</v>
      </c>
      <c r="EK349">
        <v>0</v>
      </c>
      <c r="EL349">
        <v>0</v>
      </c>
      <c r="EM349">
        <v>0</v>
      </c>
      <c r="EN349">
        <v>0</v>
      </c>
      <c r="EO349">
        <v>0</v>
      </c>
      <c r="EP349">
        <v>0</v>
      </c>
    </row>
    <row r="350" spans="1:146" ht="96" x14ac:dyDescent="0.25">
      <c r="A350" s="7"/>
      <c r="B350" s="7"/>
      <c r="C350" s="7" t="str">
        <f>""&amp;CHAR(10)&amp;Basic_Fundamental_Information_Constructure(F350)&amp;CHAR(10)&amp;Basic_Fundamental_Information_Concatenate("")</f>
        <v xml:space="preserve">
市值131.822111亿, 利润13.34亿; PE46.9; 平均PE11379.34; 平均PEG10606.61, PB.323; ROIC3.2967%; ROE6.1267%; 股利率0%; 毛利18.7667%; 净利5.0767%; 上一年度营收增5.55%, 利润增-69.79%; 当季营收增-4.38%, 利润增-74.58%; 过往5年营收增-1.07%, 利润增-492.16%
Income profile:
</v>
      </c>
      <c r="D350" s="11">
        <v>2208</v>
      </c>
      <c r="E350" t="s">
        <v>4694</v>
      </c>
      <c r="F350">
        <v>3.12</v>
      </c>
      <c r="G350" s="5">
        <v>-2.5000000000000001E-2</v>
      </c>
      <c r="H350" t="s">
        <v>10831</v>
      </c>
      <c r="I350">
        <v>13182211100</v>
      </c>
      <c r="J350">
        <v>46.9</v>
      </c>
      <c r="K350">
        <v>0.32300000000000001</v>
      </c>
      <c r="L350" t="s">
        <v>6350</v>
      </c>
      <c r="M350" t="s">
        <v>2647</v>
      </c>
      <c r="N350" t="s">
        <v>10832</v>
      </c>
      <c r="O350" t="s">
        <v>2408</v>
      </c>
      <c r="P350">
        <v>25.42</v>
      </c>
      <c r="Q350" t="s">
        <v>10833</v>
      </c>
      <c r="R350">
        <v>1333531680</v>
      </c>
      <c r="S350" s="5">
        <v>-0.74580000000000002</v>
      </c>
      <c r="T350" t="s">
        <v>5613</v>
      </c>
      <c r="U350">
        <v>773572400</v>
      </c>
      <c r="V350">
        <v>4225067600</v>
      </c>
      <c r="W350">
        <v>3.75</v>
      </c>
      <c r="X350">
        <v>0.05</v>
      </c>
      <c r="Y350">
        <v>7.65</v>
      </c>
      <c r="Z350" t="s">
        <v>3925</v>
      </c>
      <c r="AA350" t="s">
        <v>10834</v>
      </c>
      <c r="AB350" t="s">
        <v>2370</v>
      </c>
      <c r="AC350" t="s">
        <v>2401</v>
      </c>
      <c r="AD350" t="s">
        <v>10835</v>
      </c>
      <c r="AE350" t="s">
        <v>2347</v>
      </c>
      <c r="AF350" t="s">
        <v>9</v>
      </c>
      <c r="AG350" t="s">
        <v>10836</v>
      </c>
      <c r="AH350" t="s">
        <v>10837</v>
      </c>
      <c r="AI350" t="s">
        <v>10838</v>
      </c>
      <c r="AJ350" t="s">
        <v>10839</v>
      </c>
      <c r="AK350" t="s">
        <v>10840</v>
      </c>
      <c r="AL350" t="s">
        <v>9</v>
      </c>
      <c r="AM350" t="s">
        <v>10841</v>
      </c>
      <c r="AN350" s="5">
        <v>0.71440000000000003</v>
      </c>
      <c r="AO350" t="s">
        <v>5614</v>
      </c>
      <c r="AP350" t="s">
        <v>10842</v>
      </c>
      <c r="AQ350" t="s">
        <v>10843</v>
      </c>
      <c r="AR350" t="s">
        <v>10844</v>
      </c>
      <c r="AS350" t="s">
        <v>10845</v>
      </c>
      <c r="AT350" t="s">
        <v>10846</v>
      </c>
      <c r="AU350" t="s">
        <v>10847</v>
      </c>
      <c r="AV350" t="s">
        <v>10848</v>
      </c>
      <c r="AW350" t="s">
        <v>3446</v>
      </c>
      <c r="AX350" t="s">
        <v>4695</v>
      </c>
      <c r="AY350" t="s">
        <v>4696</v>
      </c>
      <c r="AZ350" t="s">
        <v>4697</v>
      </c>
      <c r="BA350" t="s">
        <v>4698</v>
      </c>
      <c r="BB350" t="s">
        <v>4699</v>
      </c>
      <c r="BC350" t="s">
        <v>10849</v>
      </c>
      <c r="BD350" t="s">
        <v>4700</v>
      </c>
      <c r="BE350" t="s">
        <v>4701</v>
      </c>
      <c r="BF350" t="s">
        <v>4702</v>
      </c>
      <c r="BG350" t="s">
        <v>4703</v>
      </c>
      <c r="BH350" t="s">
        <v>4695</v>
      </c>
      <c r="BI350" t="s">
        <v>4704</v>
      </c>
      <c r="BJ350" t="s">
        <v>4696</v>
      </c>
      <c r="BK350" t="s">
        <v>685</v>
      </c>
      <c r="BL350" t="s">
        <v>3870</v>
      </c>
      <c r="BM350" t="s">
        <v>10849</v>
      </c>
      <c r="BN350">
        <v>1.59</v>
      </c>
      <c r="BO350">
        <v>3.06</v>
      </c>
      <c r="BP350">
        <v>5.24</v>
      </c>
      <c r="BQ350">
        <v>3.23</v>
      </c>
      <c r="BR350">
        <v>5.77</v>
      </c>
      <c r="BS350">
        <v>9.3800000000000008</v>
      </c>
      <c r="BT350" t="s">
        <v>10850</v>
      </c>
      <c r="BU350" t="s">
        <v>589</v>
      </c>
      <c r="BV350">
        <v>16.73</v>
      </c>
      <c r="BW350">
        <v>17.38</v>
      </c>
      <c r="BX350">
        <v>22.19</v>
      </c>
      <c r="BY350">
        <v>3.03</v>
      </c>
      <c r="BZ350">
        <v>5.27</v>
      </c>
      <c r="CA350">
        <v>6.93</v>
      </c>
      <c r="CB350">
        <v>-5.74</v>
      </c>
      <c r="CC350">
        <v>-16.13</v>
      </c>
      <c r="CD350" t="s">
        <v>10851</v>
      </c>
      <c r="CE350" t="s">
        <v>130</v>
      </c>
      <c r="CF350" s="8">
        <v>-4.3805874840357598E-2</v>
      </c>
      <c r="CG350" s="9">
        <v>-0.74580000000000002</v>
      </c>
      <c r="CH350" s="8">
        <v>5.5539540946483612E-2</v>
      </c>
      <c r="CI350" s="8">
        <v>-0.16028577089309692</v>
      </c>
      <c r="CJ350" s="8">
        <v>-7.1443557739257813E-2</v>
      </c>
      <c r="CK350" s="8">
        <v>1.0557245016098022</v>
      </c>
      <c r="CL350" s="8">
        <v>8.7347224354743958E-2</v>
      </c>
      <c r="CM350" s="9">
        <v>-0.69791662693023682</v>
      </c>
      <c r="CN350" s="9">
        <v>0.30265483260154724</v>
      </c>
      <c r="CO350" s="9">
        <v>0.43826907873153687</v>
      </c>
      <c r="CP350" s="9">
        <v>-0.34180396795272827</v>
      </c>
      <c r="CQ350" s="9">
        <v>1.1182555463165045E-3</v>
      </c>
      <c r="CR350">
        <v>11379.343740108769</v>
      </c>
      <c r="CS350">
        <v>10606.605839050768</v>
      </c>
      <c r="CT350">
        <v>0</v>
      </c>
      <c r="CU350" s="8">
        <v>-1.0728543996810913E-2</v>
      </c>
      <c r="CV350" s="9">
        <v>-4.921610254049301</v>
      </c>
      <c r="CW350">
        <v>0.06</v>
      </c>
      <c r="CX350">
        <v>59.120098275862084</v>
      </c>
      <c r="CY350" t="s">
        <v>10852</v>
      </c>
      <c r="CZ350">
        <v>-1.0728543996810913E-2</v>
      </c>
      <c r="DA350">
        <v>19.706699425287361</v>
      </c>
      <c r="DB350" t="s">
        <v>10853</v>
      </c>
      <c r="DC350">
        <v>-1.0192116796970368E-2</v>
      </c>
      <c r="DD350">
        <v>9.8533497126436806</v>
      </c>
      <c r="DE350" t="s">
        <v>10854</v>
      </c>
      <c r="DF350">
        <v>-9.4411187171936032E-3</v>
      </c>
      <c r="DG350">
        <v>5.9120098275862079</v>
      </c>
      <c r="DH350" t="s">
        <v>10855</v>
      </c>
      <c r="DI350">
        <v>-8.5828351974487314E-3</v>
      </c>
      <c r="DJ350">
        <v>2.9560049137931039</v>
      </c>
      <c r="DK350" t="s">
        <v>10856</v>
      </c>
      <c r="DL350">
        <v>-7.5099807977676387E-3</v>
      </c>
      <c r="DM350">
        <v>1334000000</v>
      </c>
      <c r="DN350">
        <v>-1.0728543996810913E-2</v>
      </c>
      <c r="DO350">
        <v>78866211100.000015</v>
      </c>
      <c r="DP350" t="e">
        <v>#VALUE!</v>
      </c>
      <c r="DQ350">
        <v>349</v>
      </c>
      <c r="DR350">
        <v>-3.3077330843546686E-2</v>
      </c>
      <c r="DS350">
        <v>4.175810254049301</v>
      </c>
      <c r="DT350">
        <v>-0.52333333333333332</v>
      </c>
      <c r="DU350">
        <v>-1.906666666666667</v>
      </c>
      <c r="DV350">
        <v>-2.4300000000000002</v>
      </c>
      <c r="DW350">
        <v>-8.3558586484810906</v>
      </c>
      <c r="DX350">
        <v>0.31992085308057039</v>
      </c>
      <c r="DY350">
        <v>-8.0391162862171406</v>
      </c>
      <c r="DZ350">
        <v>0</v>
      </c>
      <c r="EA350">
        <v>-8.0391162862171406</v>
      </c>
      <c r="EB350">
        <v>8</v>
      </c>
      <c r="EC350">
        <v>5.4894506303283762E-3</v>
      </c>
      <c r="ED350">
        <v>4.9940029361897072E-2</v>
      </c>
      <c r="EE350">
        <v>0</v>
      </c>
      <c r="EF350">
        <v>0</v>
      </c>
      <c r="EG350">
        <v>21.10992085308057</v>
      </c>
      <c r="EH350" t="s">
        <v>110</v>
      </c>
      <c r="EI350">
        <v>0</v>
      </c>
      <c r="EJ350">
        <v>0</v>
      </c>
      <c r="EK350">
        <v>0</v>
      </c>
      <c r="EL350">
        <v>0</v>
      </c>
      <c r="EM350">
        <v>0</v>
      </c>
      <c r="EN350">
        <v>0</v>
      </c>
      <c r="EO350">
        <v>0</v>
      </c>
      <c r="EP350">
        <v>0</v>
      </c>
    </row>
    <row r="351" spans="1:146" ht="96" x14ac:dyDescent="0.25">
      <c r="A351" s="7"/>
      <c r="B351" s="7"/>
      <c r="C351" s="7" t="str">
        <f>""&amp;CHAR(10)&amp;Basic_Fundamental_Information_Constructure(F351)&amp;CHAR(10)&amp;Basic_Fundamental_Information_Concatenate("")</f>
        <v xml:space="preserve">
市值30.6073亿, 利润2.80亿; PE11.47; 平均PE5.54; 平均PEG.06, PB1.1; ROIC8.48%; ROE8.4967%; 股利率0%; 毛利23.58%; 净利22.1967%; 上一年度营收增-19.98%, 利润增42.86%; 当季营收增-10.49%, 利润增-18.67%; 过往5年营收增92.08%, 利润增494.71%
Income profile:
</v>
      </c>
      <c r="D351" s="11">
        <v>2218</v>
      </c>
      <c r="E351" t="s">
        <v>4705</v>
      </c>
      <c r="F351">
        <v>8.77</v>
      </c>
      <c r="G351" s="5">
        <v>-2.12E-2</v>
      </c>
      <c r="H351" t="s">
        <v>10857</v>
      </c>
      <c r="I351">
        <v>3060730000</v>
      </c>
      <c r="J351">
        <v>11.47</v>
      </c>
      <c r="K351">
        <v>1.1000000000000001</v>
      </c>
      <c r="L351" t="s">
        <v>6350</v>
      </c>
      <c r="M351" t="s">
        <v>10858</v>
      </c>
      <c r="N351" t="s">
        <v>10859</v>
      </c>
      <c r="O351" t="s">
        <v>2137</v>
      </c>
      <c r="P351">
        <v>20.93</v>
      </c>
      <c r="Q351" t="s">
        <v>4151</v>
      </c>
      <c r="R351">
        <v>280101110</v>
      </c>
      <c r="S351" s="5">
        <v>-0.1867</v>
      </c>
      <c r="T351" t="s">
        <v>1856</v>
      </c>
      <c r="U351">
        <v>78464000</v>
      </c>
      <c r="V351">
        <v>349000000</v>
      </c>
      <c r="W351">
        <v>1.03</v>
      </c>
      <c r="X351">
        <v>0.1</v>
      </c>
      <c r="Y351">
        <v>19.86</v>
      </c>
      <c r="Z351" t="s">
        <v>10860</v>
      </c>
      <c r="AA351" t="s">
        <v>37</v>
      </c>
      <c r="AB351" t="s">
        <v>10861</v>
      </c>
      <c r="AC351" t="s">
        <v>10862</v>
      </c>
      <c r="AD351" t="s">
        <v>10863</v>
      </c>
      <c r="AE351" t="s">
        <v>10864</v>
      </c>
      <c r="AF351" t="s">
        <v>9</v>
      </c>
      <c r="AG351" t="s">
        <v>10865</v>
      </c>
      <c r="AH351" t="s">
        <v>10866</v>
      </c>
      <c r="AI351" t="s">
        <v>2923</v>
      </c>
      <c r="AJ351" t="s">
        <v>2595</v>
      </c>
      <c r="AK351" t="s">
        <v>10867</v>
      </c>
      <c r="AL351" t="s">
        <v>9</v>
      </c>
      <c r="AM351" t="s">
        <v>10096</v>
      </c>
      <c r="AN351" s="5">
        <v>3.2599999999999997E-2</v>
      </c>
      <c r="AO351" t="s">
        <v>9</v>
      </c>
      <c r="AP351" t="s">
        <v>10868</v>
      </c>
      <c r="AQ351" t="s">
        <v>10869</v>
      </c>
      <c r="AR351" t="s">
        <v>10870</v>
      </c>
      <c r="AS351" t="s">
        <v>10871</v>
      </c>
      <c r="AT351" t="s">
        <v>9</v>
      </c>
      <c r="AU351" t="s">
        <v>10872</v>
      </c>
      <c r="AV351" t="s">
        <v>10581</v>
      </c>
      <c r="AW351" t="s">
        <v>10873</v>
      </c>
      <c r="AX351" t="s">
        <v>4706</v>
      </c>
      <c r="AY351" t="s">
        <v>3610</v>
      </c>
      <c r="AZ351" t="s">
        <v>2726</v>
      </c>
      <c r="BA351" t="s">
        <v>4709</v>
      </c>
      <c r="BB351" t="s">
        <v>1915</v>
      </c>
      <c r="BC351" t="s">
        <v>640</v>
      </c>
      <c r="BD351" t="s">
        <v>1857</v>
      </c>
      <c r="BE351" t="s">
        <v>4710</v>
      </c>
      <c r="BF351" t="s">
        <v>234</v>
      </c>
      <c r="BG351" t="s">
        <v>70</v>
      </c>
      <c r="BH351" t="s">
        <v>4706</v>
      </c>
      <c r="BI351" t="s">
        <v>138</v>
      </c>
      <c r="BJ351" t="s">
        <v>3610</v>
      </c>
      <c r="BK351" t="s">
        <v>3565</v>
      </c>
      <c r="BL351" t="s">
        <v>4711</v>
      </c>
      <c r="BM351" t="s">
        <v>640</v>
      </c>
      <c r="BN351">
        <v>10.16</v>
      </c>
      <c r="BO351">
        <v>8.06</v>
      </c>
      <c r="BP351">
        <v>7.22</v>
      </c>
      <c r="BQ351">
        <v>10.1</v>
      </c>
      <c r="BR351">
        <v>8.1999999999999993</v>
      </c>
      <c r="BS351">
        <v>7.19</v>
      </c>
      <c r="BT351" t="s">
        <v>2057</v>
      </c>
      <c r="BU351" t="s">
        <v>759</v>
      </c>
      <c r="BV351">
        <v>32.17</v>
      </c>
      <c r="BW351">
        <v>18.96</v>
      </c>
      <c r="BX351">
        <v>19.61</v>
      </c>
      <c r="BY351">
        <v>29.52</v>
      </c>
      <c r="BZ351">
        <v>18.48</v>
      </c>
      <c r="CA351">
        <v>18.59</v>
      </c>
      <c r="CB351">
        <v>-13.34</v>
      </c>
      <c r="CC351">
        <v>6.17</v>
      </c>
      <c r="CD351" t="s">
        <v>10874</v>
      </c>
      <c r="CE351" t="s">
        <v>10875</v>
      </c>
      <c r="CF351" s="8">
        <v>-0.10493827160493827</v>
      </c>
      <c r="CG351" s="9">
        <v>-0.1867</v>
      </c>
      <c r="CH351" s="8">
        <v>-0.19983136653900146</v>
      </c>
      <c r="CI351" s="8">
        <v>0.12523719668388367</v>
      </c>
      <c r="CJ351" s="8">
        <v>6.25E-2</v>
      </c>
      <c r="CK351" s="8">
        <v>-0.18421052396297455</v>
      </c>
      <c r="CL351" s="8">
        <v>0.12592592835426331</v>
      </c>
      <c r="CM351" s="9">
        <v>0.4285714328289032</v>
      </c>
      <c r="CN351" s="9">
        <v>8.2872927188873291E-2</v>
      </c>
      <c r="CO351" s="9">
        <v>-4.2328041046857834E-2</v>
      </c>
      <c r="CP351" s="9">
        <v>0.21153846383094788</v>
      </c>
      <c r="CQ351" s="9">
        <v>0.5</v>
      </c>
      <c r="CR351">
        <v>5.5430357229850671</v>
      </c>
      <c r="CS351">
        <v>6.0196773110063863E-2</v>
      </c>
      <c r="CT351">
        <v>0</v>
      </c>
      <c r="CU351" s="8">
        <v>0.92081941217184071</v>
      </c>
      <c r="CV351" s="9">
        <v>4.947121179103851</v>
      </c>
      <c r="CW351">
        <v>0.06</v>
      </c>
      <c r="CX351">
        <v>0.72642369174817534</v>
      </c>
      <c r="CY351">
        <v>507386259.81897676</v>
      </c>
      <c r="CZ351">
        <v>0.92081941217184071</v>
      </c>
      <c r="DA351">
        <v>0.12621448865652235</v>
      </c>
      <c r="DB351">
        <v>2920246351.4552546</v>
      </c>
      <c r="DC351">
        <v>0.87477844156324869</v>
      </c>
      <c r="DD351">
        <v>2.2910159120713251E-2</v>
      </c>
      <c r="DE351">
        <v>16087945878.418903</v>
      </c>
      <c r="DF351">
        <v>0.81032108271121983</v>
      </c>
      <c r="DG351">
        <v>3.7074427866008171E-3</v>
      </c>
      <c r="DH351">
        <v>99415532812.019897</v>
      </c>
      <c r="DI351">
        <v>0.73665552973747261</v>
      </c>
      <c r="DJ351">
        <v>7.1659559722606452E-5</v>
      </c>
      <c r="DK351">
        <v>5143450523932.3262</v>
      </c>
      <c r="DL351">
        <v>0.64457358852028845</v>
      </c>
      <c r="DM351">
        <v>280000000</v>
      </c>
      <c r="DN351">
        <v>0.92081941217184071</v>
      </c>
      <c r="DO351">
        <v>368577400</v>
      </c>
      <c r="DP351" t="e">
        <v>#VALUE!</v>
      </c>
      <c r="DQ351">
        <v>350</v>
      </c>
      <c r="DR351">
        <v>-1.025757683776779</v>
      </c>
      <c r="DS351">
        <v>-5.1338211791038511</v>
      </c>
      <c r="DT351">
        <v>0.15999999999999992</v>
      </c>
      <c r="DU351">
        <v>1.789666666666667</v>
      </c>
      <c r="DV351">
        <v>1.9496666666666669</v>
      </c>
      <c r="DW351">
        <v>-5.4625187406296849</v>
      </c>
      <c r="DX351">
        <v>7.4326241134751586E-2</v>
      </c>
      <c r="DY351">
        <v>-5.0205017172264927</v>
      </c>
      <c r="DZ351">
        <v>0</v>
      </c>
      <c r="EA351">
        <v>-5.0205017172264927</v>
      </c>
      <c r="EB351">
        <v>5</v>
      </c>
      <c r="EC351">
        <v>1.0028653295128939E-3</v>
      </c>
      <c r="ED351">
        <v>2.2624641833810889E-2</v>
      </c>
      <c r="EE351">
        <v>0</v>
      </c>
      <c r="EF351">
        <v>0</v>
      </c>
      <c r="EG351">
        <v>3.0443262411347516</v>
      </c>
      <c r="EH351" t="s">
        <v>110</v>
      </c>
      <c r="EI351">
        <v>0</v>
      </c>
      <c r="EJ351">
        <v>0</v>
      </c>
      <c r="EK351">
        <v>0</v>
      </c>
      <c r="EL351">
        <v>0</v>
      </c>
      <c r="EM351">
        <v>0</v>
      </c>
      <c r="EN351">
        <v>0</v>
      </c>
      <c r="EO351">
        <v>0</v>
      </c>
      <c r="EP351">
        <v>0</v>
      </c>
    </row>
    <row r="352" spans="1:146" ht="96" x14ac:dyDescent="0.25">
      <c r="A352" s="7"/>
      <c r="B352" s="7"/>
      <c r="C352" s="7" t="str">
        <f>""&amp;CHAR(10)&amp;Basic_Fundamental_Information_Constructure(F352)&amp;CHAR(10)&amp;Basic_Fundamental_Information_Concatenate("")</f>
        <v xml:space="preserve">
市值55.088761亿, 利润4.62亿; PE11.93; 平均PE1.2; 平均PEG.23, PB.409; ROIC5.62%; ROE9.18%; 股利率0%; 毛利27.5567%; 净利15.2367%; 上一年度营收增3.26%, 利润增-76.2%, 利润增-66.3%; 过往5年营收增5.21%, 利润增1.79%
Income profile:
</v>
      </c>
      <c r="D352" s="11">
        <v>2233</v>
      </c>
      <c r="E352" t="s">
        <v>4712</v>
      </c>
      <c r="F352">
        <v>1.01</v>
      </c>
      <c r="G352" s="5">
        <v>-1.9400000000000001E-2</v>
      </c>
      <c r="H352" t="s">
        <v>10876</v>
      </c>
      <c r="I352">
        <v>5508876100</v>
      </c>
      <c r="J352">
        <v>11.93</v>
      </c>
      <c r="K352">
        <v>0.40899999999999997</v>
      </c>
      <c r="L352" t="s">
        <v>6350</v>
      </c>
      <c r="M352" t="s">
        <v>9</v>
      </c>
      <c r="N352" t="s">
        <v>9</v>
      </c>
      <c r="O352" t="s">
        <v>9</v>
      </c>
      <c r="P352" t="s">
        <v>9</v>
      </c>
      <c r="Q352" t="s">
        <v>10877</v>
      </c>
      <c r="R352">
        <v>461804940</v>
      </c>
      <c r="S352" s="5">
        <v>-0.66300000000000003</v>
      </c>
      <c r="T352" t="s">
        <v>156</v>
      </c>
      <c r="U352">
        <v>5454332800</v>
      </c>
      <c r="V352">
        <v>5454332800</v>
      </c>
      <c r="W352" t="s">
        <v>9</v>
      </c>
      <c r="X352" t="s">
        <v>9</v>
      </c>
      <c r="Y352" t="s">
        <v>9</v>
      </c>
      <c r="Z352" t="s">
        <v>9</v>
      </c>
      <c r="AA352" t="s">
        <v>9</v>
      </c>
      <c r="AB352" t="s">
        <v>9</v>
      </c>
      <c r="AC352" t="s">
        <v>9</v>
      </c>
      <c r="AD352" t="s">
        <v>126</v>
      </c>
      <c r="AE352" t="s">
        <v>9</v>
      </c>
      <c r="AF352" t="s">
        <v>9</v>
      </c>
      <c r="AG352" t="s">
        <v>9</v>
      </c>
      <c r="AH352" t="s">
        <v>10878</v>
      </c>
      <c r="AI352" t="s">
        <v>9</v>
      </c>
      <c r="AJ352" t="s">
        <v>9</v>
      </c>
      <c r="AK352" t="s">
        <v>10879</v>
      </c>
      <c r="AL352" t="s">
        <v>9</v>
      </c>
      <c r="AM352" t="s">
        <v>9</v>
      </c>
      <c r="AN352" s="5">
        <v>0.56940000000000002</v>
      </c>
      <c r="AO352" t="s">
        <v>9</v>
      </c>
      <c r="AP352" t="s">
        <v>2962</v>
      </c>
      <c r="AQ352" t="s">
        <v>9</v>
      </c>
      <c r="AR352" t="s">
        <v>10880</v>
      </c>
      <c r="AS352" t="s">
        <v>9</v>
      </c>
      <c r="AT352" t="s">
        <v>9</v>
      </c>
      <c r="AU352" t="s">
        <v>10881</v>
      </c>
      <c r="AV352" t="s">
        <v>10882</v>
      </c>
      <c r="AW352" t="s">
        <v>9</v>
      </c>
      <c r="AX352" t="s">
        <v>4713</v>
      </c>
      <c r="AY352" t="s">
        <v>4714</v>
      </c>
      <c r="AZ352" t="s">
        <v>4715</v>
      </c>
      <c r="BA352" t="s">
        <v>4716</v>
      </c>
      <c r="BB352" t="s">
        <v>729</v>
      </c>
      <c r="BC352" t="s">
        <v>4717</v>
      </c>
      <c r="BD352" t="s">
        <v>2256</v>
      </c>
      <c r="BE352" t="s">
        <v>4718</v>
      </c>
      <c r="BF352" t="s">
        <v>4719</v>
      </c>
      <c r="BG352" t="s">
        <v>1643</v>
      </c>
      <c r="BH352" t="s">
        <v>4713</v>
      </c>
      <c r="BI352" t="s">
        <v>9</v>
      </c>
      <c r="BJ352" t="s">
        <v>4714</v>
      </c>
      <c r="BK352" t="s">
        <v>119</v>
      </c>
      <c r="BL352" t="s">
        <v>9</v>
      </c>
      <c r="BM352" t="s">
        <v>4717</v>
      </c>
      <c r="BN352">
        <v>1.89</v>
      </c>
      <c r="BO352">
        <v>5.78</v>
      </c>
      <c r="BP352">
        <v>9.19</v>
      </c>
      <c r="BQ352">
        <v>3.43</v>
      </c>
      <c r="BR352">
        <v>10.1</v>
      </c>
      <c r="BS352">
        <v>14.01</v>
      </c>
      <c r="BT352" t="s">
        <v>4720</v>
      </c>
      <c r="BU352" t="s">
        <v>1446</v>
      </c>
      <c r="BV352">
        <v>27.27</v>
      </c>
      <c r="BW352">
        <v>25.7</v>
      </c>
      <c r="BX352">
        <v>29.7</v>
      </c>
      <c r="BY352">
        <v>7.6</v>
      </c>
      <c r="BZ352">
        <v>15.83</v>
      </c>
      <c r="CA352">
        <v>22.28</v>
      </c>
      <c r="CB352">
        <v>-5.61</v>
      </c>
      <c r="CC352">
        <v>-18.22</v>
      </c>
      <c r="CD352" t="s">
        <v>10883</v>
      </c>
      <c r="CE352" t="s">
        <v>5197</v>
      </c>
      <c r="CF352" s="8" t="s">
        <v>9</v>
      </c>
      <c r="CG352" s="9">
        <v>-0.66300000000000003</v>
      </c>
      <c r="CH352" s="8">
        <v>3.2578106969594955E-2</v>
      </c>
      <c r="CI352" s="8">
        <v>-2.2655386477708817E-2</v>
      </c>
      <c r="CJ352" s="8">
        <v>0.15282356739044189</v>
      </c>
      <c r="CK352" s="8">
        <v>0.26281383633613586</v>
      </c>
      <c r="CL352" s="8">
        <v>0.17942877113819122</v>
      </c>
      <c r="CM352" s="9">
        <v>-0.76197832822799683</v>
      </c>
      <c r="CN352" s="9">
        <v>4.3548353016376495E-2</v>
      </c>
      <c r="CO352" s="9">
        <v>-7.6005928218364716E-2</v>
      </c>
      <c r="CP352" s="9">
        <v>0.52499997615814209</v>
      </c>
      <c r="CQ352" s="9">
        <v>0.54929578304290771</v>
      </c>
      <c r="CR352">
        <v>1.1995375285792051</v>
      </c>
      <c r="CS352">
        <v>0.23027518655798976</v>
      </c>
      <c r="CT352">
        <v>0</v>
      </c>
      <c r="CU352" s="8">
        <v>5.2091480046510694E-2</v>
      </c>
      <c r="CV352" s="9">
        <v>1.7885918915271758E-2</v>
      </c>
      <c r="CW352">
        <v>0.06</v>
      </c>
      <c r="CX352">
        <v>12.013606170835009</v>
      </c>
      <c r="CY352">
        <v>458553079.03913951</v>
      </c>
      <c r="CZ352">
        <v>5.2091480046510694E-2</v>
      </c>
      <c r="DA352">
        <v>4.0545538574501157</v>
      </c>
      <c r="DB352">
        <v>1358688598.9632652</v>
      </c>
      <c r="DC352">
        <v>4.948690604418516E-2</v>
      </c>
      <c r="DD352">
        <v>2.0825559324190017</v>
      </c>
      <c r="DE352">
        <v>2645247608.5965872</v>
      </c>
      <c r="DF352">
        <v>4.5840502440929409E-2</v>
      </c>
      <c r="DG352">
        <v>1.3107967111991945</v>
      </c>
      <c r="DH352">
        <v>4202692952.2581377</v>
      </c>
      <c r="DI352">
        <v>4.1673184037208558E-2</v>
      </c>
      <c r="DJ352">
        <v>0.74842621009160049</v>
      </c>
      <c r="DK352">
        <v>7360613545.7572556</v>
      </c>
      <c r="DL352">
        <v>3.6464036032557483E-2</v>
      </c>
      <c r="DM352">
        <v>462000000</v>
      </c>
      <c r="DN352">
        <v>5.2091480046510694E-2</v>
      </c>
      <c r="DO352">
        <v>5508876100</v>
      </c>
      <c r="DP352" t="e">
        <v>#VALUE!</v>
      </c>
      <c r="DQ352">
        <v>351</v>
      </c>
      <c r="DR352" t="e">
        <v>#VALUE!</v>
      </c>
      <c r="DS352">
        <v>-0.68088591891527184</v>
      </c>
      <c r="DT352" t="e">
        <v>#VALUE!</v>
      </c>
      <c r="DU352" t="e">
        <v>#VALUE!</v>
      </c>
      <c r="DV352" t="e">
        <v>#VALUE!</v>
      </c>
      <c r="DW352">
        <v>-8.3079034028540057</v>
      </c>
      <c r="DX352">
        <v>0.36439907116104875</v>
      </c>
      <c r="DY352">
        <v>-8.0413819313509052</v>
      </c>
      <c r="DZ352">
        <v>0</v>
      </c>
      <c r="EA352">
        <v>-8.0413819313509052</v>
      </c>
      <c r="EB352">
        <v>8</v>
      </c>
      <c r="EC352">
        <v>1.3158181326962667E-2</v>
      </c>
      <c r="ED352">
        <v>9.7903816943476565E-2</v>
      </c>
      <c r="EE352">
        <v>0</v>
      </c>
      <c r="EF352">
        <v>0</v>
      </c>
      <c r="EG352">
        <v>23.134399071161049</v>
      </c>
      <c r="EH352" t="s">
        <v>110</v>
      </c>
      <c r="EI352">
        <v>0</v>
      </c>
      <c r="EJ352">
        <v>0</v>
      </c>
      <c r="EK352">
        <v>0</v>
      </c>
      <c r="EL352">
        <v>0</v>
      </c>
      <c r="EM352">
        <v>0</v>
      </c>
      <c r="EN352">
        <v>0</v>
      </c>
      <c r="EO352">
        <v>0</v>
      </c>
      <c r="EP352">
        <v>0</v>
      </c>
    </row>
    <row r="353" spans="1:146" ht="96" x14ac:dyDescent="0.25">
      <c r="A353" s="7"/>
      <c r="B353" s="7"/>
      <c r="C353" s="7" t="str">
        <f>""&amp;CHAR(10)&amp;Basic_Fundamental_Information_Constructure(F353)&amp;CHAR(10)&amp;Basic_Fundamental_Information_Concatenate("")</f>
        <v xml:space="preserve">
市值292.58482亿, 利润48.55亿; PE6.63; 平均PE30; 平均PEG.17, PB.232; ROIC5.6967%; ROE6.4%; 股利率0%; 毛利4.4867%; 净利6.69%; 上一年度营收增14.3%, 利润增-47.21%; 当季营收增-19.42%, 利润增-25.11%; 过往5年营收增174.38%, 利润增89.34%
Income profile:
</v>
      </c>
      <c r="D353" s="11">
        <v>2238</v>
      </c>
      <c r="E353" t="s">
        <v>4721</v>
      </c>
      <c r="F353">
        <v>2.79</v>
      </c>
      <c r="G353" s="5">
        <v>-4.7800000000000002E-2</v>
      </c>
      <c r="H353" t="s">
        <v>10884</v>
      </c>
      <c r="I353">
        <v>29258482000</v>
      </c>
      <c r="J353">
        <v>6.63</v>
      </c>
      <c r="K353">
        <v>0.23200000000000001</v>
      </c>
      <c r="L353" t="s">
        <v>6350</v>
      </c>
      <c r="M353" t="s">
        <v>10885</v>
      </c>
      <c r="N353" t="s">
        <v>10886</v>
      </c>
      <c r="O353" t="s">
        <v>10887</v>
      </c>
      <c r="P353">
        <v>-18.79</v>
      </c>
      <c r="Q353" t="s">
        <v>10888</v>
      </c>
      <c r="R353">
        <v>4854899900</v>
      </c>
      <c r="S353" s="5">
        <v>-0.25109999999999999</v>
      </c>
      <c r="T353" t="s">
        <v>10889</v>
      </c>
      <c r="U353">
        <v>3098620300</v>
      </c>
      <c r="V353">
        <v>10486904300</v>
      </c>
      <c r="W353">
        <v>1.82</v>
      </c>
      <c r="X353">
        <v>0.1</v>
      </c>
      <c r="Y353">
        <v>4.58</v>
      </c>
      <c r="Z353" t="s">
        <v>3517</v>
      </c>
      <c r="AA353" t="s">
        <v>10890</v>
      </c>
      <c r="AB353" t="s">
        <v>120</v>
      </c>
      <c r="AC353" t="s">
        <v>10891</v>
      </c>
      <c r="AD353" t="s">
        <v>10892</v>
      </c>
      <c r="AE353" t="s">
        <v>10893</v>
      </c>
      <c r="AF353" t="s">
        <v>9</v>
      </c>
      <c r="AG353" t="s">
        <v>3944</v>
      </c>
      <c r="AH353" t="s">
        <v>10894</v>
      </c>
      <c r="AI353" t="s">
        <v>10895</v>
      </c>
      <c r="AJ353" t="s">
        <v>10896</v>
      </c>
      <c r="AK353" t="s">
        <v>10897</v>
      </c>
      <c r="AL353" t="s">
        <v>9</v>
      </c>
      <c r="AM353" t="s">
        <v>10898</v>
      </c>
      <c r="AN353" s="5">
        <v>0.40889999999999999</v>
      </c>
      <c r="AO353" t="s">
        <v>10899</v>
      </c>
      <c r="AP353" t="s">
        <v>10900</v>
      </c>
      <c r="AQ353" t="s">
        <v>10901</v>
      </c>
      <c r="AR353" t="s">
        <v>10902</v>
      </c>
      <c r="AS353" t="s">
        <v>10903</v>
      </c>
      <c r="AT353" t="s">
        <v>10904</v>
      </c>
      <c r="AU353" t="s">
        <v>6145</v>
      </c>
      <c r="AV353" t="s">
        <v>10905</v>
      </c>
      <c r="AW353" t="s">
        <v>10906</v>
      </c>
      <c r="AX353" t="s">
        <v>10907</v>
      </c>
      <c r="AY353" t="s">
        <v>4723</v>
      </c>
      <c r="AZ353" t="s">
        <v>4724</v>
      </c>
      <c r="BA353" t="s">
        <v>4725</v>
      </c>
      <c r="BB353" t="s">
        <v>1540</v>
      </c>
      <c r="BC353" t="s">
        <v>4726</v>
      </c>
      <c r="BD353" t="s">
        <v>4727</v>
      </c>
      <c r="BE353" t="s">
        <v>4728</v>
      </c>
      <c r="BF353" t="s">
        <v>4729</v>
      </c>
      <c r="BG353" t="s">
        <v>4730</v>
      </c>
      <c r="BH353" t="s">
        <v>10907</v>
      </c>
      <c r="BI353" t="s">
        <v>4731</v>
      </c>
      <c r="BJ353" t="s">
        <v>4723</v>
      </c>
      <c r="BK353" t="s">
        <v>4722</v>
      </c>
      <c r="BL353" t="s">
        <v>495</v>
      </c>
      <c r="BM353" t="s">
        <v>4726</v>
      </c>
      <c r="BN353">
        <v>3.2</v>
      </c>
      <c r="BO353">
        <v>6.64</v>
      </c>
      <c r="BP353">
        <v>7.25</v>
      </c>
      <c r="BQ353">
        <v>3.83</v>
      </c>
      <c r="BR353">
        <v>7.05</v>
      </c>
      <c r="BS353">
        <v>8.32</v>
      </c>
      <c r="BT353" t="s">
        <v>10908</v>
      </c>
      <c r="BU353" t="s">
        <v>861</v>
      </c>
      <c r="BV353">
        <v>4.26</v>
      </c>
      <c r="BW353">
        <v>4.05</v>
      </c>
      <c r="BX353">
        <v>5.15</v>
      </c>
      <c r="BY353">
        <v>2.88</v>
      </c>
      <c r="BZ353">
        <v>7.19</v>
      </c>
      <c r="CA353">
        <v>10</v>
      </c>
      <c r="CB353">
        <v>-7.31</v>
      </c>
      <c r="CC353">
        <v>-14.42</v>
      </c>
      <c r="CD353" t="s">
        <v>10909</v>
      </c>
      <c r="CE353" t="s">
        <v>1287</v>
      </c>
      <c r="CF353" s="8">
        <v>-0.19418339740851487</v>
      </c>
      <c r="CG353" s="9">
        <v>-0.25109999999999999</v>
      </c>
      <c r="CH353" s="8">
        <v>0.14297659695148468</v>
      </c>
      <c r="CI353" s="8">
        <v>0.34244856238365173</v>
      </c>
      <c r="CJ353" s="8">
        <v>0.23098693788051605</v>
      </c>
      <c r="CK353" s="8">
        <v>-8.6577229201793671E-2</v>
      </c>
      <c r="CL353" s="8">
        <v>-3.9610303938388824E-2</v>
      </c>
      <c r="CM353" s="9">
        <v>-0.47211045026779175</v>
      </c>
      <c r="CN353" s="9">
        <v>0.29371210932731628</v>
      </c>
      <c r="CO353" s="9">
        <v>-3.8544721901416779E-2</v>
      </c>
      <c r="CP353" s="9">
        <v>-0.40419021248817444</v>
      </c>
      <c r="CQ353" s="9">
        <v>-5.942094698548317E-2</v>
      </c>
      <c r="CR353">
        <v>29.998443609022555</v>
      </c>
      <c r="CS353">
        <v>0.17202534584174112</v>
      </c>
      <c r="CT353">
        <v>0</v>
      </c>
      <c r="CU353" s="8">
        <v>1.7438385874032973</v>
      </c>
      <c r="CV353" s="9">
        <v>0.89340048432350161</v>
      </c>
      <c r="CW353">
        <v>0.06</v>
      </c>
      <c r="CX353" t="s">
        <v>6351</v>
      </c>
      <c r="CY353">
        <v>12567298435.700951</v>
      </c>
      <c r="CZ353">
        <v>1.7438385874032973</v>
      </c>
      <c r="DA353" t="s">
        <v>6351</v>
      </c>
      <c r="DB353">
        <v>119095711725.6714</v>
      </c>
      <c r="DC353">
        <v>1.6566466580331325</v>
      </c>
      <c r="DD353" t="s">
        <v>6351</v>
      </c>
      <c r="DE353">
        <v>1551300424460.0334</v>
      </c>
      <c r="DF353">
        <v>1.5345779569149016</v>
      </c>
      <c r="DG353" t="s">
        <v>6351</v>
      </c>
      <c r="DH353">
        <v>30199731589238.855</v>
      </c>
      <c r="DI353">
        <v>1.395070869922638</v>
      </c>
      <c r="DJ353" t="s">
        <v>6351</v>
      </c>
      <c r="DK353">
        <v>2.4637182513491896E+16</v>
      </c>
      <c r="DL353">
        <v>1.220687011182308</v>
      </c>
      <c r="DM353">
        <v>4855000000</v>
      </c>
      <c r="DN353">
        <v>1.7438385874032973</v>
      </c>
      <c r="DO353">
        <v>-12476518000</v>
      </c>
      <c r="DP353" t="e">
        <v>#VALUE!</v>
      </c>
      <c r="DQ353">
        <v>352</v>
      </c>
      <c r="DR353">
        <v>-1.9380219848118121</v>
      </c>
      <c r="DS353">
        <v>-1.1445004843235016</v>
      </c>
      <c r="DT353">
        <v>0.53666666666666674</v>
      </c>
      <c r="DU353">
        <v>1.3433333333333335</v>
      </c>
      <c r="DV353">
        <v>1.8800000000000003</v>
      </c>
      <c r="DW353">
        <v>-9.5069348127600559</v>
      </c>
      <c r="DX353">
        <v>0.60441903259005381</v>
      </c>
      <c r="DY353">
        <v>-9.0833497315002276</v>
      </c>
      <c r="DZ353">
        <v>0</v>
      </c>
      <c r="EA353">
        <v>-9.0833497315002276</v>
      </c>
      <c r="EB353">
        <v>9</v>
      </c>
      <c r="EC353">
        <v>9.14057163656962E-3</v>
      </c>
      <c r="ED353">
        <v>5.5593145824740675E-2</v>
      </c>
      <c r="EE353">
        <v>0</v>
      </c>
      <c r="EF353">
        <v>0</v>
      </c>
      <c r="EG353">
        <v>44.164419032590054</v>
      </c>
      <c r="EH353" t="s">
        <v>110</v>
      </c>
      <c r="EI353">
        <v>0</v>
      </c>
      <c r="EJ353">
        <v>0</v>
      </c>
      <c r="EK353">
        <v>0</v>
      </c>
      <c r="EL353">
        <v>0</v>
      </c>
      <c r="EM353">
        <v>0</v>
      </c>
      <c r="EN353">
        <v>0</v>
      </c>
      <c r="EO353">
        <v>0</v>
      </c>
      <c r="EP353">
        <v>0</v>
      </c>
    </row>
    <row r="354" spans="1:146" ht="96" x14ac:dyDescent="0.25">
      <c r="A354" s="7"/>
      <c r="B354" s="7"/>
      <c r="C354" s="7" t="str">
        <f>""&amp;CHAR(10)&amp;Basic_Fundamental_Information_Constructure(F354)&amp;CHAR(10)&amp;Basic_Fundamental_Information_Concatenate("")</f>
        <v xml:space="preserve">
市值88.190632亿, 利润-11.10亿; PE; 平均PE2.99; 平均PEG1.09, PB15.49; ROIC-57.4933%; ROE-99.8667%; 股利率0%; 毛利29.0567%; 净利-3142.36%; 上一年度营收增371.89%, 利润增-55.46%, 利润增13.71%; 过往5年营收增2.75%, 利润增-605.79%
Income profile:
</v>
      </c>
      <c r="D354" s="11">
        <v>2252</v>
      </c>
      <c r="E354" t="s">
        <v>4732</v>
      </c>
      <c r="F354">
        <v>9.1999999999999993</v>
      </c>
      <c r="G354" s="5">
        <v>-0.18579999999999999</v>
      </c>
      <c r="H354" t="s">
        <v>10910</v>
      </c>
      <c r="I354">
        <v>8819063200</v>
      </c>
      <c r="K354">
        <v>15.49</v>
      </c>
      <c r="L354" t="s">
        <v>6350</v>
      </c>
      <c r="M354" t="s">
        <v>9</v>
      </c>
      <c r="N354" t="s">
        <v>9</v>
      </c>
      <c r="O354" t="s">
        <v>9</v>
      </c>
      <c r="P354" t="s">
        <v>9</v>
      </c>
      <c r="Q354" t="s">
        <v>212</v>
      </c>
      <c r="R354">
        <v>-1109545140</v>
      </c>
      <c r="S354" s="5">
        <v>0.1371</v>
      </c>
      <c r="T354" t="s">
        <v>10911</v>
      </c>
      <c r="U354">
        <v>951994290</v>
      </c>
      <c r="V354">
        <v>958593830</v>
      </c>
      <c r="W354" t="s">
        <v>9</v>
      </c>
      <c r="X354" t="s">
        <v>9</v>
      </c>
      <c r="Y354" t="s">
        <v>9</v>
      </c>
      <c r="Z354" t="s">
        <v>9</v>
      </c>
      <c r="AA354" t="s">
        <v>9</v>
      </c>
      <c r="AB354" t="s">
        <v>9</v>
      </c>
      <c r="AC354" t="s">
        <v>9</v>
      </c>
      <c r="AD354" t="s">
        <v>1267</v>
      </c>
      <c r="AE354" t="s">
        <v>9</v>
      </c>
      <c r="AF354" t="s">
        <v>9</v>
      </c>
      <c r="AG354" t="s">
        <v>9</v>
      </c>
      <c r="AH354" t="s">
        <v>10912</v>
      </c>
      <c r="AI354" t="s">
        <v>9</v>
      </c>
      <c r="AJ354" t="s">
        <v>9</v>
      </c>
      <c r="AK354" t="s">
        <v>10913</v>
      </c>
      <c r="AL354" t="s">
        <v>9</v>
      </c>
      <c r="AM354" t="s">
        <v>9</v>
      </c>
      <c r="AN354" s="5">
        <v>0.64859999999999995</v>
      </c>
      <c r="AO354" t="s">
        <v>9</v>
      </c>
      <c r="AP354" t="s">
        <v>10914</v>
      </c>
      <c r="AQ354" t="s">
        <v>9</v>
      </c>
      <c r="AR354" t="s">
        <v>1635</v>
      </c>
      <c r="AS354" t="s">
        <v>9</v>
      </c>
      <c r="AT354" t="s">
        <v>9</v>
      </c>
      <c r="AU354" t="s">
        <v>10915</v>
      </c>
      <c r="AV354" t="s">
        <v>10916</v>
      </c>
      <c r="AW354" t="s">
        <v>9</v>
      </c>
      <c r="AX354" t="s">
        <v>4733</v>
      </c>
      <c r="AY354" t="s">
        <v>4735</v>
      </c>
      <c r="AZ354" t="s">
        <v>9</v>
      </c>
      <c r="BA354" t="s">
        <v>9</v>
      </c>
      <c r="BB354" t="s">
        <v>9</v>
      </c>
      <c r="BC354" t="s">
        <v>4736</v>
      </c>
      <c r="BD354" t="s">
        <v>2746</v>
      </c>
      <c r="BE354" t="s">
        <v>9</v>
      </c>
      <c r="BF354" t="s">
        <v>9</v>
      </c>
      <c r="BG354" t="s">
        <v>9</v>
      </c>
      <c r="BH354" t="s">
        <v>4733</v>
      </c>
      <c r="BI354" t="s">
        <v>9</v>
      </c>
      <c r="BJ354" t="s">
        <v>4735</v>
      </c>
      <c r="BK354" t="s">
        <v>3145</v>
      </c>
      <c r="BL354" t="s">
        <v>9</v>
      </c>
      <c r="BM354" t="s">
        <v>4736</v>
      </c>
      <c r="BN354">
        <v>-82.79</v>
      </c>
      <c r="BO354">
        <v>-59.3</v>
      </c>
      <c r="BP354">
        <v>-30.39</v>
      </c>
      <c r="BQ354">
        <v>-194.84</v>
      </c>
      <c r="BR354">
        <v>-80.400000000000006</v>
      </c>
      <c r="BS354">
        <v>-24.36</v>
      </c>
      <c r="BT354" t="s">
        <v>9</v>
      </c>
      <c r="BU354" t="s">
        <v>2382</v>
      </c>
      <c r="BV354">
        <v>14.05</v>
      </c>
      <c r="BW354">
        <v>30.38</v>
      </c>
      <c r="BX354">
        <v>42.74</v>
      </c>
      <c r="BY354">
        <v>-978.59</v>
      </c>
      <c r="BZ354">
        <v>-5306.13</v>
      </c>
      <c r="CA354" t="s">
        <v>4737</v>
      </c>
      <c r="CB354">
        <v>-21.23</v>
      </c>
      <c r="CC354">
        <v>-42.5</v>
      </c>
      <c r="CD354" t="s">
        <v>10917</v>
      </c>
      <c r="CE354" t="s">
        <v>10918</v>
      </c>
      <c r="CF354" s="8" t="s">
        <v>9</v>
      </c>
      <c r="CG354" s="9">
        <v>0.1371</v>
      </c>
      <c r="CH354" s="8">
        <v>3.7188584804534912</v>
      </c>
      <c r="CI354" s="8">
        <v>8.2567710876464844</v>
      </c>
      <c r="CJ354" s="8" t="s">
        <v>9</v>
      </c>
      <c r="CK354" s="8" t="s">
        <v>9</v>
      </c>
      <c r="CL354" s="8" t="s">
        <v>9</v>
      </c>
      <c r="CM354" s="9">
        <v>-0.55462187528610229</v>
      </c>
      <c r="CN354" s="9">
        <v>-1.8674699068069458</v>
      </c>
      <c r="CO354" s="9" t="s">
        <v>9</v>
      </c>
      <c r="CP354" s="9" t="s">
        <v>9</v>
      </c>
      <c r="CQ354" s="9" t="s">
        <v>9</v>
      </c>
      <c r="CR354">
        <v>2.9930640420838284</v>
      </c>
      <c r="CS354">
        <v>1.0874964861255194</v>
      </c>
      <c r="CT354">
        <v>0</v>
      </c>
      <c r="CU354" s="8">
        <v>2.7522516902536154E-2</v>
      </c>
      <c r="CV354" s="9">
        <v>-6.0579130381345747</v>
      </c>
      <c r="CW354">
        <v>0.06</v>
      </c>
      <c r="CX354" t="e">
        <v>#VALUE!</v>
      </c>
      <c r="CY354" t="s">
        <v>109</v>
      </c>
      <c r="CZ354">
        <v>2.7522516902536154E-2</v>
      </c>
      <c r="DA354" t="e">
        <v>#VALUE!</v>
      </c>
      <c r="DB354" t="s">
        <v>108</v>
      </c>
      <c r="DC354">
        <v>2.6146391057409346E-2</v>
      </c>
      <c r="DD354" t="e">
        <v>#VALUE!</v>
      </c>
      <c r="DE354" t="s">
        <v>108</v>
      </c>
      <c r="DF354">
        <v>2.4219814874231815E-2</v>
      </c>
      <c r="DG354" t="e">
        <v>#VALUE!</v>
      </c>
      <c r="DH354" t="s">
        <v>108</v>
      </c>
      <c r="DI354">
        <v>2.2018013522028923E-2</v>
      </c>
      <c r="DJ354" t="e">
        <v>#VALUE!</v>
      </c>
      <c r="DK354" t="s">
        <v>108</v>
      </c>
      <c r="DL354">
        <v>1.9265761831775308E-2</v>
      </c>
      <c r="DM354">
        <v>-1110000000</v>
      </c>
      <c r="DN354">
        <v>2.7522516902536154E-2</v>
      </c>
      <c r="DO354">
        <v>8819063200</v>
      </c>
      <c r="DP354" t="e">
        <v>#VALUE!</v>
      </c>
      <c r="DQ354">
        <v>353</v>
      </c>
      <c r="DR354" t="e">
        <v>#VALUE!</v>
      </c>
      <c r="DS354">
        <v>6.1950130381345749</v>
      </c>
      <c r="DT354" t="e">
        <v>#VALUE!</v>
      </c>
      <c r="DU354" t="e">
        <v>#VALUE!</v>
      </c>
      <c r="DV354" t="e">
        <v>#VALUE!</v>
      </c>
      <c r="DW354">
        <v>-9.4995294117647067</v>
      </c>
      <c r="DX354">
        <v>1.8153901267616857</v>
      </c>
      <c r="DY354">
        <v>-9.1725325268505955</v>
      </c>
      <c r="DZ354">
        <v>0</v>
      </c>
      <c r="EA354">
        <v>-9.1725325268505955</v>
      </c>
      <c r="EB354">
        <v>9</v>
      </c>
      <c r="EC354">
        <v>9.1525729932979017E-3</v>
      </c>
      <c r="ED354">
        <v>2.649923169232166E-2</v>
      </c>
      <c r="EE354">
        <v>0</v>
      </c>
      <c r="EF354">
        <v>0</v>
      </c>
      <c r="EG354">
        <v>147.34539012676169</v>
      </c>
      <c r="EH354" t="s">
        <v>110</v>
      </c>
      <c r="EI354">
        <v>0</v>
      </c>
      <c r="EJ354">
        <v>0</v>
      </c>
      <c r="EK354">
        <v>0</v>
      </c>
      <c r="EL354">
        <v>0</v>
      </c>
      <c r="EM354">
        <v>0</v>
      </c>
      <c r="EN354">
        <v>0</v>
      </c>
      <c r="EO354">
        <v>0</v>
      </c>
      <c r="EP354">
        <v>0</v>
      </c>
    </row>
    <row r="355" spans="1:146" ht="96" x14ac:dyDescent="0.25">
      <c r="A355" s="7"/>
      <c r="B355" s="7"/>
      <c r="C355" s="7" t="str">
        <f>""&amp;CHAR(10)&amp;Basic_Fundamental_Information_Constructure(F355)&amp;CHAR(10)&amp;Basic_Fundamental_Information_Concatenate("")</f>
        <v xml:space="preserve">
市值55.986614亿, 利润-2.16亿; PE; 平均PE114.01; 平均PEG4.4, PB2.11; ROIC-3.6967%; ROE-12.9767%; 股利率0%; 毛利6.45%; 净利-51.2533%; 上一年度营收增122.57%, 利润增-120.87%, 利润增86.27%; 过往5年营收增25.93%, 利润增897.21%
Income profile:
</v>
      </c>
      <c r="D355" s="11">
        <v>2255</v>
      </c>
      <c r="E355" t="s">
        <v>4738</v>
      </c>
      <c r="F355">
        <v>0.69</v>
      </c>
      <c r="G355" s="5">
        <v>-1.43E-2</v>
      </c>
      <c r="H355" t="s">
        <v>10919</v>
      </c>
      <c r="I355">
        <v>5598661400</v>
      </c>
      <c r="K355">
        <v>2.11</v>
      </c>
      <c r="L355" t="s">
        <v>6350</v>
      </c>
      <c r="M355" t="s">
        <v>9</v>
      </c>
      <c r="N355" t="s">
        <v>9</v>
      </c>
      <c r="O355" t="s">
        <v>9</v>
      </c>
      <c r="P355" t="s">
        <v>9</v>
      </c>
      <c r="Q355" t="s">
        <v>7070</v>
      </c>
      <c r="R355">
        <v>-216235320</v>
      </c>
      <c r="S355" s="5">
        <v>0.86270000000000002</v>
      </c>
      <c r="T355" t="s">
        <v>7138</v>
      </c>
      <c r="U355">
        <v>8114002000</v>
      </c>
      <c r="V355">
        <v>8114002000</v>
      </c>
      <c r="W355" t="s">
        <v>9</v>
      </c>
      <c r="X355" t="s">
        <v>9</v>
      </c>
      <c r="Y355" t="s">
        <v>9</v>
      </c>
      <c r="Z355" t="s">
        <v>9</v>
      </c>
      <c r="AA355" t="s">
        <v>9</v>
      </c>
      <c r="AB355" t="s">
        <v>9</v>
      </c>
      <c r="AC355" t="s">
        <v>9</v>
      </c>
      <c r="AD355" t="s">
        <v>9</v>
      </c>
      <c r="AE355" t="s">
        <v>9</v>
      </c>
      <c r="AF355" t="s">
        <v>9</v>
      </c>
      <c r="AG355" t="s">
        <v>9</v>
      </c>
      <c r="AH355" t="s">
        <v>10920</v>
      </c>
      <c r="AI355" t="s">
        <v>9</v>
      </c>
      <c r="AJ355" t="s">
        <v>9</v>
      </c>
      <c r="AK355" t="s">
        <v>10921</v>
      </c>
      <c r="AL355" t="s">
        <v>9</v>
      </c>
      <c r="AM355" t="s">
        <v>9</v>
      </c>
      <c r="AN355" s="5">
        <v>0.78139999999999998</v>
      </c>
      <c r="AO355" t="s">
        <v>9</v>
      </c>
      <c r="AP355" t="s">
        <v>204</v>
      </c>
      <c r="AQ355" t="s">
        <v>9</v>
      </c>
      <c r="AR355" t="s">
        <v>6225</v>
      </c>
      <c r="AS355" t="s">
        <v>9</v>
      </c>
      <c r="AT355" t="s">
        <v>9</v>
      </c>
      <c r="AU355" t="s">
        <v>6417</v>
      </c>
      <c r="AV355" t="s">
        <v>10661</v>
      </c>
      <c r="AW355" t="s">
        <v>9</v>
      </c>
      <c r="AX355" t="s">
        <v>2583</v>
      </c>
      <c r="AY355" t="s">
        <v>4740</v>
      </c>
      <c r="AZ355" t="s">
        <v>1340</v>
      </c>
      <c r="BA355" t="s">
        <v>448</v>
      </c>
      <c r="BB355" t="s">
        <v>4741</v>
      </c>
      <c r="BC355" t="s">
        <v>229</v>
      </c>
      <c r="BD355" t="s">
        <v>4742</v>
      </c>
      <c r="BE355" t="s">
        <v>4743</v>
      </c>
      <c r="BF355" t="s">
        <v>4744</v>
      </c>
      <c r="BG355" t="s">
        <v>2111</v>
      </c>
      <c r="BH355" t="s">
        <v>2583</v>
      </c>
      <c r="BI355" t="s">
        <v>9</v>
      </c>
      <c r="BJ355" t="s">
        <v>4740</v>
      </c>
      <c r="BK355" t="s">
        <v>4739</v>
      </c>
      <c r="BL355" t="s">
        <v>9</v>
      </c>
      <c r="BM355" t="s">
        <v>229</v>
      </c>
      <c r="BN355">
        <v>-2.42</v>
      </c>
      <c r="BO355">
        <v>-16.68</v>
      </c>
      <c r="BP355">
        <v>8.01</v>
      </c>
      <c r="BQ355">
        <v>-8.16</v>
      </c>
      <c r="BR355">
        <v>-53.2</v>
      </c>
      <c r="BS355">
        <v>22.43</v>
      </c>
      <c r="BT355" t="s">
        <v>9</v>
      </c>
      <c r="BU355" t="s">
        <v>567</v>
      </c>
      <c r="BV355">
        <v>25.18</v>
      </c>
      <c r="BW355">
        <v>-35.15</v>
      </c>
      <c r="BX355">
        <v>29.32</v>
      </c>
      <c r="BY355">
        <v>-10.01</v>
      </c>
      <c r="BZ355">
        <v>-177.66</v>
      </c>
      <c r="CA355">
        <v>33.909999999999997</v>
      </c>
      <c r="CB355">
        <v>-1.43</v>
      </c>
      <c r="CC355">
        <v>-9.2100000000000009</v>
      </c>
      <c r="CD355" t="s">
        <v>10922</v>
      </c>
      <c r="CE355" t="s">
        <v>1657</v>
      </c>
      <c r="CF355" s="8" t="s">
        <v>9</v>
      </c>
      <c r="CG355" s="9">
        <v>0.86270000000000002</v>
      </c>
      <c r="CH355" s="8">
        <v>1.2256982326507568</v>
      </c>
      <c r="CI355" s="8">
        <v>-0.70295381546020508</v>
      </c>
      <c r="CJ355" s="8">
        <v>1.1645114421844482</v>
      </c>
      <c r="CK355" s="8">
        <v>-0.31697744131088257</v>
      </c>
      <c r="CL355" s="8">
        <v>1.1916584335267544E-2</v>
      </c>
      <c r="CM355" s="9">
        <v>-1.2086957693099976</v>
      </c>
      <c r="CN355" s="9">
        <v>1.5982658863067627</v>
      </c>
      <c r="CO355" s="9">
        <v>-62.726413726806641</v>
      </c>
      <c r="CP355" s="9">
        <v>-0.37774279713630676</v>
      </c>
      <c r="CQ355" s="9">
        <v>-0.86555016040802002</v>
      </c>
      <c r="CR355">
        <v>114.00696015997373</v>
      </c>
      <c r="CS355">
        <v>4.3968683032467792</v>
      </c>
      <c r="CT355">
        <v>0</v>
      </c>
      <c r="CU355" s="8">
        <v>0.25929127801209689</v>
      </c>
      <c r="CV355" s="9">
        <v>8.9721113383769993</v>
      </c>
      <c r="CW355">
        <v>0.06</v>
      </c>
      <c r="CX355" t="e">
        <v>#VALUE!</v>
      </c>
      <c r="CY355" t="s">
        <v>109</v>
      </c>
      <c r="CZ355">
        <v>0.25929127801209689</v>
      </c>
      <c r="DA355" t="e">
        <v>#VALUE!</v>
      </c>
      <c r="DB355" t="s">
        <v>108</v>
      </c>
      <c r="DC355">
        <v>0.24632671411149204</v>
      </c>
      <c r="DD355" t="e">
        <v>#VALUE!</v>
      </c>
      <c r="DE355" t="s">
        <v>108</v>
      </c>
      <c r="DF355">
        <v>0.22817632465064527</v>
      </c>
      <c r="DG355" t="e">
        <v>#VALUE!</v>
      </c>
      <c r="DH355" t="s">
        <v>108</v>
      </c>
      <c r="DI355">
        <v>0.20743302240967754</v>
      </c>
      <c r="DJ355" t="e">
        <v>#VALUE!</v>
      </c>
      <c r="DK355" t="s">
        <v>108</v>
      </c>
      <c r="DL355">
        <v>0.1815038946084678</v>
      </c>
      <c r="DM355">
        <v>-216000000</v>
      </c>
      <c r="DN355">
        <v>0.25929127801209689</v>
      </c>
      <c r="DO355">
        <v>5598661400</v>
      </c>
      <c r="DP355" t="e">
        <v>#VALUE!</v>
      </c>
      <c r="DQ355">
        <v>354</v>
      </c>
      <c r="DR355" t="e">
        <v>#VALUE!</v>
      </c>
      <c r="DS355">
        <v>-8.109411338376999</v>
      </c>
      <c r="DT355" t="e">
        <v>#VALUE!</v>
      </c>
      <c r="DU355" t="e">
        <v>#VALUE!</v>
      </c>
      <c r="DV355" t="e">
        <v>#VALUE!</v>
      </c>
      <c r="DW355">
        <v>-2.0920999999999998</v>
      </c>
      <c r="DX355">
        <v>0.34370726915520478</v>
      </c>
      <c r="DY355">
        <v>-2.0095514394891945</v>
      </c>
      <c r="DZ355">
        <v>0</v>
      </c>
      <c r="EA355">
        <v>-2.0095514394891945</v>
      </c>
      <c r="EB355">
        <v>2</v>
      </c>
      <c r="EC355">
        <v>6.5056676101386225E-3</v>
      </c>
      <c r="ED355">
        <v>6.2731066617927878E-2</v>
      </c>
      <c r="EE355">
        <v>0</v>
      </c>
      <c r="EF355">
        <v>0</v>
      </c>
      <c r="EG355">
        <v>24.103707269155205</v>
      </c>
      <c r="EH355" t="s">
        <v>110</v>
      </c>
      <c r="EI355">
        <v>0</v>
      </c>
      <c r="EJ355">
        <v>0</v>
      </c>
      <c r="EK355">
        <v>0</v>
      </c>
      <c r="EL355">
        <v>0</v>
      </c>
      <c r="EM355">
        <v>0</v>
      </c>
      <c r="EN355">
        <v>0</v>
      </c>
      <c r="EO355">
        <v>0</v>
      </c>
      <c r="EP355">
        <v>0</v>
      </c>
    </row>
    <row r="356" spans="1:146" ht="84" x14ac:dyDescent="0.25">
      <c r="A356" s="7"/>
      <c r="B356" s="7"/>
      <c r="C356" s="7" t="str">
        <f>""&amp;CHAR(10)&amp;Basic_Fundamental_Information_Constructure(F356)&amp;CHAR(10)&amp;Basic_Fundamental_Information_Concatenate("")</f>
        <v xml:space="preserve">
市值3.7509269亿, 利润-6.15亿; PE; 平均PE.77; 平均PEG.2, PB1.19; ROIC-170.0433%; ROE-122.9433%; 股利率0%; 毛利0%; 净利0%, 利润增63%, 利润增10.85%; 过往5年营收增-3.87%, 利润增-6.26%
Income profile:
</v>
      </c>
      <c r="D356" s="11">
        <v>2257</v>
      </c>
      <c r="E356" t="s">
        <v>4746</v>
      </c>
      <c r="F356">
        <v>4.28</v>
      </c>
      <c r="G356" s="5">
        <v>-4.8899999999999999E-2</v>
      </c>
      <c r="H356" t="s">
        <v>10923</v>
      </c>
      <c r="I356">
        <v>375092690</v>
      </c>
      <c r="K356">
        <v>1.19</v>
      </c>
      <c r="L356" t="s">
        <v>6350</v>
      </c>
      <c r="M356" t="s">
        <v>9</v>
      </c>
      <c r="N356" t="s">
        <v>9</v>
      </c>
      <c r="O356" t="s">
        <v>9</v>
      </c>
      <c r="P356" t="s">
        <v>9</v>
      </c>
      <c r="Q356" t="s">
        <v>9</v>
      </c>
      <c r="R356">
        <v>-614655400</v>
      </c>
      <c r="S356" s="5">
        <v>0.1085</v>
      </c>
      <c r="T356" t="s">
        <v>4407</v>
      </c>
      <c r="U356">
        <v>87638480</v>
      </c>
      <c r="V356">
        <v>87638480</v>
      </c>
      <c r="W356" t="s">
        <v>9</v>
      </c>
      <c r="X356" t="s">
        <v>9</v>
      </c>
      <c r="Y356" t="s">
        <v>9</v>
      </c>
      <c r="Z356" t="s">
        <v>9</v>
      </c>
      <c r="AA356" t="s">
        <v>9</v>
      </c>
      <c r="AB356" t="s">
        <v>9</v>
      </c>
      <c r="AC356" t="s">
        <v>9</v>
      </c>
      <c r="AD356" t="s">
        <v>7745</v>
      </c>
      <c r="AE356" t="s">
        <v>9</v>
      </c>
      <c r="AF356" t="s">
        <v>9</v>
      </c>
      <c r="AG356" t="s">
        <v>9</v>
      </c>
      <c r="AH356" t="s">
        <v>10924</v>
      </c>
      <c r="AI356" t="s">
        <v>9</v>
      </c>
      <c r="AJ356" t="s">
        <v>9</v>
      </c>
      <c r="AK356" t="s">
        <v>10925</v>
      </c>
      <c r="AL356" t="s">
        <v>9</v>
      </c>
      <c r="AM356" t="s">
        <v>9</v>
      </c>
      <c r="AN356" s="5">
        <v>0.67730000000000001</v>
      </c>
      <c r="AO356" t="s">
        <v>9</v>
      </c>
      <c r="AP356" t="s">
        <v>10926</v>
      </c>
      <c r="AQ356" t="s">
        <v>9</v>
      </c>
      <c r="AR356" t="s">
        <v>99</v>
      </c>
      <c r="AS356" t="s">
        <v>9</v>
      </c>
      <c r="AT356" t="s">
        <v>9</v>
      </c>
      <c r="AU356" t="s">
        <v>10927</v>
      </c>
      <c r="AV356" t="s">
        <v>10928</v>
      </c>
      <c r="AW356" t="s">
        <v>9</v>
      </c>
      <c r="AX356" t="s">
        <v>9</v>
      </c>
      <c r="AY356" t="s">
        <v>9</v>
      </c>
      <c r="AZ356" t="s">
        <v>9</v>
      </c>
      <c r="BA356" t="s">
        <v>9</v>
      </c>
      <c r="BB356" t="s">
        <v>9</v>
      </c>
      <c r="BC356" t="s">
        <v>4748</v>
      </c>
      <c r="BD356" t="s">
        <v>4749</v>
      </c>
      <c r="BE356" t="s">
        <v>9</v>
      </c>
      <c r="BF356" t="s">
        <v>9</v>
      </c>
      <c r="BG356" t="s">
        <v>9</v>
      </c>
      <c r="BH356" t="s">
        <v>9</v>
      </c>
      <c r="BI356" t="s">
        <v>9</v>
      </c>
      <c r="BJ356" t="s">
        <v>9</v>
      </c>
      <c r="BK356" t="s">
        <v>4747</v>
      </c>
      <c r="BL356" t="s">
        <v>9</v>
      </c>
      <c r="BM356" t="s">
        <v>4748</v>
      </c>
      <c r="BN356">
        <v>-97.03</v>
      </c>
      <c r="BO356">
        <v>-52.93</v>
      </c>
      <c r="BP356">
        <v>-360.17</v>
      </c>
      <c r="BQ356">
        <v>-195.77</v>
      </c>
      <c r="BR356">
        <v>-72.37</v>
      </c>
      <c r="BS356">
        <v>-100.69</v>
      </c>
      <c r="BT356" t="s">
        <v>9</v>
      </c>
      <c r="BU356" t="s">
        <v>489</v>
      </c>
      <c r="BV356" t="s">
        <v>9</v>
      </c>
      <c r="BW356" t="s">
        <v>9</v>
      </c>
      <c r="BX356" t="s">
        <v>9</v>
      </c>
      <c r="BY356" t="s">
        <v>9</v>
      </c>
      <c r="BZ356" t="s">
        <v>9</v>
      </c>
      <c r="CA356" t="s">
        <v>9</v>
      </c>
      <c r="CB356">
        <v>-17.21</v>
      </c>
      <c r="CC356">
        <v>-44.05</v>
      </c>
      <c r="CD356" t="s">
        <v>10929</v>
      </c>
      <c r="CE356" t="s">
        <v>10930</v>
      </c>
      <c r="CF356" s="8" t="s">
        <v>9</v>
      </c>
      <c r="CG356" s="9">
        <v>0.1085</v>
      </c>
      <c r="CH356" s="8" t="s">
        <v>9</v>
      </c>
      <c r="CI356" s="8" t="s">
        <v>9</v>
      </c>
      <c r="CJ356" s="8" t="s">
        <v>9</v>
      </c>
      <c r="CK356" s="8" t="s">
        <v>9</v>
      </c>
      <c r="CL356" s="8" t="s">
        <v>9</v>
      </c>
      <c r="CM356" s="9">
        <v>0.62996387481689453</v>
      </c>
      <c r="CN356" s="9">
        <v>-3.9026551246643066</v>
      </c>
      <c r="CO356" s="9" t="s">
        <v>9</v>
      </c>
      <c r="CP356" s="9" t="s">
        <v>9</v>
      </c>
      <c r="CQ356" s="9" t="s">
        <v>9</v>
      </c>
      <c r="CR356">
        <v>0.7741851186790506</v>
      </c>
      <c r="CS356">
        <v>0.19994576922530097</v>
      </c>
      <c r="CT356">
        <v>0</v>
      </c>
      <c r="CU356" s="8">
        <v>-3.8719754945486781E-2</v>
      </c>
      <c r="CV356" s="9">
        <v>-6.2623750977218146E-2</v>
      </c>
      <c r="CW356">
        <v>0.06</v>
      </c>
      <c r="CX356" t="e">
        <v>#VALUE!</v>
      </c>
      <c r="CY356" t="s">
        <v>109</v>
      </c>
      <c r="CZ356">
        <v>-3.8719754945486781E-2</v>
      </c>
      <c r="DA356" t="e">
        <v>#VALUE!</v>
      </c>
      <c r="DB356" t="s">
        <v>108</v>
      </c>
      <c r="DC356">
        <v>-3.6783767198212441E-2</v>
      </c>
      <c r="DD356" t="e">
        <v>#VALUE!</v>
      </c>
      <c r="DE356" t="s">
        <v>108</v>
      </c>
      <c r="DF356">
        <v>-3.407338435202837E-2</v>
      </c>
      <c r="DG356" t="e">
        <v>#VALUE!</v>
      </c>
      <c r="DH356" t="s">
        <v>108</v>
      </c>
      <c r="DI356">
        <v>-3.0975803956389426E-2</v>
      </c>
      <c r="DJ356" t="e">
        <v>#VALUE!</v>
      </c>
      <c r="DK356" t="s">
        <v>108</v>
      </c>
      <c r="DL356">
        <v>-2.7103828461840746E-2</v>
      </c>
      <c r="DM356">
        <v>-615000000</v>
      </c>
      <c r="DN356">
        <v>-3.8719754945486781E-2</v>
      </c>
      <c r="DO356">
        <v>375092690</v>
      </c>
      <c r="DP356" t="e">
        <v>#VALUE!</v>
      </c>
      <c r="DQ356">
        <v>355</v>
      </c>
      <c r="DR356" t="e">
        <v>#VALUE!</v>
      </c>
      <c r="DS356">
        <v>0.17112375097721816</v>
      </c>
      <c r="DT356" t="e">
        <v>#VALUE!</v>
      </c>
      <c r="DU356" t="e">
        <v>#VALUE!</v>
      </c>
      <c r="DV356" t="e">
        <v>#VALUE!</v>
      </c>
      <c r="DW356">
        <v>-9.3906923950056758</v>
      </c>
      <c r="DX356">
        <v>0.26656226347891832</v>
      </c>
      <c r="DY356">
        <v>-9.0533538377859752</v>
      </c>
      <c r="DZ356">
        <v>0</v>
      </c>
      <c r="EA356">
        <v>-9.0533538377859752</v>
      </c>
      <c r="EB356">
        <v>9</v>
      </c>
      <c r="EC356">
        <v>0.13999900500328166</v>
      </c>
      <c r="ED356">
        <v>1.0251661142457058</v>
      </c>
      <c r="EE356">
        <v>0</v>
      </c>
      <c r="EF356">
        <v>0</v>
      </c>
      <c r="EG356">
        <v>13.136562263478918</v>
      </c>
      <c r="EH356" t="s">
        <v>110</v>
      </c>
      <c r="EI356">
        <v>0</v>
      </c>
      <c r="EJ356">
        <v>0</v>
      </c>
      <c r="EK356">
        <v>0</v>
      </c>
      <c r="EL356">
        <v>0</v>
      </c>
      <c r="EM356">
        <v>0</v>
      </c>
      <c r="EN356">
        <v>0</v>
      </c>
      <c r="EO356">
        <v>0</v>
      </c>
      <c r="EP356">
        <v>0</v>
      </c>
    </row>
    <row r="357" spans="1:146" ht="84" x14ac:dyDescent="0.25">
      <c r="A357"/>
      <c r="B357"/>
      <c r="C357" s="7" t="str">
        <f>""&amp;CHAR(10)&amp;Basic_Fundamental_Information_Constructure(F357)&amp;CHAR(10)&amp;Basic_Fundamental_Information_Concatenate("")</f>
        <v xml:space="preserve">
市值205.59466亿, 利润--; PE66.15; 平均PE-358.79; 平均PEG-97.18, PB3.44; ROIC0%; ROE0%; 股利率0%; 毛利0%; 净利0%, 利润增76.92%; 过往5年营收增3.69%, 利润增-216.13%
Income profile:
</v>
      </c>
      <c r="D357" s="11">
        <v>2268</v>
      </c>
      <c r="E357" t="s">
        <v>10931</v>
      </c>
      <c r="F357">
        <v>17.16</v>
      </c>
      <c r="G357">
        <v>-4.6699999999999998E-2</v>
      </c>
      <c r="H357" t="s">
        <v>10932</v>
      </c>
      <c r="I357">
        <v>20559466000</v>
      </c>
      <c r="J357">
        <v>66.150000000000006</v>
      </c>
      <c r="K357">
        <v>3.44</v>
      </c>
      <c r="L357" t="s">
        <v>6350</v>
      </c>
      <c r="M357" t="s">
        <v>9</v>
      </c>
      <c r="N357" t="s">
        <v>9</v>
      </c>
      <c r="O357" t="s">
        <v>9</v>
      </c>
      <c r="P357" s="5" t="s">
        <v>9</v>
      </c>
      <c r="Q357" t="s">
        <v>9</v>
      </c>
      <c r="R357">
        <v>310814360</v>
      </c>
      <c r="S357">
        <v>0.76919999999999999</v>
      </c>
      <c r="T357" t="s">
        <v>9</v>
      </c>
      <c r="U357">
        <v>1197604500</v>
      </c>
      <c r="V357">
        <v>1197604500</v>
      </c>
      <c r="W357" t="s">
        <v>9</v>
      </c>
      <c r="X357" t="s">
        <v>9</v>
      </c>
      <c r="Y357" t="s">
        <v>9</v>
      </c>
      <c r="Z357" t="s">
        <v>9</v>
      </c>
      <c r="AA357" t="s">
        <v>9</v>
      </c>
      <c r="AB357" t="s">
        <v>9</v>
      </c>
      <c r="AC357" t="s">
        <v>9</v>
      </c>
      <c r="AD357" t="s">
        <v>9</v>
      </c>
      <c r="AE357" t="s">
        <v>9</v>
      </c>
      <c r="AF357" t="s">
        <v>9</v>
      </c>
      <c r="AG357" t="s">
        <v>9</v>
      </c>
      <c r="AH357" t="s">
        <v>10933</v>
      </c>
      <c r="AI357" t="s">
        <v>9</v>
      </c>
      <c r="AJ357" t="s">
        <v>9</v>
      </c>
      <c r="AK357" s="5" t="s">
        <v>10934</v>
      </c>
      <c r="AL357" t="s">
        <v>9</v>
      </c>
      <c r="AM357" t="s">
        <v>9</v>
      </c>
      <c r="AN357">
        <v>0.19020000000000001</v>
      </c>
      <c r="AO357" t="s">
        <v>9</v>
      </c>
      <c r="AP357" t="s">
        <v>9</v>
      </c>
      <c r="AQ357" t="s">
        <v>9</v>
      </c>
      <c r="AR357" t="s">
        <v>9</v>
      </c>
      <c r="AS357" t="s">
        <v>9</v>
      </c>
      <c r="AT357" t="s">
        <v>9</v>
      </c>
      <c r="AU357" t="s">
        <v>9</v>
      </c>
      <c r="AV357" t="s">
        <v>9</v>
      </c>
      <c r="AW357" t="s">
        <v>9</v>
      </c>
      <c r="AX357" t="s">
        <v>9</v>
      </c>
      <c r="AY357" t="s">
        <v>9</v>
      </c>
      <c r="AZ357" t="s">
        <v>9</v>
      </c>
      <c r="BA357" t="s">
        <v>9</v>
      </c>
      <c r="BB357" t="s">
        <v>9</v>
      </c>
      <c r="BC357" t="s">
        <v>9</v>
      </c>
      <c r="BD357" t="s">
        <v>9</v>
      </c>
      <c r="BE357" t="s">
        <v>9</v>
      </c>
      <c r="BF357" t="s">
        <v>9</v>
      </c>
      <c r="BG357" t="s">
        <v>9</v>
      </c>
      <c r="BH357" t="s">
        <v>9</v>
      </c>
      <c r="BI357" t="s">
        <v>9</v>
      </c>
      <c r="BJ357" t="s">
        <v>9</v>
      </c>
      <c r="BK357" t="s">
        <v>9</v>
      </c>
      <c r="BL357" t="s">
        <v>9</v>
      </c>
      <c r="BM357" t="s">
        <v>9</v>
      </c>
      <c r="BN357" t="s">
        <v>9</v>
      </c>
      <c r="BO357" t="s">
        <v>9</v>
      </c>
      <c r="BP357" t="s">
        <v>9</v>
      </c>
      <c r="BQ357" t="s">
        <v>9</v>
      </c>
      <c r="BR357" t="s">
        <v>9</v>
      </c>
      <c r="BS357" t="s">
        <v>9</v>
      </c>
      <c r="BT357" t="s">
        <v>9</v>
      </c>
      <c r="BU357" t="s">
        <v>9</v>
      </c>
      <c r="BV357" t="s">
        <v>9</v>
      </c>
      <c r="BW357" t="s">
        <v>9</v>
      </c>
      <c r="BX357" t="s">
        <v>9</v>
      </c>
      <c r="BY357" t="s">
        <v>9</v>
      </c>
      <c r="BZ357" t="s">
        <v>9</v>
      </c>
      <c r="CA357" t="s">
        <v>9</v>
      </c>
      <c r="CB357">
        <v>-3.05</v>
      </c>
      <c r="CC357" s="8">
        <v>0.94</v>
      </c>
      <c r="CD357" s="10" t="s">
        <v>10935</v>
      </c>
      <c r="CE357" s="8" t="s">
        <v>3211</v>
      </c>
      <c r="CF357" s="8" t="s">
        <v>9</v>
      </c>
      <c r="CG357" s="8">
        <v>0.76919999999999999</v>
      </c>
      <c r="CH357" s="8" t="s">
        <v>9</v>
      </c>
      <c r="CI357" s="8" t="s">
        <v>9</v>
      </c>
      <c r="CJ357" s="9" t="s">
        <v>9</v>
      </c>
      <c r="CK357" s="9" t="s">
        <v>9</v>
      </c>
      <c r="CL357" s="9" t="s">
        <v>9</v>
      </c>
      <c r="CM357" s="9" t="s">
        <v>9</v>
      </c>
      <c r="CN357" s="9" t="s">
        <v>9</v>
      </c>
      <c r="CO357" t="s">
        <v>9</v>
      </c>
      <c r="CP357" t="s">
        <v>9</v>
      </c>
      <c r="CQ357" t="s">
        <v>9</v>
      </c>
      <c r="CR357" s="8">
        <v>-358.79267317955106</v>
      </c>
      <c r="CS357" s="9">
        <v>-97.177058943086976</v>
      </c>
      <c r="CT357">
        <v>0</v>
      </c>
      <c r="CU357">
        <v>3.6921540647745131E-2</v>
      </c>
      <c r="CV357">
        <v>-2.1612883657217026</v>
      </c>
      <c r="CW357">
        <v>0.06</v>
      </c>
      <c r="CX357" t="e">
        <v>#DIV/0!</v>
      </c>
      <c r="CY357">
        <v>0</v>
      </c>
      <c r="CZ357">
        <v>3.6921540647745131E-2</v>
      </c>
      <c r="DA357" t="e">
        <v>#DIV/0!</v>
      </c>
      <c r="DB357">
        <v>0</v>
      </c>
      <c r="DC357">
        <v>3.507546361535787E-2</v>
      </c>
      <c r="DD357" t="e">
        <v>#DIV/0!</v>
      </c>
      <c r="DE357">
        <v>0</v>
      </c>
      <c r="DF357">
        <v>3.2490955770015713E-2</v>
      </c>
      <c r="DG357" t="e">
        <v>#DIV/0!</v>
      </c>
      <c r="DH357">
        <v>0</v>
      </c>
      <c r="DI357">
        <v>2.9537232518196108E-2</v>
      </c>
      <c r="DJ357" t="e">
        <v>#DIV/0!</v>
      </c>
      <c r="DK357">
        <v>0</v>
      </c>
      <c r="DL357">
        <v>2.5845078453421589E-2</v>
      </c>
      <c r="DM357">
        <v>0</v>
      </c>
      <c r="DN357">
        <v>3.6921540647745131E-2</v>
      </c>
      <c r="DO357">
        <v>20559466000</v>
      </c>
      <c r="DP357" t="e">
        <v>#VALUE!</v>
      </c>
      <c r="DQ357">
        <v>356</v>
      </c>
      <c r="DR357" t="e">
        <v>#VALUE!</v>
      </c>
      <c r="DS357">
        <v>2.9304883657217027</v>
      </c>
      <c r="DT357" t="e">
        <v>#VALUE!</v>
      </c>
      <c r="DU357" t="e">
        <v>#VALUE!</v>
      </c>
      <c r="DV357" t="e">
        <v>#VALUE!</v>
      </c>
      <c r="DW357">
        <v>-4.3081967213114751</v>
      </c>
      <c r="DX357">
        <v>0.28269266055045988</v>
      </c>
      <c r="DY357">
        <v>-4.0316495412844038</v>
      </c>
      <c r="DZ357">
        <v>0</v>
      </c>
      <c r="EA357">
        <v>-4.0316495412844038</v>
      </c>
      <c r="EB357">
        <v>4</v>
      </c>
      <c r="EC357">
        <v>9.3465747665443816E-3</v>
      </c>
      <c r="ED357">
        <v>9.101502207114287E-2</v>
      </c>
      <c r="EE357">
        <v>0</v>
      </c>
      <c r="EF357">
        <v>0</v>
      </c>
      <c r="EG357">
        <v>18.10269266055046</v>
      </c>
      <c r="EH357" t="s">
        <v>110</v>
      </c>
      <c r="EI357">
        <v>0</v>
      </c>
      <c r="EJ357">
        <v>0</v>
      </c>
      <c r="EK357">
        <v>0</v>
      </c>
      <c r="EL357">
        <v>0</v>
      </c>
      <c r="EM357">
        <v>0</v>
      </c>
      <c r="EN357">
        <v>0</v>
      </c>
      <c r="EO357">
        <v>0</v>
      </c>
      <c r="EP357">
        <v>0</v>
      </c>
    </row>
    <row r="358" spans="1:146" ht="96" x14ac:dyDescent="0.25">
      <c r="A358" s="7"/>
      <c r="B358" s="7"/>
      <c r="C358" s="7" t="str">
        <f>""&amp;CHAR(10)&amp;Basic_Fundamental_Information_Constructure(F358)&amp;CHAR(10)&amp;Basic_Fundamental_Information_Concatenate("")</f>
        <v xml:space="preserve">
市值485.08289亿, 利润37.27亿; PE13.02; 平均PE33.62; 平均PEG3.5, PB1.1; ROIC10.7033%; ROE10.5133%; 股利率0%; 毛利43.6833%; 净利28.2867%; 上一年度营收增8.41%, 利润增-10.17%, 利润增-25.26%; 过往5年营收增9.6%, 利润增10.6%
Income profile:
</v>
      </c>
      <c r="D358" s="11">
        <v>2269</v>
      </c>
      <c r="E358" t="s">
        <v>4750</v>
      </c>
      <c r="F358">
        <v>11.68</v>
      </c>
      <c r="G358" s="5">
        <v>-4.2599999999999999E-2</v>
      </c>
      <c r="H358" t="s">
        <v>10936</v>
      </c>
      <c r="I358">
        <v>48508289000</v>
      </c>
      <c r="J358">
        <v>13.02</v>
      </c>
      <c r="K358">
        <v>1.1000000000000001</v>
      </c>
      <c r="L358" t="s">
        <v>6350</v>
      </c>
      <c r="M358" t="s">
        <v>9</v>
      </c>
      <c r="N358" t="s">
        <v>9</v>
      </c>
      <c r="O358" t="s">
        <v>9</v>
      </c>
      <c r="P358" t="s">
        <v>9</v>
      </c>
      <c r="Q358" t="s">
        <v>10937</v>
      </c>
      <c r="R358">
        <v>3726782900</v>
      </c>
      <c r="S358" s="5">
        <v>-0.25259999999999999</v>
      </c>
      <c r="T358" t="s">
        <v>3793</v>
      </c>
      <c r="U358">
        <v>4259278200</v>
      </c>
      <c r="V358">
        <v>4259278200</v>
      </c>
      <c r="W358" t="s">
        <v>9</v>
      </c>
      <c r="X358" t="s">
        <v>9</v>
      </c>
      <c r="Y358" t="s">
        <v>9</v>
      </c>
      <c r="Z358" t="s">
        <v>9</v>
      </c>
      <c r="AA358" t="s">
        <v>9</v>
      </c>
      <c r="AB358" t="s">
        <v>9</v>
      </c>
      <c r="AC358" t="s">
        <v>9</v>
      </c>
      <c r="AD358" t="s">
        <v>3752</v>
      </c>
      <c r="AE358" t="s">
        <v>9</v>
      </c>
      <c r="AF358" t="s">
        <v>9</v>
      </c>
      <c r="AG358" t="s">
        <v>9</v>
      </c>
      <c r="AH358" t="s">
        <v>10938</v>
      </c>
      <c r="AI358" t="s">
        <v>9</v>
      </c>
      <c r="AJ358" t="s">
        <v>9</v>
      </c>
      <c r="AK358" t="s">
        <v>10939</v>
      </c>
      <c r="AL358" t="s">
        <v>9</v>
      </c>
      <c r="AM358" t="s">
        <v>9</v>
      </c>
      <c r="AN358" s="5">
        <v>0.222</v>
      </c>
      <c r="AO358" t="s">
        <v>9</v>
      </c>
      <c r="AP358" t="s">
        <v>3673</v>
      </c>
      <c r="AQ358" t="s">
        <v>9</v>
      </c>
      <c r="AR358" t="s">
        <v>4046</v>
      </c>
      <c r="AS358" t="s">
        <v>9</v>
      </c>
      <c r="AT358" t="s">
        <v>9</v>
      </c>
      <c r="AU358" t="s">
        <v>876</v>
      </c>
      <c r="AV358" t="s">
        <v>10940</v>
      </c>
      <c r="AW358" t="s">
        <v>9</v>
      </c>
      <c r="AX358" t="s">
        <v>4751</v>
      </c>
      <c r="AY358" t="s">
        <v>4755</v>
      </c>
      <c r="AZ358" t="s">
        <v>4756</v>
      </c>
      <c r="BA358" t="s">
        <v>3738</v>
      </c>
      <c r="BB358" t="s">
        <v>4717</v>
      </c>
      <c r="BC358" t="s">
        <v>4757</v>
      </c>
      <c r="BD358" t="s">
        <v>4718</v>
      </c>
      <c r="BE358" t="s">
        <v>2648</v>
      </c>
      <c r="BF358" t="s">
        <v>2164</v>
      </c>
      <c r="BG358" t="s">
        <v>866</v>
      </c>
      <c r="BH358" t="s">
        <v>4751</v>
      </c>
      <c r="BI358" t="s">
        <v>9</v>
      </c>
      <c r="BJ358" t="s">
        <v>4755</v>
      </c>
      <c r="BK358" t="s">
        <v>4752</v>
      </c>
      <c r="BL358" t="s">
        <v>9</v>
      </c>
      <c r="BM358" t="s">
        <v>4757</v>
      </c>
      <c r="BN358">
        <v>8.42</v>
      </c>
      <c r="BO358">
        <v>12.06</v>
      </c>
      <c r="BP358">
        <v>11.63</v>
      </c>
      <c r="BQ358">
        <v>8.43</v>
      </c>
      <c r="BR358">
        <v>12.61</v>
      </c>
      <c r="BS358">
        <v>10.5</v>
      </c>
      <c r="BT358" t="s">
        <v>9</v>
      </c>
      <c r="BU358" t="s">
        <v>489</v>
      </c>
      <c r="BV358">
        <v>40.08</v>
      </c>
      <c r="BW358">
        <v>44.04</v>
      </c>
      <c r="BX358">
        <v>46.93</v>
      </c>
      <c r="BY358">
        <v>20.96</v>
      </c>
      <c r="BZ358">
        <v>29.8</v>
      </c>
      <c r="CA358">
        <v>34.1</v>
      </c>
      <c r="CB358">
        <v>-0.34</v>
      </c>
      <c r="CC358">
        <v>-19.45</v>
      </c>
      <c r="CD358" t="s">
        <v>1303</v>
      </c>
      <c r="CE358" t="s">
        <v>4653</v>
      </c>
      <c r="CF358" s="8" t="s">
        <v>9</v>
      </c>
      <c r="CG358" s="9">
        <v>-0.25259999999999999</v>
      </c>
      <c r="CH358" s="8">
        <v>8.4063827991485596E-2</v>
      </c>
      <c r="CI358" s="8">
        <v>0.36706352233886719</v>
      </c>
      <c r="CJ358" s="8">
        <v>0.8836897611618042</v>
      </c>
      <c r="CK358" s="8">
        <v>1.3177406787872314</v>
      </c>
      <c r="CL358" s="8">
        <v>0.48686257004737854</v>
      </c>
      <c r="CM358" s="9">
        <v>-0.10171122848987579</v>
      </c>
      <c r="CN358" s="9">
        <v>1.0611028671264648</v>
      </c>
      <c r="CO358" s="9">
        <v>0.77669906616210938</v>
      </c>
      <c r="CP358" s="9">
        <v>0.57799434661865234</v>
      </c>
      <c r="CQ358" s="9">
        <v>1.3696370124816895</v>
      </c>
      <c r="CR358">
        <v>33.620161025759501</v>
      </c>
      <c r="CS358">
        <v>3.5031103446844774</v>
      </c>
      <c r="CT358">
        <v>0</v>
      </c>
      <c r="CU358" s="8">
        <v>9.5972315222024915E-2</v>
      </c>
      <c r="CV358" s="9">
        <v>0.10602355152368545</v>
      </c>
      <c r="CW358">
        <v>0.06</v>
      </c>
      <c r="CX358">
        <v>12.588177122069451</v>
      </c>
      <c r="CY358">
        <v>3853480017.7664971</v>
      </c>
      <c r="CZ358">
        <v>9.5972315222024915E-2</v>
      </c>
      <c r="DA358">
        <v>4.0929613849548261</v>
      </c>
      <c r="DB358">
        <v>11851636123.006174</v>
      </c>
      <c r="DC358">
        <v>9.1173699460923671E-2</v>
      </c>
      <c r="DD358">
        <v>2.0012674026599928</v>
      </c>
      <c r="DE358">
        <v>24238784350.119835</v>
      </c>
      <c r="DF358">
        <v>8.4455637395381922E-2</v>
      </c>
      <c r="DG358">
        <v>1.1926237998208264</v>
      </c>
      <c r="DH358">
        <v>40673587938.868591</v>
      </c>
      <c r="DI358">
        <v>7.677785217761994E-2</v>
      </c>
      <c r="DJ358">
        <v>0.6057742932339506</v>
      </c>
      <c r="DK358">
        <v>80076506285.924637</v>
      </c>
      <c r="DL358">
        <v>6.7180620655417439E-2</v>
      </c>
      <c r="DM358">
        <v>3727000000.0000005</v>
      </c>
      <c r="DN358">
        <v>9.5972315222024915E-2</v>
      </c>
      <c r="DO358">
        <v>48508289000</v>
      </c>
      <c r="DP358" t="e">
        <v>#VALUE!</v>
      </c>
      <c r="DQ358">
        <v>357</v>
      </c>
      <c r="DR358" t="e">
        <v>#VALUE!</v>
      </c>
      <c r="DS358">
        <v>-0.35862355152368541</v>
      </c>
      <c r="DT358" t="e">
        <v>#VALUE!</v>
      </c>
      <c r="DU358" t="e">
        <v>#VALUE!</v>
      </c>
      <c r="DV358" t="e">
        <v>#VALUE!</v>
      </c>
      <c r="DW358">
        <v>-3.039017857142857</v>
      </c>
      <c r="DX358">
        <v>0.40200428724544407</v>
      </c>
      <c r="DY358">
        <v>-3.0043701672791303</v>
      </c>
      <c r="DZ358">
        <v>0</v>
      </c>
      <c r="EA358">
        <v>-3.0043701672791303</v>
      </c>
      <c r="EB358">
        <v>3</v>
      </c>
      <c r="EC358">
        <v>4.9069347008138607E-2</v>
      </c>
      <c r="ED358">
        <v>0.43810239960376385</v>
      </c>
      <c r="EE358">
        <v>0</v>
      </c>
      <c r="EF358">
        <v>0</v>
      </c>
      <c r="EG358">
        <v>29.112004287245444</v>
      </c>
      <c r="EH358" t="s">
        <v>110</v>
      </c>
      <c r="EI358">
        <v>0</v>
      </c>
      <c r="EJ358">
        <v>0</v>
      </c>
      <c r="EK358">
        <v>0</v>
      </c>
      <c r="EL358">
        <v>0</v>
      </c>
      <c r="EM358">
        <v>0</v>
      </c>
      <c r="EN358">
        <v>0</v>
      </c>
      <c r="EO358">
        <v>0</v>
      </c>
      <c r="EP358">
        <v>0</v>
      </c>
    </row>
    <row r="359" spans="1:146" ht="96" x14ac:dyDescent="0.25">
      <c r="A359" s="7"/>
      <c r="B359" s="7"/>
      <c r="C359" s="7" t="str">
        <f>""&amp;CHAR(10)&amp;Basic_Fundamental_Information_Constructure(F359)&amp;CHAR(10)&amp;Basic_Fundamental_Information_Concatenate("")</f>
        <v xml:space="preserve">
市值93.116983亿, 利润2.76亿; PE33.68; 平均PE-168.38; 平均PEG-187.8, PB3.69; ROIC-21.19%; ROE-3.7167%; 毛利35.3633%; 净利-4.9167%; 上一年度营收增38.95%, 利润增144.44%, 利润增35.51%; 过往5年营收增.9%, 利润增-398.77%
Income profile:
</v>
      </c>
      <c r="D359" s="11">
        <v>2273</v>
      </c>
      <c r="E359" t="s">
        <v>4758</v>
      </c>
      <c r="F359">
        <v>38</v>
      </c>
      <c r="G359" s="5">
        <v>-1.55E-2</v>
      </c>
      <c r="H359" t="s">
        <v>10941</v>
      </c>
      <c r="I359">
        <v>9311698300</v>
      </c>
      <c r="J359">
        <v>33.68</v>
      </c>
      <c r="K359">
        <v>3.69</v>
      </c>
      <c r="L359" t="s">
        <v>6350</v>
      </c>
      <c r="M359" t="s">
        <v>9</v>
      </c>
      <c r="N359" t="s">
        <v>9</v>
      </c>
      <c r="O359" t="s">
        <v>9</v>
      </c>
      <c r="P359" t="s">
        <v>9</v>
      </c>
      <c r="Q359" t="s">
        <v>9497</v>
      </c>
      <c r="R359">
        <v>276463830</v>
      </c>
      <c r="S359" s="5">
        <v>0.35510000000000003</v>
      </c>
      <c r="T359" t="s">
        <v>242</v>
      </c>
      <c r="U359">
        <v>245044690</v>
      </c>
      <c r="V359">
        <v>245044690</v>
      </c>
      <c r="W359" t="s">
        <v>9</v>
      </c>
      <c r="X359" t="s">
        <v>9</v>
      </c>
      <c r="Y359" t="s">
        <v>9</v>
      </c>
      <c r="Z359" t="s">
        <v>9</v>
      </c>
      <c r="AA359" t="s">
        <v>9</v>
      </c>
      <c r="AB359" t="s">
        <v>9</v>
      </c>
      <c r="AC359" t="s">
        <v>9</v>
      </c>
      <c r="AD359" t="s">
        <v>9</v>
      </c>
      <c r="AE359" t="s">
        <v>9</v>
      </c>
      <c r="AF359" t="s">
        <v>9</v>
      </c>
      <c r="AG359" t="s">
        <v>9</v>
      </c>
      <c r="AH359" t="s">
        <v>10942</v>
      </c>
      <c r="AI359" t="s">
        <v>9</v>
      </c>
      <c r="AJ359" t="s">
        <v>9</v>
      </c>
      <c r="AK359" t="s">
        <v>10943</v>
      </c>
      <c r="AL359" t="s">
        <v>9</v>
      </c>
      <c r="AM359" t="s">
        <v>9</v>
      </c>
      <c r="AN359" s="5">
        <v>0.31759999999999999</v>
      </c>
      <c r="AO359" t="s">
        <v>9</v>
      </c>
      <c r="AP359" t="s">
        <v>738</v>
      </c>
      <c r="AQ359" t="s">
        <v>9</v>
      </c>
      <c r="AR359" t="s">
        <v>3743</v>
      </c>
      <c r="AS359" t="s">
        <v>9</v>
      </c>
      <c r="AT359" t="s">
        <v>9</v>
      </c>
      <c r="AU359" t="s">
        <v>3993</v>
      </c>
      <c r="AV359" t="s">
        <v>10944</v>
      </c>
      <c r="AW359" t="s">
        <v>9</v>
      </c>
      <c r="AX359" t="s">
        <v>4759</v>
      </c>
      <c r="AY359" t="s">
        <v>4760</v>
      </c>
      <c r="AZ359" t="s">
        <v>2853</v>
      </c>
      <c r="BA359" t="s">
        <v>1279</v>
      </c>
      <c r="BB359" t="s">
        <v>9</v>
      </c>
      <c r="BC359" t="s">
        <v>4761</v>
      </c>
      <c r="BD359" t="s">
        <v>4762</v>
      </c>
      <c r="BE359" t="s">
        <v>9</v>
      </c>
      <c r="BF359" t="s">
        <v>9</v>
      </c>
      <c r="BG359" t="s">
        <v>9</v>
      </c>
      <c r="BH359" t="s">
        <v>4759</v>
      </c>
      <c r="BI359" t="s">
        <v>9</v>
      </c>
      <c r="BJ359" t="s">
        <v>4760</v>
      </c>
      <c r="BK359" t="s">
        <v>165</v>
      </c>
      <c r="BL359" t="s">
        <v>9</v>
      </c>
      <c r="BM359" t="s">
        <v>4761</v>
      </c>
      <c r="BN359">
        <v>12.27</v>
      </c>
      <c r="BO359">
        <v>10.7</v>
      </c>
      <c r="BP359">
        <v>-86.54</v>
      </c>
      <c r="BQ359">
        <v>10.94</v>
      </c>
      <c r="BR359">
        <v>10.65</v>
      </c>
      <c r="BS359">
        <v>-32.74</v>
      </c>
      <c r="BT359" t="s">
        <v>10945</v>
      </c>
      <c r="BU359" t="s">
        <v>2382</v>
      </c>
      <c r="BV359">
        <v>30.13</v>
      </c>
      <c r="BW359">
        <v>30.75</v>
      </c>
      <c r="BX359">
        <v>45.21</v>
      </c>
      <c r="BY359">
        <v>10.89</v>
      </c>
      <c r="BZ359">
        <v>11.3</v>
      </c>
      <c r="CA359">
        <v>-36.94</v>
      </c>
      <c r="CB359">
        <v>-3.18</v>
      </c>
      <c r="CC359">
        <v>-17.39</v>
      </c>
      <c r="CD359" t="s">
        <v>10946</v>
      </c>
      <c r="CE359" t="s">
        <v>10947</v>
      </c>
      <c r="CF359" s="8" t="s">
        <v>9</v>
      </c>
      <c r="CG359" s="9">
        <v>0.35510000000000003</v>
      </c>
      <c r="CH359" s="8">
        <v>0.38952544331550598</v>
      </c>
      <c r="CI359" s="8">
        <v>9.1071389615535736E-2</v>
      </c>
      <c r="CJ359" s="8">
        <v>0.52311867475509644</v>
      </c>
      <c r="CK359" s="8">
        <v>0.33373647928237915</v>
      </c>
      <c r="CL359" s="8" t="s">
        <v>9</v>
      </c>
      <c r="CM359" s="9">
        <v>1.4444444179534912</v>
      </c>
      <c r="CN359" s="9">
        <v>-1.0360655784606934</v>
      </c>
      <c r="CO359" s="9" t="s">
        <v>9</v>
      </c>
      <c r="CP359" s="9" t="s">
        <v>9</v>
      </c>
      <c r="CQ359" s="9" t="s">
        <v>9</v>
      </c>
      <c r="CR359">
        <v>-168.38234990077018</v>
      </c>
      <c r="CS359">
        <v>-187.80478582787345</v>
      </c>
      <c r="CT359" t="e">
        <v>#VALUE!</v>
      </c>
      <c r="CU359" s="8">
        <v>8.9658178389072415E-3</v>
      </c>
      <c r="CV359" s="9">
        <v>-3.9877345748245716</v>
      </c>
      <c r="CW359">
        <v>0.06</v>
      </c>
      <c r="CX359">
        <v>35.444530355418721</v>
      </c>
      <c r="CY359">
        <v>262711854.45616826</v>
      </c>
      <c r="CZ359">
        <v>8.9658178389072415E-3</v>
      </c>
      <c r="DA359">
        <v>12.413224850546348</v>
      </c>
      <c r="DB359">
        <v>750143368.23119426</v>
      </c>
      <c r="DC359">
        <v>8.5175269469618797E-3</v>
      </c>
      <c r="DD359">
        <v>6.683209262656499</v>
      </c>
      <c r="DE359">
        <v>1393297431.524493</v>
      </c>
      <c r="DF359">
        <v>7.8899196982383721E-3</v>
      </c>
      <c r="DG359">
        <v>4.4213902052607104</v>
      </c>
      <c r="DH359">
        <v>2106056662.657968</v>
      </c>
      <c r="DI359">
        <v>7.1726542711257934E-3</v>
      </c>
      <c r="DJ359">
        <v>2.7855589508109633</v>
      </c>
      <c r="DK359">
        <v>3342847329.5419126</v>
      </c>
      <c r="DL359">
        <v>6.2760724872350689E-3</v>
      </c>
      <c r="DM359">
        <v>276000000</v>
      </c>
      <c r="DN359">
        <v>8.9658178389072415E-3</v>
      </c>
      <c r="DO359">
        <v>9311698300</v>
      </c>
      <c r="DP359" t="e">
        <v>#VALUE!</v>
      </c>
      <c r="DQ359">
        <v>358</v>
      </c>
      <c r="DR359" t="e">
        <v>#VALUE!</v>
      </c>
      <c r="DS359">
        <v>4.3428345748245718</v>
      </c>
      <c r="DT359" t="e">
        <v>#VALUE!</v>
      </c>
      <c r="DU359" t="e">
        <v>#VALUE!</v>
      </c>
      <c r="DV359" t="e">
        <v>#VALUE!</v>
      </c>
      <c r="DW359">
        <v>-8.182863714778609</v>
      </c>
      <c r="DX359">
        <v>0.57852148438178141</v>
      </c>
      <c r="DY359">
        <v>-8.0271591903584856</v>
      </c>
      <c r="DZ359">
        <v>0</v>
      </c>
      <c r="EA359">
        <v>-8.0271591903584856</v>
      </c>
      <c r="EB359">
        <v>8</v>
      </c>
      <c r="EC359">
        <v>1.7461304711397747E-2</v>
      </c>
      <c r="ED359">
        <v>0.11756753431384291</v>
      </c>
      <c r="EE359">
        <v>0</v>
      </c>
      <c r="EF359">
        <v>0</v>
      </c>
      <c r="EG359">
        <v>43.148521484381781</v>
      </c>
      <c r="EH359" t="s">
        <v>110</v>
      </c>
      <c r="EI359">
        <v>0</v>
      </c>
      <c r="EJ359">
        <v>0</v>
      </c>
      <c r="EK359">
        <v>0</v>
      </c>
      <c r="EL359">
        <v>0</v>
      </c>
      <c r="EM359">
        <v>0</v>
      </c>
      <c r="EN359">
        <v>0</v>
      </c>
      <c r="EO359">
        <v>0</v>
      </c>
      <c r="EP359">
        <v>0</v>
      </c>
    </row>
    <row r="360" spans="1:146" ht="96" x14ac:dyDescent="0.25">
      <c r="A360" s="7"/>
      <c r="B360" s="7"/>
      <c r="C360" s="7" t="str">
        <f>""&amp;CHAR(10)&amp;Basic_Fundamental_Information_Constructure(F360)&amp;CHAR(10)&amp;Basic_Fundamental_Information_Concatenate("")</f>
        <v xml:space="preserve">
市值481.16289亿, 利润-52.32亿; PE; 平均PE-151.39; 平均PEG-98.62, PB; ROIC-17.99%; ROE-98.0433%; 股利率0%; 毛利64.52%; 净利-136.8%; 上一年度营收增-46.35%, 利润增-36%, 利润增-36.01%; 过往5年营收增1.54%, 利润增-7.62%
Income profile:
</v>
      </c>
      <c r="D360" s="11">
        <v>2282</v>
      </c>
      <c r="E360" t="s">
        <v>4763</v>
      </c>
      <c r="F360">
        <v>12.66</v>
      </c>
      <c r="G360" s="5">
        <v>8.0000000000000002E-3</v>
      </c>
      <c r="H360" t="s">
        <v>6468</v>
      </c>
      <c r="I360">
        <v>48116289000</v>
      </c>
      <c r="L360" t="s">
        <v>6350</v>
      </c>
      <c r="M360" t="s">
        <v>9</v>
      </c>
      <c r="N360" t="s">
        <v>9</v>
      </c>
      <c r="O360" t="s">
        <v>9</v>
      </c>
      <c r="P360" t="s">
        <v>9</v>
      </c>
      <c r="Q360" t="s">
        <v>4300</v>
      </c>
      <c r="R360">
        <v>-5231911000</v>
      </c>
      <c r="S360" s="5">
        <v>-0.36009999999999998</v>
      </c>
      <c r="T360" t="s">
        <v>4764</v>
      </c>
      <c r="U360">
        <v>3800012300</v>
      </c>
      <c r="V360">
        <v>3800012300</v>
      </c>
      <c r="W360" t="s">
        <v>9</v>
      </c>
      <c r="X360" t="s">
        <v>9</v>
      </c>
      <c r="Y360" t="s">
        <v>9</v>
      </c>
      <c r="Z360" t="s">
        <v>9</v>
      </c>
      <c r="AA360" t="s">
        <v>9</v>
      </c>
      <c r="AB360" t="s">
        <v>9</v>
      </c>
      <c r="AC360" t="s">
        <v>9</v>
      </c>
      <c r="AD360" t="s">
        <v>9</v>
      </c>
      <c r="AE360" t="s">
        <v>9</v>
      </c>
      <c r="AF360" t="s">
        <v>9</v>
      </c>
      <c r="AG360" t="s">
        <v>9</v>
      </c>
      <c r="AH360" t="s">
        <v>4765</v>
      </c>
      <c r="AI360" t="s">
        <v>9</v>
      </c>
      <c r="AJ360" t="s">
        <v>9</v>
      </c>
      <c r="AK360" t="s">
        <v>4766</v>
      </c>
      <c r="AL360" t="s">
        <v>9</v>
      </c>
      <c r="AM360" t="s">
        <v>9</v>
      </c>
      <c r="AN360" s="5">
        <v>1.1281000000000001</v>
      </c>
      <c r="AO360" t="s">
        <v>9</v>
      </c>
      <c r="AP360" t="s">
        <v>4767</v>
      </c>
      <c r="AQ360" t="s">
        <v>9</v>
      </c>
      <c r="AR360" t="s">
        <v>4768</v>
      </c>
      <c r="AS360" t="s">
        <v>9</v>
      </c>
      <c r="AT360" t="s">
        <v>9</v>
      </c>
      <c r="AU360" t="s">
        <v>4769</v>
      </c>
      <c r="AV360" t="s">
        <v>4770</v>
      </c>
      <c r="AW360" t="s">
        <v>9</v>
      </c>
      <c r="AX360" t="s">
        <v>4771</v>
      </c>
      <c r="AY360" t="s">
        <v>4772</v>
      </c>
      <c r="AZ360" t="s">
        <v>4773</v>
      </c>
      <c r="BA360" t="s">
        <v>2519</v>
      </c>
      <c r="BB360" t="s">
        <v>4774</v>
      </c>
      <c r="BC360" t="s">
        <v>4775</v>
      </c>
      <c r="BD360" t="s">
        <v>4776</v>
      </c>
      <c r="BE360" t="s">
        <v>4777</v>
      </c>
      <c r="BF360" t="s">
        <v>2400</v>
      </c>
      <c r="BG360" t="s">
        <v>1079</v>
      </c>
      <c r="BH360" t="s">
        <v>4300</v>
      </c>
      <c r="BI360" t="s">
        <v>9</v>
      </c>
      <c r="BJ360" t="s">
        <v>4771</v>
      </c>
      <c r="BK360" t="s">
        <v>4764</v>
      </c>
      <c r="BL360" t="s">
        <v>9</v>
      </c>
      <c r="BM360" t="s">
        <v>4775</v>
      </c>
      <c r="BN360">
        <v>-19.43</v>
      </c>
      <c r="BO360">
        <v>-15</v>
      </c>
      <c r="BP360">
        <v>-19.54</v>
      </c>
      <c r="BQ360">
        <v>130.91</v>
      </c>
      <c r="BR360">
        <v>-321.38</v>
      </c>
      <c r="BS360">
        <v>-103.66</v>
      </c>
      <c r="BT360" t="s">
        <v>4778</v>
      </c>
      <c r="BU360" t="s">
        <v>567</v>
      </c>
      <c r="BV360">
        <v>100</v>
      </c>
      <c r="BW360">
        <v>48.41</v>
      </c>
      <c r="BX360">
        <v>45.15</v>
      </c>
      <c r="BY360">
        <v>-244.97</v>
      </c>
      <c r="BZ360">
        <v>-46.78</v>
      </c>
      <c r="CA360">
        <v>-118.65</v>
      </c>
      <c r="CB360">
        <v>1.1200000000000001</v>
      </c>
      <c r="CC360">
        <v>21.26</v>
      </c>
      <c r="CD360" t="s">
        <v>6469</v>
      </c>
      <c r="CE360" t="s">
        <v>4710</v>
      </c>
      <c r="CF360" s="8" t="s">
        <v>9</v>
      </c>
      <c r="CG360" s="9">
        <v>-0.36009999999999998</v>
      </c>
      <c r="CH360" s="8">
        <v>-0.46345138549804688</v>
      </c>
      <c r="CI360" s="8">
        <v>1.0116219520568848</v>
      </c>
      <c r="CJ360" s="8">
        <v>-0.79822593927383423</v>
      </c>
      <c r="CK360" s="8">
        <v>0.22938081622123718</v>
      </c>
      <c r="CL360" s="8">
        <v>0.25776442885398865</v>
      </c>
      <c r="CM360" s="9">
        <v>-0.36002078652381897</v>
      </c>
      <c r="CN360" s="9">
        <v>0.26047670841217041</v>
      </c>
      <c r="CO360" s="9">
        <v>-3.6939408779144287</v>
      </c>
      <c r="CP360" s="9">
        <v>0.80805236101150513</v>
      </c>
      <c r="CQ360" s="9">
        <v>-0.53965514898300171</v>
      </c>
      <c r="CR360">
        <v>-151.38842894598847</v>
      </c>
      <c r="CS360">
        <v>-98.616786042482985</v>
      </c>
      <c r="CT360">
        <v>0</v>
      </c>
      <c r="CU360" s="8">
        <v>1.5351182594895364E-2</v>
      </c>
      <c r="CV360" s="9">
        <v>-7.6187757402658457E-2</v>
      </c>
      <c r="CW360">
        <v>0.06</v>
      </c>
      <c r="CX360" t="e">
        <v>#VALUE!</v>
      </c>
      <c r="CY360" t="s">
        <v>109</v>
      </c>
      <c r="CZ360">
        <v>1.5351182594895364E-2</v>
      </c>
      <c r="DA360" t="e">
        <v>#VALUE!</v>
      </c>
      <c r="DB360" t="s">
        <v>108</v>
      </c>
      <c r="DC360">
        <v>1.4583623465150596E-2</v>
      </c>
      <c r="DD360" t="e">
        <v>#VALUE!</v>
      </c>
      <c r="DE360" t="s">
        <v>108</v>
      </c>
      <c r="DF360">
        <v>1.350904068350792E-2</v>
      </c>
      <c r="DG360" t="e">
        <v>#VALUE!</v>
      </c>
      <c r="DH360" t="s">
        <v>108</v>
      </c>
      <c r="DI360">
        <v>1.2280946075916292E-2</v>
      </c>
      <c r="DJ360" t="e">
        <v>#VALUE!</v>
      </c>
      <c r="DK360" t="s">
        <v>108</v>
      </c>
      <c r="DL360">
        <v>1.0745827816426754E-2</v>
      </c>
      <c r="DM360">
        <v>-5232000000</v>
      </c>
      <c r="DN360">
        <v>1.5351182594895364E-2</v>
      </c>
      <c r="DO360">
        <v>48116289000</v>
      </c>
      <c r="DP360" t="e">
        <v>#VALUE!</v>
      </c>
      <c r="DQ360">
        <v>365</v>
      </c>
      <c r="DR360" t="e">
        <v>#VALUE!</v>
      </c>
      <c r="DS360">
        <v>-0.28391224259734149</v>
      </c>
      <c r="DT360" t="e">
        <v>#VALUE!</v>
      </c>
      <c r="DU360" t="e">
        <v>#VALUE!</v>
      </c>
      <c r="DV360" t="e">
        <v>#VALUE!</v>
      </c>
      <c r="DW360">
        <v>3.0594880952380952</v>
      </c>
      <c r="DX360">
        <v>0.33963227513227651</v>
      </c>
      <c r="DY360">
        <v>3.0089013390337618</v>
      </c>
      <c r="DZ360">
        <v>0</v>
      </c>
      <c r="EA360">
        <v>3.0089013390337618</v>
      </c>
      <c r="EB360">
        <v>3</v>
      </c>
      <c r="EC360">
        <v>7.4422127528376682E-3</v>
      </c>
      <c r="ED360">
        <v>4.9736681115479547E-2</v>
      </c>
      <c r="EE360">
        <v>0</v>
      </c>
      <c r="EF360">
        <v>0</v>
      </c>
      <c r="EG360">
        <v>19.149632275132277</v>
      </c>
      <c r="EH360" t="s">
        <v>110</v>
      </c>
      <c r="EI360">
        <v>0</v>
      </c>
      <c r="EJ360">
        <v>0</v>
      </c>
      <c r="EK360">
        <v>0</v>
      </c>
      <c r="EL360">
        <v>0</v>
      </c>
      <c r="EM360">
        <v>0</v>
      </c>
      <c r="EN360">
        <v>0</v>
      </c>
      <c r="EO360">
        <v>0</v>
      </c>
      <c r="EP360">
        <v>0</v>
      </c>
    </row>
    <row r="361" spans="1:146" ht="96" x14ac:dyDescent="0.25">
      <c r="A361" s="7"/>
      <c r="B361" s="7"/>
      <c r="C361" s="7" t="str">
        <f>""&amp;CHAR(10)&amp;Basic_Fundamental_Information_Constructure(F361)&amp;CHAR(10)&amp;Basic_Fundamental_Information_Concatenate("")</f>
        <v xml:space="preserve">
市值91.580843亿, 利润-2.90亿; PE; 平均PE18.77; 平均PEG.66, PB1.22; ROIC8.0067%; ROE9.6667%; 股利率0%; 毛利28.8767%; 净利4.2733%; 上一年度营收增-30.87%, 利润增-125.73%, 利润增-126.7%; 过往5年营收增28.3%, 利润增23.92%
Income profile:
</v>
      </c>
      <c r="D361" s="11">
        <v>2285</v>
      </c>
      <c r="E361" t="s">
        <v>4779</v>
      </c>
      <c r="F361">
        <v>17.920000000000002</v>
      </c>
      <c r="G361" s="5">
        <v>-3.0300000000000001E-2</v>
      </c>
      <c r="H361" t="s">
        <v>10948</v>
      </c>
      <c r="I361">
        <v>9158084300</v>
      </c>
      <c r="K361">
        <v>1.22</v>
      </c>
      <c r="L361" t="s">
        <v>6350</v>
      </c>
      <c r="M361" t="s">
        <v>9</v>
      </c>
      <c r="N361" t="s">
        <v>9</v>
      </c>
      <c r="O361" t="s">
        <v>9</v>
      </c>
      <c r="P361" t="s">
        <v>9</v>
      </c>
      <c r="Q361" t="s">
        <v>10949</v>
      </c>
      <c r="R361">
        <v>-290077110</v>
      </c>
      <c r="S361" s="5">
        <v>-1.2669999999999999</v>
      </c>
      <c r="T361" t="s">
        <v>3159</v>
      </c>
      <c r="U361">
        <v>511053810</v>
      </c>
      <c r="V361">
        <v>511053810</v>
      </c>
      <c r="W361" t="s">
        <v>9</v>
      </c>
      <c r="X361" t="s">
        <v>9</v>
      </c>
      <c r="Y361" t="s">
        <v>9</v>
      </c>
      <c r="Z361" t="s">
        <v>9</v>
      </c>
      <c r="AA361" t="s">
        <v>9</v>
      </c>
      <c r="AB361" t="s">
        <v>9</v>
      </c>
      <c r="AC361" t="s">
        <v>9</v>
      </c>
      <c r="AD361" t="s">
        <v>10950</v>
      </c>
      <c r="AE361" t="s">
        <v>9</v>
      </c>
      <c r="AF361" t="s">
        <v>9</v>
      </c>
      <c r="AG361" t="s">
        <v>9</v>
      </c>
      <c r="AH361" t="s">
        <v>10951</v>
      </c>
      <c r="AI361" t="s">
        <v>9</v>
      </c>
      <c r="AJ361" t="s">
        <v>9</v>
      </c>
      <c r="AK361" t="s">
        <v>10952</v>
      </c>
      <c r="AL361" t="s">
        <v>9</v>
      </c>
      <c r="AM361" t="s">
        <v>9</v>
      </c>
      <c r="AN361" s="5">
        <v>0.4652</v>
      </c>
      <c r="AO361" t="s">
        <v>9</v>
      </c>
      <c r="AP361" t="s">
        <v>4581</v>
      </c>
      <c r="AQ361" t="s">
        <v>9</v>
      </c>
      <c r="AR361" t="s">
        <v>1695</v>
      </c>
      <c r="AS361" t="s">
        <v>9</v>
      </c>
      <c r="AT361" t="s">
        <v>9</v>
      </c>
      <c r="AU361" t="s">
        <v>10953</v>
      </c>
      <c r="AV361" t="s">
        <v>4639</v>
      </c>
      <c r="AW361" t="s">
        <v>9</v>
      </c>
      <c r="AX361" t="s">
        <v>4780</v>
      </c>
      <c r="AY361" t="s">
        <v>4782</v>
      </c>
      <c r="AZ361" t="s">
        <v>4783</v>
      </c>
      <c r="BA361" t="s">
        <v>4784</v>
      </c>
      <c r="BB361" t="s">
        <v>9</v>
      </c>
      <c r="BC361" t="s">
        <v>2676</v>
      </c>
      <c r="BD361" t="s">
        <v>50</v>
      </c>
      <c r="BE361" t="s">
        <v>9</v>
      </c>
      <c r="BF361" t="s">
        <v>9</v>
      </c>
      <c r="BG361" t="s">
        <v>9</v>
      </c>
      <c r="BH361" t="s">
        <v>4780</v>
      </c>
      <c r="BI361" t="s">
        <v>9</v>
      </c>
      <c r="BJ361" t="s">
        <v>4782</v>
      </c>
      <c r="BK361" t="s">
        <v>3660</v>
      </c>
      <c r="BL361" t="s">
        <v>9</v>
      </c>
      <c r="BM361" t="s">
        <v>2676</v>
      </c>
      <c r="BN361">
        <v>-2.9</v>
      </c>
      <c r="BO361">
        <v>11.11</v>
      </c>
      <c r="BP361">
        <v>15.81</v>
      </c>
      <c r="BQ361">
        <v>-3.87</v>
      </c>
      <c r="BR361">
        <v>14.73</v>
      </c>
      <c r="BS361">
        <v>18.14</v>
      </c>
      <c r="BT361" t="s">
        <v>3606</v>
      </c>
      <c r="BU361" t="s">
        <v>1987</v>
      </c>
      <c r="BV361">
        <v>28.14</v>
      </c>
      <c r="BW361">
        <v>30.36</v>
      </c>
      <c r="BX361">
        <v>28.13</v>
      </c>
      <c r="BY361">
        <v>-2.7</v>
      </c>
      <c r="BZ361">
        <v>7</v>
      </c>
      <c r="CA361">
        <v>8.52</v>
      </c>
      <c r="CB361">
        <v>-6.08</v>
      </c>
      <c r="CC361">
        <v>-34.049999999999997</v>
      </c>
      <c r="CD361" t="s">
        <v>10954</v>
      </c>
      <c r="CE361" t="s">
        <v>10955</v>
      </c>
      <c r="CF361" s="8" t="s">
        <v>9</v>
      </c>
      <c r="CG361" s="9">
        <v>-1.2669999999999999</v>
      </c>
      <c r="CH361" s="8">
        <v>-0.30865311622619629</v>
      </c>
      <c r="CI361" s="8">
        <v>0.13314367830753326</v>
      </c>
      <c r="CJ361" s="8">
        <v>0.47212979197502136</v>
      </c>
      <c r="CK361" s="8">
        <v>0.72075402736663818</v>
      </c>
      <c r="CL361" s="8" t="s">
        <v>9</v>
      </c>
      <c r="CM361" s="9">
        <v>-1.2573202848434448</v>
      </c>
      <c r="CN361" s="9">
        <v>2.27616286277771</v>
      </c>
      <c r="CO361" s="9" t="s">
        <v>9</v>
      </c>
      <c r="CP361" s="9" t="s">
        <v>9</v>
      </c>
      <c r="CQ361" s="9" t="s">
        <v>9</v>
      </c>
      <c r="CR361">
        <v>18.766566188524589</v>
      </c>
      <c r="CS361">
        <v>0.66321442688898991</v>
      </c>
      <c r="CT361">
        <v>0</v>
      </c>
      <c r="CU361" s="8">
        <v>0.28296378105878828</v>
      </c>
      <c r="CV361" s="9">
        <v>0.23915629982948303</v>
      </c>
      <c r="CW361">
        <v>0.06</v>
      </c>
      <c r="CX361" t="e">
        <v>#VALUE!</v>
      </c>
      <c r="CY361" t="s">
        <v>109</v>
      </c>
      <c r="CZ361">
        <v>0.28296378105878828</v>
      </c>
      <c r="DA361" t="e">
        <v>#VALUE!</v>
      </c>
      <c r="DB361" t="s">
        <v>108</v>
      </c>
      <c r="DC361">
        <v>0.26881559200584887</v>
      </c>
      <c r="DD361" t="e">
        <v>#VALUE!</v>
      </c>
      <c r="DE361" t="s">
        <v>108</v>
      </c>
      <c r="DF361">
        <v>0.24900812733173369</v>
      </c>
      <c r="DG361" t="e">
        <v>#VALUE!</v>
      </c>
      <c r="DH361" t="s">
        <v>108</v>
      </c>
      <c r="DI361">
        <v>0.22637102484703064</v>
      </c>
      <c r="DJ361" t="e">
        <v>#VALUE!</v>
      </c>
      <c r="DK361" t="s">
        <v>108</v>
      </c>
      <c r="DL361">
        <v>0.19807464674115177</v>
      </c>
      <c r="DM361">
        <v>-290000000</v>
      </c>
      <c r="DN361">
        <v>0.28296378105878828</v>
      </c>
      <c r="DO361">
        <v>9158084300</v>
      </c>
      <c r="DP361" t="e">
        <v>#VALUE!</v>
      </c>
      <c r="DQ361">
        <v>360</v>
      </c>
      <c r="DR361" t="e">
        <v>#VALUE!</v>
      </c>
      <c r="DS361">
        <v>-1.5061562998294828</v>
      </c>
      <c r="DT361" t="e">
        <v>#VALUE!</v>
      </c>
      <c r="DU361" t="e">
        <v>#VALUE!</v>
      </c>
      <c r="DV361" t="e">
        <v>#VALUE!</v>
      </c>
      <c r="DW361">
        <v>-9.1785609397944192</v>
      </c>
      <c r="DX361">
        <v>0.95126340216784344</v>
      </c>
      <c r="DY361">
        <v>-9.0323665634414247</v>
      </c>
      <c r="DZ361">
        <v>0</v>
      </c>
      <c r="EA361">
        <v>-9.0323665634414247</v>
      </c>
      <c r="EB361">
        <v>9</v>
      </c>
      <c r="EC361">
        <v>9.6596481689472189E-3</v>
      </c>
      <c r="ED361">
        <v>5.3290670115540277E-2</v>
      </c>
      <c r="EE361">
        <v>0</v>
      </c>
      <c r="EF361">
        <v>0</v>
      </c>
      <c r="EG361">
        <v>77.181263402167843</v>
      </c>
      <c r="EH361" t="s">
        <v>110</v>
      </c>
      <c r="EI361">
        <v>0</v>
      </c>
      <c r="EJ361">
        <v>0</v>
      </c>
      <c r="EK361">
        <v>0</v>
      </c>
      <c r="EL361">
        <v>0</v>
      </c>
      <c r="EM361">
        <v>0</v>
      </c>
      <c r="EN361">
        <v>0</v>
      </c>
      <c r="EO361">
        <v>0</v>
      </c>
      <c r="EP361">
        <v>0</v>
      </c>
    </row>
    <row r="362" spans="1:146" ht="96" x14ac:dyDescent="0.25">
      <c r="A362" s="7"/>
      <c r="B362" s="7"/>
      <c r="C362" s="7" t="str">
        <f>""&amp;CHAR(10)&amp;Basic_Fundamental_Information_Constructure(F362)&amp;CHAR(10)&amp;Basic_Fundamental_Information_Concatenate("")</f>
        <v xml:space="preserve">
市值62.414999亿, 利润1.66亿; PE37.57; 平均PE-20.8; 平均PEG-.96, PB2.96; ROIC3.2%; ROE7.32%; 股利率0%; 毛利88.66%; 净利19.25%; 上一年度营收增27.96%, 利润增130.96%, 利润增843.2%; 过往5年营收增-21.7%, 利润增-121.3%
Income profile:
</v>
      </c>
      <c r="D362" s="11">
        <v>2291</v>
      </c>
      <c r="E362" t="s">
        <v>4785</v>
      </c>
      <c r="F362">
        <v>18</v>
      </c>
      <c r="G362" s="5">
        <v>4.53E-2</v>
      </c>
      <c r="H362" t="s">
        <v>10956</v>
      </c>
      <c r="I362">
        <v>6241499900</v>
      </c>
      <c r="J362">
        <v>37.57</v>
      </c>
      <c r="K362">
        <v>2.96</v>
      </c>
      <c r="L362" t="s">
        <v>6350</v>
      </c>
      <c r="M362" t="s">
        <v>9</v>
      </c>
      <c r="N362" t="s">
        <v>9</v>
      </c>
      <c r="O362" t="s">
        <v>9</v>
      </c>
      <c r="P362" t="s">
        <v>9</v>
      </c>
      <c r="Q362" t="s">
        <v>3826</v>
      </c>
      <c r="R362">
        <v>166109380</v>
      </c>
      <c r="S362" s="5">
        <v>8.4320000000000004</v>
      </c>
      <c r="T362" t="s">
        <v>41</v>
      </c>
      <c r="U362">
        <v>346750000</v>
      </c>
      <c r="V362">
        <v>346750000</v>
      </c>
      <c r="W362" t="s">
        <v>9</v>
      </c>
      <c r="X362" t="s">
        <v>9</v>
      </c>
      <c r="Y362" t="s">
        <v>9</v>
      </c>
      <c r="Z362" t="s">
        <v>9</v>
      </c>
      <c r="AA362" t="s">
        <v>9</v>
      </c>
      <c r="AB362" t="s">
        <v>9</v>
      </c>
      <c r="AC362" t="s">
        <v>9</v>
      </c>
      <c r="AD362" t="s">
        <v>10957</v>
      </c>
      <c r="AE362" t="s">
        <v>9</v>
      </c>
      <c r="AF362" t="s">
        <v>9</v>
      </c>
      <c r="AG362" t="s">
        <v>9</v>
      </c>
      <c r="AH362" t="s">
        <v>10958</v>
      </c>
      <c r="AI362" t="s">
        <v>9</v>
      </c>
      <c r="AJ362" t="s">
        <v>9</v>
      </c>
      <c r="AK362" t="s">
        <v>10959</v>
      </c>
      <c r="AL362" t="s">
        <v>9</v>
      </c>
      <c r="AM362" t="s">
        <v>9</v>
      </c>
      <c r="AN362" s="5">
        <v>3.0099999999999998E-2</v>
      </c>
      <c r="AO362" t="s">
        <v>9</v>
      </c>
      <c r="AP362" t="s">
        <v>10960</v>
      </c>
      <c r="AQ362" t="s">
        <v>9</v>
      </c>
      <c r="AR362" t="s">
        <v>10961</v>
      </c>
      <c r="AS362" t="s">
        <v>9</v>
      </c>
      <c r="AT362" t="s">
        <v>9</v>
      </c>
      <c r="AU362" t="s">
        <v>572</v>
      </c>
      <c r="AV362" t="s">
        <v>30</v>
      </c>
      <c r="AW362" t="s">
        <v>9</v>
      </c>
      <c r="AX362" t="s">
        <v>3690</v>
      </c>
      <c r="AY362" t="s">
        <v>2854</v>
      </c>
      <c r="AZ362" t="s">
        <v>117</v>
      </c>
      <c r="BA362" t="s">
        <v>2049</v>
      </c>
      <c r="BB362" t="s">
        <v>9</v>
      </c>
      <c r="BC362" t="s">
        <v>10962</v>
      </c>
      <c r="BD362" t="s">
        <v>10963</v>
      </c>
      <c r="BE362" t="s">
        <v>9</v>
      </c>
      <c r="BF362" t="s">
        <v>9</v>
      </c>
      <c r="BG362" t="s">
        <v>9</v>
      </c>
      <c r="BH362" t="s">
        <v>3690</v>
      </c>
      <c r="BI362" t="s">
        <v>9</v>
      </c>
      <c r="BJ362" t="s">
        <v>2854</v>
      </c>
      <c r="BK362" t="s">
        <v>4786</v>
      </c>
      <c r="BL362" t="s">
        <v>9</v>
      </c>
      <c r="BM362" t="s">
        <v>10962</v>
      </c>
      <c r="BN362">
        <v>8.26</v>
      </c>
      <c r="BO362">
        <v>-1.86</v>
      </c>
      <c r="BP362" t="s">
        <v>9</v>
      </c>
      <c r="BQ362">
        <v>7.86</v>
      </c>
      <c r="BR362">
        <v>-1.1399999999999999</v>
      </c>
      <c r="BS362">
        <v>15.24</v>
      </c>
      <c r="BT362" t="s">
        <v>9</v>
      </c>
      <c r="BU362" t="s">
        <v>2382</v>
      </c>
      <c r="BV362">
        <v>88.62</v>
      </c>
      <c r="BW362">
        <v>88.7</v>
      </c>
      <c r="BX362" t="s">
        <v>9</v>
      </c>
      <c r="BY362">
        <v>46.5</v>
      </c>
      <c r="BZ362">
        <v>-8</v>
      </c>
      <c r="CA362" t="s">
        <v>9</v>
      </c>
      <c r="CB362">
        <v>-2.2799999999999998</v>
      </c>
      <c r="CC362">
        <v>-14.18</v>
      </c>
      <c r="CD362" t="s">
        <v>10964</v>
      </c>
      <c r="CE362" t="s">
        <v>6398</v>
      </c>
      <c r="CF362" s="8" t="s">
        <v>9</v>
      </c>
      <c r="CG362" s="9">
        <v>8.4320000000000004</v>
      </c>
      <c r="CH362" s="8">
        <v>0.27956989407539368</v>
      </c>
      <c r="CI362" s="8">
        <v>2.1978022530674934E-2</v>
      </c>
      <c r="CJ362" s="8">
        <v>0.54237288236618042</v>
      </c>
      <c r="CK362" s="8">
        <v>0.56637167930603027</v>
      </c>
      <c r="CL362" s="8" t="s">
        <v>9</v>
      </c>
      <c r="CM362" s="9">
        <v>1.3095813989639282</v>
      </c>
      <c r="CN362" s="9">
        <v>-0.1231534332036972</v>
      </c>
      <c r="CO362" s="9" t="s">
        <v>9</v>
      </c>
      <c r="CP362" s="9" t="s">
        <v>9</v>
      </c>
      <c r="CQ362" s="9" t="s">
        <v>9</v>
      </c>
      <c r="CR362">
        <v>-20.804999666666667</v>
      </c>
      <c r="CS362">
        <v>-0.95865840459679741</v>
      </c>
      <c r="CT362">
        <v>0</v>
      </c>
      <c r="CU362" s="8">
        <v>-0.21702203378081322</v>
      </c>
      <c r="CV362" s="9">
        <v>-1.2129639774560927</v>
      </c>
      <c r="CW362">
        <v>0.06</v>
      </c>
      <c r="CX362">
        <v>37.599396987951806</v>
      </c>
      <c r="CY362" t="s">
        <v>10965</v>
      </c>
      <c r="CZ362">
        <v>-0.21702203378081322</v>
      </c>
      <c r="DA362">
        <v>12.533132329317269</v>
      </c>
      <c r="DB362" t="s">
        <v>10966</v>
      </c>
      <c r="DC362">
        <v>-0.20617093209177256</v>
      </c>
      <c r="DD362">
        <v>6.2665661646586344</v>
      </c>
      <c r="DE362" t="s">
        <v>10967</v>
      </c>
      <c r="DF362">
        <v>-0.19097938972711564</v>
      </c>
      <c r="DG362">
        <v>3.7599396987951805</v>
      </c>
      <c r="DH362" t="s">
        <v>10968</v>
      </c>
      <c r="DI362">
        <v>-0.17361762702465058</v>
      </c>
      <c r="DJ362">
        <v>1.8799698493975903</v>
      </c>
      <c r="DK362" t="s">
        <v>10969</v>
      </c>
      <c r="DL362">
        <v>-0.15191542364656924</v>
      </c>
      <c r="DM362">
        <v>166000000</v>
      </c>
      <c r="DN362">
        <v>-0.21702203378081322</v>
      </c>
      <c r="DO362">
        <v>6241499900</v>
      </c>
      <c r="DP362" t="e">
        <v>#VALUE!</v>
      </c>
      <c r="DQ362">
        <v>361</v>
      </c>
      <c r="DR362" t="e">
        <v>#VALUE!</v>
      </c>
      <c r="DS362">
        <v>9.6449639774560936</v>
      </c>
      <c r="DT362" t="e">
        <v>#VALUE!</v>
      </c>
      <c r="DU362" t="e">
        <v>#VALUE!</v>
      </c>
      <c r="DV362" t="e">
        <v>#VALUE!</v>
      </c>
      <c r="DW362">
        <v>-2.1417999999999999</v>
      </c>
      <c r="DX362">
        <v>0.56349770892428208</v>
      </c>
      <c r="DY362">
        <v>-2.0132579751254638</v>
      </c>
      <c r="DZ362">
        <v>0</v>
      </c>
      <c r="EA362">
        <v>-2.0132579751254638</v>
      </c>
      <c r="EB362">
        <v>2</v>
      </c>
      <c r="EC362">
        <v>2.4715212689257388E-3</v>
      </c>
      <c r="ED362">
        <v>2.6434030281182408E-2</v>
      </c>
      <c r="EE362">
        <v>0</v>
      </c>
      <c r="EF362">
        <v>0</v>
      </c>
      <c r="EG362">
        <v>47.093497708924282</v>
      </c>
      <c r="EH362" t="s">
        <v>110</v>
      </c>
      <c r="EI362">
        <v>0</v>
      </c>
      <c r="EJ362">
        <v>0</v>
      </c>
      <c r="EK362">
        <v>0</v>
      </c>
      <c r="EL362">
        <v>0</v>
      </c>
      <c r="EM362">
        <v>0</v>
      </c>
      <c r="EN362">
        <v>0</v>
      </c>
      <c r="EO362">
        <v>0</v>
      </c>
      <c r="EP362">
        <v>0</v>
      </c>
    </row>
    <row r="363" spans="1:146" ht="96" x14ac:dyDescent="0.25">
      <c r="A363" s="7"/>
      <c r="B363" s="7"/>
      <c r="C363" s="7" t="str">
        <f>""&amp;CHAR(10)&amp;Basic_Fundamental_Information_Constructure(F363)&amp;CHAR(10)&amp;Basic_Fundamental_Information_Concatenate("")</f>
        <v xml:space="preserve">
市值1149.96513亿, 利润49.96亿; PE23.02; 平均PE142.57; 平均PEG13.57, PB3.19; ROIC10.57%; ROE13.6167%; 股利率0%; 毛利23.5333%; 净利16.2733%; 上一年度营收增-12.66%, 利润增21%, 利润增-2.95%; 过往5年营收增-10.51%, 利润增-108.02%
Income profile:
</v>
      </c>
      <c r="D363" s="11">
        <v>2313</v>
      </c>
      <c r="E363" t="s">
        <v>4788</v>
      </c>
      <c r="F363">
        <v>76.5</v>
      </c>
      <c r="G363" s="5">
        <v>-2.6100000000000002E-2</v>
      </c>
      <c r="H363" t="s">
        <v>10970</v>
      </c>
      <c r="I363">
        <v>114996513000</v>
      </c>
      <c r="J363">
        <v>23.02</v>
      </c>
      <c r="K363">
        <v>3.19</v>
      </c>
      <c r="L363" t="s">
        <v>6350</v>
      </c>
      <c r="M363" t="s">
        <v>9</v>
      </c>
      <c r="N363" t="s">
        <v>9</v>
      </c>
      <c r="O363" t="s">
        <v>9</v>
      </c>
      <c r="P363" t="s">
        <v>9</v>
      </c>
      <c r="Q363" t="s">
        <v>10971</v>
      </c>
      <c r="R363">
        <v>4995671700</v>
      </c>
      <c r="S363" s="5">
        <v>-2.9499999999999998E-2</v>
      </c>
      <c r="T363" t="s">
        <v>5967</v>
      </c>
      <c r="U363">
        <v>1503222400</v>
      </c>
      <c r="V363">
        <v>1503222400</v>
      </c>
      <c r="W363" t="s">
        <v>9</v>
      </c>
      <c r="X363" t="s">
        <v>9</v>
      </c>
      <c r="Y363" t="s">
        <v>9</v>
      </c>
      <c r="Z363" t="s">
        <v>9</v>
      </c>
      <c r="AA363" t="s">
        <v>9</v>
      </c>
      <c r="AB363" t="s">
        <v>9</v>
      </c>
      <c r="AC363" t="s">
        <v>9</v>
      </c>
      <c r="AD363" t="s">
        <v>9</v>
      </c>
      <c r="AE363" t="s">
        <v>9</v>
      </c>
      <c r="AF363" t="s">
        <v>9</v>
      </c>
      <c r="AG363" t="s">
        <v>9</v>
      </c>
      <c r="AH363" t="s">
        <v>10972</v>
      </c>
      <c r="AI363" t="s">
        <v>9</v>
      </c>
      <c r="AJ363" t="s">
        <v>9</v>
      </c>
      <c r="AK363" t="s">
        <v>10973</v>
      </c>
      <c r="AL363" t="s">
        <v>9</v>
      </c>
      <c r="AM363" t="s">
        <v>9</v>
      </c>
      <c r="AN363" s="5">
        <v>0.32390000000000002</v>
      </c>
      <c r="AO363" t="s">
        <v>9</v>
      </c>
      <c r="AP363" t="s">
        <v>5728</v>
      </c>
      <c r="AQ363" t="s">
        <v>9</v>
      </c>
      <c r="AR363" t="s">
        <v>10974</v>
      </c>
      <c r="AS363" t="s">
        <v>9</v>
      </c>
      <c r="AT363" t="s">
        <v>9</v>
      </c>
      <c r="AU363" t="s">
        <v>4284</v>
      </c>
      <c r="AV363" t="s">
        <v>10975</v>
      </c>
      <c r="AW363" t="s">
        <v>9</v>
      </c>
      <c r="AX363" t="s">
        <v>4789</v>
      </c>
      <c r="AY363" t="s">
        <v>4058</v>
      </c>
      <c r="AZ363" t="s">
        <v>4792</v>
      </c>
      <c r="BA363" t="s">
        <v>4793</v>
      </c>
      <c r="BB363" t="s">
        <v>4794</v>
      </c>
      <c r="BC363" t="s">
        <v>4795</v>
      </c>
      <c r="BD363" t="s">
        <v>4796</v>
      </c>
      <c r="BE363" t="s">
        <v>4797</v>
      </c>
      <c r="BF363" t="s">
        <v>2375</v>
      </c>
      <c r="BG363" t="s">
        <v>4798</v>
      </c>
      <c r="BH363" t="s">
        <v>4789</v>
      </c>
      <c r="BI363" t="s">
        <v>9</v>
      </c>
      <c r="BJ363" t="s">
        <v>4058</v>
      </c>
      <c r="BK363" t="s">
        <v>4790</v>
      </c>
      <c r="BL363" t="s">
        <v>9</v>
      </c>
      <c r="BM363" t="s">
        <v>4795</v>
      </c>
      <c r="BN363">
        <v>10.73</v>
      </c>
      <c r="BO363">
        <v>11.65</v>
      </c>
      <c r="BP363">
        <v>9.33</v>
      </c>
      <c r="BQ363">
        <v>13.87</v>
      </c>
      <c r="BR363">
        <v>14.84</v>
      </c>
      <c r="BS363">
        <v>12.14</v>
      </c>
      <c r="BT363" t="s">
        <v>10976</v>
      </c>
      <c r="BU363" t="s">
        <v>1004</v>
      </c>
      <c r="BV363">
        <v>24.27</v>
      </c>
      <c r="BW363">
        <v>22.05</v>
      </c>
      <c r="BX363">
        <v>24.28</v>
      </c>
      <c r="BY363">
        <v>18.25</v>
      </c>
      <c r="BZ363">
        <v>16.43</v>
      </c>
      <c r="CA363">
        <v>14.14</v>
      </c>
      <c r="CB363">
        <v>-5.61</v>
      </c>
      <c r="CC363">
        <v>-8.4600000000000009</v>
      </c>
      <c r="CD363" t="s">
        <v>10977</v>
      </c>
      <c r="CE363" t="s">
        <v>30</v>
      </c>
      <c r="CF363" s="8" t="s">
        <v>9</v>
      </c>
      <c r="CG363" s="9">
        <v>-2.9499999999999998E-2</v>
      </c>
      <c r="CH363" s="8">
        <v>-0.1266113668680191</v>
      </c>
      <c r="CI363" s="8">
        <v>7.336115837097168E-2</v>
      </c>
      <c r="CJ363" s="8">
        <v>6.3679449260234833E-2</v>
      </c>
      <c r="CK363" s="8">
        <v>0.15075036883354187</v>
      </c>
      <c r="CL363" s="8">
        <v>0.10017527639865875</v>
      </c>
      <c r="CM363" s="9">
        <v>0.20997816324234009</v>
      </c>
      <c r="CN363" s="9">
        <v>-0.32166916131973267</v>
      </c>
      <c r="CO363" s="9">
        <v>6.9020010530948639E-2</v>
      </c>
      <c r="CP363" s="9">
        <v>0.10135401785373688</v>
      </c>
      <c r="CQ363" s="9">
        <v>0.14608730375766754</v>
      </c>
      <c r="CR363">
        <v>142.56797335691576</v>
      </c>
      <c r="CS363">
        <v>13.56807823462959</v>
      </c>
      <c r="CT363">
        <v>0</v>
      </c>
      <c r="CU363" s="8">
        <v>-0.10507602542638779</v>
      </c>
      <c r="CV363" s="9">
        <v>-1.080195738375187</v>
      </c>
      <c r="CW363">
        <v>0.06</v>
      </c>
      <c r="CX363">
        <v>23.017716773418734</v>
      </c>
      <c r="CY363" t="s">
        <v>10978</v>
      </c>
      <c r="CZ363">
        <v>-0.10507602542638779</v>
      </c>
      <c r="DA363">
        <v>7.6725722578062454</v>
      </c>
      <c r="DB363" t="s">
        <v>10979</v>
      </c>
      <c r="DC363">
        <v>-9.982222415506839E-2</v>
      </c>
      <c r="DD363">
        <v>3.8362861289031227</v>
      </c>
      <c r="DE363" t="s">
        <v>10980</v>
      </c>
      <c r="DF363">
        <v>-9.246690237522126E-2</v>
      </c>
      <c r="DG363">
        <v>2.3017716773418737</v>
      </c>
      <c r="DH363" t="s">
        <v>10981</v>
      </c>
      <c r="DI363">
        <v>-8.4060820341110232E-2</v>
      </c>
      <c r="DJ363">
        <v>1.1508858386709369</v>
      </c>
      <c r="DK363" t="s">
        <v>10982</v>
      </c>
      <c r="DL363">
        <v>-7.3553217798471446E-2</v>
      </c>
      <c r="DM363">
        <v>4996000000</v>
      </c>
      <c r="DN363">
        <v>-0.10507602542638779</v>
      </c>
      <c r="DO363">
        <v>114996513000</v>
      </c>
      <c r="DP363" t="e">
        <v>#VALUE!</v>
      </c>
      <c r="DQ363">
        <v>362</v>
      </c>
      <c r="DR363" t="e">
        <v>#VALUE!</v>
      </c>
      <c r="DS363">
        <v>1.0506957383751869</v>
      </c>
      <c r="DT363" t="e">
        <v>#VALUE!</v>
      </c>
      <c r="DU363" t="e">
        <v>#VALUE!</v>
      </c>
      <c r="DV363" t="e">
        <v>#VALUE!</v>
      </c>
      <c r="DW363">
        <v>-8.663120567375886</v>
      </c>
      <c r="DX363">
        <v>0.44964672131147537</v>
      </c>
      <c r="DY363">
        <v>-8.092602613068248</v>
      </c>
      <c r="DZ363">
        <v>0</v>
      </c>
      <c r="EA363">
        <v>-8.092602613068248</v>
      </c>
      <c r="EB363">
        <v>8</v>
      </c>
      <c r="EC363">
        <v>1.1333585768812385E-2</v>
      </c>
      <c r="ED363">
        <v>8.1158982197178542E-2</v>
      </c>
      <c r="EE363">
        <v>0</v>
      </c>
      <c r="EF363">
        <v>0</v>
      </c>
      <c r="EG363">
        <v>31.139646721311475</v>
      </c>
      <c r="EH363" t="s">
        <v>110</v>
      </c>
      <c r="EI363">
        <v>0</v>
      </c>
      <c r="EJ363">
        <v>0</v>
      </c>
      <c r="EK363">
        <v>0</v>
      </c>
      <c r="EL363">
        <v>0</v>
      </c>
      <c r="EM363">
        <v>0</v>
      </c>
      <c r="EN363">
        <v>0</v>
      </c>
      <c r="EO363">
        <v>0</v>
      </c>
      <c r="EP363">
        <v>0</v>
      </c>
    </row>
    <row r="364" spans="1:146" ht="96" x14ac:dyDescent="0.25">
      <c r="A364" s="7"/>
      <c r="B364" s="7"/>
      <c r="C364" s="7" t="str">
        <f>""&amp;CHAR(10)&amp;Basic_Fundamental_Information_Constructure(F364)&amp;CHAR(10)&amp;Basic_Fundamental_Information_Concatenate("")</f>
        <v xml:space="preserve">
市值99.644亿, 利润10.51亿; PE9.48; 平均PE14.45; 平均PEG10.89, PB.347; ROIC4.1%; ROE5.9467%; 股利率0%; 毛利12.2667%; 净利6.3833%; 上一年度营收增-14.51%, 利润增-66.35%, 利润增-11.33%; 过往5年营收增-1.33%, 利润增-13.76%
Income profile:
</v>
      </c>
      <c r="D364" s="11">
        <v>2314</v>
      </c>
      <c r="E364" t="s">
        <v>4799</v>
      </c>
      <c r="F364">
        <v>2.3199999999999998</v>
      </c>
      <c r="G364" s="5">
        <v>-4.1300000000000003E-2</v>
      </c>
      <c r="H364" t="s">
        <v>10983</v>
      </c>
      <c r="I364">
        <v>9964400000</v>
      </c>
      <c r="J364">
        <v>9.48</v>
      </c>
      <c r="K364">
        <v>0.34699999999999998</v>
      </c>
      <c r="L364" t="s">
        <v>6350</v>
      </c>
      <c r="M364" t="s">
        <v>9</v>
      </c>
      <c r="N364" t="s">
        <v>9</v>
      </c>
      <c r="O364" t="s">
        <v>9</v>
      </c>
      <c r="P364" t="s">
        <v>9</v>
      </c>
      <c r="Q364" t="s">
        <v>10984</v>
      </c>
      <c r="R364">
        <v>1050931000</v>
      </c>
      <c r="S364" s="5">
        <v>-0.1133</v>
      </c>
      <c r="T364" t="s">
        <v>4791</v>
      </c>
      <c r="U364">
        <v>4295321000</v>
      </c>
      <c r="V364">
        <v>4295321000</v>
      </c>
      <c r="W364" t="s">
        <v>9</v>
      </c>
      <c r="X364" t="s">
        <v>9</v>
      </c>
      <c r="Y364" t="s">
        <v>9</v>
      </c>
      <c r="Z364" t="s">
        <v>9</v>
      </c>
      <c r="AA364" t="s">
        <v>9</v>
      </c>
      <c r="AB364" t="s">
        <v>9</v>
      </c>
      <c r="AC364" t="s">
        <v>9</v>
      </c>
      <c r="AD364" t="s">
        <v>9</v>
      </c>
      <c r="AE364" t="s">
        <v>9</v>
      </c>
      <c r="AF364" t="s">
        <v>9</v>
      </c>
      <c r="AG364" t="s">
        <v>9</v>
      </c>
      <c r="AH364" t="s">
        <v>10985</v>
      </c>
      <c r="AI364" t="s">
        <v>9</v>
      </c>
      <c r="AJ364" t="s">
        <v>9</v>
      </c>
      <c r="AK364" t="s">
        <v>10986</v>
      </c>
      <c r="AL364" t="s">
        <v>9</v>
      </c>
      <c r="AM364" t="s">
        <v>9</v>
      </c>
      <c r="AN364" s="5">
        <v>0.46820000000000001</v>
      </c>
      <c r="AO364" t="s">
        <v>9</v>
      </c>
      <c r="AP364" t="s">
        <v>10987</v>
      </c>
      <c r="AQ364" t="s">
        <v>9</v>
      </c>
      <c r="AR364" t="s">
        <v>10988</v>
      </c>
      <c r="AS364" t="s">
        <v>9</v>
      </c>
      <c r="AT364" t="s">
        <v>9</v>
      </c>
      <c r="AU364" t="s">
        <v>1188</v>
      </c>
      <c r="AV364" t="s">
        <v>10989</v>
      </c>
      <c r="AW364" t="s">
        <v>9</v>
      </c>
      <c r="AX364" t="s">
        <v>4800</v>
      </c>
      <c r="AY364" t="s">
        <v>4801</v>
      </c>
      <c r="AZ364" t="s">
        <v>4802</v>
      </c>
      <c r="BA364" t="s">
        <v>4803</v>
      </c>
      <c r="BB364" t="s">
        <v>4804</v>
      </c>
      <c r="BC364" t="s">
        <v>4805</v>
      </c>
      <c r="BD364" t="s">
        <v>4806</v>
      </c>
      <c r="BE364" t="s">
        <v>4807</v>
      </c>
      <c r="BF364" t="s">
        <v>4808</v>
      </c>
      <c r="BG364" t="s">
        <v>4809</v>
      </c>
      <c r="BH364" t="s">
        <v>4800</v>
      </c>
      <c r="BI364" t="s">
        <v>9</v>
      </c>
      <c r="BJ364" t="s">
        <v>4801</v>
      </c>
      <c r="BK364" t="s">
        <v>3838</v>
      </c>
      <c r="BL364" t="s">
        <v>9</v>
      </c>
      <c r="BM364" t="s">
        <v>4805</v>
      </c>
      <c r="BN364">
        <v>2.25</v>
      </c>
      <c r="BO364">
        <v>2.69</v>
      </c>
      <c r="BP364">
        <v>7.36</v>
      </c>
      <c r="BQ364">
        <v>3.65</v>
      </c>
      <c r="BR364">
        <v>4.1399999999999997</v>
      </c>
      <c r="BS364">
        <v>10.050000000000001</v>
      </c>
      <c r="BT364" t="s">
        <v>10990</v>
      </c>
      <c r="BU364" t="s">
        <v>937</v>
      </c>
      <c r="BV364">
        <v>10.029999999999999</v>
      </c>
      <c r="BW364">
        <v>9.23</v>
      </c>
      <c r="BX364">
        <v>17.54</v>
      </c>
      <c r="BY364">
        <v>4.63</v>
      </c>
      <c r="BZ364">
        <v>4.5199999999999996</v>
      </c>
      <c r="CA364">
        <v>10</v>
      </c>
      <c r="CB364">
        <v>-4.13</v>
      </c>
      <c r="CC364">
        <v>-9.02</v>
      </c>
      <c r="CD364" t="s">
        <v>10991</v>
      </c>
      <c r="CE364" t="s">
        <v>68</v>
      </c>
      <c r="CF364" s="8" t="s">
        <v>9</v>
      </c>
      <c r="CG364" s="9">
        <v>-0.1133</v>
      </c>
      <c r="CH364" s="8">
        <v>-0.14511480927467346</v>
      </c>
      <c r="CI364" s="8">
        <v>-0.10276523977518082</v>
      </c>
      <c r="CJ364" s="8">
        <v>0.25680384039878845</v>
      </c>
      <c r="CK364" s="8">
        <v>-0.19684550166130066</v>
      </c>
      <c r="CL364" s="8">
        <v>0.24658428132534027</v>
      </c>
      <c r="CM364" s="9">
        <v>-0.66346460580825806</v>
      </c>
      <c r="CN364" s="9">
        <v>-0.11379113048315048</v>
      </c>
      <c r="CO364" s="9">
        <v>8.8998764753341675E-2</v>
      </c>
      <c r="CP364" s="9">
        <v>-0.3368852436542511</v>
      </c>
      <c r="CQ364" s="9">
        <v>-3.1746033579111099E-2</v>
      </c>
      <c r="CR364">
        <v>14.451631617113851</v>
      </c>
      <c r="CS364">
        <v>10.894217876038047</v>
      </c>
      <c r="CT364">
        <v>0</v>
      </c>
      <c r="CU364" s="8">
        <v>-1.3265414535999298E-2</v>
      </c>
      <c r="CV364" s="9">
        <v>-0.13764667883515358</v>
      </c>
      <c r="CW364">
        <v>0.06</v>
      </c>
      <c r="CX364">
        <v>9.4808753568030451</v>
      </c>
      <c r="CY364" t="s">
        <v>10992</v>
      </c>
      <c r="CZ364">
        <v>-1.3265414535999298E-2</v>
      </c>
      <c r="DA364">
        <v>3.1602917856010149</v>
      </c>
      <c r="DB364" t="s">
        <v>10993</v>
      </c>
      <c r="DC364">
        <v>-1.2602143809199332E-2</v>
      </c>
      <c r="DD364">
        <v>1.5801458928005074</v>
      </c>
      <c r="DE364" t="s">
        <v>10994</v>
      </c>
      <c r="DF364">
        <v>-1.1673564791679383E-2</v>
      </c>
      <c r="DG364">
        <v>0.94808753568030446</v>
      </c>
      <c r="DH364" t="s">
        <v>10995</v>
      </c>
      <c r="DI364">
        <v>-1.0612331628799439E-2</v>
      </c>
      <c r="DJ364">
        <v>0.47404376784015223</v>
      </c>
      <c r="DK364" t="s">
        <v>10996</v>
      </c>
      <c r="DL364">
        <v>-9.285790175199508E-3</v>
      </c>
      <c r="DM364">
        <v>1051000000</v>
      </c>
      <c r="DN364">
        <v>-1.3265414535999298E-2</v>
      </c>
      <c r="DO364">
        <v>9964400000</v>
      </c>
      <c r="DP364" t="e">
        <v>#VALUE!</v>
      </c>
      <c r="DQ364">
        <v>363</v>
      </c>
      <c r="DR364" t="e">
        <v>#VALUE!</v>
      </c>
      <c r="DS364">
        <v>2.4346678835153582E-2</v>
      </c>
      <c r="DT364" t="e">
        <v>#VALUE!</v>
      </c>
      <c r="DU364" t="e">
        <v>#VALUE!</v>
      </c>
      <c r="DV364" t="e">
        <v>#VALUE!</v>
      </c>
      <c r="DW364">
        <v>-8.4578713968957864</v>
      </c>
      <c r="DX364">
        <v>0.37026769230769063</v>
      </c>
      <c r="DY364">
        <v>-8.0504884223093978</v>
      </c>
      <c r="DZ364">
        <v>0</v>
      </c>
      <c r="EA364">
        <v>-8.0504884223093978</v>
      </c>
      <c r="EB364">
        <v>8</v>
      </c>
      <c r="EC364">
        <v>5.0059588095976984E-3</v>
      </c>
      <c r="ED364">
        <v>4.5398236825606279E-2</v>
      </c>
      <c r="EE364">
        <v>0</v>
      </c>
      <c r="EF364">
        <v>0</v>
      </c>
      <c r="EG364">
        <v>26.110267692307691</v>
      </c>
      <c r="EH364" t="s">
        <v>110</v>
      </c>
      <c r="EI364">
        <v>0</v>
      </c>
      <c r="EJ364">
        <v>0</v>
      </c>
      <c r="EK364">
        <v>0</v>
      </c>
      <c r="EL364">
        <v>0</v>
      </c>
      <c r="EM364">
        <v>0</v>
      </c>
      <c r="EN364">
        <v>0</v>
      </c>
      <c r="EO364">
        <v>0</v>
      </c>
      <c r="EP364">
        <v>0</v>
      </c>
    </row>
    <row r="365" spans="1:146" ht="96" x14ac:dyDescent="0.25">
      <c r="A365" s="7"/>
      <c r="B365" s="7"/>
      <c r="C365" s="7" t="str">
        <f>""&amp;CHAR(10)&amp;Basic_Fundamental_Information_Constructure(F365)&amp;CHAR(10)&amp;Basic_Fundamental_Information_Concatenate("")</f>
        <v xml:space="preserve">
市值6546.5793亿, 利润939.06亿; PE7.3; 平均PE42.65; 平均PEG55.22, PB.671; ROIC0%; ROE10.6%; 毛利0%; 净利9.66%; 上一年度营收增2.69%, 利润增-24.53%; 当季营收增9.53%, 利润增-9.67%; 过往5年营收增-.77%, 利润增-146.04%
Income profile:
</v>
      </c>
      <c r="D365" s="11">
        <v>2318</v>
      </c>
      <c r="E365" t="s">
        <v>4810</v>
      </c>
      <c r="F365">
        <v>35.950000000000003</v>
      </c>
      <c r="G365" s="5">
        <v>-2.3099999999999999E-2</v>
      </c>
      <c r="H365" t="s">
        <v>10997</v>
      </c>
      <c r="I365">
        <v>654657930000</v>
      </c>
      <c r="J365">
        <v>7.3</v>
      </c>
      <c r="K365">
        <v>0.67100000000000004</v>
      </c>
      <c r="L365" t="s">
        <v>6350</v>
      </c>
      <c r="M365" t="s">
        <v>10998</v>
      </c>
      <c r="N365" t="s">
        <v>10999</v>
      </c>
      <c r="O365" t="s">
        <v>11000</v>
      </c>
      <c r="P365" t="s">
        <v>9</v>
      </c>
      <c r="Q365" t="s">
        <v>11001</v>
      </c>
      <c r="R365">
        <v>93905973000</v>
      </c>
      <c r="S365" s="5">
        <v>-9.6699999999999994E-2</v>
      </c>
      <c r="T365" t="s">
        <v>11002</v>
      </c>
      <c r="U365">
        <v>7447576900</v>
      </c>
      <c r="V365">
        <v>18210235000</v>
      </c>
      <c r="W365">
        <v>13.24</v>
      </c>
      <c r="X365">
        <v>0.02</v>
      </c>
      <c r="Y365">
        <v>19.079999999999998</v>
      </c>
      <c r="Z365" t="s">
        <v>9</v>
      </c>
      <c r="AA365" t="s">
        <v>9</v>
      </c>
      <c r="AB365" t="s">
        <v>9</v>
      </c>
      <c r="AC365" t="s">
        <v>9</v>
      </c>
      <c r="AD365" t="s">
        <v>9</v>
      </c>
      <c r="AE365" t="s">
        <v>11003</v>
      </c>
      <c r="AF365" t="s">
        <v>11004</v>
      </c>
      <c r="AG365" t="s">
        <v>9365</v>
      </c>
      <c r="AH365" t="s">
        <v>11005</v>
      </c>
      <c r="AI365" t="s">
        <v>11006</v>
      </c>
      <c r="AJ365" t="s">
        <v>9</v>
      </c>
      <c r="AK365" t="s">
        <v>11007</v>
      </c>
      <c r="AL365" t="s">
        <v>9</v>
      </c>
      <c r="AM365" t="s">
        <v>11008</v>
      </c>
      <c r="AN365" s="5">
        <v>0.89629999999999999</v>
      </c>
      <c r="AO365" t="s">
        <v>9</v>
      </c>
      <c r="AP365" t="s">
        <v>9</v>
      </c>
      <c r="AQ365" t="s">
        <v>9</v>
      </c>
      <c r="AR365" t="s">
        <v>9</v>
      </c>
      <c r="AS365" t="s">
        <v>9</v>
      </c>
      <c r="AT365" t="s">
        <v>9</v>
      </c>
      <c r="AU365" t="s">
        <v>11009</v>
      </c>
      <c r="AV365" t="s">
        <v>11010</v>
      </c>
      <c r="AW365" t="s">
        <v>11011</v>
      </c>
      <c r="AX365" t="s">
        <v>11012</v>
      </c>
      <c r="AY365" t="s">
        <v>4813</v>
      </c>
      <c r="AZ365" t="s">
        <v>4814</v>
      </c>
      <c r="BA365" t="s">
        <v>4815</v>
      </c>
      <c r="BB365" t="s">
        <v>4816</v>
      </c>
      <c r="BC365" t="s">
        <v>4817</v>
      </c>
      <c r="BD365" t="s">
        <v>4818</v>
      </c>
      <c r="BE365" t="s">
        <v>4819</v>
      </c>
      <c r="BF365" t="s">
        <v>4820</v>
      </c>
      <c r="BG365" t="s">
        <v>4821</v>
      </c>
      <c r="BH365" t="s">
        <v>11012</v>
      </c>
      <c r="BI365" t="s">
        <v>4822</v>
      </c>
      <c r="BJ365" t="s">
        <v>4813</v>
      </c>
      <c r="BK365" t="s">
        <v>4811</v>
      </c>
      <c r="BL365" t="s">
        <v>11013</v>
      </c>
      <c r="BM365" t="s">
        <v>4817</v>
      </c>
      <c r="BN365" t="s">
        <v>9</v>
      </c>
      <c r="BO365" t="s">
        <v>9</v>
      </c>
      <c r="BP365" t="s">
        <v>9</v>
      </c>
      <c r="BQ365">
        <v>9.5299999999999994</v>
      </c>
      <c r="BR365">
        <v>9.76</v>
      </c>
      <c r="BS365">
        <v>12.51</v>
      </c>
      <c r="BT365" t="s">
        <v>11014</v>
      </c>
      <c r="BU365" t="s">
        <v>2704</v>
      </c>
      <c r="BV365" t="s">
        <v>9</v>
      </c>
      <c r="BW365" t="s">
        <v>9</v>
      </c>
      <c r="BX365" t="s">
        <v>9</v>
      </c>
      <c r="BY365">
        <v>10.6</v>
      </c>
      <c r="BZ365">
        <v>8.8699999999999992</v>
      </c>
      <c r="CA365">
        <v>9.51</v>
      </c>
      <c r="CB365">
        <v>-3.88</v>
      </c>
      <c r="CC365">
        <v>-6.71</v>
      </c>
      <c r="CD365" t="s">
        <v>6493</v>
      </c>
      <c r="CE365" t="s">
        <v>6003</v>
      </c>
      <c r="CF365" s="8">
        <v>9.531663604802279E-2</v>
      </c>
      <c r="CG365" s="9">
        <v>-9.6699999999999994E-2</v>
      </c>
      <c r="CH365" s="8">
        <v>2.694283239543438E-2</v>
      </c>
      <c r="CI365" s="8">
        <v>-0.2984137237071991</v>
      </c>
      <c r="CJ365" s="8">
        <v>8.2588829100131989E-3</v>
      </c>
      <c r="CK365" s="8">
        <v>0.28341257572174072</v>
      </c>
      <c r="CL365" s="8">
        <v>4.4580001384019852E-2</v>
      </c>
      <c r="CM365" s="9">
        <v>-0.24531666934490204</v>
      </c>
      <c r="CN365" s="9">
        <v>-0.27045613527297974</v>
      </c>
      <c r="CO365" s="9">
        <v>2.1549765020608902E-2</v>
      </c>
      <c r="CP365" s="9">
        <v>0.36529558897018433</v>
      </c>
      <c r="CQ365" s="9">
        <v>0.1449517160654068</v>
      </c>
      <c r="CR365">
        <v>42.645441799145395</v>
      </c>
      <c r="CS365">
        <v>55.223967952602841</v>
      </c>
      <c r="CT365" t="e">
        <v>#VALUE!</v>
      </c>
      <c r="CU365" s="8">
        <v>-7.7222704887390135E-3</v>
      </c>
      <c r="CV365" s="9">
        <v>-1.4603555738925933</v>
      </c>
      <c r="CW365">
        <v>0.06</v>
      </c>
      <c r="CX365">
        <v>116.06519210700061</v>
      </c>
      <c r="CY365" t="s">
        <v>11015</v>
      </c>
      <c r="CZ365">
        <v>-7.7222704887390135E-3</v>
      </c>
      <c r="DA365">
        <v>38.688397369000207</v>
      </c>
      <c r="DB365" t="s">
        <v>11016</v>
      </c>
      <c r="DC365">
        <v>-7.3361569643020626E-3</v>
      </c>
      <c r="DD365">
        <v>19.344198684500103</v>
      </c>
      <c r="DE365" t="s">
        <v>11017</v>
      </c>
      <c r="DF365">
        <v>-6.7955980300903321E-3</v>
      </c>
      <c r="DG365">
        <v>11.606519210700062</v>
      </c>
      <c r="DH365" t="s">
        <v>11018</v>
      </c>
      <c r="DI365">
        <v>-6.1778163909912108E-3</v>
      </c>
      <c r="DJ365">
        <v>5.8032596053500312</v>
      </c>
      <c r="DK365" t="s">
        <v>11019</v>
      </c>
      <c r="DL365">
        <v>-5.405589342117309E-3</v>
      </c>
      <c r="DM365">
        <v>93906000000</v>
      </c>
      <c r="DN365">
        <v>-7.7222704887390135E-3</v>
      </c>
      <c r="DO365">
        <v>10899217930000</v>
      </c>
      <c r="DP365" t="e">
        <v>#VALUE!</v>
      </c>
      <c r="DQ365">
        <v>364</v>
      </c>
      <c r="DR365">
        <v>0.1030389065367618</v>
      </c>
      <c r="DS365">
        <v>1.3636555738925933</v>
      </c>
      <c r="DT365">
        <v>-0.27333333333333337</v>
      </c>
      <c r="DU365">
        <v>-0.15000000000000002</v>
      </c>
      <c r="DV365">
        <v>-0.42333333333333339</v>
      </c>
      <c r="DW365">
        <v>-8.578241430700448</v>
      </c>
      <c r="DX365">
        <v>0.55793338999829012</v>
      </c>
      <c r="DY365">
        <v>-8.0739763864669669</v>
      </c>
      <c r="DZ365">
        <v>0</v>
      </c>
      <c r="EA365">
        <v>-8.0739763864669669</v>
      </c>
      <c r="EB365">
        <v>8</v>
      </c>
      <c r="EC365">
        <v>9.2804952819115182E-3</v>
      </c>
      <c r="ED365">
        <v>7.2541622884053941E-2</v>
      </c>
      <c r="EE365">
        <v>0</v>
      </c>
      <c r="EF365">
        <v>0</v>
      </c>
      <c r="EG365">
        <v>43.12793338999829</v>
      </c>
      <c r="EH365" t="s">
        <v>110</v>
      </c>
      <c r="EI365">
        <v>0</v>
      </c>
      <c r="EJ365">
        <v>0</v>
      </c>
      <c r="EK365">
        <v>0</v>
      </c>
      <c r="EL365">
        <v>0</v>
      </c>
      <c r="EM365">
        <v>0</v>
      </c>
      <c r="EN365">
        <v>0</v>
      </c>
      <c r="EO365">
        <v>0</v>
      </c>
      <c r="EP365">
        <v>0</v>
      </c>
    </row>
    <row r="366" spans="1:146" ht="96" x14ac:dyDescent="0.25">
      <c r="A366" s="7"/>
      <c r="B366" s="7"/>
      <c r="C366" s="7" t="str">
        <f>""&amp;CHAR(10)&amp;Basic_Fundamental_Information_Constructure(F366)&amp;CHAR(10)&amp;Basic_Fundamental_Information_Concatenate("")</f>
        <v xml:space="preserve">
市值563.53389亿, 利润52.72亿; PE10.69; 平均PE47.62; 平均PEG5.41, PB1.16; ROIC7.3567%; ROE12.5733%; 股利率0%; 毛利36.4%; 净利5.3967%; 上一年度营收增3.5%, 利润增-14.33%, 利润增-11.88%; 过往5年营收增8.8%, 利润增-8.95%
Income profile:
</v>
      </c>
      <c r="D366" s="11">
        <v>2319</v>
      </c>
      <c r="E366" t="s">
        <v>4823</v>
      </c>
      <c r="F366">
        <v>14.32</v>
      </c>
      <c r="G366" s="5">
        <v>-2.1899999999999999E-2</v>
      </c>
      <c r="H366" t="s">
        <v>11020</v>
      </c>
      <c r="I366">
        <v>56353389000</v>
      </c>
      <c r="J366">
        <v>10.69</v>
      </c>
      <c r="K366">
        <v>1.1599999999999999</v>
      </c>
      <c r="L366" t="s">
        <v>6350</v>
      </c>
      <c r="M366" t="s">
        <v>9</v>
      </c>
      <c r="N366" t="s">
        <v>9</v>
      </c>
      <c r="O366" t="s">
        <v>9</v>
      </c>
      <c r="P366" t="s">
        <v>9</v>
      </c>
      <c r="Q366" t="s">
        <v>11021</v>
      </c>
      <c r="R366">
        <v>5271841800</v>
      </c>
      <c r="S366" s="5">
        <v>-0.1188</v>
      </c>
      <c r="T366" t="s">
        <v>11022</v>
      </c>
      <c r="U366">
        <v>3935292500</v>
      </c>
      <c r="V366">
        <v>3935292500</v>
      </c>
      <c r="W366" t="s">
        <v>9</v>
      </c>
      <c r="X366" t="s">
        <v>9</v>
      </c>
      <c r="Y366" t="s">
        <v>9</v>
      </c>
      <c r="Z366" t="s">
        <v>9</v>
      </c>
      <c r="AA366" t="s">
        <v>9</v>
      </c>
      <c r="AB366" t="s">
        <v>9</v>
      </c>
      <c r="AC366" t="s">
        <v>9</v>
      </c>
      <c r="AD366" t="s">
        <v>9499</v>
      </c>
      <c r="AE366" t="s">
        <v>9</v>
      </c>
      <c r="AF366" t="s">
        <v>9</v>
      </c>
      <c r="AG366" t="s">
        <v>9</v>
      </c>
      <c r="AH366" t="s">
        <v>11023</v>
      </c>
      <c r="AI366" t="s">
        <v>9</v>
      </c>
      <c r="AJ366" t="s">
        <v>9</v>
      </c>
      <c r="AK366" t="s">
        <v>11024</v>
      </c>
      <c r="AL366" t="s">
        <v>9</v>
      </c>
      <c r="AM366" t="s">
        <v>9</v>
      </c>
      <c r="AN366" s="5">
        <v>0.56040000000000001</v>
      </c>
      <c r="AO366" t="s">
        <v>9</v>
      </c>
      <c r="AP366" t="s">
        <v>11025</v>
      </c>
      <c r="AQ366" t="s">
        <v>9</v>
      </c>
      <c r="AR366" t="s">
        <v>11026</v>
      </c>
      <c r="AS366" t="s">
        <v>9</v>
      </c>
      <c r="AT366" t="s">
        <v>9</v>
      </c>
      <c r="AU366" t="s">
        <v>11027</v>
      </c>
      <c r="AV366" t="s">
        <v>10573</v>
      </c>
      <c r="AW366" t="s">
        <v>9</v>
      </c>
      <c r="AX366" t="s">
        <v>4824</v>
      </c>
      <c r="AY366" t="s">
        <v>4825</v>
      </c>
      <c r="AZ366" t="s">
        <v>4826</v>
      </c>
      <c r="BA366" t="s">
        <v>4827</v>
      </c>
      <c r="BB366" t="s">
        <v>4828</v>
      </c>
      <c r="BC366" t="s">
        <v>4829</v>
      </c>
      <c r="BD366" t="s">
        <v>865</v>
      </c>
      <c r="BE366" t="s">
        <v>4830</v>
      </c>
      <c r="BF366" t="s">
        <v>4831</v>
      </c>
      <c r="BG366" t="s">
        <v>4832</v>
      </c>
      <c r="BH366" t="s">
        <v>4824</v>
      </c>
      <c r="BI366" t="s">
        <v>9</v>
      </c>
      <c r="BJ366" t="s">
        <v>4825</v>
      </c>
      <c r="BK366" t="s">
        <v>3554</v>
      </c>
      <c r="BL366" t="s">
        <v>9</v>
      </c>
      <c r="BM366" t="s">
        <v>4829</v>
      </c>
      <c r="BN366">
        <v>5.98</v>
      </c>
      <c r="BO366">
        <v>7.41</v>
      </c>
      <c r="BP366">
        <v>8.68</v>
      </c>
      <c r="BQ366">
        <v>10.85</v>
      </c>
      <c r="BR366">
        <v>13.22</v>
      </c>
      <c r="BS366">
        <v>13.65</v>
      </c>
      <c r="BT366" t="s">
        <v>4833</v>
      </c>
      <c r="BU366" t="s">
        <v>759</v>
      </c>
      <c r="BV366">
        <v>37.15</v>
      </c>
      <c r="BW366">
        <v>35.299999999999997</v>
      </c>
      <c r="BX366">
        <v>36.75</v>
      </c>
      <c r="BY366">
        <v>4.96</v>
      </c>
      <c r="BZ366">
        <v>5.6</v>
      </c>
      <c r="CA366">
        <v>5.63</v>
      </c>
      <c r="CB366">
        <v>7.03</v>
      </c>
      <c r="CC366">
        <v>-12.06</v>
      </c>
      <c r="CD366" t="s">
        <v>2923</v>
      </c>
      <c r="CE366" t="s">
        <v>11028</v>
      </c>
      <c r="CF366" s="8" t="s">
        <v>9</v>
      </c>
      <c r="CG366" s="9">
        <v>-0.1188</v>
      </c>
      <c r="CH366" s="8">
        <v>3.5010360181331635E-2</v>
      </c>
      <c r="CI366" s="8">
        <v>-3.218788281083107E-2</v>
      </c>
      <c r="CJ366" s="8">
        <v>0.19092757999897003</v>
      </c>
      <c r="CK366" s="8">
        <v>0.15392744541168213</v>
      </c>
      <c r="CL366" s="8">
        <v>8.8961593806743622E-2</v>
      </c>
      <c r="CM366" s="9">
        <v>-0.14332139492034912</v>
      </c>
      <c r="CN366" s="9">
        <v>0.46488931775093079</v>
      </c>
      <c r="CO366" s="9">
        <v>-8.4350541234016418E-2</v>
      </c>
      <c r="CP366" s="9">
        <v>0.32409822940826416</v>
      </c>
      <c r="CQ366" s="9">
        <v>0.41140523552894592</v>
      </c>
      <c r="CR366">
        <v>47.615875792141949</v>
      </c>
      <c r="CS366">
        <v>5.4123786812294536</v>
      </c>
      <c r="CT366">
        <v>0</v>
      </c>
      <c r="CU366" s="8">
        <v>8.7975876405835152E-2</v>
      </c>
      <c r="CV366" s="9">
        <v>-8.9507997035980225E-2</v>
      </c>
      <c r="CW366">
        <v>0.06</v>
      </c>
      <c r="CX366">
        <v>10.414327640668096</v>
      </c>
      <c r="CY366">
        <v>5411140396.6146812</v>
      </c>
      <c r="CZ366">
        <v>8.7975876405835152E-2</v>
      </c>
      <c r="DA366">
        <v>3.4091447003970639</v>
      </c>
      <c r="DB366">
        <v>16530066615.663603</v>
      </c>
      <c r="DC366">
        <v>8.3577082585543389E-2</v>
      </c>
      <c r="DD366">
        <v>1.6820921688921848</v>
      </c>
      <c r="DE366">
        <v>33501962640.438416</v>
      </c>
      <c r="DF366">
        <v>7.7418771237134934E-2</v>
      </c>
      <c r="DG366">
        <v>1.0127360759214574</v>
      </c>
      <c r="DH366">
        <v>55644693953.185966</v>
      </c>
      <c r="DI366">
        <v>7.0380701124668127E-2</v>
      </c>
      <c r="DJ366">
        <v>0.52613007643580145</v>
      </c>
      <c r="DK366">
        <v>107109233104.02357</v>
      </c>
      <c r="DL366">
        <v>6.1583113484084601E-2</v>
      </c>
      <c r="DM366">
        <v>5272000000</v>
      </c>
      <c r="DN366">
        <v>8.7975876405835152E-2</v>
      </c>
      <c r="DO366">
        <v>56353389000</v>
      </c>
      <c r="DP366" t="e">
        <v>#VALUE!</v>
      </c>
      <c r="DQ366">
        <v>365</v>
      </c>
      <c r="DR366" t="e">
        <v>#VALUE!</v>
      </c>
      <c r="DS366">
        <v>-2.9292002964019778E-2</v>
      </c>
      <c r="DT366" t="e">
        <v>#VALUE!</v>
      </c>
      <c r="DU366" t="e">
        <v>#VALUE!</v>
      </c>
      <c r="DV366" t="e">
        <v>#VALUE!</v>
      </c>
      <c r="DW366">
        <v>7.3682556312205341</v>
      </c>
      <c r="DX366">
        <v>0.40796992481203032</v>
      </c>
      <c r="DY366">
        <v>7.0692209833121309</v>
      </c>
      <c r="DZ366">
        <v>0</v>
      </c>
      <c r="EA366">
        <v>7.0692209833121309</v>
      </c>
      <c r="EB366">
        <v>7</v>
      </c>
      <c r="EC366">
        <v>4.4469375529264978E-2</v>
      </c>
      <c r="ED366">
        <v>0.23657707781568968</v>
      </c>
      <c r="EE366">
        <v>0</v>
      </c>
      <c r="EF366">
        <v>0</v>
      </c>
      <c r="EG366">
        <v>22.18796992481203</v>
      </c>
      <c r="EH366" t="s">
        <v>110</v>
      </c>
      <c r="EI366">
        <v>1</v>
      </c>
      <c r="EJ366">
        <v>0</v>
      </c>
      <c r="EK366">
        <v>0</v>
      </c>
      <c r="EL366">
        <v>0</v>
      </c>
      <c r="EM366">
        <v>0</v>
      </c>
      <c r="EN366">
        <v>0</v>
      </c>
      <c r="EO366">
        <v>0</v>
      </c>
      <c r="EP366">
        <v>0</v>
      </c>
    </row>
    <row r="367" spans="1:146" ht="96" x14ac:dyDescent="0.25">
      <c r="A367" s="7"/>
      <c r="B367" s="7"/>
      <c r="C367" s="7" t="str">
        <f>""&amp;CHAR(10)&amp;Basic_Fundamental_Information_Constructure(F367)&amp;CHAR(10)&amp;Basic_Fundamental_Information_Concatenate("")</f>
        <v xml:space="preserve">
市值2161.9968亿, 利润269.50亿; PE9.65; 平均PE46.11; 平均PEG3.93, PB.838; ROIC0%; ROE11.4567%; 毛利0%; 净利5.52%; 上一年度营收增4.05%, 利润增-1.57%; 当季营收增-1.73%, 利润增-41.73%; 过往5年营收增11.72%, 利润增70.12%
Income profile:
</v>
      </c>
      <c r="D367" s="11">
        <v>2328</v>
      </c>
      <c r="E367" t="s">
        <v>4834</v>
      </c>
      <c r="F367">
        <v>9.7200000000000006</v>
      </c>
      <c r="G367" s="5">
        <v>-1.72E-2</v>
      </c>
      <c r="H367" t="s">
        <v>11029</v>
      </c>
      <c r="I367">
        <v>216199680000</v>
      </c>
      <c r="J367">
        <v>9.65</v>
      </c>
      <c r="K367">
        <v>0.83799999999999997</v>
      </c>
      <c r="L367" t="s">
        <v>6350</v>
      </c>
      <c r="M367" t="s">
        <v>11030</v>
      </c>
      <c r="N367" t="s">
        <v>11031</v>
      </c>
      <c r="O367" t="s">
        <v>11032</v>
      </c>
      <c r="P367" t="s">
        <v>9</v>
      </c>
      <c r="Q367" t="s">
        <v>11033</v>
      </c>
      <c r="R367">
        <v>26950077000</v>
      </c>
      <c r="S367" s="5">
        <v>-0.4173</v>
      </c>
      <c r="T367" t="s">
        <v>11034</v>
      </c>
      <c r="U367">
        <v>6899293800</v>
      </c>
      <c r="V367">
        <v>22242765000</v>
      </c>
      <c r="W367">
        <v>2.91</v>
      </c>
      <c r="X367">
        <v>0.16</v>
      </c>
      <c r="Y367">
        <v>5.92</v>
      </c>
      <c r="Z367" t="s">
        <v>9</v>
      </c>
      <c r="AA367" t="s">
        <v>9</v>
      </c>
      <c r="AB367" t="s">
        <v>9</v>
      </c>
      <c r="AC367" t="s">
        <v>9</v>
      </c>
      <c r="AD367" t="s">
        <v>9</v>
      </c>
      <c r="AE367" t="s">
        <v>1576</v>
      </c>
      <c r="AF367" t="s">
        <v>11035</v>
      </c>
      <c r="AG367" t="s">
        <v>1043</v>
      </c>
      <c r="AH367" t="s">
        <v>11036</v>
      </c>
      <c r="AI367" t="s">
        <v>11037</v>
      </c>
      <c r="AJ367" t="s">
        <v>9</v>
      </c>
      <c r="AK367" t="s">
        <v>11038</v>
      </c>
      <c r="AL367" t="s">
        <v>9</v>
      </c>
      <c r="AM367" t="s">
        <v>11039</v>
      </c>
      <c r="AN367" s="5">
        <v>0.65680000000000005</v>
      </c>
      <c r="AO367" t="s">
        <v>9</v>
      </c>
      <c r="AP367" t="s">
        <v>9</v>
      </c>
      <c r="AQ367" t="s">
        <v>9</v>
      </c>
      <c r="AR367" t="s">
        <v>9</v>
      </c>
      <c r="AS367" t="s">
        <v>9</v>
      </c>
      <c r="AT367" t="s">
        <v>9</v>
      </c>
      <c r="AU367" t="s">
        <v>5351</v>
      </c>
      <c r="AV367" t="s">
        <v>11040</v>
      </c>
      <c r="AW367" t="s">
        <v>11041</v>
      </c>
      <c r="AX367" t="s">
        <v>11042</v>
      </c>
      <c r="AY367" t="s">
        <v>4838</v>
      </c>
      <c r="AZ367" t="s">
        <v>4839</v>
      </c>
      <c r="BA367" t="s">
        <v>4840</v>
      </c>
      <c r="BB367" t="s">
        <v>4841</v>
      </c>
      <c r="BC367" t="s">
        <v>4842</v>
      </c>
      <c r="BD367" t="s">
        <v>4843</v>
      </c>
      <c r="BE367" t="s">
        <v>4844</v>
      </c>
      <c r="BF367" t="s">
        <v>4845</v>
      </c>
      <c r="BG367" t="s">
        <v>4846</v>
      </c>
      <c r="BH367" t="s">
        <v>11042</v>
      </c>
      <c r="BI367" t="s">
        <v>4847</v>
      </c>
      <c r="BJ367" t="s">
        <v>4838</v>
      </c>
      <c r="BK367" t="s">
        <v>4835</v>
      </c>
      <c r="BL367" t="s">
        <v>11043</v>
      </c>
      <c r="BM367" t="s">
        <v>4842</v>
      </c>
      <c r="BN367" t="s">
        <v>9</v>
      </c>
      <c r="BO367" t="s">
        <v>9</v>
      </c>
      <c r="BP367" t="s">
        <v>9</v>
      </c>
      <c r="BQ367">
        <v>10.62</v>
      </c>
      <c r="BR367">
        <v>12.73</v>
      </c>
      <c r="BS367">
        <v>11.02</v>
      </c>
      <c r="BT367" t="s">
        <v>11044</v>
      </c>
      <c r="BU367" t="s">
        <v>2704</v>
      </c>
      <c r="BV367" t="s">
        <v>9</v>
      </c>
      <c r="BW367" t="s">
        <v>9</v>
      </c>
      <c r="BX367" t="s">
        <v>9</v>
      </c>
      <c r="BY367">
        <v>5.19</v>
      </c>
      <c r="BZ367">
        <v>6.03</v>
      </c>
      <c r="CA367">
        <v>5.34</v>
      </c>
      <c r="CB367">
        <v>-3.19</v>
      </c>
      <c r="CC367">
        <v>-6.18</v>
      </c>
      <c r="CD367" t="s">
        <v>121</v>
      </c>
      <c r="CE367" t="s">
        <v>11045</v>
      </c>
      <c r="CF367" s="8">
        <v>-1.7304153470702986E-2</v>
      </c>
      <c r="CG367" s="9">
        <v>-0.4173</v>
      </c>
      <c r="CH367" s="8">
        <v>4.0533669292926788E-2</v>
      </c>
      <c r="CI367" s="8">
        <v>-2.7914596721529961E-2</v>
      </c>
      <c r="CJ367" s="8">
        <v>4.4691488146781921E-2</v>
      </c>
      <c r="CK367" s="8">
        <v>0.19635404646396637</v>
      </c>
      <c r="CL367" s="8">
        <v>5.1729023456573486E-2</v>
      </c>
      <c r="CM367" s="9">
        <v>-1.5704898163676262E-2</v>
      </c>
      <c r="CN367" s="9">
        <v>0.10079201310873032</v>
      </c>
      <c r="CO367" s="9">
        <v>-8.3360955119132996E-2</v>
      </c>
      <c r="CP367" s="9">
        <v>0.53905051946640015</v>
      </c>
      <c r="CQ367" s="9">
        <v>-0.25754830241203308</v>
      </c>
      <c r="CR367">
        <v>46.105618581805921</v>
      </c>
      <c r="CS367">
        <v>3.9343151019905775</v>
      </c>
      <c r="CT367" t="e">
        <v>#VALUE!</v>
      </c>
      <c r="CU367" s="8">
        <v>0.11718842387199402</v>
      </c>
      <c r="CV367" s="9">
        <v>0.70123720001429324</v>
      </c>
      <c r="CW367">
        <v>0.06</v>
      </c>
      <c r="CX367">
        <v>15.914549352701577</v>
      </c>
      <c r="CY367">
        <v>28403988701.273808</v>
      </c>
      <c r="CZ367">
        <v>0.11718842387199402</v>
      </c>
      <c r="DA367">
        <v>5.0827229061644914</v>
      </c>
      <c r="DB367">
        <v>88935928309.55928</v>
      </c>
      <c r="DC367">
        <v>0.11132900267839431</v>
      </c>
      <c r="DD367">
        <v>2.4257150728066823</v>
      </c>
      <c r="DE367">
        <v>186351927754.22275</v>
      </c>
      <c r="DF367">
        <v>0.10312581300735474</v>
      </c>
      <c r="DG367">
        <v>1.4060074831128748</v>
      </c>
      <c r="DH367">
        <v>321503751174.35297</v>
      </c>
      <c r="DI367">
        <v>9.3750739097595223E-2</v>
      </c>
      <c r="DJ367">
        <v>0.67100320976791505</v>
      </c>
      <c r="DK367">
        <v>673672902632.38733</v>
      </c>
      <c r="DL367">
        <v>8.2031896710395805E-2</v>
      </c>
      <c r="DM367">
        <v>26950000000</v>
      </c>
      <c r="DN367">
        <v>0.11718842387199402</v>
      </c>
      <c r="DO367">
        <v>452036680000</v>
      </c>
      <c r="DP367" t="e">
        <v>#VALUE!</v>
      </c>
      <c r="DQ367">
        <v>366</v>
      </c>
      <c r="DR367">
        <v>-0.13449257734269701</v>
      </c>
      <c r="DS367">
        <v>-1.1185372000142932</v>
      </c>
      <c r="DT367">
        <v>-5.6666666666666719E-2</v>
      </c>
      <c r="DU367">
        <v>1.43</v>
      </c>
      <c r="DV367">
        <v>1.3733333333333333</v>
      </c>
      <c r="DW367">
        <v>-8.516181229773462</v>
      </c>
      <c r="DX367">
        <v>0.48723618090452175</v>
      </c>
      <c r="DY367">
        <v>-8.1018096144151173</v>
      </c>
      <c r="DZ367">
        <v>0</v>
      </c>
      <c r="EA367">
        <v>-8.1018096144151173</v>
      </c>
      <c r="EB367">
        <v>8</v>
      </c>
      <c r="EC367">
        <v>7.0584749692765266E-3</v>
      </c>
      <c r="ED367">
        <v>3.5786917678624935E-2</v>
      </c>
      <c r="EE367">
        <v>0</v>
      </c>
      <c r="EF367">
        <v>0</v>
      </c>
      <c r="EG367">
        <v>29.197236180904522</v>
      </c>
      <c r="EH367" t="s">
        <v>110</v>
      </c>
      <c r="EI367">
        <v>0</v>
      </c>
      <c r="EJ367">
        <v>0</v>
      </c>
      <c r="EK367">
        <v>0</v>
      </c>
      <c r="EL367">
        <v>0</v>
      </c>
      <c r="EM367">
        <v>0</v>
      </c>
      <c r="EN367">
        <v>0</v>
      </c>
      <c r="EO367">
        <v>0</v>
      </c>
      <c r="EP367">
        <v>0</v>
      </c>
    </row>
    <row r="368" spans="1:146" ht="96" x14ac:dyDescent="0.25">
      <c r="A368" s="7"/>
      <c r="B368" s="7"/>
      <c r="C368" s="7" t="str">
        <f>""&amp;CHAR(10)&amp;Basic_Fundamental_Information_Constructure(F368)&amp;CHAR(10)&amp;Basic_Fundamental_Information_Concatenate("")</f>
        <v xml:space="preserve">
市值442.46306亿, 利润34.93亿; PE12.67; 平均PE52.83; 平均PEG5.08, PB1.65; ROIC19.2967%; ROE16.2567%; 股利率0%; 毛利49.93%; 净利15.0233%; 上一年度营收增3.93%, 利润增-28.87%, 利润增-23.8%; 过往5年营收增10.41%, 利润增35.97%
Income profile:
</v>
      </c>
      <c r="D368" s="11">
        <v>2331</v>
      </c>
      <c r="E368" t="s">
        <v>4848</v>
      </c>
      <c r="F368">
        <v>17.12</v>
      </c>
      <c r="G368" s="5">
        <v>-3.39E-2</v>
      </c>
      <c r="H368" t="s">
        <v>11046</v>
      </c>
      <c r="I368">
        <v>44246306000</v>
      </c>
      <c r="J368">
        <v>12.67</v>
      </c>
      <c r="K368">
        <v>1.65</v>
      </c>
      <c r="L368" t="s">
        <v>6350</v>
      </c>
      <c r="M368" t="s">
        <v>9</v>
      </c>
      <c r="N368" t="s">
        <v>9</v>
      </c>
      <c r="O368" t="s">
        <v>9</v>
      </c>
      <c r="P368" t="s">
        <v>9</v>
      </c>
      <c r="Q368" t="s">
        <v>11047</v>
      </c>
      <c r="R368">
        <v>3493490700</v>
      </c>
      <c r="S368" s="5">
        <v>-0.23799999999999999</v>
      </c>
      <c r="T368" t="s">
        <v>11048</v>
      </c>
      <c r="U368">
        <v>2584480500</v>
      </c>
      <c r="V368">
        <v>2584480500</v>
      </c>
      <c r="W368" t="s">
        <v>9</v>
      </c>
      <c r="X368" t="s">
        <v>9</v>
      </c>
      <c r="Y368" t="s">
        <v>9</v>
      </c>
      <c r="Z368" t="s">
        <v>9</v>
      </c>
      <c r="AA368" t="s">
        <v>9</v>
      </c>
      <c r="AB368" t="s">
        <v>9</v>
      </c>
      <c r="AC368" t="s">
        <v>9</v>
      </c>
      <c r="AD368" t="s">
        <v>1344</v>
      </c>
      <c r="AE368" t="s">
        <v>9</v>
      </c>
      <c r="AF368" t="s">
        <v>9</v>
      </c>
      <c r="AG368" t="s">
        <v>9</v>
      </c>
      <c r="AH368" t="s">
        <v>11049</v>
      </c>
      <c r="AI368" t="s">
        <v>9</v>
      </c>
      <c r="AJ368" t="s">
        <v>9</v>
      </c>
      <c r="AK368" t="s">
        <v>11050</v>
      </c>
      <c r="AL368" t="s">
        <v>9</v>
      </c>
      <c r="AM368" t="s">
        <v>9</v>
      </c>
      <c r="AN368" s="5">
        <v>0.28649999999999998</v>
      </c>
      <c r="AO368" t="s">
        <v>9</v>
      </c>
      <c r="AP368" t="s">
        <v>11051</v>
      </c>
      <c r="AQ368" t="s">
        <v>9</v>
      </c>
      <c r="AR368" t="s">
        <v>2250</v>
      </c>
      <c r="AS368" t="s">
        <v>9</v>
      </c>
      <c r="AT368" t="s">
        <v>9</v>
      </c>
      <c r="AU368" t="s">
        <v>7960</v>
      </c>
      <c r="AV368" t="s">
        <v>11052</v>
      </c>
      <c r="AW368" t="s">
        <v>9</v>
      </c>
      <c r="AX368" t="s">
        <v>4849</v>
      </c>
      <c r="AY368" t="s">
        <v>1990</v>
      </c>
      <c r="AZ368" t="s">
        <v>4852</v>
      </c>
      <c r="BA368" t="s">
        <v>954</v>
      </c>
      <c r="BB368" t="s">
        <v>4853</v>
      </c>
      <c r="BC368" t="s">
        <v>4854</v>
      </c>
      <c r="BD368" t="s">
        <v>3755</v>
      </c>
      <c r="BE368" t="s">
        <v>4855</v>
      </c>
      <c r="BF368" t="s">
        <v>2344</v>
      </c>
      <c r="BG368" t="s">
        <v>1313</v>
      </c>
      <c r="BH368" t="s">
        <v>4849</v>
      </c>
      <c r="BI368" t="s">
        <v>9</v>
      </c>
      <c r="BJ368" t="s">
        <v>1990</v>
      </c>
      <c r="BK368" t="s">
        <v>4850</v>
      </c>
      <c r="BL368" t="s">
        <v>9</v>
      </c>
      <c r="BM368" t="s">
        <v>4854</v>
      </c>
      <c r="BN368">
        <v>13.08</v>
      </c>
      <c r="BO368">
        <v>17.89</v>
      </c>
      <c r="BP368">
        <v>26.92</v>
      </c>
      <c r="BQ368">
        <v>13.06</v>
      </c>
      <c r="BR368">
        <v>16.7</v>
      </c>
      <c r="BS368">
        <v>19.010000000000002</v>
      </c>
      <c r="BT368" t="s">
        <v>11053</v>
      </c>
      <c r="BU368" t="s">
        <v>1004</v>
      </c>
      <c r="BV368">
        <v>48.38</v>
      </c>
      <c r="BW368">
        <v>48.38</v>
      </c>
      <c r="BX368">
        <v>53.03</v>
      </c>
      <c r="BY368">
        <v>11.55</v>
      </c>
      <c r="BZ368">
        <v>15.75</v>
      </c>
      <c r="CA368">
        <v>17.77</v>
      </c>
      <c r="CB368">
        <v>-4.8899999999999997</v>
      </c>
      <c r="CC368">
        <v>-19.989999999999998</v>
      </c>
      <c r="CD368" t="s">
        <v>28</v>
      </c>
      <c r="CE368" t="s">
        <v>7479</v>
      </c>
      <c r="CF368" s="8" t="s">
        <v>9</v>
      </c>
      <c r="CG368" s="9">
        <v>-0.23799999999999999</v>
      </c>
      <c r="CH368" s="8">
        <v>3.9300575852394104E-2</v>
      </c>
      <c r="CI368" s="8">
        <v>5.3147599101066589E-2</v>
      </c>
      <c r="CJ368" s="8">
        <v>0.60408574342727661</v>
      </c>
      <c r="CK368" s="8">
        <v>0.43975597620010376</v>
      </c>
      <c r="CL368" s="8">
        <v>0.12491780519485474</v>
      </c>
      <c r="CM368" s="9">
        <v>-0.28873959183692932</v>
      </c>
      <c r="CN368" s="9">
        <v>1.426383376121521</v>
      </c>
      <c r="CO368" s="9">
        <v>0.20835816860198975</v>
      </c>
      <c r="CP368" s="9">
        <v>1.0577396154403687</v>
      </c>
      <c r="CQ368" s="9">
        <v>0.31715211272239685</v>
      </c>
      <c r="CR368">
        <v>52.831410149253735</v>
      </c>
      <c r="CS368">
        <v>5.0766294288671681</v>
      </c>
      <c r="CT368">
        <v>0</v>
      </c>
      <c r="CU368" s="8">
        <v>0.10406788773834705</v>
      </c>
      <c r="CV368" s="9">
        <v>0.35968846529722215</v>
      </c>
      <c r="CW368">
        <v>0.06</v>
      </c>
      <c r="CX368">
        <v>12.161538520007953</v>
      </c>
      <c r="CY368">
        <v>3638216162.1415529</v>
      </c>
      <c r="CZ368">
        <v>0.10406788773834705</v>
      </c>
      <c r="DA368">
        <v>3.9272897518317298</v>
      </c>
      <c r="DB368">
        <v>11266371670.020796</v>
      </c>
      <c r="DC368">
        <v>9.8864493351429689E-2</v>
      </c>
      <c r="DD368">
        <v>1.9026455126032988</v>
      </c>
      <c r="DE368">
        <v>23255149583.518528</v>
      </c>
      <c r="DF368">
        <v>9.1579741209745408E-2</v>
      </c>
      <c r="DG368">
        <v>1.1220185455552465</v>
      </c>
      <c r="DH368">
        <v>39434558524.25692</v>
      </c>
      <c r="DI368">
        <v>8.3254310190677638E-2</v>
      </c>
      <c r="DJ368">
        <v>0.55675428643010605</v>
      </c>
      <c r="DK368">
        <v>79471873101.698349</v>
      </c>
      <c r="DL368">
        <v>7.2847521416842934E-2</v>
      </c>
      <c r="DM368">
        <v>3493000000</v>
      </c>
      <c r="DN368">
        <v>0.10406788773834705</v>
      </c>
      <c r="DO368">
        <v>44246306000</v>
      </c>
      <c r="DP368" t="e">
        <v>#VALUE!</v>
      </c>
      <c r="DQ368">
        <v>367</v>
      </c>
      <c r="DR368" t="e">
        <v>#VALUE!</v>
      </c>
      <c r="DS368">
        <v>-0.59768846529722208</v>
      </c>
      <c r="DT368" t="e">
        <v>#VALUE!</v>
      </c>
      <c r="DU368" t="e">
        <v>#VALUE!</v>
      </c>
      <c r="DV368" t="e">
        <v>#VALUE!</v>
      </c>
      <c r="DW368">
        <v>-8.2446223111555774</v>
      </c>
      <c r="DX368">
        <v>0.52095380029805993</v>
      </c>
      <c r="DY368">
        <v>-8.0393728906181856</v>
      </c>
      <c r="DZ368">
        <v>0</v>
      </c>
      <c r="EA368">
        <v>-8.0393728906181856</v>
      </c>
      <c r="EB368">
        <v>8</v>
      </c>
      <c r="EC368">
        <v>4.178789509148937E-2</v>
      </c>
      <c r="ED368">
        <v>0.25962664450360529</v>
      </c>
      <c r="EE368">
        <v>0</v>
      </c>
      <c r="EF368">
        <v>0</v>
      </c>
      <c r="EG368">
        <v>36.16095380029806</v>
      </c>
      <c r="EH368" t="s">
        <v>110</v>
      </c>
      <c r="EI368">
        <v>0</v>
      </c>
      <c r="EJ368">
        <v>0</v>
      </c>
      <c r="EK368">
        <v>0</v>
      </c>
      <c r="EL368">
        <v>0</v>
      </c>
      <c r="EM368">
        <v>0</v>
      </c>
      <c r="EN368">
        <v>0</v>
      </c>
      <c r="EO368">
        <v>0</v>
      </c>
      <c r="EP368">
        <v>0</v>
      </c>
    </row>
    <row r="369" spans="1:146" ht="96" x14ac:dyDescent="0.25">
      <c r="A369" s="7"/>
      <c r="B369" s="7"/>
      <c r="C369" s="7" t="str">
        <f>""&amp;CHAR(10)&amp;Basic_Fundamental_Information_Constructure(F369)&amp;CHAR(10)&amp;Basic_Fundamental_Information_Concatenate("")</f>
        <v xml:space="preserve">
市值1042.11582亿, 利润76.97亿; PE9.49; 平均PE89.75; 平均PEG5.3, PB1.35; ROIC8.7167%; ROE11.2533%; 毛利15.18%; 净利5.1767%; 上一年度营收增22.9%, 利润增-6.54%; 当季营收增11.08%, 利润增1648%; 过往5年营收增-16.92%, 利润增-265.15%
Income profile:
</v>
      </c>
      <c r="D369" s="11">
        <v>2333</v>
      </c>
      <c r="E369" t="s">
        <v>4856</v>
      </c>
      <c r="F369">
        <v>12.2</v>
      </c>
      <c r="G369" s="5">
        <v>-2.5600000000000001E-2</v>
      </c>
      <c r="H369" t="s">
        <v>11054</v>
      </c>
      <c r="I369">
        <v>104211582000</v>
      </c>
      <c r="J369">
        <v>9.49</v>
      </c>
      <c r="K369">
        <v>1.35</v>
      </c>
      <c r="L369" t="s">
        <v>6350</v>
      </c>
      <c r="M369" t="s">
        <v>11055</v>
      </c>
      <c r="N369" t="s">
        <v>11056</v>
      </c>
      <c r="O369" t="s">
        <v>11057</v>
      </c>
      <c r="P369">
        <v>47.6</v>
      </c>
      <c r="Q369" t="s">
        <v>11058</v>
      </c>
      <c r="R369">
        <v>7697033700</v>
      </c>
      <c r="S369" s="5">
        <v>16.48</v>
      </c>
      <c r="T369" t="s">
        <v>11059</v>
      </c>
      <c r="U369">
        <v>2318776000</v>
      </c>
      <c r="V369">
        <v>8543775000</v>
      </c>
      <c r="W369">
        <v>2.73</v>
      </c>
      <c r="X369">
        <v>0.21</v>
      </c>
      <c r="Y369">
        <v>8.7799999999999994</v>
      </c>
      <c r="Z369" t="s">
        <v>11060</v>
      </c>
      <c r="AA369" t="s">
        <v>11061</v>
      </c>
      <c r="AB369" t="s">
        <v>7461</v>
      </c>
      <c r="AC369" t="s">
        <v>11062</v>
      </c>
      <c r="AD369" t="s">
        <v>11063</v>
      </c>
      <c r="AE369" t="s">
        <v>18</v>
      </c>
      <c r="AF369" t="s">
        <v>9</v>
      </c>
      <c r="AG369" t="s">
        <v>2464</v>
      </c>
      <c r="AH369" t="s">
        <v>11064</v>
      </c>
      <c r="AI369" t="s">
        <v>11065</v>
      </c>
      <c r="AJ369" t="s">
        <v>11066</v>
      </c>
      <c r="AK369" t="s">
        <v>11067</v>
      </c>
      <c r="AL369" t="s">
        <v>9</v>
      </c>
      <c r="AM369" t="s">
        <v>11068</v>
      </c>
      <c r="AN369" s="5">
        <v>0.6331</v>
      </c>
      <c r="AO369" t="s">
        <v>10209</v>
      </c>
      <c r="AP369" t="s">
        <v>11069</v>
      </c>
      <c r="AQ369" t="s">
        <v>11070</v>
      </c>
      <c r="AR369" t="s">
        <v>11071</v>
      </c>
      <c r="AS369" t="s">
        <v>11072</v>
      </c>
      <c r="AT369" t="s">
        <v>11073</v>
      </c>
      <c r="AU369" t="s">
        <v>11074</v>
      </c>
      <c r="AV369" t="s">
        <v>11075</v>
      </c>
      <c r="AW369" t="s">
        <v>11076</v>
      </c>
      <c r="AX369" t="s">
        <v>4857</v>
      </c>
      <c r="AY369" t="s">
        <v>4859</v>
      </c>
      <c r="AZ369" t="s">
        <v>4860</v>
      </c>
      <c r="BA369" t="s">
        <v>4861</v>
      </c>
      <c r="BB369" t="s">
        <v>4862</v>
      </c>
      <c r="BC369" t="s">
        <v>4863</v>
      </c>
      <c r="BD369" t="s">
        <v>4864</v>
      </c>
      <c r="BE369" t="s">
        <v>4865</v>
      </c>
      <c r="BF369" t="s">
        <v>4866</v>
      </c>
      <c r="BG369" t="s">
        <v>4867</v>
      </c>
      <c r="BH369" t="s">
        <v>4857</v>
      </c>
      <c r="BI369" t="s">
        <v>4868</v>
      </c>
      <c r="BJ369" t="s">
        <v>4859</v>
      </c>
      <c r="BK369" t="s">
        <v>4858</v>
      </c>
      <c r="BL369" t="s">
        <v>4869</v>
      </c>
      <c r="BM369" t="s">
        <v>4863</v>
      </c>
      <c r="BN369">
        <v>7.75</v>
      </c>
      <c r="BO369">
        <v>9.75</v>
      </c>
      <c r="BP369">
        <v>8.65</v>
      </c>
      <c r="BQ369">
        <v>10.25</v>
      </c>
      <c r="BR369">
        <v>12.68</v>
      </c>
      <c r="BS369">
        <v>10.83</v>
      </c>
      <c r="BT369" t="s">
        <v>1727</v>
      </c>
      <c r="BU369" t="s">
        <v>861</v>
      </c>
      <c r="BV369">
        <v>15.82</v>
      </c>
      <c r="BW369">
        <v>16.25</v>
      </c>
      <c r="BX369">
        <v>13.47</v>
      </c>
      <c r="BY369">
        <v>4.2</v>
      </c>
      <c r="BZ369">
        <v>6.24</v>
      </c>
      <c r="CA369">
        <v>5.09</v>
      </c>
      <c r="CB369">
        <v>1.84</v>
      </c>
      <c r="CC369">
        <v>-12.17</v>
      </c>
      <c r="CD369" t="s">
        <v>11077</v>
      </c>
      <c r="CE369" t="s">
        <v>407</v>
      </c>
      <c r="CF369" s="8">
        <v>0.11075705145759168</v>
      </c>
      <c r="CG369" s="9">
        <v>16.48</v>
      </c>
      <c r="CH369" s="8">
        <v>0.22899362444877625</v>
      </c>
      <c r="CI369" s="8">
        <v>-7.8384608030319214E-2</v>
      </c>
      <c r="CJ369" s="8">
        <v>0.3562869131565094</v>
      </c>
      <c r="CK369" s="8">
        <v>5.6158881634473801E-2</v>
      </c>
      <c r="CL369" s="8">
        <v>-6.8504095077514648E-2</v>
      </c>
      <c r="CM369" s="9">
        <v>-6.5444424748420715E-2</v>
      </c>
      <c r="CN369" s="9">
        <v>0.28848564624786377</v>
      </c>
      <c r="CO369" s="9">
        <v>0.27203983068466187</v>
      </c>
      <c r="CP369" s="9">
        <v>-0.1524709016084671</v>
      </c>
      <c r="CQ369" s="9">
        <v>-1.6260141506791115E-2</v>
      </c>
      <c r="CR369">
        <v>89.752727281809598</v>
      </c>
      <c r="CS369">
        <v>5.3036884592633013</v>
      </c>
      <c r="CT369" t="e">
        <v>#VALUE!</v>
      </c>
      <c r="CU369" s="8">
        <v>-0.16922699734568597</v>
      </c>
      <c r="CV369" s="9">
        <v>-2.6515136659145355</v>
      </c>
      <c r="CW369">
        <v>0.06</v>
      </c>
      <c r="CX369">
        <v>20.842351825386515</v>
      </c>
      <c r="CY369" t="s">
        <v>11078</v>
      </c>
      <c r="CZ369">
        <v>-0.16922699734568597</v>
      </c>
      <c r="DA369">
        <v>6.9474506084621712</v>
      </c>
      <c r="DB369" t="s">
        <v>11079</v>
      </c>
      <c r="DC369">
        <v>-0.16076564747840166</v>
      </c>
      <c r="DD369">
        <v>3.4737253042310856</v>
      </c>
      <c r="DE369" t="s">
        <v>11080</v>
      </c>
      <c r="DF369">
        <v>-0.14891975766420365</v>
      </c>
      <c r="DG369">
        <v>2.0842351825386514</v>
      </c>
      <c r="DH369" t="s">
        <v>11081</v>
      </c>
      <c r="DI369">
        <v>-0.13538159787654877</v>
      </c>
      <c r="DJ369">
        <v>1.0421175912693257</v>
      </c>
      <c r="DK369" t="s">
        <v>11082</v>
      </c>
      <c r="DL369">
        <v>-0.11845889814198017</v>
      </c>
      <c r="DM369">
        <v>7697000000</v>
      </c>
      <c r="DN369">
        <v>-0.16922699734568597</v>
      </c>
      <c r="DO369">
        <v>160423582000</v>
      </c>
      <c r="DP369" t="e">
        <v>#VALUE!</v>
      </c>
      <c r="DQ369">
        <v>368</v>
      </c>
      <c r="DR369">
        <v>0.27998404880327765</v>
      </c>
      <c r="DS369">
        <v>19.131513665914536</v>
      </c>
      <c r="DT369">
        <v>-0.78999999999999992</v>
      </c>
      <c r="DU369">
        <v>3.7007434154171883E-17</v>
      </c>
      <c r="DV369">
        <v>-0.78999999999999992</v>
      </c>
      <c r="DW369">
        <v>-2.1217000000000001</v>
      </c>
      <c r="DX369">
        <v>0.28247251450189215</v>
      </c>
      <c r="DY369">
        <v>-2.0136879050148804</v>
      </c>
      <c r="DZ369">
        <v>0</v>
      </c>
      <c r="EA369">
        <v>-2.0136879050148804</v>
      </c>
      <c r="EB369">
        <v>2</v>
      </c>
      <c r="EC369">
        <v>1.0439261333544014E-2</v>
      </c>
      <c r="ED369">
        <v>9.281611465657745E-2</v>
      </c>
      <c r="EE369">
        <v>0</v>
      </c>
      <c r="EF369">
        <v>0</v>
      </c>
      <c r="EG369">
        <v>17.112472514501892</v>
      </c>
      <c r="EH369" t="s">
        <v>110</v>
      </c>
      <c r="EI369">
        <v>0</v>
      </c>
      <c r="EJ369">
        <v>0</v>
      </c>
      <c r="EK369">
        <v>0</v>
      </c>
      <c r="EL369">
        <v>0</v>
      </c>
      <c r="EM369">
        <v>0</v>
      </c>
      <c r="EN369">
        <v>0</v>
      </c>
      <c r="EO369">
        <v>0</v>
      </c>
      <c r="EP369">
        <v>0</v>
      </c>
    </row>
    <row r="370" spans="1:146" ht="108" x14ac:dyDescent="0.25">
      <c r="A370" s="7"/>
      <c r="B370" s="7"/>
      <c r="C370" s="7" t="str">
        <f>""&amp;CHAR(10)&amp;Basic_Fundamental_Information_Constructure(F370)&amp;CHAR(10)&amp;Basic_Fundamental_Information_Concatenate("")</f>
        <v xml:space="preserve">
市值1296.76634亿, 利润98.81亿; PE12.28; 平均PE73.69; 平均PEG167.03, PB1.45; ROIC8.0633%; ROE10.37%; 股利率0%; 毛利19.17%; 净利4.7367%; 上一年度营收增18.61%, 利润增-14.99%; 当季营收增8.9%, 利润增32.19%; 过往5年营收增-.44%, 利润增-5.54%
Income profile:
</v>
      </c>
      <c r="D370" s="11">
        <v>2338</v>
      </c>
      <c r="E370" t="s">
        <v>4870</v>
      </c>
      <c r="F370">
        <v>14.86</v>
      </c>
      <c r="G370" s="5">
        <v>1.9199999999999998E-2</v>
      </c>
      <c r="H370" t="s">
        <v>11083</v>
      </c>
      <c r="I370">
        <v>129676634000</v>
      </c>
      <c r="J370">
        <v>12.28</v>
      </c>
      <c r="K370">
        <v>1.45</v>
      </c>
      <c r="L370" t="s">
        <v>6350</v>
      </c>
      <c r="M370" t="s">
        <v>11084</v>
      </c>
      <c r="N370" t="s">
        <v>11085</v>
      </c>
      <c r="O370" t="s">
        <v>11086</v>
      </c>
      <c r="P370">
        <v>5.51</v>
      </c>
      <c r="Q370" t="s">
        <v>11087</v>
      </c>
      <c r="R370">
        <v>9881030600</v>
      </c>
      <c r="S370" s="5">
        <v>0.32190000000000002</v>
      </c>
      <c r="T370" t="s">
        <v>11088</v>
      </c>
      <c r="U370">
        <v>1943040000</v>
      </c>
      <c r="V370">
        <v>8726556800</v>
      </c>
      <c r="W370">
        <v>4.09</v>
      </c>
      <c r="X370">
        <v>0.17</v>
      </c>
      <c r="Y370">
        <v>7.32</v>
      </c>
      <c r="Z370" t="s">
        <v>11089</v>
      </c>
      <c r="AA370" t="s">
        <v>11090</v>
      </c>
      <c r="AB370" t="s">
        <v>11091</v>
      </c>
      <c r="AC370" t="s">
        <v>11092</v>
      </c>
      <c r="AD370" t="s">
        <v>11093</v>
      </c>
      <c r="AE370" t="s">
        <v>908</v>
      </c>
      <c r="AF370" t="s">
        <v>9</v>
      </c>
      <c r="AG370" t="s">
        <v>6233</v>
      </c>
      <c r="AH370" t="s">
        <v>11094</v>
      </c>
      <c r="AI370" t="s">
        <v>11095</v>
      </c>
      <c r="AJ370" t="s">
        <v>11096</v>
      </c>
      <c r="AK370" t="s">
        <v>11097</v>
      </c>
      <c r="AL370" t="s">
        <v>9</v>
      </c>
      <c r="AM370" t="s">
        <v>11098</v>
      </c>
      <c r="AN370" s="5">
        <v>0.65549999999999997</v>
      </c>
      <c r="AO370" t="s">
        <v>2524</v>
      </c>
      <c r="AP370" t="s">
        <v>11099</v>
      </c>
      <c r="AQ370" t="s">
        <v>11100</v>
      </c>
      <c r="AR370" t="s">
        <v>11101</v>
      </c>
      <c r="AS370" t="s">
        <v>11102</v>
      </c>
      <c r="AT370" t="s">
        <v>11103</v>
      </c>
      <c r="AU370" t="s">
        <v>11104</v>
      </c>
      <c r="AV370" t="s">
        <v>11105</v>
      </c>
      <c r="AW370" t="s">
        <v>11106</v>
      </c>
      <c r="AX370" t="s">
        <v>4871</v>
      </c>
      <c r="AY370" t="s">
        <v>4875</v>
      </c>
      <c r="AZ370" t="s">
        <v>4876</v>
      </c>
      <c r="BA370" t="s">
        <v>4877</v>
      </c>
      <c r="BB370" t="s">
        <v>4878</v>
      </c>
      <c r="BC370" t="s">
        <v>11107</v>
      </c>
      <c r="BD370" t="s">
        <v>4879</v>
      </c>
      <c r="BE370" t="s">
        <v>4880</v>
      </c>
      <c r="BF370" t="s">
        <v>4881</v>
      </c>
      <c r="BG370" t="s">
        <v>4882</v>
      </c>
      <c r="BH370" t="s">
        <v>4871</v>
      </c>
      <c r="BI370" t="s">
        <v>4883</v>
      </c>
      <c r="BJ370" t="s">
        <v>4875</v>
      </c>
      <c r="BK370" t="s">
        <v>4872</v>
      </c>
      <c r="BL370" t="s">
        <v>11108</v>
      </c>
      <c r="BM370" t="s">
        <v>11107</v>
      </c>
      <c r="BN370">
        <v>8.39</v>
      </c>
      <c r="BO370">
        <v>4.91</v>
      </c>
      <c r="BP370">
        <v>10.89</v>
      </c>
      <c r="BQ370">
        <v>11.36</v>
      </c>
      <c r="BR370">
        <v>6.7</v>
      </c>
      <c r="BS370">
        <v>13.05</v>
      </c>
      <c r="BT370" t="s">
        <v>11109</v>
      </c>
      <c r="BU370" t="s">
        <v>589</v>
      </c>
      <c r="BV370">
        <v>20.81</v>
      </c>
      <c r="BW370">
        <v>17.559999999999999</v>
      </c>
      <c r="BX370">
        <v>19.14</v>
      </c>
      <c r="BY370">
        <v>5.26</v>
      </c>
      <c r="BZ370">
        <v>3.25</v>
      </c>
      <c r="CA370">
        <v>5.7</v>
      </c>
      <c r="CB370">
        <v>7.06</v>
      </c>
      <c r="CC370">
        <v>-8.93</v>
      </c>
      <c r="CD370" t="s">
        <v>11110</v>
      </c>
      <c r="CE370" t="s">
        <v>909</v>
      </c>
      <c r="CF370" s="8">
        <v>8.9025947170625577E-2</v>
      </c>
      <c r="CG370" s="9">
        <v>0.32190000000000002</v>
      </c>
      <c r="CH370" s="8">
        <v>0.18607683479785919</v>
      </c>
      <c r="CI370" s="8">
        <v>-0.26643833518028259</v>
      </c>
      <c r="CJ370" s="8">
        <v>0.14720529317855835</v>
      </c>
      <c r="CK370" s="8">
        <v>0.29722720384597778</v>
      </c>
      <c r="CL370" s="8">
        <v>-6.6696568392217159E-3</v>
      </c>
      <c r="CM370" s="9">
        <v>-0.14994834363460541</v>
      </c>
      <c r="CN370" s="9">
        <v>5.682329460978508E-2</v>
      </c>
      <c r="CO370" s="9">
        <v>8.0982856452465057E-2</v>
      </c>
      <c r="CP370" s="9">
        <v>3.226124495267868E-2</v>
      </c>
      <c r="CQ370" s="9">
        <v>0.20752182602882385</v>
      </c>
      <c r="CR370">
        <v>73.685931041804423</v>
      </c>
      <c r="CS370">
        <v>167.03476115293256</v>
      </c>
      <c r="CT370">
        <v>0</v>
      </c>
      <c r="CU370" s="8">
        <v>-4.4114129617810246E-3</v>
      </c>
      <c r="CV370" s="9">
        <v>-5.5426173657178876E-2</v>
      </c>
      <c r="CW370">
        <v>0.06</v>
      </c>
      <c r="CX370">
        <v>24.62753101912762</v>
      </c>
      <c r="CY370" t="s">
        <v>11111</v>
      </c>
      <c r="CZ370">
        <v>-4.4114129617810246E-3</v>
      </c>
      <c r="DA370">
        <v>8.2091770063758727</v>
      </c>
      <c r="DB370" t="s">
        <v>11112</v>
      </c>
      <c r="DC370">
        <v>-4.1908423136919727E-3</v>
      </c>
      <c r="DD370">
        <v>4.1045885031879363</v>
      </c>
      <c r="DE370" t="s">
        <v>11113</v>
      </c>
      <c r="DF370">
        <v>-3.8820434063673017E-3</v>
      </c>
      <c r="DG370">
        <v>2.462753101912762</v>
      </c>
      <c r="DH370" t="s">
        <v>11114</v>
      </c>
      <c r="DI370">
        <v>-3.5291303694248198E-3</v>
      </c>
      <c r="DJ370">
        <v>1.231376550956381</v>
      </c>
      <c r="DK370" t="s">
        <v>11115</v>
      </c>
      <c r="DL370">
        <v>-3.087989073246717E-3</v>
      </c>
      <c r="DM370">
        <v>9881000000</v>
      </c>
      <c r="DN370">
        <v>-4.4114129617810246E-3</v>
      </c>
      <c r="DO370">
        <v>243344634000</v>
      </c>
      <c r="DP370" t="e">
        <v>#VALUE!</v>
      </c>
      <c r="DQ370">
        <v>369</v>
      </c>
      <c r="DR370">
        <v>9.3437360132406597E-2</v>
      </c>
      <c r="DS370">
        <v>0.37732617365717891</v>
      </c>
      <c r="DT370">
        <v>-0.44</v>
      </c>
      <c r="DU370">
        <v>0.65</v>
      </c>
      <c r="DV370">
        <v>0.21000000000000002</v>
      </c>
      <c r="DW370">
        <v>7.4415259537210758</v>
      </c>
      <c r="DX370">
        <v>0.67145096952908312</v>
      </c>
      <c r="DY370">
        <v>7.1066068695982079</v>
      </c>
      <c r="DZ370">
        <v>0</v>
      </c>
      <c r="EA370">
        <v>7.1066068695982079</v>
      </c>
      <c r="EB370">
        <v>7</v>
      </c>
      <c r="EC370">
        <v>9.9883381266709891E-3</v>
      </c>
      <c r="ED370">
        <v>4.1367976886370582E-2</v>
      </c>
      <c r="EE370">
        <v>0</v>
      </c>
      <c r="EF370">
        <v>0</v>
      </c>
      <c r="EG370">
        <v>43.241450969529083</v>
      </c>
      <c r="EH370" t="s">
        <v>110</v>
      </c>
      <c r="EI370">
        <v>1</v>
      </c>
      <c r="EJ370">
        <v>0</v>
      </c>
      <c r="EK370">
        <v>0</v>
      </c>
      <c r="EL370">
        <v>0</v>
      </c>
      <c r="EM370">
        <v>0</v>
      </c>
      <c r="EN370">
        <v>0</v>
      </c>
      <c r="EO370">
        <v>0</v>
      </c>
      <c r="EP370">
        <v>0</v>
      </c>
    </row>
    <row r="371" spans="1:146" ht="96" x14ac:dyDescent="0.25">
      <c r="A371" s="7"/>
      <c r="B371" s="7"/>
      <c r="C371" s="7" t="str">
        <f>""&amp;CHAR(10)&amp;Basic_Fundamental_Information_Constructure(F371)&amp;CHAR(10)&amp;Basic_Fundamental_Information_Concatenate("")</f>
        <v xml:space="preserve">
市值126.249004亿, 利润8.54亿; PE14.78; 平均PE53.86; 平均PEG5.88, PB.899; ROIC24.4667%; ROE29.67%; 股利率0%; 毛利17.6267%; 净利18.19%; 上一年度营收增-29.99%, 利润增-87.04%, 利润增-84.41%; 过往5年营收增9.16%, 利润增13.49%
Income profile:
</v>
      </c>
      <c r="D371" s="11">
        <v>2343</v>
      </c>
      <c r="E371" t="s">
        <v>4885</v>
      </c>
      <c r="F371">
        <v>2.4</v>
      </c>
      <c r="G371" s="5">
        <v>-1.6400000000000001E-2</v>
      </c>
      <c r="H371" t="s">
        <v>11116</v>
      </c>
      <c r="I371">
        <v>12624900400</v>
      </c>
      <c r="J371">
        <v>14.78</v>
      </c>
      <c r="K371">
        <v>0.89900000000000002</v>
      </c>
      <c r="L371" t="s">
        <v>6350</v>
      </c>
      <c r="M371" t="s">
        <v>9</v>
      </c>
      <c r="N371" t="s">
        <v>9</v>
      </c>
      <c r="O371" t="s">
        <v>9</v>
      </c>
      <c r="P371" t="s">
        <v>9</v>
      </c>
      <c r="Q371" t="s">
        <v>11117</v>
      </c>
      <c r="R371">
        <v>854359370</v>
      </c>
      <c r="S371" s="5">
        <v>-0.84409999999999996</v>
      </c>
      <c r="T371" t="s">
        <v>820</v>
      </c>
      <c r="U371">
        <v>5263823100</v>
      </c>
      <c r="V371">
        <v>5263823100</v>
      </c>
      <c r="W371" t="s">
        <v>9</v>
      </c>
      <c r="X371" t="s">
        <v>9</v>
      </c>
      <c r="Y371" t="s">
        <v>9</v>
      </c>
      <c r="Z371" t="s">
        <v>9</v>
      </c>
      <c r="AA371" t="s">
        <v>9</v>
      </c>
      <c r="AB371" t="s">
        <v>9</v>
      </c>
      <c r="AC371" t="s">
        <v>9</v>
      </c>
      <c r="AD371" t="s">
        <v>9</v>
      </c>
      <c r="AE371" t="s">
        <v>9</v>
      </c>
      <c r="AF371" t="s">
        <v>9</v>
      </c>
      <c r="AG371" t="s">
        <v>9</v>
      </c>
      <c r="AH371" t="s">
        <v>11118</v>
      </c>
      <c r="AI371" t="s">
        <v>9</v>
      </c>
      <c r="AJ371" t="s">
        <v>9</v>
      </c>
      <c r="AK371" t="s">
        <v>11119</v>
      </c>
      <c r="AL371" t="s">
        <v>9</v>
      </c>
      <c r="AM371" t="s">
        <v>9</v>
      </c>
      <c r="AN371" s="5">
        <v>0.26090000000000002</v>
      </c>
      <c r="AO371" t="s">
        <v>9</v>
      </c>
      <c r="AP371" t="s">
        <v>8299</v>
      </c>
      <c r="AQ371" t="s">
        <v>9</v>
      </c>
      <c r="AR371" t="s">
        <v>11120</v>
      </c>
      <c r="AS371" t="s">
        <v>9</v>
      </c>
      <c r="AT371" t="s">
        <v>9</v>
      </c>
      <c r="AU371" t="s">
        <v>11121</v>
      </c>
      <c r="AV371" t="s">
        <v>11122</v>
      </c>
      <c r="AW371" t="s">
        <v>9</v>
      </c>
      <c r="AX371" t="s">
        <v>4886</v>
      </c>
      <c r="AY371" t="s">
        <v>4888</v>
      </c>
      <c r="AZ371" t="s">
        <v>4889</v>
      </c>
      <c r="BA371" t="s">
        <v>4890</v>
      </c>
      <c r="BB371" t="s">
        <v>4891</v>
      </c>
      <c r="BC371" t="s">
        <v>4892</v>
      </c>
      <c r="BD371" t="s">
        <v>4893</v>
      </c>
      <c r="BE371" t="s">
        <v>640</v>
      </c>
      <c r="BF371" t="s">
        <v>2089</v>
      </c>
      <c r="BG371" t="s">
        <v>4894</v>
      </c>
      <c r="BH371" t="s">
        <v>4886</v>
      </c>
      <c r="BI371" t="s">
        <v>9</v>
      </c>
      <c r="BJ371" t="s">
        <v>4888</v>
      </c>
      <c r="BK371" t="s">
        <v>4887</v>
      </c>
      <c r="BL371" t="s">
        <v>9</v>
      </c>
      <c r="BM371" t="s">
        <v>4892</v>
      </c>
      <c r="BN371">
        <v>4.91</v>
      </c>
      <c r="BO371">
        <v>29.78</v>
      </c>
      <c r="BP371">
        <v>38.71</v>
      </c>
      <c r="BQ371">
        <v>6.08</v>
      </c>
      <c r="BR371">
        <v>36.799999999999997</v>
      </c>
      <c r="BS371">
        <v>46.13</v>
      </c>
      <c r="BT371" t="s">
        <v>11123</v>
      </c>
      <c r="BU371" t="s">
        <v>687</v>
      </c>
      <c r="BV371">
        <v>5.7</v>
      </c>
      <c r="BW371">
        <v>22.31</v>
      </c>
      <c r="BX371">
        <v>24.87</v>
      </c>
      <c r="BY371">
        <v>4.76</v>
      </c>
      <c r="BZ371">
        <v>21.39</v>
      </c>
      <c r="CA371">
        <v>28.42</v>
      </c>
      <c r="CB371">
        <v>-10.78</v>
      </c>
      <c r="CC371">
        <v>-17.809999999999999</v>
      </c>
      <c r="CD371" t="s">
        <v>669</v>
      </c>
      <c r="CE371" t="s">
        <v>1311</v>
      </c>
      <c r="CF371" s="8" t="s">
        <v>9</v>
      </c>
      <c r="CG371" s="9">
        <v>-0.84409999999999996</v>
      </c>
      <c r="CH371" s="8">
        <v>-0.29988682270050049</v>
      </c>
      <c r="CI371" s="8">
        <v>0.10539257526397705</v>
      </c>
      <c r="CJ371" s="8">
        <v>1.0326200723648071</v>
      </c>
      <c r="CK371" s="8">
        <v>-8.5338428616523743E-2</v>
      </c>
      <c r="CL371" s="8">
        <v>7.2331637144088745E-2</v>
      </c>
      <c r="CM371" s="9">
        <v>-0.87037032842636108</v>
      </c>
      <c r="CN371" s="9">
        <v>5.081784725189209</v>
      </c>
      <c r="CO371" s="9">
        <v>-9.2346935272216797</v>
      </c>
      <c r="CP371" s="9">
        <v>-0.65371024608612061</v>
      </c>
      <c r="CQ371" s="9">
        <v>19.064872741699219</v>
      </c>
      <c r="CR371">
        <v>53.862384681146743</v>
      </c>
      <c r="CS371">
        <v>5.879203482222044</v>
      </c>
      <c r="CT371">
        <v>0</v>
      </c>
      <c r="CU371" s="8">
        <v>9.1615105420351034E-2</v>
      </c>
      <c r="CV371" s="9">
        <v>0.13493856266140938</v>
      </c>
      <c r="CW371">
        <v>0.06</v>
      </c>
      <c r="CX371">
        <v>14.35510648776982</v>
      </c>
      <c r="CY371">
        <v>879471037.76318824</v>
      </c>
      <c r="CZ371">
        <v>9.1615105420351034E-2</v>
      </c>
      <c r="DA371">
        <v>4.6847046712313771</v>
      </c>
      <c r="DB371">
        <v>2694919164.8150444</v>
      </c>
      <c r="DC371">
        <v>8.7034350149333473E-2</v>
      </c>
      <c r="DD371">
        <v>2.3019556783263559</v>
      </c>
      <c r="DE371">
        <v>5484423752.7539949</v>
      </c>
      <c r="DF371">
        <v>8.0621292769908912E-2</v>
      </c>
      <c r="DG371">
        <v>1.3795123250149293</v>
      </c>
      <c r="DH371">
        <v>9151712653.1387615</v>
      </c>
      <c r="DI371">
        <v>7.329208433628083E-2</v>
      </c>
      <c r="DJ371">
        <v>0.70940754272660866</v>
      </c>
      <c r="DK371">
        <v>17796400009.331985</v>
      </c>
      <c r="DL371">
        <v>6.4130573794245721E-2</v>
      </c>
      <c r="DM371">
        <v>853999999.99999988</v>
      </c>
      <c r="DN371">
        <v>9.1615105420351034E-2</v>
      </c>
      <c r="DO371">
        <v>12624900400</v>
      </c>
      <c r="DP371" t="e">
        <v>#VALUE!</v>
      </c>
      <c r="DQ371">
        <v>370</v>
      </c>
      <c r="DR371" t="e">
        <v>#VALUE!</v>
      </c>
      <c r="DS371">
        <v>-0.97903856266140932</v>
      </c>
      <c r="DT371" t="e">
        <v>#VALUE!</v>
      </c>
      <c r="DU371" t="e">
        <v>#VALUE!</v>
      </c>
      <c r="DV371" t="e">
        <v>#VALUE!</v>
      </c>
      <c r="DW371">
        <v>-9.6052779337450875</v>
      </c>
      <c r="DX371">
        <v>0.34390804597701308</v>
      </c>
      <c r="DY371">
        <v>-9.1113154820680613</v>
      </c>
      <c r="DZ371">
        <v>0</v>
      </c>
      <c r="EA371">
        <v>-9.1113154820680613</v>
      </c>
      <c r="EB371">
        <v>9</v>
      </c>
      <c r="EC371">
        <v>2.4316926607962946E-2</v>
      </c>
      <c r="ED371">
        <v>0.13222328843079853</v>
      </c>
      <c r="EE371">
        <v>0</v>
      </c>
      <c r="EF371">
        <v>0</v>
      </c>
      <c r="EG371">
        <v>16.183908045977013</v>
      </c>
      <c r="EH371" t="s">
        <v>110</v>
      </c>
      <c r="EI371">
        <v>0</v>
      </c>
      <c r="EJ371">
        <v>0</v>
      </c>
      <c r="EK371">
        <v>0</v>
      </c>
      <c r="EL371">
        <v>0</v>
      </c>
      <c r="EM371">
        <v>0</v>
      </c>
      <c r="EN371">
        <v>0</v>
      </c>
      <c r="EO371">
        <v>0</v>
      </c>
      <c r="EP371">
        <v>0</v>
      </c>
    </row>
    <row r="372" spans="1:146" ht="96" x14ac:dyDescent="0.25">
      <c r="A372" s="7"/>
      <c r="B372" s="7"/>
      <c r="C372" s="7" t="str">
        <f>""&amp;CHAR(10)&amp;Basic_Fundamental_Information_Constructure(F372)&amp;CHAR(10)&amp;Basic_Fundamental_Information_Concatenate("")</f>
        <v xml:space="preserve">
市值255.92862亿, 利润25.00亿; PE9.35; 平均PE39.7; 平均PEG.05, PB.768; ROIC6.5333%; ROE8.345%; 股利率0%; 毛利21.31%; 净利7.8967%; 上一年度营收增-3.08%, 利润增-13.82%, 利润增-13.82%; 过往5年营收增828.32%, 利润增559.91%
Income profile:
</v>
      </c>
      <c r="D372" s="11">
        <v>2357</v>
      </c>
      <c r="E372" t="s">
        <v>4896</v>
      </c>
      <c r="F372">
        <v>3.21</v>
      </c>
      <c r="G372" s="5">
        <v>1.5800000000000002E-2</v>
      </c>
      <c r="H372" t="s">
        <v>6470</v>
      </c>
      <c r="I372">
        <v>25592862000</v>
      </c>
      <c r="J372">
        <v>9.35</v>
      </c>
      <c r="K372">
        <v>0.76800000000000002</v>
      </c>
      <c r="L372" t="s">
        <v>6350</v>
      </c>
      <c r="M372" t="s">
        <v>9</v>
      </c>
      <c r="N372" t="s">
        <v>9</v>
      </c>
      <c r="O372" t="s">
        <v>9</v>
      </c>
      <c r="P372" t="s">
        <v>9</v>
      </c>
      <c r="Q372" t="s">
        <v>4897</v>
      </c>
      <c r="R372">
        <v>2500322800</v>
      </c>
      <c r="S372" s="5">
        <v>-0.13819999999999999</v>
      </c>
      <c r="T372" t="s">
        <v>4898</v>
      </c>
      <c r="U372">
        <v>6210662800</v>
      </c>
      <c r="V372">
        <v>7711332200</v>
      </c>
      <c r="W372" t="s">
        <v>9</v>
      </c>
      <c r="X372" t="s">
        <v>9</v>
      </c>
      <c r="Y372" t="s">
        <v>9</v>
      </c>
      <c r="Z372" t="s">
        <v>9</v>
      </c>
      <c r="AA372" t="s">
        <v>9</v>
      </c>
      <c r="AB372" t="s">
        <v>9</v>
      </c>
      <c r="AC372" t="s">
        <v>9</v>
      </c>
      <c r="AD372" t="s">
        <v>4899</v>
      </c>
      <c r="AE372" t="s">
        <v>9</v>
      </c>
      <c r="AF372" t="s">
        <v>9</v>
      </c>
      <c r="AG372" t="s">
        <v>9</v>
      </c>
      <c r="AH372" t="s">
        <v>4900</v>
      </c>
      <c r="AI372" t="s">
        <v>9</v>
      </c>
      <c r="AJ372" t="s">
        <v>9</v>
      </c>
      <c r="AK372" t="s">
        <v>4901</v>
      </c>
      <c r="AL372" t="s">
        <v>9</v>
      </c>
      <c r="AM372" t="s">
        <v>9</v>
      </c>
      <c r="AN372" s="5">
        <v>0.59619999999999995</v>
      </c>
      <c r="AO372" t="s">
        <v>9</v>
      </c>
      <c r="AP372" t="s">
        <v>4902</v>
      </c>
      <c r="AQ372" t="s">
        <v>9</v>
      </c>
      <c r="AR372" t="s">
        <v>4903</v>
      </c>
      <c r="AS372" t="s">
        <v>9</v>
      </c>
      <c r="AT372" t="s">
        <v>9</v>
      </c>
      <c r="AU372" t="s">
        <v>4904</v>
      </c>
      <c r="AV372" t="s">
        <v>4905</v>
      </c>
      <c r="AW372" t="s">
        <v>9</v>
      </c>
      <c r="AX372" t="s">
        <v>4906</v>
      </c>
      <c r="AY372" t="s">
        <v>4907</v>
      </c>
      <c r="AZ372" t="s">
        <v>4908</v>
      </c>
      <c r="BA372" t="s">
        <v>4909</v>
      </c>
      <c r="BB372" t="s">
        <v>4910</v>
      </c>
      <c r="BC372" t="s">
        <v>224</v>
      </c>
      <c r="BD372" t="s">
        <v>4768</v>
      </c>
      <c r="BE372" t="s">
        <v>4911</v>
      </c>
      <c r="BF372" t="s">
        <v>4417</v>
      </c>
      <c r="BG372" t="s">
        <v>4912</v>
      </c>
      <c r="BH372" t="s">
        <v>4897</v>
      </c>
      <c r="BI372" t="s">
        <v>9</v>
      </c>
      <c r="BJ372" t="s">
        <v>4906</v>
      </c>
      <c r="BK372" t="s">
        <v>4898</v>
      </c>
      <c r="BL372" t="s">
        <v>9</v>
      </c>
      <c r="BM372" t="s">
        <v>224</v>
      </c>
      <c r="BN372">
        <v>6.33</v>
      </c>
      <c r="BO372">
        <v>7.27</v>
      </c>
      <c r="BP372">
        <v>6</v>
      </c>
      <c r="BQ372">
        <v>7.88</v>
      </c>
      <c r="BR372">
        <v>8.81</v>
      </c>
      <c r="BS372" t="s">
        <v>9</v>
      </c>
      <c r="BT372" t="s">
        <v>4913</v>
      </c>
      <c r="BU372" t="s">
        <v>589</v>
      </c>
      <c r="BV372">
        <v>22.17</v>
      </c>
      <c r="BW372">
        <v>20.88</v>
      </c>
      <c r="BX372">
        <v>20.88</v>
      </c>
      <c r="BY372">
        <v>7.89</v>
      </c>
      <c r="BZ372">
        <v>8.0399999999999991</v>
      </c>
      <c r="CA372">
        <v>7.76</v>
      </c>
      <c r="CB372">
        <v>-0.31</v>
      </c>
      <c r="CC372">
        <v>7.36</v>
      </c>
      <c r="CD372" t="s">
        <v>6471</v>
      </c>
      <c r="CE372" t="s">
        <v>131</v>
      </c>
      <c r="CF372" s="8" t="s">
        <v>9</v>
      </c>
      <c r="CG372" s="9">
        <v>-0.13819999999999999</v>
      </c>
      <c r="CH372" s="8">
        <v>-3.080206923186779E-2</v>
      </c>
      <c r="CI372" s="8">
        <v>0.2161395400762558</v>
      </c>
      <c r="CJ372" s="8">
        <v>0.2366175502538681</v>
      </c>
      <c r="CK372" s="8">
        <v>0.2031637579202652</v>
      </c>
      <c r="CL372" s="8">
        <v>4.1734863072633743E-2</v>
      </c>
      <c r="CM372" s="9">
        <v>-0.13822817802429199</v>
      </c>
      <c r="CN372" s="9">
        <v>0.25911456346511841</v>
      </c>
      <c r="CO372" s="9">
        <v>0.49707597494125366</v>
      </c>
      <c r="CP372" s="9">
        <v>5.1229551434516907E-2</v>
      </c>
      <c r="CQ372" s="9">
        <v>-6.8255019141361117E-4</v>
      </c>
      <c r="CR372">
        <v>39.69620623587803</v>
      </c>
      <c r="CS372">
        <v>4.7923493845809413E-2</v>
      </c>
      <c r="CT372">
        <v>0</v>
      </c>
      <c r="CU372" s="8">
        <v>8.2832454502582546</v>
      </c>
      <c r="CV372" s="9">
        <v>5.5990923285484318</v>
      </c>
      <c r="CW372">
        <v>0.06</v>
      </c>
      <c r="CX372">
        <v>1.1689202387402267</v>
      </c>
      <c r="CY372">
        <v>21894446816.646824</v>
      </c>
      <c r="CZ372">
        <v>8.2832454502582546</v>
      </c>
      <c r="DA372">
        <v>1.5414293895077594E-2</v>
      </c>
      <c r="DB372">
        <v>1660333076182.8042</v>
      </c>
      <c r="DC372">
        <v>7.8690831777453418</v>
      </c>
      <c r="DD372">
        <v>3.9039179009821828E-5</v>
      </c>
      <c r="DE372">
        <v>655568653059049.12</v>
      </c>
      <c r="DF372">
        <v>7.2892559962272641</v>
      </c>
      <c r="DG372">
        <v>2.3710430615295E-8</v>
      </c>
      <c r="DH372">
        <v>1.0793925431067748E+18</v>
      </c>
      <c r="DI372">
        <v>6.6265963602066043</v>
      </c>
      <c r="DJ372">
        <v>6.2331595450504883E-16</v>
      </c>
      <c r="DK372">
        <v>4.1059212129941875E+25</v>
      </c>
      <c r="DL372">
        <v>5.7982718151807777</v>
      </c>
      <c r="DM372">
        <v>2500000000</v>
      </c>
      <c r="DN372">
        <v>8.2832454502582546</v>
      </c>
      <c r="DO372">
        <v>25592862000</v>
      </c>
      <c r="DP372" t="e">
        <v>#VALUE!</v>
      </c>
      <c r="DQ372">
        <v>378</v>
      </c>
      <c r="DR372" t="e">
        <v>#VALUE!</v>
      </c>
      <c r="DS372">
        <v>-5.7372923285484321</v>
      </c>
      <c r="DT372" t="e">
        <v>#VALUE!</v>
      </c>
      <c r="DU372" t="e">
        <v>#VALUE!</v>
      </c>
      <c r="DV372" t="e">
        <v>#VALUE!</v>
      </c>
      <c r="DW372">
        <v>2.0735999999999999</v>
      </c>
      <c r="DX372">
        <v>0.46853867187499704</v>
      </c>
      <c r="DY372">
        <v>2.0101964462500002</v>
      </c>
      <c r="DZ372">
        <v>0</v>
      </c>
      <c r="EA372">
        <v>2.0101964462500002</v>
      </c>
      <c r="EB372">
        <v>2</v>
      </c>
      <c r="EC372">
        <v>4.5991923418887337E-3</v>
      </c>
      <c r="ED372">
        <v>3.3197895429793574E-2</v>
      </c>
      <c r="EE372">
        <v>0</v>
      </c>
      <c r="EF372">
        <v>0</v>
      </c>
      <c r="EG372">
        <v>33.138538671874997</v>
      </c>
      <c r="EH372" t="s">
        <v>110</v>
      </c>
      <c r="EI372">
        <v>1</v>
      </c>
      <c r="EJ372">
        <v>0</v>
      </c>
      <c r="EK372">
        <v>0</v>
      </c>
      <c r="EL372">
        <v>0</v>
      </c>
      <c r="EM372">
        <v>0</v>
      </c>
      <c r="EN372">
        <v>0</v>
      </c>
      <c r="EO372">
        <v>0</v>
      </c>
      <c r="EP372">
        <v>0</v>
      </c>
    </row>
    <row r="373" spans="1:146" ht="108" x14ac:dyDescent="0.25">
      <c r="A373" s="7"/>
      <c r="B373" s="7"/>
      <c r="C373" s="7" t="str">
        <f>""&amp;CHAR(10)&amp;Basic_Fundamental_Information_Constructure(F373)&amp;CHAR(10)&amp;Basic_Fundamental_Information_Concatenate("")</f>
        <v xml:space="preserve">
市值875.03412亿, 利润117.18亿; PE7.72; 平均PE39.35; 平均PEG1.7, PB1.46; ROIC17.1533%; ROE17.1767%; 股利率0%; 毛利37.8467%; 净利23.94%; 上一年度营收增-.39%, 利润增87.91%; 当季营收增-17.63%, 利润增-15.46%; 过往5年营收增23.11%, 利润增15.54%
Income profile:
</v>
      </c>
      <c r="D373" s="11">
        <v>2359</v>
      </c>
      <c r="E373" t="s">
        <v>4914</v>
      </c>
      <c r="F373">
        <v>30.05</v>
      </c>
      <c r="G373" s="5">
        <v>-3.6900000000000002E-2</v>
      </c>
      <c r="H373" t="s">
        <v>11124</v>
      </c>
      <c r="I373">
        <v>87503412000</v>
      </c>
      <c r="J373">
        <v>7.72</v>
      </c>
      <c r="K373">
        <v>1.46</v>
      </c>
      <c r="L373" t="s">
        <v>6350</v>
      </c>
      <c r="M373" t="s">
        <v>11125</v>
      </c>
      <c r="N373" t="s">
        <v>11126</v>
      </c>
      <c r="O373" t="s">
        <v>1239</v>
      </c>
      <c r="P373">
        <v>-10.95</v>
      </c>
      <c r="Q373" t="s">
        <v>11127</v>
      </c>
      <c r="R373">
        <v>11718382400</v>
      </c>
      <c r="S373" s="5">
        <v>-0.15459999999999999</v>
      </c>
      <c r="T373" t="s">
        <v>11128</v>
      </c>
      <c r="U373">
        <v>387076150</v>
      </c>
      <c r="V373">
        <v>2933337000</v>
      </c>
      <c r="W373">
        <v>1.35</v>
      </c>
      <c r="X373">
        <v>0.11</v>
      </c>
      <c r="Y373">
        <v>28.35</v>
      </c>
      <c r="Z373" t="s">
        <v>2882</v>
      </c>
      <c r="AA373" t="s">
        <v>11129</v>
      </c>
      <c r="AB373" t="s">
        <v>3700</v>
      </c>
      <c r="AC373" t="s">
        <v>3534</v>
      </c>
      <c r="AD373" t="s">
        <v>1282</v>
      </c>
      <c r="AE373" t="s">
        <v>11130</v>
      </c>
      <c r="AF373" t="s">
        <v>9</v>
      </c>
      <c r="AG373" t="s">
        <v>1042</v>
      </c>
      <c r="AH373" t="s">
        <v>11131</v>
      </c>
      <c r="AI373" t="s">
        <v>11132</v>
      </c>
      <c r="AJ373" t="s">
        <v>9</v>
      </c>
      <c r="AK373" t="s">
        <v>11133</v>
      </c>
      <c r="AL373" t="s">
        <v>9</v>
      </c>
      <c r="AM373" t="s">
        <v>11134</v>
      </c>
      <c r="AN373" s="5">
        <v>0.25209999999999999</v>
      </c>
      <c r="AO373" t="s">
        <v>3457</v>
      </c>
      <c r="AP373" t="s">
        <v>9</v>
      </c>
      <c r="AQ373" t="s">
        <v>9</v>
      </c>
      <c r="AR373" t="s">
        <v>5466</v>
      </c>
      <c r="AS373" t="s">
        <v>11135</v>
      </c>
      <c r="AT373" t="s">
        <v>3680</v>
      </c>
      <c r="AU373" t="s">
        <v>11136</v>
      </c>
      <c r="AV373" t="s">
        <v>11137</v>
      </c>
      <c r="AW373" t="s">
        <v>5754</v>
      </c>
      <c r="AX373" t="s">
        <v>4915</v>
      </c>
      <c r="AY373" t="s">
        <v>4918</v>
      </c>
      <c r="AZ373" t="s">
        <v>4919</v>
      </c>
      <c r="BA373" t="s">
        <v>4920</v>
      </c>
      <c r="BB373" t="s">
        <v>4921</v>
      </c>
      <c r="BC373" t="s">
        <v>871</v>
      </c>
      <c r="BD373" t="s">
        <v>2038</v>
      </c>
      <c r="BE373" t="s">
        <v>2970</v>
      </c>
      <c r="BF373" t="s">
        <v>4922</v>
      </c>
      <c r="BG373" t="s">
        <v>2065</v>
      </c>
      <c r="BH373" t="s">
        <v>4915</v>
      </c>
      <c r="BI373" t="s">
        <v>4923</v>
      </c>
      <c r="BJ373" t="s">
        <v>4918</v>
      </c>
      <c r="BK373" t="s">
        <v>4916</v>
      </c>
      <c r="BL373" t="s">
        <v>1585</v>
      </c>
      <c r="BM373" t="s">
        <v>871</v>
      </c>
      <c r="BN373">
        <v>19.21</v>
      </c>
      <c r="BO373">
        <v>19.010000000000002</v>
      </c>
      <c r="BP373">
        <v>13.24</v>
      </c>
      <c r="BQ373">
        <v>19.39</v>
      </c>
      <c r="BR373">
        <v>18.91</v>
      </c>
      <c r="BS373">
        <v>13.23</v>
      </c>
      <c r="BT373" t="s">
        <v>4924</v>
      </c>
      <c r="BU373" t="s">
        <v>489</v>
      </c>
      <c r="BV373">
        <v>40.590000000000003</v>
      </c>
      <c r="BW373">
        <v>36.86</v>
      </c>
      <c r="BX373">
        <v>36.090000000000003</v>
      </c>
      <c r="BY373">
        <v>26.77</v>
      </c>
      <c r="BZ373">
        <v>22.62</v>
      </c>
      <c r="CA373">
        <v>22.43</v>
      </c>
      <c r="CB373">
        <v>-3.06</v>
      </c>
      <c r="CC373">
        <v>-25.27</v>
      </c>
      <c r="CD373" t="s">
        <v>11138</v>
      </c>
      <c r="CE373" t="s">
        <v>179</v>
      </c>
      <c r="CF373" s="8">
        <v>-0.17625107645201415</v>
      </c>
      <c r="CG373" s="9">
        <v>-0.15459999999999999</v>
      </c>
      <c r="CH373" s="8">
        <v>-3.9192289113998413E-3</v>
      </c>
      <c r="CI373" s="8">
        <v>0.58308374881744385</v>
      </c>
      <c r="CJ373" s="8">
        <v>0.42290323972702026</v>
      </c>
      <c r="CK373" s="8">
        <v>0.80056643486022949</v>
      </c>
      <c r="CL373" s="8">
        <v>0.17572499811649323</v>
      </c>
      <c r="CM373" s="9">
        <v>0.87908899784088135</v>
      </c>
      <c r="CN373" s="9">
        <v>0.77159100770950317</v>
      </c>
      <c r="CO373" s="9">
        <v>0.69884169101715088</v>
      </c>
      <c r="CP373" s="9">
        <v>-0.19502723217010498</v>
      </c>
      <c r="CQ373" s="9">
        <v>0.74983006715774536</v>
      </c>
      <c r="CR373">
        <v>39.345059352517985</v>
      </c>
      <c r="CS373">
        <v>1.7022349513410051</v>
      </c>
      <c r="CT373">
        <v>0</v>
      </c>
      <c r="CU373" s="8">
        <v>0.23113765418529511</v>
      </c>
      <c r="CV373" s="9">
        <v>0.15544063001871108</v>
      </c>
      <c r="CW373">
        <v>0.06</v>
      </c>
      <c r="CX373">
        <v>3.484631592118844</v>
      </c>
      <c r="CY373">
        <v>13609878331.833292</v>
      </c>
      <c r="CZ373">
        <v>0.23113765418529511</v>
      </c>
      <c r="DA373">
        <v>1.0124755723640713</v>
      </c>
      <c r="DB373">
        <v>46841043176.246155</v>
      </c>
      <c r="DC373">
        <v>0.21958077147603033</v>
      </c>
      <c r="DD373">
        <v>0.42266294738672783</v>
      </c>
      <c r="DE373">
        <v>112206220803.65784</v>
      </c>
      <c r="DF373">
        <v>0.2034011356830597</v>
      </c>
      <c r="DG373">
        <v>0.20848107412991521</v>
      </c>
      <c r="DH373">
        <v>227480658366.36472</v>
      </c>
      <c r="DI373">
        <v>0.18491012334823609</v>
      </c>
      <c r="DJ373">
        <v>6.7434619607100094E-2</v>
      </c>
      <c r="DK373">
        <v>703279892083.89697</v>
      </c>
      <c r="DL373">
        <v>0.16179635792970656</v>
      </c>
      <c r="DM373">
        <v>11718000000</v>
      </c>
      <c r="DN373">
        <v>0.23113765418529511</v>
      </c>
      <c r="DO373">
        <v>47425412000</v>
      </c>
      <c r="DP373" t="e">
        <v>#VALUE!</v>
      </c>
      <c r="DQ373">
        <v>372</v>
      </c>
      <c r="DR373">
        <v>-0.40738873063730929</v>
      </c>
      <c r="DS373">
        <v>-0.31004063001871107</v>
      </c>
      <c r="DT373">
        <v>1.0000000000000011E-2</v>
      </c>
      <c r="DU373">
        <v>0.98333333333333328</v>
      </c>
      <c r="DV373">
        <v>0.99333333333333329</v>
      </c>
      <c r="DW373">
        <v>-8.1210922041946976</v>
      </c>
      <c r="DX373">
        <v>0.34941770833333163</v>
      </c>
      <c r="DY373">
        <v>-8.0156714755639094</v>
      </c>
      <c r="DZ373">
        <v>0</v>
      </c>
      <c r="EA373">
        <v>-8.0156714755639094</v>
      </c>
      <c r="EB373">
        <v>8</v>
      </c>
      <c r="EC373">
        <v>8.4709666840189178E-3</v>
      </c>
      <c r="ED373">
        <v>6.5454463636465912E-2</v>
      </c>
      <c r="EE373">
        <v>0</v>
      </c>
      <c r="EF373">
        <v>0</v>
      </c>
      <c r="EG373">
        <v>22.129417708333332</v>
      </c>
      <c r="EH373" t="s">
        <v>110</v>
      </c>
      <c r="EI373">
        <v>0</v>
      </c>
      <c r="EJ373">
        <v>0</v>
      </c>
      <c r="EK373">
        <v>0</v>
      </c>
      <c r="EL373">
        <v>0</v>
      </c>
      <c r="EM373">
        <v>0</v>
      </c>
      <c r="EN373">
        <v>0</v>
      </c>
      <c r="EO373">
        <v>0</v>
      </c>
      <c r="EP373">
        <v>0</v>
      </c>
    </row>
    <row r="374" spans="1:146" ht="96" x14ac:dyDescent="0.25">
      <c r="A374" s="7"/>
      <c r="B374" s="7"/>
      <c r="C374" s="7" t="str">
        <f>""&amp;CHAR(10)&amp;Basic_Fundamental_Information_Constructure(F374)&amp;CHAR(10)&amp;Basic_Fundamental_Information_Concatenate("")</f>
        <v xml:space="preserve">
市值98.766448亿, 利润-9027.95万; PE; 平均PE16.88; 平均PEG3.72, PB1.28; ROIC3.1067%; ROE3.61%; 股利率0%; 毛利22.4133%; 净利6.2133%; 上一年度营收增-27.51%, 利润增-109.6%, 利润增-1225%; 过往5年营收增4.54%, 利润增80.09%
Income profile:
</v>
      </c>
      <c r="D374" s="11">
        <v>2362</v>
      </c>
      <c r="E374" t="s">
        <v>4925</v>
      </c>
      <c r="F374">
        <v>0.79</v>
      </c>
      <c r="G374" s="5">
        <v>1.2800000000000001E-2</v>
      </c>
      <c r="H374" t="s">
        <v>11139</v>
      </c>
      <c r="I374">
        <v>9876644800</v>
      </c>
      <c r="K374">
        <v>1.28</v>
      </c>
      <c r="L374" t="s">
        <v>6350</v>
      </c>
      <c r="M374" t="s">
        <v>9</v>
      </c>
      <c r="N374" t="s">
        <v>9</v>
      </c>
      <c r="O374" t="s">
        <v>9</v>
      </c>
      <c r="P374" t="s">
        <v>9</v>
      </c>
      <c r="Q374" t="s">
        <v>11140</v>
      </c>
      <c r="R374">
        <v>-90279538</v>
      </c>
      <c r="S374" s="5">
        <v>-12.25</v>
      </c>
      <c r="T374" t="s">
        <v>11141</v>
      </c>
      <c r="U374">
        <v>12502082100</v>
      </c>
      <c r="V374">
        <v>12502082100</v>
      </c>
      <c r="W374" t="s">
        <v>9</v>
      </c>
      <c r="X374" t="s">
        <v>9</v>
      </c>
      <c r="Y374" t="s">
        <v>9</v>
      </c>
      <c r="Z374" t="s">
        <v>9</v>
      </c>
      <c r="AA374" t="s">
        <v>9</v>
      </c>
      <c r="AB374" t="s">
        <v>9</v>
      </c>
      <c r="AC374" t="s">
        <v>9</v>
      </c>
      <c r="AD374" t="s">
        <v>9</v>
      </c>
      <c r="AE374" t="s">
        <v>9</v>
      </c>
      <c r="AF374" t="s">
        <v>9</v>
      </c>
      <c r="AG374" t="s">
        <v>9</v>
      </c>
      <c r="AH374" t="s">
        <v>11142</v>
      </c>
      <c r="AI374" t="s">
        <v>9</v>
      </c>
      <c r="AJ374" t="s">
        <v>9</v>
      </c>
      <c r="AK374" t="s">
        <v>11143</v>
      </c>
      <c r="AL374" t="s">
        <v>9</v>
      </c>
      <c r="AM374" t="s">
        <v>9</v>
      </c>
      <c r="AN374" s="5">
        <v>0.47020000000000001</v>
      </c>
      <c r="AO374" t="s">
        <v>9</v>
      </c>
      <c r="AP374" t="s">
        <v>4547</v>
      </c>
      <c r="AQ374" t="s">
        <v>9</v>
      </c>
      <c r="AR374" t="s">
        <v>11144</v>
      </c>
      <c r="AS374" t="s">
        <v>9</v>
      </c>
      <c r="AT374" t="s">
        <v>9</v>
      </c>
      <c r="AU374" t="s">
        <v>33</v>
      </c>
      <c r="AV374" t="s">
        <v>11145</v>
      </c>
      <c r="AW374" t="s">
        <v>9</v>
      </c>
      <c r="AX374" t="s">
        <v>4926</v>
      </c>
      <c r="AY374" t="s">
        <v>4928</v>
      </c>
      <c r="AZ374" t="s">
        <v>4929</v>
      </c>
      <c r="BA374" t="s">
        <v>4930</v>
      </c>
      <c r="BB374" t="s">
        <v>4931</v>
      </c>
      <c r="BC374" t="s">
        <v>4932</v>
      </c>
      <c r="BD374" t="s">
        <v>568</v>
      </c>
      <c r="BE374" t="s">
        <v>4933</v>
      </c>
      <c r="BF374" t="s">
        <v>1143</v>
      </c>
      <c r="BG374" t="s">
        <v>2335</v>
      </c>
      <c r="BH374" t="s">
        <v>4926</v>
      </c>
      <c r="BI374" t="s">
        <v>9</v>
      </c>
      <c r="BJ374" t="s">
        <v>4928</v>
      </c>
      <c r="BK374" t="s">
        <v>4927</v>
      </c>
      <c r="BL374" t="s">
        <v>9</v>
      </c>
      <c r="BM374" t="s">
        <v>4932</v>
      </c>
      <c r="BN374">
        <v>-0.94</v>
      </c>
      <c r="BO374">
        <v>0.08</v>
      </c>
      <c r="BP374">
        <v>10.18</v>
      </c>
      <c r="BQ374">
        <v>-1.17</v>
      </c>
      <c r="BR374">
        <v>0.1</v>
      </c>
      <c r="BS374">
        <v>11.9</v>
      </c>
      <c r="BT374" t="s">
        <v>28</v>
      </c>
      <c r="BU374" t="s">
        <v>1254</v>
      </c>
      <c r="BV374">
        <v>15.72</v>
      </c>
      <c r="BW374">
        <v>15.36</v>
      </c>
      <c r="BX374">
        <v>36.159999999999997</v>
      </c>
      <c r="BY374">
        <v>-1.67</v>
      </c>
      <c r="BZ374">
        <v>0.78</v>
      </c>
      <c r="CA374">
        <v>19.53</v>
      </c>
      <c r="CB374">
        <v>-5.95</v>
      </c>
      <c r="CC374">
        <v>-15.05</v>
      </c>
      <c r="CD374" t="s">
        <v>11146</v>
      </c>
      <c r="CE374" t="s">
        <v>5871</v>
      </c>
      <c r="CF374" s="8" t="s">
        <v>9</v>
      </c>
      <c r="CG374" s="9">
        <v>-12.25</v>
      </c>
      <c r="CH374" s="8">
        <v>-0.27513068914413452</v>
      </c>
      <c r="CI374" s="8">
        <v>6.1199270188808441E-2</v>
      </c>
      <c r="CJ374" s="8">
        <v>0.25912266969680786</v>
      </c>
      <c r="CK374" s="8">
        <v>-0.53022706508636475</v>
      </c>
      <c r="CL374" s="8">
        <v>1.5558143854141235</v>
      </c>
      <c r="CM374" s="9">
        <v>-1.0960420370101929</v>
      </c>
      <c r="CN374" s="9">
        <v>3.0517241954803467</v>
      </c>
      <c r="CO374" s="9">
        <v>2.4068901538848877</v>
      </c>
      <c r="CP374" s="9">
        <v>-0.87004333734512329</v>
      </c>
      <c r="CQ374" s="9">
        <v>0.61230766773223877</v>
      </c>
      <c r="CR374">
        <v>16.879688599533914</v>
      </c>
      <c r="CS374">
        <v>3.7205988838432931</v>
      </c>
      <c r="CT374">
        <v>0</v>
      </c>
      <c r="CU374" s="8">
        <v>4.5368203148245814E-2</v>
      </c>
      <c r="CV374" s="9">
        <v>0.80088781714439394</v>
      </c>
      <c r="CW374">
        <v>0.06</v>
      </c>
      <c r="CX374" t="e">
        <v>#VALUE!</v>
      </c>
      <c r="CY374" t="s">
        <v>109</v>
      </c>
      <c r="CZ374">
        <v>4.5368203148245814E-2</v>
      </c>
      <c r="DA374" t="e">
        <v>#VALUE!</v>
      </c>
      <c r="DB374" t="s">
        <v>108</v>
      </c>
      <c r="DC374">
        <v>4.3099792990833524E-2</v>
      </c>
      <c r="DD374" t="e">
        <v>#VALUE!</v>
      </c>
      <c r="DE374" t="s">
        <v>108</v>
      </c>
      <c r="DF374">
        <v>3.9924018770456315E-2</v>
      </c>
      <c r="DG374" t="e">
        <v>#VALUE!</v>
      </c>
      <c r="DH374" t="s">
        <v>108</v>
      </c>
      <c r="DI374">
        <v>3.6294562518596654E-2</v>
      </c>
      <c r="DJ374" t="e">
        <v>#VALUE!</v>
      </c>
      <c r="DK374" t="s">
        <v>108</v>
      </c>
      <c r="DL374">
        <v>3.1757742203772067E-2</v>
      </c>
      <c r="DM374">
        <v>-90279500</v>
      </c>
      <c r="DN374">
        <v>4.5368203148245814E-2</v>
      </c>
      <c r="DO374">
        <v>9876644800</v>
      </c>
      <c r="DP374" t="e">
        <v>#VALUE!</v>
      </c>
      <c r="DQ374">
        <v>373</v>
      </c>
      <c r="DR374" t="e">
        <v>#VALUE!</v>
      </c>
      <c r="DS374">
        <v>-13.050887817144394</v>
      </c>
      <c r="DT374" t="e">
        <v>#VALUE!</v>
      </c>
      <c r="DU374" t="e">
        <v>#VALUE!</v>
      </c>
      <c r="DV374" t="e">
        <v>#VALUE!</v>
      </c>
      <c r="DW374">
        <v>-8.395348837209303</v>
      </c>
      <c r="DX374">
        <v>0.25006699147381173</v>
      </c>
      <c r="DY374">
        <v>-8.0356078803501116</v>
      </c>
      <c r="DZ374">
        <v>0</v>
      </c>
      <c r="EA374">
        <v>-8.0356078803501116</v>
      </c>
      <c r="EB374">
        <v>8</v>
      </c>
      <c r="EC374">
        <v>5.9146148144395881E-3</v>
      </c>
      <c r="ED374">
        <v>6.5669061635741474E-2</v>
      </c>
      <c r="EE374">
        <v>0</v>
      </c>
      <c r="EF374">
        <v>0</v>
      </c>
      <c r="EG374">
        <v>16.090066991473812</v>
      </c>
      <c r="EH374" t="s">
        <v>110</v>
      </c>
      <c r="EI374">
        <v>0</v>
      </c>
      <c r="EJ374">
        <v>0</v>
      </c>
      <c r="EK374">
        <v>0</v>
      </c>
      <c r="EL374">
        <v>0</v>
      </c>
      <c r="EM374">
        <v>0</v>
      </c>
      <c r="EN374">
        <v>0</v>
      </c>
      <c r="EO374">
        <v>0</v>
      </c>
      <c r="EP374">
        <v>0</v>
      </c>
    </row>
    <row r="375" spans="1:146" ht="84" x14ac:dyDescent="0.25">
      <c r="A375" s="7"/>
      <c r="B375" s="7"/>
      <c r="C375" s="7" t="str">
        <f>""&amp;CHAR(10)&amp;Basic_Fundamental_Information_Constructure(F375)&amp;CHAR(10)&amp;Basic_Fundamental_Information_Concatenate("")</f>
        <v xml:space="preserve">
市值451.90269亿, 利润15.91亿; PE28.4; 平均PE131.25; 平均PEG39.67, PB9.45; ROIC46.2%; ROE50.0267%; 股利率0%; 毛利84.01%; 净利41.725%; 上一年度营收增44.84%, 利润增56.9%, 利润增102.7%; 过往5年营收增3.31%, 利润增104.89%
Income profile:
</v>
      </c>
      <c r="D375" s="11">
        <v>2367</v>
      </c>
      <c r="E375" t="s">
        <v>4934</v>
      </c>
      <c r="F375">
        <v>43.95</v>
      </c>
      <c r="G375" s="5">
        <v>-3.09E-2</v>
      </c>
      <c r="H375" t="s">
        <v>11147</v>
      </c>
      <c r="I375">
        <v>45190269000</v>
      </c>
      <c r="J375">
        <v>28.4</v>
      </c>
      <c r="K375">
        <v>9.4499999999999993</v>
      </c>
      <c r="L375" t="s">
        <v>6350</v>
      </c>
      <c r="M375" t="s">
        <v>9</v>
      </c>
      <c r="N375" t="s">
        <v>9</v>
      </c>
      <c r="O375" t="s">
        <v>9</v>
      </c>
      <c r="P375" t="s">
        <v>9</v>
      </c>
      <c r="Q375" t="s">
        <v>11148</v>
      </c>
      <c r="R375">
        <v>1591411600</v>
      </c>
      <c r="S375" s="5">
        <v>1.0269999999999999</v>
      </c>
      <c r="T375" t="s">
        <v>3221</v>
      </c>
      <c r="U375">
        <v>995000000</v>
      </c>
      <c r="V375">
        <v>995000000</v>
      </c>
      <c r="W375" t="s">
        <v>9</v>
      </c>
      <c r="X375" t="s">
        <v>9</v>
      </c>
      <c r="Y375" t="s">
        <v>9</v>
      </c>
      <c r="Z375" t="s">
        <v>9</v>
      </c>
      <c r="AA375" t="s">
        <v>9</v>
      </c>
      <c r="AB375" t="s">
        <v>9</v>
      </c>
      <c r="AC375" t="s">
        <v>9</v>
      </c>
      <c r="AD375" t="s">
        <v>11149</v>
      </c>
      <c r="AE375" t="s">
        <v>9</v>
      </c>
      <c r="AF375" t="s">
        <v>9</v>
      </c>
      <c r="AG375" t="s">
        <v>9</v>
      </c>
      <c r="AH375" t="s">
        <v>11150</v>
      </c>
      <c r="AI375" t="s">
        <v>9</v>
      </c>
      <c r="AJ375" t="s">
        <v>9</v>
      </c>
      <c r="AK375" t="s">
        <v>11151</v>
      </c>
      <c r="AL375" t="s">
        <v>9</v>
      </c>
      <c r="AM375" t="s">
        <v>9</v>
      </c>
      <c r="AN375" s="5">
        <v>0.1211</v>
      </c>
      <c r="AO375" t="s">
        <v>9</v>
      </c>
      <c r="AP375" t="s">
        <v>2543</v>
      </c>
      <c r="AQ375" t="s">
        <v>9</v>
      </c>
      <c r="AR375" t="s">
        <v>101</v>
      </c>
      <c r="AS375" t="s">
        <v>9</v>
      </c>
      <c r="AT375" t="s">
        <v>9</v>
      </c>
      <c r="AU375" t="s">
        <v>11152</v>
      </c>
      <c r="AV375" t="s">
        <v>11153</v>
      </c>
      <c r="AW375" t="s">
        <v>9</v>
      </c>
      <c r="AX375" t="s">
        <v>4285</v>
      </c>
      <c r="AY375" t="s">
        <v>4188</v>
      </c>
      <c r="AZ375" t="s">
        <v>2788</v>
      </c>
      <c r="BA375" t="s">
        <v>9</v>
      </c>
      <c r="BB375" t="s">
        <v>9</v>
      </c>
      <c r="BC375" t="s">
        <v>5776</v>
      </c>
      <c r="BD375" t="s">
        <v>4474</v>
      </c>
      <c r="BE375" t="s">
        <v>9</v>
      </c>
      <c r="BF375" t="s">
        <v>9</v>
      </c>
      <c r="BG375" t="s">
        <v>9</v>
      </c>
      <c r="BH375" t="s">
        <v>4285</v>
      </c>
      <c r="BI375" t="s">
        <v>9</v>
      </c>
      <c r="BJ375" t="s">
        <v>4188</v>
      </c>
      <c r="BK375" t="s">
        <v>4935</v>
      </c>
      <c r="BL375" t="s">
        <v>9</v>
      </c>
      <c r="BM375" t="s">
        <v>5776</v>
      </c>
      <c r="BN375">
        <v>40.35</v>
      </c>
      <c r="BO375">
        <v>52.05</v>
      </c>
      <c r="BP375" t="s">
        <v>9</v>
      </c>
      <c r="BQ375">
        <v>33.28</v>
      </c>
      <c r="BR375">
        <v>35.36</v>
      </c>
      <c r="BS375">
        <v>81.44</v>
      </c>
      <c r="BT375" t="s">
        <v>9</v>
      </c>
      <c r="BU375" t="s">
        <v>489</v>
      </c>
      <c r="BV375">
        <v>83.63</v>
      </c>
      <c r="BW375">
        <v>84.39</v>
      </c>
      <c r="BX375" t="s">
        <v>9</v>
      </c>
      <c r="BY375">
        <v>41.09</v>
      </c>
      <c r="BZ375">
        <v>42.36</v>
      </c>
      <c r="CA375" t="s">
        <v>9</v>
      </c>
      <c r="CB375">
        <v>-5.89</v>
      </c>
      <c r="CC375">
        <v>-15.77</v>
      </c>
      <c r="CD375" t="s">
        <v>11154</v>
      </c>
      <c r="CE375" t="s">
        <v>2146</v>
      </c>
      <c r="CF375" s="8" t="s">
        <v>9</v>
      </c>
      <c r="CG375" s="9">
        <v>1.0269999999999999</v>
      </c>
      <c r="CH375" s="8">
        <v>0.44844391942024231</v>
      </c>
      <c r="CI375" s="8">
        <v>0.40294581651687622</v>
      </c>
      <c r="CJ375" s="8">
        <v>0.33967581391334534</v>
      </c>
      <c r="CK375" s="8" t="s">
        <v>9</v>
      </c>
      <c r="CL375" s="8" t="s">
        <v>9</v>
      </c>
      <c r="CM375" s="9">
        <v>0.56903362274169922</v>
      </c>
      <c r="CN375" s="9">
        <v>2.9441624879837036E-2</v>
      </c>
      <c r="CO375" s="9" t="s">
        <v>9</v>
      </c>
      <c r="CP375" s="9" t="s">
        <v>9</v>
      </c>
      <c r="CQ375" s="9" t="s">
        <v>9</v>
      </c>
      <c r="CR375">
        <v>131.24822544393913</v>
      </c>
      <c r="CS375">
        <v>39.670455822250354</v>
      </c>
      <c r="CT375">
        <v>0</v>
      </c>
      <c r="CU375" s="8">
        <v>3.3084627520292995E-2</v>
      </c>
      <c r="CV375" s="9">
        <v>1.0489066909998654</v>
      </c>
      <c r="CW375">
        <v>0.06</v>
      </c>
      <c r="CX375">
        <v>29.143701692362381</v>
      </c>
      <c r="CY375">
        <v>1550601549.4196093</v>
      </c>
      <c r="CZ375">
        <v>3.3084627520292995E-2</v>
      </c>
      <c r="DA375">
        <v>9.9971753406744082</v>
      </c>
      <c r="DB375">
        <v>4520303731.8090563</v>
      </c>
      <c r="DC375">
        <v>3.1430396144278346E-2</v>
      </c>
      <c r="DD375">
        <v>5.2434541916202475</v>
      </c>
      <c r="DE375">
        <v>8618415904.5806465</v>
      </c>
      <c r="DF375">
        <v>2.9114472217857835E-2</v>
      </c>
      <c r="DG375">
        <v>3.3752687210200372</v>
      </c>
      <c r="DH375">
        <v>13388643315.588539</v>
      </c>
      <c r="DI375">
        <v>2.6467702016234398E-2</v>
      </c>
      <c r="DJ375">
        <v>2.0167650273434865</v>
      </c>
      <c r="DK375">
        <v>22407304959.827328</v>
      </c>
      <c r="DL375">
        <v>2.3159239264205093E-2</v>
      </c>
      <c r="DM375">
        <v>1591000000</v>
      </c>
      <c r="DN375">
        <v>3.3084627520292995E-2</v>
      </c>
      <c r="DO375">
        <v>45190269000</v>
      </c>
      <c r="DP375" t="e">
        <v>#VALUE!</v>
      </c>
      <c r="DQ375">
        <v>374</v>
      </c>
      <c r="DR375" t="e">
        <v>#VALUE!</v>
      </c>
      <c r="DS375">
        <v>-2.190669099986553E-2</v>
      </c>
      <c r="DT375" t="e">
        <v>#VALUE!</v>
      </c>
      <c r="DU375" t="e">
        <v>#VALUE!</v>
      </c>
      <c r="DV375" t="e">
        <v>#VALUE!</v>
      </c>
      <c r="DW375">
        <v>-8.3734939759036138</v>
      </c>
      <c r="DX375">
        <v>0.25322483660130712</v>
      </c>
      <c r="DY375">
        <v>-8.0572285534294039</v>
      </c>
      <c r="DZ375">
        <v>0</v>
      </c>
      <c r="EA375">
        <v>-8.0572285534294039</v>
      </c>
      <c r="EB375">
        <v>8</v>
      </c>
      <c r="EC375">
        <v>2.3561206030150755E-2</v>
      </c>
      <c r="ED375">
        <v>0.15376884422110554</v>
      </c>
      <c r="EE375">
        <v>0</v>
      </c>
      <c r="EF375">
        <v>0</v>
      </c>
      <c r="EG375">
        <v>10.153224836601307</v>
      </c>
      <c r="EH375" t="s">
        <v>110</v>
      </c>
      <c r="EI375">
        <v>0</v>
      </c>
      <c r="EJ375">
        <v>0</v>
      </c>
      <c r="EK375">
        <v>0</v>
      </c>
      <c r="EL375">
        <v>0</v>
      </c>
      <c r="EM375">
        <v>0</v>
      </c>
      <c r="EN375">
        <v>0</v>
      </c>
      <c r="EO375">
        <v>0</v>
      </c>
      <c r="EP375">
        <v>0</v>
      </c>
    </row>
    <row r="376" spans="1:146" ht="96" x14ac:dyDescent="0.25">
      <c r="A376" s="7"/>
      <c r="B376" s="7"/>
      <c r="C376" s="7" t="str">
        <f>""&amp;CHAR(10)&amp;Basic_Fundamental_Information_Constructure(F376)&amp;CHAR(10)&amp;Basic_Fundamental_Information_Concatenate("")</f>
        <v xml:space="preserve">
市值2009.5097亿, 利润132.87亿; PE15.12; 平均PE77.28; 平均PEG47.36, PB1.44; ROIC0%; ROE1.1567%; 毛利0%; 净利-2.45%; 上一年度营收增195.66%, 利润增183.44%, 利润增269%; 过往5年营收增-1.63%, 利润增-42.76%
Income profile:
</v>
      </c>
      <c r="D376" s="11">
        <v>2378</v>
      </c>
      <c r="E376" t="s">
        <v>4937</v>
      </c>
      <c r="F376">
        <v>73.099999999999994</v>
      </c>
      <c r="G376" s="5">
        <v>-1.2200000000000001E-2</v>
      </c>
      <c r="H376" t="s">
        <v>11155</v>
      </c>
      <c r="I376">
        <v>200950970000</v>
      </c>
      <c r="J376">
        <v>15.12</v>
      </c>
      <c r="K376">
        <v>1.44</v>
      </c>
      <c r="L376" t="s">
        <v>6350</v>
      </c>
      <c r="M376" t="s">
        <v>9</v>
      </c>
      <c r="N376" t="s">
        <v>9</v>
      </c>
      <c r="O376" t="s">
        <v>9</v>
      </c>
      <c r="P376" t="s">
        <v>9</v>
      </c>
      <c r="Q376" t="s">
        <v>11156</v>
      </c>
      <c r="R376">
        <v>13286511000</v>
      </c>
      <c r="S376" s="5">
        <v>2.69</v>
      </c>
      <c r="T376" t="s">
        <v>11157</v>
      </c>
      <c r="U376">
        <v>2750428000</v>
      </c>
      <c r="V376">
        <v>2750428000</v>
      </c>
      <c r="W376" t="s">
        <v>9</v>
      </c>
      <c r="X376" t="s">
        <v>9</v>
      </c>
      <c r="Y376" t="s">
        <v>9</v>
      </c>
      <c r="Z376" t="s">
        <v>9</v>
      </c>
      <c r="AA376" t="s">
        <v>9</v>
      </c>
      <c r="AB376" t="s">
        <v>9</v>
      </c>
      <c r="AC376" t="s">
        <v>9</v>
      </c>
      <c r="AD376" t="s">
        <v>9</v>
      </c>
      <c r="AE376" t="s">
        <v>9</v>
      </c>
      <c r="AF376" t="s">
        <v>9</v>
      </c>
      <c r="AG376" t="s">
        <v>9</v>
      </c>
      <c r="AH376" t="s">
        <v>11158</v>
      </c>
      <c r="AI376" t="s">
        <v>9</v>
      </c>
      <c r="AJ376" t="s">
        <v>9</v>
      </c>
      <c r="AK376" t="s">
        <v>11159</v>
      </c>
      <c r="AL376" t="s">
        <v>9</v>
      </c>
      <c r="AM376" t="s">
        <v>9</v>
      </c>
      <c r="AN376" s="5">
        <v>0.89670000000000005</v>
      </c>
      <c r="AO376" t="s">
        <v>9</v>
      </c>
      <c r="AP376" t="s">
        <v>9</v>
      </c>
      <c r="AQ376" t="s">
        <v>9</v>
      </c>
      <c r="AR376" t="s">
        <v>9</v>
      </c>
      <c r="AS376" t="s">
        <v>9</v>
      </c>
      <c r="AT376" t="s">
        <v>9</v>
      </c>
      <c r="AU376" t="s">
        <v>11160</v>
      </c>
      <c r="AV376" t="s">
        <v>3131</v>
      </c>
      <c r="AW376" t="s">
        <v>9</v>
      </c>
      <c r="AX376" t="s">
        <v>11161</v>
      </c>
      <c r="AY376" t="s">
        <v>4938</v>
      </c>
      <c r="AZ376" t="s">
        <v>4939</v>
      </c>
      <c r="BA376" t="s">
        <v>4940</v>
      </c>
      <c r="BB376" t="s">
        <v>4941</v>
      </c>
      <c r="BC376" t="s">
        <v>4942</v>
      </c>
      <c r="BD376" t="s">
        <v>4943</v>
      </c>
      <c r="BE376" t="s">
        <v>4944</v>
      </c>
      <c r="BF376" t="s">
        <v>4945</v>
      </c>
      <c r="BG376" t="s">
        <v>4946</v>
      </c>
      <c r="BH376" t="s">
        <v>11161</v>
      </c>
      <c r="BI376" t="s">
        <v>9</v>
      </c>
      <c r="BJ376" t="s">
        <v>4938</v>
      </c>
      <c r="BK376" t="s">
        <v>11162</v>
      </c>
      <c r="BL376" t="s">
        <v>9</v>
      </c>
      <c r="BM376" t="s">
        <v>4942</v>
      </c>
      <c r="BN376" t="s">
        <v>9</v>
      </c>
      <c r="BO376" t="s">
        <v>9</v>
      </c>
      <c r="BP376" t="s">
        <v>9</v>
      </c>
      <c r="BQ376">
        <v>9.5399999999999991</v>
      </c>
      <c r="BR376">
        <v>5.88</v>
      </c>
      <c r="BS376">
        <v>-11.95</v>
      </c>
      <c r="BT376" t="s">
        <v>11163</v>
      </c>
      <c r="BU376" t="s">
        <v>2704</v>
      </c>
      <c r="BV376" t="s">
        <v>9</v>
      </c>
      <c r="BW376" t="s">
        <v>9</v>
      </c>
      <c r="BX376" t="s">
        <v>9</v>
      </c>
      <c r="BY376">
        <v>8.7799999999999994</v>
      </c>
      <c r="BZ376">
        <v>-12.25</v>
      </c>
      <c r="CA376">
        <v>-3.88</v>
      </c>
      <c r="CB376">
        <v>4.5</v>
      </c>
      <c r="CC376">
        <v>-4.9400000000000004</v>
      </c>
      <c r="CD376" t="s">
        <v>11164</v>
      </c>
      <c r="CE376" t="s">
        <v>11165</v>
      </c>
      <c r="CF376" s="8" t="s">
        <v>9</v>
      </c>
      <c r="CG376" s="9">
        <v>2.69</v>
      </c>
      <c r="CH376" s="8">
        <v>1.9566326141357422</v>
      </c>
      <c r="CI376" s="8">
        <v>-1.281779408454895</v>
      </c>
      <c r="CJ376" s="8">
        <v>0.30142128467559814</v>
      </c>
      <c r="CK376" s="8">
        <v>0.54640501737594604</v>
      </c>
      <c r="CL376" s="8">
        <v>-0.69186729192733765</v>
      </c>
      <c r="CM376" s="9">
        <v>1.83440101146698</v>
      </c>
      <c r="CN376" s="9">
        <v>-1.9697338342666626</v>
      </c>
      <c r="CO376" s="9">
        <v>1.6932919025421143</v>
      </c>
      <c r="CP376" s="9">
        <v>-0.80635219812393188</v>
      </c>
      <c r="CQ376" s="9">
        <v>0.2493056058883667</v>
      </c>
      <c r="CR376">
        <v>77.278927060633251</v>
      </c>
      <c r="CS376">
        <v>47.359754309192148</v>
      </c>
      <c r="CT376" t="e">
        <v>#VALUE!</v>
      </c>
      <c r="CU376" s="8">
        <v>-1.6317425668239592E-2</v>
      </c>
      <c r="CV376" s="9">
        <v>-0.42755497694015504</v>
      </c>
      <c r="CW376">
        <v>0.06</v>
      </c>
      <c r="CX376">
        <v>15.123878226838263</v>
      </c>
      <c r="CY376" t="s">
        <v>11166</v>
      </c>
      <c r="CZ376">
        <v>-1.6317425668239592E-2</v>
      </c>
      <c r="DA376">
        <v>5.0412927422794214</v>
      </c>
      <c r="DB376" t="s">
        <v>11167</v>
      </c>
      <c r="DC376">
        <v>-1.5501554384827611E-2</v>
      </c>
      <c r="DD376">
        <v>2.5206463711397107</v>
      </c>
      <c r="DE376" t="s">
        <v>11168</v>
      </c>
      <c r="DF376">
        <v>-1.435933458805084E-2</v>
      </c>
      <c r="DG376">
        <v>1.5123878226838263</v>
      </c>
      <c r="DH376" t="s">
        <v>11169</v>
      </c>
      <c r="DI376">
        <v>-1.3053940534591675E-2</v>
      </c>
      <c r="DJ376">
        <v>0.75619391134191316</v>
      </c>
      <c r="DK376" t="s">
        <v>11170</v>
      </c>
      <c r="DL376">
        <v>-1.1422197967767713E-2</v>
      </c>
      <c r="DM376">
        <v>13287000000</v>
      </c>
      <c r="DN376">
        <v>-1.6317425668239592E-2</v>
      </c>
      <c r="DO376">
        <v>200950970000</v>
      </c>
      <c r="DP376" t="e">
        <v>#VALUE!</v>
      </c>
      <c r="DQ376">
        <v>375</v>
      </c>
      <c r="DR376" t="e">
        <v>#VALUE!</v>
      </c>
      <c r="DS376">
        <v>3.1175549769401552</v>
      </c>
      <c r="DT376" t="e">
        <v>#VALUE!</v>
      </c>
      <c r="DU376" t="e">
        <v>#VALUE!</v>
      </c>
      <c r="DV376" t="e">
        <v>#VALUE!</v>
      </c>
      <c r="DW376">
        <v>6.476694915254237</v>
      </c>
      <c r="DX376">
        <v>0.26064399275508116</v>
      </c>
      <c r="DY376">
        <v>6.0956459711226554</v>
      </c>
      <c r="DZ376">
        <v>0</v>
      </c>
      <c r="EA376">
        <v>6.0956459711226554</v>
      </c>
      <c r="EB376">
        <v>6</v>
      </c>
      <c r="EC376">
        <v>2.5374232664879796E-4</v>
      </c>
      <c r="ED376">
        <v>1.2646395397370883E-3</v>
      </c>
      <c r="EE376">
        <v>0</v>
      </c>
      <c r="EF376">
        <v>0</v>
      </c>
      <c r="EG376">
        <v>6.2006439927550812</v>
      </c>
      <c r="EH376" t="s">
        <v>110</v>
      </c>
      <c r="EI376">
        <v>0</v>
      </c>
      <c r="EJ376">
        <v>0</v>
      </c>
      <c r="EK376">
        <v>0</v>
      </c>
      <c r="EL376">
        <v>0</v>
      </c>
      <c r="EM376">
        <v>0</v>
      </c>
      <c r="EN376">
        <v>0</v>
      </c>
      <c r="EO376">
        <v>0</v>
      </c>
      <c r="EP376">
        <v>0</v>
      </c>
    </row>
    <row r="377" spans="1:146" ht="96" x14ac:dyDescent="0.25">
      <c r="A377" s="7"/>
      <c r="B377" s="7"/>
      <c r="C377" s="7" t="str">
        <f>""&amp;CHAR(10)&amp;Basic_Fundamental_Information_Constructure(F377)&amp;CHAR(10)&amp;Basic_Fundamental_Information_Concatenate("")</f>
        <v xml:space="preserve">
市值482.43589亿, 利润29.16亿; PE16.54; 平均PE43.63; 平均PEG.05, PB.821; ROIC.8567%; ROE2.8067%; 股利率0%; 毛利50.65%; 净利5.6267%; 上一年度营收增-1.55%, 利润增710.04%, 利润增4.2%; 过往5年营收增829.39%, 利润增535.83%
Income profile:
</v>
      </c>
      <c r="D377" s="11">
        <v>2380</v>
      </c>
      <c r="E377" t="s">
        <v>4947</v>
      </c>
      <c r="F377">
        <v>3.9</v>
      </c>
      <c r="G377" s="5">
        <v>-1.7600000000000001E-2</v>
      </c>
      <c r="H377" t="s">
        <v>11171</v>
      </c>
      <c r="I377">
        <v>48243589000</v>
      </c>
      <c r="J377">
        <v>16.54</v>
      </c>
      <c r="K377">
        <v>0.82099999999999995</v>
      </c>
      <c r="L377" t="s">
        <v>6350</v>
      </c>
      <c r="M377" t="s">
        <v>9</v>
      </c>
      <c r="N377" t="s">
        <v>9</v>
      </c>
      <c r="O377" t="s">
        <v>9</v>
      </c>
      <c r="P377" t="s">
        <v>9</v>
      </c>
      <c r="Q377" t="s">
        <v>11172</v>
      </c>
      <c r="R377">
        <v>2916245000</v>
      </c>
      <c r="S377" s="5">
        <v>4.2000000000000003E-2</v>
      </c>
      <c r="T377" t="s">
        <v>5607</v>
      </c>
      <c r="U377">
        <v>12370151000</v>
      </c>
      <c r="V377">
        <v>12370151000</v>
      </c>
      <c r="W377" t="s">
        <v>9</v>
      </c>
      <c r="X377" t="s">
        <v>9</v>
      </c>
      <c r="Y377" t="s">
        <v>9</v>
      </c>
      <c r="Z377" t="s">
        <v>9</v>
      </c>
      <c r="AA377" t="s">
        <v>9</v>
      </c>
      <c r="AB377" t="s">
        <v>9</v>
      </c>
      <c r="AC377" t="s">
        <v>9</v>
      </c>
      <c r="AD377" t="s">
        <v>2008</v>
      </c>
      <c r="AE377" t="s">
        <v>9</v>
      </c>
      <c r="AF377" t="s">
        <v>9</v>
      </c>
      <c r="AG377" t="s">
        <v>9</v>
      </c>
      <c r="AH377" t="s">
        <v>11173</v>
      </c>
      <c r="AI377" t="s">
        <v>9</v>
      </c>
      <c r="AJ377" t="s">
        <v>9</v>
      </c>
      <c r="AK377" t="s">
        <v>11174</v>
      </c>
      <c r="AL377" t="s">
        <v>9</v>
      </c>
      <c r="AM377" t="s">
        <v>9</v>
      </c>
      <c r="AN377" s="5">
        <v>0.68930000000000002</v>
      </c>
      <c r="AO377" t="s">
        <v>9</v>
      </c>
      <c r="AP377" t="s">
        <v>11175</v>
      </c>
      <c r="AQ377" t="s">
        <v>9</v>
      </c>
      <c r="AR377" t="s">
        <v>11176</v>
      </c>
      <c r="AS377" t="s">
        <v>9</v>
      </c>
      <c r="AT377" t="s">
        <v>9</v>
      </c>
      <c r="AU377" t="s">
        <v>10781</v>
      </c>
      <c r="AV377" t="s">
        <v>11177</v>
      </c>
      <c r="AW377" t="s">
        <v>9</v>
      </c>
      <c r="AX377" t="s">
        <v>4948</v>
      </c>
      <c r="AY377" t="s">
        <v>4950</v>
      </c>
      <c r="AZ377" t="s">
        <v>4951</v>
      </c>
      <c r="BA377" t="s">
        <v>4952</v>
      </c>
      <c r="BB377" t="s">
        <v>4953</v>
      </c>
      <c r="BC377" t="s">
        <v>11122</v>
      </c>
      <c r="BD377" t="s">
        <v>4869</v>
      </c>
      <c r="BE377" t="s">
        <v>2336</v>
      </c>
      <c r="BF377" t="s">
        <v>235</v>
      </c>
      <c r="BG377" t="s">
        <v>4745</v>
      </c>
      <c r="BH377" t="s">
        <v>4948</v>
      </c>
      <c r="BI377" t="s">
        <v>9</v>
      </c>
      <c r="BJ377" t="s">
        <v>4950</v>
      </c>
      <c r="BK377" t="s">
        <v>4949</v>
      </c>
      <c r="BL377" t="s">
        <v>9</v>
      </c>
      <c r="BM377" t="s">
        <v>11122</v>
      </c>
      <c r="BN377">
        <v>1.41</v>
      </c>
      <c r="BO377">
        <v>1.66</v>
      </c>
      <c r="BP377">
        <v>-0.5</v>
      </c>
      <c r="BQ377">
        <v>4.96</v>
      </c>
      <c r="BR377">
        <v>5.28</v>
      </c>
      <c r="BS377">
        <v>-1.82</v>
      </c>
      <c r="BT377" t="s">
        <v>11178</v>
      </c>
      <c r="BU377" t="s">
        <v>392</v>
      </c>
      <c r="BV377">
        <v>57.2</v>
      </c>
      <c r="BW377">
        <v>46.39</v>
      </c>
      <c r="BX377">
        <v>48.36</v>
      </c>
      <c r="BY377">
        <v>10.24</v>
      </c>
      <c r="BZ377">
        <v>6.15</v>
      </c>
      <c r="CA377">
        <v>0.49</v>
      </c>
      <c r="CB377">
        <v>0.26</v>
      </c>
      <c r="CC377">
        <v>16.59</v>
      </c>
      <c r="CD377" t="s">
        <v>140</v>
      </c>
      <c r="CE377" t="s">
        <v>11179</v>
      </c>
      <c r="CF377" s="8" t="s">
        <v>9</v>
      </c>
      <c r="CG377" s="9">
        <v>4.2000000000000003E-2</v>
      </c>
      <c r="CH377" s="8">
        <v>-1.5541962347924709E-2</v>
      </c>
      <c r="CI377" s="8">
        <v>0.1345503181219101</v>
      </c>
      <c r="CJ377" s="8">
        <v>0.28208833932876587</v>
      </c>
      <c r="CK377" s="8">
        <v>0.28403061628341675</v>
      </c>
      <c r="CL377" s="8">
        <v>0.1023477241396904</v>
      </c>
      <c r="CM377" s="9">
        <v>7.1004180908203125</v>
      </c>
      <c r="CN377" s="9">
        <v>-1.2372208833694458</v>
      </c>
      <c r="CO377" s="9">
        <v>0.40418106317520142</v>
      </c>
      <c r="CP377" s="9">
        <v>0.14708232879638672</v>
      </c>
      <c r="CQ377" s="9">
        <v>0.31269681453704834</v>
      </c>
      <c r="CR377">
        <v>43.631002989987579</v>
      </c>
      <c r="CS377">
        <v>5.2606208837927063E-2</v>
      </c>
      <c r="CT377">
        <v>0</v>
      </c>
      <c r="CU377" s="8">
        <v>8.2938884884119037</v>
      </c>
      <c r="CV377" s="9">
        <v>5.3582784235477448</v>
      </c>
      <c r="CW377">
        <v>0.06</v>
      </c>
      <c r="CX377">
        <v>1.8869504550596896</v>
      </c>
      <c r="CY377">
        <v>25566961162.461426</v>
      </c>
      <c r="CZ377">
        <v>8.2938884884119037</v>
      </c>
      <c r="DA377">
        <v>2.4830016414771405E-2</v>
      </c>
      <c r="DB377">
        <v>1942954374017.2412</v>
      </c>
      <c r="DC377">
        <v>7.8791940639913083</v>
      </c>
      <c r="DD377">
        <v>6.2676281734493409E-5</v>
      </c>
      <c r="DE377">
        <v>769726404708681.25</v>
      </c>
      <c r="DF377">
        <v>7.2986218698024752</v>
      </c>
      <c r="DG377">
        <v>3.7900508894109065E-8</v>
      </c>
      <c r="DH377">
        <v>1.2729008239648881E+18</v>
      </c>
      <c r="DI377">
        <v>6.6351107907295237</v>
      </c>
      <c r="DJ377">
        <v>9.8572499921291389E-16</v>
      </c>
      <c r="DK377">
        <v>4.8942239507491194E+25</v>
      </c>
      <c r="DL377">
        <v>5.8057219418883319</v>
      </c>
      <c r="DM377">
        <v>2916000000</v>
      </c>
      <c r="DN377">
        <v>8.2938884884119037</v>
      </c>
      <c r="DO377">
        <v>48243589000</v>
      </c>
      <c r="DP377" t="e">
        <v>#VALUE!</v>
      </c>
      <c r="DQ377">
        <v>376</v>
      </c>
      <c r="DR377" t="e">
        <v>#VALUE!</v>
      </c>
      <c r="DS377">
        <v>-5.3162784235477449</v>
      </c>
      <c r="DT377" t="e">
        <v>#VALUE!</v>
      </c>
      <c r="DU377" t="e">
        <v>#VALUE!</v>
      </c>
      <c r="DV377" t="e">
        <v>#VALUE!</v>
      </c>
      <c r="DW377">
        <v>3.006672619047619</v>
      </c>
      <c r="DX377">
        <v>0.33351629502572805</v>
      </c>
      <c r="DY377">
        <v>3.0010243557543084</v>
      </c>
      <c r="DZ377">
        <v>0</v>
      </c>
      <c r="EA377">
        <v>3.0010243557543084</v>
      </c>
      <c r="EB377">
        <v>3</v>
      </c>
      <c r="EC377">
        <v>1.4470316490073565E-2</v>
      </c>
      <c r="ED377">
        <v>9.425915657779764E-2</v>
      </c>
      <c r="EE377">
        <v>0</v>
      </c>
      <c r="EF377">
        <v>0</v>
      </c>
      <c r="EG377">
        <v>18.153516295025728</v>
      </c>
      <c r="EH377" t="s">
        <v>110</v>
      </c>
      <c r="EI377">
        <v>0</v>
      </c>
      <c r="EJ377">
        <v>0</v>
      </c>
      <c r="EK377">
        <v>0</v>
      </c>
      <c r="EL377">
        <v>0</v>
      </c>
      <c r="EM377">
        <v>0</v>
      </c>
      <c r="EN377">
        <v>0</v>
      </c>
      <c r="EO377">
        <v>0</v>
      </c>
      <c r="EP377">
        <v>0</v>
      </c>
    </row>
    <row r="378" spans="1:146" ht="96" x14ac:dyDescent="0.25">
      <c r="A378" s="7"/>
      <c r="B378" s="7"/>
      <c r="C378" s="7" t="str">
        <f>""&amp;CHAR(10)&amp;Basic_Fundamental_Information_Constructure(F378)&amp;CHAR(10)&amp;Basic_Fundamental_Information_Concatenate("")</f>
        <v xml:space="preserve">
市值525.5063亿, 利润12.05亿; PE43.6; 平均PE77.78; 平均PEG2.84, PB2.14; ROIC10.9933%; ROE13.3867%; 股利率0%; 毛利19.23%; 净利8.1867%; 上一年度营收增-7.26%, 利润增-80.27%, 利润增-55.63%; 过往5年营收增27.35%, 利润增12.45%
Income profile:
</v>
      </c>
      <c r="D378" s="11">
        <v>2382</v>
      </c>
      <c r="E378" t="s">
        <v>4955</v>
      </c>
      <c r="F378">
        <v>48</v>
      </c>
      <c r="G378" s="5">
        <v>-2.3400000000000001E-2</v>
      </c>
      <c r="H378" t="s">
        <v>11180</v>
      </c>
      <c r="I378">
        <v>52550630000</v>
      </c>
      <c r="J378">
        <v>43.6</v>
      </c>
      <c r="K378">
        <v>2.14</v>
      </c>
      <c r="L378" t="s">
        <v>6350</v>
      </c>
      <c r="M378" t="s">
        <v>9</v>
      </c>
      <c r="N378" t="s">
        <v>9</v>
      </c>
      <c r="O378" t="s">
        <v>9</v>
      </c>
      <c r="P378" t="s">
        <v>9</v>
      </c>
      <c r="Q378" t="s">
        <v>11181</v>
      </c>
      <c r="R378">
        <v>1205178720</v>
      </c>
      <c r="S378" s="5">
        <v>-0.55630000000000002</v>
      </c>
      <c r="T378" t="s">
        <v>11182</v>
      </c>
      <c r="U378">
        <v>1094804800</v>
      </c>
      <c r="V378">
        <v>1094804800</v>
      </c>
      <c r="W378" t="s">
        <v>9</v>
      </c>
      <c r="X378" t="s">
        <v>9</v>
      </c>
      <c r="Y378" t="s">
        <v>9</v>
      </c>
      <c r="Z378" t="s">
        <v>9</v>
      </c>
      <c r="AA378" t="s">
        <v>9</v>
      </c>
      <c r="AB378" t="s">
        <v>9</v>
      </c>
      <c r="AC378" t="s">
        <v>9</v>
      </c>
      <c r="AD378" t="s">
        <v>11183</v>
      </c>
      <c r="AE378" t="s">
        <v>9</v>
      </c>
      <c r="AF378" t="s">
        <v>9</v>
      </c>
      <c r="AG378" t="s">
        <v>9</v>
      </c>
      <c r="AH378" t="s">
        <v>11184</v>
      </c>
      <c r="AI378" t="s">
        <v>9</v>
      </c>
      <c r="AJ378" t="s">
        <v>9</v>
      </c>
      <c r="AK378" t="s">
        <v>11185</v>
      </c>
      <c r="AL378" t="s">
        <v>9</v>
      </c>
      <c r="AM378" t="s">
        <v>9</v>
      </c>
      <c r="AN378" s="5">
        <v>0.54510000000000003</v>
      </c>
      <c r="AO378" t="s">
        <v>9</v>
      </c>
      <c r="AP378" t="s">
        <v>11186</v>
      </c>
      <c r="AQ378" t="s">
        <v>9</v>
      </c>
      <c r="AR378" t="s">
        <v>5109</v>
      </c>
      <c r="AS378" t="s">
        <v>9</v>
      </c>
      <c r="AT378" t="s">
        <v>9</v>
      </c>
      <c r="AU378" t="s">
        <v>11187</v>
      </c>
      <c r="AV378" t="s">
        <v>11188</v>
      </c>
      <c r="AW378" t="s">
        <v>9</v>
      </c>
      <c r="AX378" t="s">
        <v>4956</v>
      </c>
      <c r="AY378" t="s">
        <v>4958</v>
      </c>
      <c r="AZ378" t="s">
        <v>4959</v>
      </c>
      <c r="BA378" t="s">
        <v>4960</v>
      </c>
      <c r="BB378" t="s">
        <v>4961</v>
      </c>
      <c r="BC378" t="s">
        <v>4962</v>
      </c>
      <c r="BD378" t="s">
        <v>2149</v>
      </c>
      <c r="BE378" t="s">
        <v>704</v>
      </c>
      <c r="BF378" t="s">
        <v>4963</v>
      </c>
      <c r="BG378" t="s">
        <v>4964</v>
      </c>
      <c r="BH378" t="s">
        <v>4956</v>
      </c>
      <c r="BI378" t="s">
        <v>9</v>
      </c>
      <c r="BJ378" t="s">
        <v>4958</v>
      </c>
      <c r="BK378" t="s">
        <v>93</v>
      </c>
      <c r="BL378" t="s">
        <v>9</v>
      </c>
      <c r="BM378" t="s">
        <v>4962</v>
      </c>
      <c r="BN378">
        <v>3.92</v>
      </c>
      <c r="BO378">
        <v>8.8000000000000007</v>
      </c>
      <c r="BP378">
        <v>20.260000000000002</v>
      </c>
      <c r="BQ378">
        <v>4.9000000000000004</v>
      </c>
      <c r="BR378">
        <v>11.03</v>
      </c>
      <c r="BS378">
        <v>24.23</v>
      </c>
      <c r="BT378" t="s">
        <v>4965</v>
      </c>
      <c r="BU378" t="s">
        <v>589</v>
      </c>
      <c r="BV378">
        <v>14.49</v>
      </c>
      <c r="BW378">
        <v>19.899999999999999</v>
      </c>
      <c r="BX378">
        <v>23.3</v>
      </c>
      <c r="BY378">
        <v>3.63</v>
      </c>
      <c r="BZ378">
        <v>7.45</v>
      </c>
      <c r="CA378">
        <v>13.48</v>
      </c>
      <c r="CB378">
        <v>-6.34</v>
      </c>
      <c r="CC378">
        <v>12.73</v>
      </c>
      <c r="CD378" t="s">
        <v>11189</v>
      </c>
      <c r="CE378" t="s">
        <v>201</v>
      </c>
      <c r="CF378" s="8" t="s">
        <v>9</v>
      </c>
      <c r="CG378" s="9">
        <v>-0.55630000000000002</v>
      </c>
      <c r="CH378" s="8">
        <v>-7.2632059454917908E-2</v>
      </c>
      <c r="CI378" s="8">
        <v>-0.18438422679901123</v>
      </c>
      <c r="CJ378" s="8">
        <v>1.3710486702620983E-2</v>
      </c>
      <c r="CK378" s="8">
        <v>0.53403776884078979</v>
      </c>
      <c r="CL378" s="8">
        <v>0.10110009461641312</v>
      </c>
      <c r="CM378" s="9">
        <v>-0.80271774530410767</v>
      </c>
      <c r="CN378" s="9">
        <v>5.1834024488925934E-2</v>
      </c>
      <c r="CO378" s="9">
        <v>0.30201786756515503</v>
      </c>
      <c r="CP378" s="9">
        <v>0.57263761758804321</v>
      </c>
      <c r="CQ378" s="9">
        <v>-0.18482324481010437</v>
      </c>
      <c r="CR378">
        <v>77.775969412925505</v>
      </c>
      <c r="CS378">
        <v>2.8435678579115131</v>
      </c>
      <c r="CT378">
        <v>0</v>
      </c>
      <c r="CU378" s="8">
        <v>0.27351543307304382</v>
      </c>
      <c r="CV378" s="9">
        <v>0.12450516596436501</v>
      </c>
      <c r="CW378">
        <v>0.06</v>
      </c>
      <c r="CX378">
        <v>36.298822147699468</v>
      </c>
      <c r="CY378">
        <v>1447722732.8802054</v>
      </c>
      <c r="CZ378">
        <v>0.27351543307304382</v>
      </c>
      <c r="DA378">
        <v>10.189269788574522</v>
      </c>
      <c r="DB378">
        <v>5157448089.0599546</v>
      </c>
      <c r="DC378">
        <v>0.25983966141939163</v>
      </c>
      <c r="DD378">
        <v>4.0421381515425834</v>
      </c>
      <c r="DE378">
        <v>13000701121.495646</v>
      </c>
      <c r="DF378">
        <v>0.24069358110427858</v>
      </c>
      <c r="DG378">
        <v>1.8696479047669983</v>
      </c>
      <c r="DH378">
        <v>28107233381.222672</v>
      </c>
      <c r="DI378">
        <v>0.21881234645843506</v>
      </c>
      <c r="DJ378">
        <v>0.51392625661244384</v>
      </c>
      <c r="DK378">
        <v>102253250002.03069</v>
      </c>
      <c r="DL378">
        <v>0.19146080315113068</v>
      </c>
      <c r="DM378">
        <v>1205000000</v>
      </c>
      <c r="DN378">
        <v>0.27351543307304382</v>
      </c>
      <c r="DO378">
        <v>52550630000</v>
      </c>
      <c r="DP378" t="e">
        <v>#VALUE!</v>
      </c>
      <c r="DQ378">
        <v>377</v>
      </c>
      <c r="DR378" t="e">
        <v>#VALUE!</v>
      </c>
      <c r="DS378">
        <v>-0.68080516596436502</v>
      </c>
      <c r="DT378" t="e">
        <v>#VALUE!</v>
      </c>
      <c r="DU378" t="e">
        <v>#VALUE!</v>
      </c>
      <c r="DV378" t="e">
        <v>#VALUE!</v>
      </c>
      <c r="DW378">
        <v>-7.3324593602517041</v>
      </c>
      <c r="DX378">
        <v>0.35263207070706937</v>
      </c>
      <c r="DY378">
        <v>-7.0474193669786489</v>
      </c>
      <c r="DZ378">
        <v>0</v>
      </c>
      <c r="EA378">
        <v>-7.0474193669786489</v>
      </c>
      <c r="EB378">
        <v>7</v>
      </c>
      <c r="EC378">
        <v>5.1591206030517943E-2</v>
      </c>
      <c r="ED378">
        <v>0.36170831549149218</v>
      </c>
      <c r="EE378">
        <v>0</v>
      </c>
      <c r="EF378">
        <v>0</v>
      </c>
      <c r="EG378">
        <v>21.142632070707069</v>
      </c>
      <c r="EH378" t="s">
        <v>110</v>
      </c>
      <c r="EI378">
        <v>0</v>
      </c>
      <c r="EJ378">
        <v>0</v>
      </c>
      <c r="EK378">
        <v>0</v>
      </c>
      <c r="EL378">
        <v>0</v>
      </c>
      <c r="EM378">
        <v>0</v>
      </c>
      <c r="EN378">
        <v>0</v>
      </c>
      <c r="EO378">
        <v>0</v>
      </c>
      <c r="EP378">
        <v>0</v>
      </c>
    </row>
    <row r="379" spans="1:146" ht="96" x14ac:dyDescent="0.25">
      <c r="A379" s="7"/>
      <c r="B379" s="7"/>
      <c r="C379" s="7" t="str">
        <f>""&amp;CHAR(10)&amp;Basic_Fundamental_Information_Constructure(F379)&amp;CHAR(10)&amp;Basic_Fundamental_Information_Concatenate("")</f>
        <v xml:space="preserve">
市值2532.1809亿, 利润327.23亿; PE7.74; 平均PE46.56; 平均PEG3.54, PB.791; ROIC0%; ROE8.9533%; 毛利0%; 净利43.5033%; 上一年度营收增20.81%, 利润增42.46%, 利润增26.15%; 过往5年营收增-13.16%, 利润增-63.37%
Income profile:
</v>
      </c>
      <c r="D379" s="11">
        <v>2388</v>
      </c>
      <c r="E379" t="s">
        <v>4966</v>
      </c>
      <c r="F379">
        <v>23.95</v>
      </c>
      <c r="G379" s="5">
        <v>-4.1999999999999997E-3</v>
      </c>
      <c r="H379" t="s">
        <v>11190</v>
      </c>
      <c r="I379">
        <v>253218090000</v>
      </c>
      <c r="J379">
        <v>7.74</v>
      </c>
      <c r="K379">
        <v>0.79100000000000004</v>
      </c>
      <c r="L379" t="s">
        <v>6350</v>
      </c>
      <c r="M379" t="s">
        <v>9</v>
      </c>
      <c r="N379" t="s">
        <v>9</v>
      </c>
      <c r="O379" t="s">
        <v>9</v>
      </c>
      <c r="P379" t="s">
        <v>9</v>
      </c>
      <c r="Q379" t="s">
        <v>11191</v>
      </c>
      <c r="R379">
        <v>32723000000</v>
      </c>
      <c r="S379" s="5">
        <v>0.26150000000000001</v>
      </c>
      <c r="T379" t="s">
        <v>11192</v>
      </c>
      <c r="U379">
        <v>10572780300</v>
      </c>
      <c r="V379">
        <v>10572780300</v>
      </c>
      <c r="W379" t="s">
        <v>9</v>
      </c>
      <c r="X379" t="s">
        <v>9</v>
      </c>
      <c r="Y379" t="s">
        <v>9</v>
      </c>
      <c r="Z379" t="s">
        <v>9</v>
      </c>
      <c r="AA379" t="s">
        <v>9</v>
      </c>
      <c r="AB379" t="s">
        <v>9</v>
      </c>
      <c r="AC379" t="s">
        <v>9</v>
      </c>
      <c r="AD379" t="s">
        <v>9</v>
      </c>
      <c r="AE379" t="s">
        <v>9</v>
      </c>
      <c r="AF379" t="s">
        <v>9</v>
      </c>
      <c r="AG379" t="s">
        <v>9</v>
      </c>
      <c r="AH379" t="s">
        <v>11193</v>
      </c>
      <c r="AI379" t="s">
        <v>9</v>
      </c>
      <c r="AJ379" t="s">
        <v>9</v>
      </c>
      <c r="AK379" t="s">
        <v>11194</v>
      </c>
      <c r="AL379" t="s">
        <v>9</v>
      </c>
      <c r="AM379" t="s">
        <v>9</v>
      </c>
      <c r="AN379" s="5">
        <v>0.91639999999999999</v>
      </c>
      <c r="AO379" t="s">
        <v>9</v>
      </c>
      <c r="AP379" t="s">
        <v>9</v>
      </c>
      <c r="AQ379" t="s">
        <v>9</v>
      </c>
      <c r="AR379" t="s">
        <v>9</v>
      </c>
      <c r="AS379" t="s">
        <v>9</v>
      </c>
      <c r="AT379" t="s">
        <v>9</v>
      </c>
      <c r="AU379" t="s">
        <v>11195</v>
      </c>
      <c r="AV379" t="s">
        <v>991</v>
      </c>
      <c r="AW379" t="s">
        <v>9</v>
      </c>
      <c r="AX379" t="s">
        <v>11196</v>
      </c>
      <c r="AY379" t="s">
        <v>4968</v>
      </c>
      <c r="AZ379" t="s">
        <v>4969</v>
      </c>
      <c r="BA379" t="s">
        <v>4970</v>
      </c>
      <c r="BB379" t="s">
        <v>4971</v>
      </c>
      <c r="BC379" t="s">
        <v>4972</v>
      </c>
      <c r="BD379" t="s">
        <v>4973</v>
      </c>
      <c r="BE379" t="s">
        <v>4974</v>
      </c>
      <c r="BF379" t="s">
        <v>4975</v>
      </c>
      <c r="BG379" t="s">
        <v>4976</v>
      </c>
      <c r="BH379" t="s">
        <v>11196</v>
      </c>
      <c r="BI379" t="s">
        <v>9</v>
      </c>
      <c r="BJ379" t="s">
        <v>4968</v>
      </c>
      <c r="BK379" t="s">
        <v>4967</v>
      </c>
      <c r="BL379" t="s">
        <v>9</v>
      </c>
      <c r="BM379" t="s">
        <v>4972</v>
      </c>
      <c r="BN379" t="s">
        <v>9</v>
      </c>
      <c r="BO379" t="s">
        <v>9</v>
      </c>
      <c r="BP379" t="s">
        <v>9</v>
      </c>
      <c r="BQ379">
        <v>10.220000000000001</v>
      </c>
      <c r="BR379">
        <v>8.93</v>
      </c>
      <c r="BS379">
        <v>7.71</v>
      </c>
      <c r="BT379" t="s">
        <v>11197</v>
      </c>
      <c r="BU379" t="s">
        <v>422</v>
      </c>
      <c r="BV379" t="s">
        <v>9</v>
      </c>
      <c r="BW379" t="s">
        <v>9</v>
      </c>
      <c r="BX379" t="s">
        <v>9</v>
      </c>
      <c r="BY379">
        <v>53.22</v>
      </c>
      <c r="BZ379">
        <v>38.5</v>
      </c>
      <c r="CA379">
        <v>38.79</v>
      </c>
      <c r="CB379">
        <v>-2.04</v>
      </c>
      <c r="CC379">
        <v>-4.58</v>
      </c>
      <c r="CD379" t="s">
        <v>11198</v>
      </c>
      <c r="CE379" t="s">
        <v>144</v>
      </c>
      <c r="CF379" s="8" t="s">
        <v>9</v>
      </c>
      <c r="CG379" s="9">
        <v>0.26150000000000001</v>
      </c>
      <c r="CH379" s="8">
        <v>0.20811586081981659</v>
      </c>
      <c r="CI379" s="8">
        <v>-0.15887053310871124</v>
      </c>
      <c r="CJ379" s="8">
        <v>-0.1056487187743187</v>
      </c>
      <c r="CK379" s="8">
        <v>6.4141698181629181E-2</v>
      </c>
      <c r="CL379" s="8">
        <v>3.2960169017314911E-2</v>
      </c>
      <c r="CM379" s="9">
        <v>0.42459732294082642</v>
      </c>
      <c r="CN379" s="9">
        <v>-0.13278211653232574</v>
      </c>
      <c r="CO379" s="9">
        <v>-0.17701347172260284</v>
      </c>
      <c r="CP379" s="9">
        <v>3.5547199659049511E-3</v>
      </c>
      <c r="CQ379" s="9">
        <v>2.9105020686984062E-2</v>
      </c>
      <c r="CR379">
        <v>46.560187296854437</v>
      </c>
      <c r="CS379">
        <v>3.5380404663075722</v>
      </c>
      <c r="CT379" t="e">
        <v>#VALUE!</v>
      </c>
      <c r="CU379" s="8">
        <v>-0.13159879809245467</v>
      </c>
      <c r="CV379" s="9">
        <v>-0.63368198871612547</v>
      </c>
      <c r="CW379">
        <v>0.06</v>
      </c>
      <c r="CX379">
        <v>7.7382296855422794</v>
      </c>
      <c r="CY379" t="s">
        <v>11199</v>
      </c>
      <c r="CZ379">
        <v>-0.13159879809245467</v>
      </c>
      <c r="DA379">
        <v>2.5794098951807598</v>
      </c>
      <c r="DB379" t="s">
        <v>11200</v>
      </c>
      <c r="DC379">
        <v>-0.12501885818783193</v>
      </c>
      <c r="DD379">
        <v>1.2897049475903799</v>
      </c>
      <c r="DE379" t="s">
        <v>11201</v>
      </c>
      <c r="DF379">
        <v>-0.11580694232136012</v>
      </c>
      <c r="DG379">
        <v>0.77382296855422794</v>
      </c>
      <c r="DH379" t="s">
        <v>11202</v>
      </c>
      <c r="DI379">
        <v>-0.10527903847396375</v>
      </c>
      <c r="DJ379">
        <v>0.38691148427711397</v>
      </c>
      <c r="DK379" t="s">
        <v>11203</v>
      </c>
      <c r="DL379">
        <v>-9.2119158664718259E-2</v>
      </c>
      <c r="DM379">
        <v>32723000000</v>
      </c>
      <c r="DN379">
        <v>-0.13159879809245467</v>
      </c>
      <c r="DO379">
        <v>253218090000</v>
      </c>
      <c r="DP379" t="e">
        <v>#VALUE!</v>
      </c>
      <c r="DQ379">
        <v>378</v>
      </c>
      <c r="DR379" t="e">
        <v>#VALUE!</v>
      </c>
      <c r="DS379">
        <v>0.89518198871612542</v>
      </c>
      <c r="DT379" t="e">
        <v>#VALUE!</v>
      </c>
      <c r="DU379" t="e">
        <v>#VALUE!</v>
      </c>
      <c r="DV379" t="e">
        <v>#VALUE!</v>
      </c>
      <c r="DW379">
        <v>-1.0458000000000001</v>
      </c>
      <c r="DX379">
        <v>0.39463094462540593</v>
      </c>
      <c r="DY379">
        <v>-1.0079980972638436</v>
      </c>
      <c r="DZ379">
        <v>0</v>
      </c>
      <c r="EA379">
        <v>-1.0079980972638436</v>
      </c>
      <c r="EB379">
        <v>1</v>
      </c>
      <c r="EC379">
        <v>5.0707286521408188E-3</v>
      </c>
      <c r="ED379">
        <v>2.9036827711250181E-2</v>
      </c>
      <c r="EE379">
        <v>0</v>
      </c>
      <c r="EF379">
        <v>0</v>
      </c>
      <c r="EG379">
        <v>22.174630944625406</v>
      </c>
      <c r="EH379" t="s">
        <v>110</v>
      </c>
      <c r="EI379">
        <v>0</v>
      </c>
      <c r="EJ379">
        <v>0</v>
      </c>
      <c r="EK379">
        <v>0</v>
      </c>
      <c r="EL379">
        <v>0</v>
      </c>
      <c r="EM379">
        <v>0</v>
      </c>
      <c r="EN379">
        <v>0</v>
      </c>
      <c r="EO379">
        <v>0</v>
      </c>
      <c r="EP379">
        <v>0</v>
      </c>
    </row>
    <row r="380" spans="1:146" ht="96" x14ac:dyDescent="0.25">
      <c r="A380" s="7"/>
      <c r="B380" s="7"/>
      <c r="C380" s="7" t="str">
        <f>""&amp;CHAR(10)&amp;Basic_Fundamental_Information_Constructure(F380)&amp;CHAR(10)&amp;Basic_Fundamental_Information_Concatenate("")</f>
        <v xml:space="preserve">
市值89.398871亿, 利润-9102.74万; PE; 平均PE14.24; 平均PEG4.09, PB4.77; ROIC-14.7467%; ROE-23.8867%; 股利率0%; 毛利53.2933%; 净利-17.53%; 上一年度营收增-4.01%, 利润增91.4%, 利润增85.42%; 过往5年营收增3.49%, 利润增-9.96%
Income profile:
</v>
      </c>
      <c r="D380" s="11">
        <v>2400</v>
      </c>
      <c r="E380" t="s">
        <v>4978</v>
      </c>
      <c r="F380">
        <v>18.600000000000001</v>
      </c>
      <c r="G380" s="5">
        <v>-2.8199999999999999E-2</v>
      </c>
      <c r="H380" t="s">
        <v>11204</v>
      </c>
      <c r="I380">
        <v>8939887100</v>
      </c>
      <c r="K380">
        <v>4.7699999999999996</v>
      </c>
      <c r="L380" t="s">
        <v>6350</v>
      </c>
      <c r="M380" t="s">
        <v>9</v>
      </c>
      <c r="N380" t="s">
        <v>9</v>
      </c>
      <c r="O380" t="s">
        <v>9</v>
      </c>
      <c r="P380" t="s">
        <v>9</v>
      </c>
      <c r="Q380" t="s">
        <v>11205</v>
      </c>
      <c r="R380">
        <v>-91027352</v>
      </c>
      <c r="S380" s="5">
        <v>0.85419999999999996</v>
      </c>
      <c r="T380" t="s">
        <v>11206</v>
      </c>
      <c r="U380">
        <v>480583910</v>
      </c>
      <c r="V380">
        <v>480583910</v>
      </c>
      <c r="W380" t="s">
        <v>9</v>
      </c>
      <c r="X380" t="s">
        <v>9</v>
      </c>
      <c r="Y380" t="s">
        <v>9</v>
      </c>
      <c r="Z380" t="s">
        <v>9</v>
      </c>
      <c r="AA380" t="s">
        <v>9</v>
      </c>
      <c r="AB380" t="s">
        <v>9</v>
      </c>
      <c r="AC380" t="s">
        <v>9</v>
      </c>
      <c r="AD380" t="s">
        <v>1579</v>
      </c>
      <c r="AE380" t="s">
        <v>9</v>
      </c>
      <c r="AF380" t="s">
        <v>9</v>
      </c>
      <c r="AG380" t="s">
        <v>9</v>
      </c>
      <c r="AH380" t="s">
        <v>11207</v>
      </c>
      <c r="AI380" t="s">
        <v>9</v>
      </c>
      <c r="AJ380" t="s">
        <v>9</v>
      </c>
      <c r="AK380" t="s">
        <v>11208</v>
      </c>
      <c r="AL380" t="s">
        <v>9</v>
      </c>
      <c r="AM380" t="s">
        <v>9</v>
      </c>
      <c r="AN380" s="5">
        <v>0.57620000000000005</v>
      </c>
      <c r="AO380" t="s">
        <v>9</v>
      </c>
      <c r="AP380" t="s">
        <v>1395</v>
      </c>
      <c r="AQ380" t="s">
        <v>9</v>
      </c>
      <c r="AR380" t="s">
        <v>4299</v>
      </c>
      <c r="AS380" t="s">
        <v>9</v>
      </c>
      <c r="AT380" t="s">
        <v>9</v>
      </c>
      <c r="AU380" t="s">
        <v>206</v>
      </c>
      <c r="AV380" t="s">
        <v>84</v>
      </c>
      <c r="AW380" t="s">
        <v>9</v>
      </c>
      <c r="AX380" t="s">
        <v>4979</v>
      </c>
      <c r="AY380" t="s">
        <v>4982</v>
      </c>
      <c r="AZ380" t="s">
        <v>4983</v>
      </c>
      <c r="BA380" t="s">
        <v>3659</v>
      </c>
      <c r="BB380" t="s">
        <v>4500</v>
      </c>
      <c r="BC380" t="s">
        <v>4984</v>
      </c>
      <c r="BD380" t="s">
        <v>4985</v>
      </c>
      <c r="BE380" t="s">
        <v>244</v>
      </c>
      <c r="BF380" t="s">
        <v>2335</v>
      </c>
      <c r="BG380" t="s">
        <v>98</v>
      </c>
      <c r="BH380" t="s">
        <v>4979</v>
      </c>
      <c r="BI380" t="s">
        <v>9</v>
      </c>
      <c r="BJ380" t="s">
        <v>4982</v>
      </c>
      <c r="BK380" t="s">
        <v>4980</v>
      </c>
      <c r="BL380" t="s">
        <v>9</v>
      </c>
      <c r="BM380" t="s">
        <v>4984</v>
      </c>
      <c r="BN380">
        <v>-2.38</v>
      </c>
      <c r="BO380">
        <v>-14.37</v>
      </c>
      <c r="BP380">
        <v>-27.49</v>
      </c>
      <c r="BQ380">
        <v>-4.8600000000000003</v>
      </c>
      <c r="BR380">
        <v>-29.31</v>
      </c>
      <c r="BS380">
        <v>-37.49</v>
      </c>
      <c r="BT380" t="s">
        <v>9</v>
      </c>
      <c r="BU380" t="s">
        <v>551</v>
      </c>
      <c r="BV380">
        <v>61.03</v>
      </c>
      <c r="BW380">
        <v>53.49</v>
      </c>
      <c r="BX380">
        <v>45.36</v>
      </c>
      <c r="BY380">
        <v>-1.93</v>
      </c>
      <c r="BZ380">
        <v>-16.73</v>
      </c>
      <c r="CA380">
        <v>-33.93</v>
      </c>
      <c r="CB380">
        <v>-12.06</v>
      </c>
      <c r="CC380">
        <v>1.75</v>
      </c>
      <c r="CD380" t="s">
        <v>11209</v>
      </c>
      <c r="CE380" t="s">
        <v>2159</v>
      </c>
      <c r="CF380" s="8" t="s">
        <v>9</v>
      </c>
      <c r="CG380" s="9">
        <v>0.85419999999999996</v>
      </c>
      <c r="CH380" s="8">
        <v>-4.0051694959402084E-2</v>
      </c>
      <c r="CI380" s="8">
        <v>0.16918428242206573</v>
      </c>
      <c r="CJ380" s="8">
        <v>-2.4749483913183212E-2</v>
      </c>
      <c r="CK380" s="8">
        <v>0.57933920621871948</v>
      </c>
      <c r="CL380" s="8">
        <v>0.33312651515007019</v>
      </c>
      <c r="CM380" s="9">
        <v>0.91396278142929077</v>
      </c>
      <c r="CN380" s="9">
        <v>-98.065109252929688</v>
      </c>
      <c r="CO380" s="9">
        <v>-0.97183489799499512</v>
      </c>
      <c r="CP380" s="9">
        <v>0.19076922535896301</v>
      </c>
      <c r="CQ380" s="9">
        <v>1.3214285373687744</v>
      </c>
      <c r="CR380">
        <v>14.239371584492014</v>
      </c>
      <c r="CS380">
        <v>4.0858506757222059</v>
      </c>
      <c r="CT380">
        <v>0</v>
      </c>
      <c r="CU380" s="8">
        <v>3.4850445389747617E-2</v>
      </c>
      <c r="CV380" s="9">
        <v>-9.9596877396106717E-2</v>
      </c>
      <c r="CW380">
        <v>0.06</v>
      </c>
      <c r="CX380" t="e">
        <v>#VALUE!</v>
      </c>
      <c r="CY380" t="s">
        <v>109</v>
      </c>
      <c r="CZ380">
        <v>3.4850445389747617E-2</v>
      </c>
      <c r="DA380" t="e">
        <v>#VALUE!</v>
      </c>
      <c r="DB380" t="s">
        <v>108</v>
      </c>
      <c r="DC380">
        <v>3.3107923120260237E-2</v>
      </c>
      <c r="DD380" t="e">
        <v>#VALUE!</v>
      </c>
      <c r="DE380" t="s">
        <v>108</v>
      </c>
      <c r="DF380">
        <v>3.0668391942977904E-2</v>
      </c>
      <c r="DG380" t="e">
        <v>#VALUE!</v>
      </c>
      <c r="DH380" t="s">
        <v>108</v>
      </c>
      <c r="DI380">
        <v>2.7880356311798096E-2</v>
      </c>
      <c r="DJ380" t="e">
        <v>#VALUE!</v>
      </c>
      <c r="DK380" t="s">
        <v>108</v>
      </c>
      <c r="DL380">
        <v>2.4395311772823329E-2</v>
      </c>
      <c r="DM380">
        <v>-91027400</v>
      </c>
      <c r="DN380">
        <v>3.4850445389747617E-2</v>
      </c>
      <c r="DO380">
        <v>8939887100</v>
      </c>
      <c r="DP380" t="e">
        <v>#VALUE!</v>
      </c>
      <c r="DQ380">
        <v>379</v>
      </c>
      <c r="DR380" t="e">
        <v>#VALUE!</v>
      </c>
      <c r="DS380">
        <v>0.95379687739610663</v>
      </c>
      <c r="DT380" t="e">
        <v>#VALUE!</v>
      </c>
      <c r="DU380" t="e">
        <v>#VALUE!</v>
      </c>
      <c r="DV380" t="e">
        <v>#VALUE!</v>
      </c>
      <c r="DW380">
        <v>-5.1451077943615253</v>
      </c>
      <c r="DX380">
        <v>0.22807851239669474</v>
      </c>
      <c r="DY380">
        <v>-5.0156830345517589</v>
      </c>
      <c r="DZ380">
        <v>0</v>
      </c>
      <c r="EA380">
        <v>-5.0156830345517589</v>
      </c>
      <c r="EB380">
        <v>5</v>
      </c>
      <c r="EC380">
        <v>2.7211689213648454E-2</v>
      </c>
      <c r="ED380">
        <v>0.25177705179517973</v>
      </c>
      <c r="EE380">
        <v>0</v>
      </c>
      <c r="EF380">
        <v>0</v>
      </c>
      <c r="EG380">
        <v>12.108078512396695</v>
      </c>
      <c r="EH380" t="s">
        <v>110</v>
      </c>
      <c r="EI380">
        <v>0</v>
      </c>
      <c r="EJ380">
        <v>0</v>
      </c>
      <c r="EK380">
        <v>0</v>
      </c>
      <c r="EL380">
        <v>0</v>
      </c>
      <c r="EM380">
        <v>0</v>
      </c>
      <c r="EN380">
        <v>0</v>
      </c>
      <c r="EO380">
        <v>0</v>
      </c>
      <c r="EP380">
        <v>0</v>
      </c>
    </row>
    <row r="381" spans="1:146" ht="84" x14ac:dyDescent="0.25">
      <c r="A381" s="7"/>
      <c r="B381" s="7"/>
      <c r="C381" s="7" t="str">
        <f>""&amp;CHAR(10)&amp;Basic_Fundamental_Information_Constructure(F381)&amp;CHAR(10)&amp;Basic_Fundamental_Information_Concatenate("")</f>
        <v xml:space="preserve">
市值50.963458亿, 利润--; PE; 平均PE423.21; 平均PEG72.18, PB1.6; ROIC0%; ROE0%; 股利率0%; 毛利0%; 净利0%, 利润增-122.8%; 过往5年营收增5.86%, 利润增-66.15%
Income profile:
</v>
      </c>
      <c r="D381" s="11">
        <v>2402</v>
      </c>
      <c r="E381" t="s">
        <v>4986</v>
      </c>
      <c r="F381">
        <v>30.8</v>
      </c>
      <c r="G381" s="5">
        <v>-1.6E-2</v>
      </c>
      <c r="H381">
        <v>9600</v>
      </c>
      <c r="I381">
        <v>5096345800</v>
      </c>
      <c r="K381">
        <v>1.6</v>
      </c>
      <c r="L381" t="s">
        <v>6350</v>
      </c>
      <c r="M381" t="s">
        <v>9</v>
      </c>
      <c r="N381" t="s">
        <v>9</v>
      </c>
      <c r="O381" t="s">
        <v>9</v>
      </c>
      <c r="P381" t="s">
        <v>9</v>
      </c>
      <c r="Q381" t="s">
        <v>9</v>
      </c>
      <c r="R381">
        <v>-266599870</v>
      </c>
      <c r="S381" s="5">
        <v>-1.228</v>
      </c>
      <c r="T381" t="s">
        <v>9</v>
      </c>
      <c r="U381">
        <v>25617830</v>
      </c>
      <c r="V381">
        <v>165465770</v>
      </c>
      <c r="W381" t="s">
        <v>9</v>
      </c>
      <c r="X381" t="s">
        <v>9</v>
      </c>
      <c r="Y381" t="s">
        <v>9</v>
      </c>
      <c r="Z381" t="s">
        <v>9</v>
      </c>
      <c r="AA381" t="s">
        <v>9</v>
      </c>
      <c r="AB381" t="s">
        <v>9</v>
      </c>
      <c r="AC381" t="s">
        <v>9</v>
      </c>
      <c r="AD381" t="s">
        <v>9</v>
      </c>
      <c r="AE381" t="s">
        <v>9</v>
      </c>
      <c r="AF381" t="s">
        <v>9</v>
      </c>
      <c r="AG381" t="s">
        <v>9</v>
      </c>
      <c r="AH381" t="s">
        <v>11210</v>
      </c>
      <c r="AI381" t="s">
        <v>9</v>
      </c>
      <c r="AJ381" t="s">
        <v>9</v>
      </c>
      <c r="AK381" t="s">
        <v>11211</v>
      </c>
      <c r="AL381" t="s">
        <v>9</v>
      </c>
      <c r="AM381" t="s">
        <v>9</v>
      </c>
      <c r="AN381" s="5">
        <v>0.33489999999999998</v>
      </c>
      <c r="AO381" t="s">
        <v>9</v>
      </c>
      <c r="AP381" t="s">
        <v>9</v>
      </c>
      <c r="AQ381" t="s">
        <v>9</v>
      </c>
      <c r="AR381" t="s">
        <v>9</v>
      </c>
      <c r="AS381" t="s">
        <v>9</v>
      </c>
      <c r="AT381" t="s">
        <v>9</v>
      </c>
      <c r="AU381" t="s">
        <v>9</v>
      </c>
      <c r="AV381" t="s">
        <v>9</v>
      </c>
      <c r="AW381" t="s">
        <v>9</v>
      </c>
      <c r="AX381" t="s">
        <v>9</v>
      </c>
      <c r="AY381" t="s">
        <v>9</v>
      </c>
      <c r="AZ381" t="s">
        <v>9</v>
      </c>
      <c r="BA381" t="s">
        <v>9</v>
      </c>
      <c r="BB381" t="s">
        <v>9</v>
      </c>
      <c r="BC381" t="s">
        <v>9</v>
      </c>
      <c r="BD381" t="s">
        <v>9</v>
      </c>
      <c r="BE381" t="s">
        <v>9</v>
      </c>
      <c r="BF381" t="s">
        <v>9</v>
      </c>
      <c r="BG381" t="s">
        <v>9</v>
      </c>
      <c r="BH381" t="s">
        <v>9</v>
      </c>
      <c r="BI381" t="s">
        <v>9</v>
      </c>
      <c r="BJ381" t="s">
        <v>9</v>
      </c>
      <c r="BK381" t="s">
        <v>9</v>
      </c>
      <c r="BL381" t="s">
        <v>9</v>
      </c>
      <c r="BM381" t="s">
        <v>9</v>
      </c>
      <c r="BN381" t="s">
        <v>9</v>
      </c>
      <c r="BO381" t="s">
        <v>9</v>
      </c>
      <c r="BP381" t="s">
        <v>9</v>
      </c>
      <c r="BQ381" t="s">
        <v>9</v>
      </c>
      <c r="BR381" t="s">
        <v>9</v>
      </c>
      <c r="BS381" t="s">
        <v>9</v>
      </c>
      <c r="BT381" t="s">
        <v>9</v>
      </c>
      <c r="BU381" t="s">
        <v>9</v>
      </c>
      <c r="BV381" t="s">
        <v>9</v>
      </c>
      <c r="BW381" t="s">
        <v>9</v>
      </c>
      <c r="BX381" t="s">
        <v>9</v>
      </c>
      <c r="BY381" t="s">
        <v>9</v>
      </c>
      <c r="BZ381" t="s">
        <v>9</v>
      </c>
      <c r="CA381" t="s">
        <v>9</v>
      </c>
      <c r="CB381">
        <v>-8.74</v>
      </c>
      <c r="CC381">
        <v>-3.45</v>
      </c>
      <c r="CD381" t="s">
        <v>11212</v>
      </c>
      <c r="CE381" t="s">
        <v>11213</v>
      </c>
      <c r="CF381" s="8" t="s">
        <v>9</v>
      </c>
      <c r="CG381" s="9">
        <v>-1.228</v>
      </c>
      <c r="CH381" s="8" t="s">
        <v>9</v>
      </c>
      <c r="CI381" s="8" t="s">
        <v>9</v>
      </c>
      <c r="CJ381" s="8" t="s">
        <v>9</v>
      </c>
      <c r="CK381" s="8" t="s">
        <v>9</v>
      </c>
      <c r="CL381" s="8" t="s">
        <v>9</v>
      </c>
      <c r="CM381" s="9" t="s">
        <v>9</v>
      </c>
      <c r="CN381" s="9" t="s">
        <v>9</v>
      </c>
      <c r="CO381" s="9" t="s">
        <v>9</v>
      </c>
      <c r="CP381" s="9" t="s">
        <v>9</v>
      </c>
      <c r="CQ381" s="9" t="s">
        <v>9</v>
      </c>
      <c r="CR381">
        <v>423.20650179119798</v>
      </c>
      <c r="CS381">
        <v>72.182740048602497</v>
      </c>
      <c r="CT381">
        <v>0</v>
      </c>
      <c r="CU381" s="8">
        <v>5.8629874885082242E-2</v>
      </c>
      <c r="CV381" s="9">
        <v>-0.66151108108460899</v>
      </c>
      <c r="CW381">
        <v>0.06</v>
      </c>
      <c r="CX381" t="e">
        <v>#DIV/0!</v>
      </c>
      <c r="CY381">
        <v>0</v>
      </c>
      <c r="CZ381">
        <v>5.8629874885082242E-2</v>
      </c>
      <c r="DA381" t="e">
        <v>#DIV/0!</v>
      </c>
      <c r="DB381">
        <v>0</v>
      </c>
      <c r="DC381">
        <v>5.5698381140828125E-2</v>
      </c>
      <c r="DD381" t="e">
        <v>#DIV/0!</v>
      </c>
      <c r="DE381">
        <v>0</v>
      </c>
      <c r="DF381">
        <v>5.1594289898872374E-2</v>
      </c>
      <c r="DG381" t="e">
        <v>#DIV/0!</v>
      </c>
      <c r="DH381">
        <v>0</v>
      </c>
      <c r="DI381">
        <v>4.6903899908065795E-2</v>
      </c>
      <c r="DJ381" t="e">
        <v>#DIV/0!</v>
      </c>
      <c r="DK381">
        <v>0</v>
      </c>
      <c r="DL381">
        <v>4.1040912419557568E-2</v>
      </c>
      <c r="DM381">
        <v>0</v>
      </c>
      <c r="DN381">
        <v>5.8629874885082242E-2</v>
      </c>
      <c r="DO381">
        <v>5096345800</v>
      </c>
      <c r="DP381" t="e">
        <v>#VALUE!</v>
      </c>
      <c r="DQ381">
        <v>380</v>
      </c>
      <c r="DR381" t="e">
        <v>#VALUE!</v>
      </c>
      <c r="DS381">
        <v>-0.56648891891539099</v>
      </c>
      <c r="DT381" t="e">
        <v>#VALUE!</v>
      </c>
      <c r="DU381" t="e">
        <v>#VALUE!</v>
      </c>
      <c r="DV381" t="e">
        <v>#VALUE!</v>
      </c>
      <c r="DW381">
        <v>-5.3947368421052628</v>
      </c>
      <c r="DX381">
        <v>7.3510197125489979E-2</v>
      </c>
      <c r="DY381">
        <v>-5.029017183075851</v>
      </c>
      <c r="DZ381">
        <v>0</v>
      </c>
      <c r="EA381">
        <v>-5.029017183075851</v>
      </c>
      <c r="EB381">
        <v>5</v>
      </c>
      <c r="EC381">
        <v>7.820348583274958E-4</v>
      </c>
      <c r="ED381">
        <v>1.0638454104435015E-2</v>
      </c>
      <c r="EE381">
        <v>0</v>
      </c>
      <c r="EF381">
        <v>0</v>
      </c>
      <c r="EG381">
        <v>7.3510197125489979E-2</v>
      </c>
      <c r="EH381" t="s">
        <v>110</v>
      </c>
      <c r="EI381">
        <v>0</v>
      </c>
      <c r="EJ381">
        <v>0</v>
      </c>
      <c r="EK381">
        <v>0</v>
      </c>
      <c r="EL381">
        <v>0</v>
      </c>
      <c r="EM381">
        <v>0</v>
      </c>
      <c r="EN381">
        <v>0</v>
      </c>
      <c r="EO381">
        <v>0</v>
      </c>
      <c r="EP381">
        <v>0</v>
      </c>
    </row>
    <row r="382" spans="1:146" ht="84" x14ac:dyDescent="0.25">
      <c r="A382" s="7"/>
      <c r="B382" s="7"/>
      <c r="C382" s="7" t="str">
        <f>""&amp;CHAR(10)&amp;Basic_Fundamental_Information_Constructure(F382)&amp;CHAR(10)&amp;Basic_Fundamental_Information_Concatenate("")</f>
        <v xml:space="preserve">
市值17.460504亿, 利润1.90亿; PE9.18; 平均PE.3; 平均PEG.03, PB.948; ROIC-11.505%; ROE5.1833%; 股利率0%; 毛利49.53%; 净利-7.915%; 上一年度营收增9.05%, 利润增181.55%, 利润增148.2%; 过往5年营收增11.46%, 利润增.41%
Income profile:
</v>
      </c>
      <c r="D382" s="11">
        <v>2407</v>
      </c>
      <c r="E382" t="s">
        <v>4987</v>
      </c>
      <c r="F382">
        <v>11.8</v>
      </c>
      <c r="G382" s="5">
        <v>-4.3799999999999999E-2</v>
      </c>
      <c r="H382" t="s">
        <v>11214</v>
      </c>
      <c r="I382">
        <v>1746050400</v>
      </c>
      <c r="J382">
        <v>9.18</v>
      </c>
      <c r="K382">
        <v>0.94799999999999995</v>
      </c>
      <c r="L382" t="s">
        <v>6350</v>
      </c>
      <c r="M382" t="s">
        <v>9</v>
      </c>
      <c r="N382" t="s">
        <v>9</v>
      </c>
      <c r="O382" t="s">
        <v>9</v>
      </c>
      <c r="P382" t="s">
        <v>9</v>
      </c>
      <c r="Q382" t="s">
        <v>1888</v>
      </c>
      <c r="R382">
        <v>190215910</v>
      </c>
      <c r="S382" s="5">
        <v>1.482</v>
      </c>
      <c r="T382" t="s">
        <v>249</v>
      </c>
      <c r="U382">
        <v>147970370</v>
      </c>
      <c r="V382">
        <v>147970370</v>
      </c>
      <c r="W382" t="s">
        <v>9</v>
      </c>
      <c r="X382" t="s">
        <v>9</v>
      </c>
      <c r="Y382" t="s">
        <v>9</v>
      </c>
      <c r="Z382" t="s">
        <v>9</v>
      </c>
      <c r="AA382" t="s">
        <v>9</v>
      </c>
      <c r="AB382" t="s">
        <v>9</v>
      </c>
      <c r="AC382" t="s">
        <v>9</v>
      </c>
      <c r="AD382" t="s">
        <v>11215</v>
      </c>
      <c r="AE382" t="s">
        <v>9</v>
      </c>
      <c r="AF382" t="s">
        <v>9</v>
      </c>
      <c r="AG382" t="s">
        <v>9</v>
      </c>
      <c r="AH382" t="s">
        <v>11216</v>
      </c>
      <c r="AI382" t="s">
        <v>9</v>
      </c>
      <c r="AJ382" t="s">
        <v>9</v>
      </c>
      <c r="AK382" t="s">
        <v>11217</v>
      </c>
      <c r="AL382" t="s">
        <v>9</v>
      </c>
      <c r="AM382" t="s">
        <v>9</v>
      </c>
      <c r="AN382" s="5">
        <v>0.40329999999999999</v>
      </c>
      <c r="AO382" t="s">
        <v>9</v>
      </c>
      <c r="AP382" t="s">
        <v>11218</v>
      </c>
      <c r="AQ382" t="s">
        <v>9</v>
      </c>
      <c r="AR382" t="s">
        <v>11219</v>
      </c>
      <c r="AS382" t="s">
        <v>9</v>
      </c>
      <c r="AT382" t="s">
        <v>9</v>
      </c>
      <c r="AU382" t="s">
        <v>2854</v>
      </c>
      <c r="AV382" t="s">
        <v>11220</v>
      </c>
      <c r="AW382" t="s">
        <v>9</v>
      </c>
      <c r="AX382" t="s">
        <v>4988</v>
      </c>
      <c r="AY382" t="s">
        <v>4989</v>
      </c>
      <c r="AZ382" t="s">
        <v>1858</v>
      </c>
      <c r="BA382" t="s">
        <v>3778</v>
      </c>
      <c r="BB382" t="s">
        <v>9</v>
      </c>
      <c r="BC382" t="s">
        <v>11221</v>
      </c>
      <c r="BD382" t="s">
        <v>116</v>
      </c>
      <c r="BE382" t="s">
        <v>9</v>
      </c>
      <c r="BF382" t="s">
        <v>9</v>
      </c>
      <c r="BG382" t="s">
        <v>9</v>
      </c>
      <c r="BH382" t="s">
        <v>4988</v>
      </c>
      <c r="BI382" t="s">
        <v>9</v>
      </c>
      <c r="BJ382" t="s">
        <v>4989</v>
      </c>
      <c r="BK382" t="s">
        <v>4485</v>
      </c>
      <c r="BL382" t="s">
        <v>9</v>
      </c>
      <c r="BM382" t="s">
        <v>11221</v>
      </c>
      <c r="BN382">
        <v>7.76</v>
      </c>
      <c r="BO382">
        <v>-30.77</v>
      </c>
      <c r="BP382" t="s">
        <v>9</v>
      </c>
      <c r="BQ382">
        <v>10.33</v>
      </c>
      <c r="BR382">
        <v>-23.79</v>
      </c>
      <c r="BS382">
        <v>29.01</v>
      </c>
      <c r="BT382" t="s">
        <v>9</v>
      </c>
      <c r="BU382" t="s">
        <v>2382</v>
      </c>
      <c r="BV382">
        <v>49.18</v>
      </c>
      <c r="BW382">
        <v>49.88</v>
      </c>
      <c r="BX382" t="s">
        <v>9</v>
      </c>
      <c r="BY382">
        <v>12.3</v>
      </c>
      <c r="BZ382">
        <v>-28.13</v>
      </c>
      <c r="CA382" t="s">
        <v>9</v>
      </c>
      <c r="CB382">
        <v>-7.67</v>
      </c>
      <c r="CC382">
        <v>-37.5</v>
      </c>
      <c r="CD382" t="s">
        <v>11222</v>
      </c>
      <c r="CE382" t="s">
        <v>11223</v>
      </c>
      <c r="CF382" s="8" t="s">
        <v>9</v>
      </c>
      <c r="CG382" s="9">
        <v>1.482</v>
      </c>
      <c r="CH382" s="8">
        <v>9.0523339807987213E-2</v>
      </c>
      <c r="CI382" s="8">
        <v>-0.11069182306528091</v>
      </c>
      <c r="CJ382" s="8">
        <v>0.38622486591339111</v>
      </c>
      <c r="CK382" s="8">
        <v>8.7203852832317352E-2</v>
      </c>
      <c r="CL382" s="8" t="s">
        <v>9</v>
      </c>
      <c r="CM382" s="9">
        <v>1.8154506683349609</v>
      </c>
      <c r="CN382" s="9">
        <v>-2.9745762348175049</v>
      </c>
      <c r="CO382" s="9" t="s">
        <v>9</v>
      </c>
      <c r="CP382" s="9" t="s">
        <v>9</v>
      </c>
      <c r="CQ382" s="9" t="s">
        <v>9</v>
      </c>
      <c r="CR382">
        <v>0.30442862871589227</v>
      </c>
      <c r="CS382">
        <v>2.6559305202497403E-2</v>
      </c>
      <c r="CT382">
        <v>0</v>
      </c>
      <c r="CU382" s="8">
        <v>0.1146222110837698</v>
      </c>
      <c r="CV382" s="9">
        <v>4.0824562311172485E-3</v>
      </c>
      <c r="CW382">
        <v>0.06</v>
      </c>
      <c r="CX382">
        <v>8.7393945565996152</v>
      </c>
      <c r="CY382">
        <v>199790773.68482667</v>
      </c>
      <c r="CZ382">
        <v>0.1146222110837698</v>
      </c>
      <c r="DA382">
        <v>2.7971873837022088</v>
      </c>
      <c r="DB382">
        <v>624216457.63646352</v>
      </c>
      <c r="DC382">
        <v>0.1088911005295813</v>
      </c>
      <c r="DD382">
        <v>1.3388864365356903</v>
      </c>
      <c r="DE382">
        <v>1304106421.8395016</v>
      </c>
      <c r="DF382">
        <v>0.10086754575371742</v>
      </c>
      <c r="DG382">
        <v>0.77869592383691044</v>
      </c>
      <c r="DH382">
        <v>2242274996.6335917</v>
      </c>
      <c r="DI382">
        <v>9.1697768867015847E-2</v>
      </c>
      <c r="DJ382">
        <v>0.37450883535927942</v>
      </c>
      <c r="DK382">
        <v>4662240874.3039474</v>
      </c>
      <c r="DL382">
        <v>8.023554775863885E-2</v>
      </c>
      <c r="DM382">
        <v>190000000</v>
      </c>
      <c r="DN382">
        <v>0.1146222110837698</v>
      </c>
      <c r="DO382">
        <v>1746050400</v>
      </c>
      <c r="DP382" t="e">
        <v>#VALUE!</v>
      </c>
      <c r="DQ382">
        <v>381</v>
      </c>
      <c r="DR382" t="e">
        <v>#VALUE!</v>
      </c>
      <c r="DS382">
        <v>1.4779175437688827</v>
      </c>
      <c r="DT382" t="e">
        <v>#VALUE!</v>
      </c>
      <c r="DU382" t="e">
        <v>#VALUE!</v>
      </c>
      <c r="DV382" t="e">
        <v>#VALUE!</v>
      </c>
      <c r="DW382">
        <v>-9.2045333333333339</v>
      </c>
      <c r="DX382">
        <v>0.28231591031558123</v>
      </c>
      <c r="DY382">
        <v>-9.0107003475232137</v>
      </c>
      <c r="DZ382">
        <v>0</v>
      </c>
      <c r="EA382">
        <v>-9.0107003475232137</v>
      </c>
      <c r="EB382">
        <v>9</v>
      </c>
      <c r="EC382">
        <v>1.5090859068609477E-3</v>
      </c>
      <c r="ED382">
        <v>2.8845639839922006E-2</v>
      </c>
      <c r="EE382">
        <v>0</v>
      </c>
      <c r="EF382">
        <v>0</v>
      </c>
      <c r="EG382">
        <v>23.052315910315581</v>
      </c>
      <c r="EH382" t="s">
        <v>110</v>
      </c>
      <c r="EI382">
        <v>0</v>
      </c>
      <c r="EJ382">
        <v>0</v>
      </c>
      <c r="EK382">
        <v>0</v>
      </c>
      <c r="EL382">
        <v>0</v>
      </c>
      <c r="EM382">
        <v>0</v>
      </c>
      <c r="EN382">
        <v>0</v>
      </c>
      <c r="EO382">
        <v>0</v>
      </c>
      <c r="EP382">
        <v>0</v>
      </c>
    </row>
    <row r="383" spans="1:146" ht="84" x14ac:dyDescent="0.25">
      <c r="C383" s="7" t="str">
        <f>""&amp;CHAR(10)&amp;Basic_Fundamental_Information_Constructure(F383)&amp;CHAR(10)&amp;Basic_Fundamental_Information_Concatenate("")</f>
        <v xml:space="preserve">
市值38.760474亿, 利润--; PE9.78; 平均PE1.52; 平均PEG.08, PB1.1; ROIC0%; ROE0%; 股利率0%; 毛利0%; 净利0%, 利润增8.72%; 过往5年营收增18.62%, 利润增258.42%
Income profile:
</v>
      </c>
      <c r="D383" s="11">
        <v>2411</v>
      </c>
      <c r="E383" t="s">
        <v>6376</v>
      </c>
      <c r="F383">
        <v>2.44</v>
      </c>
      <c r="G383">
        <v>-5.79E-2</v>
      </c>
      <c r="H383" t="s">
        <v>11224</v>
      </c>
      <c r="I383">
        <v>3876047400</v>
      </c>
      <c r="J383">
        <v>9.7799999999999994</v>
      </c>
      <c r="K383">
        <v>1.1000000000000001</v>
      </c>
      <c r="L383" t="s">
        <v>6350</v>
      </c>
      <c r="M383" t="s">
        <v>9</v>
      </c>
      <c r="N383" t="s">
        <v>9</v>
      </c>
      <c r="O383" t="s">
        <v>9</v>
      </c>
      <c r="P383" s="5" t="s">
        <v>9</v>
      </c>
      <c r="Q383" t="s">
        <v>9</v>
      </c>
      <c r="R383">
        <v>396514180</v>
      </c>
      <c r="S383">
        <v>8.72E-2</v>
      </c>
      <c r="T383" t="s">
        <v>9</v>
      </c>
      <c r="U383">
        <v>1182616610</v>
      </c>
      <c r="V383">
        <v>1588544000</v>
      </c>
      <c r="W383" t="s">
        <v>9</v>
      </c>
      <c r="X383" t="s">
        <v>9</v>
      </c>
      <c r="Y383" t="s">
        <v>9</v>
      </c>
      <c r="Z383" t="s">
        <v>9</v>
      </c>
      <c r="AA383" t="s">
        <v>9</v>
      </c>
      <c r="AB383" t="s">
        <v>9</v>
      </c>
      <c r="AC383" t="s">
        <v>9</v>
      </c>
      <c r="AD383" t="s">
        <v>9</v>
      </c>
      <c r="AE383" t="s">
        <v>9</v>
      </c>
      <c r="AF383" t="s">
        <v>9</v>
      </c>
      <c r="AG383" t="s">
        <v>9</v>
      </c>
      <c r="AH383" t="s">
        <v>11225</v>
      </c>
      <c r="AI383" t="s">
        <v>9</v>
      </c>
      <c r="AJ383" t="s">
        <v>9</v>
      </c>
      <c r="AK383" s="5" t="s">
        <v>11226</v>
      </c>
      <c r="AL383" t="s">
        <v>9</v>
      </c>
      <c r="AM383" t="s">
        <v>9</v>
      </c>
      <c r="AN383">
        <v>0.56040000000000001</v>
      </c>
      <c r="AO383" t="s">
        <v>9</v>
      </c>
      <c r="AP383" t="s">
        <v>9</v>
      </c>
      <c r="AQ383" t="s">
        <v>9</v>
      </c>
      <c r="AR383" t="s">
        <v>9</v>
      </c>
      <c r="AS383" t="s">
        <v>9</v>
      </c>
      <c r="AT383" t="s">
        <v>9</v>
      </c>
      <c r="AU383" t="s">
        <v>9</v>
      </c>
      <c r="AV383" t="s">
        <v>9</v>
      </c>
      <c r="AW383" t="s">
        <v>9</v>
      </c>
      <c r="AX383" t="s">
        <v>9</v>
      </c>
      <c r="AY383" t="s">
        <v>9</v>
      </c>
      <c r="AZ383" t="s">
        <v>9</v>
      </c>
      <c r="BA383" t="s">
        <v>9</v>
      </c>
      <c r="BB383" t="s">
        <v>9</v>
      </c>
      <c r="BC383" t="s">
        <v>9</v>
      </c>
      <c r="BD383" t="s">
        <v>9</v>
      </c>
      <c r="BE383" t="s">
        <v>9</v>
      </c>
      <c r="BF383" t="s">
        <v>9</v>
      </c>
      <c r="BG383" t="s">
        <v>9</v>
      </c>
      <c r="BH383" t="s">
        <v>9</v>
      </c>
      <c r="BI383" t="s">
        <v>9</v>
      </c>
      <c r="BJ383" t="s">
        <v>9</v>
      </c>
      <c r="BK383" t="s">
        <v>9</v>
      </c>
      <c r="BL383" t="s">
        <v>9</v>
      </c>
      <c r="BM383" t="s">
        <v>9</v>
      </c>
      <c r="BN383" t="s">
        <v>9</v>
      </c>
      <c r="BO383" t="s">
        <v>9</v>
      </c>
      <c r="BP383" t="s">
        <v>9</v>
      </c>
      <c r="BQ383" t="s">
        <v>9</v>
      </c>
      <c r="BR383" t="s">
        <v>9</v>
      </c>
      <c r="BS383" t="s">
        <v>9</v>
      </c>
      <c r="BT383" t="s">
        <v>9</v>
      </c>
      <c r="BU383" t="s">
        <v>9</v>
      </c>
      <c r="BV383" t="s">
        <v>9</v>
      </c>
      <c r="BW383" t="s">
        <v>9</v>
      </c>
      <c r="BX383" t="s">
        <v>9</v>
      </c>
      <c r="BY383" t="s">
        <v>9</v>
      </c>
      <c r="BZ383" t="s">
        <v>9</v>
      </c>
      <c r="CA383" t="s">
        <v>9</v>
      </c>
      <c r="CB383">
        <v>-14.69</v>
      </c>
      <c r="CC383" s="8">
        <v>-22.37</v>
      </c>
      <c r="CD383" s="10" t="s">
        <v>11227</v>
      </c>
      <c r="CE383" s="8" t="s">
        <v>11228</v>
      </c>
      <c r="CF383" s="8" t="s">
        <v>9</v>
      </c>
      <c r="CG383" s="8">
        <v>8.72E-2</v>
      </c>
      <c r="CH383" s="8" t="s">
        <v>9</v>
      </c>
      <c r="CI383" s="8" t="s">
        <v>9</v>
      </c>
      <c r="CJ383" s="9" t="s">
        <v>9</v>
      </c>
      <c r="CK383" s="9" t="s">
        <v>9</v>
      </c>
      <c r="CL383" s="9" t="s">
        <v>9</v>
      </c>
      <c r="CM383" s="9" t="s">
        <v>9</v>
      </c>
      <c r="CN383" s="9" t="s">
        <v>9</v>
      </c>
      <c r="CO383" t="s">
        <v>9</v>
      </c>
      <c r="CP383" t="s">
        <v>9</v>
      </c>
      <c r="CQ383" t="s">
        <v>9</v>
      </c>
      <c r="CR383" s="8">
        <v>1.5191845261425101</v>
      </c>
      <c r="CS383" s="9">
        <v>8.1596910788268362E-2</v>
      </c>
      <c r="CT383">
        <v>0</v>
      </c>
      <c r="CU383">
        <v>0.18618162274360656</v>
      </c>
      <c r="CV383">
        <v>2.5842305928468705</v>
      </c>
      <c r="CW383">
        <v>0.06</v>
      </c>
      <c r="CX383" t="e">
        <v>#DIV/0!</v>
      </c>
      <c r="CY383">
        <v>0</v>
      </c>
      <c r="CZ383">
        <v>0.18618162274360656</v>
      </c>
      <c r="DA383" t="e">
        <v>#DIV/0!</v>
      </c>
      <c r="DB383">
        <v>0</v>
      </c>
      <c r="DC383">
        <v>0.17687254160642621</v>
      </c>
      <c r="DD383" t="e">
        <v>#DIV/0!</v>
      </c>
      <c r="DE383">
        <v>0</v>
      </c>
      <c r="DF383">
        <v>0.16383982801437377</v>
      </c>
      <c r="DG383" t="e">
        <v>#DIV/0!</v>
      </c>
      <c r="DH383">
        <v>0</v>
      </c>
      <c r="DI383">
        <v>0.14894529819488525</v>
      </c>
      <c r="DJ383" t="e">
        <v>#DIV/0!</v>
      </c>
      <c r="DK383">
        <v>0</v>
      </c>
      <c r="DL383">
        <v>0.13032713592052458</v>
      </c>
      <c r="DM383">
        <v>0</v>
      </c>
      <c r="DN383">
        <v>0.18618162274360656</v>
      </c>
      <c r="DO383">
        <v>3876047400</v>
      </c>
      <c r="DP383" t="e">
        <v>#VALUE!</v>
      </c>
      <c r="DQ383">
        <v>382</v>
      </c>
      <c r="DR383" t="e">
        <v>#VALUE!</v>
      </c>
      <c r="DS383">
        <v>-2.4970305928468703</v>
      </c>
      <c r="DT383" t="e">
        <v>#VALUE!</v>
      </c>
      <c r="DU383" t="e">
        <v>#VALUE!</v>
      </c>
      <c r="DV383" t="e">
        <v>#VALUE!</v>
      </c>
      <c r="DW383">
        <v>-9.6566830576665179</v>
      </c>
      <c r="DX383">
        <v>0.32371034237011276</v>
      </c>
      <c r="DY383">
        <v>-9.1075058081992388</v>
      </c>
      <c r="DZ383">
        <v>0</v>
      </c>
      <c r="EA383">
        <v>-9.1075058081992388</v>
      </c>
      <c r="EB383">
        <v>9</v>
      </c>
      <c r="EC383">
        <v>2.4872461826679023E-3</v>
      </c>
      <c r="ED383">
        <v>1.5192969159179724E-2</v>
      </c>
      <c r="EE383">
        <v>0</v>
      </c>
      <c r="EF383">
        <v>0</v>
      </c>
      <c r="EG383">
        <v>16.163710342370113</v>
      </c>
      <c r="EH383" t="s">
        <v>110</v>
      </c>
      <c r="EI383">
        <v>0</v>
      </c>
      <c r="EJ383">
        <v>0</v>
      </c>
      <c r="EK383">
        <v>0</v>
      </c>
      <c r="EL383">
        <v>0</v>
      </c>
      <c r="EM383">
        <v>0</v>
      </c>
      <c r="EN383">
        <v>0</v>
      </c>
      <c r="EO383">
        <v>0</v>
      </c>
      <c r="EP383">
        <v>0</v>
      </c>
    </row>
    <row r="384" spans="1:146" ht="84" x14ac:dyDescent="0.25">
      <c r="C384" s="7" t="str">
        <f>""&amp;CHAR(10)&amp;Basic_Fundamental_Information_Constructure(F384)&amp;CHAR(10)&amp;Basic_Fundamental_Information_Concatenate("")</f>
        <v xml:space="preserve">
市值11.1112284亿, 利润--; PE18.42; 平均PE1.35; 平均PEG.16, PB.905; ROIC0%; ROE0%; 股利率0%; 毛利0%; 净利0%, 利润增153.5%; 过往5年营收增-8.53%, 利润增8.15%
Income profile:
</v>
      </c>
      <c r="D384" s="11">
        <v>2415</v>
      </c>
      <c r="E384" t="s">
        <v>6377</v>
      </c>
      <c r="F384">
        <v>1.83</v>
      </c>
      <c r="G384">
        <v>-5.67E-2</v>
      </c>
      <c r="H384" t="s">
        <v>11229</v>
      </c>
      <c r="I384">
        <v>1111122840</v>
      </c>
      <c r="J384">
        <v>18.420000000000002</v>
      </c>
      <c r="K384">
        <v>0.90500000000000003</v>
      </c>
      <c r="L384" t="s">
        <v>6350</v>
      </c>
      <c r="M384" t="s">
        <v>9</v>
      </c>
      <c r="N384" t="s">
        <v>9</v>
      </c>
      <c r="O384" t="s">
        <v>9</v>
      </c>
      <c r="P384" s="5" t="s">
        <v>9</v>
      </c>
      <c r="Q384" t="s">
        <v>9</v>
      </c>
      <c r="R384">
        <v>60337040</v>
      </c>
      <c r="S384">
        <v>1.5349999999999999</v>
      </c>
      <c r="T384" t="s">
        <v>9</v>
      </c>
      <c r="U384">
        <v>607170950</v>
      </c>
      <c r="V384">
        <v>607170950</v>
      </c>
      <c r="W384" t="s">
        <v>9</v>
      </c>
      <c r="X384" t="s">
        <v>9</v>
      </c>
      <c r="Y384" t="s">
        <v>9</v>
      </c>
      <c r="Z384" t="s">
        <v>9</v>
      </c>
      <c r="AA384" t="s">
        <v>9</v>
      </c>
      <c r="AB384" t="s">
        <v>9</v>
      </c>
      <c r="AC384" t="s">
        <v>9</v>
      </c>
      <c r="AD384" t="s">
        <v>9</v>
      </c>
      <c r="AE384" t="s">
        <v>9</v>
      </c>
      <c r="AF384" t="s">
        <v>9</v>
      </c>
      <c r="AG384" t="s">
        <v>9</v>
      </c>
      <c r="AH384" t="s">
        <v>11230</v>
      </c>
      <c r="AI384" t="s">
        <v>9</v>
      </c>
      <c r="AJ384" t="s">
        <v>9</v>
      </c>
      <c r="AK384" s="5" t="s">
        <v>11231</v>
      </c>
      <c r="AL384" t="s">
        <v>9</v>
      </c>
      <c r="AM384" t="s">
        <v>9</v>
      </c>
      <c r="AN384">
        <v>0.13519999999999999</v>
      </c>
      <c r="AO384" t="s">
        <v>9</v>
      </c>
      <c r="AP384" t="s">
        <v>9</v>
      </c>
      <c r="AQ384" t="s">
        <v>9</v>
      </c>
      <c r="AR384" t="s">
        <v>9</v>
      </c>
      <c r="AS384" t="s">
        <v>9</v>
      </c>
      <c r="AT384" t="s">
        <v>9</v>
      </c>
      <c r="AU384" t="s">
        <v>9</v>
      </c>
      <c r="AV384" t="s">
        <v>9</v>
      </c>
      <c r="AW384" t="s">
        <v>9</v>
      </c>
      <c r="AX384" t="s">
        <v>9</v>
      </c>
      <c r="AY384" t="s">
        <v>9</v>
      </c>
      <c r="AZ384" t="s">
        <v>9</v>
      </c>
      <c r="BA384" t="s">
        <v>9</v>
      </c>
      <c r="BB384" t="s">
        <v>9</v>
      </c>
      <c r="BC384" t="s">
        <v>9</v>
      </c>
      <c r="BD384" t="s">
        <v>9</v>
      </c>
      <c r="BE384" t="s">
        <v>9</v>
      </c>
      <c r="BF384" t="s">
        <v>9</v>
      </c>
      <c r="BG384" t="s">
        <v>9</v>
      </c>
      <c r="BH384" t="s">
        <v>9</v>
      </c>
      <c r="BI384" t="s">
        <v>9</v>
      </c>
      <c r="BJ384" t="s">
        <v>9</v>
      </c>
      <c r="BK384" t="s">
        <v>9</v>
      </c>
      <c r="BL384" t="s">
        <v>9</v>
      </c>
      <c r="BM384" t="s">
        <v>9</v>
      </c>
      <c r="BN384" t="s">
        <v>9</v>
      </c>
      <c r="BO384" t="s">
        <v>9</v>
      </c>
      <c r="BP384" t="s">
        <v>9</v>
      </c>
      <c r="BQ384" t="s">
        <v>9</v>
      </c>
      <c r="BR384" t="s">
        <v>9</v>
      </c>
      <c r="BS384" t="s">
        <v>9</v>
      </c>
      <c r="BT384" t="s">
        <v>9</v>
      </c>
      <c r="BU384" t="s">
        <v>9</v>
      </c>
      <c r="BV384" t="s">
        <v>9</v>
      </c>
      <c r="BW384" t="s">
        <v>9</v>
      </c>
      <c r="BX384" t="s">
        <v>9</v>
      </c>
      <c r="BY384" t="s">
        <v>9</v>
      </c>
      <c r="BZ384" t="s">
        <v>9</v>
      </c>
      <c r="CA384" t="s">
        <v>9</v>
      </c>
      <c r="CB384">
        <v>-19.739999999999998</v>
      </c>
      <c r="CC384" s="8">
        <v>-34.64</v>
      </c>
      <c r="CD384" s="10" t="s">
        <v>11232</v>
      </c>
      <c r="CE384" s="8" t="s">
        <v>11233</v>
      </c>
      <c r="CF384" s="8" t="s">
        <v>9</v>
      </c>
      <c r="CG384" s="8">
        <v>1.5349999999999999</v>
      </c>
      <c r="CH384" s="8" t="s">
        <v>9</v>
      </c>
      <c r="CI384" s="8" t="s">
        <v>9</v>
      </c>
      <c r="CJ384" s="9" t="s">
        <v>9</v>
      </c>
      <c r="CK384" s="9" t="s">
        <v>9</v>
      </c>
      <c r="CL384" s="9" t="s">
        <v>9</v>
      </c>
      <c r="CM384" s="9" t="s">
        <v>9</v>
      </c>
      <c r="CN384" s="9" t="s">
        <v>9</v>
      </c>
      <c r="CO384" t="s">
        <v>9</v>
      </c>
      <c r="CP384" t="s">
        <v>9</v>
      </c>
      <c r="CQ384" t="s">
        <v>9</v>
      </c>
      <c r="CR384" s="8">
        <v>1.3458367732558139</v>
      </c>
      <c r="CS384" s="9">
        <v>0.1578403425095018</v>
      </c>
      <c r="CT384">
        <v>0</v>
      </c>
      <c r="CU384">
        <v>-8.5265702789183703E-2</v>
      </c>
      <c r="CV384">
        <v>8.1498757749795911E-2</v>
      </c>
      <c r="CW384">
        <v>0.06</v>
      </c>
      <c r="CX384" t="e">
        <v>#DIV/0!</v>
      </c>
      <c r="CY384" t="s">
        <v>6391</v>
      </c>
      <c r="CZ384">
        <v>-8.5265702789183703E-2</v>
      </c>
      <c r="DA384" t="e">
        <v>#DIV/0!</v>
      </c>
      <c r="DB384" t="s">
        <v>6391</v>
      </c>
      <c r="DC384">
        <v>-8.1002417649724517E-2</v>
      </c>
      <c r="DD384" t="e">
        <v>#DIV/0!</v>
      </c>
      <c r="DE384" t="s">
        <v>6391</v>
      </c>
      <c r="DF384">
        <v>-7.5033818454481663E-2</v>
      </c>
      <c r="DG384" t="e">
        <v>#DIV/0!</v>
      </c>
      <c r="DH384" t="s">
        <v>6391</v>
      </c>
      <c r="DI384">
        <v>-6.821256223134696E-2</v>
      </c>
      <c r="DJ384" t="e">
        <v>#DIV/0!</v>
      </c>
      <c r="DK384" t="s">
        <v>6391</v>
      </c>
      <c r="DL384">
        <v>-5.9685991952428588E-2</v>
      </c>
      <c r="DM384">
        <v>0</v>
      </c>
      <c r="DN384">
        <v>-8.5265702789183703E-2</v>
      </c>
      <c r="DO384">
        <v>1111122840</v>
      </c>
      <c r="DP384" t="e">
        <v>#VALUE!</v>
      </c>
      <c r="DQ384">
        <v>383</v>
      </c>
      <c r="DR384" t="e">
        <v>#VALUE!</v>
      </c>
      <c r="DS384">
        <v>1.4535012422502041</v>
      </c>
      <c r="DT384" t="e">
        <v>#VALUE!</v>
      </c>
      <c r="DU384" t="e">
        <v>#VALUE!</v>
      </c>
      <c r="DV384" t="e">
        <v>#VALUE!</v>
      </c>
      <c r="DW384">
        <v>-9.5698614318706703</v>
      </c>
      <c r="DX384">
        <v>0.39218160641490762</v>
      </c>
      <c r="DY384">
        <v>-9.1494071856417527</v>
      </c>
      <c r="DZ384">
        <v>0</v>
      </c>
      <c r="EA384">
        <v>-9.1494071856417527</v>
      </c>
      <c r="EB384">
        <v>9</v>
      </c>
      <c r="EC384">
        <v>2.4098155552402498E-2</v>
      </c>
      <c r="ED384">
        <v>9.1913982380085871E-2</v>
      </c>
      <c r="EE384">
        <v>0</v>
      </c>
      <c r="EF384">
        <v>0</v>
      </c>
      <c r="EG384">
        <v>13.262181606414908</v>
      </c>
      <c r="EH384" t="s">
        <v>110</v>
      </c>
      <c r="EI384">
        <v>0</v>
      </c>
      <c r="EJ384">
        <v>0</v>
      </c>
      <c r="EK384">
        <v>0</v>
      </c>
      <c r="EL384">
        <v>0</v>
      </c>
      <c r="EM384">
        <v>0</v>
      </c>
      <c r="EN384">
        <v>0</v>
      </c>
      <c r="EO384">
        <v>0</v>
      </c>
      <c r="EP384">
        <v>0</v>
      </c>
    </row>
    <row r="385" spans="1:146" ht="84" x14ac:dyDescent="0.25">
      <c r="C385" s="7" t="str">
        <f>""&amp;CHAR(10)&amp;Basic_Fundamental_Information_Constructure(F385)&amp;CHAR(10)&amp;Basic_Fundamental_Information_Concatenate("")</f>
        <v xml:space="preserve">
市值11.0127963亿, 利润--; PE; 平均PE5.06; 平均PEG6.41, PB.816; ROIC0%; ROE0%; 股利率0%; 毛利0%; 净利0%, 利润增-43.09%; 过往5年营收增.79%, 利润增2.58%
Income profile:
</v>
      </c>
      <c r="D385" s="11">
        <v>2416</v>
      </c>
      <c r="E385" t="s">
        <v>6378</v>
      </c>
      <c r="F385">
        <v>1.9</v>
      </c>
      <c r="G385">
        <v>-6.4000000000000001E-2</v>
      </c>
      <c r="H385" t="s">
        <v>11234</v>
      </c>
      <c r="I385">
        <v>1101279630</v>
      </c>
      <c r="K385">
        <v>0.81599999999999995</v>
      </c>
      <c r="L385" t="s">
        <v>6350</v>
      </c>
      <c r="M385" t="s">
        <v>9</v>
      </c>
      <c r="N385" t="s">
        <v>9</v>
      </c>
      <c r="O385" t="s">
        <v>9</v>
      </c>
      <c r="P385" s="5" t="s">
        <v>9</v>
      </c>
      <c r="Q385" t="s">
        <v>9</v>
      </c>
      <c r="R385">
        <v>-987278280</v>
      </c>
      <c r="S385">
        <v>-0.43090000000000001</v>
      </c>
      <c r="T385" t="s">
        <v>9</v>
      </c>
      <c r="U385">
        <v>579341140</v>
      </c>
      <c r="V385">
        <v>579341140</v>
      </c>
      <c r="W385" t="s">
        <v>9</v>
      </c>
      <c r="X385" t="s">
        <v>9</v>
      </c>
      <c r="Y385" t="s">
        <v>9</v>
      </c>
      <c r="Z385" t="s">
        <v>9</v>
      </c>
      <c r="AA385" t="s">
        <v>9</v>
      </c>
      <c r="AB385" t="s">
        <v>9</v>
      </c>
      <c r="AC385" t="s">
        <v>9</v>
      </c>
      <c r="AD385" t="s">
        <v>9</v>
      </c>
      <c r="AE385" t="s">
        <v>9</v>
      </c>
      <c r="AF385" t="s">
        <v>9</v>
      </c>
      <c r="AG385" t="s">
        <v>9</v>
      </c>
      <c r="AH385" t="s">
        <v>11235</v>
      </c>
      <c r="AI385" t="s">
        <v>9</v>
      </c>
      <c r="AJ385" t="s">
        <v>9</v>
      </c>
      <c r="AK385" s="5" t="s">
        <v>11236</v>
      </c>
      <c r="AL385" t="s">
        <v>9</v>
      </c>
      <c r="AM385" t="s">
        <v>9</v>
      </c>
      <c r="AN385">
        <v>0.628</v>
      </c>
      <c r="AO385" t="s">
        <v>9</v>
      </c>
      <c r="AP385" t="s">
        <v>9</v>
      </c>
      <c r="AQ385" t="s">
        <v>9</v>
      </c>
      <c r="AR385" t="s">
        <v>9</v>
      </c>
      <c r="AS385" t="s">
        <v>9</v>
      </c>
      <c r="AT385" t="s">
        <v>9</v>
      </c>
      <c r="AU385" t="s">
        <v>9</v>
      </c>
      <c r="AV385" t="s">
        <v>9</v>
      </c>
      <c r="AW385" t="s">
        <v>9</v>
      </c>
      <c r="AX385" t="s">
        <v>9</v>
      </c>
      <c r="AY385" t="s">
        <v>9</v>
      </c>
      <c r="AZ385" t="s">
        <v>9</v>
      </c>
      <c r="BA385" t="s">
        <v>9</v>
      </c>
      <c r="BB385" t="s">
        <v>9</v>
      </c>
      <c r="BC385" t="s">
        <v>9</v>
      </c>
      <c r="BD385" t="s">
        <v>9</v>
      </c>
      <c r="BE385" t="s">
        <v>9</v>
      </c>
      <c r="BF385" t="s">
        <v>9</v>
      </c>
      <c r="BG385" t="s">
        <v>9</v>
      </c>
      <c r="BH385" t="s">
        <v>9</v>
      </c>
      <c r="BI385" t="s">
        <v>9</v>
      </c>
      <c r="BJ385" t="s">
        <v>9</v>
      </c>
      <c r="BK385" t="s">
        <v>9</v>
      </c>
      <c r="BL385" t="s">
        <v>9</v>
      </c>
      <c r="BM385" t="s">
        <v>9</v>
      </c>
      <c r="BN385" t="s">
        <v>9</v>
      </c>
      <c r="BO385" t="s">
        <v>9</v>
      </c>
      <c r="BP385" t="s">
        <v>9</v>
      </c>
      <c r="BQ385" t="s">
        <v>9</v>
      </c>
      <c r="BR385" t="s">
        <v>9</v>
      </c>
      <c r="BS385" t="s">
        <v>9</v>
      </c>
      <c r="BT385" t="s">
        <v>9</v>
      </c>
      <c r="BU385" t="s">
        <v>9</v>
      </c>
      <c r="BV385" t="s">
        <v>9</v>
      </c>
      <c r="BW385" t="s">
        <v>9</v>
      </c>
      <c r="BX385" t="s">
        <v>9</v>
      </c>
      <c r="BY385" t="s">
        <v>9</v>
      </c>
      <c r="BZ385" t="s">
        <v>9</v>
      </c>
      <c r="CA385" t="s">
        <v>9</v>
      </c>
      <c r="CB385">
        <v>-21.81</v>
      </c>
      <c r="CC385" s="8">
        <v>-41.36</v>
      </c>
      <c r="CD385" s="10" t="s">
        <v>11237</v>
      </c>
      <c r="CE385" s="8" t="s">
        <v>1155</v>
      </c>
      <c r="CF385" s="8" t="s">
        <v>9</v>
      </c>
      <c r="CG385" s="8">
        <v>-0.43090000000000001</v>
      </c>
      <c r="CH385" s="8" t="s">
        <v>9</v>
      </c>
      <c r="CI385" s="8" t="s">
        <v>9</v>
      </c>
      <c r="CJ385" s="9" t="s">
        <v>9</v>
      </c>
      <c r="CK385" s="9" t="s">
        <v>9</v>
      </c>
      <c r="CL385" s="9" t="s">
        <v>9</v>
      </c>
      <c r="CM385" s="9" t="s">
        <v>9</v>
      </c>
      <c r="CN385" s="9" t="s">
        <v>9</v>
      </c>
      <c r="CO385" t="s">
        <v>9</v>
      </c>
      <c r="CP385" t="s">
        <v>9</v>
      </c>
      <c r="CQ385" t="s">
        <v>9</v>
      </c>
      <c r="CR385" s="8">
        <v>5.0563803030303029</v>
      </c>
      <c r="CS385" s="9">
        <v>6.40514366548837</v>
      </c>
      <c r="CT385">
        <v>0</v>
      </c>
      <c r="CU385">
        <v>7.8942496329545975E-3</v>
      </c>
      <c r="CV385">
        <v>2.5756072998046876E-2</v>
      </c>
      <c r="CW385">
        <v>0.06</v>
      </c>
      <c r="CX385" t="e">
        <v>#DIV/0!</v>
      </c>
      <c r="CY385">
        <v>0</v>
      </c>
      <c r="CZ385">
        <v>7.8942496329545975E-3</v>
      </c>
      <c r="DA385" t="e">
        <v>#DIV/0!</v>
      </c>
      <c r="DB385">
        <v>0</v>
      </c>
      <c r="DC385">
        <v>7.4995371513068669E-3</v>
      </c>
      <c r="DD385" t="e">
        <v>#DIV/0!</v>
      </c>
      <c r="DE385">
        <v>0</v>
      </c>
      <c r="DF385">
        <v>6.9469396770000455E-3</v>
      </c>
      <c r="DG385" t="e">
        <v>#DIV/0!</v>
      </c>
      <c r="DH385">
        <v>0</v>
      </c>
      <c r="DI385">
        <v>6.3153997063636787E-3</v>
      </c>
      <c r="DJ385" t="e">
        <v>#DIV/0!</v>
      </c>
      <c r="DK385">
        <v>0</v>
      </c>
      <c r="DL385">
        <v>5.5259747430682175E-3</v>
      </c>
      <c r="DM385">
        <v>0</v>
      </c>
      <c r="DN385">
        <v>7.8942496329545975E-3</v>
      </c>
      <c r="DO385">
        <v>1101279630</v>
      </c>
      <c r="DP385" t="e">
        <v>#VALUE!</v>
      </c>
      <c r="DQ385">
        <v>384</v>
      </c>
      <c r="DR385" t="e">
        <v>#VALUE!</v>
      </c>
      <c r="DS385">
        <v>-0.45665607299804689</v>
      </c>
      <c r="DT385" t="e">
        <v>#VALUE!</v>
      </c>
      <c r="DU385" t="e">
        <v>#VALUE!</v>
      </c>
      <c r="DV385" t="e">
        <v>#VALUE!</v>
      </c>
      <c r="DW385">
        <v>-9.5273210831721471</v>
      </c>
      <c r="DX385">
        <v>0.2586951219512198</v>
      </c>
      <c r="DY385">
        <v>-9.0573172294428463</v>
      </c>
      <c r="DZ385">
        <v>0</v>
      </c>
      <c r="EA385">
        <v>-9.0573172294428463</v>
      </c>
      <c r="EB385">
        <v>9</v>
      </c>
      <c r="EC385">
        <v>6.9231230497457857E-2</v>
      </c>
      <c r="ED385">
        <v>0.63693042755430762</v>
      </c>
      <c r="EE385">
        <v>0</v>
      </c>
      <c r="EF385">
        <v>0</v>
      </c>
      <c r="EG385">
        <v>15.10869512195122</v>
      </c>
      <c r="EH385" t="s">
        <v>110</v>
      </c>
      <c r="EI385">
        <v>0</v>
      </c>
      <c r="EJ385">
        <v>0</v>
      </c>
      <c r="EK385">
        <v>0</v>
      </c>
      <c r="EL385">
        <v>0</v>
      </c>
      <c r="EM385">
        <v>0</v>
      </c>
      <c r="EN385">
        <v>0</v>
      </c>
      <c r="EO385">
        <v>0</v>
      </c>
      <c r="EP385">
        <v>0</v>
      </c>
    </row>
    <row r="386" spans="1:146" ht="84" x14ac:dyDescent="0.25">
      <c r="A386"/>
      <c r="B386"/>
      <c r="C386" s="7" t="str">
        <f>""&amp;CHAR(10)&amp;Basic_Fundamental_Information_Constructure(F386)&amp;CHAR(10)&amp;Basic_Fundamental_Information_Concatenate("")</f>
        <v xml:space="preserve">
市值108.709059亿, 利润--; PE; 平均PE5.64; 平均PEG.91, PB10.46; ROIC0%; ROE0%; 股利率0%; 毛利0%; 净利0%, 利润增-11.78%; 过往5年营收增6.21%, 利润增62.47%
Income profile:
</v>
      </c>
      <c r="D386" s="11">
        <v>2429</v>
      </c>
      <c r="E386" t="s">
        <v>11238</v>
      </c>
      <c r="F386">
        <v>13.94</v>
      </c>
      <c r="G386">
        <v>-4.5199999999999997E-2</v>
      </c>
      <c r="H386" t="s">
        <v>11239</v>
      </c>
      <c r="I386">
        <v>10870905900</v>
      </c>
      <c r="K386">
        <v>10.46</v>
      </c>
      <c r="L386" t="s">
        <v>6350</v>
      </c>
      <c r="M386" t="s">
        <v>9</v>
      </c>
      <c r="N386" t="s">
        <v>9</v>
      </c>
      <c r="O386" t="s">
        <v>9</v>
      </c>
      <c r="P386" s="5" t="s">
        <v>9</v>
      </c>
      <c r="Q386" t="s">
        <v>9</v>
      </c>
      <c r="R386">
        <v>-358780780</v>
      </c>
      <c r="S386">
        <v>-0.1178</v>
      </c>
      <c r="T386" t="s">
        <v>9</v>
      </c>
      <c r="U386">
        <v>636615810</v>
      </c>
      <c r="V386">
        <v>779835430</v>
      </c>
      <c r="W386" t="s">
        <v>9</v>
      </c>
      <c r="X386" t="s">
        <v>9</v>
      </c>
      <c r="Y386" t="s">
        <v>9</v>
      </c>
      <c r="Z386" t="s">
        <v>9</v>
      </c>
      <c r="AA386" t="s">
        <v>9</v>
      </c>
      <c r="AB386" t="s">
        <v>9</v>
      </c>
      <c r="AC386" t="s">
        <v>9</v>
      </c>
      <c r="AD386" t="s">
        <v>9</v>
      </c>
      <c r="AE386" t="s">
        <v>9</v>
      </c>
      <c r="AF386" t="s">
        <v>9</v>
      </c>
      <c r="AG386" t="s">
        <v>9</v>
      </c>
      <c r="AH386" t="s">
        <v>11240</v>
      </c>
      <c r="AI386" t="s">
        <v>9</v>
      </c>
      <c r="AJ386" t="s">
        <v>9</v>
      </c>
      <c r="AK386" s="5" t="s">
        <v>11241</v>
      </c>
      <c r="AL386" t="s">
        <v>9</v>
      </c>
      <c r="AM386" t="s">
        <v>9</v>
      </c>
      <c r="AN386">
        <v>0.35749999999999998</v>
      </c>
      <c r="AO386" t="s">
        <v>9</v>
      </c>
      <c r="AP386" t="s">
        <v>9</v>
      </c>
      <c r="AQ386" t="s">
        <v>9</v>
      </c>
      <c r="AR386" t="s">
        <v>9</v>
      </c>
      <c r="AS386" t="s">
        <v>9</v>
      </c>
      <c r="AT386" t="s">
        <v>9</v>
      </c>
      <c r="AU386" t="s">
        <v>9</v>
      </c>
      <c r="AV386" t="s">
        <v>9</v>
      </c>
      <c r="AW386" t="s">
        <v>9</v>
      </c>
      <c r="AX386" t="s">
        <v>9</v>
      </c>
      <c r="AY386" t="s">
        <v>9</v>
      </c>
      <c r="AZ386" t="s">
        <v>9</v>
      </c>
      <c r="BA386" t="s">
        <v>9</v>
      </c>
      <c r="BB386" t="s">
        <v>9</v>
      </c>
      <c r="BC386" t="s">
        <v>9</v>
      </c>
      <c r="BD386" t="s">
        <v>9</v>
      </c>
      <c r="BE386" t="s">
        <v>9</v>
      </c>
      <c r="BF386" t="s">
        <v>9</v>
      </c>
      <c r="BG386" t="s">
        <v>9</v>
      </c>
      <c r="BH386" t="s">
        <v>9</v>
      </c>
      <c r="BI386" t="s">
        <v>9</v>
      </c>
      <c r="BJ386" t="s">
        <v>9</v>
      </c>
      <c r="BK386" t="s">
        <v>9</v>
      </c>
      <c r="BL386" t="s">
        <v>9</v>
      </c>
      <c r="BM386" t="s">
        <v>9</v>
      </c>
      <c r="BN386" t="s">
        <v>9</v>
      </c>
      <c r="BO386" t="s">
        <v>9</v>
      </c>
      <c r="BP386" t="s">
        <v>9</v>
      </c>
      <c r="BQ386" t="s">
        <v>9</v>
      </c>
      <c r="BR386" t="s">
        <v>9</v>
      </c>
      <c r="BS386" t="s">
        <v>9</v>
      </c>
      <c r="BT386" t="s">
        <v>9</v>
      </c>
      <c r="BU386" t="s">
        <v>9</v>
      </c>
      <c r="BV386" t="s">
        <v>9</v>
      </c>
      <c r="BW386" t="s">
        <v>9</v>
      </c>
      <c r="BX386" t="s">
        <v>9</v>
      </c>
      <c r="BY386" t="s">
        <v>9</v>
      </c>
      <c r="BZ386" t="s">
        <v>9</v>
      </c>
      <c r="CA386" t="s">
        <v>9</v>
      </c>
      <c r="CB386">
        <v>-26.32</v>
      </c>
      <c r="CC386" s="8">
        <v>-13.42</v>
      </c>
      <c r="CD386" s="10" t="s">
        <v>11242</v>
      </c>
      <c r="CE386" s="8" t="s">
        <v>11243</v>
      </c>
      <c r="CF386" s="8" t="s">
        <v>9</v>
      </c>
      <c r="CG386" s="8">
        <v>-0.1178</v>
      </c>
      <c r="CH386" s="8" t="s">
        <v>9</v>
      </c>
      <c r="CI386" s="8" t="s">
        <v>9</v>
      </c>
      <c r="CJ386" s="9" t="s">
        <v>9</v>
      </c>
      <c r="CK386" s="9" t="s">
        <v>9</v>
      </c>
      <c r="CL386" s="9" t="s">
        <v>9</v>
      </c>
      <c r="CM386" s="9" t="s">
        <v>9</v>
      </c>
      <c r="CN386" s="9" t="s">
        <v>9</v>
      </c>
      <c r="CO386" t="s">
        <v>9</v>
      </c>
      <c r="CP386" t="s">
        <v>9</v>
      </c>
      <c r="CQ386" t="s">
        <v>9</v>
      </c>
      <c r="CR386" s="8">
        <v>5.6378518307229539</v>
      </c>
      <c r="CS386" s="9">
        <v>0.90824792286689437</v>
      </c>
      <c r="CT386">
        <v>0</v>
      </c>
      <c r="CU386">
        <v>6.2073930352926257E-2</v>
      </c>
      <c r="CV386">
        <v>0.62469366514123981</v>
      </c>
      <c r="CW386">
        <v>0.06</v>
      </c>
      <c r="CX386" t="e">
        <v>#DIV/0!</v>
      </c>
      <c r="CY386">
        <v>0</v>
      </c>
      <c r="CZ386">
        <v>6.2073930352926257E-2</v>
      </c>
      <c r="DA386" t="e">
        <v>#DIV/0!</v>
      </c>
      <c r="DB386">
        <v>0</v>
      </c>
      <c r="DC386">
        <v>5.8970233835279939E-2</v>
      </c>
      <c r="DD386" t="e">
        <v>#DIV/0!</v>
      </c>
      <c r="DE386">
        <v>0</v>
      </c>
      <c r="DF386">
        <v>5.462505871057511E-2</v>
      </c>
      <c r="DG386" t="e">
        <v>#DIV/0!</v>
      </c>
      <c r="DH386">
        <v>0</v>
      </c>
      <c r="DI386">
        <v>4.9659144282341007E-2</v>
      </c>
      <c r="DJ386" t="e">
        <v>#DIV/0!</v>
      </c>
      <c r="DK386">
        <v>0</v>
      </c>
      <c r="DL386">
        <v>4.3451751247048379E-2</v>
      </c>
      <c r="DM386">
        <v>0</v>
      </c>
      <c r="DN386">
        <v>6.2073930352926257E-2</v>
      </c>
      <c r="DO386">
        <v>10870905900</v>
      </c>
      <c r="DP386" t="e">
        <v>#VALUE!</v>
      </c>
      <c r="DQ386">
        <v>385</v>
      </c>
      <c r="DR386" t="e">
        <v>#VALUE!</v>
      </c>
      <c r="DS386">
        <v>-0.74249366514123982</v>
      </c>
      <c r="DT386" t="e">
        <v>#VALUE!</v>
      </c>
      <c r="DU386" t="e">
        <v>#VALUE!</v>
      </c>
      <c r="DV386" t="e">
        <v>#VALUE!</v>
      </c>
      <c r="DW386">
        <v>-5.5098784194528871</v>
      </c>
      <c r="DX386">
        <v>0.35221799746514504</v>
      </c>
      <c r="DY386">
        <v>-5.1286005139051012</v>
      </c>
      <c r="DZ386">
        <v>0</v>
      </c>
      <c r="EA386">
        <v>-5.1286005139051012</v>
      </c>
      <c r="EB386">
        <v>5</v>
      </c>
      <c r="EC386">
        <v>1.0334872833361777E-2</v>
      </c>
      <c r="ED386">
        <v>4.0975953093077597E-2</v>
      </c>
      <c r="EE386">
        <v>0</v>
      </c>
      <c r="EF386">
        <v>0</v>
      </c>
      <c r="EG386">
        <v>10.252217997465145</v>
      </c>
      <c r="EH386" t="s">
        <v>110</v>
      </c>
      <c r="EI386">
        <v>0</v>
      </c>
      <c r="EJ386">
        <v>0</v>
      </c>
      <c r="EK386">
        <v>0</v>
      </c>
      <c r="EL386">
        <v>0</v>
      </c>
      <c r="EM386">
        <v>0</v>
      </c>
      <c r="EN386">
        <v>0</v>
      </c>
      <c r="EO386">
        <v>0</v>
      </c>
      <c r="EP386">
        <v>0</v>
      </c>
    </row>
    <row r="387" spans="1:146" ht="84" x14ac:dyDescent="0.25">
      <c r="A387" s="7"/>
      <c r="B387" s="7"/>
      <c r="C387" s="7" t="str">
        <f>""&amp;CHAR(10)&amp;Basic_Fundamental_Information_Constructure(F387)&amp;CHAR(10)&amp;Basic_Fundamental_Information_Concatenate("")</f>
        <v xml:space="preserve">
市值100.180658亿, 利润--; PE48.47; 平均PE5.18; 平均PEG.52, PB7.21; ROIC0%; ROE0%; 股利率0%; 毛利0%; 净利0%, 利润增108.8%; 过往5年营收增9.89%, 利润增4.56%
Income profile:
</v>
      </c>
      <c r="D387" s="11">
        <v>2469</v>
      </c>
      <c r="E387" t="s">
        <v>4990</v>
      </c>
      <c r="F387">
        <v>4.37</v>
      </c>
      <c r="G387" s="5">
        <v>6.8999999999999999E-3</v>
      </c>
      <c r="H387" t="s">
        <v>11244</v>
      </c>
      <c r="I387">
        <v>10018065800</v>
      </c>
      <c r="J387">
        <v>48.47</v>
      </c>
      <c r="K387">
        <v>7.21</v>
      </c>
      <c r="L387" t="s">
        <v>6350</v>
      </c>
      <c r="M387" t="s">
        <v>9</v>
      </c>
      <c r="N387" t="s">
        <v>9</v>
      </c>
      <c r="O387" t="s">
        <v>9</v>
      </c>
      <c r="P387" t="s">
        <v>9</v>
      </c>
      <c r="Q387" t="s">
        <v>9</v>
      </c>
      <c r="R387">
        <v>206706050</v>
      </c>
      <c r="S387" s="5">
        <v>1.0880000000000001</v>
      </c>
      <c r="T387" t="s">
        <v>9</v>
      </c>
      <c r="U387">
        <v>2290717600</v>
      </c>
      <c r="V387">
        <v>2290717600</v>
      </c>
      <c r="W387" t="s">
        <v>9</v>
      </c>
      <c r="X387" t="s">
        <v>9</v>
      </c>
      <c r="Y387" t="s">
        <v>9</v>
      </c>
      <c r="Z387" t="s">
        <v>9</v>
      </c>
      <c r="AA387" t="s">
        <v>9</v>
      </c>
      <c r="AB387" t="s">
        <v>9</v>
      </c>
      <c r="AC387" t="s">
        <v>9</v>
      </c>
      <c r="AD387" t="s">
        <v>9</v>
      </c>
      <c r="AE387" t="s">
        <v>9</v>
      </c>
      <c r="AF387" t="s">
        <v>9</v>
      </c>
      <c r="AG387" t="s">
        <v>9</v>
      </c>
      <c r="AH387" t="s">
        <v>11245</v>
      </c>
      <c r="AI387" t="s">
        <v>9</v>
      </c>
      <c r="AJ387" t="s">
        <v>9</v>
      </c>
      <c r="AK387" t="s">
        <v>11246</v>
      </c>
      <c r="AL387" t="s">
        <v>9</v>
      </c>
      <c r="AM387" t="s">
        <v>9</v>
      </c>
      <c r="AN387" s="5">
        <v>0.4027</v>
      </c>
      <c r="AO387" t="s">
        <v>9</v>
      </c>
      <c r="AP387" t="s">
        <v>9</v>
      </c>
      <c r="AQ387" t="s">
        <v>9</v>
      </c>
      <c r="AR387" t="s">
        <v>9</v>
      </c>
      <c r="AS387" t="s">
        <v>9</v>
      </c>
      <c r="AT387" t="s">
        <v>9</v>
      </c>
      <c r="AU387" t="s">
        <v>9</v>
      </c>
      <c r="AV387" t="s">
        <v>9</v>
      </c>
      <c r="AW387" t="s">
        <v>9</v>
      </c>
      <c r="AX387" t="s">
        <v>9</v>
      </c>
      <c r="AY387" t="s">
        <v>9</v>
      </c>
      <c r="AZ387" t="s">
        <v>9</v>
      </c>
      <c r="BA387" t="s">
        <v>9</v>
      </c>
      <c r="BB387" t="s">
        <v>9</v>
      </c>
      <c r="BC387" t="s">
        <v>9</v>
      </c>
      <c r="BD387" t="s">
        <v>9</v>
      </c>
      <c r="BE387" t="s">
        <v>9</v>
      </c>
      <c r="BF387" t="s">
        <v>9</v>
      </c>
      <c r="BG387" t="s">
        <v>9</v>
      </c>
      <c r="BH387" t="s">
        <v>9</v>
      </c>
      <c r="BI387" t="s">
        <v>9</v>
      </c>
      <c r="BJ387" t="s">
        <v>9</v>
      </c>
      <c r="BK387" t="s">
        <v>9</v>
      </c>
      <c r="BL387" t="s">
        <v>9</v>
      </c>
      <c r="BM387" t="s">
        <v>9</v>
      </c>
      <c r="BN387" t="s">
        <v>9</v>
      </c>
      <c r="BO387" t="s">
        <v>9</v>
      </c>
      <c r="BP387" t="s">
        <v>9</v>
      </c>
      <c r="BQ387" t="s">
        <v>9</v>
      </c>
      <c r="BR387" t="s">
        <v>9</v>
      </c>
      <c r="BS387" t="s">
        <v>9</v>
      </c>
      <c r="BT387" t="s">
        <v>9</v>
      </c>
      <c r="BU387" t="s">
        <v>9</v>
      </c>
      <c r="BV387" t="s">
        <v>9</v>
      </c>
      <c r="BW387" t="s">
        <v>9</v>
      </c>
      <c r="BX387" t="s">
        <v>9</v>
      </c>
      <c r="BY387" t="s">
        <v>9</v>
      </c>
      <c r="BZ387" t="s">
        <v>9</v>
      </c>
      <c r="CA387" t="s">
        <v>9</v>
      </c>
      <c r="CB387">
        <v>-0.91</v>
      </c>
      <c r="CC387">
        <v>-5.82</v>
      </c>
      <c r="CD387" t="s">
        <v>11247</v>
      </c>
      <c r="CE387" t="s">
        <v>210</v>
      </c>
      <c r="CF387" s="8" t="s">
        <v>9</v>
      </c>
      <c r="CG387" s="9">
        <v>1.0880000000000001</v>
      </c>
      <c r="CH387" s="8" t="s">
        <v>9</v>
      </c>
      <c r="CI387" s="8" t="s">
        <v>9</v>
      </c>
      <c r="CJ387" s="8" t="s">
        <v>9</v>
      </c>
      <c r="CK387" s="8" t="s">
        <v>9</v>
      </c>
      <c r="CL387" s="8" t="s">
        <v>9</v>
      </c>
      <c r="CM387" s="9" t="s">
        <v>9</v>
      </c>
      <c r="CN387" s="9" t="s">
        <v>9</v>
      </c>
      <c r="CO387" s="9" t="s">
        <v>9</v>
      </c>
      <c r="CP387" s="9" t="s">
        <v>9</v>
      </c>
      <c r="CQ387" s="9" t="s">
        <v>9</v>
      </c>
      <c r="CR387">
        <v>5.1815794972587153</v>
      </c>
      <c r="CS387">
        <v>0.52409313750141961</v>
      </c>
      <c r="CT387">
        <v>0</v>
      </c>
      <c r="CU387" s="8">
        <v>9.886753186583519E-2</v>
      </c>
      <c r="CV387" s="9">
        <v>4.5616767928004266E-2</v>
      </c>
      <c r="CW387">
        <v>0.06</v>
      </c>
      <c r="CX387" t="e">
        <v>#DIV/0!</v>
      </c>
      <c r="CY387">
        <v>0</v>
      </c>
      <c r="CZ387">
        <v>9.886753186583519E-2</v>
      </c>
      <c r="DA387" t="e">
        <v>#DIV/0!</v>
      </c>
      <c r="DB387">
        <v>0</v>
      </c>
      <c r="DC387">
        <v>9.3924155272543428E-2</v>
      </c>
      <c r="DD387" t="e">
        <v>#DIV/0!</v>
      </c>
      <c r="DE387">
        <v>0</v>
      </c>
      <c r="DF387">
        <v>8.7003428041934963E-2</v>
      </c>
      <c r="DG387" t="e">
        <v>#DIV/0!</v>
      </c>
      <c r="DH387">
        <v>0</v>
      </c>
      <c r="DI387">
        <v>7.9094025492668155E-2</v>
      </c>
      <c r="DJ387" t="e">
        <v>#DIV/0!</v>
      </c>
      <c r="DK387">
        <v>0</v>
      </c>
      <c r="DL387">
        <v>6.920727230608463E-2</v>
      </c>
      <c r="DM387">
        <v>0</v>
      </c>
      <c r="DN387">
        <v>9.886753186583519E-2</v>
      </c>
      <c r="DO387">
        <v>10018065800</v>
      </c>
      <c r="DP387" t="e">
        <v>#VALUE!</v>
      </c>
      <c r="DQ387">
        <v>386</v>
      </c>
      <c r="DR387" t="e">
        <v>#VALUE!</v>
      </c>
      <c r="DS387">
        <v>1.0423832320719959</v>
      </c>
      <c r="DT387" t="e">
        <v>#VALUE!</v>
      </c>
      <c r="DU387" t="e">
        <v>#VALUE!</v>
      </c>
      <c r="DV387" t="e">
        <v>#VALUE!</v>
      </c>
      <c r="DW387">
        <v>-1.0582</v>
      </c>
      <c r="DX387">
        <v>0.32024397163120666</v>
      </c>
      <c r="DY387">
        <v>-1.0052521991489363</v>
      </c>
      <c r="DZ387">
        <v>0</v>
      </c>
      <c r="EA387">
        <v>-1.0052521991489363</v>
      </c>
      <c r="EB387">
        <v>1</v>
      </c>
      <c r="EC387">
        <v>1.1109531790387431E-2</v>
      </c>
      <c r="ED387">
        <v>0.12310552815414698</v>
      </c>
      <c r="EE387">
        <v>0</v>
      </c>
      <c r="EF387">
        <v>0</v>
      </c>
      <c r="EG387">
        <v>23.090243971631207</v>
      </c>
      <c r="EH387" t="s">
        <v>110</v>
      </c>
      <c r="EI387">
        <v>0</v>
      </c>
      <c r="EJ387">
        <v>0</v>
      </c>
      <c r="EK387">
        <v>0</v>
      </c>
      <c r="EL387">
        <v>0</v>
      </c>
      <c r="EM387">
        <v>0</v>
      </c>
      <c r="EN387">
        <v>0</v>
      </c>
      <c r="EO387">
        <v>0</v>
      </c>
      <c r="EP387">
        <v>0</v>
      </c>
    </row>
    <row r="388" spans="1:146" ht="84" x14ac:dyDescent="0.25">
      <c r="C388" s="7" t="str">
        <f>""&amp;CHAR(10)&amp;Basic_Fundamental_Information_Constructure(F388)&amp;CHAR(10)&amp;Basic_Fundamental_Information_Concatenate("")</f>
        <v xml:space="preserve">
市值18.893795亿, 利润--; PE; 平均PE20.73; 平均PEG.75, PB1.28; ROIC0%; ROE0%; 股利率0%; 毛利0%; 净利0%, 利润增-243.3%; 过往5年营收增27.76%, 利润增20.12%
Income profile:
</v>
      </c>
      <c r="D388" s="11">
        <v>2487</v>
      </c>
      <c r="E388" t="s">
        <v>6379</v>
      </c>
      <c r="F388">
        <v>6.2</v>
      </c>
      <c r="G388">
        <v>5.0799999999999998E-2</v>
      </c>
      <c r="H388" t="s">
        <v>11248</v>
      </c>
      <c r="I388">
        <v>1889379500</v>
      </c>
      <c r="K388">
        <v>1.28</v>
      </c>
      <c r="L388" t="s">
        <v>6350</v>
      </c>
      <c r="M388" t="s">
        <v>9</v>
      </c>
      <c r="N388" t="s">
        <v>9</v>
      </c>
      <c r="O388" t="s">
        <v>9</v>
      </c>
      <c r="P388" s="5" t="s">
        <v>9</v>
      </c>
      <c r="Q388" t="s">
        <v>9</v>
      </c>
      <c r="R388">
        <v>-2152671500</v>
      </c>
      <c r="S388">
        <v>-2.4329999999999998</v>
      </c>
      <c r="T388" t="s">
        <v>9</v>
      </c>
      <c r="U388">
        <v>304738630</v>
      </c>
      <c r="V388">
        <v>304738630</v>
      </c>
      <c r="W388" t="s">
        <v>9</v>
      </c>
      <c r="X388" t="s">
        <v>9</v>
      </c>
      <c r="Y388" t="s">
        <v>9</v>
      </c>
      <c r="Z388" t="s">
        <v>9</v>
      </c>
      <c r="AA388" t="s">
        <v>9</v>
      </c>
      <c r="AB388" t="s">
        <v>9</v>
      </c>
      <c r="AC388" t="s">
        <v>9</v>
      </c>
      <c r="AD388" t="s">
        <v>9</v>
      </c>
      <c r="AE388" t="s">
        <v>9</v>
      </c>
      <c r="AF388" t="s">
        <v>9</v>
      </c>
      <c r="AG388" t="s">
        <v>9</v>
      </c>
      <c r="AH388" t="s">
        <v>11249</v>
      </c>
      <c r="AI388" t="s">
        <v>9</v>
      </c>
      <c r="AJ388" t="s">
        <v>9</v>
      </c>
      <c r="AK388" s="5" t="s">
        <v>11250</v>
      </c>
      <c r="AL388" t="s">
        <v>9</v>
      </c>
      <c r="AM388" t="s">
        <v>9</v>
      </c>
      <c r="AN388">
        <v>0.20960000000000001</v>
      </c>
      <c r="AO388" t="s">
        <v>9</v>
      </c>
      <c r="AP388" t="s">
        <v>9</v>
      </c>
      <c r="AQ388" t="s">
        <v>9</v>
      </c>
      <c r="AR388" t="s">
        <v>9</v>
      </c>
      <c r="AS388" t="s">
        <v>9</v>
      </c>
      <c r="AT388" t="s">
        <v>9</v>
      </c>
      <c r="AU388" t="s">
        <v>9</v>
      </c>
      <c r="AV388" t="s">
        <v>9</v>
      </c>
      <c r="AW388" t="s">
        <v>9</v>
      </c>
      <c r="AX388" t="s">
        <v>9</v>
      </c>
      <c r="AY388" t="s">
        <v>9</v>
      </c>
      <c r="AZ388" t="s">
        <v>9</v>
      </c>
      <c r="BA388" t="s">
        <v>9</v>
      </c>
      <c r="BB388" t="s">
        <v>9</v>
      </c>
      <c r="BC388" t="s">
        <v>9</v>
      </c>
      <c r="BD388" t="s">
        <v>9</v>
      </c>
      <c r="BE388" t="s">
        <v>9</v>
      </c>
      <c r="BF388" t="s">
        <v>9</v>
      </c>
      <c r="BG388" t="s">
        <v>9</v>
      </c>
      <c r="BH388" t="s">
        <v>9</v>
      </c>
      <c r="BI388" t="s">
        <v>9</v>
      </c>
      <c r="BJ388" t="s">
        <v>9</v>
      </c>
      <c r="BK388" t="s">
        <v>9</v>
      </c>
      <c r="BL388" t="s">
        <v>9</v>
      </c>
      <c r="BM388" t="s">
        <v>9</v>
      </c>
      <c r="BN388" t="s">
        <v>9</v>
      </c>
      <c r="BO388" t="s">
        <v>9</v>
      </c>
      <c r="BP388" t="s">
        <v>9</v>
      </c>
      <c r="BQ388" t="s">
        <v>9</v>
      </c>
      <c r="BR388" t="s">
        <v>9</v>
      </c>
      <c r="BS388" t="s">
        <v>9</v>
      </c>
      <c r="BT388" t="s">
        <v>9</v>
      </c>
      <c r="BU388" t="s">
        <v>9</v>
      </c>
      <c r="BV388" t="s">
        <v>9</v>
      </c>
      <c r="BW388" t="s">
        <v>9</v>
      </c>
      <c r="BX388" t="s">
        <v>9</v>
      </c>
      <c r="BY388" t="s">
        <v>9</v>
      </c>
      <c r="BZ388" t="s">
        <v>9</v>
      </c>
      <c r="CA388" t="s">
        <v>9</v>
      </c>
      <c r="CB388">
        <v>-0.32</v>
      </c>
      <c r="CC388" s="8">
        <v>-12.31</v>
      </c>
      <c r="CD388" s="10" t="s">
        <v>11251</v>
      </c>
      <c r="CE388" s="8" t="s">
        <v>11252</v>
      </c>
      <c r="CF388" s="8" t="s">
        <v>9</v>
      </c>
      <c r="CG388" s="8">
        <v>-2.4329999999999998</v>
      </c>
      <c r="CH388" s="8" t="s">
        <v>9</v>
      </c>
      <c r="CI388" s="8" t="s">
        <v>9</v>
      </c>
      <c r="CJ388" s="9" t="s">
        <v>9</v>
      </c>
      <c r="CK388" s="9" t="s">
        <v>9</v>
      </c>
      <c r="CL388" s="9" t="s">
        <v>9</v>
      </c>
      <c r="CM388" s="9" t="s">
        <v>9</v>
      </c>
      <c r="CN388" s="9" t="s">
        <v>9</v>
      </c>
      <c r="CO388" t="s">
        <v>9</v>
      </c>
      <c r="CP388" t="s">
        <v>9</v>
      </c>
      <c r="CQ388" t="s">
        <v>9</v>
      </c>
      <c r="CR388" s="8">
        <v>20.725256940469581</v>
      </c>
      <c r="CS388" s="9">
        <v>0.74663880474432665</v>
      </c>
      <c r="CT388">
        <v>0</v>
      </c>
      <c r="CU388">
        <v>0.27758076339960097</v>
      </c>
      <c r="CV388">
        <v>0.2011728897690773</v>
      </c>
      <c r="CW388">
        <v>0.06</v>
      </c>
      <c r="CX388" t="e">
        <v>#DIV/0!</v>
      </c>
      <c r="CY388">
        <v>0</v>
      </c>
      <c r="CZ388">
        <v>0.27758076339960097</v>
      </c>
      <c r="DA388" t="e">
        <v>#DIV/0!</v>
      </c>
      <c r="DB388">
        <v>0</v>
      </c>
      <c r="DC388">
        <v>0.26370172522962093</v>
      </c>
      <c r="DD388" t="e">
        <v>#DIV/0!</v>
      </c>
      <c r="DE388">
        <v>0</v>
      </c>
      <c r="DF388">
        <v>0.24427107179164886</v>
      </c>
      <c r="DG388" t="e">
        <v>#DIV/0!</v>
      </c>
      <c r="DH388">
        <v>0</v>
      </c>
      <c r="DI388">
        <v>0.22206461071968078</v>
      </c>
      <c r="DJ388" t="e">
        <v>#DIV/0!</v>
      </c>
      <c r="DK388">
        <v>0</v>
      </c>
      <c r="DL388">
        <v>0.19430653437972067</v>
      </c>
      <c r="DM388">
        <v>0</v>
      </c>
      <c r="DN388">
        <v>0.27758076339960097</v>
      </c>
      <c r="DO388">
        <v>1889379500</v>
      </c>
      <c r="DP388" t="e">
        <v>#VALUE!</v>
      </c>
      <c r="DQ388">
        <v>387</v>
      </c>
      <c r="DR388" t="e">
        <v>#VALUE!</v>
      </c>
      <c r="DS388">
        <v>-2.634172889769077</v>
      </c>
      <c r="DT388" t="e">
        <v>#VALUE!</v>
      </c>
      <c r="DU388" t="e">
        <v>#VALUE!</v>
      </c>
      <c r="DV388" t="e">
        <v>#VALUE!</v>
      </c>
      <c r="DW388">
        <v>-2.1231</v>
      </c>
      <c r="DX388">
        <v>0.89050819178637364</v>
      </c>
      <c r="DY388">
        <v>-2.0086795584089026</v>
      </c>
      <c r="DZ388">
        <v>0</v>
      </c>
      <c r="EA388">
        <v>-2.0086795584089026</v>
      </c>
      <c r="EB388">
        <v>2</v>
      </c>
      <c r="EC388">
        <v>1.1759585583225861E-2</v>
      </c>
      <c r="ED388">
        <v>0.16678325291414481</v>
      </c>
      <c r="EE388">
        <v>0</v>
      </c>
      <c r="EF388">
        <v>0</v>
      </c>
      <c r="EG388">
        <v>82.070508191786374</v>
      </c>
      <c r="EH388" t="s">
        <v>110</v>
      </c>
      <c r="EI388">
        <v>0</v>
      </c>
      <c r="EJ388">
        <v>0</v>
      </c>
      <c r="EK388">
        <v>0</v>
      </c>
      <c r="EL388">
        <v>0</v>
      </c>
      <c r="EM388">
        <v>0</v>
      </c>
      <c r="EN388">
        <v>0</v>
      </c>
      <c r="EO388">
        <v>0</v>
      </c>
      <c r="EP388">
        <v>0</v>
      </c>
    </row>
    <row r="389" spans="1:146" ht="84" x14ac:dyDescent="0.25">
      <c r="A389"/>
      <c r="B389"/>
      <c r="C389" s="7" t="str">
        <f>""&amp;CHAR(10)&amp;Basic_Fundamental_Information_Constructure(F389)&amp;CHAR(10)&amp;Basic_Fundamental_Information_Concatenate("")</f>
        <v xml:space="preserve">
市值233.58662亿, 利润--; PE; 平均PE91.56; 平均PEG5.64, PB6.73; ROIC0%; ROE0%; 股利率0%; 毛利0%; 净利0%, 利润增63.9%; 过往5年营收增16.22%, 利润增298.8%
Income profile:
</v>
      </c>
      <c r="D389" s="11">
        <v>2498</v>
      </c>
      <c r="E389" t="s">
        <v>11253</v>
      </c>
      <c r="F389">
        <v>51.8</v>
      </c>
      <c r="G389">
        <v>-4.9500000000000002E-2</v>
      </c>
      <c r="H389" t="s">
        <v>11254</v>
      </c>
      <c r="I389">
        <v>23358662000</v>
      </c>
      <c r="K389">
        <v>6.73</v>
      </c>
      <c r="L389" t="s">
        <v>6350</v>
      </c>
      <c r="M389" t="s">
        <v>9</v>
      </c>
      <c r="N389" t="s">
        <v>9</v>
      </c>
      <c r="O389" t="s">
        <v>9</v>
      </c>
      <c r="P389" s="5" t="s">
        <v>9</v>
      </c>
      <c r="Q389" t="s">
        <v>9</v>
      </c>
      <c r="R389">
        <v>-4753812700</v>
      </c>
      <c r="S389">
        <v>0.63900000000000001</v>
      </c>
      <c r="T389" t="s">
        <v>9</v>
      </c>
      <c r="U389">
        <v>450939420</v>
      </c>
      <c r="V389">
        <v>450939420</v>
      </c>
      <c r="W389" t="s">
        <v>9</v>
      </c>
      <c r="X389" t="s">
        <v>9</v>
      </c>
      <c r="Y389" t="s">
        <v>9</v>
      </c>
      <c r="Z389" t="s">
        <v>9</v>
      </c>
      <c r="AA389" t="s">
        <v>9</v>
      </c>
      <c r="AB389" t="s">
        <v>9</v>
      </c>
      <c r="AC389" t="s">
        <v>9</v>
      </c>
      <c r="AD389" t="s">
        <v>9</v>
      </c>
      <c r="AE389" t="s">
        <v>9</v>
      </c>
      <c r="AF389" t="s">
        <v>9</v>
      </c>
      <c r="AG389" t="s">
        <v>9</v>
      </c>
      <c r="AH389" t="s">
        <v>11255</v>
      </c>
      <c r="AI389" t="s">
        <v>9</v>
      </c>
      <c r="AJ389" t="s">
        <v>9</v>
      </c>
      <c r="AK389" s="5" t="s">
        <v>11256</v>
      </c>
      <c r="AL389" t="s">
        <v>9</v>
      </c>
      <c r="AM389" t="s">
        <v>9</v>
      </c>
      <c r="AN389">
        <v>0.21299999999999999</v>
      </c>
      <c r="AO389" t="s">
        <v>9</v>
      </c>
      <c r="AP389" t="s">
        <v>9</v>
      </c>
      <c r="AQ389" t="s">
        <v>9</v>
      </c>
      <c r="AR389" t="s">
        <v>9</v>
      </c>
      <c r="AS389" t="s">
        <v>9</v>
      </c>
      <c r="AT389" t="s">
        <v>9</v>
      </c>
      <c r="AU389" t="s">
        <v>9</v>
      </c>
      <c r="AV389" t="s">
        <v>9</v>
      </c>
      <c r="AW389" t="s">
        <v>9</v>
      </c>
      <c r="AX389" t="s">
        <v>9</v>
      </c>
      <c r="AY389" t="s">
        <v>9</v>
      </c>
      <c r="AZ389" t="s">
        <v>9</v>
      </c>
      <c r="BA389" t="s">
        <v>9</v>
      </c>
      <c r="BB389" t="s">
        <v>9</v>
      </c>
      <c r="BC389" t="s">
        <v>9</v>
      </c>
      <c r="BD389" t="s">
        <v>9</v>
      </c>
      <c r="BE389" t="s">
        <v>9</v>
      </c>
      <c r="BF389" t="s">
        <v>9</v>
      </c>
      <c r="BG389" t="s">
        <v>9</v>
      </c>
      <c r="BH389" t="s">
        <v>9</v>
      </c>
      <c r="BI389" t="s">
        <v>9</v>
      </c>
      <c r="BJ389" t="s">
        <v>9</v>
      </c>
      <c r="BK389" t="s">
        <v>9</v>
      </c>
      <c r="BL389" t="s">
        <v>9</v>
      </c>
      <c r="BM389" t="s">
        <v>9</v>
      </c>
      <c r="BN389" t="s">
        <v>9</v>
      </c>
      <c r="BO389" t="s">
        <v>9</v>
      </c>
      <c r="BP389" t="s">
        <v>9</v>
      </c>
      <c r="BQ389" t="s">
        <v>9</v>
      </c>
      <c r="BR389" t="s">
        <v>9</v>
      </c>
      <c r="BS389" t="s">
        <v>9</v>
      </c>
      <c r="BT389" t="s">
        <v>9</v>
      </c>
      <c r="BU389" t="s">
        <v>9</v>
      </c>
      <c r="BV389" t="s">
        <v>9</v>
      </c>
      <c r="BW389" t="s">
        <v>9</v>
      </c>
      <c r="BX389" t="s">
        <v>9</v>
      </c>
      <c r="BY389" t="s">
        <v>9</v>
      </c>
      <c r="BZ389" t="s">
        <v>9</v>
      </c>
      <c r="CA389" t="s">
        <v>9</v>
      </c>
      <c r="CB389">
        <v>-14.59</v>
      </c>
      <c r="CC389" s="8">
        <v>30.15</v>
      </c>
      <c r="CD389" s="10" t="s">
        <v>11257</v>
      </c>
      <c r="CE389" s="8" t="s">
        <v>11258</v>
      </c>
      <c r="CF389" s="8" t="s">
        <v>9</v>
      </c>
      <c r="CG389" s="8">
        <v>0.63900000000000001</v>
      </c>
      <c r="CH389" s="8" t="s">
        <v>9</v>
      </c>
      <c r="CI389" s="8" t="s">
        <v>9</v>
      </c>
      <c r="CJ389" s="9" t="s">
        <v>9</v>
      </c>
      <c r="CK389" s="9" t="s">
        <v>9</v>
      </c>
      <c r="CL389" s="9" t="s">
        <v>9</v>
      </c>
      <c r="CM389" s="9" t="s">
        <v>9</v>
      </c>
      <c r="CN389" s="9" t="s">
        <v>9</v>
      </c>
      <c r="CO389" t="s">
        <v>9</v>
      </c>
      <c r="CP389" t="s">
        <v>9</v>
      </c>
      <c r="CQ389" t="s">
        <v>9</v>
      </c>
      <c r="CR389" s="8">
        <v>91.560557215534132</v>
      </c>
      <c r="CS389" s="9">
        <v>5.6437144980683893</v>
      </c>
      <c r="CT389">
        <v>0</v>
      </c>
      <c r="CU389">
        <v>0.16223456598818303</v>
      </c>
      <c r="CV389">
        <v>2.9880223155021666</v>
      </c>
      <c r="CW389">
        <v>0.06</v>
      </c>
      <c r="CX389" t="e">
        <v>#DIV/0!</v>
      </c>
      <c r="CY389">
        <v>0</v>
      </c>
      <c r="CZ389">
        <v>0.16223456598818303</v>
      </c>
      <c r="DA389" t="e">
        <v>#DIV/0!</v>
      </c>
      <c r="DB389">
        <v>0</v>
      </c>
      <c r="DC389">
        <v>0.15412283768877388</v>
      </c>
      <c r="DD389" t="e">
        <v>#DIV/0!</v>
      </c>
      <c r="DE389">
        <v>0</v>
      </c>
      <c r="DF389">
        <v>0.14276641806960108</v>
      </c>
      <c r="DG389" t="e">
        <v>#DIV/0!</v>
      </c>
      <c r="DH389">
        <v>0</v>
      </c>
      <c r="DI389">
        <v>0.12978765279054644</v>
      </c>
      <c r="DJ389" t="e">
        <v>#DIV/0!</v>
      </c>
      <c r="DK389">
        <v>0</v>
      </c>
      <c r="DL389">
        <v>0.11356419619172811</v>
      </c>
      <c r="DM389">
        <v>0</v>
      </c>
      <c r="DN389">
        <v>0.16223456598818303</v>
      </c>
      <c r="DO389">
        <v>23358662000</v>
      </c>
      <c r="DP389" t="e">
        <v>#VALUE!</v>
      </c>
      <c r="DQ389">
        <v>388</v>
      </c>
      <c r="DR389" t="e">
        <v>#VALUE!</v>
      </c>
      <c r="DS389">
        <v>-2.3490223155021663</v>
      </c>
      <c r="DT389" t="e">
        <v>#VALUE!</v>
      </c>
      <c r="DU389" t="e">
        <v>#VALUE!</v>
      </c>
      <c r="DV389" t="e">
        <v>#VALUE!</v>
      </c>
      <c r="DW389">
        <v>-7.3261063924899421</v>
      </c>
      <c r="DX389">
        <v>0.20451706888021509</v>
      </c>
      <c r="DY389">
        <v>-7.0438668760608483</v>
      </c>
      <c r="DZ389">
        <v>0</v>
      </c>
      <c r="EA389">
        <v>-7.0438668760608483</v>
      </c>
      <c r="EB389">
        <v>7</v>
      </c>
      <c r="EC389">
        <v>1.0852899043512318E-3</v>
      </c>
      <c r="ED389">
        <v>8.0680460359841676E-3</v>
      </c>
      <c r="EE389">
        <v>0</v>
      </c>
      <c r="EF389">
        <v>0</v>
      </c>
      <c r="EG389">
        <v>7.1345170688802151</v>
      </c>
      <c r="EH389" t="s">
        <v>110</v>
      </c>
      <c r="EI389">
        <v>0</v>
      </c>
      <c r="EJ389">
        <v>0</v>
      </c>
      <c r="EK389">
        <v>0</v>
      </c>
      <c r="EL389">
        <v>0</v>
      </c>
      <c r="EM389">
        <v>0</v>
      </c>
      <c r="EN389">
        <v>0</v>
      </c>
      <c r="EO389">
        <v>0</v>
      </c>
      <c r="EP389">
        <v>0</v>
      </c>
    </row>
    <row r="390" spans="1:146" ht="96" x14ac:dyDescent="0.25">
      <c r="A390" s="7"/>
      <c r="B390" s="7"/>
      <c r="C390" s="7" t="str">
        <f>""&amp;CHAR(10)&amp;Basic_Fundamental_Information_Constructure(F390)&amp;CHAR(10)&amp;Basic_Fundamental_Information_Concatenate("")</f>
        <v xml:space="preserve">
市值400.44396亿, 利润1.57亿; PE8.6; 平均PE805.87; 平均PEG66.74, PB.954; ROIC1.75%; ROE7.24%; 股利率0%; 毛利100%; 净利18.1733%; 上一年度营收增-5.8%, 利润增-96.41%, 利润增-96.42%; 过往5年营收增12.07%, 利润增438.43%
Income profile:
</v>
      </c>
      <c r="D390" s="11">
        <v>2588</v>
      </c>
      <c r="E390" t="s">
        <v>4991</v>
      </c>
      <c r="F390">
        <v>57.7</v>
      </c>
      <c r="G390" s="5">
        <v>1.32E-2</v>
      </c>
      <c r="H390" t="s">
        <v>6473</v>
      </c>
      <c r="I390">
        <v>40044396000</v>
      </c>
      <c r="J390">
        <v>8.6</v>
      </c>
      <c r="K390">
        <v>0.95399999999999996</v>
      </c>
      <c r="L390" t="s">
        <v>6350</v>
      </c>
      <c r="M390" t="s">
        <v>9</v>
      </c>
      <c r="N390" t="s">
        <v>9</v>
      </c>
      <c r="O390" t="s">
        <v>9</v>
      </c>
      <c r="P390" t="s">
        <v>9</v>
      </c>
      <c r="Q390" t="s">
        <v>4992</v>
      </c>
      <c r="R390">
        <v>156628480</v>
      </c>
      <c r="S390" s="5">
        <v>-0.96419999999999995</v>
      </c>
      <c r="T390" t="s">
        <v>121</v>
      </c>
      <c r="U390">
        <v>694010330</v>
      </c>
      <c r="V390">
        <v>694010330</v>
      </c>
      <c r="W390" t="s">
        <v>9</v>
      </c>
      <c r="X390" t="s">
        <v>9</v>
      </c>
      <c r="Y390" t="s">
        <v>9</v>
      </c>
      <c r="Z390" t="s">
        <v>9</v>
      </c>
      <c r="AA390" t="s">
        <v>9</v>
      </c>
      <c r="AB390" t="s">
        <v>9</v>
      </c>
      <c r="AC390" t="s">
        <v>9</v>
      </c>
      <c r="AD390" t="s">
        <v>9</v>
      </c>
      <c r="AE390" t="s">
        <v>9</v>
      </c>
      <c r="AF390" t="s">
        <v>9</v>
      </c>
      <c r="AG390" t="s">
        <v>9</v>
      </c>
      <c r="AH390" t="s">
        <v>4993</v>
      </c>
      <c r="AI390" t="s">
        <v>9</v>
      </c>
      <c r="AJ390" t="s">
        <v>9</v>
      </c>
      <c r="AK390" t="s">
        <v>4994</v>
      </c>
      <c r="AL390" t="s">
        <v>9</v>
      </c>
      <c r="AM390" t="s">
        <v>9</v>
      </c>
      <c r="AN390" s="5">
        <v>0.76429999999999998</v>
      </c>
      <c r="AO390" t="s">
        <v>9</v>
      </c>
      <c r="AP390" t="s">
        <v>4995</v>
      </c>
      <c r="AQ390" t="s">
        <v>9</v>
      </c>
      <c r="AR390" t="s">
        <v>4996</v>
      </c>
      <c r="AS390" t="s">
        <v>9</v>
      </c>
      <c r="AT390" t="s">
        <v>9</v>
      </c>
      <c r="AU390" t="s">
        <v>4997</v>
      </c>
      <c r="AV390" t="s">
        <v>1708</v>
      </c>
      <c r="AW390" t="s">
        <v>9</v>
      </c>
      <c r="AX390" t="s">
        <v>4998</v>
      </c>
      <c r="AY390" t="s">
        <v>4999</v>
      </c>
      <c r="AZ390" t="s">
        <v>5000</v>
      </c>
      <c r="BA390" t="s">
        <v>3520</v>
      </c>
      <c r="BB390" t="s">
        <v>5001</v>
      </c>
      <c r="BC390" t="s">
        <v>5002</v>
      </c>
      <c r="BD390" t="s">
        <v>5003</v>
      </c>
      <c r="BE390" t="s">
        <v>5004</v>
      </c>
      <c r="BF390" t="s">
        <v>5005</v>
      </c>
      <c r="BG390" t="s">
        <v>4850</v>
      </c>
      <c r="BH390" t="s">
        <v>4992</v>
      </c>
      <c r="BI390" t="s">
        <v>9</v>
      </c>
      <c r="BJ390" t="s">
        <v>4998</v>
      </c>
      <c r="BK390" t="s">
        <v>121</v>
      </c>
      <c r="BL390" t="s">
        <v>9</v>
      </c>
      <c r="BM390" t="s">
        <v>5002</v>
      </c>
      <c r="BN390">
        <v>0.09</v>
      </c>
      <c r="BO390">
        <v>2.58</v>
      </c>
      <c r="BP390">
        <v>2.58</v>
      </c>
      <c r="BQ390">
        <v>0.39</v>
      </c>
      <c r="BR390">
        <v>10.66</v>
      </c>
      <c r="BS390">
        <v>10.67</v>
      </c>
      <c r="BT390" t="s">
        <v>5006</v>
      </c>
      <c r="BU390" t="s">
        <v>567</v>
      </c>
      <c r="BV390">
        <v>100</v>
      </c>
      <c r="BW390">
        <v>100</v>
      </c>
      <c r="BX390">
        <v>100</v>
      </c>
      <c r="BY390">
        <v>1.04</v>
      </c>
      <c r="BZ390">
        <v>27.49</v>
      </c>
      <c r="CA390">
        <v>25.99</v>
      </c>
      <c r="CB390">
        <v>0.17</v>
      </c>
      <c r="CC390">
        <v>-3.83</v>
      </c>
      <c r="CD390" t="s">
        <v>6474</v>
      </c>
      <c r="CE390" t="s">
        <v>6475</v>
      </c>
      <c r="CF390" s="8" t="s">
        <v>9</v>
      </c>
      <c r="CG390" s="9">
        <v>-0.96419999999999995</v>
      </c>
      <c r="CH390" s="8">
        <v>-5.8021992444992065E-2</v>
      </c>
      <c r="CI390" s="8">
        <v>4.7008533030748367E-2</v>
      </c>
      <c r="CJ390" s="8">
        <v>8.3024784922599792E-2</v>
      </c>
      <c r="CK390" s="8">
        <v>0.1043485552072525</v>
      </c>
      <c r="CL390" s="8">
        <v>0.23935283720493317</v>
      </c>
      <c r="CM390" s="9">
        <v>-0.964130699634552</v>
      </c>
      <c r="CN390" s="9">
        <v>0.10726030915975571</v>
      </c>
      <c r="CO390" s="9">
        <v>-0.27706661820411682</v>
      </c>
      <c r="CP390" s="9">
        <v>0.12487143278121948</v>
      </c>
      <c r="CQ390" s="9">
        <v>6.0427617281675339E-2</v>
      </c>
      <c r="CR390">
        <v>805.86818538568355</v>
      </c>
      <c r="CS390">
        <v>66.738613870316968</v>
      </c>
      <c r="CT390">
        <v>0</v>
      </c>
      <c r="CU390" s="8">
        <v>0.1207499135285616</v>
      </c>
      <c r="CV390" s="9">
        <v>4.3842729091644284</v>
      </c>
      <c r="CW390">
        <v>0.06</v>
      </c>
      <c r="CX390">
        <v>241.23440448063295</v>
      </c>
      <c r="CY390">
        <v>165997864.55092847</v>
      </c>
      <c r="CZ390">
        <v>0.1207499135285616</v>
      </c>
      <c r="DA390">
        <v>76.813985768935396</v>
      </c>
      <c r="DB390">
        <v>521316471.20171303</v>
      </c>
      <c r="DC390">
        <v>0.11471241785213351</v>
      </c>
      <c r="DD390">
        <v>36.509531140198561</v>
      </c>
      <c r="DE390">
        <v>1096820330.1824768</v>
      </c>
      <c r="DF390">
        <v>0.10625992390513421</v>
      </c>
      <c r="DG390">
        <v>21.06186737184224</v>
      </c>
      <c r="DH390">
        <v>1901274720.4711599</v>
      </c>
      <c r="DI390">
        <v>9.6599930822849289E-2</v>
      </c>
      <c r="DJ390">
        <v>9.9434620789319599</v>
      </c>
      <c r="DK390">
        <v>4027208600.1962428</v>
      </c>
      <c r="DL390">
        <v>8.4524939469993107E-2</v>
      </c>
      <c r="DM390">
        <v>157000000</v>
      </c>
      <c r="DN390">
        <v>0.1207499135285616</v>
      </c>
      <c r="DO390">
        <v>40044396000</v>
      </c>
      <c r="DP390" t="e">
        <v>#VALUE!</v>
      </c>
      <c r="DQ390">
        <v>395</v>
      </c>
      <c r="DR390" t="e">
        <v>#VALUE!</v>
      </c>
      <c r="DS390">
        <v>-5.3484729091644283</v>
      </c>
      <c r="DT390" t="e">
        <v>#VALUE!</v>
      </c>
      <c r="DU390" t="e">
        <v>#VALUE!</v>
      </c>
      <c r="DV390" t="e">
        <v>#VALUE!</v>
      </c>
      <c r="DW390">
        <v>-1.0383</v>
      </c>
      <c r="DX390">
        <v>0.88728770595690376</v>
      </c>
      <c r="DY390">
        <v>-1.0060241191381496</v>
      </c>
      <c r="DZ390">
        <v>0</v>
      </c>
      <c r="EA390">
        <v>-1.0060241191381496</v>
      </c>
      <c r="EB390">
        <v>1</v>
      </c>
      <c r="EC390">
        <v>3.3974998614213709E-3</v>
      </c>
      <c r="ED390">
        <v>2.1600543035144738E-2</v>
      </c>
      <c r="EE390">
        <v>0</v>
      </c>
      <c r="EF390">
        <v>0</v>
      </c>
      <c r="EG390">
        <v>73.157287705956904</v>
      </c>
      <c r="EH390" t="s">
        <v>110</v>
      </c>
      <c r="EI390">
        <v>0</v>
      </c>
      <c r="EJ390">
        <v>0</v>
      </c>
      <c r="EK390">
        <v>0</v>
      </c>
      <c r="EL390">
        <v>0</v>
      </c>
      <c r="EM390">
        <v>0</v>
      </c>
      <c r="EN390">
        <v>0</v>
      </c>
      <c r="EO390">
        <v>0</v>
      </c>
      <c r="EP390">
        <v>0</v>
      </c>
    </row>
    <row r="391" spans="1:146" ht="96" x14ac:dyDescent="0.25">
      <c r="A391"/>
      <c r="B391"/>
      <c r="C391" s="7" t="str">
        <f>""&amp;CHAR(10)&amp;Basic_Fundamental_Information_Constructure(F391)&amp;CHAR(10)&amp;Basic_Fundamental_Information_Concatenate("")</f>
        <v xml:space="preserve">
市值110.443888亿, 利润--; PE42.04; 平均PE10.5; 平均PEG1.31, PB3.09; ROIC0%; ROE0%; 股利率0%; 毛利0%; 净利0%, 利润增1.28%; 过往5年营收增8.01%, 利润增73.87%
Income profile:
</v>
      </c>
      <c r="D391" s="11">
        <v>2517</v>
      </c>
      <c r="E391" t="s">
        <v>11259</v>
      </c>
      <c r="F391">
        <v>4.0199999999999996</v>
      </c>
      <c r="G391">
        <v>-7.4000000000000003E-3</v>
      </c>
      <c r="H391" t="s">
        <v>11260</v>
      </c>
      <c r="I391">
        <v>11044388800</v>
      </c>
      <c r="J391">
        <v>42.04</v>
      </c>
      <c r="K391">
        <v>3.09</v>
      </c>
      <c r="L391" t="s">
        <v>6350</v>
      </c>
      <c r="M391" t="s">
        <v>9</v>
      </c>
      <c r="N391" t="s">
        <v>9</v>
      </c>
      <c r="O391" t="s">
        <v>9</v>
      </c>
      <c r="P391" s="5" t="s">
        <v>9</v>
      </c>
      <c r="Q391" t="s">
        <v>9</v>
      </c>
      <c r="R391">
        <v>262688980</v>
      </c>
      <c r="S391">
        <v>1.2800000000000001E-2</v>
      </c>
      <c r="T391" t="s">
        <v>9</v>
      </c>
      <c r="U391">
        <v>1798058500</v>
      </c>
      <c r="V391">
        <v>2747360400</v>
      </c>
      <c r="W391" t="s">
        <v>9</v>
      </c>
      <c r="X391" t="s">
        <v>9</v>
      </c>
      <c r="Y391" t="s">
        <v>9</v>
      </c>
      <c r="Z391" t="s">
        <v>9</v>
      </c>
      <c r="AA391" t="s">
        <v>9</v>
      </c>
      <c r="AB391" t="s">
        <v>9</v>
      </c>
      <c r="AC391" t="s">
        <v>9</v>
      </c>
      <c r="AD391" t="s">
        <v>9</v>
      </c>
      <c r="AE391" t="s">
        <v>9</v>
      </c>
      <c r="AF391" t="s">
        <v>9</v>
      </c>
      <c r="AG391" t="s">
        <v>9</v>
      </c>
      <c r="AH391" t="s">
        <v>11261</v>
      </c>
      <c r="AI391" t="s">
        <v>9</v>
      </c>
      <c r="AJ391" t="s">
        <v>9</v>
      </c>
      <c r="AK391" s="5" t="s">
        <v>11262</v>
      </c>
      <c r="AL391" t="s">
        <v>9</v>
      </c>
      <c r="AM391" t="s">
        <v>9</v>
      </c>
      <c r="AN391">
        <v>0.27360000000000001</v>
      </c>
      <c r="AO391" t="s">
        <v>9</v>
      </c>
      <c r="AP391" t="s">
        <v>9</v>
      </c>
      <c r="AQ391" t="s">
        <v>9</v>
      </c>
      <c r="AR391" t="s">
        <v>9</v>
      </c>
      <c r="AS391" t="s">
        <v>9</v>
      </c>
      <c r="AT391" t="s">
        <v>9</v>
      </c>
      <c r="AU391" t="s">
        <v>9</v>
      </c>
      <c r="AV391" t="s">
        <v>9</v>
      </c>
      <c r="AW391" t="s">
        <v>9</v>
      </c>
      <c r="AX391" t="s">
        <v>9</v>
      </c>
      <c r="AY391" t="s">
        <v>9</v>
      </c>
      <c r="AZ391" t="s">
        <v>9</v>
      </c>
      <c r="BA391" t="s">
        <v>9</v>
      </c>
      <c r="BB391" t="s">
        <v>9</v>
      </c>
      <c r="BC391" t="s">
        <v>9</v>
      </c>
      <c r="BD391" t="s">
        <v>9</v>
      </c>
      <c r="BE391" t="s">
        <v>9</v>
      </c>
      <c r="BF391" t="s">
        <v>9</v>
      </c>
      <c r="BG391" t="s">
        <v>9</v>
      </c>
      <c r="BH391" t="s">
        <v>9</v>
      </c>
      <c r="BI391" t="s">
        <v>9</v>
      </c>
      <c r="BJ391" t="s">
        <v>9</v>
      </c>
      <c r="BK391" t="s">
        <v>9</v>
      </c>
      <c r="BL391" t="s">
        <v>9</v>
      </c>
      <c r="BM391" t="s">
        <v>9</v>
      </c>
      <c r="BN391" t="s">
        <v>9</v>
      </c>
      <c r="BO391" t="s">
        <v>9</v>
      </c>
      <c r="BP391" t="s">
        <v>9</v>
      </c>
      <c r="BQ391" t="s">
        <v>9</v>
      </c>
      <c r="BR391" t="s">
        <v>9</v>
      </c>
      <c r="BS391" t="s">
        <v>9</v>
      </c>
      <c r="BT391" t="s">
        <v>9</v>
      </c>
      <c r="BU391" t="s">
        <v>9</v>
      </c>
      <c r="BV391" t="s">
        <v>9</v>
      </c>
      <c r="BW391" t="s">
        <v>9</v>
      </c>
      <c r="BX391" t="s">
        <v>9</v>
      </c>
      <c r="BY391" t="s">
        <v>9</v>
      </c>
      <c r="BZ391" t="s">
        <v>9</v>
      </c>
      <c r="CA391" t="s">
        <v>9</v>
      </c>
      <c r="CB391">
        <v>-2.19</v>
      </c>
      <c r="CC391" s="8">
        <v>-26.64</v>
      </c>
      <c r="CD391" s="10" t="s">
        <v>11263</v>
      </c>
      <c r="CE391" s="8" t="s">
        <v>11264</v>
      </c>
      <c r="CF391" s="8" t="s">
        <v>9</v>
      </c>
      <c r="CG391" s="8">
        <v>1.2800000000000001E-2</v>
      </c>
      <c r="CH391" s="8" t="s">
        <v>9</v>
      </c>
      <c r="CI391" s="8" t="s">
        <v>9</v>
      </c>
      <c r="CJ391" s="9" t="s">
        <v>9</v>
      </c>
      <c r="CK391" s="9" t="s">
        <v>9</v>
      </c>
      <c r="CL391" s="9" t="s">
        <v>9</v>
      </c>
      <c r="CM391" s="9" t="s">
        <v>9</v>
      </c>
      <c r="CN391" s="9" t="s">
        <v>9</v>
      </c>
      <c r="CO391" t="s">
        <v>9</v>
      </c>
      <c r="CP391" t="s">
        <v>9</v>
      </c>
      <c r="CQ391" t="s">
        <v>9</v>
      </c>
      <c r="CR391" s="8">
        <v>10.498468441064638</v>
      </c>
      <c r="CS391" s="9">
        <v>1.3107537958076767</v>
      </c>
      <c r="CT391">
        <v>0</v>
      </c>
      <c r="CU391">
        <v>8.0094892531633377E-2</v>
      </c>
      <c r="CV391">
        <v>0.73872144818305974</v>
      </c>
      <c r="CW391">
        <v>0.06</v>
      </c>
      <c r="CX391" t="e">
        <v>#DIV/0!</v>
      </c>
      <c r="CY391">
        <v>0</v>
      </c>
      <c r="CZ391">
        <v>8.0094892531633377E-2</v>
      </c>
      <c r="DA391" t="e">
        <v>#DIV/0!</v>
      </c>
      <c r="DB391">
        <v>0</v>
      </c>
      <c r="DC391">
        <v>7.6090147905051711E-2</v>
      </c>
      <c r="DD391" t="e">
        <v>#DIV/0!</v>
      </c>
      <c r="DE391">
        <v>0</v>
      </c>
      <c r="DF391">
        <v>7.0483505427837378E-2</v>
      </c>
      <c r="DG391" t="e">
        <v>#DIV/0!</v>
      </c>
      <c r="DH391">
        <v>0</v>
      </c>
      <c r="DI391">
        <v>6.4075914025306699E-2</v>
      </c>
      <c r="DJ391" t="e">
        <v>#DIV/0!</v>
      </c>
      <c r="DK391">
        <v>0</v>
      </c>
      <c r="DL391">
        <v>5.606642477214336E-2</v>
      </c>
      <c r="DM391">
        <v>0</v>
      </c>
      <c r="DN391">
        <v>8.0094892531633377E-2</v>
      </c>
      <c r="DO391">
        <v>11044388800</v>
      </c>
      <c r="DP391" t="e">
        <v>#VALUE!</v>
      </c>
      <c r="DQ391">
        <v>390</v>
      </c>
      <c r="DR391" t="e">
        <v>#VALUE!</v>
      </c>
      <c r="DS391">
        <v>-0.7259214481830597</v>
      </c>
      <c r="DT391" t="e">
        <v>#VALUE!</v>
      </c>
      <c r="DU391" t="e">
        <v>#VALUE!</v>
      </c>
      <c r="DV391" t="e">
        <v>#VALUE!</v>
      </c>
      <c r="DW391">
        <v>-3.1203333333333334</v>
      </c>
      <c r="DX391">
        <v>0.63410540362286461</v>
      </c>
      <c r="DY391">
        <v>-3.0269673502359518</v>
      </c>
      <c r="DZ391">
        <v>0</v>
      </c>
      <c r="EA391">
        <v>-3.0269673502359518</v>
      </c>
      <c r="EB391">
        <v>3</v>
      </c>
      <c r="EC391">
        <v>2.127278241325747E-3</v>
      </c>
      <c r="ED391">
        <v>9.4923112380887482E-3</v>
      </c>
      <c r="EE391">
        <v>0</v>
      </c>
      <c r="EF391">
        <v>0</v>
      </c>
      <c r="EG391">
        <v>41.224105403622865</v>
      </c>
      <c r="EH391" t="s">
        <v>110</v>
      </c>
      <c r="EI391">
        <v>0</v>
      </c>
      <c r="EJ391">
        <v>0</v>
      </c>
      <c r="EK391">
        <v>0</v>
      </c>
      <c r="EL391">
        <v>0</v>
      </c>
      <c r="EM391">
        <v>0</v>
      </c>
      <c r="EN391">
        <v>0</v>
      </c>
      <c r="EO391">
        <v>0</v>
      </c>
      <c r="EP391">
        <v>0</v>
      </c>
    </row>
    <row r="392" spans="1:146" ht="96" x14ac:dyDescent="0.25">
      <c r="A392"/>
      <c r="B392"/>
      <c r="C392" s="7" t="str">
        <f>""&amp;CHAR(10)&amp;Basic_Fundamental_Information_Constructure(F392)&amp;CHAR(10)&amp;Basic_Fundamental_Information_Concatenate("")</f>
        <v xml:space="preserve">
市值386.21675亿, 利润59.67亿; PE6.47; 平均PE35.87; 平均PEG16.27, PB.86; ROIC2.0867%; ROE8.1133%; 股利率0%; 毛利100%; 净利21.8333%; 上一年度营收增7.59%, 利润增36.33%, 利润增3710%; 过往5年营收增-2.2%, 利润增-89.72%
Income profile:
</v>
      </c>
      <c r="D392" s="11">
        <v>2588</v>
      </c>
      <c r="E392" t="s">
        <v>4991</v>
      </c>
      <c r="F392">
        <v>55.65</v>
      </c>
      <c r="G392">
        <v>0</v>
      </c>
      <c r="H392" t="s">
        <v>11265</v>
      </c>
      <c r="I392">
        <v>38621675000</v>
      </c>
      <c r="J392">
        <v>6.47</v>
      </c>
      <c r="K392">
        <v>0.86</v>
      </c>
      <c r="L392" t="s">
        <v>6350</v>
      </c>
      <c r="M392" t="s">
        <v>9</v>
      </c>
      <c r="N392" t="s">
        <v>9</v>
      </c>
      <c r="O392" t="s">
        <v>9</v>
      </c>
      <c r="P392" s="6" t="s">
        <v>9</v>
      </c>
      <c r="Q392" t="s">
        <v>11266</v>
      </c>
      <c r="R392">
        <v>5966838500</v>
      </c>
      <c r="S392">
        <v>37.1</v>
      </c>
      <c r="T392" t="s">
        <v>11267</v>
      </c>
      <c r="U392">
        <v>694010330</v>
      </c>
      <c r="V392">
        <v>694010330</v>
      </c>
      <c r="W392" t="s">
        <v>9</v>
      </c>
      <c r="X392" t="s">
        <v>9</v>
      </c>
      <c r="Y392" t="s">
        <v>9</v>
      </c>
      <c r="Z392" t="s">
        <v>9</v>
      </c>
      <c r="AA392" t="s">
        <v>9</v>
      </c>
      <c r="AB392" t="s">
        <v>9</v>
      </c>
      <c r="AC392" t="s">
        <v>9</v>
      </c>
      <c r="AD392" t="s">
        <v>9</v>
      </c>
      <c r="AE392" t="s">
        <v>9</v>
      </c>
      <c r="AF392" t="s">
        <v>9</v>
      </c>
      <c r="AG392" t="s">
        <v>9</v>
      </c>
      <c r="AH392" t="s">
        <v>11268</v>
      </c>
      <c r="AI392" t="s">
        <v>9</v>
      </c>
      <c r="AJ392" t="s">
        <v>9</v>
      </c>
      <c r="AK392" s="5" t="s">
        <v>11269</v>
      </c>
      <c r="AL392" t="s">
        <v>9</v>
      </c>
      <c r="AM392" t="s">
        <v>9</v>
      </c>
      <c r="AN392">
        <v>0.76219999999999999</v>
      </c>
      <c r="AO392" t="s">
        <v>9</v>
      </c>
      <c r="AP392" t="s">
        <v>11270</v>
      </c>
      <c r="AQ392" t="s">
        <v>9</v>
      </c>
      <c r="AR392" t="s">
        <v>11271</v>
      </c>
      <c r="AS392" t="s">
        <v>9</v>
      </c>
      <c r="AT392" t="s">
        <v>9</v>
      </c>
      <c r="AU392" t="s">
        <v>11272</v>
      </c>
      <c r="AV392" t="s">
        <v>11273</v>
      </c>
      <c r="AW392" t="s">
        <v>9</v>
      </c>
      <c r="AX392" t="s">
        <v>4992</v>
      </c>
      <c r="AY392" t="s">
        <v>4998</v>
      </c>
      <c r="AZ392" t="s">
        <v>4999</v>
      </c>
      <c r="BA392" t="s">
        <v>3520</v>
      </c>
      <c r="BB392" t="s">
        <v>5001</v>
      </c>
      <c r="BC392" t="s">
        <v>5002</v>
      </c>
      <c r="BD392" t="s">
        <v>5003</v>
      </c>
      <c r="BE392" t="s">
        <v>5004</v>
      </c>
      <c r="BF392" t="s">
        <v>5005</v>
      </c>
      <c r="BG392" t="s">
        <v>4850</v>
      </c>
      <c r="BH392" t="s">
        <v>4992</v>
      </c>
      <c r="BI392" t="s">
        <v>9</v>
      </c>
      <c r="BJ392" t="s">
        <v>4998</v>
      </c>
      <c r="BK392" t="s">
        <v>121</v>
      </c>
      <c r="BL392" t="s">
        <v>9</v>
      </c>
      <c r="BM392" t="s">
        <v>5002</v>
      </c>
      <c r="BN392">
        <v>3.59</v>
      </c>
      <c r="BO392">
        <v>0.09</v>
      </c>
      <c r="BP392">
        <v>2.58</v>
      </c>
      <c r="BQ392">
        <v>13.29</v>
      </c>
      <c r="BR392">
        <v>0.39</v>
      </c>
      <c r="BS392">
        <v>10.66</v>
      </c>
      <c r="BT392" t="s">
        <v>11274</v>
      </c>
      <c r="BU392" t="s">
        <v>567</v>
      </c>
      <c r="BV392">
        <v>100</v>
      </c>
      <c r="BW392">
        <v>100</v>
      </c>
      <c r="BX392">
        <v>100</v>
      </c>
      <c r="BY392">
        <v>36.97</v>
      </c>
      <c r="BZ392">
        <v>1.04</v>
      </c>
      <c r="CA392">
        <v>27.49</v>
      </c>
      <c r="CB392">
        <v>0.18</v>
      </c>
      <c r="CC392" s="8">
        <v>-7.21</v>
      </c>
      <c r="CD392" s="10" t="s">
        <v>11275</v>
      </c>
      <c r="CE392" s="8" t="s">
        <v>11276</v>
      </c>
      <c r="CF392" s="8" t="s">
        <v>9</v>
      </c>
      <c r="CG392" s="8">
        <v>37.1</v>
      </c>
      <c r="CH392" s="8">
        <v>7.5861603021621704E-2</v>
      </c>
      <c r="CI392" s="8">
        <v>-5.8021992444992065E-2</v>
      </c>
      <c r="CJ392" s="9">
        <v>4.7008533030748367E-2</v>
      </c>
      <c r="CK392" s="9">
        <v>0.19603686034679413</v>
      </c>
      <c r="CL392" s="9">
        <v>0.23935283720493317</v>
      </c>
      <c r="CM392" s="9">
        <v>0.36326253414154053</v>
      </c>
      <c r="CN392" s="9">
        <v>0.10726030915975571</v>
      </c>
      <c r="CO392">
        <v>-0.27706661820411682</v>
      </c>
      <c r="CP392">
        <v>0.12487143278121948</v>
      </c>
      <c r="CQ392">
        <v>6.0427617281675339E-2</v>
      </c>
      <c r="CR392" s="8">
        <v>35.866394651910468</v>
      </c>
      <c r="CS392" s="9">
        <v>16.274983355912408</v>
      </c>
      <c r="CT392">
        <v>0</v>
      </c>
      <c r="CU392">
        <v>-2.203774582594633E-2</v>
      </c>
      <c r="CV392">
        <v>-0.89724006056785588</v>
      </c>
      <c r="CW392">
        <v>0.06</v>
      </c>
      <c r="CX392">
        <v>6.472544829897771</v>
      </c>
      <c r="CY392" t="s">
        <v>11277</v>
      </c>
      <c r="CZ392">
        <v>-2.203774582594633E-2</v>
      </c>
      <c r="DA392">
        <v>2.1575149432992569</v>
      </c>
      <c r="DB392" t="s">
        <v>11278</v>
      </c>
      <c r="DC392">
        <v>-2.0935858534649011E-2</v>
      </c>
      <c r="DD392">
        <v>1.0787574716496284</v>
      </c>
      <c r="DE392" t="s">
        <v>11279</v>
      </c>
      <c r="DF392">
        <v>-1.939321632683277E-2</v>
      </c>
      <c r="DG392">
        <v>0.64725448298977706</v>
      </c>
      <c r="DH392" t="s">
        <v>11280</v>
      </c>
      <c r="DI392">
        <v>-1.7630196660757064E-2</v>
      </c>
      <c r="DJ392">
        <v>0.32362724149488853</v>
      </c>
      <c r="DK392" t="s">
        <v>11281</v>
      </c>
      <c r="DL392">
        <v>-1.542642207816243E-2</v>
      </c>
      <c r="DM392">
        <v>5967000000</v>
      </c>
      <c r="DN392">
        <v>-2.203774582594633E-2</v>
      </c>
      <c r="DO392">
        <v>38621675000</v>
      </c>
      <c r="DP392" t="e">
        <v>#VALUE!</v>
      </c>
      <c r="DQ392">
        <v>391</v>
      </c>
      <c r="DR392" t="e">
        <v>#VALUE!</v>
      </c>
      <c r="DS392">
        <v>37.997240060567854</v>
      </c>
      <c r="DT392" t="e">
        <v>#VALUE!</v>
      </c>
      <c r="DU392" t="e">
        <v>#VALUE!</v>
      </c>
      <c r="DV392" t="e">
        <v>#VALUE!</v>
      </c>
      <c r="DW392">
        <v>-2.0720999999999998</v>
      </c>
      <c r="DX392">
        <v>0.39148175174648925</v>
      </c>
      <c r="DY392">
        <v>-2.0116428343009218</v>
      </c>
      <c r="DZ392">
        <v>0</v>
      </c>
      <c r="EA392">
        <v>-2.0116428343009218</v>
      </c>
      <c r="EB392">
        <v>2</v>
      </c>
      <c r="EC392">
        <v>4.336534875496738E-3</v>
      </c>
      <c r="ED392">
        <v>2.685464350364929E-2</v>
      </c>
      <c r="EE392">
        <v>0</v>
      </c>
      <c r="EF392">
        <v>0</v>
      </c>
      <c r="EG392">
        <v>23.161481751746489</v>
      </c>
      <c r="EH392" t="s">
        <v>110</v>
      </c>
      <c r="EI392">
        <v>0</v>
      </c>
      <c r="EJ392">
        <v>0</v>
      </c>
      <c r="EK392">
        <v>0</v>
      </c>
      <c r="EL392">
        <v>0</v>
      </c>
      <c r="EM392">
        <v>0</v>
      </c>
      <c r="EN392">
        <v>0</v>
      </c>
      <c r="EO392">
        <v>0</v>
      </c>
      <c r="EP392">
        <v>0</v>
      </c>
    </row>
    <row r="393" spans="1:146" ht="108" x14ac:dyDescent="0.25">
      <c r="A393" s="7"/>
      <c r="B393" s="7"/>
      <c r="C393" s="7" t="str">
        <f>""&amp;CHAR(10)&amp;Basic_Fundamental_Information_Constructure(F393)&amp;CHAR(10)&amp;Basic_Fundamental_Information_Concatenate("")</f>
        <v xml:space="preserve">
市值890.51999亿, 利润73.02亿; PE11.66; 平均PE77.35; 平均PEG21.93, PB1.31; ROIC3.6133%; ROE9.0033%; 股利率0%; 毛利10.94%; 净利4.07%; 上一年度营收增-24.84%, 利润增7.45%; 当季营收增-47.03%, 利润增16.09%; 过往5年营收增3.53%, 利润增-169.76%
Income profile:
</v>
      </c>
      <c r="D393" s="11">
        <v>2600</v>
      </c>
      <c r="E393" t="s">
        <v>5007</v>
      </c>
      <c r="F393">
        <v>5.19</v>
      </c>
      <c r="G393" s="5">
        <v>-1.7399999999999999E-2</v>
      </c>
      <c r="H393" t="s">
        <v>11282</v>
      </c>
      <c r="I393">
        <v>89051999000</v>
      </c>
      <c r="J393">
        <v>11.66</v>
      </c>
      <c r="K393">
        <v>1.31</v>
      </c>
      <c r="L393" t="s">
        <v>6350</v>
      </c>
      <c r="M393" t="s">
        <v>11283</v>
      </c>
      <c r="N393" t="s">
        <v>11284</v>
      </c>
      <c r="O393" t="s">
        <v>11285</v>
      </c>
      <c r="P393">
        <v>-26.14</v>
      </c>
      <c r="Q393" t="s">
        <v>11286</v>
      </c>
      <c r="R393">
        <v>7302276000</v>
      </c>
      <c r="S393" s="5">
        <v>0.16089999999999999</v>
      </c>
      <c r="T393" t="s">
        <v>11287</v>
      </c>
      <c r="U393">
        <v>3943966000</v>
      </c>
      <c r="V393">
        <v>17158381000</v>
      </c>
      <c r="W393">
        <v>3.4</v>
      </c>
      <c r="X393">
        <v>0.23</v>
      </c>
      <c r="Y393">
        <v>9.84</v>
      </c>
      <c r="Z393" t="s">
        <v>11288</v>
      </c>
      <c r="AA393" t="s">
        <v>11289</v>
      </c>
      <c r="AB393" t="s">
        <v>11290</v>
      </c>
      <c r="AC393" t="s">
        <v>7901</v>
      </c>
      <c r="AD393" t="s">
        <v>11267</v>
      </c>
      <c r="AE393" t="s">
        <v>3810</v>
      </c>
      <c r="AF393" t="s">
        <v>9</v>
      </c>
      <c r="AG393" t="s">
        <v>1154</v>
      </c>
      <c r="AH393" t="s">
        <v>11291</v>
      </c>
      <c r="AI393" t="s">
        <v>11292</v>
      </c>
      <c r="AJ393" t="s">
        <v>2186</v>
      </c>
      <c r="AK393" t="s">
        <v>11293</v>
      </c>
      <c r="AL393" t="s">
        <v>9</v>
      </c>
      <c r="AM393" t="s">
        <v>11294</v>
      </c>
      <c r="AN393" s="5">
        <v>0.5161</v>
      </c>
      <c r="AO393" t="s">
        <v>11295</v>
      </c>
      <c r="AP393" t="s">
        <v>11296</v>
      </c>
      <c r="AQ393" t="s">
        <v>11297</v>
      </c>
      <c r="AR393" t="s">
        <v>11298</v>
      </c>
      <c r="AS393" t="s">
        <v>11299</v>
      </c>
      <c r="AT393" t="s">
        <v>11300</v>
      </c>
      <c r="AU393" t="s">
        <v>11301</v>
      </c>
      <c r="AV393" t="s">
        <v>11302</v>
      </c>
      <c r="AW393" t="s">
        <v>969</v>
      </c>
      <c r="AX393" t="s">
        <v>5008</v>
      </c>
      <c r="AY393" t="s">
        <v>5010</v>
      </c>
      <c r="AZ393" t="s">
        <v>5011</v>
      </c>
      <c r="BA393" t="s">
        <v>5012</v>
      </c>
      <c r="BB393" t="s">
        <v>5013</v>
      </c>
      <c r="BC393" t="s">
        <v>11303</v>
      </c>
      <c r="BD393" t="s">
        <v>3487</v>
      </c>
      <c r="BE393" t="s">
        <v>4227</v>
      </c>
      <c r="BF393" t="s">
        <v>204</v>
      </c>
      <c r="BG393" t="s">
        <v>831</v>
      </c>
      <c r="BH393" t="s">
        <v>5008</v>
      </c>
      <c r="BI393" t="s">
        <v>5014</v>
      </c>
      <c r="BJ393" t="s">
        <v>5010</v>
      </c>
      <c r="BK393" t="s">
        <v>5009</v>
      </c>
      <c r="BL393" t="s">
        <v>11304</v>
      </c>
      <c r="BM393" t="s">
        <v>11303</v>
      </c>
      <c r="BN393">
        <v>4.78</v>
      </c>
      <c r="BO393">
        <v>2.73</v>
      </c>
      <c r="BP393">
        <v>3.33</v>
      </c>
      <c r="BQ393">
        <v>11.02</v>
      </c>
      <c r="BR393">
        <v>7.49</v>
      </c>
      <c r="BS393">
        <v>8.5</v>
      </c>
      <c r="BT393" t="s">
        <v>11305</v>
      </c>
      <c r="BU393" t="s">
        <v>1254</v>
      </c>
      <c r="BV393">
        <v>12.25</v>
      </c>
      <c r="BW393">
        <v>10.75</v>
      </c>
      <c r="BX393">
        <v>9.82</v>
      </c>
      <c r="BY393">
        <v>5.59</v>
      </c>
      <c r="BZ393">
        <v>3.73</v>
      </c>
      <c r="CA393">
        <v>2.89</v>
      </c>
      <c r="CB393">
        <v>-6.18</v>
      </c>
      <c r="CC393">
        <v>-4.9800000000000004</v>
      </c>
      <c r="CD393" t="s">
        <v>3454</v>
      </c>
      <c r="CE393" t="s">
        <v>1283</v>
      </c>
      <c r="CF393" s="8">
        <v>-0.47031215002748877</v>
      </c>
      <c r="CG393" s="9">
        <v>0.16089999999999999</v>
      </c>
      <c r="CH393" s="8">
        <v>-0.24839839339256287</v>
      </c>
      <c r="CI393" s="8">
        <v>-0.10306978970766068</v>
      </c>
      <c r="CJ393" s="8">
        <v>0.65094590187072754</v>
      </c>
      <c r="CK393" s="8">
        <v>8.0200590193271637E-2</v>
      </c>
      <c r="CL393" s="8">
        <v>-5.4380837827920914E-2</v>
      </c>
      <c r="CM393" s="9">
        <v>7.4455618858337402E-2</v>
      </c>
      <c r="CN393" s="9">
        <v>10.326665878295898</v>
      </c>
      <c r="CO393" s="9">
        <v>-0.3690851628780365</v>
      </c>
      <c r="CP393" s="9">
        <v>0.17990075051784515</v>
      </c>
      <c r="CQ393" s="9">
        <v>-0.52420306205749512</v>
      </c>
      <c r="CR393">
        <v>77.346385427451651</v>
      </c>
      <c r="CS393">
        <v>21.926115862723364</v>
      </c>
      <c r="CT393">
        <v>0</v>
      </c>
      <c r="CU393" s="8">
        <v>3.5275917500257492E-2</v>
      </c>
      <c r="CV393" s="9">
        <v>-1.6975898385047912</v>
      </c>
      <c r="CW393">
        <v>0.06</v>
      </c>
      <c r="CX393">
        <v>13.528502203191636</v>
      </c>
      <c r="CY393">
        <v>7131683726.0253582</v>
      </c>
      <c r="CZ393">
        <v>3.5275917500257492E-2</v>
      </c>
      <c r="DA393">
        <v>4.631979060707315</v>
      </c>
      <c r="DB393">
        <v>20829325378.095966</v>
      </c>
      <c r="DC393">
        <v>3.3512121625244619E-2</v>
      </c>
      <c r="DD393">
        <v>2.4236227490488749</v>
      </c>
      <c r="DE393">
        <v>39808587800.169365</v>
      </c>
      <c r="DF393">
        <v>3.1042807400226594E-2</v>
      </c>
      <c r="DG393">
        <v>1.556140102872418</v>
      </c>
      <c r="DH393">
        <v>62000200895.735222</v>
      </c>
      <c r="DI393">
        <v>2.8220734000205996E-2</v>
      </c>
      <c r="DJ393">
        <v>0.92510772043883704</v>
      </c>
      <c r="DK393">
        <v>104291637469.23758</v>
      </c>
      <c r="DL393">
        <v>2.4693142250180242E-2</v>
      </c>
      <c r="DM393">
        <v>7302000000</v>
      </c>
      <c r="DN393">
        <v>3.5275917500257492E-2</v>
      </c>
      <c r="DO393">
        <v>96480998999.999985</v>
      </c>
      <c r="DP393" t="e">
        <v>#VALUE!</v>
      </c>
      <c r="DQ393">
        <v>392</v>
      </c>
      <c r="DR393">
        <v>-0.50558806752774621</v>
      </c>
      <c r="DS393">
        <v>1.8584898385047912</v>
      </c>
      <c r="DT393">
        <v>-0.27333333333333337</v>
      </c>
      <c r="DU393">
        <v>-3.3333333333333326E-2</v>
      </c>
      <c r="DV393">
        <v>-0.3066666666666667</v>
      </c>
      <c r="DW393">
        <v>-5.8058252427184467</v>
      </c>
      <c r="DX393">
        <v>0.40226932177453406</v>
      </c>
      <c r="DY393">
        <v>-5.0743529486144299</v>
      </c>
      <c r="DZ393">
        <v>0</v>
      </c>
      <c r="EA393">
        <v>-5.0743529486144299</v>
      </c>
      <c r="EB393">
        <v>5</v>
      </c>
      <c r="EC393">
        <v>6.4691418147201658E-3</v>
      </c>
      <c r="ED393">
        <v>7.0111509937913138E-2</v>
      </c>
      <c r="EE393">
        <v>0</v>
      </c>
      <c r="EF393">
        <v>0</v>
      </c>
      <c r="EG393">
        <v>31.092269321774534</v>
      </c>
      <c r="EH393" t="s">
        <v>110</v>
      </c>
      <c r="EI393">
        <v>0</v>
      </c>
      <c r="EJ393">
        <v>0</v>
      </c>
      <c r="EK393">
        <v>0</v>
      </c>
      <c r="EL393">
        <v>0</v>
      </c>
      <c r="EM393">
        <v>0</v>
      </c>
      <c r="EN393">
        <v>0</v>
      </c>
      <c r="EO393">
        <v>0</v>
      </c>
      <c r="EP393">
        <v>0</v>
      </c>
    </row>
    <row r="394" spans="1:146" ht="96" x14ac:dyDescent="0.25">
      <c r="A394" s="7"/>
      <c r="B394" s="7"/>
      <c r="C394" s="7" t="str">
        <f>""&amp;CHAR(10)&amp;Basic_Fundamental_Information_Constructure(F394)&amp;CHAR(10)&amp;Basic_Fundamental_Information_Concatenate("")</f>
        <v xml:space="preserve">
市值1889.4351亿, 利润298.79亿; PE6.45; 平均PE37.97; 平均PEG14.24, PB.679; ROIC0%; ROE11.1733%; 毛利0%; 净利6.8433%; 上一年度营收增-5.23%, 利润增-9.07%; 当季营收增-10.01%, 利润增-4.55%; 过往5年营收增2.67%, 利润增521.66%
Income profile:
</v>
      </c>
      <c r="D394" s="11">
        <v>2601</v>
      </c>
      <c r="E394" t="s">
        <v>5015</v>
      </c>
      <c r="F394">
        <v>19.64</v>
      </c>
      <c r="G394" s="5">
        <v>-6.1000000000000004E-3</v>
      </c>
      <c r="H394" t="s">
        <v>11306</v>
      </c>
      <c r="I394">
        <v>188943510000</v>
      </c>
      <c r="J394">
        <v>6.45</v>
      </c>
      <c r="K394">
        <v>0.67900000000000005</v>
      </c>
      <c r="L394" t="s">
        <v>6350</v>
      </c>
      <c r="M394" t="s">
        <v>11307</v>
      </c>
      <c r="N394" t="s">
        <v>11308</v>
      </c>
      <c r="O394" t="s">
        <v>11309</v>
      </c>
      <c r="P394" t="s">
        <v>9</v>
      </c>
      <c r="Q394" t="s">
        <v>11310</v>
      </c>
      <c r="R394">
        <v>29879123000</v>
      </c>
      <c r="S394" s="5">
        <v>-4.5499999999999999E-2</v>
      </c>
      <c r="T394" t="s">
        <v>11311</v>
      </c>
      <c r="U394">
        <v>2775300000</v>
      </c>
      <c r="V394">
        <v>9620341500</v>
      </c>
      <c r="W394">
        <v>9.4700000000000006</v>
      </c>
      <c r="X394">
        <v>0.03</v>
      </c>
      <c r="Y394">
        <v>17.3</v>
      </c>
      <c r="Z394" t="s">
        <v>9</v>
      </c>
      <c r="AA394" t="s">
        <v>9</v>
      </c>
      <c r="AB394" t="s">
        <v>9</v>
      </c>
      <c r="AC394" t="s">
        <v>9</v>
      </c>
      <c r="AD394" t="s">
        <v>9</v>
      </c>
      <c r="AE394" t="s">
        <v>11312</v>
      </c>
      <c r="AF394" t="s">
        <v>7352</v>
      </c>
      <c r="AG394" t="s">
        <v>5164</v>
      </c>
      <c r="AH394" t="s">
        <v>11313</v>
      </c>
      <c r="AI394" t="s">
        <v>11314</v>
      </c>
      <c r="AJ394" t="s">
        <v>9</v>
      </c>
      <c r="AK394" t="s">
        <v>11315</v>
      </c>
      <c r="AL394" t="s">
        <v>9</v>
      </c>
      <c r="AM394" t="s">
        <v>11316</v>
      </c>
      <c r="AN394" s="5">
        <v>0.88680000000000003</v>
      </c>
      <c r="AO394" t="s">
        <v>9</v>
      </c>
      <c r="AP394" t="s">
        <v>9</v>
      </c>
      <c r="AQ394" t="s">
        <v>9</v>
      </c>
      <c r="AR394" t="s">
        <v>9</v>
      </c>
      <c r="AS394" t="s">
        <v>9</v>
      </c>
      <c r="AT394" t="s">
        <v>9</v>
      </c>
      <c r="AU394" t="s">
        <v>11317</v>
      </c>
      <c r="AV394" t="s">
        <v>11318</v>
      </c>
      <c r="AW394" t="s">
        <v>4440</v>
      </c>
      <c r="AX394" t="s">
        <v>11319</v>
      </c>
      <c r="AY394" t="s">
        <v>5018</v>
      </c>
      <c r="AZ394" t="s">
        <v>5019</v>
      </c>
      <c r="BA394" t="s">
        <v>5020</v>
      </c>
      <c r="BB394" t="s">
        <v>5021</v>
      </c>
      <c r="BC394" t="s">
        <v>5022</v>
      </c>
      <c r="BD394" t="s">
        <v>5023</v>
      </c>
      <c r="BE394" t="s">
        <v>5024</v>
      </c>
      <c r="BF394" t="s">
        <v>5025</v>
      </c>
      <c r="BG394" t="s">
        <v>5026</v>
      </c>
      <c r="BH394" t="s">
        <v>11319</v>
      </c>
      <c r="BI394" t="s">
        <v>5027</v>
      </c>
      <c r="BJ394" t="s">
        <v>5018</v>
      </c>
      <c r="BK394" t="s">
        <v>5016</v>
      </c>
      <c r="BL394" t="s">
        <v>11320</v>
      </c>
      <c r="BM394" t="s">
        <v>5022</v>
      </c>
      <c r="BN394" t="s">
        <v>9</v>
      </c>
      <c r="BO394" t="s">
        <v>9</v>
      </c>
      <c r="BP394" t="s">
        <v>9</v>
      </c>
      <c r="BQ394">
        <v>10.92</v>
      </c>
      <c r="BR394">
        <v>10.77</v>
      </c>
      <c r="BS394">
        <v>11.83</v>
      </c>
      <c r="BT394" t="s">
        <v>5028</v>
      </c>
      <c r="BU394" t="s">
        <v>2704</v>
      </c>
      <c r="BV394" t="s">
        <v>9</v>
      </c>
      <c r="BW394" t="s">
        <v>9</v>
      </c>
      <c r="BX394" t="s">
        <v>9</v>
      </c>
      <c r="BY394">
        <v>8.6300000000000008</v>
      </c>
      <c r="BZ394">
        <v>5.57</v>
      </c>
      <c r="CA394">
        <v>6.33</v>
      </c>
      <c r="CB394">
        <v>-6.92</v>
      </c>
      <c r="CC394">
        <v>6.74</v>
      </c>
      <c r="CD394" t="s">
        <v>11321</v>
      </c>
      <c r="CE394" t="s">
        <v>36</v>
      </c>
      <c r="CF394" s="8">
        <v>-0.10007794552018379</v>
      </c>
      <c r="CG394" s="9">
        <v>-4.5499999999999999E-2</v>
      </c>
      <c r="CH394" s="8">
        <v>-5.2345052361488342E-2</v>
      </c>
      <c r="CI394" s="8">
        <v>-0.30550664663314819</v>
      </c>
      <c r="CJ394" s="8">
        <v>7.9020701348781586E-2</v>
      </c>
      <c r="CK394" s="8">
        <v>0.24206359684467316</v>
      </c>
      <c r="CL394" s="8">
        <v>4.9898818135261536E-2</v>
      </c>
      <c r="CM394" s="9">
        <v>-9.0662866830825806E-2</v>
      </c>
      <c r="CN394" s="9">
        <v>0.12135689705610275</v>
      </c>
      <c r="CO394" s="9">
        <v>-5.4804693907499313E-2</v>
      </c>
      <c r="CP394" s="9">
        <v>0.51106452941894531</v>
      </c>
      <c r="CQ394" s="9">
        <v>0.16714070737361908</v>
      </c>
      <c r="CR394">
        <v>37.972608914287868</v>
      </c>
      <c r="CS394">
        <v>14.236107060655215</v>
      </c>
      <c r="CT394" t="e">
        <v>#VALUE!</v>
      </c>
      <c r="CU394" s="8">
        <v>2.6673449948430062E-2</v>
      </c>
      <c r="CV394" s="9">
        <v>5.2166415452957153</v>
      </c>
      <c r="CW394">
        <v>0.06</v>
      </c>
      <c r="CX394">
        <v>76.928724280951343</v>
      </c>
      <c r="CY394">
        <v>28939600010.385983</v>
      </c>
      <c r="CZ394">
        <v>2.6673449948430062E-2</v>
      </c>
      <c r="DA394">
        <v>26.534437048564921</v>
      </c>
      <c r="DB394">
        <v>83901780389.209564</v>
      </c>
      <c r="DC394">
        <v>2.5339777451008558E-2</v>
      </c>
      <c r="DD394">
        <v>14.014864382496539</v>
      </c>
      <c r="DE394">
        <v>158851805428.8457</v>
      </c>
      <c r="DF394">
        <v>2.3472635954618456E-2</v>
      </c>
      <c r="DG394">
        <v>9.0885183739656572</v>
      </c>
      <c r="DH394">
        <v>244955934333.28659</v>
      </c>
      <c r="DI394">
        <v>2.1338759958744052E-2</v>
      </c>
      <c r="DJ394">
        <v>5.5103415106003402</v>
      </c>
      <c r="DK394">
        <v>404019697457.4541</v>
      </c>
      <c r="DL394">
        <v>1.8671414963901043E-2</v>
      </c>
      <c r="DM394">
        <v>29879000000.000004</v>
      </c>
      <c r="DN394">
        <v>2.6673449948430062E-2</v>
      </c>
      <c r="DO394">
        <v>2226286510000</v>
      </c>
      <c r="DP394" t="e">
        <v>#VALUE!</v>
      </c>
      <c r="DQ394">
        <v>393</v>
      </c>
      <c r="DR394">
        <v>-0.12675139546861386</v>
      </c>
      <c r="DS394">
        <v>-5.262141545295715</v>
      </c>
      <c r="DT394">
        <v>-0.65666666666666673</v>
      </c>
      <c r="DU394">
        <v>0.37499999999999994</v>
      </c>
      <c r="DV394">
        <v>-0.28166666666666679</v>
      </c>
      <c r="DW394">
        <v>-5.9739884393063587</v>
      </c>
      <c r="DX394">
        <v>0.33677203389830535</v>
      </c>
      <c r="DY394">
        <v>-5.1234744954443032</v>
      </c>
      <c r="DZ394">
        <v>0</v>
      </c>
      <c r="EA394">
        <v>-5.1234744954443032</v>
      </c>
      <c r="EB394">
        <v>5</v>
      </c>
      <c r="EC394">
        <v>6.2197792043037145E-3</v>
      </c>
      <c r="ED394">
        <v>4.9062707389337476E-2</v>
      </c>
      <c r="EE394">
        <v>0</v>
      </c>
      <c r="EF394">
        <v>0</v>
      </c>
      <c r="EG394">
        <v>21.126772033898305</v>
      </c>
      <c r="EH394" t="s">
        <v>110</v>
      </c>
      <c r="EI394">
        <v>0</v>
      </c>
      <c r="EJ394">
        <v>0</v>
      </c>
      <c r="EK394">
        <v>0</v>
      </c>
      <c r="EL394">
        <v>0</v>
      </c>
      <c r="EM394">
        <v>0</v>
      </c>
      <c r="EN394">
        <v>0</v>
      </c>
      <c r="EO394">
        <v>0</v>
      </c>
      <c r="EP394">
        <v>0</v>
      </c>
    </row>
    <row r="395" spans="1:146" ht="96" x14ac:dyDescent="0.25">
      <c r="A395" s="7"/>
      <c r="B395" s="7"/>
      <c r="C395" s="7" t="str">
        <f>""&amp;CHAR(10)&amp;Basic_Fundamental_Information_Constructure(F395)&amp;CHAR(10)&amp;Basic_Fundamental_Information_Concatenate("")</f>
        <v xml:space="preserve">
市值431.06987亿, 利润41.30亿; PE10.62; 平均PE63.06; 平均PEG13.03, PB.57; ROIC5.6%; ROE8.0667%; 股利率0%; 毛利12.54%; 净利2.6433%; 上一年度营收增9.06%, 利润增-33.78%; 当季营收增7.86%, 利润增-4.1%; 过往5年营收增-4.84%, 利润增-191.63%
Income profile:
</v>
      </c>
      <c r="D395" s="11">
        <v>2607</v>
      </c>
      <c r="E395" t="s">
        <v>5029</v>
      </c>
      <c r="F395">
        <v>11.64</v>
      </c>
      <c r="G395" s="5">
        <v>-2.0199999999999999E-2</v>
      </c>
      <c r="H395" t="s">
        <v>11322</v>
      </c>
      <c r="I395">
        <v>43106987000</v>
      </c>
      <c r="J395">
        <v>10.62</v>
      </c>
      <c r="K395">
        <v>0.56999999999999995</v>
      </c>
      <c r="L395" t="s">
        <v>6350</v>
      </c>
      <c r="M395" t="s">
        <v>11323</v>
      </c>
      <c r="N395" t="s">
        <v>11324</v>
      </c>
      <c r="O395" t="s">
        <v>11325</v>
      </c>
      <c r="P395">
        <v>5.93</v>
      </c>
      <c r="Q395" t="s">
        <v>11326</v>
      </c>
      <c r="R395">
        <v>4130481100</v>
      </c>
      <c r="S395" s="5">
        <v>-4.1000000000000002E-2</v>
      </c>
      <c r="T395" t="s">
        <v>11327</v>
      </c>
      <c r="U395">
        <v>919072700</v>
      </c>
      <c r="V395">
        <v>3703301100</v>
      </c>
      <c r="W395">
        <v>3.1</v>
      </c>
      <c r="X395">
        <v>0.33</v>
      </c>
      <c r="Y395">
        <v>3.45</v>
      </c>
      <c r="Z395" t="s">
        <v>11328</v>
      </c>
      <c r="AA395" t="s">
        <v>11329</v>
      </c>
      <c r="AB395" t="s">
        <v>5129</v>
      </c>
      <c r="AC395" t="s">
        <v>1796</v>
      </c>
      <c r="AD395" t="s">
        <v>159</v>
      </c>
      <c r="AE395" t="s">
        <v>158</v>
      </c>
      <c r="AF395" t="s">
        <v>9</v>
      </c>
      <c r="AG395" t="s">
        <v>11330</v>
      </c>
      <c r="AH395" t="s">
        <v>11331</v>
      </c>
      <c r="AI395" t="s">
        <v>11332</v>
      </c>
      <c r="AJ395" t="s">
        <v>11333</v>
      </c>
      <c r="AK395" t="s">
        <v>11334</v>
      </c>
      <c r="AL395" t="s">
        <v>9</v>
      </c>
      <c r="AM395" t="s">
        <v>11335</v>
      </c>
      <c r="AN395" s="5">
        <v>0.62250000000000005</v>
      </c>
      <c r="AO395" t="s">
        <v>11336</v>
      </c>
      <c r="AP395" t="s">
        <v>11337</v>
      </c>
      <c r="AQ395" t="s">
        <v>11338</v>
      </c>
      <c r="AR395" t="s">
        <v>11339</v>
      </c>
      <c r="AS395" t="s">
        <v>11340</v>
      </c>
      <c r="AT395" t="s">
        <v>11341</v>
      </c>
      <c r="AU395" t="s">
        <v>628</v>
      </c>
      <c r="AV395" t="s">
        <v>11342</v>
      </c>
      <c r="AW395" t="s">
        <v>11343</v>
      </c>
      <c r="AX395" t="s">
        <v>5030</v>
      </c>
      <c r="AY395" t="s">
        <v>5032</v>
      </c>
      <c r="AZ395" t="s">
        <v>5033</v>
      </c>
      <c r="BA395" t="s">
        <v>5034</v>
      </c>
      <c r="BB395" t="s">
        <v>5035</v>
      </c>
      <c r="BC395" t="s">
        <v>5036</v>
      </c>
      <c r="BD395" t="s">
        <v>5037</v>
      </c>
      <c r="BE395" t="s">
        <v>2714</v>
      </c>
      <c r="BF395" t="s">
        <v>5038</v>
      </c>
      <c r="BG395" t="s">
        <v>5039</v>
      </c>
      <c r="BH395" t="s">
        <v>5030</v>
      </c>
      <c r="BI395" t="s">
        <v>5040</v>
      </c>
      <c r="BJ395" t="s">
        <v>5032</v>
      </c>
      <c r="BK395" t="s">
        <v>3818</v>
      </c>
      <c r="BL395" t="s">
        <v>5041</v>
      </c>
      <c r="BM395" t="s">
        <v>5036</v>
      </c>
      <c r="BN395">
        <v>3.57</v>
      </c>
      <c r="BO395">
        <v>6.24</v>
      </c>
      <c r="BP395">
        <v>6.99</v>
      </c>
      <c r="BQ395">
        <v>5.5</v>
      </c>
      <c r="BR395">
        <v>8.3800000000000008</v>
      </c>
      <c r="BS395">
        <v>10.32</v>
      </c>
      <c r="BT395" t="s">
        <v>11344</v>
      </c>
      <c r="BU395" t="s">
        <v>489</v>
      </c>
      <c r="BV395">
        <v>11.79</v>
      </c>
      <c r="BW395">
        <v>12.87</v>
      </c>
      <c r="BX395">
        <v>12.96</v>
      </c>
      <c r="BY395">
        <v>1.99</v>
      </c>
      <c r="BZ395">
        <v>3.02</v>
      </c>
      <c r="CA395">
        <v>2.92</v>
      </c>
      <c r="CB395">
        <v>-3.48</v>
      </c>
      <c r="CC395">
        <v>-6.58</v>
      </c>
      <c r="CD395" t="s">
        <v>11345</v>
      </c>
      <c r="CE395" t="s">
        <v>11346</v>
      </c>
      <c r="CF395" s="8">
        <v>7.860574173624614E-2</v>
      </c>
      <c r="CG395" s="9">
        <v>-4.1000000000000002E-2</v>
      </c>
      <c r="CH395" s="8">
        <v>9.059751033782959E-2</v>
      </c>
      <c r="CI395" s="8">
        <v>-9.758535772562027E-3</v>
      </c>
      <c r="CJ395" s="8">
        <v>0.15537862479686737</v>
      </c>
      <c r="CK395" s="8">
        <v>0.25890922546386719</v>
      </c>
      <c r="CL395" s="8">
        <v>0.15464739501476288</v>
      </c>
      <c r="CM395" s="9">
        <v>-0.33782270550727844</v>
      </c>
      <c r="CN395" s="9">
        <v>0.16383655369281769</v>
      </c>
      <c r="CO395" s="9">
        <v>0.17496165633201599</v>
      </c>
      <c r="CP395" s="9">
        <v>3.2133996486663818E-2</v>
      </c>
      <c r="CQ395" s="9">
        <v>4.6908285468816757E-2</v>
      </c>
      <c r="CR395">
        <v>63.060427771514341</v>
      </c>
      <c r="CS395">
        <v>13.030133525415888</v>
      </c>
      <c r="CT395">
        <v>0</v>
      </c>
      <c r="CU395" s="8">
        <v>-4.8395841568708423E-2</v>
      </c>
      <c r="CV395" s="9">
        <v>-1.9162665411829949</v>
      </c>
      <c r="CW395">
        <v>0.06</v>
      </c>
      <c r="CX395">
        <v>24.343096125907991</v>
      </c>
      <c r="CY395" t="s">
        <v>11347</v>
      </c>
      <c r="CZ395">
        <v>-4.8395841568708423E-2</v>
      </c>
      <c r="DA395">
        <v>8.114365375302663</v>
      </c>
      <c r="DB395" t="s">
        <v>11348</v>
      </c>
      <c r="DC395">
        <v>-4.5976049490273001E-2</v>
      </c>
      <c r="DD395">
        <v>4.0571826876513315</v>
      </c>
      <c r="DE395" t="s">
        <v>11349</v>
      </c>
      <c r="DF395">
        <v>-4.2588340580463409E-2</v>
      </c>
      <c r="DG395">
        <v>2.4343096125907988</v>
      </c>
      <c r="DH395" t="s">
        <v>11350</v>
      </c>
      <c r="DI395">
        <v>-3.8716673254966742E-2</v>
      </c>
      <c r="DJ395">
        <v>1.2171548062953994</v>
      </c>
      <c r="DK395" t="s">
        <v>11351</v>
      </c>
      <c r="DL395">
        <v>-3.3877089098095892E-2</v>
      </c>
      <c r="DM395">
        <v>4129999999.9999995</v>
      </c>
      <c r="DN395">
        <v>-4.8395841568708423E-2</v>
      </c>
      <c r="DO395">
        <v>100536987000</v>
      </c>
      <c r="DP395" t="e">
        <v>#VALUE!</v>
      </c>
      <c r="DQ395">
        <v>394</v>
      </c>
      <c r="DR395">
        <v>0.12700158330495456</v>
      </c>
      <c r="DS395">
        <v>1.875266541182995</v>
      </c>
      <c r="DT395">
        <v>-0.57333333333333336</v>
      </c>
      <c r="DU395">
        <v>-6.6666666666666832E-2</v>
      </c>
      <c r="DV395">
        <v>-0.64000000000000024</v>
      </c>
      <c r="DW395">
        <v>-8.5288753799392101</v>
      </c>
      <c r="DX395">
        <v>0.31106661578936851</v>
      </c>
      <c r="DY395">
        <v>-8.069317906222949</v>
      </c>
      <c r="DZ395">
        <v>0</v>
      </c>
      <c r="EA395">
        <v>-8.069317906222949</v>
      </c>
      <c r="EB395">
        <v>8</v>
      </c>
      <c r="EC395">
        <v>3.52453112710711E-3</v>
      </c>
      <c r="ED395">
        <v>2.6891143147933609E-2</v>
      </c>
      <c r="EE395">
        <v>0</v>
      </c>
      <c r="EF395">
        <v>0</v>
      </c>
      <c r="EG395">
        <v>18.131066615789369</v>
      </c>
      <c r="EH395" t="s">
        <v>110</v>
      </c>
      <c r="EI395">
        <v>0</v>
      </c>
      <c r="EJ395">
        <v>0</v>
      </c>
      <c r="EK395">
        <v>0</v>
      </c>
      <c r="EL395">
        <v>0</v>
      </c>
      <c r="EM395">
        <v>0</v>
      </c>
      <c r="EN395">
        <v>0</v>
      </c>
      <c r="EO395">
        <v>0</v>
      </c>
      <c r="EP395">
        <v>0</v>
      </c>
    </row>
    <row r="396" spans="1:146" ht="96" x14ac:dyDescent="0.25">
      <c r="A396" s="7"/>
      <c r="B396" s="7"/>
      <c r="C396" s="7" t="str">
        <f>""&amp;CHAR(10)&amp;Basic_Fundamental_Information_Constructure(F396)&amp;CHAR(10)&amp;Basic_Fundamental_Information_Concatenate("")</f>
        <v xml:space="preserve">
市值688.25838亿, 利润94.95亿; PE7.91; 平均PE26.99; 平均PEG2.91, PB.377; ROIC0%; ROE7.35%; 股利率0%; 毛利0%; 净利23.7567%; 上一年度营收增6.86%, 利润增-46.77%; 当季营收增-37.85%, 利润增-22.74%; 过往5年营收增-9.28%, 利润增10.19%
Income profile:
</v>
      </c>
      <c r="D396" s="11">
        <v>2611</v>
      </c>
      <c r="E396" t="s">
        <v>5042</v>
      </c>
      <c r="F396">
        <v>7.73</v>
      </c>
      <c r="G396" s="5">
        <v>-2.0299999999999999E-2</v>
      </c>
      <c r="H396" t="s">
        <v>11352</v>
      </c>
      <c r="I396">
        <v>68825838000</v>
      </c>
      <c r="J396">
        <v>7.91</v>
      </c>
      <c r="K396">
        <v>0.377</v>
      </c>
      <c r="L396" t="s">
        <v>6350</v>
      </c>
      <c r="M396" t="s">
        <v>11353</v>
      </c>
      <c r="N396" t="s">
        <v>11354</v>
      </c>
      <c r="O396" t="s">
        <v>11355</v>
      </c>
      <c r="P396">
        <v>-15.06</v>
      </c>
      <c r="Q396" t="s">
        <v>11356</v>
      </c>
      <c r="R396">
        <v>9495386300</v>
      </c>
      <c r="S396" s="5">
        <v>-0.22739999999999999</v>
      </c>
      <c r="T396" t="s">
        <v>11357</v>
      </c>
      <c r="U396">
        <v>1391827200</v>
      </c>
      <c r="V396">
        <v>8904610800</v>
      </c>
      <c r="W396">
        <v>5.37</v>
      </c>
      <c r="X396">
        <v>0.01</v>
      </c>
      <c r="Y396">
        <v>58.35</v>
      </c>
      <c r="Z396" t="s">
        <v>9</v>
      </c>
      <c r="AA396" t="s">
        <v>9</v>
      </c>
      <c r="AB396" t="s">
        <v>9</v>
      </c>
      <c r="AC396" t="s">
        <v>11358</v>
      </c>
      <c r="AD396" t="s">
        <v>9</v>
      </c>
      <c r="AE396" t="s">
        <v>9</v>
      </c>
      <c r="AF396" t="s">
        <v>11359</v>
      </c>
      <c r="AG396" t="s">
        <v>3060</v>
      </c>
      <c r="AH396" t="s">
        <v>11360</v>
      </c>
      <c r="AI396" t="s">
        <v>11361</v>
      </c>
      <c r="AJ396" t="s">
        <v>9</v>
      </c>
      <c r="AK396" t="s">
        <v>11362</v>
      </c>
      <c r="AL396" t="s">
        <v>9</v>
      </c>
      <c r="AM396" t="s">
        <v>11363</v>
      </c>
      <c r="AN396" s="5">
        <v>0.80669999999999997</v>
      </c>
      <c r="AO396" t="s">
        <v>11364</v>
      </c>
      <c r="AP396" t="s">
        <v>9</v>
      </c>
      <c r="AQ396" t="s">
        <v>9</v>
      </c>
      <c r="AR396" t="s">
        <v>11365</v>
      </c>
      <c r="AS396" t="s">
        <v>11366</v>
      </c>
      <c r="AT396" t="s">
        <v>11367</v>
      </c>
      <c r="AU396" t="s">
        <v>11368</v>
      </c>
      <c r="AV396" t="s">
        <v>11369</v>
      </c>
      <c r="AW396" t="s">
        <v>11370</v>
      </c>
      <c r="AX396" t="s">
        <v>5043</v>
      </c>
      <c r="AY396" t="s">
        <v>2525</v>
      </c>
      <c r="AZ396" t="s">
        <v>5047</v>
      </c>
      <c r="BA396" t="s">
        <v>5048</v>
      </c>
      <c r="BB396" t="s">
        <v>5049</v>
      </c>
      <c r="BC396" t="s">
        <v>5050</v>
      </c>
      <c r="BD396" t="s">
        <v>5051</v>
      </c>
      <c r="BE396" t="s">
        <v>5052</v>
      </c>
      <c r="BF396" t="s">
        <v>403</v>
      </c>
      <c r="BG396" t="s">
        <v>5053</v>
      </c>
      <c r="BH396" t="s">
        <v>5043</v>
      </c>
      <c r="BI396" t="s">
        <v>5054</v>
      </c>
      <c r="BJ396" t="s">
        <v>2525</v>
      </c>
      <c r="BK396" t="s">
        <v>5044</v>
      </c>
      <c r="BL396" t="s">
        <v>714</v>
      </c>
      <c r="BM396" t="s">
        <v>5050</v>
      </c>
      <c r="BN396" t="s">
        <v>9</v>
      </c>
      <c r="BO396" t="s">
        <v>9</v>
      </c>
      <c r="BP396" t="s">
        <v>9</v>
      </c>
      <c r="BQ396">
        <v>5.19</v>
      </c>
      <c r="BR396">
        <v>6.96</v>
      </c>
      <c r="BS396">
        <v>9.9</v>
      </c>
      <c r="BT396" t="s">
        <v>5055</v>
      </c>
      <c r="BU396" t="s">
        <v>826</v>
      </c>
      <c r="BV396" t="s">
        <v>9</v>
      </c>
      <c r="BW396" t="s">
        <v>9</v>
      </c>
      <c r="BX396" t="s">
        <v>9</v>
      </c>
      <c r="BY396">
        <v>18.97</v>
      </c>
      <c r="BZ396">
        <v>24.52</v>
      </c>
      <c r="CA396">
        <v>27.78</v>
      </c>
      <c r="CB396">
        <v>-3.25</v>
      </c>
      <c r="CC396">
        <v>-8.74</v>
      </c>
      <c r="CD396" t="s">
        <v>11371</v>
      </c>
      <c r="CE396" t="s">
        <v>11372</v>
      </c>
      <c r="CF396" s="8">
        <v>-0.37852167584988045</v>
      </c>
      <c r="CG396" s="9">
        <v>-0.22739999999999999</v>
      </c>
      <c r="CH396" s="8">
        <v>6.8586871027946472E-2</v>
      </c>
      <c r="CI396" s="8">
        <v>-0.20731523633003235</v>
      </c>
      <c r="CJ396" s="8">
        <v>0.22283667325973511</v>
      </c>
      <c r="CK396" s="8">
        <v>0.55118399858474731</v>
      </c>
      <c r="CL396" s="8">
        <v>-9.9979802966117859E-2</v>
      </c>
      <c r="CM396" s="9">
        <v>-0.46770939230918884</v>
      </c>
      <c r="CN396" s="9">
        <v>0.40324109792709351</v>
      </c>
      <c r="CO396" s="9">
        <v>0.42383506894111633</v>
      </c>
      <c r="CP396" s="9">
        <v>0.28165373206138611</v>
      </c>
      <c r="CQ396" s="9">
        <v>-0.37468579411506653</v>
      </c>
      <c r="CR396">
        <v>26.98876073459251</v>
      </c>
      <c r="CS396">
        <v>2.9094452728904758</v>
      </c>
      <c r="CT396">
        <v>0</v>
      </c>
      <c r="CU396" s="8">
        <v>-9.2762565379962331E-2</v>
      </c>
      <c r="CV396" s="9">
        <v>0.10190921649336815</v>
      </c>
      <c r="CW396">
        <v>0.06</v>
      </c>
      <c r="CX396">
        <v>70.706670668773043</v>
      </c>
      <c r="CY396" t="s">
        <v>11373</v>
      </c>
      <c r="CZ396">
        <v>-9.2762565379962331E-2</v>
      </c>
      <c r="DA396">
        <v>23.568890222924345</v>
      </c>
      <c r="DB396" t="s">
        <v>11374</v>
      </c>
      <c r="DC396">
        <v>-8.812443711096421E-2</v>
      </c>
      <c r="DD396">
        <v>11.784445111462173</v>
      </c>
      <c r="DE396" t="s">
        <v>11375</v>
      </c>
      <c r="DF396">
        <v>-8.1631057534366849E-2</v>
      </c>
      <c r="DG396">
        <v>7.070667066877304</v>
      </c>
      <c r="DH396" t="s">
        <v>11376</v>
      </c>
      <c r="DI396">
        <v>-7.4210052303969862E-2</v>
      </c>
      <c r="DJ396">
        <v>3.535333533438652</v>
      </c>
      <c r="DK396" t="s">
        <v>11377</v>
      </c>
      <c r="DL396">
        <v>-6.4933795765973634E-2</v>
      </c>
      <c r="DM396">
        <v>9495000000</v>
      </c>
      <c r="DN396">
        <v>-9.2762565379962331E-2</v>
      </c>
      <c r="DO396">
        <v>671359838000</v>
      </c>
      <c r="DP396" t="e">
        <v>#VALUE!</v>
      </c>
      <c r="DQ396">
        <v>395</v>
      </c>
      <c r="DR396">
        <v>-0.28575911046991809</v>
      </c>
      <c r="DS396">
        <v>-0.32930921649336814</v>
      </c>
      <c r="DT396">
        <v>-0.60666666666666669</v>
      </c>
      <c r="DU396">
        <v>0.71666666666666667</v>
      </c>
      <c r="DV396">
        <v>0.10999999999999999</v>
      </c>
      <c r="DW396">
        <v>-8.3718535469107547</v>
      </c>
      <c r="DX396">
        <v>0.26949701571170209</v>
      </c>
      <c r="DY396">
        <v>-8.029561247261217</v>
      </c>
      <c r="DZ396">
        <v>0</v>
      </c>
      <c r="EA396">
        <v>-8.029561247261217</v>
      </c>
      <c r="EB396">
        <v>8</v>
      </c>
      <c r="EC396">
        <v>7.8288654682133886E-4</v>
      </c>
      <c r="ED396">
        <v>9.847999196101867E-3</v>
      </c>
      <c r="EE396">
        <v>0</v>
      </c>
      <c r="EF396">
        <v>0</v>
      </c>
      <c r="EG396">
        <v>19.079497015711702</v>
      </c>
      <c r="EH396" t="s">
        <v>110</v>
      </c>
      <c r="EI396">
        <v>0</v>
      </c>
      <c r="EJ396">
        <v>0</v>
      </c>
      <c r="EK396">
        <v>0</v>
      </c>
      <c r="EL396">
        <v>0</v>
      </c>
      <c r="EM396">
        <v>0</v>
      </c>
      <c r="EN396">
        <v>0</v>
      </c>
      <c r="EO396">
        <v>0</v>
      </c>
      <c r="EP396">
        <v>0</v>
      </c>
    </row>
    <row r="397" spans="1:146" ht="156" x14ac:dyDescent="0.25">
      <c r="A397" s="7" t="s">
        <v>6528</v>
      </c>
      <c r="B397" s="7" t="s">
        <v>6389</v>
      </c>
      <c r="C397" s="7" t="str">
        <f>"公司,一家于2012年1月19日在开曼群岛注册成立的获豁免有限公司,公司是中国领先的技术驱动的供应链解决方案及物流服务商。公司通过科技赋能提供全方位的覆盖各个业务领域的供应链解决方案和优质物流服务,从仓储到配送,从制造端到终端客户,涵盖普通和特殊物品。"&amp;CHAR(10)&amp;Basic_Fundamental_Information_Constructure(F397)&amp;CHAR(10)&amp;Basic_Fundamental_Information_Concatenate("其他客户 241.88亿 51.25
一体化供应链客户 230.12亿 48.75")</f>
        <v>公司,一家于2012年1月19日在开曼群岛注册成立的获豁免有限公司,公司是中国领先的技术驱动的供应链解决方案及物流服务商。公司通过科技赋能提供全方位的覆盖各个业务领域的供应链解决方案和优质物流服务,从仓储到配送,从制造端到终端客户,涵盖普通和特殊物品。
市值514.31042亿, 利润-15.76亿; PE; 平均PE-175.85; 平均PEG-35.36, PB1; ROIC4.74%; ROE-22.38%; 股利率0%; 毛利7.15%; 净利-7.0833%; 上一年度营收增20.91%, 利润增91.88%; 当季营收增24.45%, 利润增33.86%; 过往5年营收增4.97%, 利润增68.18%
Income profile:
其他客户 241.88亿 51.25
一体化供应链客户 230.12亿 48.75</v>
      </c>
      <c r="D397" s="11">
        <v>2618</v>
      </c>
      <c r="E397" t="s">
        <v>5056</v>
      </c>
      <c r="F397">
        <v>7.77</v>
      </c>
      <c r="G397" s="5">
        <v>1.5699999999999999E-2</v>
      </c>
      <c r="H397" t="s">
        <v>6476</v>
      </c>
      <c r="I397">
        <v>51431042000</v>
      </c>
      <c r="K397">
        <v>1</v>
      </c>
      <c r="L397" t="s">
        <v>6350</v>
      </c>
      <c r="M397" t="s">
        <v>9</v>
      </c>
      <c r="N397" t="s">
        <v>9</v>
      </c>
      <c r="O397" t="s">
        <v>5057</v>
      </c>
      <c r="P397">
        <v>34.28</v>
      </c>
      <c r="Q397" t="s">
        <v>5058</v>
      </c>
      <c r="R397">
        <v>-1130244970</v>
      </c>
      <c r="S397" s="5">
        <v>0.33860000000000001</v>
      </c>
      <c r="T397" t="s">
        <v>5059</v>
      </c>
      <c r="U397">
        <v>6604681800</v>
      </c>
      <c r="V397">
        <v>6604681800</v>
      </c>
      <c r="W397" t="s">
        <v>9</v>
      </c>
      <c r="X397">
        <v>0.34</v>
      </c>
      <c r="Y397">
        <v>-2.76</v>
      </c>
      <c r="Z397" t="s">
        <v>1544</v>
      </c>
      <c r="AA397" t="s">
        <v>5060</v>
      </c>
      <c r="AB397" t="s">
        <v>5061</v>
      </c>
      <c r="AC397" t="s">
        <v>5062</v>
      </c>
      <c r="AD397" t="s">
        <v>5063</v>
      </c>
      <c r="AE397" t="s">
        <v>9</v>
      </c>
      <c r="AF397" t="s">
        <v>9</v>
      </c>
      <c r="AG397" t="s">
        <v>9</v>
      </c>
      <c r="AH397" t="s">
        <v>5064</v>
      </c>
      <c r="AI397" t="s">
        <v>9</v>
      </c>
      <c r="AJ397" t="s">
        <v>9</v>
      </c>
      <c r="AK397" t="s">
        <v>5065</v>
      </c>
      <c r="AL397" t="s">
        <v>9</v>
      </c>
      <c r="AM397" t="s">
        <v>9</v>
      </c>
      <c r="AN397" s="5">
        <v>0.50129999999999997</v>
      </c>
      <c r="AO397" t="s">
        <v>9</v>
      </c>
      <c r="AP397" t="s">
        <v>5066</v>
      </c>
      <c r="AQ397" t="s">
        <v>9</v>
      </c>
      <c r="AR397" t="s">
        <v>5067</v>
      </c>
      <c r="AS397" t="s">
        <v>9</v>
      </c>
      <c r="AT397" t="s">
        <v>9</v>
      </c>
      <c r="AU397" t="s">
        <v>5068</v>
      </c>
      <c r="AV397" t="s">
        <v>5069</v>
      </c>
      <c r="AW397" t="s">
        <v>9</v>
      </c>
      <c r="AX397" t="s">
        <v>5070</v>
      </c>
      <c r="AY397" t="s">
        <v>5071</v>
      </c>
      <c r="AZ397" t="s">
        <v>5072</v>
      </c>
      <c r="BA397" t="s">
        <v>5073</v>
      </c>
      <c r="BB397" t="s">
        <v>9</v>
      </c>
      <c r="BC397" t="s">
        <v>5074</v>
      </c>
      <c r="BD397" t="s">
        <v>5075</v>
      </c>
      <c r="BE397" t="s">
        <v>9</v>
      </c>
      <c r="BF397" t="s">
        <v>9</v>
      </c>
      <c r="BG397" t="s">
        <v>9</v>
      </c>
      <c r="BH397" t="s">
        <v>5058</v>
      </c>
      <c r="BI397" t="s">
        <v>5076</v>
      </c>
      <c r="BJ397" t="s">
        <v>5070</v>
      </c>
      <c r="BK397" t="s">
        <v>5059</v>
      </c>
      <c r="BL397" t="s">
        <v>5077</v>
      </c>
      <c r="BM397" t="s">
        <v>5074</v>
      </c>
      <c r="BN397">
        <v>-3.07</v>
      </c>
      <c r="BO397">
        <v>-96.61</v>
      </c>
      <c r="BP397">
        <v>113.9</v>
      </c>
      <c r="BQ397">
        <v>-3</v>
      </c>
      <c r="BR397">
        <v>-41.76</v>
      </c>
      <c r="BS397" t="s">
        <v>9</v>
      </c>
      <c r="BT397" t="s">
        <v>9</v>
      </c>
      <c r="BU397" t="s">
        <v>5078</v>
      </c>
      <c r="BV397">
        <v>7.35</v>
      </c>
      <c r="BW397">
        <v>5.52</v>
      </c>
      <c r="BX397">
        <v>8.58</v>
      </c>
      <c r="BY397">
        <v>-0.79</v>
      </c>
      <c r="BZ397">
        <v>-14.96</v>
      </c>
      <c r="CA397">
        <v>-5.5</v>
      </c>
      <c r="CB397">
        <v>-1.27</v>
      </c>
      <c r="CC397">
        <v>-8.3699999999999992</v>
      </c>
      <c r="CD397" t="s">
        <v>6477</v>
      </c>
      <c r="CE397" t="s">
        <v>249</v>
      </c>
      <c r="CF397" s="8">
        <v>0.24452284248910497</v>
      </c>
      <c r="CG397" s="9">
        <v>0.33860000000000001</v>
      </c>
      <c r="CH397" s="8">
        <v>0.20910000801086426</v>
      </c>
      <c r="CI397" s="8">
        <v>0.46586248278617859</v>
      </c>
      <c r="CJ397" s="8">
        <v>0.56996673345565796</v>
      </c>
      <c r="CK397" s="8">
        <v>0.29177013039588928</v>
      </c>
      <c r="CL397" s="8" t="s">
        <v>9</v>
      </c>
      <c r="CM397" s="9">
        <v>0.91875451803207397</v>
      </c>
      <c r="CN397" s="9">
        <v>-2.9370813369750977</v>
      </c>
      <c r="CO397" s="9" t="s">
        <v>9</v>
      </c>
      <c r="CP397" s="9" t="s">
        <v>9</v>
      </c>
      <c r="CQ397" s="9" t="s">
        <v>9</v>
      </c>
      <c r="CR397">
        <v>-175.84972623832985</v>
      </c>
      <c r="CS397">
        <v>-35.358374696560837</v>
      </c>
      <c r="CT397">
        <v>0</v>
      </c>
      <c r="CU397" s="8">
        <v>4.9733543395996095E-2</v>
      </c>
      <c r="CV397" s="9">
        <v>0.68175599277019505</v>
      </c>
      <c r="CW397">
        <v>0.06</v>
      </c>
      <c r="CX397" t="e">
        <v>#VALUE!</v>
      </c>
      <c r="CY397" t="s">
        <v>109</v>
      </c>
      <c r="CZ397">
        <v>4.9733543395996095E-2</v>
      </c>
      <c r="DA397" t="e">
        <v>#VALUE!</v>
      </c>
      <c r="DB397" t="s">
        <v>108</v>
      </c>
      <c r="DC397">
        <v>4.7246866226196289E-2</v>
      </c>
      <c r="DD397" t="e">
        <v>#VALUE!</v>
      </c>
      <c r="DE397" t="s">
        <v>108</v>
      </c>
      <c r="DF397">
        <v>4.3765518188476564E-2</v>
      </c>
      <c r="DG397" t="e">
        <v>#VALUE!</v>
      </c>
      <c r="DH397" t="s">
        <v>108</v>
      </c>
      <c r="DI397">
        <v>3.9786834716796879E-2</v>
      </c>
      <c r="DJ397" t="e">
        <v>#VALUE!</v>
      </c>
      <c r="DK397" t="s">
        <v>108</v>
      </c>
      <c r="DL397">
        <v>3.4813480377197267E-2</v>
      </c>
      <c r="DM397">
        <v>-1576000000</v>
      </c>
      <c r="DN397">
        <v>4.9733543395996095E-2</v>
      </c>
      <c r="DO397">
        <v>51431042000</v>
      </c>
      <c r="DP397" t="e">
        <v>#VALUE!</v>
      </c>
      <c r="DQ397">
        <v>401</v>
      </c>
      <c r="DR397">
        <v>0.19478929909310888</v>
      </c>
      <c r="DS397">
        <v>-0.34315599277019504</v>
      </c>
      <c r="DT397">
        <v>-0.14000000000000001</v>
      </c>
      <c r="DU397">
        <v>0.42833333333333329</v>
      </c>
      <c r="DV397">
        <v>0.28833333333333327</v>
      </c>
      <c r="DW397">
        <v>-2.0836999999999999</v>
      </c>
      <c r="DX397">
        <v>0.69500052631578857</v>
      </c>
      <c r="DY397">
        <v>-2.0129735440526315</v>
      </c>
      <c r="DZ397">
        <v>0</v>
      </c>
      <c r="EA397">
        <v>-2.0129735440526315</v>
      </c>
      <c r="EB397">
        <v>2</v>
      </c>
      <c r="EC397">
        <v>4.4589733301004754E-3</v>
      </c>
      <c r="ED397">
        <v>2.876747218919767E-2</v>
      </c>
      <c r="EE397">
        <v>0</v>
      </c>
      <c r="EF397">
        <v>0</v>
      </c>
      <c r="EG397">
        <v>54.155000526315789</v>
      </c>
      <c r="EH397" t="s">
        <v>110</v>
      </c>
      <c r="EI397">
        <v>0</v>
      </c>
      <c r="EJ397">
        <v>0</v>
      </c>
      <c r="EK397">
        <v>0</v>
      </c>
      <c r="EL397">
        <v>0</v>
      </c>
      <c r="EM397">
        <v>0</v>
      </c>
      <c r="EN397">
        <v>0</v>
      </c>
      <c r="EO397">
        <v>0</v>
      </c>
      <c r="EP397">
        <v>0</v>
      </c>
    </row>
    <row r="398" spans="1:146" ht="96" x14ac:dyDescent="0.25">
      <c r="A398" s="7"/>
      <c r="B398" s="7"/>
      <c r="C398" s="7" t="str">
        <f>""&amp;CHAR(10)&amp;Basic_Fundamental_Information_Constructure(F398)&amp;CHAR(10)&amp;Basic_Fundamental_Information_Concatenate("")</f>
        <v xml:space="preserve">
市值3143.0352亿, 利润506.24亿; PE6.71; 平均PE32.96; 平均PEG15.02, PB.607; ROIC0%; ROE9.2267%; 毛利0%; 净利8.1033%; 上一年度营收增-9.67%, 利润增-18.56%; 当季营收增-69.26%, 利润增-14.44%; 过往5年营收增2.2%, 利润增47.57%
Income profile:
</v>
      </c>
      <c r="D398" s="11">
        <v>2628</v>
      </c>
      <c r="E398" t="s">
        <v>5079</v>
      </c>
      <c r="F398">
        <v>11.12</v>
      </c>
      <c r="G398" s="5">
        <v>-2.2800000000000001E-2</v>
      </c>
      <c r="H398" t="s">
        <v>11378</v>
      </c>
      <c r="I398">
        <v>314303520000</v>
      </c>
      <c r="J398">
        <v>6.71</v>
      </c>
      <c r="K398">
        <v>0.60699999999999998</v>
      </c>
      <c r="L398" t="s">
        <v>6350</v>
      </c>
      <c r="M398" t="s">
        <v>11379</v>
      </c>
      <c r="N398" t="s">
        <v>11380</v>
      </c>
      <c r="O398" t="s">
        <v>11381</v>
      </c>
      <c r="P398" t="s">
        <v>9</v>
      </c>
      <c r="Q398" t="s">
        <v>11382</v>
      </c>
      <c r="R398">
        <v>50623612000</v>
      </c>
      <c r="S398" s="5">
        <v>-0.1444</v>
      </c>
      <c r="T398" t="s">
        <v>11383</v>
      </c>
      <c r="U398">
        <v>7441175000</v>
      </c>
      <c r="V398">
        <v>28264705000</v>
      </c>
      <c r="W398">
        <v>12.64</v>
      </c>
      <c r="X398">
        <v>0.02</v>
      </c>
      <c r="Y398">
        <v>22.25</v>
      </c>
      <c r="Z398" t="s">
        <v>9</v>
      </c>
      <c r="AA398" t="s">
        <v>9</v>
      </c>
      <c r="AB398" t="s">
        <v>9</v>
      </c>
      <c r="AC398" t="s">
        <v>9</v>
      </c>
      <c r="AD398" t="s">
        <v>9</v>
      </c>
      <c r="AE398" t="s">
        <v>11384</v>
      </c>
      <c r="AF398" t="s">
        <v>11385</v>
      </c>
      <c r="AG398" t="s">
        <v>5846</v>
      </c>
      <c r="AH398" t="s">
        <v>11386</v>
      </c>
      <c r="AI398" t="s">
        <v>11387</v>
      </c>
      <c r="AJ398" t="s">
        <v>9</v>
      </c>
      <c r="AK398" t="s">
        <v>11388</v>
      </c>
      <c r="AL398" t="s">
        <v>9</v>
      </c>
      <c r="AM398" t="s">
        <v>11389</v>
      </c>
      <c r="AN398" s="5">
        <v>0.91920000000000002</v>
      </c>
      <c r="AO398" t="s">
        <v>9</v>
      </c>
      <c r="AP398" t="s">
        <v>9</v>
      </c>
      <c r="AQ398" t="s">
        <v>9</v>
      </c>
      <c r="AR398" t="s">
        <v>9</v>
      </c>
      <c r="AS398" t="s">
        <v>9</v>
      </c>
      <c r="AT398" t="s">
        <v>9</v>
      </c>
      <c r="AU398" t="s">
        <v>11390</v>
      </c>
      <c r="AV398" t="s">
        <v>11391</v>
      </c>
      <c r="AW398" t="s">
        <v>11392</v>
      </c>
      <c r="AX398" t="s">
        <v>11393</v>
      </c>
      <c r="AY398" t="s">
        <v>5081</v>
      </c>
      <c r="AZ398" t="s">
        <v>5082</v>
      </c>
      <c r="BA398" t="s">
        <v>5083</v>
      </c>
      <c r="BB398" t="s">
        <v>5084</v>
      </c>
      <c r="BC398" t="s">
        <v>11394</v>
      </c>
      <c r="BD398" t="s">
        <v>5085</v>
      </c>
      <c r="BE398" t="s">
        <v>5086</v>
      </c>
      <c r="BF398" t="s">
        <v>5087</v>
      </c>
      <c r="BG398" t="s">
        <v>5088</v>
      </c>
      <c r="BH398" t="s">
        <v>11393</v>
      </c>
      <c r="BI398" t="s">
        <v>5089</v>
      </c>
      <c r="BJ398" t="s">
        <v>5081</v>
      </c>
      <c r="BK398" t="s">
        <v>5080</v>
      </c>
      <c r="BL398" t="s">
        <v>11395</v>
      </c>
      <c r="BM398" t="s">
        <v>11394</v>
      </c>
      <c r="BN398" t="s">
        <v>9</v>
      </c>
      <c r="BO398" t="s">
        <v>9</v>
      </c>
      <c r="BP398" t="s">
        <v>9</v>
      </c>
      <c r="BQ398">
        <v>9.68</v>
      </c>
      <c r="BR398">
        <v>7.36</v>
      </c>
      <c r="BS398">
        <v>10.64</v>
      </c>
      <c r="BT398" t="s">
        <v>11396</v>
      </c>
      <c r="BU398" t="s">
        <v>2704</v>
      </c>
      <c r="BV398" t="s">
        <v>9</v>
      </c>
      <c r="BW398" t="s">
        <v>9</v>
      </c>
      <c r="BX398" t="s">
        <v>9</v>
      </c>
      <c r="BY398">
        <v>13.79</v>
      </c>
      <c r="BZ398">
        <v>4.17</v>
      </c>
      <c r="CA398">
        <v>6.35</v>
      </c>
      <c r="CB398">
        <v>-2.2799999999999998</v>
      </c>
      <c r="CC398">
        <v>-4.47</v>
      </c>
      <c r="CD398" t="s">
        <v>1188</v>
      </c>
      <c r="CE398" t="s">
        <v>1756</v>
      </c>
      <c r="CF398" s="8">
        <v>-0.69260000566470603</v>
      </c>
      <c r="CG398" s="9">
        <v>-0.1444</v>
      </c>
      <c r="CH398" s="8">
        <v>-9.6701972186565399E-2</v>
      </c>
      <c r="CI398" s="8">
        <v>-0.58582758903503418</v>
      </c>
      <c r="CJ398" s="8">
        <v>5.2725397050380707E-2</v>
      </c>
      <c r="CK398" s="8">
        <v>0.34317785501480103</v>
      </c>
      <c r="CL398" s="8">
        <v>-7.3820464313030243E-2</v>
      </c>
      <c r="CM398" s="9">
        <v>-0.18562491238117218</v>
      </c>
      <c r="CN398" s="9">
        <v>3.7762299180030823E-2</v>
      </c>
      <c r="CO398" s="9">
        <v>-8.0370292067527771E-2</v>
      </c>
      <c r="CP398" s="9">
        <v>4.0205025672912598</v>
      </c>
      <c r="CQ398" s="9">
        <v>-0.66447710990905762</v>
      </c>
      <c r="CR398">
        <v>32.962561745118947</v>
      </c>
      <c r="CS398">
        <v>15.01513353410793</v>
      </c>
      <c r="CT398" t="e">
        <v>#VALUE!</v>
      </c>
      <c r="CU398" s="8">
        <v>2.1952892839908599E-2</v>
      </c>
      <c r="CV398" s="9">
        <v>0.47570545896887778</v>
      </c>
      <c r="CW398">
        <v>0.06</v>
      </c>
      <c r="CX398">
        <v>118.91083512897282</v>
      </c>
      <c r="CY398">
        <v>48806927591.629753</v>
      </c>
      <c r="CZ398">
        <v>2.1952892839908599E-2</v>
      </c>
      <c r="DA398">
        <v>41.18164024292161</v>
      </c>
      <c r="DB398">
        <v>140928639213.13934</v>
      </c>
      <c r="DC398">
        <v>2.0855248197913168E-2</v>
      </c>
      <c r="DD398">
        <v>21.86308564852871</v>
      </c>
      <c r="DE398">
        <v>265455325625.11649</v>
      </c>
      <c r="DF398">
        <v>1.9318545699119567E-2</v>
      </c>
      <c r="DG398">
        <v>14.254649178988107</v>
      </c>
      <c r="DH398">
        <v>407142431015.0567</v>
      </c>
      <c r="DI398">
        <v>1.7562314271926879E-2</v>
      </c>
      <c r="DJ398">
        <v>8.7338539211142692</v>
      </c>
      <c r="DK398">
        <v>664503044408.55188</v>
      </c>
      <c r="DL398">
        <v>1.5367024987936018E-2</v>
      </c>
      <c r="DM398">
        <v>50624000000</v>
      </c>
      <c r="DN398">
        <v>2.1952892839908599E-2</v>
      </c>
      <c r="DO398">
        <v>5803672520000</v>
      </c>
      <c r="DP398" t="e">
        <v>#VALUE!</v>
      </c>
      <c r="DQ398">
        <v>397</v>
      </c>
      <c r="DR398">
        <v>-0.71455289850461468</v>
      </c>
      <c r="DS398">
        <v>-0.62010545896887781</v>
      </c>
      <c r="DT398">
        <v>-0.47333333333333333</v>
      </c>
      <c r="DU398">
        <v>0.71833333333333327</v>
      </c>
      <c r="DV398">
        <v>0.24499999999999994</v>
      </c>
      <c r="DW398">
        <v>-1.0447</v>
      </c>
      <c r="DX398">
        <v>0.42256493506493625</v>
      </c>
      <c r="DY398">
        <v>-1.0054786525974027</v>
      </c>
      <c r="DZ398">
        <v>0</v>
      </c>
      <c r="EA398">
        <v>-1.0054786525974027</v>
      </c>
      <c r="EB398">
        <v>1</v>
      </c>
      <c r="EC398">
        <v>5.3423518837362712E-3</v>
      </c>
      <c r="ED398">
        <v>4.3587930601080037E-2</v>
      </c>
      <c r="EE398">
        <v>0</v>
      </c>
      <c r="EF398">
        <v>0</v>
      </c>
      <c r="EG398">
        <v>30.122564935064936</v>
      </c>
      <c r="EH398" t="s">
        <v>110</v>
      </c>
      <c r="EI398">
        <v>0</v>
      </c>
      <c r="EJ398">
        <v>0</v>
      </c>
      <c r="EK398">
        <v>0</v>
      </c>
      <c r="EL398">
        <v>0</v>
      </c>
      <c r="EM398">
        <v>0</v>
      </c>
      <c r="EN398">
        <v>0</v>
      </c>
      <c r="EO398">
        <v>0</v>
      </c>
      <c r="EP398">
        <v>0</v>
      </c>
    </row>
    <row r="399" spans="1:146" ht="96" x14ac:dyDescent="0.25">
      <c r="A399" s="7"/>
      <c r="B399" s="7"/>
      <c r="C399" s="7" t="str">
        <f>""&amp;CHAR(10)&amp;Basic_Fundamental_Information_Constructure(F399)&amp;CHAR(10)&amp;Basic_Fundamental_Information_Concatenate("")</f>
        <v xml:space="preserve">
市值80.012128亿, 利润22.15亿; PE3.61; 平均PE15.57; 平均PEG.98, PB.466; ROIC3.2767%; ROE13.4767%; 股利率0%; 毛利37.8367%; 净利18.0367%; 上一年度营收增9.86%, 利润增-1.42%, 利润增3.99%; 过往5年营收增15.97%, 利润增-23.42%
Income profile:
</v>
      </c>
      <c r="D399" s="11">
        <v>2666</v>
      </c>
      <c r="E399" t="s">
        <v>5090</v>
      </c>
      <c r="F399">
        <v>4.2300000000000004</v>
      </c>
      <c r="G399" s="5">
        <v>-1.17E-2</v>
      </c>
      <c r="H399" t="s">
        <v>11397</v>
      </c>
      <c r="I399">
        <v>8001212800</v>
      </c>
      <c r="J399">
        <v>3.61</v>
      </c>
      <c r="K399">
        <v>0.46600000000000003</v>
      </c>
      <c r="L399" t="s">
        <v>6350</v>
      </c>
      <c r="M399" t="s">
        <v>9</v>
      </c>
      <c r="N399" t="s">
        <v>9</v>
      </c>
      <c r="O399" t="s">
        <v>9</v>
      </c>
      <c r="P399" t="s">
        <v>9</v>
      </c>
      <c r="Q399" t="s">
        <v>11398</v>
      </c>
      <c r="R399">
        <v>2215330300</v>
      </c>
      <c r="S399" s="5">
        <v>3.9899999999999998E-2</v>
      </c>
      <c r="T399" t="s">
        <v>6325</v>
      </c>
      <c r="U399">
        <v>1891539700</v>
      </c>
      <c r="V399">
        <v>1891539700</v>
      </c>
      <c r="W399" t="s">
        <v>9</v>
      </c>
      <c r="X399" t="s">
        <v>9</v>
      </c>
      <c r="Y399" t="s">
        <v>9</v>
      </c>
      <c r="Z399" t="s">
        <v>9</v>
      </c>
      <c r="AA399" t="s">
        <v>9</v>
      </c>
      <c r="AB399" t="s">
        <v>9</v>
      </c>
      <c r="AC399" t="s">
        <v>9</v>
      </c>
      <c r="AD399" t="s">
        <v>11399</v>
      </c>
      <c r="AE399" t="s">
        <v>9</v>
      </c>
      <c r="AF399" t="s">
        <v>9</v>
      </c>
      <c r="AG399" t="s">
        <v>9</v>
      </c>
      <c r="AH399" t="s">
        <v>11400</v>
      </c>
      <c r="AI399" t="s">
        <v>9</v>
      </c>
      <c r="AJ399" t="s">
        <v>9</v>
      </c>
      <c r="AK399" t="s">
        <v>11401</v>
      </c>
      <c r="AL399" t="s">
        <v>9</v>
      </c>
      <c r="AM399" t="s">
        <v>9</v>
      </c>
      <c r="AN399" s="5">
        <v>0.74650000000000005</v>
      </c>
      <c r="AO399" t="s">
        <v>9</v>
      </c>
      <c r="AP399" t="s">
        <v>4873</v>
      </c>
      <c r="AQ399" t="s">
        <v>9</v>
      </c>
      <c r="AR399" t="s">
        <v>11402</v>
      </c>
      <c r="AS399" t="s">
        <v>9</v>
      </c>
      <c r="AT399" t="s">
        <v>9</v>
      </c>
      <c r="AU399" t="s">
        <v>11403</v>
      </c>
      <c r="AV399" t="s">
        <v>11404</v>
      </c>
      <c r="AW399" t="s">
        <v>9</v>
      </c>
      <c r="AX399" t="s">
        <v>11405</v>
      </c>
      <c r="AY399" t="s">
        <v>5092</v>
      </c>
      <c r="AZ399" t="s">
        <v>5093</v>
      </c>
      <c r="BA399" t="s">
        <v>5094</v>
      </c>
      <c r="BB399" t="s">
        <v>5095</v>
      </c>
      <c r="BC399" t="s">
        <v>4421</v>
      </c>
      <c r="BD399" t="s">
        <v>4682</v>
      </c>
      <c r="BE399" t="s">
        <v>5096</v>
      </c>
      <c r="BF399" t="s">
        <v>904</v>
      </c>
      <c r="BG399" t="s">
        <v>3981</v>
      </c>
      <c r="BH399" t="s">
        <v>11405</v>
      </c>
      <c r="BI399" t="s">
        <v>9</v>
      </c>
      <c r="BJ399" t="s">
        <v>5092</v>
      </c>
      <c r="BK399" t="s">
        <v>2463</v>
      </c>
      <c r="BL399" t="s">
        <v>9</v>
      </c>
      <c r="BM399" t="s">
        <v>4421</v>
      </c>
      <c r="BN399">
        <v>3.25</v>
      </c>
      <c r="BO399">
        <v>3.2</v>
      </c>
      <c r="BP399">
        <v>3.38</v>
      </c>
      <c r="BQ399">
        <v>12.89</v>
      </c>
      <c r="BR399">
        <v>13.53</v>
      </c>
      <c r="BS399">
        <v>14.01</v>
      </c>
      <c r="BT399" t="s">
        <v>5097</v>
      </c>
      <c r="BU399" t="s">
        <v>826</v>
      </c>
      <c r="BV399">
        <v>33.49</v>
      </c>
      <c r="BW399">
        <v>37.659999999999997</v>
      </c>
      <c r="BX399">
        <v>42.36</v>
      </c>
      <c r="BY399">
        <v>16.11</v>
      </c>
      <c r="BZ399">
        <v>17.52</v>
      </c>
      <c r="CA399">
        <v>20.48</v>
      </c>
      <c r="CB399">
        <v>-1.17</v>
      </c>
      <c r="CC399">
        <v>-10.19</v>
      </c>
      <c r="CD399" t="s">
        <v>11406</v>
      </c>
      <c r="CE399" t="s">
        <v>2263</v>
      </c>
      <c r="CF399" s="8" t="s">
        <v>9</v>
      </c>
      <c r="CG399" s="9">
        <v>3.9899999999999998E-2</v>
      </c>
      <c r="CH399" s="8">
        <v>9.8605036735534668E-2</v>
      </c>
      <c r="CI399" s="8">
        <v>0.12191099673509598</v>
      </c>
      <c r="CJ399" s="8">
        <v>0.19535249471664429</v>
      </c>
      <c r="CK399" s="8">
        <v>1.0760424137115479</v>
      </c>
      <c r="CL399" s="8">
        <v>0.19346186518669128</v>
      </c>
      <c r="CM399" s="9">
        <v>-1.424121018499136E-2</v>
      </c>
      <c r="CN399" s="9">
        <v>0.14409372210502625</v>
      </c>
      <c r="CO399" s="9">
        <v>0.18028846383094788</v>
      </c>
      <c r="CP399" s="9">
        <v>8.0519482493400574E-2</v>
      </c>
      <c r="CQ399" s="9">
        <v>0.1183733269572258</v>
      </c>
      <c r="CR399">
        <v>15.566561867704278</v>
      </c>
      <c r="CS399">
        <v>0.97502316829847635</v>
      </c>
      <c r="CT399">
        <v>0</v>
      </c>
      <c r="CU399" s="8">
        <v>0.15965325105935335</v>
      </c>
      <c r="CV399" s="9">
        <v>-0.23418755531311036</v>
      </c>
      <c r="CW399">
        <v>0.06</v>
      </c>
      <c r="CX399">
        <v>3.3018687493860721</v>
      </c>
      <c r="CY399">
        <v>2423237689.7136488</v>
      </c>
      <c r="CZ399">
        <v>0.15965325105935335</v>
      </c>
      <c r="DA399">
        <v>1.0177020030264019</v>
      </c>
      <c r="DB399">
        <v>7862038962.4922724</v>
      </c>
      <c r="DC399">
        <v>0.15167058850638568</v>
      </c>
      <c r="DD399">
        <v>0.46236748733086114</v>
      </c>
      <c r="DE399">
        <v>17304877655.19397</v>
      </c>
      <c r="DF399">
        <v>0.14049486093223096</v>
      </c>
      <c r="DG399">
        <v>0.25293137030166407</v>
      </c>
      <c r="DH399">
        <v>31633928169.752846</v>
      </c>
      <c r="DI399">
        <v>0.12772260084748269</v>
      </c>
      <c r="DJ399">
        <v>0.10545627282144145</v>
      </c>
      <c r="DK399">
        <v>75872326851.031921</v>
      </c>
      <c r="DL399">
        <v>0.11175727574154734</v>
      </c>
      <c r="DM399">
        <v>2215000000</v>
      </c>
      <c r="DN399">
        <v>0.15965325105935335</v>
      </c>
      <c r="DO399">
        <v>8001212800</v>
      </c>
      <c r="DP399" t="e">
        <v>#VALUE!</v>
      </c>
      <c r="DQ399">
        <v>398</v>
      </c>
      <c r="DR399" t="e">
        <v>#VALUE!</v>
      </c>
      <c r="DS399">
        <v>0.27408755531311035</v>
      </c>
      <c r="DT399" t="e">
        <v>#VALUE!</v>
      </c>
      <c r="DU399" t="e">
        <v>#VALUE!</v>
      </c>
      <c r="DV399" t="e">
        <v>#VALUE!</v>
      </c>
      <c r="DW399">
        <v>-2.1019000000000001</v>
      </c>
      <c r="DX399">
        <v>0.33563760683760635</v>
      </c>
      <c r="DY399">
        <v>-2.0077074721367523</v>
      </c>
      <c r="DZ399">
        <v>0</v>
      </c>
      <c r="EA399">
        <v>-2.0077074721367523</v>
      </c>
      <c r="EB399">
        <v>2</v>
      </c>
      <c r="EC399">
        <v>9.3570333205271871E-3</v>
      </c>
      <c r="ED399">
        <v>0.12370874372872005</v>
      </c>
      <c r="EE399">
        <v>0</v>
      </c>
      <c r="EF399">
        <v>0</v>
      </c>
      <c r="EG399">
        <v>26.075637606837606</v>
      </c>
      <c r="EH399" t="s">
        <v>110</v>
      </c>
      <c r="EI399">
        <v>0</v>
      </c>
      <c r="EJ399">
        <v>0</v>
      </c>
      <c r="EK399">
        <v>0</v>
      </c>
      <c r="EL399">
        <v>0</v>
      </c>
      <c r="EM399">
        <v>0</v>
      </c>
      <c r="EN399">
        <v>0</v>
      </c>
      <c r="EO399">
        <v>0</v>
      </c>
      <c r="EP399">
        <v>0</v>
      </c>
    </row>
    <row r="400" spans="1:146" ht="96" x14ac:dyDescent="0.25">
      <c r="A400" s="7"/>
      <c r="B400" s="7"/>
      <c r="C400" s="7" t="str">
        <f>""&amp;CHAR(10)&amp;Basic_Fundamental_Information_Constructure(F400)&amp;CHAR(10)&amp;Basic_Fundamental_Information_Concatenate("")</f>
        <v xml:space="preserve">
市值153.68935亿, 利润14.72亿; PE10.44; 平均PE50; 平均PEG11.7, PB3.4; ROIC37.5167%; ROE33.54%; 股利率0%; 毛利16.39%; 净利10.3%; 上一年度营收增16.35%, 利润增49.59%, 利润增19.29%; 过往5年营收增4.27%, 利润增48.47%
Income profile:
</v>
      </c>
      <c r="D400" s="11">
        <v>2669</v>
      </c>
      <c r="E400" t="s">
        <v>5098</v>
      </c>
      <c r="F400">
        <v>4.68</v>
      </c>
      <c r="G400" s="5">
        <v>-1.89E-2</v>
      </c>
      <c r="H400" t="s">
        <v>11407</v>
      </c>
      <c r="I400">
        <v>15368935000</v>
      </c>
      <c r="J400">
        <v>10.44</v>
      </c>
      <c r="K400">
        <v>3.4</v>
      </c>
      <c r="L400" t="s">
        <v>6350</v>
      </c>
      <c r="M400" t="s">
        <v>9</v>
      </c>
      <c r="N400" t="s">
        <v>9</v>
      </c>
      <c r="O400" t="s">
        <v>9</v>
      </c>
      <c r="P400" t="s">
        <v>9</v>
      </c>
      <c r="Q400" t="s">
        <v>11408</v>
      </c>
      <c r="R400">
        <v>1471651800</v>
      </c>
      <c r="S400" s="5">
        <v>0.19289999999999999</v>
      </c>
      <c r="T400" t="s">
        <v>7853</v>
      </c>
      <c r="U400">
        <v>3286860500</v>
      </c>
      <c r="V400">
        <v>3286860500</v>
      </c>
      <c r="W400" t="s">
        <v>9</v>
      </c>
      <c r="X400" t="s">
        <v>9</v>
      </c>
      <c r="Y400" t="s">
        <v>9</v>
      </c>
      <c r="Z400" t="s">
        <v>9</v>
      </c>
      <c r="AA400" t="s">
        <v>9</v>
      </c>
      <c r="AB400" t="s">
        <v>9</v>
      </c>
      <c r="AC400" t="s">
        <v>9</v>
      </c>
      <c r="AD400" t="s">
        <v>9</v>
      </c>
      <c r="AE400" t="s">
        <v>9</v>
      </c>
      <c r="AF400" t="s">
        <v>9</v>
      </c>
      <c r="AG400" t="s">
        <v>9</v>
      </c>
      <c r="AH400" t="s">
        <v>11409</v>
      </c>
      <c r="AI400" t="s">
        <v>9</v>
      </c>
      <c r="AJ400" t="s">
        <v>9</v>
      </c>
      <c r="AK400" t="s">
        <v>11410</v>
      </c>
      <c r="AL400" t="s">
        <v>9</v>
      </c>
      <c r="AM400" t="s">
        <v>9</v>
      </c>
      <c r="AN400" s="5">
        <v>0.60629999999999995</v>
      </c>
      <c r="AO400" t="s">
        <v>9</v>
      </c>
      <c r="AP400" t="s">
        <v>4895</v>
      </c>
      <c r="AQ400" t="s">
        <v>9</v>
      </c>
      <c r="AR400" t="s">
        <v>11411</v>
      </c>
      <c r="AS400" t="s">
        <v>9</v>
      </c>
      <c r="AT400" t="s">
        <v>9</v>
      </c>
      <c r="AU400" t="s">
        <v>92</v>
      </c>
      <c r="AV400" t="s">
        <v>2339</v>
      </c>
      <c r="AW400" t="s">
        <v>9</v>
      </c>
      <c r="AX400" t="s">
        <v>11412</v>
      </c>
      <c r="AY400" t="s">
        <v>5099</v>
      </c>
      <c r="AZ400" t="s">
        <v>5100</v>
      </c>
      <c r="BA400" t="s">
        <v>5102</v>
      </c>
      <c r="BB400" t="s">
        <v>5103</v>
      </c>
      <c r="BC400" t="s">
        <v>2766</v>
      </c>
      <c r="BD400" t="s">
        <v>5104</v>
      </c>
      <c r="BE400" t="s">
        <v>5105</v>
      </c>
      <c r="BF400" t="s">
        <v>2104</v>
      </c>
      <c r="BG400" t="s">
        <v>144</v>
      </c>
      <c r="BH400" t="s">
        <v>11412</v>
      </c>
      <c r="BI400" t="s">
        <v>9</v>
      </c>
      <c r="BJ400" t="s">
        <v>5099</v>
      </c>
      <c r="BK400" t="s">
        <v>11413</v>
      </c>
      <c r="BL400" t="s">
        <v>9</v>
      </c>
      <c r="BM400" t="s">
        <v>2766</v>
      </c>
      <c r="BN400">
        <v>36.21</v>
      </c>
      <c r="BO400">
        <v>38.119999999999997</v>
      </c>
      <c r="BP400">
        <v>38.22</v>
      </c>
      <c r="BQ400">
        <v>32.57</v>
      </c>
      <c r="BR400">
        <v>35.25</v>
      </c>
      <c r="BS400">
        <v>32.799999999999997</v>
      </c>
      <c r="BT400" t="s">
        <v>3516</v>
      </c>
      <c r="BU400" t="s">
        <v>410</v>
      </c>
      <c r="BV400">
        <v>15.86</v>
      </c>
      <c r="BW400">
        <v>15.92</v>
      </c>
      <c r="BX400">
        <v>17.39</v>
      </c>
      <c r="BY400">
        <v>10.36</v>
      </c>
      <c r="BZ400">
        <v>10.09</v>
      </c>
      <c r="CA400">
        <v>10.45</v>
      </c>
      <c r="CB400">
        <v>-4.78</v>
      </c>
      <c r="CC400">
        <v>-9.39</v>
      </c>
      <c r="CD400" t="s">
        <v>11414</v>
      </c>
      <c r="CE400" t="s">
        <v>1539</v>
      </c>
      <c r="CF400" s="8" t="s">
        <v>9</v>
      </c>
      <c r="CG400" s="9">
        <v>0.19289999999999999</v>
      </c>
      <c r="CH400" s="8">
        <v>0.16354919970035553</v>
      </c>
      <c r="CI400" s="8">
        <v>0.30226641893386841</v>
      </c>
      <c r="CJ400" s="8">
        <v>0.44262796640396118</v>
      </c>
      <c r="CK400" s="8">
        <v>0.56653904914855957</v>
      </c>
      <c r="CL400" s="8">
        <v>0.24419288337230682</v>
      </c>
      <c r="CM400" s="9">
        <v>0.49593496322631836</v>
      </c>
      <c r="CN400" s="9">
        <v>0.40571427345275879</v>
      </c>
      <c r="CO400" s="9">
        <v>0.3011152446269989</v>
      </c>
      <c r="CP400" s="9">
        <v>0.3349875807762146</v>
      </c>
      <c r="CQ400" s="9">
        <v>0.31270357966423035</v>
      </c>
      <c r="CR400">
        <v>50.002751914451309</v>
      </c>
      <c r="CS400">
        <v>11.700943299130381</v>
      </c>
      <c r="CT400">
        <v>0</v>
      </c>
      <c r="CU400" s="8">
        <v>4.2733949422836301E-2</v>
      </c>
      <c r="CV400" s="9">
        <v>0.48474032580852511</v>
      </c>
      <c r="CW400">
        <v>0.06</v>
      </c>
      <c r="CX400">
        <v>10.613736842977932</v>
      </c>
      <c r="CY400">
        <v>1448022993.9154856</v>
      </c>
      <c r="CZ400">
        <v>4.2733949422836301E-2</v>
      </c>
      <c r="DA400">
        <v>3.6108686002339572</v>
      </c>
      <c r="DB400">
        <v>4256298608.87328</v>
      </c>
      <c r="DC400">
        <v>4.0597251951694481E-2</v>
      </c>
      <c r="DD400">
        <v>1.8739285712297655</v>
      </c>
      <c r="DE400">
        <v>8201451878.1332941</v>
      </c>
      <c r="DF400">
        <v>3.7605875492095944E-2</v>
      </c>
      <c r="DG400">
        <v>1.1927095326619195</v>
      </c>
      <c r="DH400">
        <v>12885731671.565683</v>
      </c>
      <c r="DI400">
        <v>3.4187159538269042E-2</v>
      </c>
      <c r="DJ400">
        <v>0.69668888592314304</v>
      </c>
      <c r="DK400">
        <v>22059968675.451874</v>
      </c>
      <c r="DL400">
        <v>2.9913764595985409E-2</v>
      </c>
      <c r="DM400">
        <v>1472000000</v>
      </c>
      <c r="DN400">
        <v>4.2733949422836301E-2</v>
      </c>
      <c r="DO400">
        <v>15368935000</v>
      </c>
      <c r="DP400" t="e">
        <v>#VALUE!</v>
      </c>
      <c r="DQ400">
        <v>399</v>
      </c>
      <c r="DR400" t="e">
        <v>#VALUE!</v>
      </c>
      <c r="DS400">
        <v>-0.29184032580852515</v>
      </c>
      <c r="DT400" t="e">
        <v>#VALUE!</v>
      </c>
      <c r="DU400" t="e">
        <v>#VALUE!</v>
      </c>
      <c r="DV400" t="e">
        <v>#VALUE!</v>
      </c>
      <c r="DW400">
        <v>-8.5090521831735888</v>
      </c>
      <c r="DX400">
        <v>0.18522009029345454</v>
      </c>
      <c r="DY400">
        <v>-8.0332004293506607</v>
      </c>
      <c r="DZ400">
        <v>0</v>
      </c>
      <c r="EA400">
        <v>-8.0332004293506607</v>
      </c>
      <c r="EB400">
        <v>8</v>
      </c>
      <c r="EC400">
        <v>8.7903030870948133E-3</v>
      </c>
      <c r="ED400">
        <v>0.13477906957109984</v>
      </c>
      <c r="EE400">
        <v>0</v>
      </c>
      <c r="EF400">
        <v>0</v>
      </c>
      <c r="EG400">
        <v>12.065220090293455</v>
      </c>
      <c r="EH400" t="s">
        <v>110</v>
      </c>
      <c r="EI400">
        <v>0</v>
      </c>
      <c r="EJ400">
        <v>0</v>
      </c>
      <c r="EK400">
        <v>0</v>
      </c>
      <c r="EL400">
        <v>0</v>
      </c>
      <c r="EM400">
        <v>0</v>
      </c>
      <c r="EN400">
        <v>0</v>
      </c>
      <c r="EO400">
        <v>0</v>
      </c>
      <c r="EP400">
        <v>0</v>
      </c>
    </row>
    <row r="401" spans="1:146" ht="96" x14ac:dyDescent="0.25">
      <c r="A401" s="7"/>
      <c r="B401" s="7"/>
      <c r="C401" s="7" t="str">
        <f>""&amp;CHAR(10)&amp;Basic_Fundamental_Information_Constructure(F401)&amp;CHAR(10)&amp;Basic_Fundamental_Information_Concatenate("")</f>
        <v xml:space="preserve">
市值40.851亿, 利润-4.12亿; PE; 平均PE1.99; 平均PEG.33, PB.407; ROIC5.11%; ROE8.0967%; 毛利13.3633%; 净利3.29%; 上一年度营收增-7.24%, 利润增-112.53%, 利润增-332.8%; 过往5年营收增6.01%, 利润增5.63%
Income profile:
</v>
      </c>
      <c r="D401" s="11">
        <v>2678</v>
      </c>
      <c r="E401" t="s">
        <v>5106</v>
      </c>
      <c r="F401">
        <v>4.45</v>
      </c>
      <c r="G401" s="5">
        <v>-3.2599999999999997E-2</v>
      </c>
      <c r="H401" t="s">
        <v>11415</v>
      </c>
      <c r="I401">
        <v>4085100000</v>
      </c>
      <c r="K401">
        <v>0.40699999999999997</v>
      </c>
      <c r="L401" t="s">
        <v>6350</v>
      </c>
      <c r="M401" t="s">
        <v>9</v>
      </c>
      <c r="N401" t="s">
        <v>9</v>
      </c>
      <c r="O401" t="s">
        <v>9</v>
      </c>
      <c r="P401" t="s">
        <v>9</v>
      </c>
      <c r="Q401" t="s">
        <v>11416</v>
      </c>
      <c r="R401">
        <v>-411842340</v>
      </c>
      <c r="S401" s="5">
        <v>-3.3279999999999998</v>
      </c>
      <c r="T401" t="s">
        <v>11417</v>
      </c>
      <c r="U401">
        <v>918000000</v>
      </c>
      <c r="V401">
        <v>918000000</v>
      </c>
      <c r="W401" t="s">
        <v>9</v>
      </c>
      <c r="X401" t="s">
        <v>9</v>
      </c>
      <c r="Y401" t="s">
        <v>9</v>
      </c>
      <c r="Z401" t="s">
        <v>9</v>
      </c>
      <c r="AA401" t="s">
        <v>9</v>
      </c>
      <c r="AB401" t="s">
        <v>9</v>
      </c>
      <c r="AC401" t="s">
        <v>9</v>
      </c>
      <c r="AD401" t="s">
        <v>9</v>
      </c>
      <c r="AE401" t="s">
        <v>9</v>
      </c>
      <c r="AF401" t="s">
        <v>9</v>
      </c>
      <c r="AG401" t="s">
        <v>9</v>
      </c>
      <c r="AH401" t="s">
        <v>11418</v>
      </c>
      <c r="AI401" t="s">
        <v>9</v>
      </c>
      <c r="AJ401" t="s">
        <v>9</v>
      </c>
      <c r="AK401" t="s">
        <v>11419</v>
      </c>
      <c r="AL401" t="s">
        <v>9</v>
      </c>
      <c r="AM401" t="s">
        <v>9</v>
      </c>
      <c r="AN401" s="5">
        <v>0.57230000000000003</v>
      </c>
      <c r="AO401" t="s">
        <v>9</v>
      </c>
      <c r="AP401" t="s">
        <v>4617</v>
      </c>
      <c r="AQ401" t="s">
        <v>9</v>
      </c>
      <c r="AR401" t="s">
        <v>11420</v>
      </c>
      <c r="AS401" t="s">
        <v>9</v>
      </c>
      <c r="AT401" t="s">
        <v>9</v>
      </c>
      <c r="AU401" t="s">
        <v>7725</v>
      </c>
      <c r="AV401" t="s">
        <v>11421</v>
      </c>
      <c r="AW401" t="s">
        <v>9</v>
      </c>
      <c r="AX401" t="s">
        <v>5107</v>
      </c>
      <c r="AY401" t="s">
        <v>5108</v>
      </c>
      <c r="AZ401" t="s">
        <v>5109</v>
      </c>
      <c r="BA401" t="s">
        <v>5110</v>
      </c>
      <c r="BB401" t="s">
        <v>5111</v>
      </c>
      <c r="BC401" t="s">
        <v>5112</v>
      </c>
      <c r="BD401" t="s">
        <v>2624</v>
      </c>
      <c r="BE401" t="s">
        <v>5113</v>
      </c>
      <c r="BF401" t="s">
        <v>3566</v>
      </c>
      <c r="BG401" t="s">
        <v>2236</v>
      </c>
      <c r="BH401" t="s">
        <v>5107</v>
      </c>
      <c r="BI401" t="s">
        <v>9</v>
      </c>
      <c r="BJ401" t="s">
        <v>5108</v>
      </c>
      <c r="BK401" t="s">
        <v>117</v>
      </c>
      <c r="BL401" t="s">
        <v>9</v>
      </c>
      <c r="BM401" t="s">
        <v>5112</v>
      </c>
      <c r="BN401">
        <v>-2.15</v>
      </c>
      <c r="BO401">
        <v>0.88</v>
      </c>
      <c r="BP401">
        <v>16.600000000000001</v>
      </c>
      <c r="BQ401">
        <v>-4.1100000000000003</v>
      </c>
      <c r="BR401">
        <v>1.65</v>
      </c>
      <c r="BS401">
        <v>26.75</v>
      </c>
      <c r="BT401" t="s">
        <v>5114</v>
      </c>
      <c r="BU401" t="s">
        <v>1004</v>
      </c>
      <c r="BV401">
        <v>6.44</v>
      </c>
      <c r="BW401">
        <v>11.58</v>
      </c>
      <c r="BX401">
        <v>22.07</v>
      </c>
      <c r="BY401">
        <v>-1.32</v>
      </c>
      <c r="BZ401">
        <v>0.85</v>
      </c>
      <c r="CA401">
        <v>10.34</v>
      </c>
      <c r="CB401">
        <v>-4.71</v>
      </c>
      <c r="CC401">
        <v>-9.74</v>
      </c>
      <c r="CD401" t="s">
        <v>11422</v>
      </c>
      <c r="CE401" t="s">
        <v>11423</v>
      </c>
      <c r="CF401" s="8" t="s">
        <v>9</v>
      </c>
      <c r="CG401" s="9">
        <v>-3.3279999999999998</v>
      </c>
      <c r="CH401" s="8">
        <v>-7.2388775646686554E-2</v>
      </c>
      <c r="CI401" s="8">
        <v>-0.1730562150478363</v>
      </c>
      <c r="CJ401" s="8">
        <v>0.39174595475196838</v>
      </c>
      <c r="CK401" s="8">
        <v>6.9827213883399963E-2</v>
      </c>
      <c r="CL401" s="8">
        <v>0.11565218865871429</v>
      </c>
      <c r="CM401" s="9">
        <v>-1.125304102897644</v>
      </c>
      <c r="CN401" s="9">
        <v>4.3376622200012207</v>
      </c>
      <c r="CO401" s="9">
        <v>-0.37651821970939636</v>
      </c>
      <c r="CP401" s="9">
        <v>-0.2537764310836792</v>
      </c>
      <c r="CQ401" s="9">
        <v>-4.127439484000206E-2</v>
      </c>
      <c r="CR401">
        <v>1.9945154202945723</v>
      </c>
      <c r="CS401">
        <v>0.33164396402711033</v>
      </c>
      <c r="CT401" t="e">
        <v>#VALUE!</v>
      </c>
      <c r="CU401" s="8">
        <v>6.0140259936451911E-2</v>
      </c>
      <c r="CV401" s="9">
        <v>5.6255916785448792E-2</v>
      </c>
      <c r="CW401">
        <v>0.06</v>
      </c>
      <c r="CX401" t="e">
        <v>#VALUE!</v>
      </c>
      <c r="CY401" t="s">
        <v>109</v>
      </c>
      <c r="CZ401">
        <v>6.0140259936451911E-2</v>
      </c>
      <c r="DA401" t="e">
        <v>#VALUE!</v>
      </c>
      <c r="DB401" t="s">
        <v>108</v>
      </c>
      <c r="DC401">
        <v>5.7133246939629311E-2</v>
      </c>
      <c r="DD401" t="e">
        <v>#VALUE!</v>
      </c>
      <c r="DE401" t="s">
        <v>108</v>
      </c>
      <c r="DF401">
        <v>5.2923428744077683E-2</v>
      </c>
      <c r="DG401" t="e">
        <v>#VALUE!</v>
      </c>
      <c r="DH401" t="s">
        <v>108</v>
      </c>
      <c r="DI401">
        <v>4.8112207949161531E-2</v>
      </c>
      <c r="DJ401" t="e">
        <v>#VALUE!</v>
      </c>
      <c r="DK401" t="s">
        <v>108</v>
      </c>
      <c r="DL401">
        <v>4.2098181955516338E-2</v>
      </c>
      <c r="DM401">
        <v>-412000000</v>
      </c>
      <c r="DN401">
        <v>6.0140259936451911E-2</v>
      </c>
      <c r="DO401">
        <v>4085100000</v>
      </c>
      <c r="DP401" t="e">
        <v>#VALUE!</v>
      </c>
      <c r="DQ401">
        <v>400</v>
      </c>
      <c r="DR401" t="e">
        <v>#VALUE!</v>
      </c>
      <c r="DS401">
        <v>-3.3842559167854485</v>
      </c>
      <c r="DT401" t="e">
        <v>#VALUE!</v>
      </c>
      <c r="DU401" t="e">
        <v>#VALUE!</v>
      </c>
      <c r="DV401" t="e">
        <v>#VALUE!</v>
      </c>
      <c r="DW401">
        <v>-8.4835728952772076</v>
      </c>
      <c r="DX401">
        <v>0.28879488337411624</v>
      </c>
      <c r="DY401">
        <v>-8.1203104620833759</v>
      </c>
      <c r="DZ401">
        <v>0</v>
      </c>
      <c r="EA401">
        <v>-8.1203104620833759</v>
      </c>
      <c r="EB401">
        <v>8</v>
      </c>
      <c r="EC401">
        <v>2.5806100217864924E-3</v>
      </c>
      <c r="ED401">
        <v>1.0372440087145969E-2</v>
      </c>
      <c r="EE401">
        <v>0</v>
      </c>
      <c r="EF401">
        <v>0</v>
      </c>
      <c r="EG401">
        <v>4.2487948833741163</v>
      </c>
      <c r="EH401" t="s">
        <v>110</v>
      </c>
      <c r="EI401">
        <v>0</v>
      </c>
      <c r="EJ401">
        <v>0</v>
      </c>
      <c r="EK401">
        <v>0</v>
      </c>
      <c r="EL401">
        <v>0</v>
      </c>
      <c r="EM401">
        <v>0</v>
      </c>
      <c r="EN401">
        <v>0</v>
      </c>
      <c r="EO401">
        <v>0</v>
      </c>
      <c r="EP401">
        <v>0</v>
      </c>
    </row>
    <row r="402" spans="1:146" ht="96" x14ac:dyDescent="0.25">
      <c r="A402" s="7"/>
      <c r="B402" s="7"/>
      <c r="C402" s="7" t="str">
        <f>""&amp;CHAR(10)&amp;Basic_Fundamental_Information_Constructure(F402)&amp;CHAR(10)&amp;Basic_Fundamental_Information_Concatenate("")</f>
        <v xml:space="preserve">
市值730.76772亿, 利润74.72亿; PE9.78; 平均PE58.93; 平均PEG1.94, PB1.56; ROIC11.86%; ROE17.5633%; 股利率0%; 毛利14.0033%; 净利7.5033%; 上一年度营收增.53%, 利润增-21.31%, 利润增12.89%; 过往5年营收增30.38%, 利润增-32.36%
Income profile:
</v>
      </c>
      <c r="D402" s="11">
        <v>2688</v>
      </c>
      <c r="E402" t="s">
        <v>5115</v>
      </c>
      <c r="F402">
        <v>64.599999999999994</v>
      </c>
      <c r="G402" s="5">
        <v>-2.5600000000000001E-2</v>
      </c>
      <c r="H402" t="s">
        <v>11424</v>
      </c>
      <c r="I402">
        <v>73076772000</v>
      </c>
      <c r="J402">
        <v>9.7799999999999994</v>
      </c>
      <c r="K402">
        <v>1.56</v>
      </c>
      <c r="L402" t="s">
        <v>6350</v>
      </c>
      <c r="M402" t="s">
        <v>9</v>
      </c>
      <c r="N402" t="s">
        <v>9</v>
      </c>
      <c r="O402" t="s">
        <v>9</v>
      </c>
      <c r="P402" t="s">
        <v>9</v>
      </c>
      <c r="Q402" t="s">
        <v>11425</v>
      </c>
      <c r="R402">
        <v>7471699200</v>
      </c>
      <c r="S402" s="5">
        <v>0.12889999999999999</v>
      </c>
      <c r="T402" t="s">
        <v>11426</v>
      </c>
      <c r="U402">
        <v>1131219380</v>
      </c>
      <c r="V402">
        <v>1131219380</v>
      </c>
      <c r="W402" t="s">
        <v>9</v>
      </c>
      <c r="X402" t="s">
        <v>9</v>
      </c>
      <c r="Y402" t="s">
        <v>9</v>
      </c>
      <c r="Z402" t="s">
        <v>9</v>
      </c>
      <c r="AA402" t="s">
        <v>9</v>
      </c>
      <c r="AB402" t="s">
        <v>9</v>
      </c>
      <c r="AC402" t="s">
        <v>9</v>
      </c>
      <c r="AD402" t="s">
        <v>232</v>
      </c>
      <c r="AE402" t="s">
        <v>9</v>
      </c>
      <c r="AF402" t="s">
        <v>9</v>
      </c>
      <c r="AG402" t="s">
        <v>9</v>
      </c>
      <c r="AH402" t="s">
        <v>11427</v>
      </c>
      <c r="AI402" t="s">
        <v>9</v>
      </c>
      <c r="AJ402" t="s">
        <v>9</v>
      </c>
      <c r="AK402" t="s">
        <v>11428</v>
      </c>
      <c r="AL402" t="s">
        <v>9</v>
      </c>
      <c r="AM402" t="s">
        <v>9</v>
      </c>
      <c r="AN402" s="5">
        <v>0.53200000000000003</v>
      </c>
      <c r="AO402" t="s">
        <v>9</v>
      </c>
      <c r="AP402" t="s">
        <v>5361</v>
      </c>
      <c r="AQ402" t="s">
        <v>9</v>
      </c>
      <c r="AR402" t="s">
        <v>11429</v>
      </c>
      <c r="AS402" t="s">
        <v>9</v>
      </c>
      <c r="AT402" t="s">
        <v>9</v>
      </c>
      <c r="AU402" t="s">
        <v>11430</v>
      </c>
      <c r="AV402" t="s">
        <v>11431</v>
      </c>
      <c r="AW402" t="s">
        <v>9</v>
      </c>
      <c r="AX402" t="s">
        <v>5116</v>
      </c>
      <c r="AY402" t="s">
        <v>5118</v>
      </c>
      <c r="AZ402" t="s">
        <v>5119</v>
      </c>
      <c r="BA402" t="s">
        <v>5120</v>
      </c>
      <c r="BB402" t="s">
        <v>5121</v>
      </c>
      <c r="BC402" t="s">
        <v>5122</v>
      </c>
      <c r="BD402" t="s">
        <v>5123</v>
      </c>
      <c r="BE402" t="s">
        <v>3377</v>
      </c>
      <c r="BF402" t="s">
        <v>3343</v>
      </c>
      <c r="BG402" t="s">
        <v>5124</v>
      </c>
      <c r="BH402" t="s">
        <v>5116</v>
      </c>
      <c r="BI402" t="s">
        <v>9</v>
      </c>
      <c r="BJ402" t="s">
        <v>5118</v>
      </c>
      <c r="BK402" t="s">
        <v>5117</v>
      </c>
      <c r="BL402" t="s">
        <v>9</v>
      </c>
      <c r="BM402" t="s">
        <v>5122</v>
      </c>
      <c r="BN402">
        <v>11.04</v>
      </c>
      <c r="BO402">
        <v>10.14</v>
      </c>
      <c r="BP402">
        <v>14.4</v>
      </c>
      <c r="BQ402">
        <v>15.98</v>
      </c>
      <c r="BR402">
        <v>15.03</v>
      </c>
      <c r="BS402">
        <v>21.68</v>
      </c>
      <c r="BT402" t="s">
        <v>11432</v>
      </c>
      <c r="BU402" t="s">
        <v>392</v>
      </c>
      <c r="BV402">
        <v>12.59</v>
      </c>
      <c r="BW402">
        <v>14.32</v>
      </c>
      <c r="BX402">
        <v>15.1</v>
      </c>
      <c r="BY402">
        <v>6.79</v>
      </c>
      <c r="BZ402">
        <v>6.06</v>
      </c>
      <c r="CA402">
        <v>9.66</v>
      </c>
      <c r="CB402">
        <v>-5.28</v>
      </c>
      <c r="CC402">
        <v>-13.34</v>
      </c>
      <c r="CD402" t="s">
        <v>11433</v>
      </c>
      <c r="CE402" t="s">
        <v>11434</v>
      </c>
      <c r="CF402" s="8" t="s">
        <v>9</v>
      </c>
      <c r="CG402" s="9">
        <v>0.12889999999999999</v>
      </c>
      <c r="CH402" s="8">
        <v>5.3323321044445038E-3</v>
      </c>
      <c r="CI402" s="8">
        <v>8.8863909244537354E-2</v>
      </c>
      <c r="CJ402" s="8">
        <v>0.33571931719779968</v>
      </c>
      <c r="CK402" s="8">
        <v>0.23511458933353424</v>
      </c>
      <c r="CL402" s="8">
        <v>0.19424566626548767</v>
      </c>
      <c r="CM402" s="9">
        <v>-0.21314242482185364</v>
      </c>
      <c r="CN402" s="9">
        <v>0.26900985836982727</v>
      </c>
      <c r="CO402" s="9">
        <v>0.18102900683879852</v>
      </c>
      <c r="CP402" s="9">
        <v>0.97444689273834229</v>
      </c>
      <c r="CQ402" s="9">
        <v>-4.4656183570623398E-2</v>
      </c>
      <c r="CR402">
        <v>58.925628991141899</v>
      </c>
      <c r="CS402">
        <v>1.9397010221771021</v>
      </c>
      <c r="CT402">
        <v>0</v>
      </c>
      <c r="CU402" s="8">
        <v>0.3037871729582548</v>
      </c>
      <c r="CV402" s="9">
        <v>-0.32362571358680725</v>
      </c>
      <c r="CW402">
        <v>0.06</v>
      </c>
      <c r="CX402">
        <v>7.9513643293531713</v>
      </c>
      <c r="CY402">
        <v>9190469581.4566784</v>
      </c>
      <c r="CZ402">
        <v>0.3037871729582548</v>
      </c>
      <c r="DA402">
        <v>2.1781852301665543</v>
      </c>
      <c r="DB402">
        <v>33549383674.046951</v>
      </c>
      <c r="DC402">
        <v>0.28859781431034204</v>
      </c>
      <c r="DD402">
        <v>0.83296566510736547</v>
      </c>
      <c r="DE402">
        <v>87730833407.858093</v>
      </c>
      <c r="DF402">
        <v>0.26733271220326421</v>
      </c>
      <c r="DG402">
        <v>0.36758548465147634</v>
      </c>
      <c r="DH402">
        <v>198802115565.81796</v>
      </c>
      <c r="DI402">
        <v>0.24302973836660385</v>
      </c>
      <c r="DJ402">
        <v>8.9579837505636833E-2</v>
      </c>
      <c r="DK402">
        <v>815772544747.04333</v>
      </c>
      <c r="DL402">
        <v>0.21265102107077835</v>
      </c>
      <c r="DM402">
        <v>7472000000</v>
      </c>
      <c r="DN402">
        <v>0.3037871729582548</v>
      </c>
      <c r="DO402">
        <v>73076772000</v>
      </c>
      <c r="DP402" t="e">
        <v>#VALUE!</v>
      </c>
      <c r="DQ402">
        <v>401</v>
      </c>
      <c r="DR402" t="e">
        <v>#VALUE!</v>
      </c>
      <c r="DS402">
        <v>0.45252571358680727</v>
      </c>
      <c r="DT402" t="e">
        <v>#VALUE!</v>
      </c>
      <c r="DU402" t="e">
        <v>#VALUE!</v>
      </c>
      <c r="DV402" t="e">
        <v>#VALUE!</v>
      </c>
      <c r="DW402">
        <v>-8.395802098950524</v>
      </c>
      <c r="DX402">
        <v>0.33350414349737917</v>
      </c>
      <c r="DY402">
        <v>-8.0607572621938655</v>
      </c>
      <c r="DZ402">
        <v>0</v>
      </c>
      <c r="EA402">
        <v>-8.0607572621938655</v>
      </c>
      <c r="EB402">
        <v>8</v>
      </c>
      <c r="EC402">
        <v>1.0312853727806536E-2</v>
      </c>
      <c r="ED402">
        <v>6.7182901339614604E-2</v>
      </c>
      <c r="EE402">
        <v>0</v>
      </c>
      <c r="EF402">
        <v>0</v>
      </c>
      <c r="EG402">
        <v>18.153504143497379</v>
      </c>
      <c r="EH402" t="s">
        <v>110</v>
      </c>
      <c r="EI402">
        <v>0</v>
      </c>
      <c r="EJ402">
        <v>0</v>
      </c>
      <c r="EK402">
        <v>0</v>
      </c>
      <c r="EL402">
        <v>0</v>
      </c>
      <c r="EM402">
        <v>0</v>
      </c>
      <c r="EN402">
        <v>0</v>
      </c>
      <c r="EO402">
        <v>0</v>
      </c>
      <c r="EP402">
        <v>0</v>
      </c>
    </row>
    <row r="403" spans="1:146" ht="96" x14ac:dyDescent="0.25">
      <c r="A403" s="7"/>
      <c r="B403" s="7"/>
      <c r="C403" s="7" t="str">
        <f>""&amp;CHAR(10)&amp;Basic_Fundamental_Information_Constructure(F403)&amp;CHAR(10)&amp;Basic_Fundamental_Information_Concatenate("")</f>
        <v xml:space="preserve">
市值152.02795亿, 利润-25.70亿; PE; 平均PE-132.32; 平均PEG-7.44, PB.31; ROIC3.6767%; ROE5.6933%; 股利率0%; 毛利10.84%; 净利4.1967%; 上一年度营收增-19.06%, 利润增-130.08%, 利润增120.5%; 过往5年营收增17.78%, 利润增183.05%
Income profile:
</v>
      </c>
      <c r="D403" s="11">
        <v>2689</v>
      </c>
      <c r="E403" t="s">
        <v>5125</v>
      </c>
      <c r="F403">
        <v>3.24</v>
      </c>
      <c r="G403" s="5">
        <v>-2.9899999999999999E-2</v>
      </c>
      <c r="H403" t="s">
        <v>11435</v>
      </c>
      <c r="I403">
        <v>15202795000</v>
      </c>
      <c r="K403">
        <v>0.31</v>
      </c>
      <c r="L403" t="s">
        <v>6350</v>
      </c>
      <c r="M403" t="s">
        <v>9</v>
      </c>
      <c r="N403" t="s">
        <v>9</v>
      </c>
      <c r="O403" t="s">
        <v>9</v>
      </c>
      <c r="P403" t="s">
        <v>9</v>
      </c>
      <c r="Q403" t="s">
        <v>11436</v>
      </c>
      <c r="R403">
        <v>320568340</v>
      </c>
      <c r="S403" s="5">
        <v>1.2050000000000001</v>
      </c>
      <c r="T403" t="s">
        <v>11437</v>
      </c>
      <c r="U403">
        <v>4692220800</v>
      </c>
      <c r="V403">
        <v>4692220800</v>
      </c>
      <c r="W403" t="s">
        <v>9</v>
      </c>
      <c r="X403" t="s">
        <v>9</v>
      </c>
      <c r="Y403" t="s">
        <v>9</v>
      </c>
      <c r="Z403" t="s">
        <v>9</v>
      </c>
      <c r="AA403" t="s">
        <v>9</v>
      </c>
      <c r="AB403" t="s">
        <v>9</v>
      </c>
      <c r="AC403" t="s">
        <v>9</v>
      </c>
      <c r="AD403" t="s">
        <v>9</v>
      </c>
      <c r="AE403" t="s">
        <v>9</v>
      </c>
      <c r="AF403" t="s">
        <v>9</v>
      </c>
      <c r="AG403" t="s">
        <v>9</v>
      </c>
      <c r="AH403" t="s">
        <v>11438</v>
      </c>
      <c r="AI403" t="s">
        <v>9</v>
      </c>
      <c r="AJ403" t="s">
        <v>9</v>
      </c>
      <c r="AK403" t="s">
        <v>11439</v>
      </c>
      <c r="AL403" t="s">
        <v>9</v>
      </c>
      <c r="AM403" t="s">
        <v>9</v>
      </c>
      <c r="AN403" s="5">
        <v>0.64929999999999999</v>
      </c>
      <c r="AO403" t="s">
        <v>9</v>
      </c>
      <c r="AP403" t="s">
        <v>11440</v>
      </c>
      <c r="AQ403" t="s">
        <v>9</v>
      </c>
      <c r="AR403" t="s">
        <v>11441</v>
      </c>
      <c r="AS403" t="s">
        <v>9</v>
      </c>
      <c r="AT403" t="s">
        <v>9</v>
      </c>
      <c r="AU403" t="s">
        <v>11442</v>
      </c>
      <c r="AV403" t="s">
        <v>11443</v>
      </c>
      <c r="AW403" t="s">
        <v>9</v>
      </c>
      <c r="AX403" t="s">
        <v>5126</v>
      </c>
      <c r="AY403" t="s">
        <v>5130</v>
      </c>
      <c r="AZ403" t="s">
        <v>5131</v>
      </c>
      <c r="BA403" t="s">
        <v>5132</v>
      </c>
      <c r="BB403" t="s">
        <v>5133</v>
      </c>
      <c r="BC403" t="s">
        <v>5134</v>
      </c>
      <c r="BD403" t="s">
        <v>748</v>
      </c>
      <c r="BE403" t="s">
        <v>5135</v>
      </c>
      <c r="BF403" t="s">
        <v>1794</v>
      </c>
      <c r="BG403" t="s">
        <v>5136</v>
      </c>
      <c r="BH403" t="s">
        <v>5126</v>
      </c>
      <c r="BI403" t="s">
        <v>9</v>
      </c>
      <c r="BJ403" t="s">
        <v>5130</v>
      </c>
      <c r="BK403" t="s">
        <v>5127</v>
      </c>
      <c r="BL403" t="s">
        <v>9</v>
      </c>
      <c r="BM403" t="s">
        <v>5134</v>
      </c>
      <c r="BN403">
        <v>-2.4700000000000002</v>
      </c>
      <c r="BO403">
        <v>3.82</v>
      </c>
      <c r="BP403">
        <v>9.68</v>
      </c>
      <c r="BQ403">
        <v>-5.34</v>
      </c>
      <c r="BR403">
        <v>6.96</v>
      </c>
      <c r="BS403">
        <v>15.46</v>
      </c>
      <c r="BT403" t="s">
        <v>5137</v>
      </c>
      <c r="BU403" t="s">
        <v>937</v>
      </c>
      <c r="BV403">
        <v>2.7</v>
      </c>
      <c r="BW403">
        <v>10.83</v>
      </c>
      <c r="BX403">
        <v>18.989999999999998</v>
      </c>
      <c r="BY403">
        <v>-4.18</v>
      </c>
      <c r="BZ403">
        <v>5.13</v>
      </c>
      <c r="CA403">
        <v>11.64</v>
      </c>
      <c r="CB403">
        <v>-9.5</v>
      </c>
      <c r="CC403">
        <v>-21.17</v>
      </c>
      <c r="CD403" t="s">
        <v>11444</v>
      </c>
      <c r="CE403" t="s">
        <v>3618</v>
      </c>
      <c r="CF403" s="8" t="s">
        <v>9</v>
      </c>
      <c r="CG403" s="9">
        <v>1.2050000000000001</v>
      </c>
      <c r="CH403" s="8">
        <v>-0.19063493609428406</v>
      </c>
      <c r="CI403" s="8">
        <v>2.0601099357008934E-2</v>
      </c>
      <c r="CJ403" s="8">
        <v>0.31621590256690979</v>
      </c>
      <c r="CK403" s="8">
        <v>-9.8094537854194641E-2</v>
      </c>
      <c r="CL403" s="8">
        <v>0.38258883357048035</v>
      </c>
      <c r="CM403" s="9">
        <v>-1.3008310794830322</v>
      </c>
      <c r="CN403" s="9">
        <v>0.86977458000183105</v>
      </c>
      <c r="CO403" s="9">
        <v>3.6289408802986145E-2</v>
      </c>
      <c r="CP403" s="9">
        <v>-0.52478981018066406</v>
      </c>
      <c r="CQ403" s="9">
        <v>0.83613687753677368</v>
      </c>
      <c r="CR403">
        <v>-132.3228117837912</v>
      </c>
      <c r="CS403">
        <v>-7.4437776077045292</v>
      </c>
      <c r="CT403">
        <v>0</v>
      </c>
      <c r="CU403" s="8">
        <v>0.17776298373937607</v>
      </c>
      <c r="CV403" s="9">
        <v>1.8305319428443909</v>
      </c>
      <c r="CW403">
        <v>0.06</v>
      </c>
      <c r="CX403" t="e">
        <v>#VALUE!</v>
      </c>
      <c r="CY403" t="s">
        <v>108</v>
      </c>
      <c r="CZ403">
        <v>0.17776298373937607</v>
      </c>
      <c r="DA403" t="e">
        <v>#VALUE!</v>
      </c>
      <c r="DB403" t="s">
        <v>108</v>
      </c>
      <c r="DC403">
        <v>0.16887483455240726</v>
      </c>
      <c r="DD403" t="e">
        <v>#VALUE!</v>
      </c>
      <c r="DE403" t="s">
        <v>108</v>
      </c>
      <c r="DF403">
        <v>0.15643142569065094</v>
      </c>
      <c r="DG403" t="e">
        <v>#VALUE!</v>
      </c>
      <c r="DH403" t="s">
        <v>108</v>
      </c>
      <c r="DI403">
        <v>0.14221038699150088</v>
      </c>
      <c r="DJ403" t="e">
        <v>#VALUE!</v>
      </c>
      <c r="DK403" t="s">
        <v>108</v>
      </c>
      <c r="DL403">
        <v>0.12443408861756325</v>
      </c>
      <c r="DM403">
        <v>-2570000000</v>
      </c>
      <c r="DN403">
        <v>0.17776298373937607</v>
      </c>
      <c r="DO403">
        <v>15202795000</v>
      </c>
      <c r="DP403" t="e">
        <v>#VALUE!</v>
      </c>
      <c r="DQ403">
        <v>402</v>
      </c>
      <c r="DR403" t="e">
        <v>#VALUE!</v>
      </c>
      <c r="DS403">
        <v>-0.62553194284439084</v>
      </c>
      <c r="DT403" t="e">
        <v>#VALUE!</v>
      </c>
      <c r="DU403" t="e">
        <v>#VALUE!</v>
      </c>
      <c r="DV403" t="e">
        <v>#VALUE!</v>
      </c>
      <c r="DW403">
        <v>-9.4487482286254139</v>
      </c>
      <c r="DX403">
        <v>0.38500690607734867</v>
      </c>
      <c r="DY403">
        <v>-9.0650715922406615</v>
      </c>
      <c r="DZ403">
        <v>0</v>
      </c>
      <c r="EA403">
        <v>-9.0650715922406615</v>
      </c>
      <c r="EB403">
        <v>9</v>
      </c>
      <c r="EC403">
        <v>1.1187133393211163E-2</v>
      </c>
      <c r="ED403">
        <v>7.7148969630755654E-2</v>
      </c>
      <c r="EE403">
        <v>0</v>
      </c>
      <c r="EF403">
        <v>0</v>
      </c>
      <c r="EG403">
        <v>24.145006906077349</v>
      </c>
      <c r="EH403" t="s">
        <v>110</v>
      </c>
      <c r="EI403">
        <v>0</v>
      </c>
      <c r="EJ403">
        <v>0</v>
      </c>
      <c r="EK403">
        <v>0</v>
      </c>
      <c r="EL403">
        <v>0</v>
      </c>
      <c r="EM403">
        <v>0</v>
      </c>
      <c r="EN403">
        <v>0</v>
      </c>
      <c r="EO403">
        <v>0</v>
      </c>
      <c r="EP403">
        <v>0</v>
      </c>
    </row>
    <row r="404" spans="1:146" ht="96" x14ac:dyDescent="0.25">
      <c r="A404" s="7"/>
      <c r="B404" s="7"/>
      <c r="C404" s="7" t="str">
        <f>""&amp;CHAR(10)&amp;Basic_Fundamental_Information_Constructure(F404)&amp;CHAR(10)&amp;Basic_Fundamental_Information_Concatenate("")</f>
        <v xml:space="preserve">
市值235.25512亿, 利润3.13亿; PE; 平均PE27.35; 平均PEG210.63, PB.414; ROIC-4.6333%; ROE-7.7133%; 股利率0%; 毛利16.3467%; 净利-2.64%; 上一年度营收增-5.32%, 利润增102.56%; 当季营收增-28.02%, 利润增-91.77%; 过往5年营收增-.13%, 利润增-4.57%
Income profile:
</v>
      </c>
      <c r="D404" s="11">
        <v>2727</v>
      </c>
      <c r="E404" t="s">
        <v>5138</v>
      </c>
      <c r="F404">
        <v>1.51</v>
      </c>
      <c r="G404" s="5">
        <v>-6.6E-3</v>
      </c>
      <c r="H404" t="s">
        <v>11445</v>
      </c>
      <c r="I404">
        <v>23525512000</v>
      </c>
      <c r="K404">
        <v>0.41399999999999998</v>
      </c>
      <c r="L404" t="s">
        <v>6350</v>
      </c>
      <c r="M404" t="s">
        <v>11446</v>
      </c>
      <c r="N404" t="s">
        <v>11447</v>
      </c>
      <c r="O404" t="s">
        <v>11448</v>
      </c>
      <c r="P404">
        <v>-3.3</v>
      </c>
      <c r="Q404" t="s">
        <v>11449</v>
      </c>
      <c r="R404">
        <v>312586910</v>
      </c>
      <c r="S404" s="6">
        <v>-0.91769999999999996</v>
      </c>
      <c r="T404" t="s">
        <v>1273</v>
      </c>
      <c r="U404">
        <v>2924482000</v>
      </c>
      <c r="V404">
        <v>15579809000</v>
      </c>
      <c r="W404">
        <v>5.29</v>
      </c>
      <c r="X404">
        <v>7.0000000000000007E-2</v>
      </c>
      <c r="Y404">
        <v>3.92</v>
      </c>
      <c r="Z404" t="s">
        <v>9319</v>
      </c>
      <c r="AA404" t="s">
        <v>11450</v>
      </c>
      <c r="AB404" t="s">
        <v>5104</v>
      </c>
      <c r="AC404" t="s">
        <v>2502</v>
      </c>
      <c r="AD404" t="s">
        <v>11451</v>
      </c>
      <c r="AE404" t="s">
        <v>38</v>
      </c>
      <c r="AF404" t="s">
        <v>9</v>
      </c>
      <c r="AG404" t="s">
        <v>1576</v>
      </c>
      <c r="AH404" t="s">
        <v>11452</v>
      </c>
      <c r="AI404" t="s">
        <v>11453</v>
      </c>
      <c r="AJ404" t="s">
        <v>11454</v>
      </c>
      <c r="AK404" t="s">
        <v>11455</v>
      </c>
      <c r="AL404" t="s">
        <v>9</v>
      </c>
      <c r="AM404" t="s">
        <v>11456</v>
      </c>
      <c r="AN404" s="5">
        <v>0.7228</v>
      </c>
      <c r="AO404" t="s">
        <v>11457</v>
      </c>
      <c r="AP404" t="s">
        <v>11458</v>
      </c>
      <c r="AQ404" t="s">
        <v>11459</v>
      </c>
      <c r="AR404" t="s">
        <v>11460</v>
      </c>
      <c r="AS404" t="s">
        <v>11461</v>
      </c>
      <c r="AT404" t="s">
        <v>11462</v>
      </c>
      <c r="AU404" t="s">
        <v>11463</v>
      </c>
      <c r="AV404" t="s">
        <v>188</v>
      </c>
      <c r="AW404" t="s">
        <v>2583</v>
      </c>
      <c r="AX404" t="s">
        <v>5139</v>
      </c>
      <c r="AY404" t="s">
        <v>5142</v>
      </c>
      <c r="AZ404" t="s">
        <v>5143</v>
      </c>
      <c r="BA404" t="s">
        <v>5144</v>
      </c>
      <c r="BB404" t="s">
        <v>5145</v>
      </c>
      <c r="BC404" t="s">
        <v>5146</v>
      </c>
      <c r="BD404" t="s">
        <v>5147</v>
      </c>
      <c r="BE404" t="s">
        <v>5148</v>
      </c>
      <c r="BF404" t="s">
        <v>4983</v>
      </c>
      <c r="BG404" t="s">
        <v>5149</v>
      </c>
      <c r="BH404" t="s">
        <v>5139</v>
      </c>
      <c r="BI404" t="s">
        <v>5150</v>
      </c>
      <c r="BJ404" t="s">
        <v>5142</v>
      </c>
      <c r="BK404" t="s">
        <v>5140</v>
      </c>
      <c r="BL404" t="s">
        <v>5151</v>
      </c>
      <c r="BM404" t="s">
        <v>5146</v>
      </c>
      <c r="BN404">
        <v>0.32</v>
      </c>
      <c r="BO404">
        <v>-3.91</v>
      </c>
      <c r="BP404">
        <v>-10.31</v>
      </c>
      <c r="BQ404">
        <v>0.54</v>
      </c>
      <c r="BR404">
        <v>-6.5</v>
      </c>
      <c r="BS404">
        <v>-17.18</v>
      </c>
      <c r="BT404" t="s">
        <v>5152</v>
      </c>
      <c r="BU404" t="s">
        <v>589</v>
      </c>
      <c r="BV404">
        <v>18.38</v>
      </c>
      <c r="BW404">
        <v>15.88</v>
      </c>
      <c r="BX404">
        <v>14.78</v>
      </c>
      <c r="BY404">
        <v>1.89</v>
      </c>
      <c r="BZ404">
        <v>-1.98</v>
      </c>
      <c r="CA404">
        <v>-7.83</v>
      </c>
      <c r="CB404">
        <v>-1.95</v>
      </c>
      <c r="CC404">
        <v>-9.0399999999999991</v>
      </c>
      <c r="CD404" t="s">
        <v>11464</v>
      </c>
      <c r="CE404" t="s">
        <v>2232</v>
      </c>
      <c r="CF404" s="8">
        <v>-0.28022175118212939</v>
      </c>
      <c r="CG404" s="9">
        <v>-0.91769999999999996</v>
      </c>
      <c r="CH404" s="8">
        <v>-5.3183034062385559E-2</v>
      </c>
      <c r="CI404" s="8">
        <v>-0.16827644407749176</v>
      </c>
      <c r="CJ404" s="8">
        <v>-2.5531280785799026E-2</v>
      </c>
      <c r="CK404" s="8">
        <v>0.41500121355056763</v>
      </c>
      <c r="CL404" s="8">
        <v>0.20775966346263885</v>
      </c>
      <c r="CM404" s="9">
        <v>1.0255928039550781</v>
      </c>
      <c r="CN404" s="9">
        <v>-3.7305200099945068</v>
      </c>
      <c r="CO404" s="9">
        <v>7.7459737658500671E-2</v>
      </c>
      <c r="CP404" s="9">
        <v>0.22480851411819458</v>
      </c>
      <c r="CQ404" s="9">
        <v>7.7802456915378571E-2</v>
      </c>
      <c r="CR404">
        <v>27.349946134470066</v>
      </c>
      <c r="CS404">
        <v>210.63317843172211</v>
      </c>
      <c r="CT404">
        <v>0</v>
      </c>
      <c r="CU404" s="8">
        <v>-1.2984633445739745E-3</v>
      </c>
      <c r="CV404" s="9">
        <v>-4.5667989179491997E-2</v>
      </c>
      <c r="CW404">
        <v>0.06</v>
      </c>
      <c r="CX404">
        <v>503.02080511182106</v>
      </c>
      <c r="CY404" t="s">
        <v>11465</v>
      </c>
      <c r="CZ404">
        <v>-1.2984633445739745E-3</v>
      </c>
      <c r="DA404">
        <v>167.67360170394036</v>
      </c>
      <c r="DB404" t="s">
        <v>11466</v>
      </c>
      <c r="DC404">
        <v>-1.2335401773452758E-3</v>
      </c>
      <c r="DD404">
        <v>83.836800851970182</v>
      </c>
      <c r="DE404" t="s">
        <v>11467</v>
      </c>
      <c r="DF404">
        <v>-1.1426477432250977E-3</v>
      </c>
      <c r="DG404">
        <v>50.302080511182112</v>
      </c>
      <c r="DH404" t="s">
        <v>11468</v>
      </c>
      <c r="DI404">
        <v>-1.0387706756591797E-3</v>
      </c>
      <c r="DJ404">
        <v>25.151040255591056</v>
      </c>
      <c r="DK404" t="s">
        <v>11469</v>
      </c>
      <c r="DL404">
        <v>-9.0892434120178208E-4</v>
      </c>
      <c r="DM404">
        <v>313000000</v>
      </c>
      <c r="DN404">
        <v>-1.2984633445739745E-3</v>
      </c>
      <c r="DO404">
        <v>157445512000</v>
      </c>
      <c r="DP404" t="e">
        <v>#VALUE!</v>
      </c>
      <c r="DQ404">
        <v>403</v>
      </c>
      <c r="DR404">
        <v>-0.27892328783755543</v>
      </c>
      <c r="DS404">
        <v>-0.87203201082050796</v>
      </c>
      <c r="DT404">
        <v>-0.57333333333333336</v>
      </c>
      <c r="DU404">
        <v>-1.666666666666668E-2</v>
      </c>
      <c r="DV404">
        <v>-0.59000000000000008</v>
      </c>
      <c r="DW404">
        <v>-2.0903999999999998</v>
      </c>
      <c r="DX404">
        <v>0.34080503144654145</v>
      </c>
      <c r="DY404">
        <v>-2.0136327748427671</v>
      </c>
      <c r="DZ404">
        <v>0</v>
      </c>
      <c r="EA404">
        <v>-2.0136327748427671</v>
      </c>
      <c r="EB404">
        <v>2</v>
      </c>
      <c r="EC404">
        <v>1.5390432578473844E-3</v>
      </c>
      <c r="ED404">
        <v>1.0205516640159068E-2</v>
      </c>
      <c r="EE404">
        <v>0</v>
      </c>
      <c r="EF404">
        <v>0</v>
      </c>
      <c r="EG404">
        <v>19.150805031446541</v>
      </c>
      <c r="EH404" t="s">
        <v>110</v>
      </c>
      <c r="EI404">
        <v>0</v>
      </c>
      <c r="EJ404">
        <v>0</v>
      </c>
      <c r="EK404">
        <v>0</v>
      </c>
      <c r="EL404">
        <v>0</v>
      </c>
      <c r="EM404">
        <v>0</v>
      </c>
      <c r="EN404">
        <v>0</v>
      </c>
      <c r="EO404">
        <v>0</v>
      </c>
      <c r="EP404">
        <v>0</v>
      </c>
    </row>
    <row r="405" spans="1:146" ht="96" x14ac:dyDescent="0.25">
      <c r="A405"/>
      <c r="B405"/>
      <c r="C405" s="7" t="str">
        <f>""&amp;CHAR(10)&amp;Basic_Fundamental_Information_Constructure(F405)&amp;CHAR(10)&amp;Basic_Fundamental_Information_Concatenate("")</f>
        <v xml:space="preserve">
市值33.396069亿, 利润-221.04亿; PE; 平均PE-1.01; 平均PEG-.31, PB.09; ROIC-7.9733%; ROE-37.4033%; 股利率0%; 毛利7.5567%; 净利-37.1067%; 上一年度营收增.06%, 利润增-9.6%, 利润增-24.51%; 过往5年营收增3.23%, 利润增25.8%
Income profile:
</v>
      </c>
      <c r="D405" s="11">
        <v>2777</v>
      </c>
      <c r="E405" t="s">
        <v>11470</v>
      </c>
      <c r="F405">
        <v>0.89</v>
      </c>
      <c r="G405">
        <v>-3.2599999999999997E-2</v>
      </c>
      <c r="H405" t="s">
        <v>11471</v>
      </c>
      <c r="I405">
        <v>3339606900</v>
      </c>
      <c r="K405">
        <v>0.09</v>
      </c>
      <c r="L405" t="s">
        <v>6350</v>
      </c>
      <c r="M405" t="s">
        <v>9</v>
      </c>
      <c r="N405" t="s">
        <v>9</v>
      </c>
      <c r="O405" t="s">
        <v>9</v>
      </c>
      <c r="P405" s="5" t="s">
        <v>9</v>
      </c>
      <c r="Q405" t="s">
        <v>11472</v>
      </c>
      <c r="R405">
        <v>-22104308000</v>
      </c>
      <c r="S405">
        <v>-0.24510000000000001</v>
      </c>
      <c r="T405" t="s">
        <v>11473</v>
      </c>
      <c r="U405">
        <v>3752367300</v>
      </c>
      <c r="V405">
        <v>3752367300</v>
      </c>
      <c r="W405" t="s">
        <v>9</v>
      </c>
      <c r="X405" t="s">
        <v>9</v>
      </c>
      <c r="Y405" t="s">
        <v>9</v>
      </c>
      <c r="Z405" t="s">
        <v>9</v>
      </c>
      <c r="AA405" t="s">
        <v>9</v>
      </c>
      <c r="AB405" t="s">
        <v>9</v>
      </c>
      <c r="AC405" t="s">
        <v>9</v>
      </c>
      <c r="AD405" t="s">
        <v>9</v>
      </c>
      <c r="AE405" t="s">
        <v>9</v>
      </c>
      <c r="AF405" t="s">
        <v>9</v>
      </c>
      <c r="AG405" t="s">
        <v>9</v>
      </c>
      <c r="AH405" t="s">
        <v>11474</v>
      </c>
      <c r="AI405" t="s">
        <v>9</v>
      </c>
      <c r="AJ405" t="s">
        <v>9</v>
      </c>
      <c r="AK405" s="5" t="s">
        <v>11475</v>
      </c>
      <c r="AL405" t="s">
        <v>9</v>
      </c>
      <c r="AM405" t="s">
        <v>9</v>
      </c>
      <c r="AN405">
        <v>0.86150000000000004</v>
      </c>
      <c r="AO405" t="s">
        <v>9</v>
      </c>
      <c r="AP405" t="s">
        <v>9</v>
      </c>
      <c r="AQ405" t="s">
        <v>9</v>
      </c>
      <c r="AR405" t="s">
        <v>11476</v>
      </c>
      <c r="AS405" t="s">
        <v>9</v>
      </c>
      <c r="AT405" t="s">
        <v>9</v>
      </c>
      <c r="AU405" t="s">
        <v>11477</v>
      </c>
      <c r="AV405" t="s">
        <v>2954</v>
      </c>
      <c r="AW405" t="s">
        <v>9</v>
      </c>
      <c r="AX405" t="s">
        <v>11478</v>
      </c>
      <c r="AY405" t="s">
        <v>11479</v>
      </c>
      <c r="AZ405" t="s">
        <v>11480</v>
      </c>
      <c r="BA405" t="s">
        <v>11481</v>
      </c>
      <c r="BB405" t="s">
        <v>4532</v>
      </c>
      <c r="BC405" t="s">
        <v>11482</v>
      </c>
      <c r="BD405" t="s">
        <v>11483</v>
      </c>
      <c r="BE405" t="s">
        <v>11484</v>
      </c>
      <c r="BF405" t="s">
        <v>11485</v>
      </c>
      <c r="BG405" t="s">
        <v>11486</v>
      </c>
      <c r="BH405" t="s">
        <v>11478</v>
      </c>
      <c r="BI405" t="s">
        <v>9</v>
      </c>
      <c r="BJ405" t="s">
        <v>11479</v>
      </c>
      <c r="BK405" t="s">
        <v>11487</v>
      </c>
      <c r="BL405" t="s">
        <v>9</v>
      </c>
      <c r="BM405" t="s">
        <v>11482</v>
      </c>
      <c r="BN405">
        <v>-11.79</v>
      </c>
      <c r="BO405">
        <v>-8.2799999999999994</v>
      </c>
      <c r="BP405">
        <v>-3.85</v>
      </c>
      <c r="BQ405">
        <v>-59.84</v>
      </c>
      <c r="BR405">
        <v>-28.91</v>
      </c>
      <c r="BS405">
        <v>-23.46</v>
      </c>
      <c r="BT405" t="s">
        <v>3609</v>
      </c>
      <c r="BU405" t="s">
        <v>410</v>
      </c>
      <c r="BV405">
        <v>5.3</v>
      </c>
      <c r="BW405">
        <v>10.87</v>
      </c>
      <c r="BX405">
        <v>6.5</v>
      </c>
      <c r="BY405">
        <v>-55.04</v>
      </c>
      <c r="BZ405">
        <v>-44.84</v>
      </c>
      <c r="CA405">
        <v>-11.44</v>
      </c>
      <c r="CB405">
        <v>-1.1100000000000001</v>
      </c>
      <c r="CC405" s="8">
        <v>-16.82</v>
      </c>
      <c r="CD405" s="10" t="s">
        <v>11488</v>
      </c>
      <c r="CE405" s="8" t="s">
        <v>3663</v>
      </c>
      <c r="CF405" s="8" t="s">
        <v>9</v>
      </c>
      <c r="CG405" s="8">
        <v>-0.24510000000000001</v>
      </c>
      <c r="CH405" s="8">
        <v>6.0448009753599763E-4</v>
      </c>
      <c r="CI405" s="8">
        <v>-0.57468074560165405</v>
      </c>
      <c r="CJ405" s="9">
        <v>-8.8206000626087189E-2</v>
      </c>
      <c r="CK405" s="9">
        <v>0.16985486447811127</v>
      </c>
      <c r="CL405" s="9">
        <v>0.23135587573051453</v>
      </c>
      <c r="CM405" s="9">
        <v>-9.6048019826412201E-2</v>
      </c>
      <c r="CN405" s="9">
        <v>-2.8789713382720947</v>
      </c>
      <c r="CO405">
        <v>-7.0312013849616051E-3</v>
      </c>
      <c r="CP405">
        <v>0.13408878445625305</v>
      </c>
      <c r="CQ405">
        <v>-0.62476378679275513</v>
      </c>
      <c r="CR405" s="8">
        <v>-1.0081832150943397</v>
      </c>
      <c r="CS405" s="9">
        <v>-0.31177101769865279</v>
      </c>
      <c r="CT405">
        <v>0</v>
      </c>
      <c r="CU405">
        <v>3.2337297499179837E-2</v>
      </c>
      <c r="CV405">
        <v>0.2579579293727875</v>
      </c>
      <c r="CW405">
        <v>0.06</v>
      </c>
      <c r="CX405" t="e">
        <v>#VALUE!</v>
      </c>
      <c r="CY405" t="s">
        <v>109</v>
      </c>
      <c r="CZ405">
        <v>3.2337297499179837E-2</v>
      </c>
      <c r="DA405" t="e">
        <v>#VALUE!</v>
      </c>
      <c r="DB405" t="s">
        <v>108</v>
      </c>
      <c r="DC405">
        <v>3.0720432624220844E-2</v>
      </c>
      <c r="DD405" t="e">
        <v>#VALUE!</v>
      </c>
      <c r="DE405" t="s">
        <v>108</v>
      </c>
      <c r="DF405">
        <v>2.8456821799278258E-2</v>
      </c>
      <c r="DG405" t="e">
        <v>#VALUE!</v>
      </c>
      <c r="DH405" t="s">
        <v>108</v>
      </c>
      <c r="DI405">
        <v>2.5869837999343871E-2</v>
      </c>
      <c r="DJ405" t="e">
        <v>#VALUE!</v>
      </c>
      <c r="DK405" t="s">
        <v>108</v>
      </c>
      <c r="DL405">
        <v>2.2636108249425885E-2</v>
      </c>
      <c r="DM405">
        <v>-22104000000</v>
      </c>
      <c r="DN405">
        <v>3.2337297499179837E-2</v>
      </c>
      <c r="DO405">
        <v>3339606900</v>
      </c>
      <c r="DP405" t="e">
        <v>#VALUE!</v>
      </c>
      <c r="DQ405">
        <v>404</v>
      </c>
      <c r="DR405" t="e">
        <v>#VALUE!</v>
      </c>
      <c r="DS405">
        <v>-0.50305792937278748</v>
      </c>
      <c r="DT405" t="e">
        <v>#VALUE!</v>
      </c>
      <c r="DU405" t="e">
        <v>#VALUE!</v>
      </c>
      <c r="DV405" t="e">
        <v>#VALUE!</v>
      </c>
      <c r="DW405">
        <v>-3.0092738095238096</v>
      </c>
      <c r="DX405">
        <v>0.29408749999999984</v>
      </c>
      <c r="DY405">
        <v>-3.000408859077381</v>
      </c>
      <c r="DZ405">
        <v>0</v>
      </c>
      <c r="EA405">
        <v>-3.000408859077381</v>
      </c>
      <c r="EB405">
        <v>3</v>
      </c>
      <c r="EC405">
        <v>6.1096097921970486E-3</v>
      </c>
      <c r="ED405">
        <v>0.13857918439913919</v>
      </c>
      <c r="EE405">
        <v>0</v>
      </c>
      <c r="EF405">
        <v>0</v>
      </c>
      <c r="EG405">
        <v>25.0440875</v>
      </c>
      <c r="EH405" t="s">
        <v>110</v>
      </c>
      <c r="EI405">
        <v>0</v>
      </c>
      <c r="EJ405">
        <v>0</v>
      </c>
      <c r="EK405">
        <v>0</v>
      </c>
      <c r="EL405">
        <v>0</v>
      </c>
      <c r="EM405">
        <v>0</v>
      </c>
      <c r="EN405">
        <v>0</v>
      </c>
      <c r="EO405">
        <v>0</v>
      </c>
      <c r="EP405">
        <v>0</v>
      </c>
    </row>
    <row r="406" spans="1:146" ht="84" x14ac:dyDescent="0.25">
      <c r="A406"/>
      <c r="B406"/>
      <c r="C406" s="7" t="str">
        <f>""&amp;CHAR(10)&amp;Basic_Fundamental_Information_Constructure(F406)&amp;CHAR(10)&amp;Basic_Fundamental_Information_Concatenate("")</f>
        <v xml:space="preserve">
市值268.82637亿, 利润--; PE; 平均PE-175.6; 平均PEG-1.15, PB.634; ROIC0%; ROE-29.005%; 股利率0%; 毛利0%; 净利-36.23%, 利润增76.01%; 过往5年营收增152.39%, 利润增-1371.1%
Income profile:
</v>
      </c>
      <c r="D406" s="11">
        <v>2799</v>
      </c>
      <c r="E406" t="s">
        <v>5155</v>
      </c>
      <c r="F406">
        <v>0.33500000000000002</v>
      </c>
      <c r="G406">
        <v>1.52E-2</v>
      </c>
      <c r="H406" t="s">
        <v>6478</v>
      </c>
      <c r="I406">
        <v>26882637000</v>
      </c>
      <c r="K406">
        <v>0.63400000000000001</v>
      </c>
      <c r="L406" t="s">
        <v>6350</v>
      </c>
      <c r="M406" t="s">
        <v>9</v>
      </c>
      <c r="N406" t="s">
        <v>9</v>
      </c>
      <c r="O406" t="s">
        <v>9</v>
      </c>
      <c r="P406" s="5" t="s">
        <v>9</v>
      </c>
      <c r="Q406" t="s">
        <v>9</v>
      </c>
      <c r="R406">
        <v>-5301090900</v>
      </c>
      <c r="S406">
        <v>0.7601</v>
      </c>
      <c r="T406" t="s">
        <v>9</v>
      </c>
      <c r="U406">
        <v>35362261000</v>
      </c>
      <c r="V406">
        <v>80246679000</v>
      </c>
      <c r="W406" t="s">
        <v>9</v>
      </c>
      <c r="X406" t="s">
        <v>9</v>
      </c>
      <c r="Y406" t="s">
        <v>9</v>
      </c>
      <c r="Z406" t="s">
        <v>9</v>
      </c>
      <c r="AA406" t="s">
        <v>9</v>
      </c>
      <c r="AB406" t="s">
        <v>9</v>
      </c>
      <c r="AC406" t="s">
        <v>9</v>
      </c>
      <c r="AD406" t="s">
        <v>9</v>
      </c>
      <c r="AE406" t="s">
        <v>9</v>
      </c>
      <c r="AF406" t="s">
        <v>9</v>
      </c>
      <c r="AG406" t="s">
        <v>9</v>
      </c>
      <c r="AH406" t="s">
        <v>6479</v>
      </c>
      <c r="AI406" t="s">
        <v>9</v>
      </c>
      <c r="AJ406" t="s">
        <v>9</v>
      </c>
      <c r="AK406" s="5" t="s">
        <v>6480</v>
      </c>
      <c r="AL406" t="s">
        <v>9</v>
      </c>
      <c r="AM406" t="s">
        <v>9</v>
      </c>
      <c r="AN406">
        <v>0.95789999999999997</v>
      </c>
      <c r="AO406" t="s">
        <v>9</v>
      </c>
      <c r="AP406" t="s">
        <v>9</v>
      </c>
      <c r="AQ406" t="s">
        <v>9</v>
      </c>
      <c r="AR406" t="s">
        <v>9</v>
      </c>
      <c r="AS406" t="s">
        <v>9</v>
      </c>
      <c r="AT406" t="s">
        <v>9</v>
      </c>
      <c r="AU406" t="s">
        <v>9</v>
      </c>
      <c r="AV406" t="s">
        <v>9</v>
      </c>
      <c r="AW406" t="s">
        <v>9</v>
      </c>
      <c r="AX406" t="s">
        <v>9</v>
      </c>
      <c r="AY406" t="s">
        <v>9</v>
      </c>
      <c r="AZ406" t="s">
        <v>9</v>
      </c>
      <c r="BA406" t="s">
        <v>9</v>
      </c>
      <c r="BB406" t="s">
        <v>9</v>
      </c>
      <c r="BC406" t="s">
        <v>9</v>
      </c>
      <c r="BD406" t="s">
        <v>9</v>
      </c>
      <c r="BE406" t="s">
        <v>9</v>
      </c>
      <c r="BF406" t="s">
        <v>9</v>
      </c>
      <c r="BG406" t="s">
        <v>9</v>
      </c>
      <c r="BH406" t="s">
        <v>9</v>
      </c>
      <c r="BI406" t="s">
        <v>9</v>
      </c>
      <c r="BJ406" t="s">
        <v>9</v>
      </c>
      <c r="BK406" t="s">
        <v>9</v>
      </c>
      <c r="BL406" t="s">
        <v>9</v>
      </c>
      <c r="BM406" t="s">
        <v>9</v>
      </c>
      <c r="BN406" t="s">
        <v>9</v>
      </c>
      <c r="BO406" t="s">
        <v>9</v>
      </c>
      <c r="BP406" t="s">
        <v>9</v>
      </c>
      <c r="BQ406" t="s">
        <v>9</v>
      </c>
      <c r="BR406">
        <v>-58.65</v>
      </c>
      <c r="BS406">
        <v>0.64</v>
      </c>
      <c r="BT406" t="s">
        <v>5156</v>
      </c>
      <c r="BU406" t="s">
        <v>826</v>
      </c>
      <c r="BV406" t="s">
        <v>9</v>
      </c>
      <c r="BW406" t="s">
        <v>9</v>
      </c>
      <c r="BX406" t="s">
        <v>9</v>
      </c>
      <c r="BY406" t="s">
        <v>9</v>
      </c>
      <c r="BZ406">
        <v>-74.569999999999993</v>
      </c>
      <c r="CA406">
        <v>2.11</v>
      </c>
      <c r="CB406">
        <v>-1.47</v>
      </c>
      <c r="CC406" s="8">
        <v>-9.4600000000000009</v>
      </c>
      <c r="CD406" s="10" t="s">
        <v>378</v>
      </c>
      <c r="CE406" s="8" t="s">
        <v>111</v>
      </c>
      <c r="CF406" s="8" t="s">
        <v>9</v>
      </c>
      <c r="CG406" s="8">
        <v>0.7601</v>
      </c>
      <c r="CH406" s="8" t="s">
        <v>9</v>
      </c>
      <c r="CI406" s="8" t="s">
        <v>9</v>
      </c>
      <c r="CJ406" s="9" t="s">
        <v>9</v>
      </c>
      <c r="CK406" s="9" t="s">
        <v>9</v>
      </c>
      <c r="CL406" s="9" t="s">
        <v>9</v>
      </c>
      <c r="CM406" s="9" t="s">
        <v>9</v>
      </c>
      <c r="CN406" s="9" t="s">
        <v>9</v>
      </c>
      <c r="CO406" t="s">
        <v>9</v>
      </c>
      <c r="CP406" t="s">
        <v>9</v>
      </c>
      <c r="CQ406" t="s">
        <v>9</v>
      </c>
      <c r="CR406" s="8">
        <v>-175.60244084352496</v>
      </c>
      <c r="CS406" s="9">
        <v>-1.1523374685727934</v>
      </c>
      <c r="CT406">
        <v>0</v>
      </c>
      <c r="CU406">
        <v>1.523880335688591</v>
      </c>
      <c r="CV406">
        <v>-13.710995483398438</v>
      </c>
      <c r="CW406">
        <v>0.06</v>
      </c>
      <c r="CX406" t="e">
        <v>#DIV/0!</v>
      </c>
      <c r="CY406">
        <v>0</v>
      </c>
      <c r="CZ406">
        <v>1.523880335688591</v>
      </c>
      <c r="DA406" t="e">
        <v>#DIV/0!</v>
      </c>
      <c r="DB406">
        <v>0</v>
      </c>
      <c r="DC406">
        <v>1.4476863189041613</v>
      </c>
      <c r="DD406" t="e">
        <v>#DIV/0!</v>
      </c>
      <c r="DE406">
        <v>0</v>
      </c>
      <c r="DF406">
        <v>1.3410146954059601</v>
      </c>
      <c r="DG406" t="e">
        <v>#DIV/0!</v>
      </c>
      <c r="DH406">
        <v>0</v>
      </c>
      <c r="DI406">
        <v>1.2191042685508728</v>
      </c>
      <c r="DJ406" t="e">
        <v>#DIV/0!</v>
      </c>
      <c r="DK406">
        <v>0</v>
      </c>
      <c r="DL406">
        <v>1.0667162349820136</v>
      </c>
      <c r="DM406">
        <v>0</v>
      </c>
      <c r="DN406">
        <v>1.523880335688591</v>
      </c>
      <c r="DO406">
        <v>26882637000</v>
      </c>
      <c r="DP406" t="e">
        <v>#VALUE!</v>
      </c>
      <c r="DQ406">
        <v>410</v>
      </c>
      <c r="DR406" t="e">
        <v>#VALUE!</v>
      </c>
      <c r="DS406">
        <v>14.471095483398438</v>
      </c>
      <c r="DT406" t="e">
        <v>#VALUE!</v>
      </c>
      <c r="DU406" t="e">
        <v>#VALUE!</v>
      </c>
      <c r="DV406" t="e">
        <v>#VALUE!</v>
      </c>
      <c r="DW406">
        <v>-2.0945999999999998</v>
      </c>
      <c r="DX406">
        <v>0.25336727221261202</v>
      </c>
      <c r="DY406">
        <v>-2.0097785439513132</v>
      </c>
      <c r="DZ406">
        <v>0</v>
      </c>
      <c r="EA406">
        <v>-2.0097785439513132</v>
      </c>
      <c r="EB406">
        <v>2</v>
      </c>
      <c r="EC406">
        <v>1.6449278854268848E-3</v>
      </c>
      <c r="ED406">
        <v>1.5913431134016151E-2</v>
      </c>
      <c r="EE406">
        <v>0</v>
      </c>
      <c r="EF406">
        <v>0</v>
      </c>
      <c r="EG406">
        <v>15.103367272212612</v>
      </c>
      <c r="EH406" t="s">
        <v>110</v>
      </c>
      <c r="EI406">
        <v>0</v>
      </c>
      <c r="EJ406">
        <v>0</v>
      </c>
      <c r="EK406">
        <v>0</v>
      </c>
      <c r="EL406">
        <v>0</v>
      </c>
      <c r="EM406">
        <v>0</v>
      </c>
      <c r="EN406">
        <v>0</v>
      </c>
      <c r="EO406">
        <v>0</v>
      </c>
      <c r="EP406">
        <v>0</v>
      </c>
    </row>
    <row r="407" spans="1:146" ht="96" x14ac:dyDescent="0.25">
      <c r="A407" s="7"/>
      <c r="B407" s="7"/>
      <c r="C407" s="7" t="str">
        <f>""&amp;CHAR(10)&amp;Basic_Fundamental_Information_Constructure(F407)&amp;CHAR(10)&amp;Basic_Fundamental_Information_Concatenate("")</f>
        <v xml:space="preserve">
市值111.322697亿, 利润44.26亿; PE6.94; 平均PE7.59; 平均PEG.21, PB.357; ROIC3.0667%; ROE15.685%; 股利率0%; 毛利26.6067%; 净利14.4833%; 上一年度营收增-35.42%, 利润增-37.85%; 当季营收增-46.95%, 利润增-73.22%; 过往5年营收增36.8%, 利润增32.32%
Income profile:
</v>
      </c>
      <c r="D407" s="11">
        <v>2866</v>
      </c>
      <c r="E407" t="s">
        <v>5158</v>
      </c>
      <c r="F407">
        <v>0.82</v>
      </c>
      <c r="G407" s="5">
        <v>1.23E-2</v>
      </c>
      <c r="H407" t="s">
        <v>6481</v>
      </c>
      <c r="I407">
        <v>11132269700</v>
      </c>
      <c r="J407">
        <v>6.94</v>
      </c>
      <c r="K407">
        <v>0.35699999999999998</v>
      </c>
      <c r="L407" t="s">
        <v>6350</v>
      </c>
      <c r="M407" t="s">
        <v>5159</v>
      </c>
      <c r="N407" t="s">
        <v>5160</v>
      </c>
      <c r="O407" t="s">
        <v>5161</v>
      </c>
      <c r="P407">
        <v>-42.56</v>
      </c>
      <c r="Q407" t="s">
        <v>5162</v>
      </c>
      <c r="R407">
        <v>454926760</v>
      </c>
      <c r="S407" s="5">
        <v>-0.73219999999999996</v>
      </c>
      <c r="T407" t="s">
        <v>5163</v>
      </c>
      <c r="U407">
        <v>3676000000</v>
      </c>
      <c r="V407">
        <v>13573300000</v>
      </c>
      <c r="W407">
        <v>4.1399999999999997</v>
      </c>
      <c r="X407">
        <v>0.03</v>
      </c>
      <c r="Y407">
        <v>12.66</v>
      </c>
      <c r="Z407" t="s">
        <v>5164</v>
      </c>
      <c r="AA407" t="s">
        <v>1647</v>
      </c>
      <c r="AB407" t="s">
        <v>5165</v>
      </c>
      <c r="AC407" t="s">
        <v>1838</v>
      </c>
      <c r="AD407" t="s">
        <v>27</v>
      </c>
      <c r="AE407" t="s">
        <v>5166</v>
      </c>
      <c r="AF407" t="s">
        <v>9</v>
      </c>
      <c r="AG407" t="s">
        <v>5167</v>
      </c>
      <c r="AH407" t="s">
        <v>5168</v>
      </c>
      <c r="AI407" t="s">
        <v>5169</v>
      </c>
      <c r="AJ407" t="s">
        <v>5170</v>
      </c>
      <c r="AK407" t="s">
        <v>5171</v>
      </c>
      <c r="AL407" t="s">
        <v>9</v>
      </c>
      <c r="AM407" t="s">
        <v>5172</v>
      </c>
      <c r="AN407" s="5">
        <v>0.75839999999999996</v>
      </c>
      <c r="AO407" t="s">
        <v>5173</v>
      </c>
      <c r="AP407" t="s">
        <v>2693</v>
      </c>
      <c r="AQ407" t="s">
        <v>5174</v>
      </c>
      <c r="AR407" t="s">
        <v>5175</v>
      </c>
      <c r="AS407" t="s">
        <v>5176</v>
      </c>
      <c r="AT407" t="s">
        <v>5177</v>
      </c>
      <c r="AU407" t="s">
        <v>5178</v>
      </c>
      <c r="AV407" t="s">
        <v>4749</v>
      </c>
      <c r="AW407" t="s">
        <v>9</v>
      </c>
      <c r="AX407" t="s">
        <v>5179</v>
      </c>
      <c r="AY407" t="s">
        <v>5180</v>
      </c>
      <c r="AZ407" t="s">
        <v>5181</v>
      </c>
      <c r="BA407" t="s">
        <v>5182</v>
      </c>
      <c r="BB407" t="s">
        <v>5183</v>
      </c>
      <c r="BC407" t="s">
        <v>5184</v>
      </c>
      <c r="BD407" t="s">
        <v>5185</v>
      </c>
      <c r="BE407" t="s">
        <v>1770</v>
      </c>
      <c r="BF407" t="s">
        <v>2292</v>
      </c>
      <c r="BG407" t="s">
        <v>5186</v>
      </c>
      <c r="BH407" t="s">
        <v>5162</v>
      </c>
      <c r="BI407" t="s">
        <v>5187</v>
      </c>
      <c r="BJ407" t="s">
        <v>5179</v>
      </c>
      <c r="BK407" t="s">
        <v>5163</v>
      </c>
      <c r="BL407" t="s">
        <v>5188</v>
      </c>
      <c r="BM407" t="s">
        <v>5184</v>
      </c>
      <c r="BN407">
        <v>3.21</v>
      </c>
      <c r="BO407">
        <v>4.41</v>
      </c>
      <c r="BP407">
        <v>1.58</v>
      </c>
      <c r="BQ407">
        <v>13.58</v>
      </c>
      <c r="BR407">
        <v>17.79</v>
      </c>
      <c r="BS407" t="s">
        <v>9</v>
      </c>
      <c r="BT407" t="s">
        <v>5189</v>
      </c>
      <c r="BU407" t="s">
        <v>687</v>
      </c>
      <c r="BV407">
        <v>25.59</v>
      </c>
      <c r="BW407">
        <v>29.39</v>
      </c>
      <c r="BX407">
        <v>24.84</v>
      </c>
      <c r="BY407">
        <v>15.41</v>
      </c>
      <c r="BZ407">
        <v>16.760000000000002</v>
      </c>
      <c r="CA407">
        <v>11.28</v>
      </c>
      <c r="CB407">
        <v>-1.2</v>
      </c>
      <c r="CC407">
        <v>1.23</v>
      </c>
      <c r="CD407" t="s">
        <v>6482</v>
      </c>
      <c r="CE407" t="s">
        <v>202</v>
      </c>
      <c r="CF407" s="8">
        <v>-0.46947864815299972</v>
      </c>
      <c r="CG407" s="9">
        <v>-0.73219999999999996</v>
      </c>
      <c r="CH407" s="8">
        <v>-0.35424631834030151</v>
      </c>
      <c r="CI407" s="8">
        <v>0.86071610450744629</v>
      </c>
      <c r="CJ407" s="8">
        <v>0.51134711503982544</v>
      </c>
      <c r="CK407" s="8">
        <v>-0.14459525048732758</v>
      </c>
      <c r="CL407" s="8">
        <v>-2.9951784759759903E-2</v>
      </c>
      <c r="CM407" s="9">
        <v>-0.3785453736782074</v>
      </c>
      <c r="CN407" s="9">
        <v>1.7929409742355347</v>
      </c>
      <c r="CO407" s="9">
        <v>0.30769237875938416</v>
      </c>
      <c r="CP407" s="9">
        <v>0.23730964958667755</v>
      </c>
      <c r="CQ407" s="9">
        <v>-0.10199433565139771</v>
      </c>
      <c r="CR407">
        <v>7.585873730834753</v>
      </c>
      <c r="CS407">
        <v>0.20613099919978251</v>
      </c>
      <c r="CT407">
        <v>0</v>
      </c>
      <c r="CU407" s="8">
        <v>0.36801227182149887</v>
      </c>
      <c r="CV407" s="9">
        <v>0.32318797707557678</v>
      </c>
      <c r="CW407">
        <v>0.06</v>
      </c>
      <c r="CX407">
        <v>14.354671592179264</v>
      </c>
      <c r="CY407">
        <v>5712096523.66222</v>
      </c>
      <c r="CZ407">
        <v>0.36801227182149887</v>
      </c>
      <c r="DA407">
        <v>3.73632444580005</v>
      </c>
      <c r="DB407">
        <v>21945436187.205246</v>
      </c>
      <c r="DC407">
        <v>0.34961165823042389</v>
      </c>
      <c r="DD407">
        <v>1.3210894371610866</v>
      </c>
      <c r="DE407">
        <v>62066403222.632027</v>
      </c>
      <c r="DF407">
        <v>0.32385079920291898</v>
      </c>
      <c r="DG407">
        <v>0.52640499933454499</v>
      </c>
      <c r="DH407">
        <v>155764610525.45917</v>
      </c>
      <c r="DI407">
        <v>0.29440981745719913</v>
      </c>
      <c r="DJ407">
        <v>9.856125941264314E-2</v>
      </c>
      <c r="DK407">
        <v>831921894957.86719</v>
      </c>
      <c r="DL407">
        <v>0.25760859027504918</v>
      </c>
      <c r="DM407">
        <v>4426000000</v>
      </c>
      <c r="DN407">
        <v>0.36801227182149887</v>
      </c>
      <c r="DO407">
        <v>81995269700</v>
      </c>
      <c r="DP407" t="e">
        <v>#VALUE!</v>
      </c>
      <c r="DQ407">
        <v>412</v>
      </c>
      <c r="DR407">
        <v>-0.83749091997449865</v>
      </c>
      <c r="DS407">
        <v>-1.0553879770755767</v>
      </c>
      <c r="DT407">
        <v>-0.10666666666666669</v>
      </c>
      <c r="DU407">
        <v>1.0000000000000011E-2</v>
      </c>
      <c r="DV407">
        <v>-9.6666666666666679E-2</v>
      </c>
      <c r="DW407">
        <v>1.23E-2</v>
      </c>
      <c r="DX407">
        <v>0.28547151162790618</v>
      </c>
      <c r="DY407">
        <v>2.1582995930232557E-3</v>
      </c>
      <c r="DZ407">
        <v>0</v>
      </c>
      <c r="EA407">
        <v>2.1582995930232557E-3</v>
      </c>
      <c r="EB407">
        <v>0</v>
      </c>
      <c r="EC407">
        <v>2.2235639085557675E-3</v>
      </c>
      <c r="ED407">
        <v>1.2671936817133637E-2</v>
      </c>
      <c r="EE407">
        <v>0</v>
      </c>
      <c r="EF407">
        <v>0</v>
      </c>
      <c r="EG407">
        <v>11.175471511627906</v>
      </c>
      <c r="EH407" t="s">
        <v>110</v>
      </c>
      <c r="EI407">
        <v>0</v>
      </c>
      <c r="EJ407">
        <v>0</v>
      </c>
      <c r="EK407">
        <v>0</v>
      </c>
      <c r="EL407">
        <v>0</v>
      </c>
      <c r="EM407">
        <v>0</v>
      </c>
      <c r="EN407">
        <v>0</v>
      </c>
      <c r="EO407">
        <v>0</v>
      </c>
      <c r="EP407">
        <v>0</v>
      </c>
    </row>
    <row r="408" spans="1:146" ht="96" x14ac:dyDescent="0.25">
      <c r="A408" s="7"/>
      <c r="B408" s="7"/>
      <c r="C408" s="7" t="str">
        <f>""&amp;CHAR(10)&amp;Basic_Fundamental_Information_Constructure(F408)&amp;CHAR(10)&amp;Basic_Fundamental_Information_Concatenate("")</f>
        <v xml:space="preserve">
市值110.411232亿, 利润6.64亿; PE16.64; 平均PE-20.89; 平均PEG-2.04, PB1.36; ROIC9.1567%; ROE9.3067%; 股利率0%; 毛利17.1567%; 净利5.1533%; 上一年度营收增13.77%, 利润增-35.91%, 利润增7.44%; 过往5年营收增-10.26%, 利润增-57.23%
Income profile:
</v>
      </c>
      <c r="D408" s="11">
        <v>2869</v>
      </c>
      <c r="E408" t="s">
        <v>5190</v>
      </c>
      <c r="F408">
        <v>3.49</v>
      </c>
      <c r="G408" s="5">
        <v>2.8999999999999998E-3</v>
      </c>
      <c r="H408" t="s">
        <v>11489</v>
      </c>
      <c r="I408">
        <v>11041123200</v>
      </c>
      <c r="J408">
        <v>16.64</v>
      </c>
      <c r="K408">
        <v>1.36</v>
      </c>
      <c r="L408" t="s">
        <v>6350</v>
      </c>
      <c r="M408" t="s">
        <v>9</v>
      </c>
      <c r="N408" t="s">
        <v>9</v>
      </c>
      <c r="O408" t="s">
        <v>9</v>
      </c>
      <c r="P408" t="s">
        <v>9</v>
      </c>
      <c r="Q408" t="s">
        <v>11490</v>
      </c>
      <c r="R408">
        <v>663610980</v>
      </c>
      <c r="S408" s="5">
        <v>7.4399999999999994E-2</v>
      </c>
      <c r="T408" t="s">
        <v>7752</v>
      </c>
      <c r="U408">
        <v>3194113600</v>
      </c>
      <c r="V408">
        <v>3194113600</v>
      </c>
      <c r="W408" t="s">
        <v>9</v>
      </c>
      <c r="X408" t="s">
        <v>9</v>
      </c>
      <c r="Y408" t="s">
        <v>9</v>
      </c>
      <c r="Z408" t="s">
        <v>9</v>
      </c>
      <c r="AA408" t="s">
        <v>9</v>
      </c>
      <c r="AB408" t="s">
        <v>9</v>
      </c>
      <c r="AC408" t="s">
        <v>9</v>
      </c>
      <c r="AD408" t="s">
        <v>9</v>
      </c>
      <c r="AE408" t="s">
        <v>9</v>
      </c>
      <c r="AF408" t="s">
        <v>9</v>
      </c>
      <c r="AG408" t="s">
        <v>9</v>
      </c>
      <c r="AH408" t="s">
        <v>11491</v>
      </c>
      <c r="AI408" t="s">
        <v>9</v>
      </c>
      <c r="AJ408" t="s">
        <v>9</v>
      </c>
      <c r="AK408" t="s">
        <v>11492</v>
      </c>
      <c r="AL408" t="s">
        <v>9</v>
      </c>
      <c r="AM408" t="s">
        <v>9</v>
      </c>
      <c r="AN408" s="5">
        <v>0.54510000000000003</v>
      </c>
      <c r="AO408" t="s">
        <v>9</v>
      </c>
      <c r="AP408" t="s">
        <v>5582</v>
      </c>
      <c r="AQ408" t="s">
        <v>9</v>
      </c>
      <c r="AR408" t="s">
        <v>11493</v>
      </c>
      <c r="AS408" t="s">
        <v>9</v>
      </c>
      <c r="AT408" t="s">
        <v>9</v>
      </c>
      <c r="AU408" t="s">
        <v>2254</v>
      </c>
      <c r="AV408" t="s">
        <v>11494</v>
      </c>
      <c r="AW408" t="s">
        <v>9</v>
      </c>
      <c r="AX408" t="s">
        <v>5191</v>
      </c>
      <c r="AY408" t="s">
        <v>5194</v>
      </c>
      <c r="AZ408" t="s">
        <v>5195</v>
      </c>
      <c r="BA408" t="s">
        <v>5196</v>
      </c>
      <c r="BB408" t="s">
        <v>3121</v>
      </c>
      <c r="BC408" t="s">
        <v>3963</v>
      </c>
      <c r="BD408" t="s">
        <v>1201</v>
      </c>
      <c r="BE408" t="s">
        <v>5197</v>
      </c>
      <c r="BF408" t="s">
        <v>3423</v>
      </c>
      <c r="BG408" t="s">
        <v>3488</v>
      </c>
      <c r="BH408" t="s">
        <v>5191</v>
      </c>
      <c r="BI408" t="s">
        <v>9</v>
      </c>
      <c r="BJ408" t="s">
        <v>5194</v>
      </c>
      <c r="BK408" t="s">
        <v>1313</v>
      </c>
      <c r="BL408" t="s">
        <v>9</v>
      </c>
      <c r="BM408" t="s">
        <v>3963</v>
      </c>
      <c r="BN408">
        <v>8</v>
      </c>
      <c r="BO408">
        <v>7.5</v>
      </c>
      <c r="BP408">
        <v>11.97</v>
      </c>
      <c r="BQ408">
        <v>8.17</v>
      </c>
      <c r="BR408">
        <v>7.69</v>
      </c>
      <c r="BS408">
        <v>12.06</v>
      </c>
      <c r="BT408" t="s">
        <v>5670</v>
      </c>
      <c r="BU408" t="s">
        <v>410</v>
      </c>
      <c r="BV408">
        <v>16.75</v>
      </c>
      <c r="BW408">
        <v>16.170000000000002</v>
      </c>
      <c r="BX408">
        <v>18.55</v>
      </c>
      <c r="BY408">
        <v>4.12</v>
      </c>
      <c r="BZ408">
        <v>4.25</v>
      </c>
      <c r="CA408">
        <v>7.09</v>
      </c>
      <c r="CB408">
        <v>4.18</v>
      </c>
      <c r="CC408">
        <v>-12.31</v>
      </c>
      <c r="CD408" t="s">
        <v>11495</v>
      </c>
      <c r="CE408" t="s">
        <v>3700</v>
      </c>
      <c r="CF408" s="8" t="s">
        <v>9</v>
      </c>
      <c r="CG408" s="9">
        <v>7.4399999999999994E-2</v>
      </c>
      <c r="CH408" s="8">
        <v>0.13771709799766541</v>
      </c>
      <c r="CI408" s="8">
        <v>8.9166194200515747E-2</v>
      </c>
      <c r="CJ408" s="8">
        <v>0.2774595320224762</v>
      </c>
      <c r="CK408" s="8">
        <v>0.57657063007354736</v>
      </c>
      <c r="CL408" s="8">
        <v>0.23985721170902252</v>
      </c>
      <c r="CM408" s="9">
        <v>-0.35907337069511414</v>
      </c>
      <c r="CN408" s="9">
        <v>0.22314049303531647</v>
      </c>
      <c r="CO408" s="9">
        <v>0.58614230155944824</v>
      </c>
      <c r="CP408" s="9">
        <v>-2.9090909287333488E-2</v>
      </c>
      <c r="CQ408" s="9">
        <v>0.18279570341110229</v>
      </c>
      <c r="CR408">
        <v>-20.891434626300853</v>
      </c>
      <c r="CS408">
        <v>-2.0353523608855917</v>
      </c>
      <c r="CT408">
        <v>0</v>
      </c>
      <c r="CU408" s="8">
        <v>-0.1026428397744894</v>
      </c>
      <c r="CV408" s="9">
        <v>-0.57231003642082212</v>
      </c>
      <c r="CW408">
        <v>0.06</v>
      </c>
      <c r="CX408">
        <v>16.628197590361445</v>
      </c>
      <c r="CY408" t="s">
        <v>11496</v>
      </c>
      <c r="CZ408">
        <v>-0.1026428397744894</v>
      </c>
      <c r="DA408">
        <v>5.5427325301204817</v>
      </c>
      <c r="DB408" t="s">
        <v>11497</v>
      </c>
      <c r="DC408">
        <v>-9.7510697785764933E-2</v>
      </c>
      <c r="DD408">
        <v>2.7713662650602409</v>
      </c>
      <c r="DE408" t="s">
        <v>11498</v>
      </c>
      <c r="DF408">
        <v>-9.0325699001550672E-2</v>
      </c>
      <c r="DG408">
        <v>1.6628197590361447</v>
      </c>
      <c r="DH408" t="s">
        <v>11499</v>
      </c>
      <c r="DI408">
        <v>-8.2114271819591522E-2</v>
      </c>
      <c r="DJ408">
        <v>0.83140987951807233</v>
      </c>
      <c r="DK408" t="s">
        <v>11500</v>
      </c>
      <c r="DL408">
        <v>-7.1849987842142582E-2</v>
      </c>
      <c r="DM408">
        <v>664000000</v>
      </c>
      <c r="DN408">
        <v>-0.1026428397744894</v>
      </c>
      <c r="DO408">
        <v>11041123200</v>
      </c>
      <c r="DP408" t="e">
        <v>#VALUE!</v>
      </c>
      <c r="DQ408">
        <v>407</v>
      </c>
      <c r="DR408" t="e">
        <v>#VALUE!</v>
      </c>
      <c r="DS408">
        <v>0.64671003642082214</v>
      </c>
      <c r="DT408" t="e">
        <v>#VALUE!</v>
      </c>
      <c r="DU408" t="e">
        <v>#VALUE!</v>
      </c>
      <c r="DV408" t="e">
        <v>#VALUE!</v>
      </c>
      <c r="DW408">
        <v>6.2534869617950273</v>
      </c>
      <c r="DX408">
        <v>0.40188601036269261</v>
      </c>
      <c r="DY408">
        <v>6.0232919055983061</v>
      </c>
      <c r="DZ408">
        <v>0</v>
      </c>
      <c r="EA408">
        <v>6.0232919055983061</v>
      </c>
      <c r="EB408">
        <v>6</v>
      </c>
      <c r="EC408">
        <v>5.5520880659974021E-3</v>
      </c>
      <c r="ED408">
        <v>6.0423649302892672E-2</v>
      </c>
      <c r="EE408">
        <v>0</v>
      </c>
      <c r="EF408">
        <v>0</v>
      </c>
      <c r="EG408">
        <v>31.091886010362693</v>
      </c>
      <c r="EH408" t="s">
        <v>110</v>
      </c>
      <c r="EI408">
        <v>0</v>
      </c>
      <c r="EJ408">
        <v>0</v>
      </c>
      <c r="EK408">
        <v>0</v>
      </c>
      <c r="EL408">
        <v>0</v>
      </c>
      <c r="EM408">
        <v>0</v>
      </c>
      <c r="EN408">
        <v>0</v>
      </c>
      <c r="EO408">
        <v>0</v>
      </c>
      <c r="EP408">
        <v>0</v>
      </c>
    </row>
    <row r="409" spans="1:146" ht="96" x14ac:dyDescent="0.25">
      <c r="A409"/>
      <c r="B409"/>
      <c r="C409" s="7" t="str">
        <f>""&amp;CHAR(10)&amp;Basic_Fundamental_Information_Constructure(F409)&amp;CHAR(10)&amp;Basic_Fundamental_Information_Concatenate("")</f>
        <v xml:space="preserve">
市值64.7541亿, 利润10.63亿; PE6.09; 平均PE130.79; 平均PEG.89, PB.84; ROIC11.7133%; ROE11.51%; 股利率0%; 毛利74.7667%; 净利19.0133%; 上一年度营收增11.08%, 利润增55.87%, 利润增30.34%; 过往5年营收增147.74%, 利润增-969.3%
Income profile:
</v>
      </c>
      <c r="D409" s="11">
        <v>2877</v>
      </c>
      <c r="E409" t="s">
        <v>11501</v>
      </c>
      <c r="F409">
        <v>7.83</v>
      </c>
      <c r="G409">
        <v>-1.26E-2</v>
      </c>
      <c r="H409" t="s">
        <v>11502</v>
      </c>
      <c r="I409">
        <v>6475410000</v>
      </c>
      <c r="J409">
        <v>6.09</v>
      </c>
      <c r="K409">
        <v>0.84</v>
      </c>
      <c r="L409" t="s">
        <v>6350</v>
      </c>
      <c r="M409" t="s">
        <v>9</v>
      </c>
      <c r="N409" t="s">
        <v>9</v>
      </c>
      <c r="O409" t="s">
        <v>9</v>
      </c>
      <c r="P409" s="5" t="s">
        <v>9</v>
      </c>
      <c r="Q409" t="s">
        <v>1879</v>
      </c>
      <c r="R409">
        <v>1062776860</v>
      </c>
      <c r="S409">
        <v>0.3034</v>
      </c>
      <c r="T409" t="s">
        <v>987</v>
      </c>
      <c r="U409">
        <v>827000000</v>
      </c>
      <c r="V409">
        <v>827000000</v>
      </c>
      <c r="W409" t="s">
        <v>9</v>
      </c>
      <c r="X409" t="s">
        <v>9</v>
      </c>
      <c r="Y409" t="s">
        <v>9</v>
      </c>
      <c r="Z409" t="s">
        <v>9</v>
      </c>
      <c r="AA409" t="s">
        <v>9</v>
      </c>
      <c r="AB409" t="s">
        <v>9</v>
      </c>
      <c r="AC409" t="s">
        <v>9</v>
      </c>
      <c r="AD409" t="s">
        <v>2159</v>
      </c>
      <c r="AE409" t="s">
        <v>9</v>
      </c>
      <c r="AF409" t="s">
        <v>9</v>
      </c>
      <c r="AG409" t="s">
        <v>9</v>
      </c>
      <c r="AH409" t="s">
        <v>11503</v>
      </c>
      <c r="AI409" t="s">
        <v>9</v>
      </c>
      <c r="AJ409" t="s">
        <v>9</v>
      </c>
      <c r="AK409" s="5" t="s">
        <v>11504</v>
      </c>
      <c r="AL409" t="s">
        <v>9</v>
      </c>
      <c r="AM409" t="s">
        <v>9</v>
      </c>
      <c r="AN409">
        <v>0.26519999999999999</v>
      </c>
      <c r="AO409" t="s">
        <v>9</v>
      </c>
      <c r="AP409" t="s">
        <v>2950</v>
      </c>
      <c r="AQ409" t="s">
        <v>9</v>
      </c>
      <c r="AR409" t="s">
        <v>1428</v>
      </c>
      <c r="AS409" t="s">
        <v>9</v>
      </c>
      <c r="AT409" t="s">
        <v>9</v>
      </c>
      <c r="AU409" t="s">
        <v>1064</v>
      </c>
      <c r="AV409" t="s">
        <v>11505</v>
      </c>
      <c r="AW409" t="s">
        <v>9</v>
      </c>
      <c r="AX409" t="s">
        <v>11506</v>
      </c>
      <c r="AY409" t="s">
        <v>4012</v>
      </c>
      <c r="AZ409" t="s">
        <v>11507</v>
      </c>
      <c r="BA409" t="s">
        <v>11508</v>
      </c>
      <c r="BB409" t="s">
        <v>5522</v>
      </c>
      <c r="BC409" t="s">
        <v>173</v>
      </c>
      <c r="BD409" t="s">
        <v>6445</v>
      </c>
      <c r="BE409" t="s">
        <v>2132</v>
      </c>
      <c r="BF409" t="s">
        <v>227</v>
      </c>
      <c r="BG409" t="s">
        <v>3806</v>
      </c>
      <c r="BH409" t="s">
        <v>11506</v>
      </c>
      <c r="BI409" t="s">
        <v>9</v>
      </c>
      <c r="BJ409" t="s">
        <v>4012</v>
      </c>
      <c r="BK409" t="s">
        <v>1343</v>
      </c>
      <c r="BL409" t="s">
        <v>9</v>
      </c>
      <c r="BM409" t="s">
        <v>173</v>
      </c>
      <c r="BN409">
        <v>14.14</v>
      </c>
      <c r="BO409">
        <v>11.77</v>
      </c>
      <c r="BP409">
        <v>9.23</v>
      </c>
      <c r="BQ409">
        <v>13.78</v>
      </c>
      <c r="BR409">
        <v>11.32</v>
      </c>
      <c r="BS409">
        <v>9.43</v>
      </c>
      <c r="BT409" t="s">
        <v>4538</v>
      </c>
      <c r="BU409" t="s">
        <v>489</v>
      </c>
      <c r="BV409">
        <v>75.150000000000006</v>
      </c>
      <c r="BW409">
        <v>74.38</v>
      </c>
      <c r="BX409">
        <v>74.77</v>
      </c>
      <c r="BY409">
        <v>21.47</v>
      </c>
      <c r="BZ409">
        <v>18.3</v>
      </c>
      <c r="CA409">
        <v>17.27</v>
      </c>
      <c r="CB409">
        <v>-2.12</v>
      </c>
      <c r="CC409" s="8">
        <v>-20.83</v>
      </c>
      <c r="CD409" s="10" t="s">
        <v>11509</v>
      </c>
      <c r="CE409" s="8" t="s">
        <v>11510</v>
      </c>
      <c r="CF409" s="8" t="s">
        <v>9</v>
      </c>
      <c r="CG409" s="8">
        <v>0.3034</v>
      </c>
      <c r="CH409" s="8">
        <v>0.11083691567182541</v>
      </c>
      <c r="CI409" s="8">
        <v>0.12921202182769775</v>
      </c>
      <c r="CJ409" s="9">
        <v>0.24707745015621185</v>
      </c>
      <c r="CK409" s="9">
        <v>8.1681407988071442E-2</v>
      </c>
      <c r="CL409" s="9">
        <v>0.27162113785743713</v>
      </c>
      <c r="CM409" s="9">
        <v>0.55865103006362915</v>
      </c>
      <c r="CN409" s="9">
        <v>0.9375</v>
      </c>
      <c r="CO409">
        <v>-0.37366548180580139</v>
      </c>
      <c r="CP409">
        <v>-2.43055559694767E-2</v>
      </c>
      <c r="CQ409">
        <v>6.4695008099079132E-2</v>
      </c>
      <c r="CR409" s="8">
        <v>130.7895451740703</v>
      </c>
      <c r="CS409" s="9">
        <v>0.88527964964569938</v>
      </c>
      <c r="CT409">
        <v>0</v>
      </c>
      <c r="CU409">
        <v>1.4773811329156161</v>
      </c>
      <c r="CV409">
        <v>-9.693035984039307</v>
      </c>
      <c r="CW409">
        <v>0.06</v>
      </c>
      <c r="CX409">
        <v>2.6064358865001696</v>
      </c>
      <c r="CY409">
        <v>2484392588.9521699</v>
      </c>
      <c r="CZ409">
        <v>1.4773811329156161</v>
      </c>
      <c r="DA409">
        <v>0.31948945871363721</v>
      </c>
      <c r="DB409">
        <v>20267992646.993713</v>
      </c>
      <c r="DC409">
        <v>1.4035120762698352</v>
      </c>
      <c r="DD409">
        <v>3.176756287691343E-2</v>
      </c>
      <c r="DE409">
        <v>203837166391.69388</v>
      </c>
      <c r="DF409">
        <v>1.3000953969657423</v>
      </c>
      <c r="DG409">
        <v>2.2954765380315853E-3</v>
      </c>
      <c r="DH409">
        <v>2820943665820.6001</v>
      </c>
      <c r="DI409">
        <v>1.1819049063324929</v>
      </c>
      <c r="DJ409">
        <v>6.3586923483212055E-6</v>
      </c>
      <c r="DK409">
        <v>1018355606040542.2</v>
      </c>
      <c r="DL409">
        <v>1.0341667930409313</v>
      </c>
      <c r="DM409">
        <v>1063000000.0000001</v>
      </c>
      <c r="DN409">
        <v>1.4773811329156161</v>
      </c>
      <c r="DO409">
        <v>6475410000</v>
      </c>
      <c r="DP409" t="e">
        <v>#VALUE!</v>
      </c>
      <c r="DQ409">
        <v>408</v>
      </c>
      <c r="DR409" t="e">
        <v>#VALUE!</v>
      </c>
      <c r="DS409">
        <v>9.9964359840393069</v>
      </c>
      <c r="DT409" t="e">
        <v>#VALUE!</v>
      </c>
      <c r="DU409" t="e">
        <v>#VALUE!</v>
      </c>
      <c r="DV409" t="e">
        <v>#VALUE!</v>
      </c>
      <c r="DW409">
        <v>-3.0546250000000001</v>
      </c>
      <c r="DX409">
        <v>0.32889579984624995</v>
      </c>
      <c r="DY409">
        <v>-3.0108646830666013</v>
      </c>
      <c r="DZ409">
        <v>0</v>
      </c>
      <c r="EA409">
        <v>-3.0108646830666013</v>
      </c>
      <c r="EB409">
        <v>3</v>
      </c>
      <c r="EC409">
        <v>5.1620314389359129E-3</v>
      </c>
      <c r="ED409">
        <v>2.5953446191051995E-2</v>
      </c>
      <c r="EE409">
        <v>0</v>
      </c>
      <c r="EF409">
        <v>0</v>
      </c>
      <c r="EG409">
        <v>13.19889579984625</v>
      </c>
      <c r="EH409" t="s">
        <v>110</v>
      </c>
      <c r="EI409">
        <v>0</v>
      </c>
      <c r="EJ409">
        <v>0</v>
      </c>
      <c r="EK409">
        <v>0</v>
      </c>
      <c r="EL409">
        <v>0</v>
      </c>
      <c r="EM409">
        <v>0</v>
      </c>
      <c r="EN409">
        <v>0</v>
      </c>
      <c r="EO409">
        <v>0</v>
      </c>
      <c r="EP409">
        <v>0</v>
      </c>
    </row>
    <row r="410" spans="1:146" ht="96" x14ac:dyDescent="0.25">
      <c r="A410" s="7"/>
      <c r="B410" s="7"/>
      <c r="C410" s="7" t="str">
        <f>""&amp;CHAR(10)&amp;Basic_Fundamental_Information_Constructure(F410)&amp;CHAR(10)&amp;Basic_Fundamental_Information_Concatenate("")</f>
        <v xml:space="preserve">
市值146.3211亿, 利润14.72亿; PE10.25; 平均PE44.79; 平均PEG11.08, PB.339; ROIC3.6033%; ROE3.9167%; 股利率0%; 毛利27.4033%; 净利13.8533%; 上一年度营收增-2.55%, 利润增-37.25%; 当季营收增-12.44%, 利润增-9.95%; 过往5年营收增-4.04%, 利润增28.35%
Income profile:
</v>
      </c>
      <c r="D410" s="11">
        <v>2880</v>
      </c>
      <c r="E410" t="s">
        <v>5199</v>
      </c>
      <c r="F410">
        <v>0.61</v>
      </c>
      <c r="G410" s="5">
        <v>-1.61E-2</v>
      </c>
      <c r="H410" t="s">
        <v>11511</v>
      </c>
      <c r="I410">
        <v>14632110000</v>
      </c>
      <c r="J410">
        <v>10.25</v>
      </c>
      <c r="K410">
        <v>0.33900000000000002</v>
      </c>
      <c r="L410" t="s">
        <v>6350</v>
      </c>
      <c r="M410" t="s">
        <v>11512</v>
      </c>
      <c r="N410" t="s">
        <v>11513</v>
      </c>
      <c r="O410" t="s">
        <v>3130</v>
      </c>
      <c r="P410">
        <v>0.44</v>
      </c>
      <c r="Q410" t="s">
        <v>5908</v>
      </c>
      <c r="R410">
        <v>1472316200</v>
      </c>
      <c r="S410" s="5">
        <v>-9.9500000000000005E-2</v>
      </c>
      <c r="T410" t="s">
        <v>7853</v>
      </c>
      <c r="U410">
        <v>5158716000</v>
      </c>
      <c r="V410">
        <v>23987066000</v>
      </c>
      <c r="W410">
        <v>1.43</v>
      </c>
      <c r="X410">
        <v>0.05</v>
      </c>
      <c r="Y410">
        <v>19.82</v>
      </c>
      <c r="Z410" t="s">
        <v>174</v>
      </c>
      <c r="AA410" t="s">
        <v>11514</v>
      </c>
      <c r="AB410" t="s">
        <v>9</v>
      </c>
      <c r="AC410" t="s">
        <v>1003</v>
      </c>
      <c r="AD410" t="s">
        <v>11515</v>
      </c>
      <c r="AE410" t="s">
        <v>38</v>
      </c>
      <c r="AF410" t="s">
        <v>9</v>
      </c>
      <c r="AG410" t="s">
        <v>11516</v>
      </c>
      <c r="AH410" t="s">
        <v>11517</v>
      </c>
      <c r="AI410" t="s">
        <v>11518</v>
      </c>
      <c r="AJ410" t="s">
        <v>11519</v>
      </c>
      <c r="AK410" t="s">
        <v>11520</v>
      </c>
      <c r="AL410" t="s">
        <v>9</v>
      </c>
      <c r="AM410" t="s">
        <v>1728</v>
      </c>
      <c r="AN410" s="5">
        <v>0.2472</v>
      </c>
      <c r="AO410" t="s">
        <v>136</v>
      </c>
      <c r="AP410" t="s">
        <v>673</v>
      </c>
      <c r="AQ410" t="s">
        <v>2061</v>
      </c>
      <c r="AR410" t="s">
        <v>11521</v>
      </c>
      <c r="AS410" t="s">
        <v>11522</v>
      </c>
      <c r="AT410" t="s">
        <v>11523</v>
      </c>
      <c r="AU410" t="s">
        <v>11524</v>
      </c>
      <c r="AV410" t="s">
        <v>11525</v>
      </c>
      <c r="AW410" t="s">
        <v>11526</v>
      </c>
      <c r="AX410" t="s">
        <v>1420</v>
      </c>
      <c r="AY410" t="s">
        <v>5203</v>
      </c>
      <c r="AZ410" t="s">
        <v>5204</v>
      </c>
      <c r="BA410" t="s">
        <v>5205</v>
      </c>
      <c r="BB410" t="s">
        <v>4837</v>
      </c>
      <c r="BC410" t="s">
        <v>5206</v>
      </c>
      <c r="BD410" t="s">
        <v>5207</v>
      </c>
      <c r="BE410" t="s">
        <v>3779</v>
      </c>
      <c r="BF410" t="s">
        <v>2223</v>
      </c>
      <c r="BG410" t="s">
        <v>3487</v>
      </c>
      <c r="BH410" t="s">
        <v>1420</v>
      </c>
      <c r="BI410" t="s">
        <v>5208</v>
      </c>
      <c r="BJ410" t="s">
        <v>5203</v>
      </c>
      <c r="BK410" t="s">
        <v>2675</v>
      </c>
      <c r="BL410" t="s">
        <v>1148</v>
      </c>
      <c r="BM410" t="s">
        <v>5206</v>
      </c>
      <c r="BN410">
        <v>3.15</v>
      </c>
      <c r="BO410">
        <v>3.07</v>
      </c>
      <c r="BP410">
        <v>4.59</v>
      </c>
      <c r="BQ410">
        <v>3.39</v>
      </c>
      <c r="BR410">
        <v>3.31</v>
      </c>
      <c r="BS410">
        <v>5.05</v>
      </c>
      <c r="BT410" t="s">
        <v>11527</v>
      </c>
      <c r="BU410" t="s">
        <v>687</v>
      </c>
      <c r="BV410">
        <v>26.87</v>
      </c>
      <c r="BW410">
        <v>25.06</v>
      </c>
      <c r="BX410">
        <v>30.28</v>
      </c>
      <c r="BY410">
        <v>12.48</v>
      </c>
      <c r="BZ410">
        <v>12.07</v>
      </c>
      <c r="CA410">
        <v>17.010000000000002</v>
      </c>
      <c r="CB410">
        <v>-3.17</v>
      </c>
      <c r="CC410">
        <v>-6.15</v>
      </c>
      <c r="CD410" t="s">
        <v>11528</v>
      </c>
      <c r="CE410" t="s">
        <v>11529</v>
      </c>
      <c r="CF410" s="8">
        <v>-0.12436115843270869</v>
      </c>
      <c r="CG410" s="9">
        <v>-9.9500000000000005E-2</v>
      </c>
      <c r="CH410" s="8">
        <v>-2.5548506528139114E-2</v>
      </c>
      <c r="CI410" s="8">
        <v>-9.2173002660274506E-2</v>
      </c>
      <c r="CJ410" s="8">
        <v>4.4981546700000763E-2</v>
      </c>
      <c r="CK410" s="8">
        <v>0.8615264892578125</v>
      </c>
      <c r="CL410" s="8">
        <v>-0.28971189260482788</v>
      </c>
      <c r="CM410" s="9">
        <v>-0.37254899740219116</v>
      </c>
      <c r="CN410" s="9">
        <v>-4.1275106370449066E-2</v>
      </c>
      <c r="CO410" s="9">
        <v>2.0473225116729736</v>
      </c>
      <c r="CP410" s="9">
        <v>0.34731543064117432</v>
      </c>
      <c r="CQ410" s="9">
        <v>-6.6666668280959129E-3</v>
      </c>
      <c r="CR410">
        <v>44.791289069955603</v>
      </c>
      <c r="CS410">
        <v>11.079700554048005</v>
      </c>
      <c r="CT410">
        <v>0</v>
      </c>
      <c r="CU410" s="8">
        <v>-4.0426443703472613E-2</v>
      </c>
      <c r="CV410" s="9">
        <v>0.28353580534458162</v>
      </c>
      <c r="CW410">
        <v>0.06</v>
      </c>
      <c r="CX410" t="s">
        <v>6351</v>
      </c>
      <c r="CY410" t="s">
        <v>11530</v>
      </c>
      <c r="CZ410">
        <v>-4.0426443703472613E-2</v>
      </c>
      <c r="DA410" t="s">
        <v>6351</v>
      </c>
      <c r="DB410" t="s">
        <v>9555</v>
      </c>
      <c r="DC410">
        <v>-3.8405121518298981E-2</v>
      </c>
      <c r="DD410" t="s">
        <v>6351</v>
      </c>
      <c r="DE410" t="s">
        <v>11531</v>
      </c>
      <c r="DF410">
        <v>-3.5575270459055897E-2</v>
      </c>
      <c r="DG410" t="s">
        <v>6351</v>
      </c>
      <c r="DH410" t="s">
        <v>9557</v>
      </c>
      <c r="DI410">
        <v>-3.234115496277809E-2</v>
      </c>
      <c r="DJ410" t="s">
        <v>6351</v>
      </c>
      <c r="DK410" t="s">
        <v>11532</v>
      </c>
      <c r="DL410">
        <v>-2.8298510592430826E-2</v>
      </c>
      <c r="DM410">
        <v>1472000000</v>
      </c>
      <c r="DN410">
        <v>-4.0426443703472613E-2</v>
      </c>
      <c r="DO410">
        <v>-16642890000</v>
      </c>
      <c r="DP410" t="e">
        <v>#VALUE!</v>
      </c>
      <c r="DQ410">
        <v>409</v>
      </c>
      <c r="DR410">
        <v>-8.3934714729236082E-2</v>
      </c>
      <c r="DS410">
        <v>-0.38303580534458159</v>
      </c>
      <c r="DT410">
        <v>-0.72333333333333327</v>
      </c>
      <c r="DU410">
        <v>1.0666666666666667</v>
      </c>
      <c r="DV410">
        <v>0.34333333333333338</v>
      </c>
      <c r="DW410">
        <v>-8.5154471544715449</v>
      </c>
      <c r="DX410">
        <v>0.13127959504937611</v>
      </c>
      <c r="DY410">
        <v>-8.0470498075295165</v>
      </c>
      <c r="DZ410">
        <v>0</v>
      </c>
      <c r="EA410">
        <v>-8.0470498075295165</v>
      </c>
      <c r="EB410">
        <v>8</v>
      </c>
      <c r="EC410">
        <v>1.929039591586566E-4</v>
      </c>
      <c r="ED410">
        <v>2.1133305757361073E-3</v>
      </c>
      <c r="EE410">
        <v>0</v>
      </c>
      <c r="EF410">
        <v>0</v>
      </c>
      <c r="EG410">
        <v>4.0912795950493761</v>
      </c>
      <c r="EH410" t="s">
        <v>110</v>
      </c>
      <c r="EI410">
        <v>0</v>
      </c>
      <c r="EJ410">
        <v>0</v>
      </c>
      <c r="EK410">
        <v>0</v>
      </c>
      <c r="EL410">
        <v>0</v>
      </c>
      <c r="EM410">
        <v>0</v>
      </c>
      <c r="EN410">
        <v>0</v>
      </c>
      <c r="EO410">
        <v>0</v>
      </c>
      <c r="EP410">
        <v>0</v>
      </c>
    </row>
    <row r="411" spans="1:146" ht="108" x14ac:dyDescent="0.25">
      <c r="A411" s="7"/>
      <c r="B411" s="7"/>
      <c r="C411" s="7" t="str">
        <f>""&amp;CHAR(10)&amp;Basic_Fundamental_Information_Constructure(F411)&amp;CHAR(10)&amp;Basic_Fundamental_Information_Concatenate("")</f>
        <v xml:space="preserve">
市值351.18917亿, 利润33.03亿; PE9.96; 平均PE24.88; 平均PEG1.94, PB.769; ROIC3.1233%; ROE4.68%; 股利率0%; 毛利53.6067%; 净利5.1833%; 上一年度营收增20.18%, 利润增762.4%; 当季营收增30.55%, 利润增48.42%; 过往5年营收增12.8%, 利润增18.32%
Income profile:
</v>
      </c>
      <c r="D411" s="11">
        <v>2883</v>
      </c>
      <c r="E411" t="s">
        <v>5209</v>
      </c>
      <c r="F411">
        <v>7.36</v>
      </c>
      <c r="G411" s="5">
        <v>-3.1600000000000003E-2</v>
      </c>
      <c r="H411" t="s">
        <v>11533</v>
      </c>
      <c r="I411">
        <v>35118917000</v>
      </c>
      <c r="J411">
        <v>9.9600000000000009</v>
      </c>
      <c r="K411">
        <v>0.76900000000000002</v>
      </c>
      <c r="L411" t="s">
        <v>6350</v>
      </c>
      <c r="M411" t="s">
        <v>11534</v>
      </c>
      <c r="N411" t="s">
        <v>11535</v>
      </c>
      <c r="O411" t="s">
        <v>7686</v>
      </c>
      <c r="P411">
        <v>20.010000000000002</v>
      </c>
      <c r="Q411" t="s">
        <v>8483</v>
      </c>
      <c r="R411">
        <v>3303130100</v>
      </c>
      <c r="S411" s="5">
        <v>0.48420000000000002</v>
      </c>
      <c r="T411" t="s">
        <v>1682</v>
      </c>
      <c r="U411">
        <v>1811124000</v>
      </c>
      <c r="V411">
        <v>4771592000</v>
      </c>
      <c r="W411">
        <v>1.95</v>
      </c>
      <c r="X411">
        <v>0.12</v>
      </c>
      <c r="Y411">
        <v>9.8699999999999992</v>
      </c>
      <c r="Z411" t="s">
        <v>1088</v>
      </c>
      <c r="AA411" t="s">
        <v>11536</v>
      </c>
      <c r="AB411" t="s">
        <v>11537</v>
      </c>
      <c r="AC411" t="s">
        <v>1287</v>
      </c>
      <c r="AD411" t="s">
        <v>11538</v>
      </c>
      <c r="AE411" t="s">
        <v>3884</v>
      </c>
      <c r="AF411" t="s">
        <v>9</v>
      </c>
      <c r="AG411" t="s">
        <v>11539</v>
      </c>
      <c r="AH411" t="s">
        <v>11540</v>
      </c>
      <c r="AI411" t="s">
        <v>11541</v>
      </c>
      <c r="AJ411" t="s">
        <v>11542</v>
      </c>
      <c r="AK411" t="s">
        <v>11543</v>
      </c>
      <c r="AL411" t="s">
        <v>9</v>
      </c>
      <c r="AM411" t="s">
        <v>11544</v>
      </c>
      <c r="AN411" s="5">
        <v>0.47860000000000003</v>
      </c>
      <c r="AO411" t="s">
        <v>11545</v>
      </c>
      <c r="AP411" t="s">
        <v>11546</v>
      </c>
      <c r="AQ411" t="s">
        <v>11547</v>
      </c>
      <c r="AR411" t="s">
        <v>11548</v>
      </c>
      <c r="AS411" t="s">
        <v>4846</v>
      </c>
      <c r="AT411" t="s">
        <v>11549</v>
      </c>
      <c r="AU411" t="s">
        <v>11550</v>
      </c>
      <c r="AV411" t="s">
        <v>11551</v>
      </c>
      <c r="AW411" t="s">
        <v>2009</v>
      </c>
      <c r="AX411" t="s">
        <v>5210</v>
      </c>
      <c r="AY411" t="s">
        <v>5213</v>
      </c>
      <c r="AZ411" t="s">
        <v>5214</v>
      </c>
      <c r="BA411" t="s">
        <v>5215</v>
      </c>
      <c r="BB411" t="s">
        <v>5216</v>
      </c>
      <c r="BC411" t="s">
        <v>247</v>
      </c>
      <c r="BD411" t="s">
        <v>5217</v>
      </c>
      <c r="BE411" t="s">
        <v>5218</v>
      </c>
      <c r="BF411" t="s">
        <v>5219</v>
      </c>
      <c r="BG411" t="s">
        <v>5220</v>
      </c>
      <c r="BH411" t="s">
        <v>5210</v>
      </c>
      <c r="BI411" t="s">
        <v>4268</v>
      </c>
      <c r="BJ411" t="s">
        <v>5213</v>
      </c>
      <c r="BK411" t="s">
        <v>5211</v>
      </c>
      <c r="BL411" t="s">
        <v>215</v>
      </c>
      <c r="BM411" t="s">
        <v>247</v>
      </c>
      <c r="BN411">
        <v>4.91</v>
      </c>
      <c r="BO411">
        <v>3.96</v>
      </c>
      <c r="BP411">
        <v>0.5</v>
      </c>
      <c r="BQ411">
        <v>7.24</v>
      </c>
      <c r="BR411">
        <v>5.98</v>
      </c>
      <c r="BS411">
        <v>0.82</v>
      </c>
      <c r="BT411" t="s">
        <v>5221</v>
      </c>
      <c r="BU411" t="s">
        <v>1410</v>
      </c>
      <c r="BV411">
        <v>51.13</v>
      </c>
      <c r="BW411">
        <v>51.57</v>
      </c>
      <c r="BX411">
        <v>58.12</v>
      </c>
      <c r="BY411">
        <v>7.45</v>
      </c>
      <c r="BZ411">
        <v>7</v>
      </c>
      <c r="CA411">
        <v>1.1000000000000001</v>
      </c>
      <c r="CB411">
        <v>-4.29</v>
      </c>
      <c r="CC411">
        <v>-13.3</v>
      </c>
      <c r="CD411" t="s">
        <v>11552</v>
      </c>
      <c r="CE411" t="s">
        <v>44</v>
      </c>
      <c r="CF411" s="8">
        <v>0.30547928852811268</v>
      </c>
      <c r="CG411" s="9">
        <v>0.48420000000000002</v>
      </c>
      <c r="CH411" s="8">
        <v>0.20180723071098328</v>
      </c>
      <c r="CI411" s="8">
        <v>0.12473046034574509</v>
      </c>
      <c r="CJ411" s="8">
        <v>3.599611297249794E-2</v>
      </c>
      <c r="CK411" s="8">
        <v>0.38346704840660095</v>
      </c>
      <c r="CL411" s="8">
        <v>0.19057857990264893</v>
      </c>
      <c r="CM411" s="9">
        <v>7.624021053314209</v>
      </c>
      <c r="CN411" s="9">
        <v>-0.88112974166870117</v>
      </c>
      <c r="CO411" s="9">
        <v>0.15236055850982666</v>
      </c>
      <c r="CP411" s="9">
        <v>33.683284759521484</v>
      </c>
      <c r="CQ411" s="9">
        <v>0.57211446762084961</v>
      </c>
      <c r="CR411">
        <v>24.883502834199341</v>
      </c>
      <c r="CS411">
        <v>1.943741450405118</v>
      </c>
      <c r="CT411">
        <v>0</v>
      </c>
      <c r="CU411" s="8">
        <v>0.1280185841023922</v>
      </c>
      <c r="CV411" s="9">
        <v>0.18316546231508254</v>
      </c>
      <c r="CW411">
        <v>0.06</v>
      </c>
      <c r="CX411">
        <v>8.9073615799625543</v>
      </c>
      <c r="CY411">
        <v>3514948474.8020768</v>
      </c>
      <c r="CZ411">
        <v>0.1280185841023922</v>
      </c>
      <c r="DA411">
        <v>2.8190204159640051</v>
      </c>
      <c r="DB411">
        <v>11106310838.580238</v>
      </c>
      <c r="DC411">
        <v>0.12161765489727258</v>
      </c>
      <c r="DD411">
        <v>1.328701729224977</v>
      </c>
      <c r="DE411">
        <v>23563540493.216854</v>
      </c>
      <c r="DF411">
        <v>0.11265635401010514</v>
      </c>
      <c r="DG411">
        <v>0.75908395963305664</v>
      </c>
      <c r="DH411">
        <v>41245657483.178566</v>
      </c>
      <c r="DI411">
        <v>0.10241486728191376</v>
      </c>
      <c r="DJ411">
        <v>0.35044057924084598</v>
      </c>
      <c r="DK411">
        <v>89341585577.286804</v>
      </c>
      <c r="DL411">
        <v>8.9613008871674532E-2</v>
      </c>
      <c r="DM411">
        <v>3303000000</v>
      </c>
      <c r="DN411">
        <v>0.1280185841023922</v>
      </c>
      <c r="DO411">
        <v>31308917000</v>
      </c>
      <c r="DP411" t="e">
        <v>#VALUE!</v>
      </c>
      <c r="DQ411">
        <v>410</v>
      </c>
      <c r="DR411">
        <v>0.17746070442572048</v>
      </c>
      <c r="DS411">
        <v>0.3010345376849175</v>
      </c>
      <c r="DT411">
        <v>-0.32333333333333336</v>
      </c>
      <c r="DU411">
        <v>0.98333333333333328</v>
      </c>
      <c r="DV411">
        <v>0.65999999999999992</v>
      </c>
      <c r="DW411">
        <v>-8.3225563909774429</v>
      </c>
      <c r="DX411">
        <v>0.4625534374999995</v>
      </c>
      <c r="DY411">
        <v>-8.0556582140507516</v>
      </c>
      <c r="DZ411">
        <v>0</v>
      </c>
      <c r="EA411">
        <v>-8.0556582140507516</v>
      </c>
      <c r="EB411">
        <v>8</v>
      </c>
      <c r="EC411">
        <v>1.1572049747757142E-2</v>
      </c>
      <c r="ED411">
        <v>6.7063571235763661E-2</v>
      </c>
      <c r="EE411">
        <v>0</v>
      </c>
      <c r="EF411">
        <v>0</v>
      </c>
      <c r="EG411">
        <v>29.1725534375</v>
      </c>
      <c r="EH411" t="s">
        <v>110</v>
      </c>
      <c r="EI411">
        <v>0</v>
      </c>
      <c r="EJ411">
        <v>0</v>
      </c>
      <c r="EK411">
        <v>0</v>
      </c>
      <c r="EL411">
        <v>0</v>
      </c>
      <c r="EM411">
        <v>0</v>
      </c>
      <c r="EN411">
        <v>0</v>
      </c>
      <c r="EO411">
        <v>0</v>
      </c>
      <c r="EP411">
        <v>0</v>
      </c>
    </row>
    <row r="412" spans="1:146" ht="96" x14ac:dyDescent="0.25">
      <c r="A412" s="7"/>
      <c r="B412" s="7"/>
      <c r="C412" s="7" t="str">
        <f>""&amp;CHAR(10)&amp;Basic_Fundamental_Information_Constructure(F412)&amp;CHAR(10)&amp;Basic_Fundamental_Information_Concatenate("")</f>
        <v xml:space="preserve">
市值1823.2204亿, 利润235.66亿; PE7.6; 平均PE46.53; 平均PEG3.18, PB.53; ROIC0%; ROE5.61%; 毛利0%; 净利17.5733%; 上一年度营收增10.47%, 利润增58.64%; 当季营收增19.43%, 利润增4.8%; 过往5年营收增-14.65%, 利润增-104.12%
Income profile:
</v>
      </c>
      <c r="D412" s="11">
        <v>2888</v>
      </c>
      <c r="E412" t="s">
        <v>5222</v>
      </c>
      <c r="F412">
        <v>71.400000000000006</v>
      </c>
      <c r="G412" s="5">
        <v>-6.3E-3</v>
      </c>
      <c r="H412" t="s">
        <v>11553</v>
      </c>
      <c r="I412">
        <v>182322040000</v>
      </c>
      <c r="J412">
        <v>7.6</v>
      </c>
      <c r="K412">
        <v>0.53</v>
      </c>
      <c r="L412" t="s">
        <v>6350</v>
      </c>
      <c r="M412" t="s">
        <v>11554</v>
      </c>
      <c r="N412" t="s">
        <v>11555</v>
      </c>
      <c r="O412" t="s">
        <v>6557</v>
      </c>
      <c r="P412" t="s">
        <v>9</v>
      </c>
      <c r="Q412" t="s">
        <v>11556</v>
      </c>
      <c r="R412">
        <v>23565787000</v>
      </c>
      <c r="S412" s="5">
        <v>4.8000000000000001E-2</v>
      </c>
      <c r="T412" t="s">
        <v>11557</v>
      </c>
      <c r="U412">
        <v>2591139600</v>
      </c>
      <c r="V412">
        <v>2591139600</v>
      </c>
      <c r="W412">
        <v>18.5</v>
      </c>
      <c r="X412">
        <v>0.01</v>
      </c>
      <c r="Y412">
        <v>37.19</v>
      </c>
      <c r="Z412" t="s">
        <v>9</v>
      </c>
      <c r="AA412" t="s">
        <v>9</v>
      </c>
      <c r="AB412" t="s">
        <v>9</v>
      </c>
      <c r="AC412" t="s">
        <v>9</v>
      </c>
      <c r="AD412" t="s">
        <v>11558</v>
      </c>
      <c r="AE412" t="s">
        <v>9</v>
      </c>
      <c r="AF412" t="s">
        <v>9</v>
      </c>
      <c r="AG412" t="s">
        <v>11559</v>
      </c>
      <c r="AH412" t="s">
        <v>11560</v>
      </c>
      <c r="AI412" t="s">
        <v>9</v>
      </c>
      <c r="AJ412" t="s">
        <v>9</v>
      </c>
      <c r="AK412" t="s">
        <v>11561</v>
      </c>
      <c r="AL412" t="s">
        <v>9</v>
      </c>
      <c r="AM412" t="s">
        <v>11562</v>
      </c>
      <c r="AN412" s="5">
        <v>0.93740000000000001</v>
      </c>
      <c r="AO412" t="s">
        <v>9</v>
      </c>
      <c r="AP412" t="s">
        <v>9</v>
      </c>
      <c r="AQ412" t="s">
        <v>9</v>
      </c>
      <c r="AR412" t="s">
        <v>9</v>
      </c>
      <c r="AS412" t="s">
        <v>9</v>
      </c>
      <c r="AT412" t="s">
        <v>9</v>
      </c>
      <c r="AU412" t="s">
        <v>11563</v>
      </c>
      <c r="AV412" t="s">
        <v>11564</v>
      </c>
      <c r="AW412" t="s">
        <v>9</v>
      </c>
      <c r="AX412" t="s">
        <v>5223</v>
      </c>
      <c r="AY412" t="s">
        <v>5225</v>
      </c>
      <c r="AZ412" t="s">
        <v>5226</v>
      </c>
      <c r="BA412" t="s">
        <v>5227</v>
      </c>
      <c r="BB412" t="s">
        <v>5228</v>
      </c>
      <c r="BC412" t="s">
        <v>5229</v>
      </c>
      <c r="BD412" t="s">
        <v>88</v>
      </c>
      <c r="BE412" t="s">
        <v>5230</v>
      </c>
      <c r="BF412" t="s">
        <v>4607</v>
      </c>
      <c r="BG412" t="s">
        <v>5231</v>
      </c>
      <c r="BH412" t="s">
        <v>5223</v>
      </c>
      <c r="BI412" t="s">
        <v>3932</v>
      </c>
      <c r="BJ412" t="s">
        <v>5225</v>
      </c>
      <c r="BK412" t="s">
        <v>5224</v>
      </c>
      <c r="BL412" t="s">
        <v>2260</v>
      </c>
      <c r="BM412" t="s">
        <v>5229</v>
      </c>
      <c r="BN412" t="s">
        <v>9</v>
      </c>
      <c r="BO412" t="s">
        <v>9</v>
      </c>
      <c r="BP412" t="s">
        <v>9</v>
      </c>
      <c r="BQ412">
        <v>6.79</v>
      </c>
      <c r="BR412">
        <v>5.9</v>
      </c>
      <c r="BS412">
        <v>4.1399999999999997</v>
      </c>
      <c r="BT412" t="s">
        <v>11565</v>
      </c>
      <c r="BU412" t="s">
        <v>422</v>
      </c>
      <c r="BV412" t="s">
        <v>9</v>
      </c>
      <c r="BW412" t="s">
        <v>9</v>
      </c>
      <c r="BX412" t="s">
        <v>9</v>
      </c>
      <c r="BY412">
        <v>19.21</v>
      </c>
      <c r="BZ412">
        <v>17.78</v>
      </c>
      <c r="CA412">
        <v>15.73</v>
      </c>
      <c r="CB412">
        <v>-0.42</v>
      </c>
      <c r="CC412">
        <v>-6.11</v>
      </c>
      <c r="CD412" t="s">
        <v>11566</v>
      </c>
      <c r="CE412" t="s">
        <v>11567</v>
      </c>
      <c r="CF412" s="8">
        <v>0.19431138615334265</v>
      </c>
      <c r="CG412" s="9">
        <v>4.8000000000000001E-2</v>
      </c>
      <c r="CH412" s="8">
        <v>0.1046612486243248</v>
      </c>
      <c r="CI412" s="8">
        <v>0.11142036318778992</v>
      </c>
      <c r="CJ412" s="8">
        <v>2.1855025552213192E-3</v>
      </c>
      <c r="CK412" s="8">
        <v>-1.2679403647780418E-2</v>
      </c>
      <c r="CL412" s="8">
        <v>2.7857394888997078E-2</v>
      </c>
      <c r="CM412" s="9">
        <v>0.58640187978744507</v>
      </c>
      <c r="CN412" s="9">
        <v>4.8232064247131348</v>
      </c>
      <c r="CO412" s="9">
        <v>-0.82339906692504883</v>
      </c>
      <c r="CP412" s="9">
        <v>1.9838875532150269</v>
      </c>
      <c r="CQ412" s="9">
        <v>-0.19957011938095093</v>
      </c>
      <c r="CR412">
        <v>46.532487132587519</v>
      </c>
      <c r="CS412">
        <v>3.1766961723827079</v>
      </c>
      <c r="CT412" t="e">
        <v>#VALUE!</v>
      </c>
      <c r="CU412" s="8">
        <v>-0.14648076053708792</v>
      </c>
      <c r="CV412" s="9">
        <v>-1.0412111952900887</v>
      </c>
      <c r="CW412">
        <v>0.06</v>
      </c>
      <c r="CX412">
        <v>243.77068827972502</v>
      </c>
      <c r="CY412" t="s">
        <v>11568</v>
      </c>
      <c r="CZ412">
        <v>-0.14648076053708792</v>
      </c>
      <c r="DA412">
        <v>81.256896093241679</v>
      </c>
      <c r="DB412" t="s">
        <v>11569</v>
      </c>
      <c r="DC412">
        <v>-0.1391567225102335</v>
      </c>
      <c r="DD412">
        <v>40.628448046620839</v>
      </c>
      <c r="DE412" t="s">
        <v>11570</v>
      </c>
      <c r="DF412">
        <v>-0.12890306927263737</v>
      </c>
      <c r="DG412">
        <v>24.377068827972504</v>
      </c>
      <c r="DH412" t="s">
        <v>11571</v>
      </c>
      <c r="DI412">
        <v>-0.11718460842967034</v>
      </c>
      <c r="DJ412">
        <v>12.188534413986252</v>
      </c>
      <c r="DK412" t="s">
        <v>11572</v>
      </c>
      <c r="DL412">
        <v>-0.10253653237596154</v>
      </c>
      <c r="DM412">
        <v>23566000000</v>
      </c>
      <c r="DN412">
        <v>-0.14648076053708792</v>
      </c>
      <c r="DO412">
        <v>5744700040000</v>
      </c>
      <c r="DP412" t="e">
        <v>#VALUE!</v>
      </c>
      <c r="DQ412">
        <v>411</v>
      </c>
      <c r="DR412">
        <v>0.34079214669043056</v>
      </c>
      <c r="DS412">
        <v>1.0892111952900887</v>
      </c>
      <c r="DT412">
        <v>-0.748</v>
      </c>
      <c r="DU412">
        <v>0.33999999999999997</v>
      </c>
      <c r="DV412">
        <v>-0.40800000000000003</v>
      </c>
      <c r="DW412">
        <v>-2.0611000000000002</v>
      </c>
      <c r="DX412">
        <v>0.19255015306733228</v>
      </c>
      <c r="DY412">
        <v>-2.0056548143524142</v>
      </c>
      <c r="DZ412">
        <v>0</v>
      </c>
      <c r="EA412">
        <v>-2.0056548143524142</v>
      </c>
      <c r="EB412">
        <v>2</v>
      </c>
      <c r="EC412">
        <v>4.1769266310468184E-4</v>
      </c>
      <c r="ED412">
        <v>4.5131493494213895E-3</v>
      </c>
      <c r="EE412">
        <v>0</v>
      </c>
      <c r="EF412">
        <v>0</v>
      </c>
      <c r="EG412">
        <v>10.092550153067332</v>
      </c>
      <c r="EH412" t="s">
        <v>110</v>
      </c>
      <c r="EI412">
        <v>0</v>
      </c>
      <c r="EJ412">
        <v>0</v>
      </c>
      <c r="EK412">
        <v>0</v>
      </c>
      <c r="EL412">
        <v>0</v>
      </c>
      <c r="EM412">
        <v>0</v>
      </c>
      <c r="EN412">
        <v>0</v>
      </c>
      <c r="EO412">
        <v>0</v>
      </c>
      <c r="EP412">
        <v>0</v>
      </c>
    </row>
    <row r="413" spans="1:146" ht="96" x14ac:dyDescent="0.25">
      <c r="A413" s="7"/>
      <c r="B413" s="7"/>
      <c r="C413" s="7" t="str">
        <f>""&amp;CHAR(10)&amp;Basic_Fundamental_Information_Constructure(F413)&amp;CHAR(10)&amp;Basic_Fundamental_Information_Concatenate("")</f>
        <v xml:space="preserve">
市值4241.8311亿, 利润231.51亿; PE17.91; 平均PE84.01; 平均PEG11.39, PB3.37; ROIC11.0667%; ROE21.41%; 毛利14.3%; 净利9.1167%; 上一年度营收增5.39%, 利润增20.63%; 当季营收增.8%, 利润增8.57%; 过往5年营收增7.38%, 利润增25%
Income profile:
</v>
      </c>
      <c r="D413" s="11">
        <v>2899</v>
      </c>
      <c r="E413" t="s">
        <v>5232</v>
      </c>
      <c r="F413">
        <v>15.96</v>
      </c>
      <c r="G413" s="5">
        <v>-2.6800000000000001E-2</v>
      </c>
      <c r="H413" t="s">
        <v>11573</v>
      </c>
      <c r="I413">
        <v>424183110000</v>
      </c>
      <c r="J413">
        <v>17.91</v>
      </c>
      <c r="K413">
        <v>3.37</v>
      </c>
      <c r="L413" t="s">
        <v>6350</v>
      </c>
      <c r="M413" t="s">
        <v>11574</v>
      </c>
      <c r="N413" t="s">
        <v>11575</v>
      </c>
      <c r="O413" t="s">
        <v>11576</v>
      </c>
      <c r="P413">
        <v>-0.22</v>
      </c>
      <c r="Q413" t="s">
        <v>11577</v>
      </c>
      <c r="R413">
        <v>23151108000</v>
      </c>
      <c r="S413" s="5">
        <v>8.5699999999999998E-2</v>
      </c>
      <c r="T413" t="s">
        <v>11578</v>
      </c>
      <c r="U413">
        <v>5736940000</v>
      </c>
      <c r="V413">
        <v>26325989000</v>
      </c>
      <c r="W413">
        <v>3.05</v>
      </c>
      <c r="X413">
        <v>0.21</v>
      </c>
      <c r="Y413">
        <v>12.35</v>
      </c>
      <c r="Z413" t="s">
        <v>11579</v>
      </c>
      <c r="AA413" t="s">
        <v>11580</v>
      </c>
      <c r="AB413" t="s">
        <v>3700</v>
      </c>
      <c r="AC413" t="s">
        <v>2978</v>
      </c>
      <c r="AD413" t="s">
        <v>11581</v>
      </c>
      <c r="AE413" t="s">
        <v>1851</v>
      </c>
      <c r="AF413" t="s">
        <v>9</v>
      </c>
      <c r="AG413" t="s">
        <v>239</v>
      </c>
      <c r="AH413" t="s">
        <v>11582</v>
      </c>
      <c r="AI413" t="s">
        <v>11583</v>
      </c>
      <c r="AJ413" t="s">
        <v>749</v>
      </c>
      <c r="AK413" t="s">
        <v>11584</v>
      </c>
      <c r="AL413" t="s">
        <v>9</v>
      </c>
      <c r="AM413" t="s">
        <v>11585</v>
      </c>
      <c r="AN413" s="5">
        <v>0.58299999999999996</v>
      </c>
      <c r="AO413" t="s">
        <v>11586</v>
      </c>
      <c r="AP413" t="s">
        <v>11587</v>
      </c>
      <c r="AQ413" t="s">
        <v>11588</v>
      </c>
      <c r="AR413" t="s">
        <v>11589</v>
      </c>
      <c r="AS413" t="s">
        <v>11590</v>
      </c>
      <c r="AT413" t="s">
        <v>11591</v>
      </c>
      <c r="AU413" t="s">
        <v>11592</v>
      </c>
      <c r="AV413" t="s">
        <v>11593</v>
      </c>
      <c r="AW413" t="s">
        <v>11594</v>
      </c>
      <c r="AX413" t="s">
        <v>5233</v>
      </c>
      <c r="AY413" t="s">
        <v>5236</v>
      </c>
      <c r="AZ413" t="s">
        <v>5237</v>
      </c>
      <c r="BA413" t="s">
        <v>5238</v>
      </c>
      <c r="BB413" t="s">
        <v>5239</v>
      </c>
      <c r="BC413" t="s">
        <v>5240</v>
      </c>
      <c r="BD413" t="s">
        <v>3310</v>
      </c>
      <c r="BE413" t="s">
        <v>5241</v>
      </c>
      <c r="BF413" t="s">
        <v>5242</v>
      </c>
      <c r="BG413" t="s">
        <v>5243</v>
      </c>
      <c r="BH413" t="s">
        <v>5233</v>
      </c>
      <c r="BI413" t="s">
        <v>5244</v>
      </c>
      <c r="BJ413" t="s">
        <v>5236</v>
      </c>
      <c r="BK413" t="s">
        <v>5234</v>
      </c>
      <c r="BL413" t="s">
        <v>5245</v>
      </c>
      <c r="BM413" t="s">
        <v>5240</v>
      </c>
      <c r="BN413">
        <v>9.64</v>
      </c>
      <c r="BO413">
        <v>11.6</v>
      </c>
      <c r="BP413">
        <v>11.96</v>
      </c>
      <c r="BQ413">
        <v>19.64</v>
      </c>
      <c r="BR413">
        <v>22.53</v>
      </c>
      <c r="BS413">
        <v>22.06</v>
      </c>
      <c r="BT413" t="s">
        <v>11595</v>
      </c>
      <c r="BU413" t="s">
        <v>3953</v>
      </c>
      <c r="BV413">
        <v>14.39</v>
      </c>
      <c r="BW413">
        <v>14.39</v>
      </c>
      <c r="BX413">
        <v>14.12</v>
      </c>
      <c r="BY413">
        <v>9.1999999999999993</v>
      </c>
      <c r="BZ413">
        <v>9.31</v>
      </c>
      <c r="CA413">
        <v>8.84</v>
      </c>
      <c r="CB413">
        <v>-4.2</v>
      </c>
      <c r="CC413">
        <v>-12.11</v>
      </c>
      <c r="CD413" t="s">
        <v>1302</v>
      </c>
      <c r="CE413" t="s">
        <v>1169</v>
      </c>
      <c r="CF413" s="8">
        <v>8.030801682402125E-3</v>
      </c>
      <c r="CG413" s="9">
        <v>8.5699999999999998E-2</v>
      </c>
      <c r="CH413" s="8">
        <v>5.3867455571889877E-2</v>
      </c>
      <c r="CI413" s="8">
        <v>0.10590197890996933</v>
      </c>
      <c r="CJ413" s="8">
        <v>0.34734943509101868</v>
      </c>
      <c r="CK413" s="8">
        <v>0.69465947151184082</v>
      </c>
      <c r="CL413" s="8">
        <v>4.8608824610710144E-2</v>
      </c>
      <c r="CM413" s="9">
        <v>0.20634676516056061</v>
      </c>
      <c r="CN413" s="9">
        <v>1.47370445728302</v>
      </c>
      <c r="CO413" s="9">
        <v>0.62063932418823242</v>
      </c>
      <c r="CP413" s="9">
        <v>2.7032742276787758E-2</v>
      </c>
      <c r="CQ413" s="9">
        <v>0.10844239592552185</v>
      </c>
      <c r="CR413">
        <v>84.013291740938797</v>
      </c>
      <c r="CS413">
        <v>11.387602636233078</v>
      </c>
      <c r="CT413" t="e">
        <v>#VALUE!</v>
      </c>
      <c r="CU413" s="8">
        <v>7.3776100575923917E-2</v>
      </c>
      <c r="CV413" s="9">
        <v>0.25004783943295478</v>
      </c>
      <c r="CW413">
        <v>0.06</v>
      </c>
      <c r="CX413">
        <v>20.803029652703547</v>
      </c>
      <c r="CY413">
        <v>23451877834.370953</v>
      </c>
      <c r="CZ413">
        <v>7.3776100575923917E-2</v>
      </c>
      <c r="DA413">
        <v>6.8924485036955989</v>
      </c>
      <c r="DB413">
        <v>70783279663.012848</v>
      </c>
      <c r="DC413">
        <v>7.0087295547127712E-2</v>
      </c>
      <c r="DD413">
        <v>3.4556238063114222</v>
      </c>
      <c r="DE413">
        <v>141181487727.03326</v>
      </c>
      <c r="DF413">
        <v>6.4922968506813047E-2</v>
      </c>
      <c r="DG413">
        <v>2.1180699975138579</v>
      </c>
      <c r="DH413">
        <v>230337104332.08099</v>
      </c>
      <c r="DI413">
        <v>5.9020880460739139E-2</v>
      </c>
      <c r="DJ413">
        <v>1.1437869316772307</v>
      </c>
      <c r="DK413">
        <v>426539328688.25067</v>
      </c>
      <c r="DL413">
        <v>5.1643270403146736E-2</v>
      </c>
      <c r="DM413">
        <v>23151000000</v>
      </c>
      <c r="DN413">
        <v>7.3776100575923917E-2</v>
      </c>
      <c r="DO413">
        <v>487870110000</v>
      </c>
      <c r="DP413" t="e">
        <v>#VALUE!</v>
      </c>
      <c r="DQ413">
        <v>412</v>
      </c>
      <c r="DR413">
        <v>-6.5745298893521792E-2</v>
      </c>
      <c r="DS413">
        <v>-0.16434783943295478</v>
      </c>
      <c r="DT413">
        <v>-0.32333333333333336</v>
      </c>
      <c r="DU413">
        <v>0.94999999999999984</v>
      </c>
      <c r="DV413">
        <v>0.62666666666666648</v>
      </c>
      <c r="DW413">
        <v>-8.3468208092485554</v>
      </c>
      <c r="DX413">
        <v>0.40760445191828198</v>
      </c>
      <c r="DY413">
        <v>-8.0477240873705025</v>
      </c>
      <c r="DZ413">
        <v>0</v>
      </c>
      <c r="EA413">
        <v>-8.0477240873705025</v>
      </c>
      <c r="EB413">
        <v>8</v>
      </c>
      <c r="EC413">
        <v>9.382363564764842E-3</v>
      </c>
      <c r="ED413">
        <v>6.8183573274303202E-2</v>
      </c>
      <c r="EE413">
        <v>0</v>
      </c>
      <c r="EF413">
        <v>0</v>
      </c>
      <c r="EG413">
        <v>27.137604451918282</v>
      </c>
      <c r="EH413" t="s">
        <v>110</v>
      </c>
      <c r="EI413">
        <v>0</v>
      </c>
      <c r="EJ413">
        <v>0</v>
      </c>
      <c r="EK413">
        <v>0</v>
      </c>
      <c r="EL413">
        <v>0</v>
      </c>
      <c r="EM413">
        <v>0</v>
      </c>
      <c r="EN413">
        <v>0</v>
      </c>
      <c r="EO413">
        <v>0</v>
      </c>
      <c r="EP413">
        <v>0</v>
      </c>
    </row>
    <row r="414" spans="1:146" ht="96" x14ac:dyDescent="0.25">
      <c r="A414" s="7"/>
      <c r="B414" s="7"/>
      <c r="C414" s="7" t="str">
        <f>""&amp;CHAR(10)&amp;Basic_Fundamental_Information_Constructure(F414)&amp;CHAR(10)&amp;Basic_Fundamental_Information_Concatenate("")</f>
        <v xml:space="preserve">
市值38.294607亿, 利润-2187.50万; PE; 平均PE1.83; 平均PEG.09, PB2.08; ROIC-.1%; ROE-.0033%; 毛利28.5967%; 净利-.8033%; 上一年度营收增55.62%, 利润增-200.06%, 利润增-200.1%; 过往5年营收增19.75%, 利润增59.14%
Income profile:
</v>
      </c>
      <c r="D414" s="11">
        <v>3309</v>
      </c>
      <c r="E414" t="s">
        <v>5246</v>
      </c>
      <c r="F414">
        <v>3.05</v>
      </c>
      <c r="G414" s="5">
        <v>9.9000000000000008E-3</v>
      </c>
      <c r="H414" t="s">
        <v>6483</v>
      </c>
      <c r="I414">
        <v>3829460700</v>
      </c>
      <c r="K414">
        <v>2.08</v>
      </c>
      <c r="L414" t="s">
        <v>6350</v>
      </c>
      <c r="M414" t="s">
        <v>9</v>
      </c>
      <c r="N414" t="s">
        <v>9</v>
      </c>
      <c r="O414" t="s">
        <v>9</v>
      </c>
      <c r="P414" t="s">
        <v>9</v>
      </c>
      <c r="Q414" t="s">
        <v>3043</v>
      </c>
      <c r="R414">
        <v>-21875000</v>
      </c>
      <c r="S414" s="5">
        <v>-2.0009999999999999</v>
      </c>
      <c r="T414" t="s">
        <v>5247</v>
      </c>
      <c r="U414">
        <v>1266558870</v>
      </c>
      <c r="V414">
        <v>1266558870</v>
      </c>
      <c r="W414" t="s">
        <v>9</v>
      </c>
      <c r="X414" t="s">
        <v>9</v>
      </c>
      <c r="Y414" t="s">
        <v>9</v>
      </c>
      <c r="Z414" t="s">
        <v>9</v>
      </c>
      <c r="AA414" t="s">
        <v>9</v>
      </c>
      <c r="AB414" t="s">
        <v>9</v>
      </c>
      <c r="AC414" t="s">
        <v>9</v>
      </c>
      <c r="AD414" t="s">
        <v>9</v>
      </c>
      <c r="AE414" t="s">
        <v>9</v>
      </c>
      <c r="AF414" t="s">
        <v>9</v>
      </c>
      <c r="AG414" t="s">
        <v>9</v>
      </c>
      <c r="AH414" t="s">
        <v>5248</v>
      </c>
      <c r="AI414" t="s">
        <v>9</v>
      </c>
      <c r="AJ414" t="s">
        <v>9</v>
      </c>
      <c r="AK414" t="s">
        <v>5249</v>
      </c>
      <c r="AL414" t="s">
        <v>9</v>
      </c>
      <c r="AM414" t="s">
        <v>9</v>
      </c>
      <c r="AN414" s="5">
        <v>0.31140000000000001</v>
      </c>
      <c r="AO414" t="s">
        <v>9</v>
      </c>
      <c r="AP414" t="s">
        <v>5250</v>
      </c>
      <c r="AQ414" t="s">
        <v>9</v>
      </c>
      <c r="AR414" t="s">
        <v>5251</v>
      </c>
      <c r="AS414" t="s">
        <v>9</v>
      </c>
      <c r="AT414" t="s">
        <v>9</v>
      </c>
      <c r="AU414" t="s">
        <v>2720</v>
      </c>
      <c r="AV414" t="s">
        <v>5252</v>
      </c>
      <c r="AW414" t="s">
        <v>9</v>
      </c>
      <c r="AX414" t="s">
        <v>1579</v>
      </c>
      <c r="AY414" t="s">
        <v>5104</v>
      </c>
      <c r="AZ414" t="s">
        <v>227</v>
      </c>
      <c r="BA414" t="s">
        <v>953</v>
      </c>
      <c r="BB414" t="s">
        <v>5253</v>
      </c>
      <c r="BC414" t="s">
        <v>5254</v>
      </c>
      <c r="BD414" t="s">
        <v>5255</v>
      </c>
      <c r="BE414" t="s">
        <v>5256</v>
      </c>
      <c r="BF414" t="s">
        <v>5257</v>
      </c>
      <c r="BG414" t="s">
        <v>5258</v>
      </c>
      <c r="BH414" t="s">
        <v>3043</v>
      </c>
      <c r="BI414" t="s">
        <v>9</v>
      </c>
      <c r="BJ414" t="s">
        <v>1579</v>
      </c>
      <c r="BK414" t="s">
        <v>5247</v>
      </c>
      <c r="BL414" t="s">
        <v>9</v>
      </c>
      <c r="BM414" t="s">
        <v>5254</v>
      </c>
      <c r="BN414">
        <v>-1.28</v>
      </c>
      <c r="BO414">
        <v>1.56</v>
      </c>
      <c r="BP414">
        <v>-0.57999999999999996</v>
      </c>
      <c r="BQ414">
        <v>-1.17</v>
      </c>
      <c r="BR414">
        <v>1.64</v>
      </c>
      <c r="BS414">
        <v>-0.48</v>
      </c>
      <c r="BT414" t="s">
        <v>5259</v>
      </c>
      <c r="BU414" t="s">
        <v>2382</v>
      </c>
      <c r="BV414">
        <v>25.85</v>
      </c>
      <c r="BW414">
        <v>32.200000000000003</v>
      </c>
      <c r="BX414">
        <v>27.74</v>
      </c>
      <c r="BY414">
        <v>-2.67</v>
      </c>
      <c r="BZ414">
        <v>1.46</v>
      </c>
      <c r="CA414">
        <v>-1.2</v>
      </c>
      <c r="CB414">
        <v>2.0099999999999998</v>
      </c>
      <c r="CC414">
        <v>-3.48</v>
      </c>
      <c r="CD414" t="s">
        <v>6484</v>
      </c>
      <c r="CE414" t="s">
        <v>6485</v>
      </c>
      <c r="CF414" s="8" t="s">
        <v>9</v>
      </c>
      <c r="CG414" s="9">
        <v>-2.0009999999999999</v>
      </c>
      <c r="CH414" s="8">
        <v>0.55615460872650146</v>
      </c>
      <c r="CI414" s="8">
        <v>0.58999991416931152</v>
      </c>
      <c r="CJ414" s="8">
        <v>0.2152777761220932</v>
      </c>
      <c r="CK414" s="8">
        <v>0.34265735745429993</v>
      </c>
      <c r="CL414" s="8">
        <v>0.37942123413085938</v>
      </c>
      <c r="CM414" s="9">
        <v>-2.0006403923034668</v>
      </c>
      <c r="CN414" s="9">
        <v>4.5</v>
      </c>
      <c r="CO414" s="9">
        <v>-1.1507421731948853</v>
      </c>
      <c r="CP414" s="9">
        <v>-2.6684831827878952E-2</v>
      </c>
      <c r="CQ414" s="9">
        <v>6.0906622558832169E-2</v>
      </c>
      <c r="CR414">
        <v>1.8347468543195089</v>
      </c>
      <c r="CS414">
        <v>9.2899872584581947E-2</v>
      </c>
      <c r="CT414" t="e">
        <v>#VALUE!</v>
      </c>
      <c r="CU414" s="8">
        <v>0.19749724119901657</v>
      </c>
      <c r="CV414" s="9">
        <v>0.59141039699316023</v>
      </c>
      <c r="CW414">
        <v>0.06</v>
      </c>
      <c r="CX414" t="e">
        <v>#VALUE!</v>
      </c>
      <c r="CY414" t="s">
        <v>109</v>
      </c>
      <c r="CZ414">
        <v>0.19749724119901657</v>
      </c>
      <c r="DA414" t="e">
        <v>#VALUE!</v>
      </c>
      <c r="DB414" t="s">
        <v>108</v>
      </c>
      <c r="DC414">
        <v>0.18762237913906574</v>
      </c>
      <c r="DD414" t="e">
        <v>#VALUE!</v>
      </c>
      <c r="DE414" t="s">
        <v>108</v>
      </c>
      <c r="DF414">
        <v>0.17379757225513459</v>
      </c>
      <c r="DG414" t="e">
        <v>#VALUE!</v>
      </c>
      <c r="DH414" t="s">
        <v>108</v>
      </c>
      <c r="DI414">
        <v>0.15799779295921326</v>
      </c>
      <c r="DJ414" t="e">
        <v>#VALUE!</v>
      </c>
      <c r="DK414" t="s">
        <v>108</v>
      </c>
      <c r="DL414">
        <v>0.13824806883931159</v>
      </c>
      <c r="DM414">
        <v>-21875000</v>
      </c>
      <c r="DN414">
        <v>0.19749724119901657</v>
      </c>
      <c r="DO414">
        <v>3829460700</v>
      </c>
      <c r="DP414" t="e">
        <v>#VALUE!</v>
      </c>
      <c r="DQ414">
        <v>419</v>
      </c>
      <c r="DR414" t="e">
        <v>#VALUE!</v>
      </c>
      <c r="DS414">
        <v>-2.5924103969931602</v>
      </c>
      <c r="DT414" t="e">
        <v>#VALUE!</v>
      </c>
      <c r="DU414" t="e">
        <v>#VALUE!</v>
      </c>
      <c r="DV414" t="e">
        <v>#VALUE!</v>
      </c>
      <c r="DW414">
        <v>-1.0347999999999999</v>
      </c>
      <c r="DX414">
        <v>0.78724021949421175</v>
      </c>
      <c r="DY414">
        <v>-1.0044279596383983</v>
      </c>
      <c r="DZ414">
        <v>0</v>
      </c>
      <c r="EA414">
        <v>-1.0044279596383983</v>
      </c>
      <c r="EB414">
        <v>1</v>
      </c>
      <c r="EC414">
        <v>2.60153718713446E-3</v>
      </c>
      <c r="ED414">
        <v>2.0445871576423448E-2</v>
      </c>
      <c r="EE414">
        <v>0</v>
      </c>
      <c r="EF414">
        <v>0</v>
      </c>
      <c r="EG414">
        <v>66.127240219494212</v>
      </c>
      <c r="EH414" t="s">
        <v>110</v>
      </c>
      <c r="EI414">
        <v>0</v>
      </c>
      <c r="EJ414">
        <v>0</v>
      </c>
      <c r="EK414">
        <v>0</v>
      </c>
      <c r="EL414">
        <v>0</v>
      </c>
      <c r="EM414">
        <v>0</v>
      </c>
      <c r="EN414">
        <v>0</v>
      </c>
      <c r="EO414">
        <v>0</v>
      </c>
      <c r="EP414">
        <v>0</v>
      </c>
    </row>
    <row r="415" spans="1:146" ht="96" x14ac:dyDescent="0.25">
      <c r="A415" s="7"/>
      <c r="B415" s="7"/>
      <c r="C415" s="7" t="str">
        <f>""&amp;CHAR(10)&amp;Basic_Fundamental_Information_Constructure(F415)&amp;CHAR(10)&amp;Basic_Fundamental_Information_Concatenate("")</f>
        <v xml:space="preserve">
市值520.88956亿, 利润91.64亿; PE5.68; 平均PE-23.68; 平均PEG-.64, PB.844; ROIC6.3267%; ROE13.5567%; 股利率0%; 毛利14.54%; 净利8.8233%; 上一年度营收增11.53%, 利润增34.74%; 当季营收增39.48%, 利润增15.17%; 过往5年营收增-36.93%, 利润增-285.82%
Income profile:
</v>
      </c>
      <c r="D415" s="11">
        <v>3311</v>
      </c>
      <c r="E415" t="s">
        <v>5260</v>
      </c>
      <c r="F415">
        <v>10.34</v>
      </c>
      <c r="G415" s="5">
        <v>-2.64E-2</v>
      </c>
      <c r="H415" t="s">
        <v>11596</v>
      </c>
      <c r="I415">
        <v>52088956000</v>
      </c>
      <c r="J415">
        <v>5.68</v>
      </c>
      <c r="K415">
        <v>0.84399999999999997</v>
      </c>
      <c r="L415" t="s">
        <v>6350</v>
      </c>
      <c r="M415" t="s">
        <v>9</v>
      </c>
      <c r="N415" t="s">
        <v>9</v>
      </c>
      <c r="O415" t="s">
        <v>11597</v>
      </c>
      <c r="P415">
        <v>11.68</v>
      </c>
      <c r="Q415" t="s">
        <v>11598</v>
      </c>
      <c r="R415">
        <v>9164045000</v>
      </c>
      <c r="S415" s="5">
        <v>0.1517</v>
      </c>
      <c r="T415" t="s">
        <v>11599</v>
      </c>
      <c r="U415">
        <v>5037616700</v>
      </c>
      <c r="V415">
        <v>5037616700</v>
      </c>
      <c r="W415" t="s">
        <v>9</v>
      </c>
      <c r="X415">
        <v>0.1</v>
      </c>
      <c r="Y415" t="s">
        <v>9</v>
      </c>
      <c r="Z415" t="s">
        <v>9</v>
      </c>
      <c r="AA415" t="s">
        <v>9</v>
      </c>
      <c r="AB415" t="s">
        <v>9</v>
      </c>
      <c r="AC415" t="s">
        <v>9</v>
      </c>
      <c r="AD415" t="s">
        <v>9</v>
      </c>
      <c r="AE415" t="s">
        <v>9</v>
      </c>
      <c r="AF415" t="s">
        <v>9</v>
      </c>
      <c r="AG415" t="s">
        <v>9</v>
      </c>
      <c r="AH415" t="s">
        <v>11600</v>
      </c>
      <c r="AI415" t="s">
        <v>9</v>
      </c>
      <c r="AJ415" t="s">
        <v>9</v>
      </c>
      <c r="AK415" t="s">
        <v>11601</v>
      </c>
      <c r="AL415" t="s">
        <v>9</v>
      </c>
      <c r="AM415" t="s">
        <v>9</v>
      </c>
      <c r="AN415" s="5">
        <v>0.70199999999999996</v>
      </c>
      <c r="AO415" t="s">
        <v>9</v>
      </c>
      <c r="AP415" t="s">
        <v>11602</v>
      </c>
      <c r="AQ415" t="s">
        <v>9</v>
      </c>
      <c r="AR415" t="s">
        <v>11603</v>
      </c>
      <c r="AS415" t="s">
        <v>9</v>
      </c>
      <c r="AT415" t="s">
        <v>9</v>
      </c>
      <c r="AU415" t="s">
        <v>2798</v>
      </c>
      <c r="AV415" t="s">
        <v>3200</v>
      </c>
      <c r="AW415" t="s">
        <v>9</v>
      </c>
      <c r="AX415" t="s">
        <v>5261</v>
      </c>
      <c r="AY415" t="s">
        <v>5263</v>
      </c>
      <c r="AZ415" t="s">
        <v>5264</v>
      </c>
      <c r="BA415" t="s">
        <v>5265</v>
      </c>
      <c r="BB415" t="s">
        <v>5266</v>
      </c>
      <c r="BC415" t="s">
        <v>5267</v>
      </c>
      <c r="BD415" t="s">
        <v>5268</v>
      </c>
      <c r="BE415" t="s">
        <v>5269</v>
      </c>
      <c r="BF415" t="s">
        <v>5270</v>
      </c>
      <c r="BG415" t="s">
        <v>5271</v>
      </c>
      <c r="BH415" t="s">
        <v>5261</v>
      </c>
      <c r="BI415" t="s">
        <v>5272</v>
      </c>
      <c r="BJ415" t="s">
        <v>5263</v>
      </c>
      <c r="BK415" t="s">
        <v>5262</v>
      </c>
      <c r="BL415" t="s">
        <v>9</v>
      </c>
      <c r="BM415" t="s">
        <v>5267</v>
      </c>
      <c r="BN415">
        <v>6.84</v>
      </c>
      <c r="BO415">
        <v>6.23</v>
      </c>
      <c r="BP415">
        <v>5.91</v>
      </c>
      <c r="BQ415">
        <v>14.85</v>
      </c>
      <c r="BR415">
        <v>13.77</v>
      </c>
      <c r="BS415">
        <v>12.05</v>
      </c>
      <c r="BT415" t="s">
        <v>11604</v>
      </c>
      <c r="BU415" t="s">
        <v>1446</v>
      </c>
      <c r="BV415">
        <v>14.37</v>
      </c>
      <c r="BW415">
        <v>13.75</v>
      </c>
      <c r="BX415">
        <v>15.5</v>
      </c>
      <c r="BY415">
        <v>8.5399999999999991</v>
      </c>
      <c r="BZ415">
        <v>8.31</v>
      </c>
      <c r="CA415">
        <v>9.6199999999999992</v>
      </c>
      <c r="CB415">
        <v>-3.72</v>
      </c>
      <c r="CC415">
        <v>11.12</v>
      </c>
      <c r="CD415" t="s">
        <v>11605</v>
      </c>
      <c r="CE415" t="s">
        <v>1075</v>
      </c>
      <c r="CF415" s="8">
        <v>0.39478240794182157</v>
      </c>
      <c r="CG415" s="9">
        <v>0.1517</v>
      </c>
      <c r="CH415" s="8">
        <v>0.11531259119510651</v>
      </c>
      <c r="CI415" s="8">
        <v>0.3190402090549469</v>
      </c>
      <c r="CJ415" s="8">
        <v>0.23779182136058807</v>
      </c>
      <c r="CK415" s="8">
        <v>0.12282028794288635</v>
      </c>
      <c r="CL415" s="8">
        <v>0.109126016497612</v>
      </c>
      <c r="CM415" s="9">
        <v>0.34744894504547119</v>
      </c>
      <c r="CN415" s="9">
        <v>0.13067328929901123</v>
      </c>
      <c r="CO415" s="9">
        <v>0.11121371388435364</v>
      </c>
      <c r="CP415" s="9">
        <v>0.20288899540901184</v>
      </c>
      <c r="CQ415" s="9">
        <v>-0.1803278923034668</v>
      </c>
      <c r="CR415">
        <v>-23.683975143983023</v>
      </c>
      <c r="CS415">
        <v>-0.64130088123836637</v>
      </c>
      <c r="CT415">
        <v>0</v>
      </c>
      <c r="CU415" s="8">
        <v>-0.36931143924593923</v>
      </c>
      <c r="CV415" s="9">
        <v>-2.858222528640181</v>
      </c>
      <c r="CW415">
        <v>0.06</v>
      </c>
      <c r="CX415">
        <v>5.6840851156700127</v>
      </c>
      <c r="CY415" t="s">
        <v>11606</v>
      </c>
      <c r="CZ415">
        <v>-0.36931143924593923</v>
      </c>
      <c r="DA415">
        <v>1.894695038556671</v>
      </c>
      <c r="DB415" t="s">
        <v>11607</v>
      </c>
      <c r="DC415">
        <v>-0.35084586728364225</v>
      </c>
      <c r="DD415">
        <v>0.94734751927833549</v>
      </c>
      <c r="DE415" t="s">
        <v>11608</v>
      </c>
      <c r="DF415">
        <v>-0.32499406653642654</v>
      </c>
      <c r="DG415">
        <v>0.56840851156700134</v>
      </c>
      <c r="DH415" t="s">
        <v>11609</v>
      </c>
      <c r="DI415">
        <v>-0.29544915139675137</v>
      </c>
      <c r="DJ415">
        <v>0.28420425578350067</v>
      </c>
      <c r="DK415" t="s">
        <v>11610</v>
      </c>
      <c r="DL415">
        <v>-0.25851800747215747</v>
      </c>
      <c r="DM415">
        <v>9164000000</v>
      </c>
      <c r="DN415">
        <v>-0.36931143924593923</v>
      </c>
      <c r="DO415">
        <v>52088956000</v>
      </c>
      <c r="DP415" t="e">
        <v>#VALUE!</v>
      </c>
      <c r="DQ415">
        <v>415</v>
      </c>
      <c r="DR415">
        <v>0.76409384718776074</v>
      </c>
      <c r="DS415">
        <v>3.0099225286401809</v>
      </c>
      <c r="DT415">
        <v>-0.89</v>
      </c>
      <c r="DU415" t="e">
        <v>#VALUE!</v>
      </c>
      <c r="DV415" t="e">
        <v>#VALUE!</v>
      </c>
      <c r="DW415">
        <v>-6.2506738544474398</v>
      </c>
      <c r="DX415">
        <v>0.33712608695652169</v>
      </c>
      <c r="DY415">
        <v>-6.0418941403961091</v>
      </c>
      <c r="DZ415">
        <v>0</v>
      </c>
      <c r="EA415">
        <v>-6.0418941403961091</v>
      </c>
      <c r="EB415">
        <v>6</v>
      </c>
      <c r="EC415">
        <v>6.1043151615723362E-3</v>
      </c>
      <c r="ED415">
        <v>3.6525208438347445E-2</v>
      </c>
      <c r="EE415">
        <v>0</v>
      </c>
      <c r="EF415">
        <v>0</v>
      </c>
      <c r="EG415">
        <v>17.167126086956522</v>
      </c>
      <c r="EH415" t="s">
        <v>110</v>
      </c>
      <c r="EI415">
        <v>0</v>
      </c>
      <c r="EJ415">
        <v>0</v>
      </c>
      <c r="EK415">
        <v>0</v>
      </c>
      <c r="EL415">
        <v>0</v>
      </c>
      <c r="EM415">
        <v>0</v>
      </c>
      <c r="EN415">
        <v>0</v>
      </c>
      <c r="EO415">
        <v>0</v>
      </c>
      <c r="EP415">
        <v>0</v>
      </c>
    </row>
    <row r="416" spans="1:146" ht="96" x14ac:dyDescent="0.25">
      <c r="A416" s="7"/>
      <c r="B416" s="7"/>
      <c r="C416" s="7" t="str">
        <f>""&amp;CHAR(10)&amp;Basic_Fundamental_Information_Constructure(F416)&amp;CHAR(10)&amp;Basic_Fundamental_Information_Concatenate("")</f>
        <v xml:space="preserve">
市值39.618022亿, 利润5.05亿; PE7.84; 平均PE-1.91; 平均PEG-.44, PB.282; ROIC14.5%; ROE12.9967%; 股利率0%; 毛利22.2033%; 净利11.7733%; 上一年度营收增-2.42%, 利润增-82.14%, 利润增-75.66%; 过往5年营收增-4.35%, 利润增-131.55%
Income profile:
</v>
      </c>
      <c r="D416" s="11">
        <v>3319</v>
      </c>
      <c r="E416" t="s">
        <v>5273</v>
      </c>
      <c r="F416">
        <v>2.79</v>
      </c>
      <c r="G416" s="5">
        <v>-3.4599999999999999E-2</v>
      </c>
      <c r="H416" t="s">
        <v>11611</v>
      </c>
      <c r="I416">
        <v>3961802200</v>
      </c>
      <c r="J416">
        <v>7.84</v>
      </c>
      <c r="K416">
        <v>0.28199999999999997</v>
      </c>
      <c r="L416" t="s">
        <v>6350</v>
      </c>
      <c r="M416" t="s">
        <v>9</v>
      </c>
      <c r="N416" t="s">
        <v>9</v>
      </c>
      <c r="O416" t="s">
        <v>9</v>
      </c>
      <c r="P416" t="s">
        <v>9</v>
      </c>
      <c r="Q416" t="s">
        <v>11612</v>
      </c>
      <c r="R416">
        <v>505211180</v>
      </c>
      <c r="S416" s="5">
        <v>-0.75660000000000005</v>
      </c>
      <c r="T416" t="s">
        <v>3357</v>
      </c>
      <c r="U416">
        <v>1420000800</v>
      </c>
      <c r="V416">
        <v>1420000800</v>
      </c>
      <c r="W416" t="s">
        <v>9</v>
      </c>
      <c r="X416" t="s">
        <v>9</v>
      </c>
      <c r="Y416" t="s">
        <v>9</v>
      </c>
      <c r="Z416" t="s">
        <v>9</v>
      </c>
      <c r="AA416" t="s">
        <v>9</v>
      </c>
      <c r="AB416" t="s">
        <v>9</v>
      </c>
      <c r="AC416" t="s">
        <v>9</v>
      </c>
      <c r="AD416" t="s">
        <v>9</v>
      </c>
      <c r="AE416" t="s">
        <v>9</v>
      </c>
      <c r="AF416" t="s">
        <v>9</v>
      </c>
      <c r="AG416" t="s">
        <v>9</v>
      </c>
      <c r="AH416" t="s">
        <v>11613</v>
      </c>
      <c r="AI416" t="s">
        <v>9</v>
      </c>
      <c r="AJ416" t="s">
        <v>9</v>
      </c>
      <c r="AK416" t="s">
        <v>11614</v>
      </c>
      <c r="AL416" t="s">
        <v>9</v>
      </c>
      <c r="AM416" t="s">
        <v>9</v>
      </c>
      <c r="AN416" s="5">
        <v>0.3992</v>
      </c>
      <c r="AO416" t="s">
        <v>9</v>
      </c>
      <c r="AP416" t="s">
        <v>11615</v>
      </c>
      <c r="AQ416" t="s">
        <v>9</v>
      </c>
      <c r="AR416" t="s">
        <v>11616</v>
      </c>
      <c r="AS416" t="s">
        <v>9</v>
      </c>
      <c r="AT416" t="s">
        <v>9</v>
      </c>
      <c r="AU416" t="s">
        <v>553</v>
      </c>
      <c r="AV416" t="s">
        <v>1925</v>
      </c>
      <c r="AW416" t="s">
        <v>9</v>
      </c>
      <c r="AX416" t="s">
        <v>5274</v>
      </c>
      <c r="AY416" t="s">
        <v>5275</v>
      </c>
      <c r="AZ416" t="s">
        <v>5276</v>
      </c>
      <c r="BA416" t="s">
        <v>5277</v>
      </c>
      <c r="BB416" t="s">
        <v>5278</v>
      </c>
      <c r="BC416" t="s">
        <v>5279</v>
      </c>
      <c r="BD416" t="s">
        <v>5280</v>
      </c>
      <c r="BE416" t="s">
        <v>868</v>
      </c>
      <c r="BF416" t="s">
        <v>4439</v>
      </c>
      <c r="BG416" t="s">
        <v>1149</v>
      </c>
      <c r="BH416" t="s">
        <v>5274</v>
      </c>
      <c r="BI416" t="s">
        <v>9</v>
      </c>
      <c r="BJ416" t="s">
        <v>5275</v>
      </c>
      <c r="BK416" t="s">
        <v>2846</v>
      </c>
      <c r="BL416" t="s">
        <v>9</v>
      </c>
      <c r="BM416" t="s">
        <v>5279</v>
      </c>
      <c r="BN416">
        <v>3.59</v>
      </c>
      <c r="BO416">
        <v>15.43</v>
      </c>
      <c r="BP416">
        <v>24.48</v>
      </c>
      <c r="BQ416">
        <v>3.6</v>
      </c>
      <c r="BR416">
        <v>14.76</v>
      </c>
      <c r="BS416">
        <v>20.63</v>
      </c>
      <c r="BT416" t="s">
        <v>11617</v>
      </c>
      <c r="BU416" t="s">
        <v>410</v>
      </c>
      <c r="BV416">
        <v>17.13</v>
      </c>
      <c r="BW416">
        <v>22</v>
      </c>
      <c r="BX416">
        <v>27.48</v>
      </c>
      <c r="BY416">
        <v>4.5199999999999996</v>
      </c>
      <c r="BZ416">
        <v>12.58</v>
      </c>
      <c r="CA416">
        <v>18.22</v>
      </c>
      <c r="CB416">
        <v>-5.42</v>
      </c>
      <c r="CC416">
        <v>-11.26</v>
      </c>
      <c r="CD416" t="s">
        <v>11618</v>
      </c>
      <c r="CE416" t="s">
        <v>901</v>
      </c>
      <c r="CF416" s="8" t="s">
        <v>9</v>
      </c>
      <c r="CG416" s="9">
        <v>-0.75660000000000005</v>
      </c>
      <c r="CH416" s="8">
        <v>-2.4208815768361092E-2</v>
      </c>
      <c r="CI416" s="8">
        <v>6.2640933319926262E-3</v>
      </c>
      <c r="CJ416" s="8">
        <v>0.44276148080825806</v>
      </c>
      <c r="CK416" s="8">
        <v>2.1079323291778564</v>
      </c>
      <c r="CL416" s="8">
        <v>0.82141155004501343</v>
      </c>
      <c r="CM416" s="9">
        <v>-0.82136541604995728</v>
      </c>
      <c r="CN416" s="9">
        <v>0.35198467969894409</v>
      </c>
      <c r="CO416" s="9">
        <v>0.52072727680206299</v>
      </c>
      <c r="CP416" s="9">
        <v>0.50767552852630615</v>
      </c>
      <c r="CQ416" s="9">
        <v>1.628242015838623</v>
      </c>
      <c r="CR416">
        <v>-1.9111443318861554</v>
      </c>
      <c r="CS416">
        <v>-0.43887585416738462</v>
      </c>
      <c r="CT416">
        <v>0</v>
      </c>
      <c r="CU416" s="8">
        <v>-4.3546354025602342E-2</v>
      </c>
      <c r="CV416" s="9">
        <v>-1.3155116438865662</v>
      </c>
      <c r="CW416">
        <v>0.06</v>
      </c>
      <c r="CX416">
        <v>7.8451528712871283</v>
      </c>
      <c r="CY416" t="s">
        <v>11619</v>
      </c>
      <c r="CZ416">
        <v>-4.3546354025602342E-2</v>
      </c>
      <c r="DA416">
        <v>2.6150509570957094</v>
      </c>
      <c r="DB416" t="s">
        <v>11620</v>
      </c>
      <c r="DC416">
        <v>-4.136903632432222E-2</v>
      </c>
      <c r="DD416">
        <v>1.3075254785478547</v>
      </c>
      <c r="DE416" t="s">
        <v>11621</v>
      </c>
      <c r="DF416">
        <v>-3.8320791542530062E-2</v>
      </c>
      <c r="DG416">
        <v>0.78451528712871288</v>
      </c>
      <c r="DH416" t="s">
        <v>11622</v>
      </c>
      <c r="DI416">
        <v>-3.4837083220481874E-2</v>
      </c>
      <c r="DJ416">
        <v>0.39225764356435644</v>
      </c>
      <c r="DK416" t="s">
        <v>11623</v>
      </c>
      <c r="DL416">
        <v>-3.0482447817921636E-2</v>
      </c>
      <c r="DM416">
        <v>505000000</v>
      </c>
      <c r="DN416">
        <v>-4.3546354025602342E-2</v>
      </c>
      <c r="DO416">
        <v>3961802200</v>
      </c>
      <c r="DP416" t="e">
        <v>#VALUE!</v>
      </c>
      <c r="DQ416">
        <v>416</v>
      </c>
      <c r="DR416" t="e">
        <v>#VALUE!</v>
      </c>
      <c r="DS416">
        <v>0.55891164388656611</v>
      </c>
      <c r="DT416" t="e">
        <v>#VALUE!</v>
      </c>
      <c r="DU416" t="e">
        <v>#VALUE!</v>
      </c>
      <c r="DV416" t="e">
        <v>#VALUE!</v>
      </c>
      <c r="DW416">
        <v>-8.481349911190053</v>
      </c>
      <c r="DX416">
        <v>0.27678345864661652</v>
      </c>
      <c r="DY416">
        <v>-8.0369597110004136</v>
      </c>
      <c r="DZ416">
        <v>0</v>
      </c>
      <c r="EA416">
        <v>-8.0369597110004136</v>
      </c>
      <c r="EB416">
        <v>8</v>
      </c>
      <c r="EC416">
        <v>2.1575058267572805E-2</v>
      </c>
      <c r="ED416">
        <v>0.28098575719112273</v>
      </c>
      <c r="EE416">
        <v>0</v>
      </c>
      <c r="EF416">
        <v>0</v>
      </c>
      <c r="EG416">
        <v>20.076783458646617</v>
      </c>
      <c r="EH416" t="s">
        <v>110</v>
      </c>
      <c r="EI416">
        <v>0</v>
      </c>
      <c r="EJ416">
        <v>0</v>
      </c>
      <c r="EK416">
        <v>0</v>
      </c>
      <c r="EL416">
        <v>0</v>
      </c>
      <c r="EM416">
        <v>0</v>
      </c>
      <c r="EN416">
        <v>0</v>
      </c>
      <c r="EO416">
        <v>0</v>
      </c>
      <c r="EP416">
        <v>0</v>
      </c>
    </row>
    <row r="417" spans="1:146" ht="96" x14ac:dyDescent="0.25">
      <c r="A417" s="7"/>
      <c r="B417" s="7"/>
      <c r="C417" s="7" t="str">
        <f>""&amp;CHAR(10)&amp;Basic_Fundamental_Information_Constructure(F417)&amp;CHAR(10)&amp;Basic_Fundamental_Information_Concatenate("")</f>
        <v xml:space="preserve">
市值362.50085亿, 利润42.25亿; PE8.58; 平均PE-154.71; 平均PEG-9.12, PB.72; ROIC3.9433%; ROE8.05%; 股利率0%; 毛利15.3367%; 净利3.0267%; 上一年度营收增8.98%, 利润增12.1%, 利润增7%; 过往5年营收增16.97%, 利润增-271%
Income profile:
</v>
      </c>
      <c r="D417" s="11">
        <v>3320</v>
      </c>
      <c r="E417" t="s">
        <v>5281</v>
      </c>
      <c r="F417">
        <v>5.77</v>
      </c>
      <c r="G417" s="5">
        <v>-2.0400000000000001E-2</v>
      </c>
      <c r="H417" t="s">
        <v>11624</v>
      </c>
      <c r="I417">
        <v>36250085000</v>
      </c>
      <c r="J417">
        <v>8.58</v>
      </c>
      <c r="K417">
        <v>0.72</v>
      </c>
      <c r="L417" t="s">
        <v>6350</v>
      </c>
      <c r="M417" t="s">
        <v>9</v>
      </c>
      <c r="N417" t="s">
        <v>9</v>
      </c>
      <c r="O417" t="s">
        <v>9</v>
      </c>
      <c r="P417" t="s">
        <v>9</v>
      </c>
      <c r="Q417" t="s">
        <v>11625</v>
      </c>
      <c r="R417">
        <v>4225025600</v>
      </c>
      <c r="S417" s="5">
        <v>7.0000000000000007E-2</v>
      </c>
      <c r="T417" t="s">
        <v>3637</v>
      </c>
      <c r="U417">
        <v>6282510500</v>
      </c>
      <c r="V417">
        <v>6282510500</v>
      </c>
      <c r="W417" t="s">
        <v>9</v>
      </c>
      <c r="X417" t="s">
        <v>9</v>
      </c>
      <c r="Y417" t="s">
        <v>9</v>
      </c>
      <c r="Z417" t="s">
        <v>9</v>
      </c>
      <c r="AA417" t="s">
        <v>9</v>
      </c>
      <c r="AB417" t="s">
        <v>9</v>
      </c>
      <c r="AC417" t="s">
        <v>9</v>
      </c>
      <c r="AD417" t="s">
        <v>1642</v>
      </c>
      <c r="AE417" t="s">
        <v>9</v>
      </c>
      <c r="AF417" t="s">
        <v>9</v>
      </c>
      <c r="AG417" t="s">
        <v>9</v>
      </c>
      <c r="AH417" t="s">
        <v>11626</v>
      </c>
      <c r="AI417" t="s">
        <v>9</v>
      </c>
      <c r="AJ417" t="s">
        <v>9</v>
      </c>
      <c r="AK417" t="s">
        <v>11627</v>
      </c>
      <c r="AL417" t="s">
        <v>9</v>
      </c>
      <c r="AM417" t="s">
        <v>9</v>
      </c>
      <c r="AN417" s="5">
        <v>0.62319999999999998</v>
      </c>
      <c r="AO417" t="s">
        <v>9</v>
      </c>
      <c r="AP417" t="s">
        <v>11628</v>
      </c>
      <c r="AQ417" t="s">
        <v>9</v>
      </c>
      <c r="AR417" t="s">
        <v>11629</v>
      </c>
      <c r="AS417" t="s">
        <v>9</v>
      </c>
      <c r="AT417" t="s">
        <v>9</v>
      </c>
      <c r="AU417" t="s">
        <v>11630</v>
      </c>
      <c r="AV417" t="s">
        <v>11631</v>
      </c>
      <c r="AW417" t="s">
        <v>9</v>
      </c>
      <c r="AX417" t="s">
        <v>11632</v>
      </c>
      <c r="AY417" t="s">
        <v>5282</v>
      </c>
      <c r="AZ417" t="s">
        <v>5283</v>
      </c>
      <c r="BA417" t="s">
        <v>5284</v>
      </c>
      <c r="BB417" t="s">
        <v>5285</v>
      </c>
      <c r="BC417" t="s">
        <v>5286</v>
      </c>
      <c r="BD417" t="s">
        <v>5287</v>
      </c>
      <c r="BE417" t="s">
        <v>5288</v>
      </c>
      <c r="BF417" t="s">
        <v>5289</v>
      </c>
      <c r="BG417" t="s">
        <v>3140</v>
      </c>
      <c r="BH417" t="s">
        <v>11632</v>
      </c>
      <c r="BI417" t="s">
        <v>9</v>
      </c>
      <c r="BJ417" t="s">
        <v>5282</v>
      </c>
      <c r="BK417" t="s">
        <v>11633</v>
      </c>
      <c r="BL417" t="s">
        <v>9</v>
      </c>
      <c r="BM417" t="s">
        <v>5286</v>
      </c>
      <c r="BN417">
        <v>3.94</v>
      </c>
      <c r="BO417">
        <v>4.0199999999999996</v>
      </c>
      <c r="BP417">
        <v>3.87</v>
      </c>
      <c r="BQ417">
        <v>8.39</v>
      </c>
      <c r="BR417">
        <v>8.3699999999999992</v>
      </c>
      <c r="BS417">
        <v>7.39</v>
      </c>
      <c r="BT417" t="s">
        <v>5101</v>
      </c>
      <c r="BU417" t="s">
        <v>489</v>
      </c>
      <c r="BV417">
        <v>15.67</v>
      </c>
      <c r="BW417">
        <v>15.4</v>
      </c>
      <c r="BX417">
        <v>14.94</v>
      </c>
      <c r="BY417">
        <v>3.18</v>
      </c>
      <c r="BZ417">
        <v>3.09</v>
      </c>
      <c r="CA417">
        <v>2.81</v>
      </c>
      <c r="CB417">
        <v>-2.86</v>
      </c>
      <c r="CC417">
        <v>-4.79</v>
      </c>
      <c r="CD417" t="s">
        <v>11634</v>
      </c>
      <c r="CE417" t="s">
        <v>625</v>
      </c>
      <c r="CF417" s="8" t="s">
        <v>9</v>
      </c>
      <c r="CG417" s="9">
        <v>7.0000000000000007E-2</v>
      </c>
      <c r="CH417" s="8">
        <v>8.9837945997714996E-2</v>
      </c>
      <c r="CI417" s="8">
        <v>3.9382457733154297E-2</v>
      </c>
      <c r="CJ417" s="8">
        <v>0.18153105676174164</v>
      </c>
      <c r="CK417" s="8">
        <v>5.6587327271699905E-2</v>
      </c>
      <c r="CL417" s="8">
        <v>9.944240003824234E-2</v>
      </c>
      <c r="CM417" s="9">
        <v>0.12098699808120728</v>
      </c>
      <c r="CN417" s="9">
        <v>0.14316044747829437</v>
      </c>
      <c r="CO417" s="9">
        <v>3.3474764786660671E-3</v>
      </c>
      <c r="CP417" s="9">
        <v>-0.17395670711994171</v>
      </c>
      <c r="CQ417" s="9">
        <v>0.14211881160736084</v>
      </c>
      <c r="CR417">
        <v>-154.71290686731638</v>
      </c>
      <c r="CS417">
        <v>-9.1181126674276314</v>
      </c>
      <c r="CT417">
        <v>0</v>
      </c>
      <c r="CU417" s="8">
        <v>0.16967645883560181</v>
      </c>
      <c r="CV417" s="9">
        <v>-2.7100355312228204</v>
      </c>
      <c r="CW417">
        <v>0.06</v>
      </c>
      <c r="CX417">
        <v>7.7753944802056285</v>
      </c>
      <c r="CY417">
        <v>4662153809.9815264</v>
      </c>
      <c r="CZ417">
        <v>0.16967645883560181</v>
      </c>
      <c r="DA417">
        <v>2.3766299634057173</v>
      </c>
      <c r="DB417">
        <v>15252725732.723461</v>
      </c>
      <c r="DC417">
        <v>0.16119263589382171</v>
      </c>
      <c r="DD417">
        <v>1.0671560246234777</v>
      </c>
      <c r="DE417">
        <v>33968870683.919003</v>
      </c>
      <c r="DF417">
        <v>0.1493152837753296</v>
      </c>
      <c r="DG417">
        <v>0.57561055966714458</v>
      </c>
      <c r="DH417">
        <v>62976754667.18705</v>
      </c>
      <c r="DI417">
        <v>0.13574116706848147</v>
      </c>
      <c r="DJ417">
        <v>0.23203097678958334</v>
      </c>
      <c r="DK417">
        <v>156229506514.87061</v>
      </c>
      <c r="DL417">
        <v>0.11877352118492127</v>
      </c>
      <c r="DM417">
        <v>4225000000</v>
      </c>
      <c r="DN417">
        <v>0.16967645883560181</v>
      </c>
      <c r="DO417">
        <v>36250085000</v>
      </c>
      <c r="DP417" t="e">
        <v>#VALUE!</v>
      </c>
      <c r="DQ417">
        <v>417</v>
      </c>
      <c r="DR417" t="e">
        <v>#VALUE!</v>
      </c>
      <c r="DS417">
        <v>2.7800355312228202</v>
      </c>
      <c r="DT417" t="e">
        <v>#VALUE!</v>
      </c>
      <c r="DU417" t="e">
        <v>#VALUE!</v>
      </c>
      <c r="DV417" t="e">
        <v>#VALUE!</v>
      </c>
      <c r="DW417">
        <v>-8.5970772442588732</v>
      </c>
      <c r="DX417">
        <v>0.45688305785123901</v>
      </c>
      <c r="DY417">
        <v>-8.093671303852723</v>
      </c>
      <c r="DZ417">
        <v>0</v>
      </c>
      <c r="EA417">
        <v>-8.093671303852723</v>
      </c>
      <c r="EB417">
        <v>8</v>
      </c>
      <c r="EC417">
        <v>6.0430778428464229E-3</v>
      </c>
      <c r="ED417">
        <v>3.8519633194405323E-2</v>
      </c>
      <c r="EE417">
        <v>0</v>
      </c>
      <c r="EF417">
        <v>0</v>
      </c>
      <c r="EG417">
        <v>30.156883057851239</v>
      </c>
      <c r="EH417" t="s">
        <v>110</v>
      </c>
      <c r="EI417">
        <v>0</v>
      </c>
      <c r="EJ417">
        <v>0</v>
      </c>
      <c r="EK417">
        <v>0</v>
      </c>
      <c r="EL417">
        <v>0</v>
      </c>
      <c r="EM417">
        <v>0</v>
      </c>
      <c r="EN417">
        <v>0</v>
      </c>
      <c r="EO417">
        <v>0</v>
      </c>
      <c r="EP417">
        <v>0</v>
      </c>
    </row>
    <row r="418" spans="1:146" ht="96" x14ac:dyDescent="0.25">
      <c r="A418" s="7"/>
      <c r="B418" s="7"/>
      <c r="C418" s="7" t="str">
        <f>""&amp;CHAR(10)&amp;Basic_Fundamental_Information_Constructure(F418)&amp;CHAR(10)&amp;Basic_Fundamental_Information_Concatenate("")</f>
        <v xml:space="preserve">
市值232.79967亿, 利润42.35亿; PE6.89; 平均PE5.38; 平均PEG.38, PB.177; ROIC3.44%; ROE9.0333%; 股利率0%; 毛利19.5433%; 净利6.93%; 上一年度营收增-12.66%, 利润增-78.78%; 当季营收增-35.31%, 利润增-142.1%; 过往5年营收增14.26%, 利润增48.89%
Income profile:
</v>
      </c>
      <c r="D418" s="11">
        <v>3323</v>
      </c>
      <c r="E418" t="s">
        <v>5290</v>
      </c>
      <c r="F418">
        <v>2.76</v>
      </c>
      <c r="G418" s="5">
        <v>-1.78E-2</v>
      </c>
      <c r="H418" t="s">
        <v>11635</v>
      </c>
      <c r="I418">
        <v>23279967000</v>
      </c>
      <c r="J418">
        <v>6.89</v>
      </c>
      <c r="K418">
        <v>0.17699999999999999</v>
      </c>
      <c r="L418" t="s">
        <v>6350</v>
      </c>
      <c r="M418" t="s">
        <v>11636</v>
      </c>
      <c r="N418" t="s">
        <v>11637</v>
      </c>
      <c r="O418" t="s">
        <v>11638</v>
      </c>
      <c r="P418">
        <v>-16.22</v>
      </c>
      <c r="Q418" t="s">
        <v>11639</v>
      </c>
      <c r="R418">
        <v>4234673200</v>
      </c>
      <c r="S418" s="5">
        <v>-1.421</v>
      </c>
      <c r="T418" t="s">
        <v>5912</v>
      </c>
      <c r="U418">
        <v>4558146500</v>
      </c>
      <c r="V418">
        <v>8434770700</v>
      </c>
      <c r="W418">
        <v>4.13</v>
      </c>
      <c r="X418">
        <v>7.0000000000000007E-2</v>
      </c>
      <c r="Y418">
        <v>-2.0299999999999998</v>
      </c>
      <c r="Z418" t="s">
        <v>11640</v>
      </c>
      <c r="AA418" t="s">
        <v>11641</v>
      </c>
      <c r="AB418" t="s">
        <v>2902</v>
      </c>
      <c r="AC418" t="s">
        <v>4337</v>
      </c>
      <c r="AD418" t="s">
        <v>9</v>
      </c>
      <c r="AE418" t="s">
        <v>3440</v>
      </c>
      <c r="AF418" t="s">
        <v>9</v>
      </c>
      <c r="AG418" t="s">
        <v>6981</v>
      </c>
      <c r="AH418" t="s">
        <v>11642</v>
      </c>
      <c r="AI418" t="s">
        <v>11643</v>
      </c>
      <c r="AJ418" t="s">
        <v>11644</v>
      </c>
      <c r="AK418" t="s">
        <v>11645</v>
      </c>
      <c r="AL418" t="s">
        <v>9</v>
      </c>
      <c r="AM418" t="s">
        <v>11646</v>
      </c>
      <c r="AN418" s="5">
        <v>0.61539999999999995</v>
      </c>
      <c r="AO418" t="s">
        <v>11647</v>
      </c>
      <c r="AP418" t="s">
        <v>4812</v>
      </c>
      <c r="AQ418" t="s">
        <v>11648</v>
      </c>
      <c r="AR418" t="s">
        <v>11649</v>
      </c>
      <c r="AS418" t="s">
        <v>11650</v>
      </c>
      <c r="AT418" t="s">
        <v>11651</v>
      </c>
      <c r="AU418" t="s">
        <v>11652</v>
      </c>
      <c r="AV418" t="s">
        <v>11653</v>
      </c>
      <c r="AW418" t="s">
        <v>11654</v>
      </c>
      <c r="AX418" t="s">
        <v>11655</v>
      </c>
      <c r="AY418" t="s">
        <v>5292</v>
      </c>
      <c r="AZ418" t="s">
        <v>5293</v>
      </c>
      <c r="BA418" t="s">
        <v>5294</v>
      </c>
      <c r="BB418" t="s">
        <v>5295</v>
      </c>
      <c r="BC418" t="s">
        <v>11656</v>
      </c>
      <c r="BD418" t="s">
        <v>5296</v>
      </c>
      <c r="BE418" t="s">
        <v>5297</v>
      </c>
      <c r="BF418" t="s">
        <v>5298</v>
      </c>
      <c r="BG418" t="s">
        <v>5299</v>
      </c>
      <c r="BH418" t="s">
        <v>11655</v>
      </c>
      <c r="BI418" t="s">
        <v>5300</v>
      </c>
      <c r="BJ418" t="s">
        <v>5292</v>
      </c>
      <c r="BK418" t="s">
        <v>4119</v>
      </c>
      <c r="BL418" t="s">
        <v>11657</v>
      </c>
      <c r="BM418" t="s">
        <v>11656</v>
      </c>
      <c r="BN418">
        <v>1.35</v>
      </c>
      <c r="BO418">
        <v>2.9</v>
      </c>
      <c r="BP418">
        <v>6.07</v>
      </c>
      <c r="BQ418">
        <v>3.67</v>
      </c>
      <c r="BR418">
        <v>7.51</v>
      </c>
      <c r="BS418">
        <v>15.92</v>
      </c>
      <c r="BT418" t="s">
        <v>11658</v>
      </c>
      <c r="BU418" t="s">
        <v>1446</v>
      </c>
      <c r="BV418">
        <v>17.809999999999999</v>
      </c>
      <c r="BW418">
        <v>16.940000000000001</v>
      </c>
      <c r="BX418">
        <v>23.88</v>
      </c>
      <c r="BY418">
        <v>4.95</v>
      </c>
      <c r="BZ418">
        <v>6.48</v>
      </c>
      <c r="CA418">
        <v>9.36</v>
      </c>
      <c r="CB418">
        <v>-5.15</v>
      </c>
      <c r="CC418">
        <v>-14.55</v>
      </c>
      <c r="CD418" t="s">
        <v>2159</v>
      </c>
      <c r="CE418" t="s">
        <v>4936</v>
      </c>
      <c r="CF418" s="8">
        <v>-0.35306818743716106</v>
      </c>
      <c r="CG418" s="9">
        <v>-1.421</v>
      </c>
      <c r="CH418" s="8">
        <v>-0.12659570574760437</v>
      </c>
      <c r="CI418" s="8">
        <v>-0.21824024617671967</v>
      </c>
      <c r="CJ418" s="8">
        <v>0.11110559850931168</v>
      </c>
      <c r="CK418" s="8">
        <v>0.21815524995326996</v>
      </c>
      <c r="CL418" s="8">
        <v>0.12959928810596466</v>
      </c>
      <c r="CM418" s="9">
        <v>-0.78781503438949585</v>
      </c>
      <c r="CN418" s="9">
        <v>0.33299934864044189</v>
      </c>
      <c r="CO418" s="9">
        <v>0.22089043259620667</v>
      </c>
      <c r="CP418" s="9">
        <v>0.35798907279968262</v>
      </c>
      <c r="CQ418" s="9">
        <v>0.52499157190322876</v>
      </c>
      <c r="CR418">
        <v>5.379541767764298</v>
      </c>
      <c r="CS418">
        <v>0.37719555888808082</v>
      </c>
      <c r="CT418">
        <v>0</v>
      </c>
      <c r="CU418" s="8">
        <v>0.14261943548917771</v>
      </c>
      <c r="CV418" s="9">
        <v>0.4888895943760872</v>
      </c>
      <c r="CW418">
        <v>0.06</v>
      </c>
      <c r="CX418">
        <v>32.5384671885164</v>
      </c>
      <c r="CY418">
        <v>4565088027.6383657</v>
      </c>
      <c r="CZ418">
        <v>0.14261943548917771</v>
      </c>
      <c r="DA418">
        <v>10.172624390346371</v>
      </c>
      <c r="DB418">
        <v>14602030046.539669</v>
      </c>
      <c r="DC418">
        <v>0.13548846371471882</v>
      </c>
      <c r="DD418">
        <v>4.7143438392468306</v>
      </c>
      <c r="DE418">
        <v>31508301486.921471</v>
      </c>
      <c r="DF418">
        <v>0.12550510323047639</v>
      </c>
      <c r="DG418">
        <v>2.6404176624150288</v>
      </c>
      <c r="DH418">
        <v>56256617698.935799</v>
      </c>
      <c r="DI418">
        <v>0.11409554839134217</v>
      </c>
      <c r="DJ418">
        <v>1.164017977052368</v>
      </c>
      <c r="DK418">
        <v>127610543761.65987</v>
      </c>
      <c r="DL418">
        <v>9.98336048424244E-2</v>
      </c>
      <c r="DM418">
        <v>4235000000</v>
      </c>
      <c r="DN418">
        <v>0.14261943548917771</v>
      </c>
      <c r="DO418">
        <v>148540967000</v>
      </c>
      <c r="DP418" t="e">
        <v>#VALUE!</v>
      </c>
      <c r="DQ418">
        <v>418</v>
      </c>
      <c r="DR418">
        <v>-0.49568762292633878</v>
      </c>
      <c r="DS418">
        <v>-1.9098895943760872</v>
      </c>
      <c r="DT418">
        <v>-2.3333333333333355E-2</v>
      </c>
      <c r="DU418">
        <v>0.94</v>
      </c>
      <c r="DV418">
        <v>0.91666666666666663</v>
      </c>
      <c r="DW418">
        <v>-8.3539518900343648</v>
      </c>
      <c r="DX418">
        <v>0.40318989710009218</v>
      </c>
      <c r="DY418">
        <v>-8.0400637780113726</v>
      </c>
      <c r="DZ418">
        <v>0</v>
      </c>
      <c r="EA418">
        <v>-8.0400637780113726</v>
      </c>
      <c r="EB418">
        <v>8</v>
      </c>
      <c r="EC418">
        <v>1.4345381078349883E-2</v>
      </c>
      <c r="ED418">
        <v>0.12673729233682665</v>
      </c>
      <c r="EE418">
        <v>0</v>
      </c>
      <c r="EF418">
        <v>0</v>
      </c>
      <c r="EG418">
        <v>29.113189897100092</v>
      </c>
      <c r="EH418" t="s">
        <v>110</v>
      </c>
      <c r="EI418">
        <v>0</v>
      </c>
      <c r="EJ418">
        <v>0</v>
      </c>
      <c r="EK418">
        <v>0</v>
      </c>
      <c r="EL418">
        <v>0</v>
      </c>
      <c r="EM418">
        <v>0</v>
      </c>
      <c r="EN418">
        <v>0</v>
      </c>
      <c r="EO418">
        <v>0</v>
      </c>
      <c r="EP418">
        <v>0</v>
      </c>
    </row>
    <row r="419" spans="1:146" ht="96" x14ac:dyDescent="0.25">
      <c r="A419" s="7"/>
      <c r="B419" s="7"/>
      <c r="C419" s="7" t="str">
        <f>""&amp;CHAR(10)&amp;Basic_Fundamental_Information_Constructure(F419)&amp;CHAR(10)&amp;Basic_Fundamental_Information_Concatenate("")</f>
        <v xml:space="preserve">
市值4485.4687亿, 利润934.57亿; PE4.86; 平均PE28.77; 平均PEG4.89, PB.389; ROIC0%; ROE8.2033%; 毛利0%; 净利34.4%; 上一年度营收增-2.69%, 利润增-6.89%; 当季营收增-8.57%, 利润增-4.27%; 过往5年营收增5.89%, 利润增308.57%
Income profile:
</v>
      </c>
      <c r="D419" s="11">
        <v>3328</v>
      </c>
      <c r="E419" t="s">
        <v>5301</v>
      </c>
      <c r="F419">
        <v>6.04</v>
      </c>
      <c r="G419" s="5">
        <v>-1.7899999999999999E-2</v>
      </c>
      <c r="H419" t="s">
        <v>11659</v>
      </c>
      <c r="I419">
        <v>448546870000</v>
      </c>
      <c r="J419">
        <v>4.8600000000000003</v>
      </c>
      <c r="K419">
        <v>0.38900000000000001</v>
      </c>
      <c r="L419" t="s">
        <v>6350</v>
      </c>
      <c r="M419" t="s">
        <v>11660</v>
      </c>
      <c r="N419" t="s">
        <v>11661</v>
      </c>
      <c r="O419" t="s">
        <v>11662</v>
      </c>
      <c r="P419" t="s">
        <v>9</v>
      </c>
      <c r="Q419" t="s">
        <v>11663</v>
      </c>
      <c r="R419">
        <v>93456531000</v>
      </c>
      <c r="S419" s="5">
        <v>-4.2700000000000002E-2</v>
      </c>
      <c r="T419" t="s">
        <v>11664</v>
      </c>
      <c r="U419">
        <v>35011863000</v>
      </c>
      <c r="V419">
        <v>74262727000</v>
      </c>
      <c r="W419">
        <v>12.77</v>
      </c>
      <c r="X419">
        <v>0</v>
      </c>
      <c r="Y419">
        <v>40.08</v>
      </c>
      <c r="Z419" t="s">
        <v>9</v>
      </c>
      <c r="AA419" t="s">
        <v>9</v>
      </c>
      <c r="AB419" t="s">
        <v>9</v>
      </c>
      <c r="AC419" t="s">
        <v>9</v>
      </c>
      <c r="AD419" t="s">
        <v>9</v>
      </c>
      <c r="AE419" t="s">
        <v>9</v>
      </c>
      <c r="AF419" t="s">
        <v>9</v>
      </c>
      <c r="AG419" t="s">
        <v>11665</v>
      </c>
      <c r="AH419" t="s">
        <v>11666</v>
      </c>
      <c r="AI419" t="s">
        <v>9</v>
      </c>
      <c r="AJ419" t="s">
        <v>9</v>
      </c>
      <c r="AK419" t="s">
        <v>11667</v>
      </c>
      <c r="AL419" t="s">
        <v>9</v>
      </c>
      <c r="AM419" t="s">
        <v>11668</v>
      </c>
      <c r="AN419" s="5">
        <v>0.92090000000000005</v>
      </c>
      <c r="AO419" t="s">
        <v>9</v>
      </c>
      <c r="AP419" t="s">
        <v>9</v>
      </c>
      <c r="AQ419" t="s">
        <v>9</v>
      </c>
      <c r="AR419" t="s">
        <v>9</v>
      </c>
      <c r="AS419" t="s">
        <v>9</v>
      </c>
      <c r="AT419" t="s">
        <v>9</v>
      </c>
      <c r="AU419" t="s">
        <v>11669</v>
      </c>
      <c r="AV419" t="s">
        <v>11670</v>
      </c>
      <c r="AW419" t="s">
        <v>11671</v>
      </c>
      <c r="AX419" t="s">
        <v>11672</v>
      </c>
      <c r="AY419" t="s">
        <v>5303</v>
      </c>
      <c r="AZ419" t="s">
        <v>5304</v>
      </c>
      <c r="BA419" t="s">
        <v>5305</v>
      </c>
      <c r="BB419" t="s">
        <v>5306</v>
      </c>
      <c r="BC419" t="s">
        <v>5307</v>
      </c>
      <c r="BD419" t="s">
        <v>11673</v>
      </c>
      <c r="BE419" t="s">
        <v>5308</v>
      </c>
      <c r="BF419" t="s">
        <v>5309</v>
      </c>
      <c r="BG419" t="s">
        <v>5310</v>
      </c>
      <c r="BH419" t="s">
        <v>11672</v>
      </c>
      <c r="BI419" t="s">
        <v>5311</v>
      </c>
      <c r="BJ419" t="s">
        <v>5303</v>
      </c>
      <c r="BK419" t="s">
        <v>5302</v>
      </c>
      <c r="BL419" t="s">
        <v>11674</v>
      </c>
      <c r="BM419" t="s">
        <v>5307</v>
      </c>
      <c r="BN419" t="s">
        <v>9</v>
      </c>
      <c r="BO419" t="s">
        <v>9</v>
      </c>
      <c r="BP419" t="s">
        <v>9</v>
      </c>
      <c r="BQ419">
        <v>7.84</v>
      </c>
      <c r="BR419">
        <v>8.27</v>
      </c>
      <c r="BS419">
        <v>8.5</v>
      </c>
      <c r="BT419" t="s">
        <v>11675</v>
      </c>
      <c r="BU419" t="s">
        <v>422</v>
      </c>
      <c r="BV419" t="s">
        <v>9</v>
      </c>
      <c r="BW419" t="s">
        <v>9</v>
      </c>
      <c r="BX419" t="s">
        <v>9</v>
      </c>
      <c r="BY419">
        <v>36.29</v>
      </c>
      <c r="BZ419">
        <v>33.74</v>
      </c>
      <c r="CA419">
        <v>33.17</v>
      </c>
      <c r="CB419">
        <v>-3.36</v>
      </c>
      <c r="CC419">
        <v>0.83</v>
      </c>
      <c r="CD419" t="s">
        <v>254</v>
      </c>
      <c r="CE419" t="s">
        <v>10200</v>
      </c>
      <c r="CF419" s="8">
        <v>-8.5711372529027163E-2</v>
      </c>
      <c r="CG419" s="9">
        <v>-4.2700000000000002E-2</v>
      </c>
      <c r="CH419" s="8">
        <v>-2.6870496571063995E-2</v>
      </c>
      <c r="CI419" s="8">
        <v>-0.11857949942350388</v>
      </c>
      <c r="CJ419" s="8">
        <v>0.12297758460044861</v>
      </c>
      <c r="CK419" s="8">
        <v>0.20829674601554871</v>
      </c>
      <c r="CL419" s="8">
        <v>4.4202413409948349E-2</v>
      </c>
      <c r="CM419" s="9">
        <v>-6.8875156342983246E-2</v>
      </c>
      <c r="CN419" s="9">
        <v>0.13981686532497406</v>
      </c>
      <c r="CO419" s="9">
        <v>1.9638339057564735E-2</v>
      </c>
      <c r="CP419" s="9">
        <v>3.0142474919557571E-2</v>
      </c>
      <c r="CQ419" s="9">
        <v>-4.2166565544903278E-3</v>
      </c>
      <c r="CR419">
        <v>28.771684872450681</v>
      </c>
      <c r="CS419">
        <v>4.8859316803796116</v>
      </c>
      <c r="CT419" t="e">
        <v>#VALUE!</v>
      </c>
      <c r="CU419" s="8">
        <v>5.8886793255805966E-2</v>
      </c>
      <c r="CV419" s="9">
        <v>3.085721802711487</v>
      </c>
      <c r="CW419">
        <v>0.06</v>
      </c>
      <c r="CX419">
        <v>143.28730050341721</v>
      </c>
      <c r="CY419">
        <v>93358851921.988541</v>
      </c>
      <c r="CZ419">
        <v>5.8886793255805966E-2</v>
      </c>
      <c r="DA419">
        <v>48.079419123777548</v>
      </c>
      <c r="DB419">
        <v>278230022612.40662</v>
      </c>
      <c r="DC419">
        <v>5.5942453593015667E-2</v>
      </c>
      <c r="DD419">
        <v>24.509649871219604</v>
      </c>
      <c r="DE419">
        <v>545790655529.03198</v>
      </c>
      <c r="DF419">
        <v>5.1820378065109252E-2</v>
      </c>
      <c r="DG419">
        <v>15.30062130650211</v>
      </c>
      <c r="DH419">
        <v>874287233310.9303</v>
      </c>
      <c r="DI419">
        <v>4.7109434604644777E-2</v>
      </c>
      <c r="DJ419">
        <v>8.5887284307148057</v>
      </c>
      <c r="DK419">
        <v>1557522510801.5991</v>
      </c>
      <c r="DL419">
        <v>4.1220755279064172E-2</v>
      </c>
      <c r="DM419">
        <v>93457000000</v>
      </c>
      <c r="DN419">
        <v>5.8886793255805966E-2</v>
      </c>
      <c r="DO419">
        <v>13377137870000.002</v>
      </c>
      <c r="DP419" t="e">
        <v>#VALUE!</v>
      </c>
      <c r="DQ419">
        <v>419</v>
      </c>
      <c r="DR419">
        <v>-0.14459816578483314</v>
      </c>
      <c r="DS419">
        <v>-3.128421802711487</v>
      </c>
      <c r="DT419">
        <v>-0.34</v>
      </c>
      <c r="DU419">
        <v>0.64166666666666661</v>
      </c>
      <c r="DV419">
        <v>0.30166666666666658</v>
      </c>
      <c r="DW419">
        <v>-4.2470238095238093</v>
      </c>
      <c r="DX419">
        <v>0.52082524271844854</v>
      </c>
      <c r="DY419">
        <v>-4.0446681403143785</v>
      </c>
      <c r="DZ419">
        <v>0</v>
      </c>
      <c r="EA419">
        <v>-4.0446681403143785</v>
      </c>
      <c r="EB419">
        <v>4</v>
      </c>
      <c r="EC419">
        <v>2.0063900966092989E-3</v>
      </c>
      <c r="ED419">
        <v>1.1095741205409815E-2</v>
      </c>
      <c r="EE419">
        <v>0</v>
      </c>
      <c r="EF419">
        <v>0</v>
      </c>
      <c r="EG419">
        <v>34.180825242718448</v>
      </c>
      <c r="EH419" t="s">
        <v>110</v>
      </c>
      <c r="EI419">
        <v>0</v>
      </c>
      <c r="EJ419">
        <v>0</v>
      </c>
      <c r="EK419">
        <v>0</v>
      </c>
      <c r="EL419">
        <v>0</v>
      </c>
      <c r="EM419">
        <v>0</v>
      </c>
      <c r="EN419">
        <v>0</v>
      </c>
      <c r="EO419">
        <v>0</v>
      </c>
      <c r="EP419">
        <v>0</v>
      </c>
    </row>
    <row r="420" spans="1:146" ht="96" x14ac:dyDescent="0.25">
      <c r="A420" s="7"/>
      <c r="B420" s="7"/>
      <c r="C420" s="7" t="str">
        <f>""&amp;CHAR(10)&amp;Basic_Fundamental_Information_Constructure(F420)&amp;CHAR(10)&amp;Basic_Fundamental_Information_Concatenate("")</f>
        <v xml:space="preserve">
市值56.49732亿, 利润4.52亿; PE9.26; 平均PE103.77; 平均PEG1.83, PB.543; ROIC11.55%; ROE8.305%; 股利率0%; 毛利19.3533%; 净利9.3733%; 上一年度营收增-24.96%, 利润增-71.06%, 利润增-71.07%; 过往5年营收增56.76%, 利润增30.68%
Income profile:
</v>
      </c>
      <c r="D420" s="11">
        <v>3339</v>
      </c>
      <c r="E420" t="s">
        <v>5315</v>
      </c>
      <c r="F420">
        <v>1.32</v>
      </c>
      <c r="G420" s="5">
        <v>0</v>
      </c>
      <c r="H420" t="s">
        <v>6486</v>
      </c>
      <c r="I420">
        <v>5649732000</v>
      </c>
      <c r="J420">
        <v>9.26</v>
      </c>
      <c r="K420">
        <v>0.54300000000000004</v>
      </c>
      <c r="L420" t="s">
        <v>6350</v>
      </c>
      <c r="M420" t="s">
        <v>9</v>
      </c>
      <c r="N420" t="s">
        <v>9</v>
      </c>
      <c r="O420" t="s">
        <v>9</v>
      </c>
      <c r="P420" t="s">
        <v>9</v>
      </c>
      <c r="Q420" t="s">
        <v>5316</v>
      </c>
      <c r="R420">
        <v>451752160</v>
      </c>
      <c r="S420" s="5">
        <v>-0.7107</v>
      </c>
      <c r="T420" t="s">
        <v>1809</v>
      </c>
      <c r="U420">
        <v>4280100000</v>
      </c>
      <c r="V420">
        <v>4280100000</v>
      </c>
      <c r="W420" t="s">
        <v>9</v>
      </c>
      <c r="X420" t="s">
        <v>9</v>
      </c>
      <c r="Y420" t="s">
        <v>9</v>
      </c>
      <c r="Z420" t="s">
        <v>9</v>
      </c>
      <c r="AA420" t="s">
        <v>9</v>
      </c>
      <c r="AB420" t="s">
        <v>9</v>
      </c>
      <c r="AC420" t="s">
        <v>9</v>
      </c>
      <c r="AD420" t="s">
        <v>101</v>
      </c>
      <c r="AE420" t="s">
        <v>9</v>
      </c>
      <c r="AF420" t="s">
        <v>9</v>
      </c>
      <c r="AG420" t="s">
        <v>9</v>
      </c>
      <c r="AH420" t="s">
        <v>5317</v>
      </c>
      <c r="AI420" t="s">
        <v>9</v>
      </c>
      <c r="AJ420" t="s">
        <v>9</v>
      </c>
      <c r="AK420" t="s">
        <v>5318</v>
      </c>
      <c r="AL420" t="s">
        <v>9</v>
      </c>
      <c r="AM420" t="s">
        <v>9</v>
      </c>
      <c r="AN420" s="5">
        <v>0.3664</v>
      </c>
      <c r="AO420" t="s">
        <v>9</v>
      </c>
      <c r="AP420" t="s">
        <v>1737</v>
      </c>
      <c r="AQ420" t="s">
        <v>9</v>
      </c>
      <c r="AR420" t="s">
        <v>5319</v>
      </c>
      <c r="AS420" t="s">
        <v>9</v>
      </c>
      <c r="AT420" t="s">
        <v>9</v>
      </c>
      <c r="AU420" t="s">
        <v>5320</v>
      </c>
      <c r="AV420" t="s">
        <v>5321</v>
      </c>
      <c r="AW420" t="s">
        <v>9</v>
      </c>
      <c r="AX420" t="s">
        <v>5322</v>
      </c>
      <c r="AY420" t="s">
        <v>5323</v>
      </c>
      <c r="AZ420" t="s">
        <v>5324</v>
      </c>
      <c r="BA420" t="s">
        <v>5325</v>
      </c>
      <c r="BB420" t="s">
        <v>5326</v>
      </c>
      <c r="BC420" t="s">
        <v>5327</v>
      </c>
      <c r="BD420" t="s">
        <v>5328</v>
      </c>
      <c r="BE420" t="s">
        <v>5329</v>
      </c>
      <c r="BF420" t="s">
        <v>3394</v>
      </c>
      <c r="BG420" t="s">
        <v>803</v>
      </c>
      <c r="BH420" t="s">
        <v>5316</v>
      </c>
      <c r="BI420" t="s">
        <v>9</v>
      </c>
      <c r="BJ420" t="s">
        <v>5322</v>
      </c>
      <c r="BK420" t="s">
        <v>1809</v>
      </c>
      <c r="BL420" t="s">
        <v>9</v>
      </c>
      <c r="BM420" t="s">
        <v>5327</v>
      </c>
      <c r="BN420">
        <v>3.76</v>
      </c>
      <c r="BO420">
        <v>11.81</v>
      </c>
      <c r="BP420">
        <v>19.079999999999998</v>
      </c>
      <c r="BQ420">
        <v>4.1100000000000003</v>
      </c>
      <c r="BR420">
        <v>12.5</v>
      </c>
      <c r="BS420" t="s">
        <v>9</v>
      </c>
      <c r="BT420" t="s">
        <v>5330</v>
      </c>
      <c r="BU420" t="s">
        <v>589</v>
      </c>
      <c r="BV420">
        <v>16.739999999999998</v>
      </c>
      <c r="BW420">
        <v>17.95</v>
      </c>
      <c r="BX420">
        <v>23.37</v>
      </c>
      <c r="BY420">
        <v>3.59</v>
      </c>
      <c r="BZ420">
        <v>9.32</v>
      </c>
      <c r="CA420">
        <v>15.21</v>
      </c>
      <c r="CB420">
        <v>-2.94</v>
      </c>
      <c r="CC420">
        <v>8.1999999999999993</v>
      </c>
      <c r="CD420" t="s">
        <v>6487</v>
      </c>
      <c r="CE420" t="s">
        <v>254</v>
      </c>
      <c r="CF420" s="8" t="s">
        <v>9</v>
      </c>
      <c r="CG420" s="9">
        <v>-0.7107</v>
      </c>
      <c r="CH420" s="8">
        <v>-0.24964208900928497</v>
      </c>
      <c r="CI420" s="8">
        <v>9.197496622800827E-2</v>
      </c>
      <c r="CJ420" s="8">
        <v>0.16976538300514221</v>
      </c>
      <c r="CK420" s="8">
        <v>-2.8787108138203621E-2</v>
      </c>
      <c r="CL420" s="8">
        <v>0.25317633152008057</v>
      </c>
      <c r="CM420" s="9">
        <v>-0.71062737703323364</v>
      </c>
      <c r="CN420" s="9">
        <v>-0.33104926347732544</v>
      </c>
      <c r="CO420" s="9">
        <v>0.27109426259994507</v>
      </c>
      <c r="CP420" s="9">
        <v>0.41090625524520874</v>
      </c>
      <c r="CQ420" s="9">
        <v>3.8277510553598404E-2</v>
      </c>
      <c r="CR420">
        <v>103.77232435318308</v>
      </c>
      <c r="CS420">
        <v>1.8283236877289095</v>
      </c>
      <c r="CT420">
        <v>0</v>
      </c>
      <c r="CU420" s="8">
        <v>0.56758179664611819</v>
      </c>
      <c r="CV420" s="9">
        <v>0.30679912865161896</v>
      </c>
      <c r="CW420">
        <v>0.06</v>
      </c>
      <c r="CX420">
        <v>8.4521085488311716</v>
      </c>
      <c r="CY420">
        <v>668440539.70192945</v>
      </c>
      <c r="CZ420">
        <v>0.56758179664611819</v>
      </c>
      <c r="DA420">
        <v>1.8874552154394426</v>
      </c>
      <c r="DB420">
        <v>2993306518.6315498</v>
      </c>
      <c r="DC420">
        <v>0.53920270681381222</v>
      </c>
      <c r="DD420">
        <v>0.52237050057215983</v>
      </c>
      <c r="DE420">
        <v>10815564802.782255</v>
      </c>
      <c r="DF420">
        <v>0.49947198104858398</v>
      </c>
      <c r="DG420">
        <v>0.14993475389464492</v>
      </c>
      <c r="DH420">
        <v>37681270374.24501</v>
      </c>
      <c r="DI420">
        <v>0.45406543731689458</v>
      </c>
      <c r="DJ420">
        <v>1.2068011529263749E-2</v>
      </c>
      <c r="DK420">
        <v>468157656818.60278</v>
      </c>
      <c r="DL420">
        <v>0.3973072576522827</v>
      </c>
      <c r="DM420">
        <v>451999999.99999994</v>
      </c>
      <c r="DN420">
        <v>0.56758179664611819</v>
      </c>
      <c r="DO420">
        <v>5649732000</v>
      </c>
      <c r="DP420" t="e">
        <v>#VALUE!</v>
      </c>
      <c r="DQ420">
        <v>426</v>
      </c>
      <c r="DR420" t="e">
        <v>#VALUE!</v>
      </c>
      <c r="DS420">
        <v>-1.0174991286516191</v>
      </c>
      <c r="DT420" t="e">
        <v>#VALUE!</v>
      </c>
      <c r="DU420" t="e">
        <v>#VALUE!</v>
      </c>
      <c r="DV420" t="e">
        <v>#VALUE!</v>
      </c>
      <c r="DW420">
        <v>-6.2639138240574503</v>
      </c>
      <c r="DX420">
        <v>0.5911986577181193</v>
      </c>
      <c r="DY420">
        <v>-6.0583773836347641</v>
      </c>
      <c r="DZ420">
        <v>0</v>
      </c>
      <c r="EA420">
        <v>-6.0583773836347641</v>
      </c>
      <c r="EB420">
        <v>6</v>
      </c>
      <c r="EC420">
        <v>7.7004275601037361E-3</v>
      </c>
      <c r="ED420">
        <v>3.4812270741337817E-2</v>
      </c>
      <c r="EE420">
        <v>0</v>
      </c>
      <c r="EF420">
        <v>0</v>
      </c>
      <c r="EG420">
        <v>37.221198657718119</v>
      </c>
      <c r="EH420" t="s">
        <v>110</v>
      </c>
      <c r="EI420">
        <v>0</v>
      </c>
      <c r="EJ420">
        <v>0</v>
      </c>
      <c r="EK420">
        <v>0</v>
      </c>
      <c r="EL420">
        <v>0</v>
      </c>
      <c r="EM420">
        <v>0</v>
      </c>
      <c r="EN420">
        <v>0</v>
      </c>
      <c r="EO420">
        <v>0</v>
      </c>
      <c r="EP420">
        <v>0</v>
      </c>
    </row>
    <row r="421" spans="1:146" ht="96" x14ac:dyDescent="0.25">
      <c r="A421" s="7"/>
      <c r="B421" s="7"/>
      <c r="C421" s="7" t="str">
        <f>""&amp;CHAR(10)&amp;Basic_Fundamental_Information_Constructure(F421)&amp;CHAR(10)&amp;Basic_Fundamental_Information_Concatenate("")</f>
        <v xml:space="preserve">
市值247.37529亿, 利润22.21亿; PE13.55; 平均PE28.41; 平均PEG1.66, PB1.09; ROIC11.8%; ROE11.9067%; 股利率0%; 毛利40.21%; 净利42.1633%; 上一年度营收增1.26%, 利润增-36.98%; 当季营收增-20.38%, 利润增-60.98%; 过往5年营收增17.1%, 利润增31%
Income profile:
</v>
      </c>
      <c r="D421" s="11">
        <v>3347</v>
      </c>
      <c r="E421" t="s">
        <v>5331</v>
      </c>
      <c r="F421">
        <v>28.6</v>
      </c>
      <c r="G421" s="5">
        <v>-4.3499999999999997E-2</v>
      </c>
      <c r="H421" t="s">
        <v>11676</v>
      </c>
      <c r="I421">
        <v>24737529000</v>
      </c>
      <c r="J421">
        <v>13.55</v>
      </c>
      <c r="K421">
        <v>1.0900000000000001</v>
      </c>
      <c r="L421" t="s">
        <v>6350</v>
      </c>
      <c r="M421" t="s">
        <v>2108</v>
      </c>
      <c r="N421" t="s">
        <v>11677</v>
      </c>
      <c r="O421" t="s">
        <v>5475</v>
      </c>
      <c r="P421">
        <v>-8</v>
      </c>
      <c r="Q421" t="s">
        <v>11678</v>
      </c>
      <c r="R421">
        <v>2221457000</v>
      </c>
      <c r="S421" s="5">
        <v>-0.60980000000000001</v>
      </c>
      <c r="T421" t="s">
        <v>4112</v>
      </c>
      <c r="U421">
        <v>123124800</v>
      </c>
      <c r="V421">
        <v>872418220</v>
      </c>
      <c r="W421">
        <v>1.42</v>
      </c>
      <c r="X421">
        <v>0.06</v>
      </c>
      <c r="Y421">
        <v>21.92</v>
      </c>
      <c r="Z421" t="s">
        <v>11679</v>
      </c>
      <c r="AA421" t="s">
        <v>1579</v>
      </c>
      <c r="AB421" t="s">
        <v>11680</v>
      </c>
      <c r="AC421" t="s">
        <v>24</v>
      </c>
      <c r="AD421" t="s">
        <v>246</v>
      </c>
      <c r="AE421" t="s">
        <v>11681</v>
      </c>
      <c r="AF421" t="s">
        <v>9</v>
      </c>
      <c r="AG421" t="s">
        <v>11682</v>
      </c>
      <c r="AH421" t="s">
        <v>11683</v>
      </c>
      <c r="AI421" t="s">
        <v>11684</v>
      </c>
      <c r="AJ421" t="s">
        <v>5061</v>
      </c>
      <c r="AK421" t="s">
        <v>11685</v>
      </c>
      <c r="AL421" t="s">
        <v>9</v>
      </c>
      <c r="AM421" t="s">
        <v>5847</v>
      </c>
      <c r="AN421" s="5">
        <v>0.18410000000000001</v>
      </c>
      <c r="AO421" t="s">
        <v>7699</v>
      </c>
      <c r="AP421" t="s">
        <v>2854</v>
      </c>
      <c r="AQ421" t="s">
        <v>1154</v>
      </c>
      <c r="AR421" t="s">
        <v>11686</v>
      </c>
      <c r="AS421" t="s">
        <v>9482</v>
      </c>
      <c r="AT421" t="s">
        <v>1042</v>
      </c>
      <c r="AU421" t="s">
        <v>11687</v>
      </c>
      <c r="AV421" t="s">
        <v>11688</v>
      </c>
      <c r="AW421" t="s">
        <v>71</v>
      </c>
      <c r="AX421" t="s">
        <v>5333</v>
      </c>
      <c r="AY421" t="s">
        <v>4504</v>
      </c>
      <c r="AZ421" t="s">
        <v>5341</v>
      </c>
      <c r="BA421" t="s">
        <v>5342</v>
      </c>
      <c r="BB421" t="s">
        <v>5343</v>
      </c>
      <c r="BC421" t="s">
        <v>4806</v>
      </c>
      <c r="BD421" t="s">
        <v>1871</v>
      </c>
      <c r="BE421" t="s">
        <v>4932</v>
      </c>
      <c r="BF421" t="s">
        <v>5344</v>
      </c>
      <c r="BG421" t="s">
        <v>1968</v>
      </c>
      <c r="BH421" t="s">
        <v>5333</v>
      </c>
      <c r="BI421" t="s">
        <v>2114</v>
      </c>
      <c r="BJ421" t="s">
        <v>4504</v>
      </c>
      <c r="BK421" t="s">
        <v>5334</v>
      </c>
      <c r="BL421" t="s">
        <v>3686</v>
      </c>
      <c r="BM421" t="s">
        <v>4806</v>
      </c>
      <c r="BN421">
        <v>8.89</v>
      </c>
      <c r="BO421">
        <v>9.98</v>
      </c>
      <c r="BP421">
        <v>16.53</v>
      </c>
      <c r="BQ421">
        <v>9.6199999999999992</v>
      </c>
      <c r="BR421">
        <v>10.27</v>
      </c>
      <c r="BS421">
        <v>15.83</v>
      </c>
      <c r="BT421" t="s">
        <v>170</v>
      </c>
      <c r="BU421" t="s">
        <v>489</v>
      </c>
      <c r="BV421">
        <v>38.200000000000003</v>
      </c>
      <c r="BW421">
        <v>39.31</v>
      </c>
      <c r="BX421">
        <v>43.12</v>
      </c>
      <c r="BY421">
        <v>29.14</v>
      </c>
      <c r="BZ421">
        <v>32.200000000000003</v>
      </c>
      <c r="CA421">
        <v>65.150000000000006</v>
      </c>
      <c r="CB421">
        <v>-4.83</v>
      </c>
      <c r="CC421">
        <v>-20.61</v>
      </c>
      <c r="CD421" t="s">
        <v>11689</v>
      </c>
      <c r="CE421" t="s">
        <v>11690</v>
      </c>
      <c r="CF421" s="8">
        <v>-0.20375335120643431</v>
      </c>
      <c r="CG421" s="9">
        <v>-0.60980000000000001</v>
      </c>
      <c r="CH421" s="8">
        <v>1.2636080384254456E-2</v>
      </c>
      <c r="CI421" s="8">
        <v>0.25203633308410645</v>
      </c>
      <c r="CJ421" s="8">
        <v>0.67779242992401123</v>
      </c>
      <c r="CK421" s="8">
        <v>0.45339959859848022</v>
      </c>
      <c r="CL421" s="8">
        <v>0.29796716570854187</v>
      </c>
      <c r="CM421" s="9">
        <v>-0.36975029110908508</v>
      </c>
      <c r="CN421" s="9">
        <v>0.69016778469085693</v>
      </c>
      <c r="CO421" s="9">
        <v>1.2180851697921753</v>
      </c>
      <c r="CP421" s="9">
        <v>0.43074581027030945</v>
      </c>
      <c r="CQ421" s="9">
        <v>0.58695650100708008</v>
      </c>
      <c r="CR421">
        <v>28.406731866028707</v>
      </c>
      <c r="CS421">
        <v>1.6607931462145946</v>
      </c>
      <c r="CT421">
        <v>0</v>
      </c>
      <c r="CU421" s="8">
        <v>0.17104316651821136</v>
      </c>
      <c r="CV421" s="9">
        <v>0.31004405170679095</v>
      </c>
      <c r="CW421">
        <v>0.06</v>
      </c>
      <c r="CX421">
        <v>1.7310944151480825</v>
      </c>
      <c r="CY421">
        <v>2453666861.1669312</v>
      </c>
      <c r="CZ421">
        <v>0.17104316651821136</v>
      </c>
      <c r="DA421">
        <v>0.528526475394272</v>
      </c>
      <c r="DB421">
        <v>8036549156.4664068</v>
      </c>
      <c r="DC421">
        <v>0.16249100819230078</v>
      </c>
      <c r="DD421">
        <v>0.23693878739818469</v>
      </c>
      <c r="DE421">
        <v>17926693415.805599</v>
      </c>
      <c r="DF421">
        <v>0.15051798653602599</v>
      </c>
      <c r="DG421">
        <v>0.12755519890138461</v>
      </c>
      <c r="DH421">
        <v>33299536487.6021</v>
      </c>
      <c r="DI421">
        <v>0.13683453321456909</v>
      </c>
      <c r="DJ421">
        <v>5.1179401502583217E-2</v>
      </c>
      <c r="DK421">
        <v>82992940036.34668</v>
      </c>
      <c r="DL421">
        <v>0.11973021656274795</v>
      </c>
      <c r="DM421">
        <v>2221000000</v>
      </c>
      <c r="DN421">
        <v>0.17104316651821136</v>
      </c>
      <c r="DO421">
        <v>4247529000</v>
      </c>
      <c r="DP421" t="e">
        <v>#VALUE!</v>
      </c>
      <c r="DQ421">
        <v>421</v>
      </c>
      <c r="DR421">
        <v>-0.37479651772464567</v>
      </c>
      <c r="DS421">
        <v>-0.91984405170679095</v>
      </c>
      <c r="DT421">
        <v>-0.19000000000000003</v>
      </c>
      <c r="DU421">
        <v>1.0833333333333333</v>
      </c>
      <c r="DV421">
        <v>0.8933333333333332</v>
      </c>
      <c r="DW421">
        <v>-8.2343522561863178</v>
      </c>
      <c r="DX421">
        <v>0.24429071056896789</v>
      </c>
      <c r="DY421">
        <v>-8.0244407633211114</v>
      </c>
      <c r="DZ421">
        <v>0</v>
      </c>
      <c r="EA421">
        <v>-8.0244407633211114</v>
      </c>
      <c r="EB421">
        <v>8</v>
      </c>
      <c r="EC421">
        <v>4.2041762951718267E-3</v>
      </c>
      <c r="ED421">
        <v>4.0312087934156166E-2</v>
      </c>
      <c r="EE421">
        <v>0</v>
      </c>
      <c r="EF421">
        <v>0</v>
      </c>
      <c r="EG421">
        <v>14.104290710568968</v>
      </c>
      <c r="EH421" t="s">
        <v>110</v>
      </c>
      <c r="EI421">
        <v>0</v>
      </c>
      <c r="EJ421">
        <v>0</v>
      </c>
      <c r="EK421">
        <v>0</v>
      </c>
      <c r="EL421">
        <v>0</v>
      </c>
      <c r="EM421">
        <v>0</v>
      </c>
      <c r="EN421">
        <v>0</v>
      </c>
      <c r="EO421">
        <v>0</v>
      </c>
      <c r="EP421">
        <v>0</v>
      </c>
    </row>
    <row r="422" spans="1:146" ht="96" x14ac:dyDescent="0.25">
      <c r="A422" s="7"/>
      <c r="B422" s="7"/>
      <c r="C422" s="7" t="str">
        <f>""&amp;CHAR(10)&amp;Basic_Fundamental_Information_Constructure(F422)&amp;CHAR(10)&amp;Basic_Fundamental_Information_Concatenate("")</f>
        <v xml:space="preserve">
市值220.73826亿, 利润67.89亿; PE3.25; 平均PE16.12; 平均PEG23.54, PB.402; ROIC2.1233%; ROE13.0633%; 股利率0%; 毛利49.6767%; 净利18.26%; 上一年度营收增.82%, 利润增.58%, 利润增-1.81%; 过往5年营收增-.68%, 利润增2.7%
Income profile:
</v>
      </c>
      <c r="D422" s="11">
        <v>3360</v>
      </c>
      <c r="E422" t="s">
        <v>5345</v>
      </c>
      <c r="F422">
        <v>5.1100000000000003</v>
      </c>
      <c r="G422" s="5">
        <v>-1.54E-2</v>
      </c>
      <c r="H422" t="s">
        <v>11691</v>
      </c>
      <c r="I422">
        <v>22073826000</v>
      </c>
      <c r="J422">
        <v>3.25</v>
      </c>
      <c r="K422">
        <v>0.40200000000000002</v>
      </c>
      <c r="L422" t="s">
        <v>6350</v>
      </c>
      <c r="M422" t="s">
        <v>9</v>
      </c>
      <c r="N422" t="s">
        <v>9</v>
      </c>
      <c r="O422" t="s">
        <v>9</v>
      </c>
      <c r="P422" t="s">
        <v>9</v>
      </c>
      <c r="Q422" t="s">
        <v>11692</v>
      </c>
      <c r="R422">
        <v>6788735900</v>
      </c>
      <c r="S422" s="5">
        <v>-1.8100000000000002E-2</v>
      </c>
      <c r="T422" t="s">
        <v>7916</v>
      </c>
      <c r="U422">
        <v>4315135900</v>
      </c>
      <c r="V422">
        <v>4315135900</v>
      </c>
      <c r="W422" t="s">
        <v>9</v>
      </c>
      <c r="X422" t="s">
        <v>9</v>
      </c>
      <c r="Y422" t="s">
        <v>9</v>
      </c>
      <c r="Z422" t="s">
        <v>9</v>
      </c>
      <c r="AA422" t="s">
        <v>9</v>
      </c>
      <c r="AB422" t="s">
        <v>9</v>
      </c>
      <c r="AC422" t="s">
        <v>9</v>
      </c>
      <c r="AD422" t="s">
        <v>9</v>
      </c>
      <c r="AE422" t="s">
        <v>9</v>
      </c>
      <c r="AF422" t="s">
        <v>9</v>
      </c>
      <c r="AG422" t="s">
        <v>9</v>
      </c>
      <c r="AH422" t="s">
        <v>11693</v>
      </c>
      <c r="AI422" t="s">
        <v>9</v>
      </c>
      <c r="AJ422" t="s">
        <v>9</v>
      </c>
      <c r="AK422" t="s">
        <v>11694</v>
      </c>
      <c r="AL422" t="s">
        <v>9</v>
      </c>
      <c r="AM422" t="s">
        <v>9</v>
      </c>
      <c r="AN422" s="5">
        <v>0.83620000000000005</v>
      </c>
      <c r="AO422" t="s">
        <v>9</v>
      </c>
      <c r="AP422" t="s">
        <v>11695</v>
      </c>
      <c r="AQ422" t="s">
        <v>9</v>
      </c>
      <c r="AR422" t="s">
        <v>11696</v>
      </c>
      <c r="AS422" t="s">
        <v>9</v>
      </c>
      <c r="AT422" t="s">
        <v>9</v>
      </c>
      <c r="AU422" t="s">
        <v>11697</v>
      </c>
      <c r="AV422" t="s">
        <v>11698</v>
      </c>
      <c r="AW422" t="s">
        <v>9</v>
      </c>
      <c r="AX422" t="s">
        <v>5346</v>
      </c>
      <c r="AY422" t="s">
        <v>5348</v>
      </c>
      <c r="AZ422" t="s">
        <v>5349</v>
      </c>
      <c r="BA422" t="s">
        <v>5350</v>
      </c>
      <c r="BB422" t="s">
        <v>5351</v>
      </c>
      <c r="BC422" t="s">
        <v>5352</v>
      </c>
      <c r="BD422" t="s">
        <v>5353</v>
      </c>
      <c r="BE422" t="s">
        <v>5354</v>
      </c>
      <c r="BF422" t="s">
        <v>5355</v>
      </c>
      <c r="BG422" t="s">
        <v>5356</v>
      </c>
      <c r="BH422" t="s">
        <v>5346</v>
      </c>
      <c r="BI422" t="s">
        <v>9</v>
      </c>
      <c r="BJ422" t="s">
        <v>5348</v>
      </c>
      <c r="BK422" t="s">
        <v>5347</v>
      </c>
      <c r="BL422" t="s">
        <v>9</v>
      </c>
      <c r="BM422" t="s">
        <v>5352</v>
      </c>
      <c r="BN422">
        <v>2.06</v>
      </c>
      <c r="BO422">
        <v>2.16</v>
      </c>
      <c r="BP422">
        <v>2.15</v>
      </c>
      <c r="BQ422">
        <v>12.36</v>
      </c>
      <c r="BR422">
        <v>13.55</v>
      </c>
      <c r="BS422">
        <v>13.28</v>
      </c>
      <c r="BT422" t="s">
        <v>11699</v>
      </c>
      <c r="BU422" t="s">
        <v>826</v>
      </c>
      <c r="BV422">
        <v>47.42</v>
      </c>
      <c r="BW422">
        <v>50.45</v>
      </c>
      <c r="BX422">
        <v>51.16</v>
      </c>
      <c r="BY422">
        <v>18.22</v>
      </c>
      <c r="BZ422">
        <v>18.05</v>
      </c>
      <c r="CA422">
        <v>18.510000000000002</v>
      </c>
      <c r="CB422">
        <v>-3.77</v>
      </c>
      <c r="CC422">
        <v>-3.38</v>
      </c>
      <c r="CD422" t="s">
        <v>11700</v>
      </c>
      <c r="CE422" t="s">
        <v>6416</v>
      </c>
      <c r="CF422" s="8" t="s">
        <v>9</v>
      </c>
      <c r="CG422" s="9">
        <v>-1.8100000000000002E-2</v>
      </c>
      <c r="CH422" s="8">
        <v>8.2380492240190506E-3</v>
      </c>
      <c r="CI422" s="8">
        <v>1.8205660162493587E-3</v>
      </c>
      <c r="CJ422" s="8">
        <v>0.19014869630336761</v>
      </c>
      <c r="CK422" s="8">
        <v>0.19791670143604279</v>
      </c>
      <c r="CL422" s="8">
        <v>0.28324010968208313</v>
      </c>
      <c r="CM422" s="9">
        <v>5.7777869515120983E-3</v>
      </c>
      <c r="CN422" s="9">
        <v>0.23762375116348267</v>
      </c>
      <c r="CO422" s="9">
        <v>0.12523211538791656</v>
      </c>
      <c r="CP422" s="9">
        <v>8.3855114877223969E-2</v>
      </c>
      <c r="CQ422" s="9">
        <v>0.15525701642036438</v>
      </c>
      <c r="CR422">
        <v>16.116202969092235</v>
      </c>
      <c r="CS422">
        <v>23.536464883760249</v>
      </c>
      <c r="CT422">
        <v>0</v>
      </c>
      <c r="CU422" s="8">
        <v>-6.8473337218165394E-3</v>
      </c>
      <c r="CV422" s="9">
        <v>2.7012179000303151E-2</v>
      </c>
      <c r="CW422">
        <v>0.06</v>
      </c>
      <c r="CX422">
        <v>3.2514105170128147</v>
      </c>
      <c r="CY422" t="s">
        <v>11701</v>
      </c>
      <c r="CZ422">
        <v>-6.8473337218165394E-3</v>
      </c>
      <c r="DA422">
        <v>1.0838035056709383</v>
      </c>
      <c r="DB422" t="s">
        <v>11702</v>
      </c>
      <c r="DC422">
        <v>-6.5049670357257118E-3</v>
      </c>
      <c r="DD422">
        <v>0.54190175283546915</v>
      </c>
      <c r="DE422" t="s">
        <v>11703</v>
      </c>
      <c r="DF422">
        <v>-6.0256536751985548E-3</v>
      </c>
      <c r="DG422">
        <v>0.32514105170128149</v>
      </c>
      <c r="DH422" t="s">
        <v>11704</v>
      </c>
      <c r="DI422">
        <v>-5.4778669774532317E-3</v>
      </c>
      <c r="DJ422">
        <v>0.16257052585064075</v>
      </c>
      <c r="DK422" t="s">
        <v>11705</v>
      </c>
      <c r="DL422">
        <v>-4.7931336052715774E-3</v>
      </c>
      <c r="DM422">
        <v>6789000000</v>
      </c>
      <c r="DN422">
        <v>-6.8473337218165394E-3</v>
      </c>
      <c r="DO422">
        <v>22073826000</v>
      </c>
      <c r="DP422" t="e">
        <v>#VALUE!</v>
      </c>
      <c r="DQ422">
        <v>422</v>
      </c>
      <c r="DR422" t="e">
        <v>#VALUE!</v>
      </c>
      <c r="DS422">
        <v>-4.5112179000303149E-2</v>
      </c>
      <c r="DT422" t="e">
        <v>#VALUE!</v>
      </c>
      <c r="DU422" t="e">
        <v>#VALUE!</v>
      </c>
      <c r="DV422" t="e">
        <v>#VALUE!</v>
      </c>
      <c r="DW422">
        <v>-4.8965517241379306</v>
      </c>
      <c r="DX422">
        <v>0.33513157894736878</v>
      </c>
      <c r="DY422">
        <v>-4.0763248638838476</v>
      </c>
      <c r="DZ422">
        <v>0</v>
      </c>
      <c r="EA422">
        <v>-4.0763248638838476</v>
      </c>
      <c r="EB422">
        <v>4</v>
      </c>
      <c r="EC422">
        <v>2.9987468065606E-3</v>
      </c>
      <c r="ED422">
        <v>3.5224846568563457E-2</v>
      </c>
      <c r="EE422">
        <v>0</v>
      </c>
      <c r="EF422">
        <v>0</v>
      </c>
      <c r="EG422">
        <v>25.085131578947369</v>
      </c>
      <c r="EH422" t="s">
        <v>110</v>
      </c>
      <c r="EI422">
        <v>0</v>
      </c>
      <c r="EJ422">
        <v>0</v>
      </c>
      <c r="EK422">
        <v>0</v>
      </c>
      <c r="EL422">
        <v>0</v>
      </c>
      <c r="EM422">
        <v>0</v>
      </c>
      <c r="EN422">
        <v>0</v>
      </c>
      <c r="EO422">
        <v>0</v>
      </c>
      <c r="EP422">
        <v>0</v>
      </c>
    </row>
    <row r="423" spans="1:146" ht="96" x14ac:dyDescent="0.25">
      <c r="A423" s="7"/>
      <c r="B423" s="7"/>
      <c r="C423" s="7" t="str">
        <f>""&amp;CHAR(10)&amp;Basic_Fundamental_Information_Constructure(F423)&amp;CHAR(10)&amp;Basic_Fundamental_Information_Concatenate("")</f>
        <v xml:space="preserve">
市值102.24964亿, 利润16.79亿; PE6.13; 平均PE13.99; 平均PEG.81, PB.502; ROIC5.61%; ROE7.4433%; 股利率0%; 毛利36.4033%; 净利19.4067%; 上一年度营收增-.89%, 利润增32%; 当季营收增-8.99%, 利润增-2%; 过往5年营收增17.19%, 利润增53.78%
Income profile:
</v>
      </c>
      <c r="D423" s="11">
        <v>3369</v>
      </c>
      <c r="E423" t="s">
        <v>5358</v>
      </c>
      <c r="F423">
        <v>1.83</v>
      </c>
      <c r="G423" s="5">
        <v>-1.0800000000000001E-2</v>
      </c>
      <c r="H423" t="s">
        <v>11706</v>
      </c>
      <c r="I423">
        <v>10224964000</v>
      </c>
      <c r="J423">
        <v>6.13</v>
      </c>
      <c r="K423">
        <v>0.502</v>
      </c>
      <c r="L423" t="s">
        <v>6350</v>
      </c>
      <c r="M423" t="s">
        <v>11707</v>
      </c>
      <c r="N423" t="s">
        <v>11708</v>
      </c>
      <c r="O423" t="s">
        <v>4457</v>
      </c>
      <c r="P423">
        <v>-0.71</v>
      </c>
      <c r="Q423" t="s">
        <v>11709</v>
      </c>
      <c r="R423">
        <v>1678504100</v>
      </c>
      <c r="S423" s="5">
        <v>-0.02</v>
      </c>
      <c r="T423" t="s">
        <v>6162</v>
      </c>
      <c r="U423">
        <v>829853000</v>
      </c>
      <c r="V423">
        <v>5587412000</v>
      </c>
      <c r="W423">
        <v>1.51</v>
      </c>
      <c r="X423">
        <v>0.06</v>
      </c>
      <c r="Y423">
        <v>31.65</v>
      </c>
      <c r="Z423" t="s">
        <v>1344</v>
      </c>
      <c r="AA423" t="s">
        <v>11710</v>
      </c>
      <c r="AB423" t="s">
        <v>9</v>
      </c>
      <c r="AC423" t="s">
        <v>202</v>
      </c>
      <c r="AD423" t="s">
        <v>6493</v>
      </c>
      <c r="AE423" t="s">
        <v>11711</v>
      </c>
      <c r="AF423" t="s">
        <v>9</v>
      </c>
      <c r="AG423" t="s">
        <v>11712</v>
      </c>
      <c r="AH423" t="s">
        <v>11713</v>
      </c>
      <c r="AI423" t="s">
        <v>1912</v>
      </c>
      <c r="AJ423" t="s">
        <v>5774</v>
      </c>
      <c r="AK423" t="s">
        <v>11714</v>
      </c>
      <c r="AL423" t="s">
        <v>9</v>
      </c>
      <c r="AM423" t="s">
        <v>11715</v>
      </c>
      <c r="AN423" s="5">
        <v>0.30199999999999999</v>
      </c>
      <c r="AO423" t="s">
        <v>1345</v>
      </c>
      <c r="AP423" t="s">
        <v>1154</v>
      </c>
      <c r="AQ423" t="s">
        <v>19</v>
      </c>
      <c r="AR423" t="s">
        <v>4831</v>
      </c>
      <c r="AS423" t="s">
        <v>5288</v>
      </c>
      <c r="AT423" t="s">
        <v>11716</v>
      </c>
      <c r="AU423" t="s">
        <v>841</v>
      </c>
      <c r="AV423" t="s">
        <v>11717</v>
      </c>
      <c r="AW423" t="s">
        <v>3169</v>
      </c>
      <c r="AX423" t="s">
        <v>5360</v>
      </c>
      <c r="AY423" t="s">
        <v>5362</v>
      </c>
      <c r="AZ423" t="s">
        <v>5363</v>
      </c>
      <c r="BA423" t="s">
        <v>4704</v>
      </c>
      <c r="BB423" t="s">
        <v>5364</v>
      </c>
      <c r="BC423" t="s">
        <v>5365</v>
      </c>
      <c r="BD423" t="s">
        <v>4706</v>
      </c>
      <c r="BE423" t="s">
        <v>2979</v>
      </c>
      <c r="BF423" t="s">
        <v>3615</v>
      </c>
      <c r="BG423" t="s">
        <v>4331</v>
      </c>
      <c r="BH423" t="s">
        <v>5360</v>
      </c>
      <c r="BI423" t="s">
        <v>4109</v>
      </c>
      <c r="BJ423" t="s">
        <v>5362</v>
      </c>
      <c r="BK423" t="s">
        <v>3899</v>
      </c>
      <c r="BL423" t="s">
        <v>1968</v>
      </c>
      <c r="BM423" t="s">
        <v>5365</v>
      </c>
      <c r="BN423">
        <v>6.45</v>
      </c>
      <c r="BO423">
        <v>5.67</v>
      </c>
      <c r="BP423">
        <v>4.71</v>
      </c>
      <c r="BQ423">
        <v>8.31</v>
      </c>
      <c r="BR423">
        <v>7.55</v>
      </c>
      <c r="BS423">
        <v>6.47</v>
      </c>
      <c r="BT423" t="s">
        <v>11718</v>
      </c>
      <c r="BU423" t="s">
        <v>687</v>
      </c>
      <c r="BV423">
        <v>36.21</v>
      </c>
      <c r="BW423">
        <v>37.1</v>
      </c>
      <c r="BX423">
        <v>35.9</v>
      </c>
      <c r="BY423">
        <v>22.61</v>
      </c>
      <c r="BZ423">
        <v>20</v>
      </c>
      <c r="CA423">
        <v>15.61</v>
      </c>
      <c r="CB423">
        <v>-1.61</v>
      </c>
      <c r="CC423">
        <v>3.39</v>
      </c>
      <c r="CD423" t="s">
        <v>11719</v>
      </c>
      <c r="CE423" t="s">
        <v>30</v>
      </c>
      <c r="CF423" s="8">
        <v>-8.9904570567553993E-2</v>
      </c>
      <c r="CG423" s="9">
        <v>-0.02</v>
      </c>
      <c r="CH423" s="8">
        <v>-8.8854376226663589E-3</v>
      </c>
      <c r="CI423" s="8">
        <v>-2.16057188808918E-2</v>
      </c>
      <c r="CJ423" s="8">
        <v>7.6372690498828888E-2</v>
      </c>
      <c r="CK423" s="8">
        <v>-7.190297544002533E-2</v>
      </c>
      <c r="CL423" s="8">
        <v>-7.1284539997577667E-2</v>
      </c>
      <c r="CM423" s="9">
        <v>0.31996861100196838</v>
      </c>
      <c r="CN423" s="9">
        <v>7.251264899969101E-2</v>
      </c>
      <c r="CO423" s="9">
        <v>0.13928914070129395</v>
      </c>
      <c r="CP423" s="9">
        <v>0.12784399092197418</v>
      </c>
      <c r="CQ423" s="9">
        <v>-0.20086584985256195</v>
      </c>
      <c r="CR423">
        <v>13.99106739608694</v>
      </c>
      <c r="CS423">
        <v>0.81412915776255168</v>
      </c>
      <c r="CT423">
        <v>0</v>
      </c>
      <c r="CU423" s="8">
        <v>0.17185316681861879</v>
      </c>
      <c r="CV423" s="9">
        <v>0.53775765299797063</v>
      </c>
      <c r="CW423">
        <v>0.06</v>
      </c>
      <c r="CX423" t="s">
        <v>6351</v>
      </c>
      <c r="CY423">
        <v>1856171195.3664725</v>
      </c>
      <c r="CZ423">
        <v>0.17185316681861879</v>
      </c>
      <c r="DA423" t="s">
        <v>6351</v>
      </c>
      <c r="DB423">
        <v>6083650107.5957756</v>
      </c>
      <c r="DC423">
        <v>0.16326050847768783</v>
      </c>
      <c r="DD423" t="s">
        <v>6351</v>
      </c>
      <c r="DE423">
        <v>13583385634.123917</v>
      </c>
      <c r="DF423">
        <v>0.15123078680038454</v>
      </c>
      <c r="DG423" t="s">
        <v>6351</v>
      </c>
      <c r="DH423">
        <v>25260604544.428867</v>
      </c>
      <c r="DI423">
        <v>0.13748253345489503</v>
      </c>
      <c r="DJ423" t="s">
        <v>6351</v>
      </c>
      <c r="DK423">
        <v>63131552302.50351</v>
      </c>
      <c r="DL423">
        <v>0.12029721677303314</v>
      </c>
      <c r="DM423">
        <v>1679000000</v>
      </c>
      <c r="DN423">
        <v>0.17185316681861879</v>
      </c>
      <c r="DO423">
        <v>-1917036000</v>
      </c>
      <c r="DP423" t="e">
        <v>#VALUE!</v>
      </c>
      <c r="DQ423">
        <v>423</v>
      </c>
      <c r="DR423">
        <v>-0.26175773738617281</v>
      </c>
      <c r="DS423">
        <v>-0.55775765299797064</v>
      </c>
      <c r="DT423">
        <v>-9.000000000000008E-2</v>
      </c>
      <c r="DU423">
        <v>0.7533333333333333</v>
      </c>
      <c r="DV423">
        <v>0.66333333333333322</v>
      </c>
      <c r="DW423">
        <v>1.0339</v>
      </c>
      <c r="DX423">
        <v>0.59752049180328159</v>
      </c>
      <c r="DY423">
        <v>1.0066959446721311</v>
      </c>
      <c r="DZ423">
        <v>0</v>
      </c>
      <c r="EA423">
        <v>1.0066959446721311</v>
      </c>
      <c r="EB423">
        <v>1</v>
      </c>
      <c r="EC423">
        <v>4.3128196023489943E-3</v>
      </c>
      <c r="ED423">
        <v>2.1834795787387791E-2</v>
      </c>
      <c r="EE423">
        <v>0</v>
      </c>
      <c r="EF423">
        <v>0</v>
      </c>
      <c r="EG423">
        <v>40.197520491803282</v>
      </c>
      <c r="EH423" t="s">
        <v>110</v>
      </c>
      <c r="EI423">
        <v>0</v>
      </c>
      <c r="EJ423">
        <v>0</v>
      </c>
      <c r="EK423">
        <v>0</v>
      </c>
      <c r="EL423">
        <v>0</v>
      </c>
      <c r="EM423">
        <v>0</v>
      </c>
      <c r="EN423">
        <v>0</v>
      </c>
      <c r="EO423">
        <v>0</v>
      </c>
      <c r="EP423">
        <v>0</v>
      </c>
    </row>
    <row r="424" spans="1:146" ht="96" x14ac:dyDescent="0.25">
      <c r="A424" s="7"/>
      <c r="B424" s="7"/>
      <c r="C424" s="7" t="str">
        <f>""&amp;CHAR(10)&amp;Basic_Fundamental_Information_Constructure(F424)&amp;CHAR(10)&amp;Basic_Fundamental_Information_Concatenate("")</f>
        <v xml:space="preserve">
市值28.560359亿, 利润-231.26亿; PE; 平均PE-.74; 平均PEG-.02, PB.371; ROIC-9.35%; ROE-115.1233%; 股利率0%; 毛利8.4067%; 净利-23.7267%; 上一年度营收增-2.13%, 利润增-791.98%, 利润增-7.69%; 过往5年营收增31.56%, 利润增55.96%
Income profile:
</v>
      </c>
      <c r="D424" s="11">
        <v>3377</v>
      </c>
      <c r="E424" t="s">
        <v>5366</v>
      </c>
      <c r="F424">
        <v>0.375</v>
      </c>
      <c r="G424" s="5">
        <v>-7.4099999999999999E-2</v>
      </c>
      <c r="H424" t="s">
        <v>11720</v>
      </c>
      <c r="I424">
        <v>2856035900</v>
      </c>
      <c r="K424">
        <v>0.371</v>
      </c>
      <c r="L424" t="s">
        <v>6350</v>
      </c>
      <c r="M424" t="s">
        <v>9</v>
      </c>
      <c r="N424" t="s">
        <v>9</v>
      </c>
      <c r="O424" t="s">
        <v>9</v>
      </c>
      <c r="P424" t="s">
        <v>9</v>
      </c>
      <c r="Q424" t="s">
        <v>11721</v>
      </c>
      <c r="R424">
        <v>-23126028000</v>
      </c>
      <c r="S424" s="5">
        <v>-7.6899999999999996E-2</v>
      </c>
      <c r="T424" t="s">
        <v>11722</v>
      </c>
      <c r="U424">
        <v>7616095700</v>
      </c>
      <c r="V424">
        <v>7616095700</v>
      </c>
      <c r="W424" t="s">
        <v>9</v>
      </c>
      <c r="X424" t="s">
        <v>9</v>
      </c>
      <c r="Y424" t="s">
        <v>9</v>
      </c>
      <c r="Z424" t="s">
        <v>9</v>
      </c>
      <c r="AA424" t="s">
        <v>9</v>
      </c>
      <c r="AB424" t="s">
        <v>9</v>
      </c>
      <c r="AC424" t="s">
        <v>9</v>
      </c>
      <c r="AD424" t="s">
        <v>9</v>
      </c>
      <c r="AE424" t="s">
        <v>9</v>
      </c>
      <c r="AF424" t="s">
        <v>9</v>
      </c>
      <c r="AG424" t="s">
        <v>9</v>
      </c>
      <c r="AH424" t="s">
        <v>11723</v>
      </c>
      <c r="AI424" t="s">
        <v>9</v>
      </c>
      <c r="AJ424" t="s">
        <v>9</v>
      </c>
      <c r="AK424" t="s">
        <v>11724</v>
      </c>
      <c r="AL424" t="s">
        <v>9</v>
      </c>
      <c r="AM424" t="s">
        <v>9</v>
      </c>
      <c r="AN424" s="5">
        <v>0.8992</v>
      </c>
      <c r="AO424" t="s">
        <v>9</v>
      </c>
      <c r="AP424" t="s">
        <v>11725</v>
      </c>
      <c r="AQ424" t="s">
        <v>9</v>
      </c>
      <c r="AR424" t="s">
        <v>11726</v>
      </c>
      <c r="AS424" t="s">
        <v>9</v>
      </c>
      <c r="AT424" t="s">
        <v>9</v>
      </c>
      <c r="AU424" t="s">
        <v>4851</v>
      </c>
      <c r="AV424" t="s">
        <v>11727</v>
      </c>
      <c r="AW424" t="s">
        <v>9</v>
      </c>
      <c r="AX424" t="s">
        <v>5367</v>
      </c>
      <c r="AY424" t="s">
        <v>5370</v>
      </c>
      <c r="AZ424" t="s">
        <v>5371</v>
      </c>
      <c r="BA424" t="s">
        <v>5372</v>
      </c>
      <c r="BB424" t="s">
        <v>5373</v>
      </c>
      <c r="BC424" t="s">
        <v>5374</v>
      </c>
      <c r="BD424" t="s">
        <v>4913</v>
      </c>
      <c r="BE424" t="s">
        <v>146</v>
      </c>
      <c r="BF424" t="s">
        <v>5375</v>
      </c>
      <c r="BG424" t="s">
        <v>5376</v>
      </c>
      <c r="BH424" t="s">
        <v>5367</v>
      </c>
      <c r="BI424" t="s">
        <v>9</v>
      </c>
      <c r="BJ424" t="s">
        <v>5370</v>
      </c>
      <c r="BK424" t="s">
        <v>5368</v>
      </c>
      <c r="BL424" t="s">
        <v>9</v>
      </c>
      <c r="BM424" t="s">
        <v>5374</v>
      </c>
      <c r="BN424">
        <v>-18.440000000000001</v>
      </c>
      <c r="BO424">
        <v>-11.54</v>
      </c>
      <c r="BP424">
        <v>1.93</v>
      </c>
      <c r="BQ424">
        <v>-300.14999999999998</v>
      </c>
      <c r="BR424">
        <v>-50.18</v>
      </c>
      <c r="BS424">
        <v>4.96</v>
      </c>
      <c r="BT424" t="s">
        <v>2669</v>
      </c>
      <c r="BU424" t="s">
        <v>410</v>
      </c>
      <c r="BV424">
        <v>2.5499999999999998</v>
      </c>
      <c r="BW424">
        <v>5.15</v>
      </c>
      <c r="BX424">
        <v>17.52</v>
      </c>
      <c r="BY424">
        <v>-45.17</v>
      </c>
      <c r="BZ424">
        <v>-33.93</v>
      </c>
      <c r="CA424">
        <v>7.92</v>
      </c>
      <c r="CB424">
        <v>-11.76</v>
      </c>
      <c r="CC424">
        <v>-3.85</v>
      </c>
      <c r="CD424" t="s">
        <v>6425</v>
      </c>
      <c r="CE424" t="s">
        <v>11728</v>
      </c>
      <c r="CF424" s="8" t="s">
        <v>9</v>
      </c>
      <c r="CG424" s="9">
        <v>-7.6899999999999996E-2</v>
      </c>
      <c r="CH424" s="8">
        <v>-2.1274089813232422E-2</v>
      </c>
      <c r="CI424" s="8">
        <v>-0.33857461810112</v>
      </c>
      <c r="CJ424" s="8">
        <v>0.16800539195537567</v>
      </c>
      <c r="CK424" s="8">
        <v>0.42813226580619812</v>
      </c>
      <c r="CL424" s="8">
        <v>-0.14178875088691711</v>
      </c>
      <c r="CM424" s="9">
        <v>-7.9198079109191895</v>
      </c>
      <c r="CN424" s="9">
        <v>-2.1662725135684013E-2</v>
      </c>
      <c r="CO424" s="9">
        <v>0.15094339847564697</v>
      </c>
      <c r="CP424" s="9">
        <v>-0.27058243751525879</v>
      </c>
      <c r="CQ424" s="9">
        <v>-0.33654007315635681</v>
      </c>
      <c r="CR424">
        <v>-0.73902188190151819</v>
      </c>
      <c r="CS424">
        <v>-2.3414210998295843E-2</v>
      </c>
      <c r="CT424">
        <v>0</v>
      </c>
      <c r="CU424" s="8">
        <v>0.31562963277101519</v>
      </c>
      <c r="CV424" s="9">
        <v>0.55964843630790706</v>
      </c>
      <c r="CW424">
        <v>0.06</v>
      </c>
      <c r="CX424" t="e">
        <v>#VALUE!</v>
      </c>
      <c r="CY424" t="s">
        <v>109</v>
      </c>
      <c r="CZ424">
        <v>0.31562963277101519</v>
      </c>
      <c r="DA424" t="e">
        <v>#VALUE!</v>
      </c>
      <c r="DB424" t="s">
        <v>108</v>
      </c>
      <c r="DC424">
        <v>0.29984815113246444</v>
      </c>
      <c r="DD424" t="e">
        <v>#VALUE!</v>
      </c>
      <c r="DE424" t="s">
        <v>108</v>
      </c>
      <c r="DF424">
        <v>0.27775407683849335</v>
      </c>
      <c r="DG424" t="e">
        <v>#VALUE!</v>
      </c>
      <c r="DH424" t="s">
        <v>108</v>
      </c>
      <c r="DI424">
        <v>0.25250370621681217</v>
      </c>
      <c r="DJ424" t="e">
        <v>#VALUE!</v>
      </c>
      <c r="DK424" t="s">
        <v>108</v>
      </c>
      <c r="DL424">
        <v>0.22094074293971061</v>
      </c>
      <c r="DM424">
        <v>-23126000000</v>
      </c>
      <c r="DN424">
        <v>0.31562963277101519</v>
      </c>
      <c r="DO424">
        <v>2856035900</v>
      </c>
      <c r="DP424" t="e">
        <v>#VALUE!</v>
      </c>
      <c r="DQ424">
        <v>424</v>
      </c>
      <c r="DR424" t="e">
        <v>#VALUE!</v>
      </c>
      <c r="DS424">
        <v>-0.63654843630790703</v>
      </c>
      <c r="DT424" t="e">
        <v>#VALUE!</v>
      </c>
      <c r="DU424" t="e">
        <v>#VALUE!</v>
      </c>
      <c r="DV424" t="e">
        <v>#VALUE!</v>
      </c>
      <c r="DW424">
        <v>-5.3273809523809526</v>
      </c>
      <c r="DX424">
        <v>0.25317937710027111</v>
      </c>
      <c r="DY424">
        <v>-5.0174099151221121</v>
      </c>
      <c r="DZ424">
        <v>0</v>
      </c>
      <c r="EA424">
        <v>-5.0174099151221121</v>
      </c>
      <c r="EB424">
        <v>5</v>
      </c>
      <c r="EC424">
        <v>4.2935384858675027E-2</v>
      </c>
      <c r="ED424">
        <v>0.807369056562669</v>
      </c>
      <c r="EE424">
        <v>0</v>
      </c>
      <c r="EF424">
        <v>0</v>
      </c>
      <c r="EG424">
        <v>20.053179377100271</v>
      </c>
      <c r="EH424" t="s">
        <v>110</v>
      </c>
      <c r="EI424">
        <v>0</v>
      </c>
      <c r="EJ424">
        <v>0</v>
      </c>
      <c r="EK424">
        <v>0</v>
      </c>
      <c r="EL424">
        <v>0</v>
      </c>
      <c r="EM424">
        <v>0</v>
      </c>
      <c r="EN424">
        <v>0</v>
      </c>
      <c r="EO424">
        <v>0</v>
      </c>
      <c r="EP424">
        <v>0</v>
      </c>
    </row>
    <row r="425" spans="1:146" ht="96" x14ac:dyDescent="0.25">
      <c r="A425" s="7"/>
      <c r="B425" s="7"/>
      <c r="C425" s="7" t="str">
        <f>""&amp;CHAR(10)&amp;Basic_Fundamental_Information_Constructure(F425)&amp;CHAR(10)&amp;Basic_Fundamental_Information_Concatenate("")</f>
        <v xml:space="preserve">
市值44.346178亿, 利润-97.94亿; PE; 平均PE-2.72; 平均PEG-.04, PB.147; ROIC-2.24%; ROE-11.8033%; 股利率0%; 毛利.28%; 净利-8.9433%; 上一年度营收增10.11%, 利润增-181.47%, 利润增-.88%; 过往5年营收增68.7%, 利润增-33.94%
Income profile:
</v>
      </c>
      <c r="D425" s="11">
        <v>3380</v>
      </c>
      <c r="E425" t="s">
        <v>5377</v>
      </c>
      <c r="F425">
        <v>0.78</v>
      </c>
      <c r="G425" s="5">
        <v>2.63E-2</v>
      </c>
      <c r="H425" t="s">
        <v>11729</v>
      </c>
      <c r="I425">
        <v>4434617800</v>
      </c>
      <c r="K425">
        <v>0.14699999999999999</v>
      </c>
      <c r="L425" t="s">
        <v>6350</v>
      </c>
      <c r="M425" t="s">
        <v>9</v>
      </c>
      <c r="N425" t="s">
        <v>9</v>
      </c>
      <c r="O425" t="s">
        <v>9</v>
      </c>
      <c r="P425" t="s">
        <v>9</v>
      </c>
      <c r="Q425" t="s">
        <v>11730</v>
      </c>
      <c r="R425">
        <v>-9794044900</v>
      </c>
      <c r="S425" s="5">
        <v>-8.7799999999999996E-3</v>
      </c>
      <c r="T425" t="s">
        <v>11731</v>
      </c>
      <c r="U425">
        <v>5685407500</v>
      </c>
      <c r="V425">
        <v>5685407500</v>
      </c>
      <c r="W425" t="s">
        <v>9</v>
      </c>
      <c r="X425" t="s">
        <v>9</v>
      </c>
      <c r="Y425" t="s">
        <v>9</v>
      </c>
      <c r="Z425" t="s">
        <v>9</v>
      </c>
      <c r="AA425" t="s">
        <v>9</v>
      </c>
      <c r="AB425" t="s">
        <v>9</v>
      </c>
      <c r="AC425" t="s">
        <v>9</v>
      </c>
      <c r="AD425" t="s">
        <v>9</v>
      </c>
      <c r="AE425" t="s">
        <v>9</v>
      </c>
      <c r="AF425" t="s">
        <v>9</v>
      </c>
      <c r="AG425" t="s">
        <v>9</v>
      </c>
      <c r="AH425" t="s">
        <v>11732</v>
      </c>
      <c r="AI425" t="s">
        <v>9</v>
      </c>
      <c r="AJ425" t="s">
        <v>9</v>
      </c>
      <c r="AK425" t="s">
        <v>11733</v>
      </c>
      <c r="AL425" t="s">
        <v>9</v>
      </c>
      <c r="AM425" t="s">
        <v>9</v>
      </c>
      <c r="AN425" s="5">
        <v>0.86819999999999997</v>
      </c>
      <c r="AO425" t="s">
        <v>9</v>
      </c>
      <c r="AP425" t="s">
        <v>11734</v>
      </c>
      <c r="AQ425" t="s">
        <v>9</v>
      </c>
      <c r="AR425" t="s">
        <v>11735</v>
      </c>
      <c r="AS425" t="s">
        <v>9</v>
      </c>
      <c r="AT425" t="s">
        <v>9</v>
      </c>
      <c r="AU425" t="s">
        <v>11736</v>
      </c>
      <c r="AV425" t="s">
        <v>4279</v>
      </c>
      <c r="AW425" t="s">
        <v>9</v>
      </c>
      <c r="AX425" t="s">
        <v>5378</v>
      </c>
      <c r="AY425" t="s">
        <v>5380</v>
      </c>
      <c r="AZ425" t="s">
        <v>5381</v>
      </c>
      <c r="BA425" t="s">
        <v>3026</v>
      </c>
      <c r="BB425" t="s">
        <v>5382</v>
      </c>
      <c r="BC425" t="s">
        <v>5235</v>
      </c>
      <c r="BD425" t="s">
        <v>5383</v>
      </c>
      <c r="BE425" t="s">
        <v>5384</v>
      </c>
      <c r="BF425" t="s">
        <v>5385</v>
      </c>
      <c r="BG425" t="s">
        <v>5386</v>
      </c>
      <c r="BH425" t="s">
        <v>5378</v>
      </c>
      <c r="BI425" t="s">
        <v>9</v>
      </c>
      <c r="BJ425" t="s">
        <v>5380</v>
      </c>
      <c r="BK425" t="s">
        <v>5379</v>
      </c>
      <c r="BL425" t="s">
        <v>9</v>
      </c>
      <c r="BM425" t="s">
        <v>5235</v>
      </c>
      <c r="BN425">
        <v>-7.7</v>
      </c>
      <c r="BO425">
        <v>-7.08</v>
      </c>
      <c r="BP425">
        <v>8.06</v>
      </c>
      <c r="BQ425">
        <v>-32.51</v>
      </c>
      <c r="BR425">
        <v>-23.4</v>
      </c>
      <c r="BS425">
        <v>20.5</v>
      </c>
      <c r="BT425" t="s">
        <v>5387</v>
      </c>
      <c r="BU425" t="s">
        <v>410</v>
      </c>
      <c r="BV425">
        <v>-9.56</v>
      </c>
      <c r="BW425">
        <v>-11.49</v>
      </c>
      <c r="BX425">
        <v>21.89</v>
      </c>
      <c r="BY425">
        <v>-18.78</v>
      </c>
      <c r="BZ425">
        <v>-21.31</v>
      </c>
      <c r="CA425">
        <v>13.26</v>
      </c>
      <c r="CB425">
        <v>14.71</v>
      </c>
      <c r="CC425">
        <v>13.04</v>
      </c>
      <c r="CD425" t="s">
        <v>11737</v>
      </c>
      <c r="CE425" t="s">
        <v>5478</v>
      </c>
      <c r="CF425" s="8" t="s">
        <v>9</v>
      </c>
      <c r="CG425" s="9">
        <v>-8.7799999999999996E-3</v>
      </c>
      <c r="CH425" s="8">
        <v>0.10113940387964249</v>
      </c>
      <c r="CI425" s="8">
        <v>-0.51021707057952881</v>
      </c>
      <c r="CJ425" s="8">
        <v>0.13159821927547455</v>
      </c>
      <c r="CK425" s="8">
        <v>0.68583595752716064</v>
      </c>
      <c r="CL425" s="8">
        <v>0.51381146907806396</v>
      </c>
      <c r="CM425" s="9">
        <v>-1.8147408962249756</v>
      </c>
      <c r="CN425" s="9">
        <v>-0.21508325636386871</v>
      </c>
      <c r="CO425" s="9">
        <v>0.21615181863307953</v>
      </c>
      <c r="CP425" s="9">
        <v>0.33442839980125427</v>
      </c>
      <c r="CQ425" s="9">
        <v>0.20585227012634277</v>
      </c>
      <c r="CR425">
        <v>-2.716740228671223</v>
      </c>
      <c r="CS425">
        <v>-3.9545513958083076E-2</v>
      </c>
      <c r="CT425">
        <v>0</v>
      </c>
      <c r="CU425" s="8">
        <v>0.68699074983596797</v>
      </c>
      <c r="CV425" s="9">
        <v>-0.33944820165634154</v>
      </c>
      <c r="CW425">
        <v>0.06</v>
      </c>
      <c r="CX425" t="e">
        <v>#VALUE!</v>
      </c>
      <c r="CY425" t="s">
        <v>109</v>
      </c>
      <c r="CZ425">
        <v>0.68699074983596797</v>
      </c>
      <c r="DA425" t="e">
        <v>#VALUE!</v>
      </c>
      <c r="DB425" t="s">
        <v>108</v>
      </c>
      <c r="DC425">
        <v>0.6526412123441695</v>
      </c>
      <c r="DD425" t="e">
        <v>#VALUE!</v>
      </c>
      <c r="DE425" t="s">
        <v>108</v>
      </c>
      <c r="DF425">
        <v>0.60455185985565185</v>
      </c>
      <c r="DG425" t="e">
        <v>#VALUE!</v>
      </c>
      <c r="DH425" t="s">
        <v>108</v>
      </c>
      <c r="DI425">
        <v>0.5495925998687744</v>
      </c>
      <c r="DJ425" t="e">
        <v>#VALUE!</v>
      </c>
      <c r="DK425" t="s">
        <v>108</v>
      </c>
      <c r="DL425">
        <v>0.48089352488517756</v>
      </c>
      <c r="DM425">
        <v>-9794000000</v>
      </c>
      <c r="DN425">
        <v>0.68699074983596797</v>
      </c>
      <c r="DO425">
        <v>4434617800</v>
      </c>
      <c r="DP425" t="e">
        <v>#VALUE!</v>
      </c>
      <c r="DQ425">
        <v>425</v>
      </c>
      <c r="DR425" t="e">
        <v>#VALUE!</v>
      </c>
      <c r="DS425">
        <v>0.33066820165634153</v>
      </c>
      <c r="DT425" t="e">
        <v>#VALUE!</v>
      </c>
      <c r="DU425" t="e">
        <v>#VALUE!</v>
      </c>
      <c r="DV425" t="e">
        <v>#VALUE!</v>
      </c>
      <c r="DW425">
        <v>5.8864717878993877</v>
      </c>
      <c r="DX425">
        <v>0.40377779512195261</v>
      </c>
      <c r="DY425">
        <v>5.189507984254945</v>
      </c>
      <c r="DZ425">
        <v>0</v>
      </c>
      <c r="EA425">
        <v>5.189507984254945</v>
      </c>
      <c r="EB425">
        <v>5</v>
      </c>
      <c r="EC425">
        <v>1.5416467509145123E-2</v>
      </c>
      <c r="ED425">
        <v>7.2114443863522532E-2</v>
      </c>
      <c r="EE425">
        <v>0</v>
      </c>
      <c r="EF425">
        <v>0</v>
      </c>
      <c r="EG425">
        <v>19.213777795121953</v>
      </c>
      <c r="EH425" t="s">
        <v>110</v>
      </c>
      <c r="EI425">
        <v>1</v>
      </c>
      <c r="EJ425">
        <v>0</v>
      </c>
      <c r="EK425">
        <v>0</v>
      </c>
      <c r="EL425">
        <v>0</v>
      </c>
      <c r="EM425">
        <v>0</v>
      </c>
      <c r="EN425">
        <v>0</v>
      </c>
      <c r="EO425">
        <v>0</v>
      </c>
      <c r="EP425">
        <v>0</v>
      </c>
    </row>
    <row r="426" spans="1:146" ht="96" x14ac:dyDescent="0.25">
      <c r="A426" s="7"/>
      <c r="B426" s="7"/>
      <c r="C426" s="7" t="str">
        <f>""&amp;CHAR(10)&amp;Basic_Fundamental_Information_Constructure(F426)&amp;CHAR(10)&amp;Basic_Fundamental_Information_Concatenate("")</f>
        <v xml:space="preserve">
市值26.239447亿, 利润-151.29亿; PE; 平均PE-1.2; 平均PEG-.2, PB.087; ROIC-7.7067%; ROE-24.9867%; 股利率0%; 毛利8.8967%; 净利-13.93%; 上一年度营收增-22.11%, 利润增-284.07%, 利润增10.48%; 过往5年营收增6.05%, 利润增49.45%
Income profile:
</v>
      </c>
      <c r="D426" s="11">
        <v>3383</v>
      </c>
      <c r="E426" t="s">
        <v>5389</v>
      </c>
      <c r="F426">
        <v>0.52</v>
      </c>
      <c r="G426" s="5">
        <v>-3.6999999999999998E-2</v>
      </c>
      <c r="H426" t="s">
        <v>11738</v>
      </c>
      <c r="I426">
        <v>2623944700</v>
      </c>
      <c r="K426">
        <v>8.6999999999999994E-2</v>
      </c>
      <c r="L426" t="s">
        <v>6350</v>
      </c>
      <c r="M426" t="s">
        <v>9</v>
      </c>
      <c r="N426" t="s">
        <v>9</v>
      </c>
      <c r="O426" t="s">
        <v>9</v>
      </c>
      <c r="P426" t="s">
        <v>9</v>
      </c>
      <c r="Q426" t="s">
        <v>11739</v>
      </c>
      <c r="R426">
        <v>-15128870000</v>
      </c>
      <c r="S426" s="5">
        <v>0.1048</v>
      </c>
      <c r="T426" t="s">
        <v>11740</v>
      </c>
      <c r="U426">
        <v>5046047500</v>
      </c>
      <c r="V426">
        <v>5046047500</v>
      </c>
      <c r="W426" t="s">
        <v>9</v>
      </c>
      <c r="X426" t="s">
        <v>9</v>
      </c>
      <c r="Y426" t="s">
        <v>9</v>
      </c>
      <c r="Z426" t="s">
        <v>9</v>
      </c>
      <c r="AA426" t="s">
        <v>9</v>
      </c>
      <c r="AB426" t="s">
        <v>9</v>
      </c>
      <c r="AC426" t="s">
        <v>9</v>
      </c>
      <c r="AD426" t="s">
        <v>9</v>
      </c>
      <c r="AE426" t="s">
        <v>9</v>
      </c>
      <c r="AF426" t="s">
        <v>9</v>
      </c>
      <c r="AG426" t="s">
        <v>9</v>
      </c>
      <c r="AH426" t="s">
        <v>11741</v>
      </c>
      <c r="AI426" t="s">
        <v>9</v>
      </c>
      <c r="AJ426" t="s">
        <v>9</v>
      </c>
      <c r="AK426" t="s">
        <v>11742</v>
      </c>
      <c r="AL426" t="s">
        <v>9</v>
      </c>
      <c r="AM426" t="s">
        <v>9</v>
      </c>
      <c r="AN426" s="5">
        <v>0.74209999999999998</v>
      </c>
      <c r="AO426" t="s">
        <v>9</v>
      </c>
      <c r="AP426" t="s">
        <v>11743</v>
      </c>
      <c r="AQ426" t="s">
        <v>9</v>
      </c>
      <c r="AR426" t="s">
        <v>11744</v>
      </c>
      <c r="AS426" t="s">
        <v>9</v>
      </c>
      <c r="AT426" t="s">
        <v>9</v>
      </c>
      <c r="AU426" t="s">
        <v>11745</v>
      </c>
      <c r="AV426" t="s">
        <v>7579</v>
      </c>
      <c r="AW426" t="s">
        <v>9</v>
      </c>
      <c r="AX426" t="s">
        <v>5390</v>
      </c>
      <c r="AY426" t="s">
        <v>5392</v>
      </c>
      <c r="AZ426" t="s">
        <v>5393</v>
      </c>
      <c r="BA426" t="s">
        <v>5394</v>
      </c>
      <c r="BB426" t="s">
        <v>5395</v>
      </c>
      <c r="BC426" t="s">
        <v>5396</v>
      </c>
      <c r="BD426" t="s">
        <v>5397</v>
      </c>
      <c r="BE426" t="s">
        <v>5398</v>
      </c>
      <c r="BF426" t="s">
        <v>5399</v>
      </c>
      <c r="BG426" t="s">
        <v>5400</v>
      </c>
      <c r="BH426" t="s">
        <v>5390</v>
      </c>
      <c r="BI426" t="s">
        <v>9</v>
      </c>
      <c r="BJ426" t="s">
        <v>5392</v>
      </c>
      <c r="BK426" t="s">
        <v>5391</v>
      </c>
      <c r="BL426" t="s">
        <v>9</v>
      </c>
      <c r="BM426" t="s">
        <v>5396</v>
      </c>
      <c r="BN426">
        <v>-15.25</v>
      </c>
      <c r="BO426">
        <v>-12.55</v>
      </c>
      <c r="BP426">
        <v>4.68</v>
      </c>
      <c r="BQ426">
        <v>-50.29</v>
      </c>
      <c r="BR426">
        <v>-37.04</v>
      </c>
      <c r="BS426">
        <v>12.37</v>
      </c>
      <c r="BT426" t="s">
        <v>3118</v>
      </c>
      <c r="BU426" t="s">
        <v>410</v>
      </c>
      <c r="BV426">
        <v>-1.21</v>
      </c>
      <c r="BW426">
        <v>1.85</v>
      </c>
      <c r="BX426">
        <v>26.05</v>
      </c>
      <c r="BY426">
        <v>-29.5</v>
      </c>
      <c r="BZ426">
        <v>-24.75</v>
      </c>
      <c r="CA426">
        <v>12.46</v>
      </c>
      <c r="CB426">
        <v>1.96</v>
      </c>
      <c r="CC426">
        <v>-14.75</v>
      </c>
      <c r="CD426" t="s">
        <v>11746</v>
      </c>
      <c r="CE426" t="s">
        <v>11747</v>
      </c>
      <c r="CF426" s="8" t="s">
        <v>9</v>
      </c>
      <c r="CG426" s="9">
        <v>0.1048</v>
      </c>
      <c r="CH426" s="8">
        <v>-0.2211267501115799</v>
      </c>
      <c r="CI426" s="8">
        <v>-0.31833326816558838</v>
      </c>
      <c r="CJ426" s="8">
        <v>-6.5053783357143402E-2</v>
      </c>
      <c r="CK426" s="8">
        <v>0.49614402651786804</v>
      </c>
      <c r="CL426" s="8">
        <v>3.3213730901479721E-2</v>
      </c>
      <c r="CM426" s="9">
        <v>-2.8407347202301025</v>
      </c>
      <c r="CN426" s="9">
        <v>-0.27220401167869568</v>
      </c>
      <c r="CO426" s="9">
        <v>0.3453657329082489</v>
      </c>
      <c r="CP426" s="9">
        <v>3.4635763615369797E-2</v>
      </c>
      <c r="CQ426" s="9">
        <v>0.12306200712919235</v>
      </c>
      <c r="CR426">
        <v>-1.2040125573569898</v>
      </c>
      <c r="CS426">
        <v>-0.19895914209900326</v>
      </c>
      <c r="CT426">
        <v>0</v>
      </c>
      <c r="CU426" s="8">
        <v>6.0515568405389783E-2</v>
      </c>
      <c r="CV426" s="9">
        <v>0.4945038318634033</v>
      </c>
      <c r="CW426">
        <v>0.06</v>
      </c>
      <c r="CX426" t="e">
        <v>#VALUE!</v>
      </c>
      <c r="CY426" t="s">
        <v>109</v>
      </c>
      <c r="CZ426">
        <v>6.0515568405389783E-2</v>
      </c>
      <c r="DA426" t="e">
        <v>#VALUE!</v>
      </c>
      <c r="DB426" t="s">
        <v>108</v>
      </c>
      <c r="DC426">
        <v>5.748978998512029E-2</v>
      </c>
      <c r="DD426" t="e">
        <v>#VALUE!</v>
      </c>
      <c r="DE426" t="s">
        <v>108</v>
      </c>
      <c r="DF426">
        <v>5.3253700196743012E-2</v>
      </c>
      <c r="DG426" t="e">
        <v>#VALUE!</v>
      </c>
      <c r="DH426" t="s">
        <v>108</v>
      </c>
      <c r="DI426">
        <v>4.8412454724311826E-2</v>
      </c>
      <c r="DJ426" t="e">
        <v>#VALUE!</v>
      </c>
      <c r="DK426" t="s">
        <v>108</v>
      </c>
      <c r="DL426">
        <v>4.2360897883772848E-2</v>
      </c>
      <c r="DM426">
        <v>-15129000000</v>
      </c>
      <c r="DN426">
        <v>6.0515568405389783E-2</v>
      </c>
      <c r="DO426">
        <v>2623944700</v>
      </c>
      <c r="DP426" t="e">
        <v>#VALUE!</v>
      </c>
      <c r="DQ426">
        <v>426</v>
      </c>
      <c r="DR426" t="e">
        <v>#VALUE!</v>
      </c>
      <c r="DS426">
        <v>-0.38970383186340329</v>
      </c>
      <c r="DT426" t="e">
        <v>#VALUE!</v>
      </c>
      <c r="DU426" t="e">
        <v>#VALUE!</v>
      </c>
      <c r="DV426" t="e">
        <v>#VALUE!</v>
      </c>
      <c r="DW426">
        <v>-2.1475</v>
      </c>
      <c r="DX426">
        <v>0.29275437500085544</v>
      </c>
      <c r="DY426">
        <v>-2.0077812703126261</v>
      </c>
      <c r="DZ426">
        <v>0</v>
      </c>
      <c r="EA426">
        <v>-2.0077812703126261</v>
      </c>
      <c r="EB426">
        <v>2</v>
      </c>
      <c r="EC426">
        <v>1.565052647641545E-2</v>
      </c>
      <c r="ED426">
        <v>0.29666783755008252</v>
      </c>
      <c r="EE426">
        <v>0</v>
      </c>
      <c r="EF426">
        <v>0</v>
      </c>
      <c r="EG426">
        <v>24.052754375000855</v>
      </c>
      <c r="EH426" t="s">
        <v>110</v>
      </c>
      <c r="EI426">
        <v>0</v>
      </c>
      <c r="EJ426">
        <v>0</v>
      </c>
      <c r="EK426">
        <v>0</v>
      </c>
      <c r="EL426">
        <v>0</v>
      </c>
      <c r="EM426">
        <v>0</v>
      </c>
      <c r="EN426">
        <v>0</v>
      </c>
      <c r="EO426">
        <v>0</v>
      </c>
      <c r="EP426">
        <v>0</v>
      </c>
    </row>
    <row r="427" spans="1:146" ht="96" x14ac:dyDescent="0.25">
      <c r="A427" s="7"/>
      <c r="B427" s="7"/>
      <c r="C427" s="7" t="str">
        <f>""&amp;CHAR(10)&amp;Basic_Fundamental_Information_Constructure(F427)&amp;CHAR(10)&amp;Basic_Fundamental_Information_Concatenate("")</f>
        <v xml:space="preserve">
市值139.48887亿, 利润-42.47亿; PE; 平均PE-19; 平均PEG-.7, PB.223; ROIC.49%; ROE1.4833%; 股利率0%; 毛利17.64%; 净利1.8567%; 上一年度营收增-12.4%, 利润增-160.27%, 利润增-422.6%; 过往5年营收增27.3%, 利润增-270.76%
Income profile:
</v>
      </c>
      <c r="D427" s="11">
        <v>3396</v>
      </c>
      <c r="E427" t="s">
        <v>5401</v>
      </c>
      <c r="F427">
        <v>5.92</v>
      </c>
      <c r="G427" s="5">
        <v>-1.4999999999999999E-2</v>
      </c>
      <c r="H427" t="s">
        <v>11748</v>
      </c>
      <c r="I427">
        <v>13948887000</v>
      </c>
      <c r="K427">
        <v>0.223</v>
      </c>
      <c r="L427" t="s">
        <v>6350</v>
      </c>
      <c r="M427" t="s">
        <v>9</v>
      </c>
      <c r="N427" t="s">
        <v>9</v>
      </c>
      <c r="O427" t="s">
        <v>9</v>
      </c>
      <c r="P427" t="s">
        <v>9</v>
      </c>
      <c r="Q427" t="s">
        <v>11749</v>
      </c>
      <c r="R427">
        <v>-4246984600</v>
      </c>
      <c r="S427" s="5">
        <v>-4.226</v>
      </c>
      <c r="T427" t="s">
        <v>11750</v>
      </c>
      <c r="U427">
        <v>1271853990</v>
      </c>
      <c r="V427">
        <v>2356230900</v>
      </c>
      <c r="W427" t="s">
        <v>9</v>
      </c>
      <c r="X427" t="s">
        <v>9</v>
      </c>
      <c r="Y427" t="s">
        <v>9</v>
      </c>
      <c r="Z427" t="s">
        <v>9</v>
      </c>
      <c r="AA427" t="s">
        <v>9</v>
      </c>
      <c r="AB427" t="s">
        <v>9</v>
      </c>
      <c r="AC427" t="s">
        <v>9</v>
      </c>
      <c r="AD427" t="s">
        <v>9</v>
      </c>
      <c r="AE427" t="s">
        <v>9</v>
      </c>
      <c r="AF427" t="s">
        <v>9</v>
      </c>
      <c r="AG427" t="s">
        <v>9</v>
      </c>
      <c r="AH427" t="s">
        <v>11751</v>
      </c>
      <c r="AI427" t="s">
        <v>9</v>
      </c>
      <c r="AJ427" t="s">
        <v>9</v>
      </c>
      <c r="AK427" t="s">
        <v>11752</v>
      </c>
      <c r="AL427" t="s">
        <v>9</v>
      </c>
      <c r="AM427" t="s">
        <v>9</v>
      </c>
      <c r="AN427" s="5">
        <v>0.84960000000000002</v>
      </c>
      <c r="AO427" t="s">
        <v>9</v>
      </c>
      <c r="AP427" t="s">
        <v>9274</v>
      </c>
      <c r="AQ427" t="s">
        <v>9</v>
      </c>
      <c r="AR427" t="s">
        <v>11753</v>
      </c>
      <c r="AS427" t="s">
        <v>9</v>
      </c>
      <c r="AT427" t="s">
        <v>9</v>
      </c>
      <c r="AU427" t="s">
        <v>3597</v>
      </c>
      <c r="AV427" t="s">
        <v>11754</v>
      </c>
      <c r="AW427" t="s">
        <v>9</v>
      </c>
      <c r="AX427" t="s">
        <v>5402</v>
      </c>
      <c r="AY427" t="s">
        <v>5404</v>
      </c>
      <c r="AZ427" t="s">
        <v>5405</v>
      </c>
      <c r="BA427" t="s">
        <v>5406</v>
      </c>
      <c r="BB427" t="s">
        <v>5407</v>
      </c>
      <c r="BC427" t="s">
        <v>5408</v>
      </c>
      <c r="BD427" t="s">
        <v>5409</v>
      </c>
      <c r="BE427" t="s">
        <v>4212</v>
      </c>
      <c r="BF427" t="s">
        <v>5410</v>
      </c>
      <c r="BG427" t="s">
        <v>4667</v>
      </c>
      <c r="BH427" t="s">
        <v>5402</v>
      </c>
      <c r="BI427" t="s">
        <v>9</v>
      </c>
      <c r="BJ427" t="s">
        <v>5404</v>
      </c>
      <c r="BK427" t="s">
        <v>5403</v>
      </c>
      <c r="BL427" t="s">
        <v>9</v>
      </c>
      <c r="BM427" t="s">
        <v>5408</v>
      </c>
      <c r="BN427">
        <v>-2.04</v>
      </c>
      <c r="BO427">
        <v>0.59</v>
      </c>
      <c r="BP427">
        <v>2.92</v>
      </c>
      <c r="BQ427">
        <v>-6.8</v>
      </c>
      <c r="BR427">
        <v>1.86</v>
      </c>
      <c r="BS427">
        <v>9.39</v>
      </c>
      <c r="BT427" t="s">
        <v>2584</v>
      </c>
      <c r="BU427" t="s">
        <v>1093</v>
      </c>
      <c r="BV427">
        <v>17.71</v>
      </c>
      <c r="BW427">
        <v>17.670000000000002</v>
      </c>
      <c r="BX427">
        <v>17.54</v>
      </c>
      <c r="BY427">
        <v>0.14000000000000001</v>
      </c>
      <c r="BZ427">
        <v>2.15</v>
      </c>
      <c r="CA427">
        <v>3.28</v>
      </c>
      <c r="CB427">
        <v>-8.2200000000000006</v>
      </c>
      <c r="CC427">
        <v>-1.66</v>
      </c>
      <c r="CD427" t="s">
        <v>11755</v>
      </c>
      <c r="CE427" t="s">
        <v>11756</v>
      </c>
      <c r="CF427" s="8" t="s">
        <v>9</v>
      </c>
      <c r="CG427" s="9">
        <v>-4.226</v>
      </c>
      <c r="CH427" s="8">
        <v>-0.12401122599840164</v>
      </c>
      <c r="CI427" s="8">
        <v>-9.0402893722057343E-2</v>
      </c>
      <c r="CJ427" s="8">
        <v>0.20524489879608154</v>
      </c>
      <c r="CK427" s="8">
        <v>0.21786005795001984</v>
      </c>
      <c r="CL427" s="8">
        <v>7.7796690165996552E-2</v>
      </c>
      <c r="CM427" s="9">
        <v>-1.6026678085327148</v>
      </c>
      <c r="CN427" s="9">
        <v>0.5286334753036499</v>
      </c>
      <c r="CO427" s="9">
        <v>0.14363676309585571</v>
      </c>
      <c r="CP427" s="9">
        <v>-0.18828031420707703</v>
      </c>
      <c r="CQ427" s="9">
        <v>-0.17944476008415222</v>
      </c>
      <c r="CR427">
        <v>-19.001548988199165</v>
      </c>
      <c r="CS427">
        <v>-0.69611761266651839</v>
      </c>
      <c r="CT427">
        <v>0</v>
      </c>
      <c r="CU427" s="8">
        <v>0.27296463474631311</v>
      </c>
      <c r="CV427" s="9">
        <v>-2.7075828969478608</v>
      </c>
      <c r="CW427">
        <v>0.06</v>
      </c>
      <c r="CX427" t="e">
        <v>#VALUE!</v>
      </c>
      <c r="CY427" t="s">
        <v>109</v>
      </c>
      <c r="CZ427">
        <v>0.27296463474631311</v>
      </c>
      <c r="DA427" t="e">
        <v>#VALUE!</v>
      </c>
      <c r="DB427" t="s">
        <v>108</v>
      </c>
      <c r="DC427">
        <v>0.25931640300899744</v>
      </c>
      <c r="DD427" t="e">
        <v>#VALUE!</v>
      </c>
      <c r="DE427" t="s">
        <v>108</v>
      </c>
      <c r="DF427">
        <v>0.24020887857675555</v>
      </c>
      <c r="DG427" t="e">
        <v>#VALUE!</v>
      </c>
      <c r="DH427" t="s">
        <v>108</v>
      </c>
      <c r="DI427">
        <v>0.21837170779705051</v>
      </c>
      <c r="DJ427" t="e">
        <v>#VALUE!</v>
      </c>
      <c r="DK427" t="s">
        <v>108</v>
      </c>
      <c r="DL427">
        <v>0.19107524432241915</v>
      </c>
      <c r="DM427">
        <v>-4247000000</v>
      </c>
      <c r="DN427">
        <v>0.27296463474631311</v>
      </c>
      <c r="DO427">
        <v>13948887000</v>
      </c>
      <c r="DP427" t="e">
        <v>#VALUE!</v>
      </c>
      <c r="DQ427">
        <v>427</v>
      </c>
      <c r="DR427" t="e">
        <v>#VALUE!</v>
      </c>
      <c r="DS427">
        <v>-1.5184171030521392</v>
      </c>
      <c r="DT427" t="e">
        <v>#VALUE!</v>
      </c>
      <c r="DU427" t="e">
        <v>#VALUE!</v>
      </c>
      <c r="DV427" t="e">
        <v>#VALUE!</v>
      </c>
      <c r="DW427">
        <v>-5.2019464720194648</v>
      </c>
      <c r="DX427">
        <v>0.49196282157877635</v>
      </c>
      <c r="DY427">
        <v>-5.0428051440171258</v>
      </c>
      <c r="DZ427">
        <v>0</v>
      </c>
      <c r="EA427">
        <v>-5.0428051440171258</v>
      </c>
      <c r="EB427">
        <v>5</v>
      </c>
      <c r="EC427">
        <v>5.9290878495821438E-3</v>
      </c>
      <c r="ED427">
        <v>2.7972301016848562E-2</v>
      </c>
      <c r="EE427">
        <v>0</v>
      </c>
      <c r="EF427">
        <v>0</v>
      </c>
      <c r="EG427">
        <v>28.211962821578776</v>
      </c>
      <c r="EH427" t="s">
        <v>110</v>
      </c>
      <c r="EI427">
        <v>0</v>
      </c>
      <c r="EJ427">
        <v>0</v>
      </c>
      <c r="EK427">
        <v>0</v>
      </c>
      <c r="EL427">
        <v>0</v>
      </c>
      <c r="EM427">
        <v>0</v>
      </c>
      <c r="EN427">
        <v>0</v>
      </c>
      <c r="EO427">
        <v>0</v>
      </c>
      <c r="EP427">
        <v>0</v>
      </c>
    </row>
    <row r="428" spans="1:146" ht="108" x14ac:dyDescent="0.25">
      <c r="A428" s="7"/>
      <c r="B428" s="7"/>
      <c r="C428" s="7" t="str">
        <f>""&amp;CHAR(10)&amp;Basic_Fundamental_Information_Constructure(F428)&amp;CHAR(10)&amp;Basic_Fundamental_Information_Concatenate("")</f>
        <v xml:space="preserve">
市值1174.38459亿, 利润61.70亿; PE17.74; 平均PE44.59; 平均PEG3.21, PB3.31; ROIC11.4367%; ROE15.4167%; 股利率0%; 毛利33.94%; 净利15.73%; 上一年度营收增14.68%, 利润增60.18%; 当季营收增18.25%, 利润增43.21%; 过往5年营收增13.9%, 利润增17.4%
Income profile:
</v>
      </c>
      <c r="D428" s="11">
        <v>3606</v>
      </c>
      <c r="E428" t="s">
        <v>5411</v>
      </c>
      <c r="F428">
        <v>45</v>
      </c>
      <c r="G428" s="5">
        <v>-2.3900000000000001E-2</v>
      </c>
      <c r="H428" t="s">
        <v>11757</v>
      </c>
      <c r="I428">
        <v>117438459000</v>
      </c>
      <c r="J428">
        <v>17.739999999999998</v>
      </c>
      <c r="K428">
        <v>3.31</v>
      </c>
      <c r="L428" t="s">
        <v>6350</v>
      </c>
      <c r="M428" t="s">
        <v>11758</v>
      </c>
      <c r="N428" t="s">
        <v>11759</v>
      </c>
      <c r="O428" t="s">
        <v>11760</v>
      </c>
      <c r="P428">
        <v>25.29</v>
      </c>
      <c r="Q428" t="s">
        <v>11761</v>
      </c>
      <c r="R428">
        <v>6170163400</v>
      </c>
      <c r="S428" s="5">
        <v>0.43209999999999998</v>
      </c>
      <c r="T428" t="s">
        <v>11762</v>
      </c>
      <c r="U428">
        <v>606757200</v>
      </c>
      <c r="V428">
        <v>2609743500</v>
      </c>
      <c r="W428">
        <v>1.82</v>
      </c>
      <c r="X428">
        <v>0.15</v>
      </c>
      <c r="Y428">
        <v>19.43</v>
      </c>
      <c r="Z428" t="s">
        <v>11763</v>
      </c>
      <c r="AA428" t="s">
        <v>11764</v>
      </c>
      <c r="AB428" t="s">
        <v>133</v>
      </c>
      <c r="AC428" t="s">
        <v>1487</v>
      </c>
      <c r="AD428" t="s">
        <v>6424</v>
      </c>
      <c r="AE428" t="s">
        <v>11765</v>
      </c>
      <c r="AF428" t="s">
        <v>9</v>
      </c>
      <c r="AG428" t="s">
        <v>115</v>
      </c>
      <c r="AH428" t="s">
        <v>11766</v>
      </c>
      <c r="AI428" t="s">
        <v>11767</v>
      </c>
      <c r="AJ428" t="s">
        <v>11768</v>
      </c>
      <c r="AK428" t="s">
        <v>11769</v>
      </c>
      <c r="AL428" t="s">
        <v>9</v>
      </c>
      <c r="AM428" t="s">
        <v>11770</v>
      </c>
      <c r="AN428" s="5">
        <v>0.44950000000000001</v>
      </c>
      <c r="AO428" t="s">
        <v>11771</v>
      </c>
      <c r="AP428" t="s">
        <v>11764</v>
      </c>
      <c r="AQ428" t="s">
        <v>11451</v>
      </c>
      <c r="AR428" t="s">
        <v>11772</v>
      </c>
      <c r="AS428" t="s">
        <v>11773</v>
      </c>
      <c r="AT428" t="s">
        <v>11774</v>
      </c>
      <c r="AU428" t="s">
        <v>11775</v>
      </c>
      <c r="AV428" t="s">
        <v>11776</v>
      </c>
      <c r="AW428" t="s">
        <v>2789</v>
      </c>
      <c r="AX428" t="s">
        <v>5412</v>
      </c>
      <c r="AY428" t="s">
        <v>5414</v>
      </c>
      <c r="AZ428" t="s">
        <v>5415</v>
      </c>
      <c r="BA428" t="s">
        <v>5416</v>
      </c>
      <c r="BB428" t="s">
        <v>5417</v>
      </c>
      <c r="BC428" t="s">
        <v>840</v>
      </c>
      <c r="BD428" t="s">
        <v>1090</v>
      </c>
      <c r="BE428" t="s">
        <v>5418</v>
      </c>
      <c r="BF428" t="s">
        <v>154</v>
      </c>
      <c r="BG428" t="s">
        <v>5419</v>
      </c>
      <c r="BH428" t="s">
        <v>5412</v>
      </c>
      <c r="BI428" t="s">
        <v>5420</v>
      </c>
      <c r="BJ428" t="s">
        <v>5414</v>
      </c>
      <c r="BK428" t="s">
        <v>5413</v>
      </c>
      <c r="BL428" t="s">
        <v>5421</v>
      </c>
      <c r="BM428" t="s">
        <v>840</v>
      </c>
      <c r="BN428">
        <v>12.96</v>
      </c>
      <c r="BO428">
        <v>12.14</v>
      </c>
      <c r="BP428">
        <v>9.2100000000000009</v>
      </c>
      <c r="BQ428">
        <v>17.91</v>
      </c>
      <c r="BR428">
        <v>16.39</v>
      </c>
      <c r="BS428">
        <v>11.95</v>
      </c>
      <c r="BT428" t="s">
        <v>5422</v>
      </c>
      <c r="BU428" t="s">
        <v>861</v>
      </c>
      <c r="BV428">
        <v>34.14</v>
      </c>
      <c r="BW428">
        <v>32.729999999999997</v>
      </c>
      <c r="BX428">
        <v>34.950000000000003</v>
      </c>
      <c r="BY428">
        <v>16.97</v>
      </c>
      <c r="BZ428">
        <v>16.91</v>
      </c>
      <c r="CA428">
        <v>13.31</v>
      </c>
      <c r="CB428">
        <v>4.29</v>
      </c>
      <c r="CC428">
        <v>-8.7200000000000006</v>
      </c>
      <c r="CD428" t="s">
        <v>11777</v>
      </c>
      <c r="CE428" t="s">
        <v>11778</v>
      </c>
      <c r="CF428" s="8">
        <v>0.18248813389957533</v>
      </c>
      <c r="CG428" s="9">
        <v>0.43209999999999998</v>
      </c>
      <c r="CH428" s="8">
        <v>0.14679162204265594</v>
      </c>
      <c r="CI428" s="8">
        <v>9.6740677952766418E-2</v>
      </c>
      <c r="CJ428" s="8">
        <v>0.21810600161552429</v>
      </c>
      <c r="CK428" s="8">
        <v>3.0354296788573265E-2</v>
      </c>
      <c r="CL428" s="8">
        <v>2.6294684037566185E-2</v>
      </c>
      <c r="CM428" s="9">
        <v>0.60176527500152588</v>
      </c>
      <c r="CN428" s="9">
        <v>0.24298158288002014</v>
      </c>
      <c r="CO428" s="9">
        <v>-4.2927749454975128E-2</v>
      </c>
      <c r="CP428" s="9">
        <v>-0.30974200367927551</v>
      </c>
      <c r="CQ428" s="9">
        <v>0.24297818541526794</v>
      </c>
      <c r="CR428">
        <v>44.59123870396153</v>
      </c>
      <c r="CS428">
        <v>3.2087916227844024</v>
      </c>
      <c r="CT428">
        <v>0</v>
      </c>
      <c r="CU428" s="8">
        <v>0.13896582871675492</v>
      </c>
      <c r="CV428" s="9">
        <v>0.17402022182941437</v>
      </c>
      <c r="CW428">
        <v>0.06</v>
      </c>
      <c r="CX428">
        <v>16.733404370708975</v>
      </c>
      <c r="CY428">
        <v>6629640719.9833755</v>
      </c>
      <c r="CZ428">
        <v>0.13896582871675492</v>
      </c>
      <c r="DA428">
        <v>5.2474466363886965</v>
      </c>
      <c r="DB428">
        <v>21141036143.313065</v>
      </c>
      <c r="DC428">
        <v>0.13201753728091717</v>
      </c>
      <c r="DD428">
        <v>2.4421797349434748</v>
      </c>
      <c r="DE428">
        <v>45425182025.993538</v>
      </c>
      <c r="DF428">
        <v>0.12228992927074434</v>
      </c>
      <c r="DG428">
        <v>1.3746690760940492</v>
      </c>
      <c r="DH428">
        <v>80700483432.137802</v>
      </c>
      <c r="DI428">
        <v>0.11117266297340395</v>
      </c>
      <c r="DJ428">
        <v>0.61314496830370702</v>
      </c>
      <c r="DK428">
        <v>180930228143.12686</v>
      </c>
      <c r="DL428">
        <v>9.7276080101728432E-2</v>
      </c>
      <c r="DM428">
        <v>6170000000</v>
      </c>
      <c r="DN428">
        <v>0.13896582871675492</v>
      </c>
      <c r="DO428">
        <v>110936459000</v>
      </c>
      <c r="DP428" t="e">
        <v>#VALUE!</v>
      </c>
      <c r="DQ428">
        <v>428</v>
      </c>
      <c r="DR428">
        <v>4.3522305182820409E-2</v>
      </c>
      <c r="DS428">
        <v>0.25807977817058558</v>
      </c>
      <c r="DT428">
        <v>-0.12333333333333336</v>
      </c>
      <c r="DU428">
        <v>1.0333333333333334</v>
      </c>
      <c r="DV428">
        <v>0.91</v>
      </c>
      <c r="DW428">
        <v>6.3297463489623365</v>
      </c>
      <c r="DX428">
        <v>0.78827402970168836</v>
      </c>
      <c r="DY428">
        <v>6.0851649183259227</v>
      </c>
      <c r="DZ428">
        <v>0</v>
      </c>
      <c r="EA428">
        <v>6.0851649183259227</v>
      </c>
      <c r="EB428">
        <v>6</v>
      </c>
      <c r="EC428">
        <v>5.5890550163263169E-3</v>
      </c>
      <c r="ED428">
        <v>2.1640019411869403E-2</v>
      </c>
      <c r="EE428">
        <v>0</v>
      </c>
      <c r="EF428">
        <v>0</v>
      </c>
      <c r="EG428">
        <v>53.258274029701688</v>
      </c>
      <c r="EH428" t="s">
        <v>110</v>
      </c>
      <c r="EI428">
        <v>0</v>
      </c>
      <c r="EJ428">
        <v>0</v>
      </c>
      <c r="EK428">
        <v>0</v>
      </c>
      <c r="EL428">
        <v>0</v>
      </c>
      <c r="EM428">
        <v>0</v>
      </c>
      <c r="EN428">
        <v>0</v>
      </c>
      <c r="EO428">
        <v>0</v>
      </c>
      <c r="EP428">
        <v>0</v>
      </c>
    </row>
    <row r="429" spans="1:146" ht="96" x14ac:dyDescent="0.25">
      <c r="A429" s="7"/>
      <c r="B429" s="7"/>
      <c r="C429" s="7" t="str">
        <f>""&amp;CHAR(10)&amp;Basic_Fundamental_Information_Constructure(F429)&amp;CHAR(10)&amp;Basic_Fundamental_Information_Concatenate("")</f>
        <v xml:space="preserve">
市值73.99964亿, 利润5.40亿; PE13.69; 平均PE25.43; 平均PEG1.66, PB1.91; ROIC17.2433%; ROE16.56%; 股利率0%; 毛利69.02%; 净利40.1767%; 上一年度营收增-11.9%, 利润增-11.18%, 利润增-16.33%; 过往5年营收增15.32%, 利润增371.83%
Income profile:
</v>
      </c>
      <c r="D429" s="11">
        <v>3613</v>
      </c>
      <c r="E429" t="s">
        <v>5423</v>
      </c>
      <c r="F429">
        <v>8.84</v>
      </c>
      <c r="G429" s="5">
        <v>-1.89E-2</v>
      </c>
      <c r="H429" t="s">
        <v>11779</v>
      </c>
      <c r="I429">
        <v>7399964000</v>
      </c>
      <c r="J429">
        <v>13.69</v>
      </c>
      <c r="K429">
        <v>1.91</v>
      </c>
      <c r="L429" t="s">
        <v>6350</v>
      </c>
      <c r="M429" t="s">
        <v>9</v>
      </c>
      <c r="N429" t="s">
        <v>9</v>
      </c>
      <c r="O429" t="s">
        <v>9</v>
      </c>
      <c r="P429" t="s">
        <v>9</v>
      </c>
      <c r="Q429" t="s">
        <v>3542</v>
      </c>
      <c r="R429">
        <v>540393000</v>
      </c>
      <c r="S429" s="5">
        <v>-0.1633</v>
      </c>
      <c r="T429" t="s">
        <v>1345</v>
      </c>
      <c r="U429">
        <v>837100000</v>
      </c>
      <c r="V429">
        <v>837100000</v>
      </c>
      <c r="W429" t="s">
        <v>9</v>
      </c>
      <c r="X429" t="s">
        <v>9</v>
      </c>
      <c r="Y429" t="s">
        <v>9</v>
      </c>
      <c r="Z429" t="s">
        <v>9</v>
      </c>
      <c r="AA429" t="s">
        <v>9</v>
      </c>
      <c r="AB429" t="s">
        <v>9</v>
      </c>
      <c r="AC429" t="s">
        <v>9</v>
      </c>
      <c r="AD429" t="s">
        <v>11780</v>
      </c>
      <c r="AE429" t="s">
        <v>9</v>
      </c>
      <c r="AF429" t="s">
        <v>9</v>
      </c>
      <c r="AG429" t="s">
        <v>9</v>
      </c>
      <c r="AH429" t="s">
        <v>11781</v>
      </c>
      <c r="AI429" t="s">
        <v>9</v>
      </c>
      <c r="AJ429" t="s">
        <v>9</v>
      </c>
      <c r="AK429" t="s">
        <v>11782</v>
      </c>
      <c r="AL429" t="s">
        <v>9</v>
      </c>
      <c r="AM429" t="s">
        <v>9</v>
      </c>
      <c r="AN429" s="5">
        <v>9.3299999999999994E-2</v>
      </c>
      <c r="AO429" t="s">
        <v>9</v>
      </c>
      <c r="AP429" t="s">
        <v>117</v>
      </c>
      <c r="AQ429" t="s">
        <v>9</v>
      </c>
      <c r="AR429" t="s">
        <v>818</v>
      </c>
      <c r="AS429" t="s">
        <v>9</v>
      </c>
      <c r="AT429" t="s">
        <v>9</v>
      </c>
      <c r="AU429" t="s">
        <v>1564</v>
      </c>
      <c r="AV429" t="s">
        <v>11783</v>
      </c>
      <c r="AW429" t="s">
        <v>9</v>
      </c>
      <c r="AX429" t="s">
        <v>3968</v>
      </c>
      <c r="AY429" t="s">
        <v>5424</v>
      </c>
      <c r="AZ429" t="s">
        <v>5425</v>
      </c>
      <c r="BA429" t="s">
        <v>844</v>
      </c>
      <c r="BB429" t="s">
        <v>5426</v>
      </c>
      <c r="BC429" t="s">
        <v>95</v>
      </c>
      <c r="BD429" t="s">
        <v>1945</v>
      </c>
      <c r="BE429" t="s">
        <v>3651</v>
      </c>
      <c r="BF429" t="s">
        <v>1972</v>
      </c>
      <c r="BG429" t="s">
        <v>150</v>
      </c>
      <c r="BH429" t="s">
        <v>3968</v>
      </c>
      <c r="BI429" t="s">
        <v>9</v>
      </c>
      <c r="BJ429" t="s">
        <v>5424</v>
      </c>
      <c r="BK429" t="s">
        <v>1612</v>
      </c>
      <c r="BL429" t="s">
        <v>9</v>
      </c>
      <c r="BM429" t="s">
        <v>95</v>
      </c>
      <c r="BN429">
        <v>14.46</v>
      </c>
      <c r="BO429">
        <v>18.39</v>
      </c>
      <c r="BP429">
        <v>18.88</v>
      </c>
      <c r="BQ429">
        <v>13.98</v>
      </c>
      <c r="BR429">
        <v>17.920000000000002</v>
      </c>
      <c r="BS429">
        <v>17.78</v>
      </c>
      <c r="BT429" t="s">
        <v>5427</v>
      </c>
      <c r="BU429" t="s">
        <v>489</v>
      </c>
      <c r="BV429">
        <v>68.67</v>
      </c>
      <c r="BW429">
        <v>66.44</v>
      </c>
      <c r="BX429">
        <v>71.95</v>
      </c>
      <c r="BY429">
        <v>38.729999999999997</v>
      </c>
      <c r="BZ429">
        <v>39.93</v>
      </c>
      <c r="CA429">
        <v>41.87</v>
      </c>
      <c r="CB429">
        <v>-5.15</v>
      </c>
      <c r="CC429">
        <v>-12.73</v>
      </c>
      <c r="CD429" t="s">
        <v>11784</v>
      </c>
      <c r="CE429" t="s">
        <v>11785</v>
      </c>
      <c r="CF429" s="8" t="s">
        <v>9</v>
      </c>
      <c r="CG429" s="9">
        <v>-0.1633</v>
      </c>
      <c r="CH429" s="8">
        <v>-0.11900635808706284</v>
      </c>
      <c r="CI429" s="8">
        <v>0.11246782541275024</v>
      </c>
      <c r="CJ429" s="8">
        <v>0.18326990306377411</v>
      </c>
      <c r="CK429" s="8">
        <v>-0.13143984973430634</v>
      </c>
      <c r="CL429" s="8">
        <v>0.1958925724029541</v>
      </c>
      <c r="CM429" s="9">
        <v>-0.11184210330247879</v>
      </c>
      <c r="CN429" s="9">
        <v>0.12177121639251709</v>
      </c>
      <c r="CO429" s="9">
        <v>-2.5179855525493622E-2</v>
      </c>
      <c r="CP429" s="9">
        <v>-4.3029259890317917E-2</v>
      </c>
      <c r="CQ429" s="9">
        <v>0.18571428954601288</v>
      </c>
      <c r="CR429">
        <v>25.429837362798487</v>
      </c>
      <c r="CS429">
        <v>1.6603870847193789</v>
      </c>
      <c r="CT429">
        <v>0</v>
      </c>
      <c r="CU429" s="8">
        <v>0.15315607786178589</v>
      </c>
      <c r="CV429" s="9">
        <v>3.7183061957359316</v>
      </c>
      <c r="CW429">
        <v>0.06</v>
      </c>
      <c r="CX429">
        <v>12.596608159229845</v>
      </c>
      <c r="CY429">
        <v>587456869.85411739</v>
      </c>
      <c r="CZ429">
        <v>0.15315607786178589</v>
      </c>
      <c r="DA429">
        <v>3.9036133787454821</v>
      </c>
      <c r="DB429">
        <v>1895670314.1483116</v>
      </c>
      <c r="DC429">
        <v>0.14549827396869661</v>
      </c>
      <c r="DD429">
        <v>1.7870182363195817</v>
      </c>
      <c r="DE429">
        <v>4140956062.7878375</v>
      </c>
      <c r="DF429">
        <v>0.13477734851837159</v>
      </c>
      <c r="DG429">
        <v>0.98644343030094062</v>
      </c>
      <c r="DH429">
        <v>7501660787.322032</v>
      </c>
      <c r="DI429">
        <v>0.12252486228942872</v>
      </c>
      <c r="DJ429">
        <v>0.42022585129727219</v>
      </c>
      <c r="DK429">
        <v>17609492555.38586</v>
      </c>
      <c r="DL429">
        <v>0.10720925450325013</v>
      </c>
      <c r="DM429">
        <v>540000000</v>
      </c>
      <c r="DN429">
        <v>0.15315607786178589</v>
      </c>
      <c r="DO429">
        <v>7399964000</v>
      </c>
      <c r="DP429" t="e">
        <v>#VALUE!</v>
      </c>
      <c r="DQ429">
        <v>429</v>
      </c>
      <c r="DR429" t="e">
        <v>#VALUE!</v>
      </c>
      <c r="DS429">
        <v>-3.8816061957359316</v>
      </c>
      <c r="DT429" t="e">
        <v>#VALUE!</v>
      </c>
      <c r="DU429" t="e">
        <v>#VALUE!</v>
      </c>
      <c r="DV429" t="e">
        <v>#VALUE!</v>
      </c>
      <c r="DW429">
        <v>-8.4045561665357429</v>
      </c>
      <c r="DX429">
        <v>0.27775791105707504</v>
      </c>
      <c r="DY429">
        <v>-8.0678674974032951</v>
      </c>
      <c r="DZ429">
        <v>0</v>
      </c>
      <c r="EA429">
        <v>-8.0678674974032951</v>
      </c>
      <c r="EB429">
        <v>8</v>
      </c>
      <c r="EC429">
        <v>1.0780074065225182E-2</v>
      </c>
      <c r="ED429">
        <v>6.4259706128300079E-2</v>
      </c>
      <c r="EE429">
        <v>0</v>
      </c>
      <c r="EF429">
        <v>0</v>
      </c>
      <c r="EG429">
        <v>11.167757911057075</v>
      </c>
      <c r="EH429" t="s">
        <v>110</v>
      </c>
      <c r="EI429">
        <v>0</v>
      </c>
      <c r="EJ429">
        <v>0</v>
      </c>
      <c r="EK429">
        <v>0</v>
      </c>
      <c r="EL429">
        <v>0</v>
      </c>
      <c r="EM429">
        <v>0</v>
      </c>
      <c r="EN429">
        <v>0</v>
      </c>
      <c r="EO429">
        <v>0</v>
      </c>
      <c r="EP429">
        <v>0</v>
      </c>
    </row>
    <row r="430" spans="1:146" ht="96" x14ac:dyDescent="0.25">
      <c r="A430" s="7"/>
      <c r="B430" s="7"/>
      <c r="C430" s="7" t="str">
        <f>""&amp;CHAR(10)&amp;Basic_Fundamental_Information_Constructure(F430)&amp;CHAR(10)&amp;Basic_Fundamental_Information_Concatenate("")</f>
        <v xml:space="preserve">
市值430.4303亿, 利润116.90亿; PE3.92; 平均PE21.55; 平均PEG.93, PB.315; ROIC0%; ROE8.91%; 股利率0%; 毛利0%; 净利36.2267%; 上一年度营收增-5.64%, 利润增-.14%; 当季营收增-17.92%, 利润增-15.83%; 过往5年营收增23.15%, 利润增21.34%
Income profile:
</v>
      </c>
      <c r="D430" s="11">
        <v>3618</v>
      </c>
      <c r="E430" t="s">
        <v>5428</v>
      </c>
      <c r="F430">
        <v>3.79</v>
      </c>
      <c r="G430" s="5">
        <v>0</v>
      </c>
      <c r="H430" t="s">
        <v>11786</v>
      </c>
      <c r="I430">
        <v>43043030000</v>
      </c>
      <c r="J430">
        <v>3.92</v>
      </c>
      <c r="K430">
        <v>0.315</v>
      </c>
      <c r="L430" t="s">
        <v>6350</v>
      </c>
      <c r="M430" t="s">
        <v>11787</v>
      </c>
      <c r="N430" t="s">
        <v>11788</v>
      </c>
      <c r="O430" t="s">
        <v>11059</v>
      </c>
      <c r="P430" t="s">
        <v>9</v>
      </c>
      <c r="Q430" t="s">
        <v>11789</v>
      </c>
      <c r="R430">
        <v>11690266000</v>
      </c>
      <c r="S430" s="5">
        <v>-0.1583</v>
      </c>
      <c r="T430" t="s">
        <v>11790</v>
      </c>
      <c r="U430">
        <v>2513336000</v>
      </c>
      <c r="V430">
        <v>11357000000</v>
      </c>
      <c r="W430">
        <v>11.77</v>
      </c>
      <c r="X430">
        <v>0</v>
      </c>
      <c r="Y430">
        <v>53.25</v>
      </c>
      <c r="Z430" t="s">
        <v>9</v>
      </c>
      <c r="AA430" t="s">
        <v>9</v>
      </c>
      <c r="AB430" t="s">
        <v>9</v>
      </c>
      <c r="AC430" t="s">
        <v>9</v>
      </c>
      <c r="AD430" t="s">
        <v>9</v>
      </c>
      <c r="AE430" t="s">
        <v>9</v>
      </c>
      <c r="AF430" t="s">
        <v>9</v>
      </c>
      <c r="AG430" t="s">
        <v>11791</v>
      </c>
      <c r="AH430" t="s">
        <v>11792</v>
      </c>
      <c r="AI430" t="s">
        <v>9</v>
      </c>
      <c r="AJ430" t="s">
        <v>9</v>
      </c>
      <c r="AK430" t="s">
        <v>11793</v>
      </c>
      <c r="AL430" t="s">
        <v>9</v>
      </c>
      <c r="AM430" t="s">
        <v>11794</v>
      </c>
      <c r="AN430" s="5">
        <v>0.91379999999999995</v>
      </c>
      <c r="AO430" t="s">
        <v>9</v>
      </c>
      <c r="AP430" t="s">
        <v>9</v>
      </c>
      <c r="AQ430" t="s">
        <v>9</v>
      </c>
      <c r="AR430" t="s">
        <v>9</v>
      </c>
      <c r="AS430" t="s">
        <v>9</v>
      </c>
      <c r="AT430" t="s">
        <v>9</v>
      </c>
      <c r="AU430" t="s">
        <v>11795</v>
      </c>
      <c r="AV430" t="s">
        <v>11796</v>
      </c>
      <c r="AW430" t="s">
        <v>11797</v>
      </c>
      <c r="AX430" t="s">
        <v>5429</v>
      </c>
      <c r="AY430" t="s">
        <v>5430</v>
      </c>
      <c r="AZ430" t="s">
        <v>5431</v>
      </c>
      <c r="BA430" t="s">
        <v>5432</v>
      </c>
      <c r="BB430" t="s">
        <v>5433</v>
      </c>
      <c r="BC430" t="s">
        <v>5434</v>
      </c>
      <c r="BD430" t="s">
        <v>5435</v>
      </c>
      <c r="BE430" t="s">
        <v>5359</v>
      </c>
      <c r="BF430" t="s">
        <v>5436</v>
      </c>
      <c r="BG430" t="s">
        <v>5437</v>
      </c>
      <c r="BH430" t="s">
        <v>5429</v>
      </c>
      <c r="BI430" t="s">
        <v>5438</v>
      </c>
      <c r="BJ430" t="s">
        <v>5430</v>
      </c>
      <c r="BK430" t="s">
        <v>5357</v>
      </c>
      <c r="BL430" t="s">
        <v>5439</v>
      </c>
      <c r="BM430" t="s">
        <v>5434</v>
      </c>
      <c r="BN430" t="s">
        <v>9</v>
      </c>
      <c r="BO430" t="s">
        <v>9</v>
      </c>
      <c r="BP430" t="s">
        <v>9</v>
      </c>
      <c r="BQ430">
        <v>8.73</v>
      </c>
      <c r="BR430">
        <v>8.89</v>
      </c>
      <c r="BS430">
        <v>9.11</v>
      </c>
      <c r="BT430" t="s">
        <v>5440</v>
      </c>
      <c r="BU430" t="s">
        <v>422</v>
      </c>
      <c r="BV430" t="s">
        <v>9</v>
      </c>
      <c r="BW430" t="s">
        <v>9</v>
      </c>
      <c r="BX430" t="s">
        <v>9</v>
      </c>
      <c r="BY430">
        <v>40.24</v>
      </c>
      <c r="BZ430">
        <v>36.81</v>
      </c>
      <c r="CA430">
        <v>31.63</v>
      </c>
      <c r="CB430">
        <v>3.27</v>
      </c>
      <c r="CC430">
        <v>13.37</v>
      </c>
      <c r="CD430" t="s">
        <v>11798</v>
      </c>
      <c r="CE430" t="s">
        <v>11799</v>
      </c>
      <c r="CF430" s="8">
        <v>-0.17924930688846236</v>
      </c>
      <c r="CG430" s="9">
        <v>-0.1583</v>
      </c>
      <c r="CH430" s="8">
        <v>-5.6359954178333282E-2</v>
      </c>
      <c r="CI430" s="8">
        <v>-0.14637717604637146</v>
      </c>
      <c r="CJ430" s="8">
        <v>0.12153825163841248</v>
      </c>
      <c r="CK430" s="8">
        <v>0.12915718555450439</v>
      </c>
      <c r="CL430" s="8">
        <v>3.3753160387277603E-2</v>
      </c>
      <c r="CM430" s="9">
        <v>-1.3668204192072153E-3</v>
      </c>
      <c r="CN430" s="9">
        <v>0.16908027231693268</v>
      </c>
      <c r="CO430" s="9">
        <v>-8.1965722143650055E-2</v>
      </c>
      <c r="CP430" s="9">
        <v>5.7494610548019409E-2</v>
      </c>
      <c r="CQ430" s="9">
        <v>-3.724442794919014E-2</v>
      </c>
      <c r="CR430">
        <v>21.550430829326018</v>
      </c>
      <c r="CS430">
        <v>0.9307724841872268</v>
      </c>
      <c r="CT430">
        <v>0</v>
      </c>
      <c r="CU430" s="8">
        <v>0.2315327450633049</v>
      </c>
      <c r="CV430" s="9">
        <v>0.21342837214469909</v>
      </c>
      <c r="CW430">
        <v>0.06</v>
      </c>
      <c r="CX430">
        <v>101.20982810513654</v>
      </c>
      <c r="CY430">
        <v>13581714896.028334</v>
      </c>
      <c r="CZ430">
        <v>0.2315327450633049</v>
      </c>
      <c r="DA430">
        <v>29.397471605827842</v>
      </c>
      <c r="DB430">
        <v>46759226386.241142</v>
      </c>
      <c r="DC430">
        <v>0.21995610781013963</v>
      </c>
      <c r="DD430">
        <v>12.266318129802656</v>
      </c>
      <c r="DE430">
        <v>112063213708.78345</v>
      </c>
      <c r="DF430">
        <v>0.20374881565570832</v>
      </c>
      <c r="DG430">
        <v>6.0468655812507137</v>
      </c>
      <c r="DH430">
        <v>227324886179.40829</v>
      </c>
      <c r="DI430">
        <v>0.18522619605064394</v>
      </c>
      <c r="DJ430">
        <v>1.95300595129307</v>
      </c>
      <c r="DK430">
        <v>703839652454.6615</v>
      </c>
      <c r="DL430">
        <v>0.16207292154431341</v>
      </c>
      <c r="DM430">
        <v>11690000000</v>
      </c>
      <c r="DN430">
        <v>0.2315327450633049</v>
      </c>
      <c r="DO430">
        <v>1374603030000</v>
      </c>
      <c r="DP430" t="e">
        <v>#VALUE!</v>
      </c>
      <c r="DQ430">
        <v>430</v>
      </c>
      <c r="DR430">
        <v>-0.41078205195176726</v>
      </c>
      <c r="DS430">
        <v>-0.37172837214469912</v>
      </c>
      <c r="DT430">
        <v>-0.10666666666666669</v>
      </c>
      <c r="DU430">
        <v>0.94999999999999984</v>
      </c>
      <c r="DV430">
        <v>0.84333333333333316</v>
      </c>
      <c r="DW430">
        <v>8.2445774121166799</v>
      </c>
      <c r="DX430">
        <v>0.38896264775413725</v>
      </c>
      <c r="DY430">
        <v>8.0388786730109221</v>
      </c>
      <c r="DZ430">
        <v>0</v>
      </c>
      <c r="EA430">
        <v>8.0388786730109221</v>
      </c>
      <c r="EB430">
        <v>8</v>
      </c>
      <c r="EC430">
        <v>5.9206832790349561E-3</v>
      </c>
      <c r="ED430">
        <v>3.7245751518887038E-2</v>
      </c>
      <c r="EE430">
        <v>0</v>
      </c>
      <c r="EF430">
        <v>0</v>
      </c>
      <c r="EG430">
        <v>23.158962647754137</v>
      </c>
      <c r="EH430" t="s">
        <v>110</v>
      </c>
      <c r="EI430">
        <v>0</v>
      </c>
      <c r="EJ430">
        <v>0</v>
      </c>
      <c r="EK430">
        <v>0</v>
      </c>
      <c r="EL430">
        <v>0</v>
      </c>
      <c r="EM430">
        <v>0</v>
      </c>
      <c r="EN430">
        <v>0</v>
      </c>
      <c r="EO430">
        <v>0</v>
      </c>
      <c r="EP430">
        <v>0</v>
      </c>
    </row>
    <row r="431" spans="1:146" ht="96" x14ac:dyDescent="0.25">
      <c r="A431" s="7"/>
      <c r="B431" s="7"/>
      <c r="C431" s="7" t="str">
        <f>""&amp;CHAR(10)&amp;Basic_Fundamental_Information_Constructure(F431)&amp;CHAR(10)&amp;Basic_Fundamental_Information_Concatenate("")</f>
        <v xml:space="preserve">
市值131.44724亿, 利润2.47亿; PE53.28; 平均PE18.82; 平均PEG.66, PB1.71; ROIC2.82%; ROE6.3567%; 股利率0%; 毛利16.1467%; 净利5.0667%; 上一年度营收增4.98%, 利润增-79.23%, 利润增41.73%; 过往5年营收增28.31%, 利润增57.76%
Income profile:
</v>
      </c>
      <c r="D431" s="11">
        <v>3633</v>
      </c>
      <c r="E431" t="s">
        <v>5441</v>
      </c>
      <c r="F431">
        <v>4.72</v>
      </c>
      <c r="G431" s="5">
        <v>-2.0999999999999999E-3</v>
      </c>
      <c r="H431" t="s">
        <v>11800</v>
      </c>
      <c r="I431">
        <v>13144724000</v>
      </c>
      <c r="J431">
        <v>53.28</v>
      </c>
      <c r="K431">
        <v>1.71</v>
      </c>
      <c r="L431" t="s">
        <v>6350</v>
      </c>
      <c r="M431" t="s">
        <v>9</v>
      </c>
      <c r="N431" t="s">
        <v>9</v>
      </c>
      <c r="O431" t="s">
        <v>9</v>
      </c>
      <c r="P431" t="s">
        <v>9</v>
      </c>
      <c r="Q431" t="s">
        <v>11801</v>
      </c>
      <c r="R431">
        <v>246720000</v>
      </c>
      <c r="S431" s="5">
        <v>0.4173</v>
      </c>
      <c r="T431" t="s">
        <v>1302</v>
      </c>
      <c r="U431">
        <v>2794199200</v>
      </c>
      <c r="V431">
        <v>2794199200</v>
      </c>
      <c r="W431" t="s">
        <v>9</v>
      </c>
      <c r="X431" t="s">
        <v>9</v>
      </c>
      <c r="Y431" t="s">
        <v>9</v>
      </c>
      <c r="Z431" t="s">
        <v>9</v>
      </c>
      <c r="AA431" t="s">
        <v>9</v>
      </c>
      <c r="AB431" t="s">
        <v>9</v>
      </c>
      <c r="AC431" t="s">
        <v>9</v>
      </c>
      <c r="AD431" t="s">
        <v>9</v>
      </c>
      <c r="AE431" t="s">
        <v>9</v>
      </c>
      <c r="AF431" t="s">
        <v>9</v>
      </c>
      <c r="AG431" t="s">
        <v>9</v>
      </c>
      <c r="AH431" t="s">
        <v>11802</v>
      </c>
      <c r="AI431" t="s">
        <v>9</v>
      </c>
      <c r="AJ431" t="s">
        <v>9</v>
      </c>
      <c r="AK431" t="s">
        <v>11803</v>
      </c>
      <c r="AL431" t="s">
        <v>9</v>
      </c>
      <c r="AM431" t="s">
        <v>9</v>
      </c>
      <c r="AN431" s="5">
        <v>0.67110000000000003</v>
      </c>
      <c r="AO431" t="s">
        <v>9</v>
      </c>
      <c r="AP431" t="s">
        <v>4500</v>
      </c>
      <c r="AQ431" t="s">
        <v>9</v>
      </c>
      <c r="AR431" t="s">
        <v>11804</v>
      </c>
      <c r="AS431" t="s">
        <v>9</v>
      </c>
      <c r="AT431" t="s">
        <v>9</v>
      </c>
      <c r="AU431" t="s">
        <v>11805</v>
      </c>
      <c r="AV431" t="s">
        <v>11806</v>
      </c>
      <c r="AW431" t="s">
        <v>9</v>
      </c>
      <c r="AX431" t="s">
        <v>5442</v>
      </c>
      <c r="AY431" t="s">
        <v>5445</v>
      </c>
      <c r="AZ431" t="s">
        <v>5446</v>
      </c>
      <c r="BA431" t="s">
        <v>5447</v>
      </c>
      <c r="BB431" t="s">
        <v>5448</v>
      </c>
      <c r="BC431" t="s">
        <v>5449</v>
      </c>
      <c r="BD431" t="s">
        <v>1501</v>
      </c>
      <c r="BE431" t="s">
        <v>2454</v>
      </c>
      <c r="BF431" t="s">
        <v>2248</v>
      </c>
      <c r="BG431" t="s">
        <v>4578</v>
      </c>
      <c r="BH431" t="s">
        <v>5442</v>
      </c>
      <c r="BI431" t="s">
        <v>9</v>
      </c>
      <c r="BJ431" t="s">
        <v>5445</v>
      </c>
      <c r="BK431" t="s">
        <v>35</v>
      </c>
      <c r="BL431" t="s">
        <v>9</v>
      </c>
      <c r="BM431" t="s">
        <v>5449</v>
      </c>
      <c r="BN431">
        <v>1.25</v>
      </c>
      <c r="BO431">
        <v>0.88</v>
      </c>
      <c r="BP431">
        <v>6.33</v>
      </c>
      <c r="BQ431">
        <v>3.2</v>
      </c>
      <c r="BR431">
        <v>2.14</v>
      </c>
      <c r="BS431">
        <v>13.73</v>
      </c>
      <c r="BT431" t="s">
        <v>5450</v>
      </c>
      <c r="BU431" t="s">
        <v>392</v>
      </c>
      <c r="BV431">
        <v>14.01</v>
      </c>
      <c r="BW431">
        <v>15.13</v>
      </c>
      <c r="BX431">
        <v>19.3</v>
      </c>
      <c r="BY431">
        <v>2.2000000000000002</v>
      </c>
      <c r="BZ431">
        <v>1.87</v>
      </c>
      <c r="CA431">
        <v>11.13</v>
      </c>
      <c r="CB431">
        <v>-1.05</v>
      </c>
      <c r="CC431">
        <v>-0.42</v>
      </c>
      <c r="CD431" t="s">
        <v>11807</v>
      </c>
      <c r="CE431" t="s">
        <v>11808</v>
      </c>
      <c r="CF431" s="8" t="s">
        <v>9</v>
      </c>
      <c r="CG431" s="9">
        <v>0.4173</v>
      </c>
      <c r="CH431" s="8">
        <v>4.9780722707509995E-2</v>
      </c>
      <c r="CI431" s="8">
        <v>0.14571581780910492</v>
      </c>
      <c r="CJ431" s="8">
        <v>0.32771536707878113</v>
      </c>
      <c r="CK431" s="8">
        <v>0.1202307865023613</v>
      </c>
      <c r="CL431" s="8">
        <v>0.51089537143707275</v>
      </c>
      <c r="CM431" s="9">
        <v>-0.79226237535476685</v>
      </c>
      <c r="CN431" s="9">
        <v>0.12488167732954025</v>
      </c>
      <c r="CO431" s="9">
        <v>1.4581395387649536</v>
      </c>
      <c r="CP431" s="9">
        <v>-0.30756843090057373</v>
      </c>
      <c r="CQ431" s="9">
        <v>0.11290322244167328</v>
      </c>
      <c r="CR431">
        <v>18.818502505368649</v>
      </c>
      <c r="CS431">
        <v>0.66477309089585945</v>
      </c>
      <c r="CT431">
        <v>0</v>
      </c>
      <c r="CU431" s="8">
        <v>0.28308159224689006</v>
      </c>
      <c r="CV431" s="9">
        <v>0.57757949680089948</v>
      </c>
      <c r="CW431">
        <v>0.06</v>
      </c>
      <c r="CX431">
        <v>43.964901981379576</v>
      </c>
      <c r="CY431">
        <v>298982220.08017159</v>
      </c>
      <c r="CZ431">
        <v>0.28308159224689006</v>
      </c>
      <c r="DA431">
        <v>12.246122795535424</v>
      </c>
      <c r="DB431">
        <v>1073378425.112002</v>
      </c>
      <c r="DC431">
        <v>0.26892751263454556</v>
      </c>
      <c r="DD431">
        <v>4.8022013166851618</v>
      </c>
      <c r="DE431">
        <v>2737228852.5949326</v>
      </c>
      <c r="DF431">
        <v>0.24911180117726325</v>
      </c>
      <c r="DG431">
        <v>2.1886474306923058</v>
      </c>
      <c r="DH431">
        <v>6005866370.0996847</v>
      </c>
      <c r="DI431">
        <v>0.22646527379751205</v>
      </c>
      <c r="DJ431">
        <v>0.57934373368042591</v>
      </c>
      <c r="DK431">
        <v>22688989689.238297</v>
      </c>
      <c r="DL431">
        <v>0.19815711457282303</v>
      </c>
      <c r="DM431">
        <v>247000000.00000003</v>
      </c>
      <c r="DN431">
        <v>0.28308159224689006</v>
      </c>
      <c r="DO431">
        <v>13144724000</v>
      </c>
      <c r="DP431" t="e">
        <v>#VALUE!</v>
      </c>
      <c r="DQ431">
        <v>431</v>
      </c>
      <c r="DR431" t="e">
        <v>#VALUE!</v>
      </c>
      <c r="DS431">
        <v>-0.16027949680089948</v>
      </c>
      <c r="DT431" t="e">
        <v>#VALUE!</v>
      </c>
      <c r="DU431" t="e">
        <v>#VALUE!</v>
      </c>
      <c r="DV431" t="e">
        <v>#VALUE!</v>
      </c>
      <c r="DW431">
        <v>-4.1999999999999997E-3</v>
      </c>
      <c r="DX431">
        <v>0.38192684829874013</v>
      </c>
      <c r="DY431">
        <v>-4.7009276285470494E-4</v>
      </c>
      <c r="DZ431">
        <v>0</v>
      </c>
      <c r="EA431">
        <v>-4.7009276285470494E-4</v>
      </c>
      <c r="EB431">
        <v>0</v>
      </c>
      <c r="EC431">
        <v>8.77890166169971E-4</v>
      </c>
      <c r="ED431">
        <v>7.8434279130850798E-3</v>
      </c>
      <c r="EE431">
        <v>0</v>
      </c>
      <c r="EF431">
        <v>0</v>
      </c>
      <c r="EG431">
        <v>27.11192684829874</v>
      </c>
      <c r="EH431" t="s">
        <v>110</v>
      </c>
      <c r="EI431">
        <v>0</v>
      </c>
      <c r="EJ431">
        <v>0</v>
      </c>
      <c r="EK431">
        <v>0</v>
      </c>
      <c r="EL431">
        <v>0</v>
      </c>
      <c r="EM431">
        <v>0</v>
      </c>
      <c r="EN431">
        <v>0</v>
      </c>
      <c r="EO431">
        <v>0</v>
      </c>
      <c r="EP431">
        <v>0</v>
      </c>
    </row>
    <row r="432" spans="1:146" ht="84" x14ac:dyDescent="0.25">
      <c r="A432"/>
      <c r="B432"/>
      <c r="C432" s="7" t="str">
        <f>""&amp;CHAR(10)&amp;Basic_Fundamental_Information_Constructure(F432)&amp;CHAR(10)&amp;Basic_Fundamental_Information_Concatenate("")</f>
        <v xml:space="preserve">
市值31.487752亿, 利润--; PE2.6; 平均PE30.52; 平均PEG.9, PB1.53; ROIC0%; ROE0%; 股利率0%; 毛利0%; 净利0%, 利润增1128%; 过往5年营收增33.86%, 利润增34.99%
Income profile:
</v>
      </c>
      <c r="D432" s="11">
        <v>3650</v>
      </c>
      <c r="E432" t="s">
        <v>6488</v>
      </c>
      <c r="F432">
        <v>5.99</v>
      </c>
      <c r="G432">
        <v>-2.2800000000000001E-2</v>
      </c>
      <c r="H432" t="s">
        <v>11809</v>
      </c>
      <c r="I432">
        <v>3148775200</v>
      </c>
      <c r="J432">
        <v>2.6</v>
      </c>
      <c r="K432">
        <v>1.53</v>
      </c>
      <c r="L432" t="s">
        <v>6350</v>
      </c>
      <c r="M432" t="s">
        <v>9</v>
      </c>
      <c r="N432" t="s">
        <v>9</v>
      </c>
      <c r="O432" t="s">
        <v>9</v>
      </c>
      <c r="P432" s="5" t="s">
        <v>9</v>
      </c>
      <c r="Q432" t="s">
        <v>9</v>
      </c>
      <c r="R432">
        <v>1212296350</v>
      </c>
      <c r="S432">
        <v>11.28</v>
      </c>
      <c r="T432" t="s">
        <v>9</v>
      </c>
      <c r="U432">
        <v>525671990</v>
      </c>
      <c r="V432">
        <v>525671990</v>
      </c>
      <c r="W432" t="s">
        <v>9</v>
      </c>
      <c r="X432" t="s">
        <v>9</v>
      </c>
      <c r="Y432" t="s">
        <v>9</v>
      </c>
      <c r="Z432" t="s">
        <v>9</v>
      </c>
      <c r="AA432" t="s">
        <v>9</v>
      </c>
      <c r="AB432" t="s">
        <v>9</v>
      </c>
      <c r="AC432" t="s">
        <v>9</v>
      </c>
      <c r="AD432" t="s">
        <v>9</v>
      </c>
      <c r="AE432" t="s">
        <v>9</v>
      </c>
      <c r="AF432" t="s">
        <v>9</v>
      </c>
      <c r="AG432" t="s">
        <v>9</v>
      </c>
      <c r="AH432" t="s">
        <v>11810</v>
      </c>
      <c r="AI432" t="s">
        <v>9</v>
      </c>
      <c r="AJ432" t="s">
        <v>9</v>
      </c>
      <c r="AK432" s="5" t="s">
        <v>11811</v>
      </c>
      <c r="AL432" t="s">
        <v>9</v>
      </c>
      <c r="AM432" t="s">
        <v>9</v>
      </c>
      <c r="AN432">
        <v>0.2351</v>
      </c>
      <c r="AO432" t="s">
        <v>9</v>
      </c>
      <c r="AP432" t="s">
        <v>9</v>
      </c>
      <c r="AQ432" t="s">
        <v>9</v>
      </c>
      <c r="AR432" t="s">
        <v>9</v>
      </c>
      <c r="AS432" t="s">
        <v>9</v>
      </c>
      <c r="AT432" t="s">
        <v>9</v>
      </c>
      <c r="AU432" t="s">
        <v>9</v>
      </c>
      <c r="AV432" t="s">
        <v>9</v>
      </c>
      <c r="AW432" t="s">
        <v>9</v>
      </c>
      <c r="AX432" t="s">
        <v>9</v>
      </c>
      <c r="AY432" t="s">
        <v>9</v>
      </c>
      <c r="AZ432" t="s">
        <v>9</v>
      </c>
      <c r="BA432" t="s">
        <v>9</v>
      </c>
      <c r="BB432" t="s">
        <v>9</v>
      </c>
      <c r="BC432" t="s">
        <v>9</v>
      </c>
      <c r="BD432" t="s">
        <v>9</v>
      </c>
      <c r="BE432" t="s">
        <v>9</v>
      </c>
      <c r="BF432" t="s">
        <v>9</v>
      </c>
      <c r="BG432" t="s">
        <v>9</v>
      </c>
      <c r="BH432" t="s">
        <v>9</v>
      </c>
      <c r="BI432" t="s">
        <v>9</v>
      </c>
      <c r="BJ432" t="s">
        <v>9</v>
      </c>
      <c r="BK432" t="s">
        <v>9</v>
      </c>
      <c r="BL432" t="s">
        <v>9</v>
      </c>
      <c r="BM432" t="s">
        <v>9</v>
      </c>
      <c r="BN432" t="s">
        <v>9</v>
      </c>
      <c r="BO432" t="s">
        <v>9</v>
      </c>
      <c r="BP432" t="s">
        <v>9</v>
      </c>
      <c r="BQ432" t="s">
        <v>9</v>
      </c>
      <c r="BR432" t="s">
        <v>9</v>
      </c>
      <c r="BS432" t="s">
        <v>9</v>
      </c>
      <c r="BT432" t="s">
        <v>9</v>
      </c>
      <c r="BU432" t="s">
        <v>9</v>
      </c>
      <c r="BV432" t="s">
        <v>9</v>
      </c>
      <c r="BW432" t="s">
        <v>9</v>
      </c>
      <c r="BX432" t="s">
        <v>9</v>
      </c>
      <c r="BY432" t="s">
        <v>9</v>
      </c>
      <c r="BZ432" t="s">
        <v>9</v>
      </c>
      <c r="CA432" t="s">
        <v>9</v>
      </c>
      <c r="CB432">
        <v>-13.44</v>
      </c>
      <c r="CC432" s="8">
        <v>-25.68</v>
      </c>
      <c r="CD432" s="10" t="s">
        <v>11812</v>
      </c>
      <c r="CE432" s="8" t="s">
        <v>241</v>
      </c>
      <c r="CF432" s="8" t="s">
        <v>9</v>
      </c>
      <c r="CG432" s="8">
        <v>11.28</v>
      </c>
      <c r="CH432" s="8" t="s">
        <v>9</v>
      </c>
      <c r="CI432" s="8" t="s">
        <v>9</v>
      </c>
      <c r="CJ432" s="9" t="s">
        <v>9</v>
      </c>
      <c r="CK432" s="9" t="s">
        <v>9</v>
      </c>
      <c r="CL432" s="9" t="s">
        <v>9</v>
      </c>
      <c r="CM432" s="9" t="s">
        <v>9</v>
      </c>
      <c r="CN432" s="9" t="s">
        <v>9</v>
      </c>
      <c r="CO432" t="s">
        <v>9</v>
      </c>
      <c r="CP432" t="s">
        <v>9</v>
      </c>
      <c r="CQ432" t="s">
        <v>9</v>
      </c>
      <c r="CR432" s="8">
        <v>30.51941372954089</v>
      </c>
      <c r="CS432" s="9">
        <v>0.90138368744322017</v>
      </c>
      <c r="CT432">
        <v>0</v>
      </c>
      <c r="CU432">
        <v>0.33858404755592347</v>
      </c>
      <c r="CV432">
        <v>0.34985999912023547</v>
      </c>
      <c r="CW432">
        <v>0.06</v>
      </c>
      <c r="CX432" t="e">
        <v>#DIV/0!</v>
      </c>
      <c r="CY432">
        <v>0</v>
      </c>
      <c r="CZ432">
        <v>0.33858404755592347</v>
      </c>
      <c r="DA432" t="e">
        <v>#DIV/0!</v>
      </c>
      <c r="DB432">
        <v>0</v>
      </c>
      <c r="DC432">
        <v>0.32165484517812726</v>
      </c>
      <c r="DD432" t="e">
        <v>#DIV/0!</v>
      </c>
      <c r="DE432">
        <v>0</v>
      </c>
      <c r="DF432">
        <v>0.29795396184921263</v>
      </c>
      <c r="DG432" t="e">
        <v>#DIV/0!</v>
      </c>
      <c r="DH432">
        <v>0</v>
      </c>
      <c r="DI432">
        <v>0.27086723804473878</v>
      </c>
      <c r="DJ432" t="e">
        <v>#DIV/0!</v>
      </c>
      <c r="DK432">
        <v>0</v>
      </c>
      <c r="DL432">
        <v>0.2370088332891464</v>
      </c>
      <c r="DM432">
        <v>0</v>
      </c>
      <c r="DN432">
        <v>0.33858404755592347</v>
      </c>
      <c r="DO432">
        <v>3148775200</v>
      </c>
      <c r="DP432" t="e">
        <v>#VALUE!</v>
      </c>
      <c r="DQ432">
        <v>432</v>
      </c>
      <c r="DR432" t="e">
        <v>#VALUE!</v>
      </c>
      <c r="DS432">
        <v>10.930140000879764</v>
      </c>
      <c r="DT432" t="e">
        <v>#VALUE!</v>
      </c>
      <c r="DU432" t="e">
        <v>#VALUE!</v>
      </c>
      <c r="DV432" t="e">
        <v>#VALUE!</v>
      </c>
      <c r="DW432">
        <v>-9.5233644859813076</v>
      </c>
      <c r="DX432">
        <v>0.35953943089430851</v>
      </c>
      <c r="DY432">
        <v>-9.0573290479446857</v>
      </c>
      <c r="DZ432">
        <v>0</v>
      </c>
      <c r="EA432">
        <v>-9.0573290479446857</v>
      </c>
      <c r="EB432">
        <v>9</v>
      </c>
      <c r="EC432">
        <v>5.1261433959987099E-2</v>
      </c>
      <c r="ED432">
        <v>0.46797243277124201</v>
      </c>
      <c r="EE432">
        <v>0</v>
      </c>
      <c r="EF432">
        <v>0</v>
      </c>
      <c r="EG432">
        <v>25.109539430894309</v>
      </c>
      <c r="EH432" t="s">
        <v>110</v>
      </c>
      <c r="EI432">
        <v>0</v>
      </c>
      <c r="EJ432">
        <v>0</v>
      </c>
      <c r="EK432">
        <v>0</v>
      </c>
      <c r="EL432">
        <v>0</v>
      </c>
      <c r="EM432">
        <v>0</v>
      </c>
      <c r="EN432">
        <v>0</v>
      </c>
      <c r="EO432">
        <v>0</v>
      </c>
      <c r="EP432">
        <v>0</v>
      </c>
    </row>
    <row r="433" spans="1:146" ht="96" x14ac:dyDescent="0.25">
      <c r="A433" s="7"/>
      <c r="B433" s="7"/>
      <c r="C433" s="7" t="str">
        <f>""&amp;CHAR(10)&amp;Basic_Fundamental_Information_Constructure(F433)&amp;CHAR(10)&amp;Basic_Fundamental_Information_Concatenate("")</f>
        <v xml:space="preserve">
市值433.10414亿, 利润96.76亿; PE4.48; 平均PE25.28; 平均PEG2.87, PB.965; ROIC22.87%; ROE26.3633%; 股利率0%; 毛利87.7167%; 净利24.01%; 上一年度营收增-26.31%, 利润增116.18%, 利润增-49.31%; 过往5年营收增8.81%, 利润增48.6%
Income profile:
</v>
      </c>
      <c r="D433" s="11">
        <v>3668</v>
      </c>
      <c r="E433" t="s">
        <v>5451</v>
      </c>
      <c r="F433">
        <v>32.799999999999997</v>
      </c>
      <c r="G433" s="5">
        <v>9.1999999999999998E-3</v>
      </c>
      <c r="H433" t="s">
        <v>11813</v>
      </c>
      <c r="I433">
        <v>43310414000</v>
      </c>
      <c r="J433">
        <v>4.4800000000000004</v>
      </c>
      <c r="K433">
        <v>0.96499999999999997</v>
      </c>
      <c r="L433" t="s">
        <v>6350</v>
      </c>
      <c r="M433" t="s">
        <v>9</v>
      </c>
      <c r="N433" t="s">
        <v>9</v>
      </c>
      <c r="O433" t="s">
        <v>9</v>
      </c>
      <c r="P433" t="s">
        <v>9</v>
      </c>
      <c r="Q433" t="s">
        <v>11814</v>
      </c>
      <c r="R433">
        <v>9676170500</v>
      </c>
      <c r="S433" s="5">
        <v>-0.49309999999999998</v>
      </c>
      <c r="T433" t="s">
        <v>11815</v>
      </c>
      <c r="U433">
        <v>1320439440</v>
      </c>
      <c r="V433">
        <v>1320439440</v>
      </c>
      <c r="W433" t="s">
        <v>9</v>
      </c>
      <c r="X433" t="s">
        <v>9</v>
      </c>
      <c r="Y433" t="s">
        <v>9</v>
      </c>
      <c r="Z433" t="s">
        <v>9</v>
      </c>
      <c r="AA433" t="s">
        <v>9</v>
      </c>
      <c r="AB433" t="s">
        <v>9</v>
      </c>
      <c r="AC433" t="s">
        <v>9</v>
      </c>
      <c r="AD433" t="s">
        <v>9</v>
      </c>
      <c r="AE433" t="s">
        <v>9</v>
      </c>
      <c r="AF433" t="s">
        <v>9</v>
      </c>
      <c r="AG433" t="s">
        <v>9</v>
      </c>
      <c r="AH433" t="s">
        <v>11816</v>
      </c>
      <c r="AI433" t="s">
        <v>9</v>
      </c>
      <c r="AJ433" t="s">
        <v>9</v>
      </c>
      <c r="AK433" t="s">
        <v>11817</v>
      </c>
      <c r="AL433" t="s">
        <v>9</v>
      </c>
      <c r="AM433" t="s">
        <v>9</v>
      </c>
      <c r="AN433" s="5">
        <v>0.24990000000000001</v>
      </c>
      <c r="AO433" t="s">
        <v>9</v>
      </c>
      <c r="AP433" t="s">
        <v>11818</v>
      </c>
      <c r="AQ433" t="s">
        <v>9</v>
      </c>
      <c r="AR433" t="s">
        <v>5883</v>
      </c>
      <c r="AS433" t="s">
        <v>9</v>
      </c>
      <c r="AT433" t="s">
        <v>9</v>
      </c>
      <c r="AU433" t="s">
        <v>11819</v>
      </c>
      <c r="AV433" t="s">
        <v>11820</v>
      </c>
      <c r="AW433" t="s">
        <v>9</v>
      </c>
      <c r="AX433" t="s">
        <v>5452</v>
      </c>
      <c r="AY433" t="s">
        <v>5455</v>
      </c>
      <c r="AZ433" t="s">
        <v>5456</v>
      </c>
      <c r="BA433" t="s">
        <v>5457</v>
      </c>
      <c r="BB433" t="s">
        <v>5458</v>
      </c>
      <c r="BC433" t="s">
        <v>5459</v>
      </c>
      <c r="BD433" t="s">
        <v>5460</v>
      </c>
      <c r="BE433" t="s">
        <v>5461</v>
      </c>
      <c r="BF433" t="s">
        <v>5462</v>
      </c>
      <c r="BG433" t="s">
        <v>5463</v>
      </c>
      <c r="BH433" t="s">
        <v>5452</v>
      </c>
      <c r="BI433" t="s">
        <v>9</v>
      </c>
      <c r="BJ433" t="s">
        <v>5455</v>
      </c>
      <c r="BK433" t="s">
        <v>5453</v>
      </c>
      <c r="BL433" t="s">
        <v>9</v>
      </c>
      <c r="BM433" t="s">
        <v>5459</v>
      </c>
      <c r="BN433">
        <v>21.04</v>
      </c>
      <c r="BO433">
        <v>39.229999999999997</v>
      </c>
      <c r="BP433">
        <v>8.34</v>
      </c>
      <c r="BQ433">
        <v>21.55</v>
      </c>
      <c r="BR433">
        <v>44.67</v>
      </c>
      <c r="BS433">
        <v>12.87</v>
      </c>
      <c r="BT433" t="s">
        <v>11821</v>
      </c>
      <c r="BU433" t="s">
        <v>1919</v>
      </c>
      <c r="BV433">
        <v>86.35</v>
      </c>
      <c r="BW433">
        <v>90.81</v>
      </c>
      <c r="BX433">
        <v>85.99</v>
      </c>
      <c r="BY433">
        <v>23.39</v>
      </c>
      <c r="BZ433">
        <v>34</v>
      </c>
      <c r="CA433">
        <v>14.64</v>
      </c>
      <c r="CB433">
        <v>2.02</v>
      </c>
      <c r="CC433">
        <v>7.89</v>
      </c>
      <c r="CD433" t="s">
        <v>11822</v>
      </c>
      <c r="CE433" t="s">
        <v>11823</v>
      </c>
      <c r="CF433" s="8" t="s">
        <v>9</v>
      </c>
      <c r="CG433" s="9">
        <v>-0.49309999999999998</v>
      </c>
      <c r="CH433" s="8">
        <v>-0.26309514045715332</v>
      </c>
      <c r="CI433" s="8">
        <v>0.83600932359695435</v>
      </c>
      <c r="CJ433" s="8">
        <v>0.47442272305488586</v>
      </c>
      <c r="CK433" s="8">
        <v>-0.22688981890678406</v>
      </c>
      <c r="CL433" s="8">
        <v>0.69229799509048462</v>
      </c>
      <c r="CM433" s="9">
        <v>1.1617515087127686</v>
      </c>
      <c r="CN433" s="9">
        <v>1.7206569910049438</v>
      </c>
      <c r="CO433" s="9">
        <v>-2.5828237533569336</v>
      </c>
      <c r="CP433" s="9">
        <v>-0.16740928590297699</v>
      </c>
      <c r="CQ433" s="9">
        <v>2.3760745525360107</v>
      </c>
      <c r="CR433">
        <v>25.28485117955243</v>
      </c>
      <c r="CS433">
        <v>2.8706413764657319</v>
      </c>
      <c r="CT433">
        <v>0</v>
      </c>
      <c r="CU433" s="8">
        <v>8.8080842792987821E-2</v>
      </c>
      <c r="CV433" s="9">
        <v>0.48602922558784484</v>
      </c>
      <c r="CW433">
        <v>0.06</v>
      </c>
      <c r="CX433">
        <v>4.3605490565743352</v>
      </c>
      <c r="CY433">
        <v>9932330410.2499504</v>
      </c>
      <c r="CZ433">
        <v>8.8080842792987821E-2</v>
      </c>
      <c r="DA433">
        <v>1.4273048982836511</v>
      </c>
      <c r="DB433">
        <v>30344192086.835281</v>
      </c>
      <c r="DC433">
        <v>8.3676800653338421E-2</v>
      </c>
      <c r="DD433">
        <v>0.70415706554997504</v>
      </c>
      <c r="DE433">
        <v>61506752000.241341</v>
      </c>
      <c r="DF433">
        <v>7.7511141657829283E-2</v>
      </c>
      <c r="DG433">
        <v>0.42389469880388564</v>
      </c>
      <c r="DH433">
        <v>102172577581.6732</v>
      </c>
      <c r="DI433">
        <v>7.0464674234390262E-2</v>
      </c>
      <c r="DJ433">
        <v>0.22015463313400208</v>
      </c>
      <c r="DK433">
        <v>196727242953.99289</v>
      </c>
      <c r="DL433">
        <v>6.1656589955091469E-2</v>
      </c>
      <c r="DM433">
        <v>9676000000</v>
      </c>
      <c r="DN433">
        <v>8.8080842792987821E-2</v>
      </c>
      <c r="DO433">
        <v>43310414000</v>
      </c>
      <c r="DP433" t="e">
        <v>#VALUE!</v>
      </c>
      <c r="DQ433">
        <v>433</v>
      </c>
      <c r="DR433" t="e">
        <v>#VALUE!</v>
      </c>
      <c r="DS433">
        <v>-0.97912922558784476</v>
      </c>
      <c r="DT433" t="e">
        <v>#VALUE!</v>
      </c>
      <c r="DU433" t="e">
        <v>#VALUE!</v>
      </c>
      <c r="DV433" t="e">
        <v>#VALUE!</v>
      </c>
      <c r="DW433">
        <v>2.0789</v>
      </c>
      <c r="DX433">
        <v>0.3697958604105045</v>
      </c>
      <c r="DY433">
        <v>2.0126078933863889</v>
      </c>
      <c r="DZ433">
        <v>0</v>
      </c>
      <c r="EA433">
        <v>2.0126078933863889</v>
      </c>
      <c r="EB433">
        <v>2</v>
      </c>
      <c r="EC433">
        <v>7.2868923091239986E-3</v>
      </c>
      <c r="ED433">
        <v>4.5601258320487607E-2</v>
      </c>
      <c r="EE433">
        <v>0</v>
      </c>
      <c r="EF433">
        <v>0</v>
      </c>
      <c r="EG433">
        <v>21.159795860410505</v>
      </c>
      <c r="EH433" t="s">
        <v>110</v>
      </c>
      <c r="EI433">
        <v>1</v>
      </c>
      <c r="EJ433">
        <v>0</v>
      </c>
      <c r="EK433">
        <v>0</v>
      </c>
      <c r="EL433">
        <v>0</v>
      </c>
      <c r="EM433">
        <v>0</v>
      </c>
      <c r="EN433">
        <v>0</v>
      </c>
      <c r="EO433">
        <v>0</v>
      </c>
      <c r="EP433">
        <v>0</v>
      </c>
    </row>
    <row r="434" spans="1:146" ht="96" x14ac:dyDescent="0.25">
      <c r="A434" s="7"/>
      <c r="B434" s="7"/>
      <c r="C434" s="7" t="str">
        <f>""&amp;CHAR(10)&amp;Basic_Fundamental_Information_Constructure(F434)&amp;CHAR(10)&amp;Basic_Fundamental_Information_Concatenate("")</f>
        <v xml:space="preserve">
市值32.383227亿, 利润6.28亿; PE5.16; 平均PE16.53; 平均PEG1, PB.212; ROIC7.7333%; ROE10.7567%; 股利率0%; 毛利8.6267%; 净利2.0733%; 上一年度营收增-2.06%, 利润增-79.32%, 利润增-60.59%; 过往5年营收增16.47%, 利润增22.45%
Income profile:
</v>
      </c>
      <c r="D434" s="11">
        <v>3669</v>
      </c>
      <c r="E434" t="s">
        <v>5464</v>
      </c>
      <c r="F434">
        <v>1.68</v>
      </c>
      <c r="G434" s="5">
        <v>0</v>
      </c>
      <c r="H434" t="s">
        <v>11824</v>
      </c>
      <c r="I434">
        <v>3238322700</v>
      </c>
      <c r="J434">
        <v>5.16</v>
      </c>
      <c r="K434">
        <v>0.21199999999999999</v>
      </c>
      <c r="L434" t="s">
        <v>6350</v>
      </c>
      <c r="M434" t="s">
        <v>9</v>
      </c>
      <c r="N434" t="s">
        <v>9</v>
      </c>
      <c r="O434" t="s">
        <v>9</v>
      </c>
      <c r="P434" t="s">
        <v>9</v>
      </c>
      <c r="Q434" t="s">
        <v>11825</v>
      </c>
      <c r="R434">
        <v>627661100</v>
      </c>
      <c r="S434" s="5">
        <v>-0.60589999999999999</v>
      </c>
      <c r="T434" t="s">
        <v>3590</v>
      </c>
      <c r="U434">
        <v>1927573000</v>
      </c>
      <c r="V434">
        <v>1927573000</v>
      </c>
      <c r="W434" t="s">
        <v>9</v>
      </c>
      <c r="X434" t="s">
        <v>9</v>
      </c>
      <c r="Y434" t="s">
        <v>9</v>
      </c>
      <c r="Z434" t="s">
        <v>9</v>
      </c>
      <c r="AA434" t="s">
        <v>9</v>
      </c>
      <c r="AB434" t="s">
        <v>9</v>
      </c>
      <c r="AC434" t="s">
        <v>9</v>
      </c>
      <c r="AD434" t="s">
        <v>9</v>
      </c>
      <c r="AE434" t="s">
        <v>9</v>
      </c>
      <c r="AF434" t="s">
        <v>9</v>
      </c>
      <c r="AG434" t="s">
        <v>9</v>
      </c>
      <c r="AH434" t="s">
        <v>11826</v>
      </c>
      <c r="AI434" t="s">
        <v>9</v>
      </c>
      <c r="AJ434" t="s">
        <v>9</v>
      </c>
      <c r="AK434" t="s">
        <v>11827</v>
      </c>
      <c r="AL434" t="s">
        <v>9</v>
      </c>
      <c r="AM434" t="s">
        <v>9</v>
      </c>
      <c r="AN434" s="5">
        <v>0.55959999999999999</v>
      </c>
      <c r="AO434" t="s">
        <v>9</v>
      </c>
      <c r="AP434" t="s">
        <v>11536</v>
      </c>
      <c r="AQ434" t="s">
        <v>9</v>
      </c>
      <c r="AR434" t="s">
        <v>11828</v>
      </c>
      <c r="AS434" t="s">
        <v>9</v>
      </c>
      <c r="AT434" t="s">
        <v>9</v>
      </c>
      <c r="AU434" t="s">
        <v>2440</v>
      </c>
      <c r="AV434" t="s">
        <v>10127</v>
      </c>
      <c r="AW434" t="s">
        <v>9</v>
      </c>
      <c r="AX434" t="s">
        <v>5465</v>
      </c>
      <c r="AY434" t="s">
        <v>5467</v>
      </c>
      <c r="AZ434" t="s">
        <v>5468</v>
      </c>
      <c r="BA434" t="s">
        <v>5469</v>
      </c>
      <c r="BB434" t="s">
        <v>5470</v>
      </c>
      <c r="BC434" t="s">
        <v>5471</v>
      </c>
      <c r="BD434" t="s">
        <v>5472</v>
      </c>
      <c r="BE434" t="s">
        <v>2990</v>
      </c>
      <c r="BF434" t="s">
        <v>2927</v>
      </c>
      <c r="BG434" t="s">
        <v>3476</v>
      </c>
      <c r="BH434" t="s">
        <v>5465</v>
      </c>
      <c r="BI434" t="s">
        <v>9</v>
      </c>
      <c r="BJ434" t="s">
        <v>5467</v>
      </c>
      <c r="BK434" t="s">
        <v>4416</v>
      </c>
      <c r="BL434" t="s">
        <v>9</v>
      </c>
      <c r="BM434" t="s">
        <v>5471</v>
      </c>
      <c r="BN434">
        <v>3.19</v>
      </c>
      <c r="BO434">
        <v>7.81</v>
      </c>
      <c r="BP434">
        <v>12.2</v>
      </c>
      <c r="BQ434">
        <v>4.1100000000000003</v>
      </c>
      <c r="BR434">
        <v>10.07</v>
      </c>
      <c r="BS434">
        <v>18.09</v>
      </c>
      <c r="BT434" t="s">
        <v>11829</v>
      </c>
      <c r="BU434" t="s">
        <v>1541</v>
      </c>
      <c r="BV434">
        <v>6.88</v>
      </c>
      <c r="BW434">
        <v>8.8699999999999992</v>
      </c>
      <c r="BX434">
        <v>10.130000000000001</v>
      </c>
      <c r="BY434">
        <v>0.81</v>
      </c>
      <c r="BZ434">
        <v>2.06</v>
      </c>
      <c r="CA434">
        <v>3.35</v>
      </c>
      <c r="CB434">
        <v>2.44</v>
      </c>
      <c r="CC434">
        <v>-24.08</v>
      </c>
      <c r="CD434" t="s">
        <v>11830</v>
      </c>
      <c r="CE434" t="s">
        <v>1805</v>
      </c>
      <c r="CF434" s="8" t="s">
        <v>9</v>
      </c>
      <c r="CG434" s="9">
        <v>-0.60589999999999999</v>
      </c>
      <c r="CH434" s="8">
        <v>-2.0566204562783241E-2</v>
      </c>
      <c r="CI434" s="8">
        <v>-0.14840315282344818</v>
      </c>
      <c r="CJ434" s="8">
        <v>0.16771100461483002</v>
      </c>
      <c r="CK434" s="8">
        <v>0.29720893502235413</v>
      </c>
      <c r="CL434" s="8">
        <v>3.6243632435798645E-2</v>
      </c>
      <c r="CM434" s="9">
        <v>-0.7932170033454895</v>
      </c>
      <c r="CN434" s="9">
        <v>0.56788849830627441</v>
      </c>
      <c r="CO434" s="9">
        <v>0.17679218947887421</v>
      </c>
      <c r="CP434" s="9">
        <v>0.15346875786781311</v>
      </c>
      <c r="CQ434" s="9">
        <v>-0.21160218119621277</v>
      </c>
      <c r="CR434">
        <v>16.530626340086894</v>
      </c>
      <c r="CS434">
        <v>1.0039565978516636</v>
      </c>
      <c r="CT434">
        <v>0</v>
      </c>
      <c r="CU434" s="8">
        <v>0.16465479061007499</v>
      </c>
      <c r="CV434" s="9">
        <v>0.22452834248542786</v>
      </c>
      <c r="CW434">
        <v>0.06</v>
      </c>
      <c r="CX434">
        <v>4.6932007162302787</v>
      </c>
      <c r="CY434">
        <v>690003026.88974261</v>
      </c>
      <c r="CZ434">
        <v>0.16465479061007499</v>
      </c>
      <c r="DA434">
        <v>1.4405277715087401</v>
      </c>
      <c r="DB434">
        <v>2248011294.2274866</v>
      </c>
      <c r="DC434">
        <v>0.15642205107957122</v>
      </c>
      <c r="DD434">
        <v>0.65064738519264564</v>
      </c>
      <c r="DE434">
        <v>4977077866.9020357</v>
      </c>
      <c r="DF434">
        <v>0.14489621573686598</v>
      </c>
      <c r="DG434">
        <v>0.35344204100977172</v>
      </c>
      <c r="DH434">
        <v>9162245359.2340736</v>
      </c>
      <c r="DI434">
        <v>0.13172383248805999</v>
      </c>
      <c r="DJ434">
        <v>0.14491474925266751</v>
      </c>
      <c r="DK434">
        <v>22346398256.217461</v>
      </c>
      <c r="DL434">
        <v>0.11525835342705248</v>
      </c>
      <c r="DM434">
        <v>628000000</v>
      </c>
      <c r="DN434">
        <v>0.16465479061007499</v>
      </c>
      <c r="DO434">
        <v>3238322700</v>
      </c>
      <c r="DP434" t="e">
        <v>#VALUE!</v>
      </c>
      <c r="DQ434">
        <v>434</v>
      </c>
      <c r="DR434" t="e">
        <v>#VALUE!</v>
      </c>
      <c r="DS434">
        <v>-0.83042834248542785</v>
      </c>
      <c r="DT434" t="e">
        <v>#VALUE!</v>
      </c>
      <c r="DU434" t="e">
        <v>#VALUE!</v>
      </c>
      <c r="DV434" t="e">
        <v>#VALUE!</v>
      </c>
      <c r="DW434">
        <v>-3.0913809523809523</v>
      </c>
      <c r="DX434">
        <v>0.36060193548386948</v>
      </c>
      <c r="DY434">
        <v>-3.0155897673425498</v>
      </c>
      <c r="DZ434">
        <v>0</v>
      </c>
      <c r="EA434">
        <v>-3.0155897673425498</v>
      </c>
      <c r="EB434">
        <v>3</v>
      </c>
      <c r="EC434">
        <v>1.371844282940257E-2</v>
      </c>
      <c r="ED434">
        <v>8.0411999960572175E-2</v>
      </c>
      <c r="EE434">
        <v>0</v>
      </c>
      <c r="EF434">
        <v>0</v>
      </c>
      <c r="EG434">
        <v>19.170601935483869</v>
      </c>
      <c r="EH434" t="s">
        <v>110</v>
      </c>
      <c r="EI434">
        <v>0</v>
      </c>
      <c r="EJ434">
        <v>0</v>
      </c>
      <c r="EK434">
        <v>0</v>
      </c>
      <c r="EL434">
        <v>0</v>
      </c>
      <c r="EM434">
        <v>0</v>
      </c>
      <c r="EN434">
        <v>0</v>
      </c>
      <c r="EO434">
        <v>0</v>
      </c>
      <c r="EP434">
        <v>0</v>
      </c>
    </row>
    <row r="435" spans="1:146" ht="96" x14ac:dyDescent="0.25">
      <c r="A435" s="7"/>
      <c r="B435" s="7"/>
      <c r="C435" s="7" t="str">
        <f>""&amp;CHAR(10)&amp;Basic_Fundamental_Information_Constructure(F435)&amp;CHAR(10)&amp;Basic_Fundamental_Information_Concatenate("")</f>
        <v xml:space="preserve">
市值12.3956667亿, 利润854.10万; PE; 平均PE15.59; 平均PEG.65, PB.627; ROIC0%; ROE1.9533%; 股利率0%; 毛利0%; 净利2.0333%; 上一年度营收增19.3%, 利润增-91.3%; 当季营收增-41.75%, 利润增-314.7%; 过往5年营收增24.06%, 利润增13.7%
Income profile:
</v>
      </c>
      <c r="D435" s="11">
        <v>3678</v>
      </c>
      <c r="E435" t="s">
        <v>5474</v>
      </c>
      <c r="F435">
        <v>1.23</v>
      </c>
      <c r="G435" s="5">
        <v>-1.6E-2</v>
      </c>
      <c r="H435" t="s">
        <v>11831</v>
      </c>
      <c r="I435">
        <v>1239566670</v>
      </c>
      <c r="K435">
        <v>0.627</v>
      </c>
      <c r="L435" t="s">
        <v>6350</v>
      </c>
      <c r="M435" t="s">
        <v>11832</v>
      </c>
      <c r="N435" t="s">
        <v>11144</v>
      </c>
      <c r="O435" t="s">
        <v>572</v>
      </c>
      <c r="P435">
        <v>-5.81</v>
      </c>
      <c r="Q435" t="s">
        <v>3321</v>
      </c>
      <c r="R435">
        <v>8541038</v>
      </c>
      <c r="S435" s="5">
        <v>-3.1469999999999998</v>
      </c>
      <c r="T435" t="s">
        <v>11833</v>
      </c>
      <c r="U435">
        <v>249700000</v>
      </c>
      <c r="V435">
        <v>1007777780</v>
      </c>
      <c r="W435">
        <v>6.27</v>
      </c>
      <c r="X435">
        <v>0.02</v>
      </c>
      <c r="Y435">
        <v>-9.84</v>
      </c>
      <c r="Z435" t="s">
        <v>9</v>
      </c>
      <c r="AA435" t="s">
        <v>9</v>
      </c>
      <c r="AB435" t="s">
        <v>9</v>
      </c>
      <c r="AC435" t="s">
        <v>11834</v>
      </c>
      <c r="AD435" t="s">
        <v>11835</v>
      </c>
      <c r="AE435" t="s">
        <v>9</v>
      </c>
      <c r="AF435" t="s">
        <v>11836</v>
      </c>
      <c r="AG435" t="s">
        <v>908</v>
      </c>
      <c r="AH435" t="s">
        <v>11837</v>
      </c>
      <c r="AI435" t="s">
        <v>11838</v>
      </c>
      <c r="AJ435" t="s">
        <v>9</v>
      </c>
      <c r="AK435" t="s">
        <v>11839</v>
      </c>
      <c r="AL435" t="s">
        <v>9</v>
      </c>
      <c r="AM435" t="s">
        <v>3731</v>
      </c>
      <c r="AN435" s="5">
        <v>0.84050000000000002</v>
      </c>
      <c r="AO435" t="s">
        <v>11840</v>
      </c>
      <c r="AP435" t="s">
        <v>9</v>
      </c>
      <c r="AQ435" t="s">
        <v>9</v>
      </c>
      <c r="AR435" t="s">
        <v>11841</v>
      </c>
      <c r="AS435" t="s">
        <v>8882</v>
      </c>
      <c r="AT435" t="s">
        <v>11842</v>
      </c>
      <c r="AU435" t="s">
        <v>11843</v>
      </c>
      <c r="AV435" t="s">
        <v>182</v>
      </c>
      <c r="AW435" t="s">
        <v>1602</v>
      </c>
      <c r="AX435" t="s">
        <v>5475</v>
      </c>
      <c r="AY435" t="s">
        <v>5477</v>
      </c>
      <c r="AZ435" t="s">
        <v>1169</v>
      </c>
      <c r="BA435" t="s">
        <v>2925</v>
      </c>
      <c r="BB435" t="s">
        <v>5478</v>
      </c>
      <c r="BC435" t="s">
        <v>5479</v>
      </c>
      <c r="BD435" t="s">
        <v>5480</v>
      </c>
      <c r="BE435" t="s">
        <v>5481</v>
      </c>
      <c r="BF435" t="s">
        <v>5482</v>
      </c>
      <c r="BG435" t="s">
        <v>30</v>
      </c>
      <c r="BH435" t="s">
        <v>5475</v>
      </c>
      <c r="BI435" t="s">
        <v>31</v>
      </c>
      <c r="BJ435" t="s">
        <v>5477</v>
      </c>
      <c r="BK435" t="s">
        <v>5476</v>
      </c>
      <c r="BL435" t="s">
        <v>11844</v>
      </c>
      <c r="BM435" t="s">
        <v>5479</v>
      </c>
      <c r="BN435" t="s">
        <v>9</v>
      </c>
      <c r="BO435" t="s">
        <v>9</v>
      </c>
      <c r="BP435" t="s">
        <v>9</v>
      </c>
      <c r="BQ435">
        <v>0.42</v>
      </c>
      <c r="BR435">
        <v>0.67</v>
      </c>
      <c r="BS435">
        <v>4.7699999999999996</v>
      </c>
      <c r="BT435" t="s">
        <v>188</v>
      </c>
      <c r="BU435" t="s">
        <v>826</v>
      </c>
      <c r="BV435" t="s">
        <v>9</v>
      </c>
      <c r="BW435" t="s">
        <v>9</v>
      </c>
      <c r="BX435" t="s">
        <v>9</v>
      </c>
      <c r="BY435">
        <v>0.4</v>
      </c>
      <c r="BZ435">
        <v>0.78</v>
      </c>
      <c r="CA435">
        <v>4.92</v>
      </c>
      <c r="CB435">
        <v>-3.15</v>
      </c>
      <c r="CC435">
        <v>-13.38</v>
      </c>
      <c r="CD435" t="s">
        <v>11845</v>
      </c>
      <c r="CE435" t="s">
        <v>11846</v>
      </c>
      <c r="CF435" s="8">
        <v>-0.41747572815533979</v>
      </c>
      <c r="CG435" s="9">
        <v>-3.1469999999999998</v>
      </c>
      <c r="CH435" s="8">
        <v>0.19304153323173523</v>
      </c>
      <c r="CI435" s="8">
        <v>-0.10810811072587967</v>
      </c>
      <c r="CJ435" s="8">
        <v>0.11309188604354858</v>
      </c>
      <c r="CK435" s="8">
        <v>1.4521858692169189</v>
      </c>
      <c r="CL435" s="8">
        <v>0.78536587953567505</v>
      </c>
      <c r="CM435" s="9">
        <v>-0.91304117441177368</v>
      </c>
      <c r="CN435" s="9">
        <v>0.24249555170536041</v>
      </c>
      <c r="CO435" s="9">
        <v>2.3262794017791748</v>
      </c>
      <c r="CP435" s="9">
        <v>-0.74076229333877563</v>
      </c>
      <c r="CQ435" s="9">
        <v>-0.24857868254184723</v>
      </c>
      <c r="CR435">
        <v>15.592383351156933</v>
      </c>
      <c r="CS435">
        <v>0.64807256905891764</v>
      </c>
      <c r="CT435">
        <v>0</v>
      </c>
      <c r="CU435" s="8">
        <v>0.24059625566005707</v>
      </c>
      <c r="CV435" s="9">
        <v>0.13698156476020812</v>
      </c>
      <c r="CW435">
        <v>0.06</v>
      </c>
      <c r="CX435">
        <v>969.3286130574653</v>
      </c>
      <c r="CY435">
        <v>9996162.8486722149</v>
      </c>
      <c r="CZ435">
        <v>0.24059625566005707</v>
      </c>
      <c r="DA435">
        <v>279.47412038212229</v>
      </c>
      <c r="DB435">
        <v>34670711.75231377</v>
      </c>
      <c r="DC435">
        <v>0.22856644287705422</v>
      </c>
      <c r="DD435">
        <v>115.35292474042343</v>
      </c>
      <c r="DE435">
        <v>83999315.074188665</v>
      </c>
      <c r="DF435">
        <v>0.21172470498085022</v>
      </c>
      <c r="DG435">
        <v>56.097308336594061</v>
      </c>
      <c r="DH435">
        <v>172727835.92148194</v>
      </c>
      <c r="DI435">
        <v>0.19247700452804567</v>
      </c>
      <c r="DJ435">
        <v>17.509609157672138</v>
      </c>
      <c r="DK435">
        <v>553385662.85212302</v>
      </c>
      <c r="DL435">
        <v>0.16841737896203995</v>
      </c>
      <c r="DM435">
        <v>8541000</v>
      </c>
      <c r="DN435">
        <v>0.24059625566005707</v>
      </c>
      <c r="DO435">
        <v>9689566670</v>
      </c>
      <c r="DP435" t="e">
        <v>#VALUE!</v>
      </c>
      <c r="DQ435">
        <v>435</v>
      </c>
      <c r="DR435">
        <v>-0.65807198381539689</v>
      </c>
      <c r="DS435">
        <v>-3.2839815647602077</v>
      </c>
      <c r="DT435">
        <v>0.10999999999999995</v>
      </c>
      <c r="DU435">
        <v>3.3333333333333291E-2</v>
      </c>
      <c r="DV435">
        <v>0.14333333333333323</v>
      </c>
      <c r="DW435">
        <v>-8.2354260089686093</v>
      </c>
      <c r="DX435">
        <v>0.25880237484152119</v>
      </c>
      <c r="DY435">
        <v>-8.0161978685165014</v>
      </c>
      <c r="DZ435">
        <v>0</v>
      </c>
      <c r="EA435">
        <v>-8.0161978685165014</v>
      </c>
      <c r="EB435">
        <v>8</v>
      </c>
      <c r="EC435">
        <v>2.2078279995417244E-3</v>
      </c>
      <c r="ED435">
        <v>3.2089415585249359E-2</v>
      </c>
      <c r="EE435">
        <v>0</v>
      </c>
      <c r="EF435">
        <v>0</v>
      </c>
      <c r="EG435">
        <v>19.068802374841521</v>
      </c>
      <c r="EH435" t="s">
        <v>110</v>
      </c>
      <c r="EI435">
        <v>0</v>
      </c>
      <c r="EJ435">
        <v>0</v>
      </c>
      <c r="EK435">
        <v>0</v>
      </c>
      <c r="EL435">
        <v>0</v>
      </c>
      <c r="EM435">
        <v>0</v>
      </c>
      <c r="EN435">
        <v>0</v>
      </c>
      <c r="EO435">
        <v>0</v>
      </c>
      <c r="EP435">
        <v>0</v>
      </c>
    </row>
    <row r="436" spans="1:146" ht="96" x14ac:dyDescent="0.25">
      <c r="A436" s="7"/>
      <c r="B436" s="7"/>
      <c r="C436" s="7" t="str">
        <f>""&amp;CHAR(10)&amp;Basic_Fundamental_Information_Constructure(F436)&amp;CHAR(10)&amp;Basic_Fundamental_Information_Concatenate("")</f>
        <v xml:space="preserve">
市值7073.8328亿, 利润151.89亿; PE41.27; 平均PE272.29; 平均PEG20.43, PB4.18; ROIC-5.2633%; ROE-4.94%; 股利率0%; 毛利28.97%; 净利-3.7233%; 上一年度营收增22.26%, 利润增152.7%, 利润增301.4%; 过往5年营收增13.33%, 利润增119.21%
Income profile:
</v>
      </c>
      <c r="D436" s="11">
        <v>3690</v>
      </c>
      <c r="E436" t="s">
        <v>5483</v>
      </c>
      <c r="F436">
        <v>113.7</v>
      </c>
      <c r="G436" s="5">
        <v>-2.8199999999999999E-2</v>
      </c>
      <c r="H436" t="s">
        <v>11847</v>
      </c>
      <c r="I436">
        <v>707383280000</v>
      </c>
      <c r="J436">
        <v>41.27</v>
      </c>
      <c r="K436">
        <v>4.18</v>
      </c>
      <c r="L436" t="s">
        <v>6350</v>
      </c>
      <c r="M436" t="s">
        <v>9</v>
      </c>
      <c r="N436" t="s">
        <v>9</v>
      </c>
      <c r="O436" t="s">
        <v>9</v>
      </c>
      <c r="P436" t="s">
        <v>9</v>
      </c>
      <c r="Q436" t="s">
        <v>11848</v>
      </c>
      <c r="R436">
        <v>15188759000</v>
      </c>
      <c r="S436" s="5">
        <v>3.0139999999999998</v>
      </c>
      <c r="T436" t="s">
        <v>11849</v>
      </c>
      <c r="U436">
        <v>6235001700</v>
      </c>
      <c r="V436">
        <v>6235001700</v>
      </c>
      <c r="W436" t="s">
        <v>9</v>
      </c>
      <c r="X436" t="s">
        <v>9</v>
      </c>
      <c r="Y436" t="s">
        <v>9</v>
      </c>
      <c r="Z436" t="s">
        <v>9</v>
      </c>
      <c r="AA436" t="s">
        <v>9</v>
      </c>
      <c r="AB436" t="s">
        <v>9</v>
      </c>
      <c r="AC436" t="s">
        <v>9</v>
      </c>
      <c r="AD436" t="s">
        <v>11850</v>
      </c>
      <c r="AE436" t="s">
        <v>9</v>
      </c>
      <c r="AF436" t="s">
        <v>9</v>
      </c>
      <c r="AG436" t="s">
        <v>9</v>
      </c>
      <c r="AH436" t="s">
        <v>11851</v>
      </c>
      <c r="AI436" t="s">
        <v>9</v>
      </c>
      <c r="AJ436" t="s">
        <v>9</v>
      </c>
      <c r="AK436" t="s">
        <v>11852</v>
      </c>
      <c r="AL436" t="s">
        <v>9</v>
      </c>
      <c r="AM436" t="s">
        <v>9</v>
      </c>
      <c r="AN436" s="5">
        <v>0.48139999999999999</v>
      </c>
      <c r="AO436" t="s">
        <v>9</v>
      </c>
      <c r="AP436" t="s">
        <v>11853</v>
      </c>
      <c r="AQ436" t="s">
        <v>9</v>
      </c>
      <c r="AR436" t="s">
        <v>11854</v>
      </c>
      <c r="AS436" t="s">
        <v>9</v>
      </c>
      <c r="AT436" t="s">
        <v>9</v>
      </c>
      <c r="AU436" t="s">
        <v>11855</v>
      </c>
      <c r="AV436" t="s">
        <v>11856</v>
      </c>
      <c r="AW436" t="s">
        <v>9</v>
      </c>
      <c r="AX436" t="s">
        <v>5484</v>
      </c>
      <c r="AY436" t="s">
        <v>5488</v>
      </c>
      <c r="AZ436" t="s">
        <v>5489</v>
      </c>
      <c r="BA436" t="s">
        <v>5490</v>
      </c>
      <c r="BB436" t="s">
        <v>5491</v>
      </c>
      <c r="BC436" t="s">
        <v>5492</v>
      </c>
      <c r="BD436" t="s">
        <v>5493</v>
      </c>
      <c r="BE436" t="s">
        <v>5494</v>
      </c>
      <c r="BF436" t="s">
        <v>5495</v>
      </c>
      <c r="BG436" t="s">
        <v>5496</v>
      </c>
      <c r="BH436" t="s">
        <v>5484</v>
      </c>
      <c r="BI436" t="s">
        <v>5497</v>
      </c>
      <c r="BJ436" t="s">
        <v>5488</v>
      </c>
      <c r="BK436" t="s">
        <v>5485</v>
      </c>
      <c r="BL436" t="s">
        <v>5498</v>
      </c>
      <c r="BM436" t="s">
        <v>5492</v>
      </c>
      <c r="BN436">
        <v>7.14</v>
      </c>
      <c r="BO436">
        <v>-4.5</v>
      </c>
      <c r="BP436">
        <v>-18.43</v>
      </c>
      <c r="BQ436">
        <v>9.11</v>
      </c>
      <c r="BR436">
        <v>-5.19</v>
      </c>
      <c r="BS436">
        <v>-18.739999999999998</v>
      </c>
      <c r="BT436" t="s">
        <v>9</v>
      </c>
      <c r="BU436" t="s">
        <v>551</v>
      </c>
      <c r="BV436">
        <v>35.119999999999997</v>
      </c>
      <c r="BW436">
        <v>28.08</v>
      </c>
      <c r="BX436">
        <v>23.71</v>
      </c>
      <c r="BY436">
        <v>5.01</v>
      </c>
      <c r="BZ436">
        <v>-3.04</v>
      </c>
      <c r="CA436">
        <v>-13.14</v>
      </c>
      <c r="CB436">
        <v>-5.17</v>
      </c>
      <c r="CC436">
        <v>-6.73</v>
      </c>
      <c r="CD436" t="s">
        <v>27</v>
      </c>
      <c r="CE436" t="s">
        <v>2727</v>
      </c>
      <c r="CF436" s="8" t="s">
        <v>9</v>
      </c>
      <c r="CG436" s="9">
        <v>3.0139999999999998</v>
      </c>
      <c r="CH436" s="8">
        <v>0.22261232137680054</v>
      </c>
      <c r="CI436" s="8">
        <v>0.13125164806842804</v>
      </c>
      <c r="CJ436" s="8">
        <v>0.60309594869613647</v>
      </c>
      <c r="CK436" s="8">
        <v>0.84230077266693115</v>
      </c>
      <c r="CL436" s="8">
        <v>0.82584327459335327</v>
      </c>
      <c r="CM436" s="9">
        <v>1.5269750356674194</v>
      </c>
      <c r="CN436" s="9">
        <v>-6.135958194732666</v>
      </c>
      <c r="CO436" s="9">
        <v>1.243005633354187</v>
      </c>
      <c r="CP436" s="9">
        <v>1.0190292596817017</v>
      </c>
      <c r="CQ436" s="9">
        <v>-4.7975220680236816</v>
      </c>
      <c r="CR436">
        <v>272.2892627667735</v>
      </c>
      <c r="CS436">
        <v>20.432849120457607</v>
      </c>
      <c r="CT436">
        <v>0</v>
      </c>
      <c r="CU436" s="8">
        <v>0.13326054587960243</v>
      </c>
      <c r="CV436" s="9">
        <v>1.1921430990099906</v>
      </c>
      <c r="CW436">
        <v>0.06</v>
      </c>
      <c r="CX436">
        <v>43.56138751168907</v>
      </c>
      <c r="CY436">
        <v>16238768331.476675</v>
      </c>
      <c r="CZ436">
        <v>0.13326054587960243</v>
      </c>
      <c r="DA436">
        <v>13.725911045714946</v>
      </c>
      <c r="DB436">
        <v>51536344483.365715</v>
      </c>
      <c r="DC436">
        <v>0.12659751858562229</v>
      </c>
      <c r="DD436">
        <v>6.4304344921970502</v>
      </c>
      <c r="DE436">
        <v>110005518423.1124</v>
      </c>
      <c r="DF436">
        <v>0.11726928037405014</v>
      </c>
      <c r="DG436">
        <v>3.6477826876115054</v>
      </c>
      <c r="DH436">
        <v>193921442305.86838</v>
      </c>
      <c r="DI436">
        <v>0.10660843670368195</v>
      </c>
      <c r="DJ436">
        <v>1.6566798660331006</v>
      </c>
      <c r="DK436">
        <v>426988517518.3667</v>
      </c>
      <c r="DL436">
        <v>9.3282382115721693E-2</v>
      </c>
      <c r="DM436">
        <v>15188999999.999998</v>
      </c>
      <c r="DN436">
        <v>0.13326054587960243</v>
      </c>
      <c r="DO436">
        <v>707383280000</v>
      </c>
      <c r="DP436" t="e">
        <v>#VALUE!</v>
      </c>
      <c r="DQ436">
        <v>436</v>
      </c>
      <c r="DR436" t="e">
        <v>#VALUE!</v>
      </c>
      <c r="DS436">
        <v>1.8218569009900092</v>
      </c>
      <c r="DT436" t="e">
        <v>#VALUE!</v>
      </c>
      <c r="DU436">
        <v>0.16666666666666655</v>
      </c>
      <c r="DV436" t="e">
        <v>#VALUE!</v>
      </c>
      <c r="DW436">
        <v>-8.7682020802377423</v>
      </c>
      <c r="DX436">
        <v>0.38135186960690248</v>
      </c>
      <c r="DY436">
        <v>-8.1009047794751403</v>
      </c>
      <c r="DZ436">
        <v>0</v>
      </c>
      <c r="EA436">
        <v>-8.1009047794751403</v>
      </c>
      <c r="EB436">
        <v>8</v>
      </c>
      <c r="EC436">
        <v>2.1972728571990605E-2</v>
      </c>
      <c r="ED436">
        <v>0.16728142993128614</v>
      </c>
      <c r="EE436">
        <v>0</v>
      </c>
      <c r="EF436">
        <v>0</v>
      </c>
      <c r="EG436">
        <v>25.131351869606902</v>
      </c>
      <c r="EH436" t="s">
        <v>110</v>
      </c>
      <c r="EI436">
        <v>0</v>
      </c>
      <c r="EJ436">
        <v>0</v>
      </c>
      <c r="EK436">
        <v>0</v>
      </c>
      <c r="EL436">
        <v>0</v>
      </c>
      <c r="EM436">
        <v>0</v>
      </c>
      <c r="EN436">
        <v>0</v>
      </c>
      <c r="EO436">
        <v>0</v>
      </c>
      <c r="EP436">
        <v>0</v>
      </c>
    </row>
    <row r="437" spans="1:146" ht="96" x14ac:dyDescent="0.25">
      <c r="A437" s="7"/>
      <c r="B437" s="7"/>
      <c r="C437" s="7" t="str">
        <f>""&amp;CHAR(10)&amp;Basic_Fundamental_Information_Constructure(F437)&amp;CHAR(10)&amp;Basic_Fundamental_Information_Concatenate("")</f>
        <v xml:space="preserve">
市值978.19513亿, 利润35.93亿; PE27.23; 平均PE142.32; 平均PEG17.1, PB3.46; ROIC11.5767%; ROE12.5533%; 股利率0%; 毛利90.6%; 净利29.0967%; 上一年度营收增4.65%, 利润增8.16%, 利润增23.26%; 过往5年营收增8.32%, 利润增-11.16%
Income profile:
</v>
      </c>
      <c r="D437" s="11">
        <v>3692</v>
      </c>
      <c r="E437" t="s">
        <v>5499</v>
      </c>
      <c r="F437">
        <v>16.48</v>
      </c>
      <c r="G437" s="5">
        <v>-2.1399999999999999E-2</v>
      </c>
      <c r="H437" t="s">
        <v>11857</v>
      </c>
      <c r="I437">
        <v>97819513000</v>
      </c>
      <c r="J437">
        <v>27.23</v>
      </c>
      <c r="K437">
        <v>3.46</v>
      </c>
      <c r="L437" t="s">
        <v>6350</v>
      </c>
      <c r="M437" t="s">
        <v>9</v>
      </c>
      <c r="N437" t="s">
        <v>9</v>
      </c>
      <c r="O437" t="s">
        <v>9</v>
      </c>
      <c r="P437" t="s">
        <v>9</v>
      </c>
      <c r="Q437" t="s">
        <v>11858</v>
      </c>
      <c r="R437">
        <v>3592798800</v>
      </c>
      <c r="S437" s="5">
        <v>0.2326</v>
      </c>
      <c r="T437" t="s">
        <v>11859</v>
      </c>
      <c r="U437">
        <v>5935650100</v>
      </c>
      <c r="V437">
        <v>5935650100</v>
      </c>
      <c r="W437" t="s">
        <v>9</v>
      </c>
      <c r="X437" t="s">
        <v>9</v>
      </c>
      <c r="Y437" t="s">
        <v>9</v>
      </c>
      <c r="Z437" t="s">
        <v>9</v>
      </c>
      <c r="AA437" t="s">
        <v>9</v>
      </c>
      <c r="AB437" t="s">
        <v>9</v>
      </c>
      <c r="AC437" t="s">
        <v>9</v>
      </c>
      <c r="AD437" t="s">
        <v>4781</v>
      </c>
      <c r="AE437" t="s">
        <v>9</v>
      </c>
      <c r="AF437" t="s">
        <v>9</v>
      </c>
      <c r="AG437" t="s">
        <v>9</v>
      </c>
      <c r="AH437" t="s">
        <v>11860</v>
      </c>
      <c r="AI437" t="s">
        <v>9</v>
      </c>
      <c r="AJ437" t="s">
        <v>9</v>
      </c>
      <c r="AK437" t="s">
        <v>11861</v>
      </c>
      <c r="AL437" t="s">
        <v>9</v>
      </c>
      <c r="AM437" t="s">
        <v>9</v>
      </c>
      <c r="AN437" s="5">
        <v>0.21929999999999999</v>
      </c>
      <c r="AO437" t="s">
        <v>9</v>
      </c>
      <c r="AP437" t="s">
        <v>572</v>
      </c>
      <c r="AQ437" t="s">
        <v>9</v>
      </c>
      <c r="AR437" t="s">
        <v>8393</v>
      </c>
      <c r="AS437" t="s">
        <v>9</v>
      </c>
      <c r="AT437" t="s">
        <v>9</v>
      </c>
      <c r="AU437" t="s">
        <v>4913</v>
      </c>
      <c r="AV437" t="s">
        <v>4659</v>
      </c>
      <c r="AW437" t="s">
        <v>9</v>
      </c>
      <c r="AX437" t="s">
        <v>2757</v>
      </c>
      <c r="AY437" t="s">
        <v>5503</v>
      </c>
      <c r="AZ437" t="s">
        <v>2014</v>
      </c>
      <c r="BA437" t="s">
        <v>5504</v>
      </c>
      <c r="BB437" t="s">
        <v>5505</v>
      </c>
      <c r="BC437" t="s">
        <v>1505</v>
      </c>
      <c r="BD437" t="s">
        <v>1146</v>
      </c>
      <c r="BE437" t="s">
        <v>1502</v>
      </c>
      <c r="BF437" t="s">
        <v>1640</v>
      </c>
      <c r="BG437" t="s">
        <v>5506</v>
      </c>
      <c r="BH437" t="s">
        <v>2757</v>
      </c>
      <c r="BI437" t="s">
        <v>9</v>
      </c>
      <c r="BJ437" t="s">
        <v>5503</v>
      </c>
      <c r="BK437" t="s">
        <v>5500</v>
      </c>
      <c r="BL437" t="s">
        <v>9</v>
      </c>
      <c r="BM437" t="s">
        <v>1505</v>
      </c>
      <c r="BN437">
        <v>11.51</v>
      </c>
      <c r="BO437">
        <v>10.19</v>
      </c>
      <c r="BP437">
        <v>13.03</v>
      </c>
      <c r="BQ437">
        <v>12.71</v>
      </c>
      <c r="BR437">
        <v>11.41</v>
      </c>
      <c r="BS437">
        <v>13.54</v>
      </c>
      <c r="BT437" t="s">
        <v>1460</v>
      </c>
      <c r="BU437" t="s">
        <v>489</v>
      </c>
      <c r="BV437">
        <v>89.8</v>
      </c>
      <c r="BW437">
        <v>90.76</v>
      </c>
      <c r="BX437">
        <v>91.24</v>
      </c>
      <c r="BY437">
        <v>32.44</v>
      </c>
      <c r="BZ437">
        <v>27.54</v>
      </c>
      <c r="CA437">
        <v>27.31</v>
      </c>
      <c r="CB437">
        <v>-0.6</v>
      </c>
      <c r="CC437">
        <v>-7.09</v>
      </c>
      <c r="CD437" t="s">
        <v>11862</v>
      </c>
      <c r="CE437" t="s">
        <v>80</v>
      </c>
      <c r="CF437" s="8" t="s">
        <v>9</v>
      </c>
      <c r="CG437" s="9">
        <v>0.2326</v>
      </c>
      <c r="CH437" s="8">
        <v>4.6485185623168945E-2</v>
      </c>
      <c r="CI437" s="8">
        <v>-0.13003444671630859</v>
      </c>
      <c r="CJ437" s="8">
        <v>0.17455108463764191</v>
      </c>
      <c r="CK437" s="8">
        <v>0.17798244953155518</v>
      </c>
      <c r="CL437" s="8">
        <v>0.1856795996427536</v>
      </c>
      <c r="CM437" s="9">
        <v>8.1577382981777191E-2</v>
      </c>
      <c r="CN437" s="9">
        <v>8.4911733865737915E-2</v>
      </c>
      <c r="CO437" s="9">
        <v>7.1753658354282379E-2</v>
      </c>
      <c r="CP437" s="9">
        <v>0.31841248273849487</v>
      </c>
      <c r="CQ437" s="9">
        <v>0.13277581334114075</v>
      </c>
      <c r="CR437">
        <v>142.31650779564544</v>
      </c>
      <c r="CS437">
        <v>17.097938651757431</v>
      </c>
      <c r="CT437">
        <v>0</v>
      </c>
      <c r="CU437" s="8">
        <v>8.3236061781644818E-2</v>
      </c>
      <c r="CV437" s="9">
        <v>-0.11157900542020797</v>
      </c>
      <c r="CW437">
        <v>0.06</v>
      </c>
      <c r="CX437">
        <v>26.641031424052787</v>
      </c>
      <c r="CY437">
        <v>3671761481.1145749</v>
      </c>
      <c r="CZ437">
        <v>8.3236061781644818E-2</v>
      </c>
      <c r="DA437">
        <v>8.7560865404760833</v>
      </c>
      <c r="DB437">
        <v>11171601896.328606</v>
      </c>
      <c r="DC437">
        <v>7.9074258692562571E-2</v>
      </c>
      <c r="DD437">
        <v>4.343501006132148</v>
      </c>
      <c r="DE437">
        <v>22520891065.041443</v>
      </c>
      <c r="DF437">
        <v>7.3247734367847442E-2</v>
      </c>
      <c r="DG437">
        <v>2.6308618042482776</v>
      </c>
      <c r="DH437">
        <v>37181547446.560081</v>
      </c>
      <c r="DI437">
        <v>6.6588849425315857E-2</v>
      </c>
      <c r="DJ437">
        <v>1.3848027113198447</v>
      </c>
      <c r="DK437">
        <v>70637869351.634201</v>
      </c>
      <c r="DL437">
        <v>5.826524324715137E-2</v>
      </c>
      <c r="DM437">
        <v>3593000000</v>
      </c>
      <c r="DN437">
        <v>8.3236061781644818E-2</v>
      </c>
      <c r="DO437">
        <v>97819513000</v>
      </c>
      <c r="DP437" t="e">
        <v>#VALUE!</v>
      </c>
      <c r="DQ437">
        <v>437</v>
      </c>
      <c r="DR437" t="e">
        <v>#VALUE!</v>
      </c>
      <c r="DS437">
        <v>0.34417900542020796</v>
      </c>
      <c r="DT437" t="e">
        <v>#VALUE!</v>
      </c>
      <c r="DU437" t="e">
        <v>#VALUE!</v>
      </c>
      <c r="DV437" t="e">
        <v>#VALUE!</v>
      </c>
      <c r="DW437">
        <v>-2.0709</v>
      </c>
      <c r="DX437">
        <v>0.36386850393700909</v>
      </c>
      <c r="DY437">
        <v>-2.009491276929134</v>
      </c>
      <c r="DZ437">
        <v>0</v>
      </c>
      <c r="EA437">
        <v>-2.009491276929134</v>
      </c>
      <c r="EB437">
        <v>2</v>
      </c>
      <c r="EC437">
        <v>2.8642692398596742E-3</v>
      </c>
      <c r="ED437">
        <v>2.1396139910605579E-2</v>
      </c>
      <c r="EE437">
        <v>0</v>
      </c>
      <c r="EF437">
        <v>0</v>
      </c>
      <c r="EG437">
        <v>23.133868503937009</v>
      </c>
      <c r="EH437" t="s">
        <v>110</v>
      </c>
      <c r="EI437">
        <v>0</v>
      </c>
      <c r="EJ437">
        <v>0</v>
      </c>
      <c r="EK437">
        <v>0</v>
      </c>
      <c r="EL437">
        <v>0</v>
      </c>
      <c r="EM437">
        <v>0</v>
      </c>
      <c r="EN437">
        <v>0</v>
      </c>
      <c r="EO437">
        <v>0</v>
      </c>
      <c r="EP437">
        <v>0</v>
      </c>
    </row>
    <row r="438" spans="1:146" ht="96" x14ac:dyDescent="0.25">
      <c r="A438" s="7"/>
      <c r="B438" s="7"/>
      <c r="C438" s="7" t="str">
        <f>""&amp;CHAR(10)&amp;Basic_Fundamental_Information_Constructure(F438)&amp;CHAR(10)&amp;Basic_Fundamental_Information_Concatenate("")</f>
        <v xml:space="preserve">
市值73.36203亿, 利润9.19亿; PE7.98; 平均PE37.26; 平均PEG3.39, PB1.46; ROIC13.3033%; ROE14.0667%; 股利率0%; 毛利74.9933%; 净利9.1767%; 上一年度营收增18.59%, 利润增33%, 利润增113%; 过往5年营收增11%, 利润增-7.73%
Income profile:
</v>
      </c>
      <c r="D438" s="11">
        <v>3709</v>
      </c>
      <c r="E438" t="s">
        <v>5507</v>
      </c>
      <c r="F438">
        <v>10.42</v>
      </c>
      <c r="G438" s="5">
        <v>1.17E-2</v>
      </c>
      <c r="H438" t="s">
        <v>11863</v>
      </c>
      <c r="I438">
        <v>7336203000</v>
      </c>
      <c r="J438">
        <v>7.98</v>
      </c>
      <c r="K438">
        <v>1.46</v>
      </c>
      <c r="L438" t="s">
        <v>6350</v>
      </c>
      <c r="M438" t="s">
        <v>9</v>
      </c>
      <c r="N438" t="s">
        <v>9</v>
      </c>
      <c r="O438" t="s">
        <v>9</v>
      </c>
      <c r="P438" t="s">
        <v>9</v>
      </c>
      <c r="Q438" t="s">
        <v>1456</v>
      </c>
      <c r="R438">
        <v>918801950</v>
      </c>
      <c r="S438" s="5">
        <v>1.1299999999999999</v>
      </c>
      <c r="T438" t="s">
        <v>4145</v>
      </c>
      <c r="U438">
        <v>704050200</v>
      </c>
      <c r="V438">
        <v>704050200</v>
      </c>
      <c r="W438" t="s">
        <v>9</v>
      </c>
      <c r="X438" t="s">
        <v>9</v>
      </c>
      <c r="Y438" t="s">
        <v>9</v>
      </c>
      <c r="Z438" t="s">
        <v>9</v>
      </c>
      <c r="AA438" t="s">
        <v>9</v>
      </c>
      <c r="AB438" t="s">
        <v>9</v>
      </c>
      <c r="AC438" t="s">
        <v>9</v>
      </c>
      <c r="AD438" t="s">
        <v>1001</v>
      </c>
      <c r="AE438" t="s">
        <v>9</v>
      </c>
      <c r="AF438" t="s">
        <v>9</v>
      </c>
      <c r="AG438" t="s">
        <v>9</v>
      </c>
      <c r="AH438" t="s">
        <v>11864</v>
      </c>
      <c r="AI438" t="s">
        <v>9</v>
      </c>
      <c r="AJ438" t="s">
        <v>9</v>
      </c>
      <c r="AK438" t="s">
        <v>11865</v>
      </c>
      <c r="AL438" t="s">
        <v>9</v>
      </c>
      <c r="AM438" t="s">
        <v>9</v>
      </c>
      <c r="AN438" s="5">
        <v>0.35110000000000002</v>
      </c>
      <c r="AO438" t="s">
        <v>9</v>
      </c>
      <c r="AP438" t="s">
        <v>4254</v>
      </c>
      <c r="AQ438" t="s">
        <v>9</v>
      </c>
      <c r="AR438" t="s">
        <v>1233</v>
      </c>
      <c r="AS438" t="s">
        <v>9</v>
      </c>
      <c r="AT438" t="s">
        <v>9</v>
      </c>
      <c r="AU438" t="s">
        <v>3929</v>
      </c>
      <c r="AV438" t="s">
        <v>4196</v>
      </c>
      <c r="AW438" t="s">
        <v>9</v>
      </c>
      <c r="AX438" t="s">
        <v>3775</v>
      </c>
      <c r="AY438" t="s">
        <v>5509</v>
      </c>
      <c r="AZ438" t="s">
        <v>5510</v>
      </c>
      <c r="BA438" t="s">
        <v>5511</v>
      </c>
      <c r="BB438" t="s">
        <v>5512</v>
      </c>
      <c r="BC438" t="s">
        <v>4042</v>
      </c>
      <c r="BD438" t="s">
        <v>1345</v>
      </c>
      <c r="BE438" t="s">
        <v>2753</v>
      </c>
      <c r="BF438" t="s">
        <v>5253</v>
      </c>
      <c r="BG438" t="s">
        <v>3683</v>
      </c>
      <c r="BH438" t="s">
        <v>3775</v>
      </c>
      <c r="BI438" t="s">
        <v>9</v>
      </c>
      <c r="BJ438" t="s">
        <v>5509</v>
      </c>
      <c r="BK438" t="s">
        <v>1417</v>
      </c>
      <c r="BL438" t="s">
        <v>9</v>
      </c>
      <c r="BM438" t="s">
        <v>4042</v>
      </c>
      <c r="BN438">
        <v>17.61</v>
      </c>
      <c r="BO438">
        <v>8.6300000000000008</v>
      </c>
      <c r="BP438">
        <v>13.67</v>
      </c>
      <c r="BQ438">
        <v>18.309999999999999</v>
      </c>
      <c r="BR438">
        <v>9.57</v>
      </c>
      <c r="BS438">
        <v>14.32</v>
      </c>
      <c r="BT438" t="s">
        <v>8875</v>
      </c>
      <c r="BU438" t="s">
        <v>1004</v>
      </c>
      <c r="BV438">
        <v>75.3</v>
      </c>
      <c r="BW438">
        <v>75.12</v>
      </c>
      <c r="BX438">
        <v>74.56</v>
      </c>
      <c r="BY438">
        <v>12.05</v>
      </c>
      <c r="BZ438">
        <v>6.63</v>
      </c>
      <c r="CA438">
        <v>8.85</v>
      </c>
      <c r="CB438">
        <v>-2.25</v>
      </c>
      <c r="CC438">
        <v>-10.94</v>
      </c>
      <c r="CD438" t="s">
        <v>11866</v>
      </c>
      <c r="CE438" t="s">
        <v>11867</v>
      </c>
      <c r="CF438" s="8" t="s">
        <v>9</v>
      </c>
      <c r="CG438" s="9">
        <v>1.1299999999999999</v>
      </c>
      <c r="CH438" s="8">
        <v>0.18594454228878021</v>
      </c>
      <c r="CI438" s="8">
        <v>-0.17900282144546509</v>
      </c>
      <c r="CJ438" s="8">
        <v>0.22609111666679382</v>
      </c>
      <c r="CK438" s="8">
        <v>1.2114981412887573</v>
      </c>
      <c r="CL438" s="8">
        <v>8.6298361420631409E-2</v>
      </c>
      <c r="CM438" s="9">
        <v>0.32995659112930298</v>
      </c>
      <c r="CN438" s="9">
        <v>0.27962961792945862</v>
      </c>
      <c r="CO438" s="9">
        <v>0.19205297529697418</v>
      </c>
      <c r="CP438" s="9">
        <v>0.45659163594245911</v>
      </c>
      <c r="CQ438" s="9">
        <v>2.3026315495371819E-2</v>
      </c>
      <c r="CR438">
        <v>37.263436298777172</v>
      </c>
      <c r="CS438">
        <v>3.388404034108766</v>
      </c>
      <c r="CT438">
        <v>0</v>
      </c>
      <c r="CU438" s="8">
        <v>0.10997341498732567</v>
      </c>
      <c r="CV438" s="9">
        <v>-7.7346041798591614E-2</v>
      </c>
      <c r="CW438">
        <v>0.06</v>
      </c>
      <c r="CX438">
        <v>7.6234071819526248</v>
      </c>
      <c r="CY438">
        <v>962326007.89938891</v>
      </c>
      <c r="CZ438">
        <v>0.10997341498732567</v>
      </c>
      <c r="DA438">
        <v>2.4495720074809575</v>
      </c>
      <c r="DB438">
        <v>2994891751.5367346</v>
      </c>
      <c r="DC438">
        <v>0.10447474423795938</v>
      </c>
      <c r="DD438">
        <v>1.1787589428291891</v>
      </c>
      <c r="DE438">
        <v>6223666886.7954197</v>
      </c>
      <c r="DF438">
        <v>9.6776605188846593E-2</v>
      </c>
      <c r="DG438">
        <v>0.68978001298497849</v>
      </c>
      <c r="DH438">
        <v>10635569111.741953</v>
      </c>
      <c r="DI438">
        <v>8.7978731989860545E-2</v>
      </c>
      <c r="DJ438">
        <v>0.33637917319819649</v>
      </c>
      <c r="DK438">
        <v>21809325857.631107</v>
      </c>
      <c r="DL438">
        <v>7.6981390491127968E-2</v>
      </c>
      <c r="DM438">
        <v>919000000</v>
      </c>
      <c r="DN438">
        <v>0.10997341498732567</v>
      </c>
      <c r="DO438">
        <v>7336203000</v>
      </c>
      <c r="DP438" t="e">
        <v>#VALUE!</v>
      </c>
      <c r="DQ438">
        <v>438</v>
      </c>
      <c r="DR438" t="e">
        <v>#VALUE!</v>
      </c>
      <c r="DS438">
        <v>1.2073460417985915</v>
      </c>
      <c r="DT438" t="e">
        <v>#VALUE!</v>
      </c>
      <c r="DU438" t="e">
        <v>#VALUE!</v>
      </c>
      <c r="DV438" t="e">
        <v>#VALUE!</v>
      </c>
      <c r="DW438">
        <v>-2.1093999999999999</v>
      </c>
      <c r="DX438">
        <v>0.38310320162829459</v>
      </c>
      <c r="DY438">
        <v>-2.024407490258135</v>
      </c>
      <c r="DZ438">
        <v>0</v>
      </c>
      <c r="EA438">
        <v>-2.024407490258135</v>
      </c>
      <c r="EB438">
        <v>2</v>
      </c>
      <c r="EC438">
        <v>1.1474323847930162E-2</v>
      </c>
      <c r="ED438">
        <v>5.1430565604554904E-2</v>
      </c>
      <c r="EE438">
        <v>0</v>
      </c>
      <c r="EF438">
        <v>0</v>
      </c>
      <c r="EG438">
        <v>16.223103201628295</v>
      </c>
      <c r="EH438" t="s">
        <v>110</v>
      </c>
      <c r="EI438">
        <v>0</v>
      </c>
      <c r="EJ438">
        <v>0</v>
      </c>
      <c r="EK438">
        <v>0</v>
      </c>
      <c r="EL438">
        <v>0</v>
      </c>
      <c r="EM438">
        <v>0</v>
      </c>
      <c r="EN438">
        <v>0</v>
      </c>
      <c r="EO438">
        <v>0</v>
      </c>
      <c r="EP438">
        <v>0</v>
      </c>
    </row>
    <row r="439" spans="1:146" ht="96" x14ac:dyDescent="0.25">
      <c r="A439" s="7"/>
      <c r="B439" s="7"/>
      <c r="C439" s="7" t="str">
        <f>""&amp;CHAR(10)&amp;Basic_Fundamental_Information_Constructure(F439)&amp;CHAR(10)&amp;Basic_Fundamental_Information_Concatenate("")</f>
        <v xml:space="preserve">
市值27.723813亿, 利润-781.80万; PE; 平均PE30.16; 平均PEG6.08, PB1.42; ROIC-.0133%; ROE.31%; 股利率0%; 毛利44.7467%; 净利.24%; 上一年度营收增38.67%, 利润增65.52%, 利润增-118.6%; 过往5年营收增4.96%, 利润增1.65%
Income profile:
</v>
      </c>
      <c r="D439" s="11">
        <v>3738</v>
      </c>
      <c r="E439" t="s">
        <v>5513</v>
      </c>
      <c r="F439">
        <v>1.22</v>
      </c>
      <c r="G439" s="5">
        <v>0</v>
      </c>
      <c r="H439" t="s">
        <v>11868</v>
      </c>
      <c r="I439">
        <v>2772381300</v>
      </c>
      <c r="K439">
        <v>1.42</v>
      </c>
      <c r="L439" t="s">
        <v>6350</v>
      </c>
      <c r="M439" t="s">
        <v>9</v>
      </c>
      <c r="N439" t="s">
        <v>9</v>
      </c>
      <c r="O439" t="s">
        <v>9</v>
      </c>
      <c r="P439" t="s">
        <v>9</v>
      </c>
      <c r="Q439" t="s">
        <v>1074</v>
      </c>
      <c r="R439">
        <v>-7818000</v>
      </c>
      <c r="S439" s="5">
        <v>-1.1859999999999999</v>
      </c>
      <c r="T439" t="s">
        <v>11869</v>
      </c>
      <c r="U439">
        <v>2272443700</v>
      </c>
      <c r="V439">
        <v>2272443700</v>
      </c>
      <c r="W439" t="s">
        <v>9</v>
      </c>
      <c r="X439" t="s">
        <v>9</v>
      </c>
      <c r="Y439" t="s">
        <v>9</v>
      </c>
      <c r="Z439" t="s">
        <v>9</v>
      </c>
      <c r="AA439" t="s">
        <v>9</v>
      </c>
      <c r="AB439" t="s">
        <v>9</v>
      </c>
      <c r="AC439" t="s">
        <v>9</v>
      </c>
      <c r="AD439" t="s">
        <v>568</v>
      </c>
      <c r="AE439" t="s">
        <v>9</v>
      </c>
      <c r="AF439" t="s">
        <v>9</v>
      </c>
      <c r="AG439" t="s">
        <v>9</v>
      </c>
      <c r="AH439" t="s">
        <v>11870</v>
      </c>
      <c r="AI439" t="s">
        <v>9</v>
      </c>
      <c r="AJ439" t="s">
        <v>9</v>
      </c>
      <c r="AK439" t="s">
        <v>11871</v>
      </c>
      <c r="AL439" t="s">
        <v>9</v>
      </c>
      <c r="AM439" t="s">
        <v>9</v>
      </c>
      <c r="AN439" s="5">
        <v>0.38969999999999999</v>
      </c>
      <c r="AO439" t="s">
        <v>9</v>
      </c>
      <c r="AP439" t="s">
        <v>4254</v>
      </c>
      <c r="AQ439" t="s">
        <v>9</v>
      </c>
      <c r="AR439" t="s">
        <v>3358</v>
      </c>
      <c r="AS439" t="s">
        <v>9</v>
      </c>
      <c r="AT439" t="s">
        <v>9</v>
      </c>
      <c r="AU439" t="s">
        <v>89</v>
      </c>
      <c r="AV439" t="s">
        <v>11872</v>
      </c>
      <c r="AW439" t="s">
        <v>9</v>
      </c>
      <c r="AX439" t="s">
        <v>913</v>
      </c>
      <c r="AY439" t="s">
        <v>1176</v>
      </c>
      <c r="AZ439" t="s">
        <v>1156</v>
      </c>
      <c r="BA439" t="s">
        <v>760</v>
      </c>
      <c r="BB439" t="s">
        <v>30</v>
      </c>
      <c r="BC439" t="s">
        <v>5515</v>
      </c>
      <c r="BD439" t="s">
        <v>5516</v>
      </c>
      <c r="BE439" t="s">
        <v>5517</v>
      </c>
      <c r="BF439" t="s">
        <v>5518</v>
      </c>
      <c r="BG439" t="s">
        <v>5519</v>
      </c>
      <c r="BH439" t="s">
        <v>913</v>
      </c>
      <c r="BI439" t="s">
        <v>9</v>
      </c>
      <c r="BJ439" t="s">
        <v>1176</v>
      </c>
      <c r="BK439" t="s">
        <v>5514</v>
      </c>
      <c r="BL439" t="s">
        <v>9</v>
      </c>
      <c r="BM439" t="s">
        <v>5515</v>
      </c>
      <c r="BN439">
        <v>-0.3</v>
      </c>
      <c r="BO439">
        <v>2.0299999999999998</v>
      </c>
      <c r="BP439">
        <v>-1.77</v>
      </c>
      <c r="BQ439">
        <v>-0.4</v>
      </c>
      <c r="BR439">
        <v>2.81</v>
      </c>
      <c r="BS439">
        <v>-1.48</v>
      </c>
      <c r="BT439" t="s">
        <v>9</v>
      </c>
      <c r="BU439" t="s">
        <v>551</v>
      </c>
      <c r="BV439">
        <v>42.49</v>
      </c>
      <c r="BW439">
        <v>40.950000000000003</v>
      </c>
      <c r="BX439">
        <v>50.8</v>
      </c>
      <c r="BY439">
        <v>-0.01</v>
      </c>
      <c r="BZ439">
        <v>4.03</v>
      </c>
      <c r="CA439">
        <v>-3.3</v>
      </c>
      <c r="CB439">
        <v>1.67</v>
      </c>
      <c r="CC439">
        <v>-21.29</v>
      </c>
      <c r="CD439" t="s">
        <v>11873</v>
      </c>
      <c r="CE439" t="s">
        <v>1543</v>
      </c>
      <c r="CF439" s="8" t="s">
        <v>9</v>
      </c>
      <c r="CG439" s="9">
        <v>-1.1859999999999999</v>
      </c>
      <c r="CH439" s="8">
        <v>0.38669437170028687</v>
      </c>
      <c r="CI439" s="8">
        <v>1.100436806678772</v>
      </c>
      <c r="CJ439" s="8">
        <v>1.0205882787704468</v>
      </c>
      <c r="CK439" s="8">
        <v>1.8571428060531616</v>
      </c>
      <c r="CL439" s="8">
        <v>-2.4590164422988892E-2</v>
      </c>
      <c r="CM439" s="9">
        <v>0.65524542331695557</v>
      </c>
      <c r="CN439" s="9">
        <v>-1.27931809425354</v>
      </c>
      <c r="CO439" s="9">
        <v>2.6843249797821045</v>
      </c>
      <c r="CP439" s="9">
        <v>-1.4591723680496216</v>
      </c>
      <c r="CQ439" s="9">
        <v>1.4762948267161846E-2</v>
      </c>
      <c r="CR439">
        <v>30.157590900883065</v>
      </c>
      <c r="CS439">
        <v>6.0758956945728881</v>
      </c>
      <c r="CT439">
        <v>0</v>
      </c>
      <c r="CU439" s="8">
        <v>4.963480681180954E-2</v>
      </c>
      <c r="CV439" s="9">
        <v>1.6514505073428155E-2</v>
      </c>
      <c r="CW439">
        <v>0.06</v>
      </c>
      <c r="CX439" t="e">
        <v>#VALUE!</v>
      </c>
      <c r="CY439" t="s">
        <v>109</v>
      </c>
      <c r="CZ439">
        <v>4.963480681180954E-2</v>
      </c>
      <c r="DA439" t="e">
        <v>#VALUE!</v>
      </c>
      <c r="DB439" t="s">
        <v>108</v>
      </c>
      <c r="DC439">
        <v>4.7153066471219057E-2</v>
      </c>
      <c r="DD439" t="e">
        <v>#VALUE!</v>
      </c>
      <c r="DE439" t="s">
        <v>108</v>
      </c>
      <c r="DF439">
        <v>4.3678629994392398E-2</v>
      </c>
      <c r="DG439" t="e">
        <v>#VALUE!</v>
      </c>
      <c r="DH439" t="s">
        <v>108</v>
      </c>
      <c r="DI439">
        <v>3.9707845449447637E-2</v>
      </c>
      <c r="DJ439" t="e">
        <v>#VALUE!</v>
      </c>
      <c r="DK439" t="s">
        <v>108</v>
      </c>
      <c r="DL439">
        <v>3.4744364768266672E-2</v>
      </c>
      <c r="DM439">
        <v>-7818000</v>
      </c>
      <c r="DN439">
        <v>4.963480681180954E-2</v>
      </c>
      <c r="DO439">
        <v>2772381300</v>
      </c>
      <c r="DP439" t="e">
        <v>#VALUE!</v>
      </c>
      <c r="DQ439">
        <v>439</v>
      </c>
      <c r="DR439" t="e">
        <v>#VALUE!</v>
      </c>
      <c r="DS439">
        <v>-1.2025145050734281</v>
      </c>
      <c r="DT439" t="e">
        <v>#VALUE!</v>
      </c>
      <c r="DU439" t="e">
        <v>#VALUE!</v>
      </c>
      <c r="DV439" t="e">
        <v>#VALUE!</v>
      </c>
      <c r="DW439">
        <v>-3.059827380952381</v>
      </c>
      <c r="DX439">
        <v>0.26184383561643926</v>
      </c>
      <c r="DY439">
        <v>-3.0048965023320289</v>
      </c>
      <c r="DZ439">
        <v>0</v>
      </c>
      <c r="EA439">
        <v>-3.0048965023320289</v>
      </c>
      <c r="EB439">
        <v>3</v>
      </c>
      <c r="EC439">
        <v>1.3145760222794518E-2</v>
      </c>
      <c r="ED439">
        <v>0.16062004088374116</v>
      </c>
      <c r="EE439">
        <v>0</v>
      </c>
      <c r="EF439">
        <v>0</v>
      </c>
      <c r="EG439">
        <v>18.081843835616439</v>
      </c>
      <c r="EH439" t="s">
        <v>110</v>
      </c>
      <c r="EI439">
        <v>0</v>
      </c>
      <c r="EJ439">
        <v>0</v>
      </c>
      <c r="EK439">
        <v>0</v>
      </c>
      <c r="EL439">
        <v>0</v>
      </c>
      <c r="EM439">
        <v>0</v>
      </c>
      <c r="EN439">
        <v>0</v>
      </c>
      <c r="EO439">
        <v>0</v>
      </c>
      <c r="EP439">
        <v>0</v>
      </c>
    </row>
    <row r="440" spans="1:146" ht="96" x14ac:dyDescent="0.25">
      <c r="A440" s="7"/>
      <c r="B440" s="7"/>
      <c r="C440" s="7" t="str">
        <f>""&amp;CHAR(10)&amp;Basic_Fundamental_Information_Constructure(F440)&amp;CHAR(10)&amp;Basic_Fundamental_Information_Concatenate("")</f>
        <v xml:space="preserve">
市值153.53717亿, 利润17.55亿; PE9.56; 平均PE23.7; 平均PEG3.71, PB1.12; ROIC10.3267%; ROE14.06%; 股利率0%; 毛利35.97%; 净利16.2133%; 上一年度营收增9.21%, 利润增-13.72%; 当季营收增11.11%, 利润增-37.52%; 过往5年营收增6.39%, 利润增14.22%
Income profile:
</v>
      </c>
      <c r="D440" s="11">
        <v>3759</v>
      </c>
      <c r="E440" t="s">
        <v>5520</v>
      </c>
      <c r="F440">
        <v>8.59</v>
      </c>
      <c r="G440" s="5">
        <v>-4.7699999999999999E-2</v>
      </c>
      <c r="H440" t="s">
        <v>11874</v>
      </c>
      <c r="I440">
        <v>15353717000</v>
      </c>
      <c r="J440">
        <v>9.56</v>
      </c>
      <c r="K440">
        <v>1.1200000000000001</v>
      </c>
      <c r="L440" t="s">
        <v>6350</v>
      </c>
      <c r="M440" t="s">
        <v>11875</v>
      </c>
      <c r="N440" t="s">
        <v>11876</v>
      </c>
      <c r="O440" t="s">
        <v>5968</v>
      </c>
      <c r="P440">
        <v>-1.95</v>
      </c>
      <c r="Q440" t="s">
        <v>11877</v>
      </c>
      <c r="R440">
        <v>1755121400</v>
      </c>
      <c r="S440" s="5">
        <v>-0.37519999999999998</v>
      </c>
      <c r="T440" t="s">
        <v>5186</v>
      </c>
      <c r="U440">
        <v>301537130</v>
      </c>
      <c r="V440">
        <v>1787394300</v>
      </c>
      <c r="W440">
        <v>1.99</v>
      </c>
      <c r="X440">
        <v>0.1</v>
      </c>
      <c r="Y440">
        <v>10.53</v>
      </c>
      <c r="Z440" t="s">
        <v>4493</v>
      </c>
      <c r="AA440" t="s">
        <v>3828</v>
      </c>
      <c r="AB440" t="s">
        <v>11878</v>
      </c>
      <c r="AC440" t="s">
        <v>3423</v>
      </c>
      <c r="AD440" t="s">
        <v>3723</v>
      </c>
      <c r="AE440" t="s">
        <v>11879</v>
      </c>
      <c r="AF440" t="s">
        <v>9</v>
      </c>
      <c r="AG440" t="s">
        <v>82</v>
      </c>
      <c r="AH440" t="s">
        <v>11880</v>
      </c>
      <c r="AI440" t="s">
        <v>1262</v>
      </c>
      <c r="AJ440" t="s">
        <v>3721</v>
      </c>
      <c r="AK440" t="s">
        <v>11881</v>
      </c>
      <c r="AL440" t="s">
        <v>9</v>
      </c>
      <c r="AM440" t="s">
        <v>11882</v>
      </c>
      <c r="AN440" s="5">
        <v>0.47089999999999999</v>
      </c>
      <c r="AO440" t="s">
        <v>672</v>
      </c>
      <c r="AP440" t="s">
        <v>1809</v>
      </c>
      <c r="AQ440" t="s">
        <v>9414</v>
      </c>
      <c r="AR440" t="s">
        <v>11883</v>
      </c>
      <c r="AS440" t="s">
        <v>11884</v>
      </c>
      <c r="AT440" t="s">
        <v>11885</v>
      </c>
      <c r="AU440" t="s">
        <v>960</v>
      </c>
      <c r="AV440" t="s">
        <v>6081</v>
      </c>
      <c r="AW440" t="s">
        <v>9</v>
      </c>
      <c r="AX440" t="s">
        <v>807</v>
      </c>
      <c r="AY440" t="s">
        <v>2205</v>
      </c>
      <c r="AZ440" t="s">
        <v>3612</v>
      </c>
      <c r="BA440" t="s">
        <v>5524</v>
      </c>
      <c r="BB440" t="s">
        <v>1357</v>
      </c>
      <c r="BC440" t="s">
        <v>5525</v>
      </c>
      <c r="BD440" t="s">
        <v>1270</v>
      </c>
      <c r="BE440" t="s">
        <v>3582</v>
      </c>
      <c r="BF440" t="s">
        <v>247</v>
      </c>
      <c r="BG440" t="s">
        <v>137</v>
      </c>
      <c r="BH440" t="s">
        <v>807</v>
      </c>
      <c r="BI440" t="s">
        <v>5526</v>
      </c>
      <c r="BJ440" t="s">
        <v>2205</v>
      </c>
      <c r="BK440" t="s">
        <v>5521</v>
      </c>
      <c r="BL440" t="s">
        <v>144</v>
      </c>
      <c r="BM440" t="s">
        <v>5525</v>
      </c>
      <c r="BN440">
        <v>8.6</v>
      </c>
      <c r="BO440">
        <v>8.92</v>
      </c>
      <c r="BP440">
        <v>13.46</v>
      </c>
      <c r="BQ440">
        <v>12.75</v>
      </c>
      <c r="BR440">
        <v>13.03</v>
      </c>
      <c r="BS440">
        <v>16.399999999999999</v>
      </c>
      <c r="BT440" t="s">
        <v>7425</v>
      </c>
      <c r="BU440" t="s">
        <v>489</v>
      </c>
      <c r="BV440">
        <v>35.49</v>
      </c>
      <c r="BW440">
        <v>36.520000000000003</v>
      </c>
      <c r="BX440">
        <v>35.9</v>
      </c>
      <c r="BY440">
        <v>13.71</v>
      </c>
      <c r="BZ440">
        <v>13.17</v>
      </c>
      <c r="CA440">
        <v>21.76</v>
      </c>
      <c r="CB440">
        <v>-4.0199999999999996</v>
      </c>
      <c r="CC440">
        <v>-21.34</v>
      </c>
      <c r="CD440" t="s">
        <v>11886</v>
      </c>
      <c r="CE440" t="s">
        <v>123</v>
      </c>
      <c r="CF440" s="8">
        <v>0.1110682607018897</v>
      </c>
      <c r="CG440" s="9">
        <v>-0.37519999999999998</v>
      </c>
      <c r="CH440" s="8">
        <v>9.2133656144142151E-2</v>
      </c>
      <c r="CI440" s="8">
        <v>0.27054303884506226</v>
      </c>
      <c r="CJ440" s="8">
        <v>0.48962244391441345</v>
      </c>
      <c r="CK440" s="8">
        <v>0.84808212518692017</v>
      </c>
      <c r="CL440" s="8">
        <v>0.20399996638298035</v>
      </c>
      <c r="CM440" s="9">
        <v>-0.13716810941696167</v>
      </c>
      <c r="CN440" s="9">
        <v>0.4559771716594696</v>
      </c>
      <c r="CO440" s="9">
        <v>1.2864155769348145</v>
      </c>
      <c r="CP440" s="9">
        <v>0.59530025720596313</v>
      </c>
      <c r="CQ440" s="9">
        <v>0.43445691466331482</v>
      </c>
      <c r="CR440">
        <v>23.70010342166195</v>
      </c>
      <c r="CS440">
        <v>3.7106995068864639</v>
      </c>
      <c r="CT440">
        <v>0</v>
      </c>
      <c r="CU440" s="8">
        <v>6.3869637995958323E-2</v>
      </c>
      <c r="CV440" s="9">
        <v>0.14222332686185837</v>
      </c>
      <c r="CW440">
        <v>0.06</v>
      </c>
      <c r="CX440">
        <v>7.8163187236026408</v>
      </c>
      <c r="CY440">
        <v>1761406806.3046288</v>
      </c>
      <c r="CZ440">
        <v>6.3869637995958323E-2</v>
      </c>
      <c r="DA440">
        <v>2.6116177663295801</v>
      </c>
      <c r="DB440">
        <v>5271719766.0013723</v>
      </c>
      <c r="DC440">
        <v>6.0676156096160401E-2</v>
      </c>
      <c r="DD440">
        <v>1.323965809209009</v>
      </c>
      <c r="DE440">
        <v>10398846332.916553</v>
      </c>
      <c r="DF440">
        <v>5.6205281436443322E-2</v>
      </c>
      <c r="DG440">
        <v>0.82149919395690862</v>
      </c>
      <c r="DH440">
        <v>16759258075.087265</v>
      </c>
      <c r="DI440">
        <v>5.1095710396766664E-2</v>
      </c>
      <c r="DJ440">
        <v>0.45529519246631928</v>
      </c>
      <c r="DK440">
        <v>30239100319.554714</v>
      </c>
      <c r="DL440">
        <v>4.470874659717082E-2</v>
      </c>
      <c r="DM440">
        <v>1755000000</v>
      </c>
      <c r="DN440">
        <v>6.3869637995958323E-2</v>
      </c>
      <c r="DO440">
        <v>13767717000</v>
      </c>
      <c r="DP440" t="e">
        <v>#VALUE!</v>
      </c>
      <c r="DQ440">
        <v>440</v>
      </c>
      <c r="DR440">
        <v>4.7198622705931378E-2</v>
      </c>
      <c r="DS440">
        <v>-0.51742332686185832</v>
      </c>
      <c r="DT440">
        <v>-0.44</v>
      </c>
      <c r="DU440">
        <v>0.75</v>
      </c>
      <c r="DV440">
        <v>0.31</v>
      </c>
      <c r="DW440">
        <v>-8.188378631677601</v>
      </c>
      <c r="DX440">
        <v>0.40243923076923127</v>
      </c>
      <c r="DY440">
        <v>-8.0230649347559648</v>
      </c>
      <c r="DZ440">
        <v>0</v>
      </c>
      <c r="EA440">
        <v>-8.0230649347559648</v>
      </c>
      <c r="EB440">
        <v>8</v>
      </c>
      <c r="EC440">
        <v>8.9051979185566389E-3</v>
      </c>
      <c r="ED440">
        <v>7.2731573553748041E-2</v>
      </c>
      <c r="EE440">
        <v>0</v>
      </c>
      <c r="EF440">
        <v>0</v>
      </c>
      <c r="EG440">
        <v>28.122439230769231</v>
      </c>
      <c r="EH440" t="s">
        <v>110</v>
      </c>
      <c r="EI440">
        <v>0</v>
      </c>
      <c r="EJ440">
        <v>0</v>
      </c>
      <c r="EK440">
        <v>0</v>
      </c>
      <c r="EL440">
        <v>0</v>
      </c>
      <c r="EM440">
        <v>0</v>
      </c>
      <c r="EN440">
        <v>0</v>
      </c>
      <c r="EO440">
        <v>0</v>
      </c>
      <c r="EP440">
        <v>0</v>
      </c>
    </row>
    <row r="441" spans="1:146" ht="96" x14ac:dyDescent="0.25">
      <c r="A441" s="7"/>
      <c r="B441" s="7"/>
      <c r="C441" s="7" t="str">
        <f>""&amp;CHAR(10)&amp;Basic_Fundamental_Information_Constructure(F441)&amp;CHAR(10)&amp;Basic_Fundamental_Information_Concatenate("")</f>
        <v xml:space="preserve">
市值314.97358亿, 利润27.52亿; PE11.45; 平均PE59.96; 平均PEG2.66, PB.675; ROIC16.17%; ROE20.3233%; 股利率0%; 毛利40.2033%; 净利25.2867%; 上一年度营收增-10.89%, 利润增-55.79%, 利润增-84.78%; 过往5年营收增22.5%, 利润增18.36%
Income profile:
</v>
      </c>
      <c r="D441" s="11">
        <v>3800</v>
      </c>
      <c r="E441" t="s">
        <v>5528</v>
      </c>
      <c r="F441">
        <v>1.17</v>
      </c>
      <c r="G441" s="5">
        <v>-2.5000000000000001E-2</v>
      </c>
      <c r="H441" t="s">
        <v>130</v>
      </c>
      <c r="I441">
        <v>31497358000</v>
      </c>
      <c r="J441">
        <v>11.45</v>
      </c>
      <c r="K441">
        <v>0.67500000000000004</v>
      </c>
      <c r="L441" t="s">
        <v>6350</v>
      </c>
      <c r="M441" t="s">
        <v>9</v>
      </c>
      <c r="N441" t="s">
        <v>9</v>
      </c>
      <c r="O441" t="s">
        <v>9</v>
      </c>
      <c r="P441" t="s">
        <v>9</v>
      </c>
      <c r="Q441" t="s">
        <v>11887</v>
      </c>
      <c r="R441">
        <v>2751545300</v>
      </c>
      <c r="S441" s="5">
        <v>-0.8478</v>
      </c>
      <c r="T441" t="s">
        <v>6358</v>
      </c>
      <c r="U441">
        <v>26938931000</v>
      </c>
      <c r="V441">
        <v>26938931000</v>
      </c>
      <c r="W441" t="s">
        <v>9</v>
      </c>
      <c r="X441" t="s">
        <v>9</v>
      </c>
      <c r="Y441" t="s">
        <v>9</v>
      </c>
      <c r="Z441" t="s">
        <v>9</v>
      </c>
      <c r="AA441" t="s">
        <v>9</v>
      </c>
      <c r="AB441" t="s">
        <v>9</v>
      </c>
      <c r="AC441" t="s">
        <v>9</v>
      </c>
      <c r="AD441" t="s">
        <v>11888</v>
      </c>
      <c r="AE441" t="s">
        <v>9</v>
      </c>
      <c r="AF441" t="s">
        <v>9</v>
      </c>
      <c r="AG441" t="s">
        <v>9</v>
      </c>
      <c r="AH441" t="s">
        <v>11889</v>
      </c>
      <c r="AI441" t="s">
        <v>9</v>
      </c>
      <c r="AJ441" t="s">
        <v>9</v>
      </c>
      <c r="AK441" t="s">
        <v>11890</v>
      </c>
      <c r="AL441" t="s">
        <v>9</v>
      </c>
      <c r="AM441" t="s">
        <v>9</v>
      </c>
      <c r="AN441" s="5">
        <v>0.41620000000000001</v>
      </c>
      <c r="AO441" t="s">
        <v>9</v>
      </c>
      <c r="AP441" t="s">
        <v>11891</v>
      </c>
      <c r="AQ441" t="s">
        <v>9</v>
      </c>
      <c r="AR441" t="s">
        <v>11892</v>
      </c>
      <c r="AS441" t="s">
        <v>9</v>
      </c>
      <c r="AT441" t="s">
        <v>9</v>
      </c>
      <c r="AU441" t="s">
        <v>11893</v>
      </c>
      <c r="AV441" t="s">
        <v>11894</v>
      </c>
      <c r="AW441" t="s">
        <v>9</v>
      </c>
      <c r="AX441" t="s">
        <v>5529</v>
      </c>
      <c r="AY441" t="s">
        <v>5533</v>
      </c>
      <c r="AZ441" t="s">
        <v>5534</v>
      </c>
      <c r="BA441" t="s">
        <v>5535</v>
      </c>
      <c r="BB441" t="s">
        <v>710</v>
      </c>
      <c r="BC441" t="s">
        <v>1049</v>
      </c>
      <c r="BD441" t="s">
        <v>5536</v>
      </c>
      <c r="BE441" t="s">
        <v>5537</v>
      </c>
      <c r="BF441" t="s">
        <v>5538</v>
      </c>
      <c r="BG441" t="s">
        <v>1763</v>
      </c>
      <c r="BH441" t="s">
        <v>5529</v>
      </c>
      <c r="BI441" t="s">
        <v>9</v>
      </c>
      <c r="BJ441" t="s">
        <v>5533</v>
      </c>
      <c r="BK441" t="s">
        <v>5530</v>
      </c>
      <c r="BL441" t="s">
        <v>9</v>
      </c>
      <c r="BM441" t="s">
        <v>1049</v>
      </c>
      <c r="BN441">
        <v>4.41</v>
      </c>
      <c r="BO441">
        <v>33.200000000000003</v>
      </c>
      <c r="BP441">
        <v>10.9</v>
      </c>
      <c r="BQ441">
        <v>5.89</v>
      </c>
      <c r="BR441">
        <v>37.56</v>
      </c>
      <c r="BS441">
        <v>17.52</v>
      </c>
      <c r="BT441" t="s">
        <v>2359</v>
      </c>
      <c r="BU441" t="s">
        <v>589</v>
      </c>
      <c r="BV441">
        <v>34.69</v>
      </c>
      <c r="BW441">
        <v>48.62</v>
      </c>
      <c r="BX441">
        <v>37.299999999999997</v>
      </c>
      <c r="BY441">
        <v>9.8699999999999992</v>
      </c>
      <c r="BZ441">
        <v>42.12</v>
      </c>
      <c r="CA441">
        <v>23.87</v>
      </c>
      <c r="CB441">
        <v>-10.69</v>
      </c>
      <c r="CC441">
        <v>-17.61</v>
      </c>
      <c r="CD441" t="s">
        <v>4935</v>
      </c>
      <c r="CE441" t="s">
        <v>11895</v>
      </c>
      <c r="CF441" s="8" t="s">
        <v>9</v>
      </c>
      <c r="CG441" s="9">
        <v>-0.8478</v>
      </c>
      <c r="CH441" s="8">
        <v>-0.10892951488494873</v>
      </c>
      <c r="CI441" s="8">
        <v>0.71882253885269165</v>
      </c>
      <c r="CJ441" s="8">
        <v>0.37931039929389954</v>
      </c>
      <c r="CK441" s="8">
        <v>-0.25320297479629517</v>
      </c>
      <c r="CL441" s="8">
        <v>-0.17916357517242432</v>
      </c>
      <c r="CM441" s="9">
        <v>-0.55791163444519043</v>
      </c>
      <c r="CN441" s="9">
        <v>1.9214032888412476</v>
      </c>
      <c r="CO441" s="9">
        <v>-29.709089279174805</v>
      </c>
      <c r="CP441" s="9">
        <v>0.72151899337768555</v>
      </c>
      <c r="CQ441" s="9">
        <v>-1.3337558507919312</v>
      </c>
      <c r="CR441">
        <v>59.959703699341773</v>
      </c>
      <c r="CS441">
        <v>2.6646685394663883</v>
      </c>
      <c r="CT441">
        <v>0</v>
      </c>
      <c r="CU441" s="8">
        <v>0.22501749396324158</v>
      </c>
      <c r="CV441" s="9">
        <v>0.18364938646554946</v>
      </c>
      <c r="CW441">
        <v>0.06</v>
      </c>
      <c r="CX441">
        <v>9.9035129008505383</v>
      </c>
      <c r="CY441">
        <v>3180422776.7800384</v>
      </c>
      <c r="CZ441">
        <v>0.22501749396324158</v>
      </c>
      <c r="DA441">
        <v>2.8919682078203697</v>
      </c>
      <c r="DB441">
        <v>10891322357.841221</v>
      </c>
      <c r="DC441">
        <v>0.2137666192650795</v>
      </c>
      <c r="DD441">
        <v>1.2161350138962543</v>
      </c>
      <c r="DE441">
        <v>25899556907.821228</v>
      </c>
      <c r="DF441">
        <v>0.19801539468765259</v>
      </c>
      <c r="DG441">
        <v>0.60536219567062999</v>
      </c>
      <c r="DH441">
        <v>52030599573.70929</v>
      </c>
      <c r="DI441">
        <v>0.18001399517059327</v>
      </c>
      <c r="DJ441">
        <v>0.20033200401137816</v>
      </c>
      <c r="DK441">
        <v>157225792031.76672</v>
      </c>
      <c r="DL441">
        <v>0.15751224577426909</v>
      </c>
      <c r="DM441">
        <v>2752000000</v>
      </c>
      <c r="DN441">
        <v>0.22501749396324158</v>
      </c>
      <c r="DO441">
        <v>31497358000</v>
      </c>
      <c r="DP441" t="e">
        <v>#VALUE!</v>
      </c>
      <c r="DQ441">
        <v>441</v>
      </c>
      <c r="DR441" t="e">
        <v>#VALUE!</v>
      </c>
      <c r="DS441">
        <v>-1.0314493864655494</v>
      </c>
      <c r="DT441" t="e">
        <v>#VALUE!</v>
      </c>
      <c r="DU441" t="e">
        <v>#VALUE!</v>
      </c>
      <c r="DV441" t="e">
        <v>#VALUE!</v>
      </c>
      <c r="DW441">
        <v>-9.6070414537194768</v>
      </c>
      <c r="DX441">
        <v>0.38203039564956964</v>
      </c>
      <c r="DY441">
        <v>-9.098359166921858</v>
      </c>
      <c r="DZ441">
        <v>0</v>
      </c>
      <c r="EA441">
        <v>-9.098359166921858</v>
      </c>
      <c r="EB441">
        <v>9</v>
      </c>
      <c r="EC441">
        <v>4.194672758172921E-2</v>
      </c>
      <c r="ED441">
        <v>0.25888183907520307</v>
      </c>
      <c r="EE441">
        <v>0</v>
      </c>
      <c r="EF441">
        <v>0</v>
      </c>
      <c r="EG441">
        <v>22.16203039564957</v>
      </c>
      <c r="EH441" t="s">
        <v>110</v>
      </c>
      <c r="EI441">
        <v>0</v>
      </c>
      <c r="EJ441">
        <v>0</v>
      </c>
      <c r="EK441">
        <v>0</v>
      </c>
      <c r="EL441">
        <v>0</v>
      </c>
      <c r="EM441">
        <v>0</v>
      </c>
      <c r="EN441">
        <v>0</v>
      </c>
      <c r="EO441">
        <v>0</v>
      </c>
      <c r="EP441">
        <v>0</v>
      </c>
    </row>
    <row r="442" spans="1:146" ht="96" x14ac:dyDescent="0.25">
      <c r="A442" s="7"/>
      <c r="B442" s="7"/>
      <c r="C442" s="7" t="str">
        <f>""&amp;CHAR(10)&amp;Basic_Fundamental_Information_Constructure(F442)&amp;CHAR(10)&amp;Basic_Fundamental_Information_Concatenate("")</f>
        <v xml:space="preserve">
市值538.3937亿, 利润58.30亿; PE9.24; 平均PE49.89; 平均PEG5.67, PB1.22; ROIC9.6267%; ROE10.11%; 股利率0%; 毛利16.7733%; 净利5.1067%; 上一年度营收增39.85%, 利润增10.17%, 利润增209%; 过往5年营收增8.8%, 利润增11.05%
Income profile:
</v>
      </c>
      <c r="D442" s="11">
        <v>3808</v>
      </c>
      <c r="E442" t="s">
        <v>5539</v>
      </c>
      <c r="F442">
        <v>19.5</v>
      </c>
      <c r="G442" s="5">
        <v>6.1999999999999998E-3</v>
      </c>
      <c r="H442" t="s">
        <v>11896</v>
      </c>
      <c r="I442">
        <v>53839370000</v>
      </c>
      <c r="J442">
        <v>9.24</v>
      </c>
      <c r="K442">
        <v>1.22</v>
      </c>
      <c r="L442" t="s">
        <v>6350</v>
      </c>
      <c r="M442" t="s">
        <v>9</v>
      </c>
      <c r="N442" t="s">
        <v>9</v>
      </c>
      <c r="O442" t="s">
        <v>9</v>
      </c>
      <c r="P442" t="s">
        <v>9</v>
      </c>
      <c r="Q442" t="s">
        <v>11897</v>
      </c>
      <c r="R442">
        <v>5829708900</v>
      </c>
      <c r="S442" s="5">
        <v>2.09</v>
      </c>
      <c r="T442" t="s">
        <v>11898</v>
      </c>
      <c r="U442">
        <v>2760993300</v>
      </c>
      <c r="V442">
        <v>2760993300</v>
      </c>
      <c r="W442" t="s">
        <v>9</v>
      </c>
      <c r="X442" t="s">
        <v>9</v>
      </c>
      <c r="Y442" t="s">
        <v>9</v>
      </c>
      <c r="Z442" t="s">
        <v>9</v>
      </c>
      <c r="AA442" t="s">
        <v>9</v>
      </c>
      <c r="AB442" t="s">
        <v>9</v>
      </c>
      <c r="AC442" t="s">
        <v>9</v>
      </c>
      <c r="AD442" t="s">
        <v>1499</v>
      </c>
      <c r="AE442" t="s">
        <v>9</v>
      </c>
      <c r="AF442" t="s">
        <v>9</v>
      </c>
      <c r="AG442" t="s">
        <v>9</v>
      </c>
      <c r="AH442" t="s">
        <v>11899</v>
      </c>
      <c r="AI442" t="s">
        <v>9</v>
      </c>
      <c r="AJ442" t="s">
        <v>9</v>
      </c>
      <c r="AK442" t="s">
        <v>11900</v>
      </c>
      <c r="AL442" t="s">
        <v>9</v>
      </c>
      <c r="AM442" t="s">
        <v>9</v>
      </c>
      <c r="AN442" s="5">
        <v>0.60619999999999996</v>
      </c>
      <c r="AO442" t="s">
        <v>9</v>
      </c>
      <c r="AP442" t="s">
        <v>9144</v>
      </c>
      <c r="AQ442" t="s">
        <v>9</v>
      </c>
      <c r="AR442" t="s">
        <v>11901</v>
      </c>
      <c r="AS442" t="s">
        <v>9</v>
      </c>
      <c r="AT442" t="s">
        <v>9</v>
      </c>
      <c r="AU442" t="s">
        <v>833</v>
      </c>
      <c r="AV442" t="s">
        <v>11902</v>
      </c>
      <c r="AW442" t="s">
        <v>9</v>
      </c>
      <c r="AX442" t="s">
        <v>11903</v>
      </c>
      <c r="AY442" t="s">
        <v>5540</v>
      </c>
      <c r="AZ442" t="s">
        <v>5541</v>
      </c>
      <c r="BA442" t="s">
        <v>5542</v>
      </c>
      <c r="BB442" t="s">
        <v>5543</v>
      </c>
      <c r="BC442" t="s">
        <v>5544</v>
      </c>
      <c r="BD442" t="s">
        <v>5545</v>
      </c>
      <c r="BE442" t="s">
        <v>100</v>
      </c>
      <c r="BF442" t="s">
        <v>5546</v>
      </c>
      <c r="BG442" t="s">
        <v>5314</v>
      </c>
      <c r="BH442" t="s">
        <v>11903</v>
      </c>
      <c r="BI442" t="s">
        <v>9</v>
      </c>
      <c r="BJ442" t="s">
        <v>5540</v>
      </c>
      <c r="BK442" t="s">
        <v>574</v>
      </c>
      <c r="BL442" t="s">
        <v>9</v>
      </c>
      <c r="BM442" t="s">
        <v>5544</v>
      </c>
      <c r="BN442">
        <v>12.49</v>
      </c>
      <c r="BO442">
        <v>4.55</v>
      </c>
      <c r="BP442">
        <v>11.84</v>
      </c>
      <c r="BQ442">
        <v>13.21</v>
      </c>
      <c r="BR442">
        <v>5</v>
      </c>
      <c r="BS442">
        <v>12.12</v>
      </c>
      <c r="BT442" t="s">
        <v>11904</v>
      </c>
      <c r="BU442" t="s">
        <v>589</v>
      </c>
      <c r="BV442">
        <v>16.649999999999999</v>
      </c>
      <c r="BW442">
        <v>16.89</v>
      </c>
      <c r="BX442">
        <v>16.78</v>
      </c>
      <c r="BY442">
        <v>6.82</v>
      </c>
      <c r="BZ442">
        <v>3.46</v>
      </c>
      <c r="CA442">
        <v>5.04</v>
      </c>
      <c r="CB442">
        <v>0.72</v>
      </c>
      <c r="CC442">
        <v>-7.58</v>
      </c>
      <c r="CD442" t="s">
        <v>11905</v>
      </c>
      <c r="CE442" t="s">
        <v>20</v>
      </c>
      <c r="CF442" s="8" t="s">
        <v>9</v>
      </c>
      <c r="CG442" s="9">
        <v>2.09</v>
      </c>
      <c r="CH442" s="8">
        <v>0.39853766560554504</v>
      </c>
      <c r="CI442" s="8">
        <v>-0.41377410292625427</v>
      </c>
      <c r="CJ442" s="8">
        <v>-2.3290807381272316E-2</v>
      </c>
      <c r="CK442" s="8">
        <v>0.63873881101608276</v>
      </c>
      <c r="CL442" s="8">
        <v>7.4192740023136139E-2</v>
      </c>
      <c r="CM442" s="9">
        <v>0.10166285932064056</v>
      </c>
      <c r="CN442" s="9">
        <v>-0.35186770558357239</v>
      </c>
      <c r="CO442" s="9">
        <v>1.1913579702377319</v>
      </c>
      <c r="CP442" s="9">
        <v>-0.24696840345859528</v>
      </c>
      <c r="CQ442" s="9">
        <v>0.36534208059310913</v>
      </c>
      <c r="CR442">
        <v>49.889763706563706</v>
      </c>
      <c r="CS442">
        <v>5.6700416676383041</v>
      </c>
      <c r="CT442">
        <v>0</v>
      </c>
      <c r="CU442" s="8">
        <v>8.7988354638218885E-2</v>
      </c>
      <c r="CV442" s="9">
        <v>0.11053291298449039</v>
      </c>
      <c r="CW442">
        <v>0.06</v>
      </c>
      <c r="CX442">
        <v>8.9973172248625968</v>
      </c>
      <c r="CY442">
        <v>5983935950.5102043</v>
      </c>
      <c r="CZ442">
        <v>8.7988354638218885E-2</v>
      </c>
      <c r="DA442">
        <v>2.9452532264831475</v>
      </c>
      <c r="DB442">
        <v>18280047880.395069</v>
      </c>
      <c r="DC442">
        <v>8.3588936906307934E-2</v>
      </c>
      <c r="DD442">
        <v>1.4531848581425395</v>
      </c>
      <c r="DE442">
        <v>37049223089.770882</v>
      </c>
      <c r="DF442">
        <v>7.7429752081632622E-2</v>
      </c>
      <c r="DG442">
        <v>0.87490410791409623</v>
      </c>
      <c r="DH442">
        <v>61537452519.638069</v>
      </c>
      <c r="DI442">
        <v>7.0390683710575108E-2</v>
      </c>
      <c r="DJ442">
        <v>0.45450870769326596</v>
      </c>
      <c r="DK442">
        <v>118456190362.65977</v>
      </c>
      <c r="DL442">
        <v>6.1591848246753213E-2</v>
      </c>
      <c r="DM442">
        <v>5830000000</v>
      </c>
      <c r="DN442">
        <v>8.7988354638218885E-2</v>
      </c>
      <c r="DO442">
        <v>53839370000</v>
      </c>
      <c r="DP442" t="e">
        <v>#VALUE!</v>
      </c>
      <c r="DQ442">
        <v>442</v>
      </c>
      <c r="DR442" t="e">
        <v>#VALUE!</v>
      </c>
      <c r="DS442">
        <v>1.9794670870155096</v>
      </c>
      <c r="DT442" t="e">
        <v>#VALUE!</v>
      </c>
      <c r="DU442" t="e">
        <v>#VALUE!</v>
      </c>
      <c r="DV442" t="e">
        <v>#VALUE!</v>
      </c>
      <c r="DW442">
        <v>-2.0758000000000001</v>
      </c>
      <c r="DX442">
        <v>0.50232406015037601</v>
      </c>
      <c r="DY442">
        <v>-2.0160941637593983</v>
      </c>
      <c r="DZ442">
        <v>0</v>
      </c>
      <c r="EA442">
        <v>-2.0160941637593983</v>
      </c>
      <c r="EB442">
        <v>2</v>
      </c>
      <c r="EC442">
        <v>1.0227877047003337E-2</v>
      </c>
      <c r="ED442">
        <v>4.8171069448085947E-2</v>
      </c>
      <c r="EE442">
        <v>0</v>
      </c>
      <c r="EF442">
        <v>0</v>
      </c>
      <c r="EG442">
        <v>29.212324060150376</v>
      </c>
      <c r="EH442" t="s">
        <v>110</v>
      </c>
      <c r="EI442">
        <v>0</v>
      </c>
      <c r="EJ442">
        <v>0</v>
      </c>
      <c r="EK442">
        <v>0</v>
      </c>
      <c r="EL442">
        <v>0</v>
      </c>
      <c r="EM442">
        <v>0</v>
      </c>
      <c r="EN442">
        <v>0</v>
      </c>
      <c r="EO442">
        <v>0</v>
      </c>
      <c r="EP442">
        <v>0</v>
      </c>
    </row>
    <row r="443" spans="1:146" ht="96" x14ac:dyDescent="0.25">
      <c r="A443" s="7"/>
      <c r="B443" s="7"/>
      <c r="C443" s="7" t="str">
        <f>""&amp;CHAR(10)&amp;Basic_Fundamental_Information_Constructure(F443)&amp;CHAR(10)&amp;Basic_Fundamental_Information_Concatenate("")</f>
        <v xml:space="preserve">
市值133.286123亿, 利润36.34亿; PE3.55; 平均PE17.04; 平均PEG1.67, PB.303; ROIC0%; ROE7.7233%; 股利率0%; 毛利0%; 净利31.7867%; 上一年度营收增-.38%, 利润增21.21%; 当季营收增9.64%, 利润增12.06%; 过往5年营收增10.22%, 利润增24.02%
Income profile:
</v>
      </c>
      <c r="D443" s="11">
        <v>3866</v>
      </c>
      <c r="E443" t="s">
        <v>5547</v>
      </c>
      <c r="F443">
        <v>2.29</v>
      </c>
      <c r="G443" s="5">
        <v>-1.29E-2</v>
      </c>
      <c r="H443" t="s">
        <v>11906</v>
      </c>
      <c r="I443">
        <v>13328612300</v>
      </c>
      <c r="J443">
        <v>3.55</v>
      </c>
      <c r="K443">
        <v>0.30299999999999999</v>
      </c>
      <c r="L443" t="s">
        <v>6350</v>
      </c>
      <c r="M443" t="s">
        <v>11907</v>
      </c>
      <c r="N443" t="s">
        <v>11908</v>
      </c>
      <c r="O443" t="s">
        <v>714</v>
      </c>
      <c r="P443" t="s">
        <v>9</v>
      </c>
      <c r="Q443" t="s">
        <v>2445</v>
      </c>
      <c r="R443">
        <v>3634340400</v>
      </c>
      <c r="S443" s="5">
        <v>0.1206</v>
      </c>
      <c r="T443" t="s">
        <v>6076</v>
      </c>
      <c r="U443">
        <v>2291945500</v>
      </c>
      <c r="V443">
        <v>5820354700</v>
      </c>
      <c r="W443">
        <v>15.3</v>
      </c>
      <c r="X443">
        <v>0</v>
      </c>
      <c r="Y443">
        <v>17.34</v>
      </c>
      <c r="Z443" t="s">
        <v>9</v>
      </c>
      <c r="AA443" t="s">
        <v>9</v>
      </c>
      <c r="AB443" t="s">
        <v>9</v>
      </c>
      <c r="AC443" t="s">
        <v>9</v>
      </c>
      <c r="AD443" t="s">
        <v>9</v>
      </c>
      <c r="AE443" t="s">
        <v>9</v>
      </c>
      <c r="AF443" t="s">
        <v>9</v>
      </c>
      <c r="AG443" t="s">
        <v>11909</v>
      </c>
      <c r="AH443" t="s">
        <v>11910</v>
      </c>
      <c r="AI443" t="s">
        <v>9</v>
      </c>
      <c r="AJ443" t="s">
        <v>9</v>
      </c>
      <c r="AK443" t="s">
        <v>11911</v>
      </c>
      <c r="AL443" t="s">
        <v>9</v>
      </c>
      <c r="AM443" t="s">
        <v>6068</v>
      </c>
      <c r="AN443" s="5">
        <v>0.93320000000000003</v>
      </c>
      <c r="AO443" t="s">
        <v>9</v>
      </c>
      <c r="AP443" t="s">
        <v>9</v>
      </c>
      <c r="AQ443" t="s">
        <v>9</v>
      </c>
      <c r="AR443" t="s">
        <v>9</v>
      </c>
      <c r="AS443" t="s">
        <v>9</v>
      </c>
      <c r="AT443" t="s">
        <v>9</v>
      </c>
      <c r="AU443" t="s">
        <v>4023</v>
      </c>
      <c r="AV443" t="s">
        <v>11912</v>
      </c>
      <c r="AW443" t="s">
        <v>2273</v>
      </c>
      <c r="AX443" t="s">
        <v>5548</v>
      </c>
      <c r="AY443" t="s">
        <v>807</v>
      </c>
      <c r="AZ443" t="s">
        <v>5550</v>
      </c>
      <c r="BA443" t="s">
        <v>5551</v>
      </c>
      <c r="BB443" t="s">
        <v>5552</v>
      </c>
      <c r="BC443" t="s">
        <v>5553</v>
      </c>
      <c r="BD443" t="s">
        <v>2228</v>
      </c>
      <c r="BE443" t="s">
        <v>5554</v>
      </c>
      <c r="BF443" t="s">
        <v>4768</v>
      </c>
      <c r="BG443" t="s">
        <v>5555</v>
      </c>
      <c r="BH443" t="s">
        <v>5548</v>
      </c>
      <c r="BI443" t="s">
        <v>870</v>
      </c>
      <c r="BJ443" t="s">
        <v>807</v>
      </c>
      <c r="BK443" t="s">
        <v>1399</v>
      </c>
      <c r="BL443" t="s">
        <v>3157</v>
      </c>
      <c r="BM443" t="s">
        <v>5553</v>
      </c>
      <c r="BN443" t="s">
        <v>9</v>
      </c>
      <c r="BO443" t="s">
        <v>9</v>
      </c>
      <c r="BP443" t="s">
        <v>9</v>
      </c>
      <c r="BQ443">
        <v>8.49</v>
      </c>
      <c r="BR443">
        <v>7.18</v>
      </c>
      <c r="BS443">
        <v>7.5</v>
      </c>
      <c r="BT443" t="s">
        <v>5556</v>
      </c>
      <c r="BU443" t="s">
        <v>422</v>
      </c>
      <c r="BV443" t="s">
        <v>9</v>
      </c>
      <c r="BW443" t="s">
        <v>9</v>
      </c>
      <c r="BX443" t="s">
        <v>9</v>
      </c>
      <c r="BY443">
        <v>33.81</v>
      </c>
      <c r="BZ443">
        <v>29.9</v>
      </c>
      <c r="CA443">
        <v>31.65</v>
      </c>
      <c r="CB443">
        <v>0</v>
      </c>
      <c r="CC443">
        <v>0.7</v>
      </c>
      <c r="CD443" t="s">
        <v>11913</v>
      </c>
      <c r="CE443" t="s">
        <v>11914</v>
      </c>
      <c r="CF443" s="8">
        <v>9.636427815037063E-2</v>
      </c>
      <c r="CG443" s="9">
        <v>0.1206</v>
      </c>
      <c r="CH443" s="8">
        <v>-3.8497054483741522E-3</v>
      </c>
      <c r="CI443" s="8">
        <v>3.177618607878685E-2</v>
      </c>
      <c r="CJ443" s="8">
        <v>4.483935609459877E-2</v>
      </c>
      <c r="CK443" s="8">
        <v>0.32172673940658569</v>
      </c>
      <c r="CL443" s="8">
        <v>0.27932876348495483</v>
      </c>
      <c r="CM443" s="9">
        <v>0.21214142441749573</v>
      </c>
      <c r="CN443" s="9">
        <v>0.32596206665039063</v>
      </c>
      <c r="CO443" s="9">
        <v>-0.11437524855136871</v>
      </c>
      <c r="CP443" s="9">
        <v>0.10807289183139801</v>
      </c>
      <c r="CQ443" s="9">
        <v>1.1413463391363621E-2</v>
      </c>
      <c r="CR443">
        <v>17.036999105240731</v>
      </c>
      <c r="CS443">
        <v>1.6663294713979462</v>
      </c>
      <c r="CT443">
        <v>0</v>
      </c>
      <c r="CU443" s="8">
        <v>0.102242680080235</v>
      </c>
      <c r="CV443" s="9">
        <v>0.24023521244525908</v>
      </c>
      <c r="CW443">
        <v>0.06</v>
      </c>
      <c r="CX443">
        <v>157.5995967821386</v>
      </c>
      <c r="CY443">
        <v>3778820659.8222399</v>
      </c>
      <c r="CZ443">
        <v>0.102242680080235</v>
      </c>
      <c r="DA443">
        <v>50.971655456967333</v>
      </c>
      <c r="DB443">
        <v>11683760453.94059</v>
      </c>
      <c r="DC443">
        <v>9.7130546076223248E-2</v>
      </c>
      <c r="DD443">
        <v>24.745573921742555</v>
      </c>
      <c r="DE443">
        <v>24066550817.668922</v>
      </c>
      <c r="DF443">
        <v>8.9973558470606799E-2</v>
      </c>
      <c r="DG443">
        <v>14.627546988092929</v>
      </c>
      <c r="DH443">
        <v>40713635224.332565</v>
      </c>
      <c r="DI443">
        <v>8.1794144064188001E-2</v>
      </c>
      <c r="DJ443">
        <v>7.2969653746725109</v>
      </c>
      <c r="DK443">
        <v>81614833252.066513</v>
      </c>
      <c r="DL443">
        <v>7.1569876056164494E-2</v>
      </c>
      <c r="DM443">
        <v>3634000000.0000005</v>
      </c>
      <c r="DN443">
        <v>0.102242680080235</v>
      </c>
      <c r="DO443">
        <v>595540612300</v>
      </c>
      <c r="DP443" t="e">
        <v>#VALUE!</v>
      </c>
      <c r="DQ443">
        <v>443</v>
      </c>
      <c r="DR443">
        <v>-5.8784019298643714E-3</v>
      </c>
      <c r="DS443">
        <v>-0.11963521244525908</v>
      </c>
      <c r="DT443">
        <v>-0.17333333333333334</v>
      </c>
      <c r="DU443">
        <v>0.76666666666666661</v>
      </c>
      <c r="DV443">
        <v>0.59333333333333327</v>
      </c>
      <c r="DW443">
        <v>6.9999999999999993E-3</v>
      </c>
      <c r="DX443">
        <v>0.29345935623909442</v>
      </c>
      <c r="DY443">
        <v>6.5421549367366833E-4</v>
      </c>
      <c r="DZ443">
        <v>0</v>
      </c>
      <c r="EA443">
        <v>6.5421549367366833E-4</v>
      </c>
      <c r="EB443">
        <v>0</v>
      </c>
      <c r="EC443">
        <v>1.1688291093324605E-3</v>
      </c>
      <c r="ED443">
        <v>1.2506282477939017E-2</v>
      </c>
      <c r="EE443">
        <v>0</v>
      </c>
      <c r="EF443">
        <v>0</v>
      </c>
      <c r="EG443">
        <v>20.093459356239094</v>
      </c>
      <c r="EH443" t="s">
        <v>110</v>
      </c>
      <c r="EI443">
        <v>0</v>
      </c>
      <c r="EJ443">
        <v>0</v>
      </c>
      <c r="EK443">
        <v>0</v>
      </c>
      <c r="EL443">
        <v>0</v>
      </c>
      <c r="EM443">
        <v>0</v>
      </c>
      <c r="EN443">
        <v>0</v>
      </c>
      <c r="EO443">
        <v>0</v>
      </c>
      <c r="EP443">
        <v>0</v>
      </c>
    </row>
    <row r="444" spans="1:146" ht="96" x14ac:dyDescent="0.25">
      <c r="A444" s="7"/>
      <c r="B444" s="7"/>
      <c r="C444" s="7" t="str">
        <f>""&amp;CHAR(10)&amp;Basic_Fundamental_Information_Constructure(F444)&amp;CHAR(10)&amp;Basic_Fundamental_Information_Concatenate("")</f>
        <v xml:space="preserve">
市值83.391545亿, 利润9.93亿; PE8.4; 平均PE28.85; 平均PEG2.37, PB.627; ROIC6.3433%; ROE8.52%; 股利率0%; 毛利70.53%; 净利45.1167%; 上一年度营收增8.73%, 利润增-19.4%, 利润增2.22%; 过往5年营收增12.2%, 利润增15.4%
Income profile:
</v>
      </c>
      <c r="D444" s="11">
        <v>3868</v>
      </c>
      <c r="E444" t="s">
        <v>5557</v>
      </c>
      <c r="F444">
        <v>1.01</v>
      </c>
      <c r="G444" s="5">
        <v>-1.9400000000000001E-2</v>
      </c>
      <c r="H444" t="s">
        <v>11915</v>
      </c>
      <c r="I444">
        <v>8339154500</v>
      </c>
      <c r="J444">
        <v>8.4</v>
      </c>
      <c r="K444">
        <v>0.627</v>
      </c>
      <c r="L444" t="s">
        <v>6350</v>
      </c>
      <c r="M444" t="s">
        <v>9</v>
      </c>
      <c r="N444" t="s">
        <v>9</v>
      </c>
      <c r="O444" t="s">
        <v>9</v>
      </c>
      <c r="P444" t="s">
        <v>9</v>
      </c>
      <c r="Q444" t="s">
        <v>11916</v>
      </c>
      <c r="R444">
        <v>992987000</v>
      </c>
      <c r="S444" s="5">
        <v>2.2200000000000001E-2</v>
      </c>
      <c r="T444" t="s">
        <v>10328</v>
      </c>
      <c r="U444">
        <v>8256588700</v>
      </c>
      <c r="V444">
        <v>8256588700</v>
      </c>
      <c r="W444" t="s">
        <v>9</v>
      </c>
      <c r="X444" t="s">
        <v>9</v>
      </c>
      <c r="Y444" t="s">
        <v>9</v>
      </c>
      <c r="Z444" t="s">
        <v>9</v>
      </c>
      <c r="AA444" t="s">
        <v>9</v>
      </c>
      <c r="AB444" t="s">
        <v>9</v>
      </c>
      <c r="AC444" t="s">
        <v>9</v>
      </c>
      <c r="AD444" t="s">
        <v>9</v>
      </c>
      <c r="AE444" t="s">
        <v>9</v>
      </c>
      <c r="AF444" t="s">
        <v>9</v>
      </c>
      <c r="AG444" t="s">
        <v>9</v>
      </c>
      <c r="AH444" t="s">
        <v>11917</v>
      </c>
      <c r="AI444" t="s">
        <v>9</v>
      </c>
      <c r="AJ444" t="s">
        <v>9</v>
      </c>
      <c r="AK444" t="s">
        <v>11918</v>
      </c>
      <c r="AL444" t="s">
        <v>9</v>
      </c>
      <c r="AM444" t="s">
        <v>9</v>
      </c>
      <c r="AN444" s="5">
        <v>0.37030000000000002</v>
      </c>
      <c r="AO444" t="s">
        <v>9</v>
      </c>
      <c r="AP444" t="s">
        <v>9</v>
      </c>
      <c r="AQ444" t="s">
        <v>9</v>
      </c>
      <c r="AR444" t="s">
        <v>10265</v>
      </c>
      <c r="AS444" t="s">
        <v>9</v>
      </c>
      <c r="AT444" t="s">
        <v>9</v>
      </c>
      <c r="AU444" t="s">
        <v>6464</v>
      </c>
      <c r="AV444" t="s">
        <v>11919</v>
      </c>
      <c r="AW444" t="s">
        <v>9</v>
      </c>
      <c r="AX444" t="s">
        <v>1448</v>
      </c>
      <c r="AY444" t="s">
        <v>5560</v>
      </c>
      <c r="AZ444" t="s">
        <v>5561</v>
      </c>
      <c r="BA444" t="s">
        <v>2464</v>
      </c>
      <c r="BB444" t="s">
        <v>4459</v>
      </c>
      <c r="BC444" t="s">
        <v>1756</v>
      </c>
      <c r="BD444" t="s">
        <v>221</v>
      </c>
      <c r="BE444" t="s">
        <v>733</v>
      </c>
      <c r="BF444" t="s">
        <v>2402</v>
      </c>
      <c r="BG444" t="s">
        <v>1742</v>
      </c>
      <c r="BH444" t="s">
        <v>1448</v>
      </c>
      <c r="BI444" t="s">
        <v>9</v>
      </c>
      <c r="BJ444" t="s">
        <v>5560</v>
      </c>
      <c r="BK444" t="s">
        <v>5558</v>
      </c>
      <c r="BL444" t="s">
        <v>9</v>
      </c>
      <c r="BM444" t="s">
        <v>1756</v>
      </c>
      <c r="BN444">
        <v>5.47</v>
      </c>
      <c r="BO444">
        <v>5.69</v>
      </c>
      <c r="BP444">
        <v>7.87</v>
      </c>
      <c r="BQ444">
        <v>7.47</v>
      </c>
      <c r="BR444">
        <v>8.27</v>
      </c>
      <c r="BS444">
        <v>9.82</v>
      </c>
      <c r="BT444" t="s">
        <v>11920</v>
      </c>
      <c r="BU444" t="s">
        <v>392</v>
      </c>
      <c r="BV444">
        <v>67.89</v>
      </c>
      <c r="BW444">
        <v>70.58</v>
      </c>
      <c r="BX444">
        <v>73.12</v>
      </c>
      <c r="BY444">
        <v>39.51</v>
      </c>
      <c r="BZ444">
        <v>42.07</v>
      </c>
      <c r="CA444">
        <v>53.77</v>
      </c>
      <c r="CB444">
        <v>-8.18</v>
      </c>
      <c r="CC444">
        <v>-12.48</v>
      </c>
      <c r="CD444" t="s">
        <v>11921</v>
      </c>
      <c r="CE444" t="s">
        <v>2288</v>
      </c>
      <c r="CF444" s="8" t="s">
        <v>9</v>
      </c>
      <c r="CG444" s="9">
        <v>2.2200000000000001E-2</v>
      </c>
      <c r="CH444" s="8">
        <v>8.7256960570812225E-2</v>
      </c>
      <c r="CI444" s="8">
        <v>7.836364209651947E-3</v>
      </c>
      <c r="CJ444" s="8">
        <v>0.33391401171684265</v>
      </c>
      <c r="CK444" s="8">
        <v>0.43380522727966309</v>
      </c>
      <c r="CL444" s="8">
        <v>7.6164819300174713E-2</v>
      </c>
      <c r="CM444" s="9">
        <v>-0.19399350881576538</v>
      </c>
      <c r="CN444" s="9">
        <v>0.33622559905052185</v>
      </c>
      <c r="CO444" s="9">
        <v>3.4792367368936539E-2</v>
      </c>
      <c r="CP444" s="9">
        <v>0.2024291455745697</v>
      </c>
      <c r="CQ444" s="9">
        <v>2.916666679084301E-2</v>
      </c>
      <c r="CR444">
        <v>28.84858102366573</v>
      </c>
      <c r="CS444">
        <v>2.365215309080011</v>
      </c>
      <c r="CT444">
        <v>0</v>
      </c>
      <c r="CU444" s="8">
        <v>0.12197021096944809</v>
      </c>
      <c r="CV444" s="9">
        <v>0.15400821268558501</v>
      </c>
      <c r="CW444">
        <v>0.06</v>
      </c>
      <c r="CX444">
        <v>7.9340934352491361</v>
      </c>
      <c r="CY444">
        <v>1051053225.9364734</v>
      </c>
      <c r="CZ444">
        <v>0.12197021096944809</v>
      </c>
      <c r="DA444">
        <v>2.5237877757353888</v>
      </c>
      <c r="DB444">
        <v>3304221765.4652491</v>
      </c>
      <c r="DC444">
        <v>0.11587170042097568</v>
      </c>
      <c r="DD444">
        <v>1.1978683774947145</v>
      </c>
      <c r="DE444">
        <v>6961661779.1020994</v>
      </c>
      <c r="DF444">
        <v>0.10733378565311431</v>
      </c>
      <c r="DG444">
        <v>0.68991028919477826</v>
      </c>
      <c r="DH444">
        <v>12087302698.055075</v>
      </c>
      <c r="DI444">
        <v>9.7576168775558469E-2</v>
      </c>
      <c r="DJ444">
        <v>0.32449981879037021</v>
      </c>
      <c r="DK444">
        <v>25698487386.173759</v>
      </c>
      <c r="DL444">
        <v>8.5379147678613654E-2</v>
      </c>
      <c r="DM444">
        <v>993000000</v>
      </c>
      <c r="DN444">
        <v>0.12197021096944809</v>
      </c>
      <c r="DO444">
        <v>8339154500</v>
      </c>
      <c r="DP444" t="e">
        <v>#VALUE!</v>
      </c>
      <c r="DQ444">
        <v>444</v>
      </c>
      <c r="DR444" t="e">
        <v>#VALUE!</v>
      </c>
      <c r="DS444">
        <v>-0.13180821268558501</v>
      </c>
      <c r="DT444" t="e">
        <v>#VALUE!</v>
      </c>
      <c r="DU444" t="e">
        <v>#VALUE!</v>
      </c>
      <c r="DV444" t="e">
        <v>#VALUE!</v>
      </c>
      <c r="DW444">
        <v>-9.6554487179487172</v>
      </c>
      <c r="DX444">
        <v>0.32370448343079944</v>
      </c>
      <c r="DY444">
        <v>-9.0810819450692257</v>
      </c>
      <c r="DZ444">
        <v>0</v>
      </c>
      <c r="EA444">
        <v>-9.0810819450692257</v>
      </c>
      <c r="EB444">
        <v>9</v>
      </c>
      <c r="EC444">
        <v>7.6860313993841068E-3</v>
      </c>
      <c r="ED444">
        <v>6.2132197526079992E-2</v>
      </c>
      <c r="EE444">
        <v>0</v>
      </c>
      <c r="EF444">
        <v>0</v>
      </c>
      <c r="EG444">
        <v>20.123704483430799</v>
      </c>
      <c r="EH444" t="s">
        <v>110</v>
      </c>
      <c r="EI444">
        <v>0</v>
      </c>
      <c r="EJ444">
        <v>0</v>
      </c>
      <c r="EK444">
        <v>0</v>
      </c>
      <c r="EL444">
        <v>0</v>
      </c>
      <c r="EM444">
        <v>0</v>
      </c>
      <c r="EN444">
        <v>0</v>
      </c>
      <c r="EO444">
        <v>0</v>
      </c>
      <c r="EP444">
        <v>0</v>
      </c>
    </row>
    <row r="445" spans="1:146" ht="108" x14ac:dyDescent="0.25">
      <c r="A445" s="7"/>
      <c r="B445" s="7"/>
      <c r="C445" s="7" t="str">
        <f>""&amp;CHAR(10)&amp;Basic_Fundamental_Information_Constructure(F445)&amp;CHAR(10)&amp;Basic_Fundamental_Information_Concatenate("")</f>
        <v xml:space="preserve">
市值298.37121亿, 利润-68.23亿; PE133.9; 平均PE77.53; 平均PEG28.39, PB1.3; ROIC7.1867%; ROE3.7733%; 股利率0%; 毛利83.4367%; 净利27.93%; 上一年度营收增10.42%, 利润增-1509.71%; 当季营收增-1.44%, 利润增81.63%; 过往5年营收增2.73%, 利润增-4.41%
Income profile:
</v>
      </c>
      <c r="D445" s="11">
        <v>3888</v>
      </c>
      <c r="E445" t="s">
        <v>5562</v>
      </c>
      <c r="F445">
        <v>21.85</v>
      </c>
      <c r="G445" s="5">
        <v>2.3400000000000001E-2</v>
      </c>
      <c r="H445" t="s">
        <v>6489</v>
      </c>
      <c r="I445">
        <v>29837121000</v>
      </c>
      <c r="J445">
        <v>133.9</v>
      </c>
      <c r="K445">
        <v>1.3</v>
      </c>
      <c r="L445" t="s">
        <v>6350</v>
      </c>
      <c r="M445" t="s">
        <v>5563</v>
      </c>
      <c r="N445" t="s">
        <v>5564</v>
      </c>
      <c r="O445" t="s">
        <v>4340</v>
      </c>
      <c r="P445">
        <v>6.33</v>
      </c>
      <c r="Q445" t="s">
        <v>5565</v>
      </c>
      <c r="R445">
        <v>219838430</v>
      </c>
      <c r="S445" s="5">
        <v>0.81630000000000003</v>
      </c>
      <c r="T445" t="s">
        <v>5566</v>
      </c>
      <c r="U445">
        <v>1362895700</v>
      </c>
      <c r="V445">
        <v>1362895700</v>
      </c>
      <c r="W445">
        <v>1.61</v>
      </c>
      <c r="X445">
        <v>0.06</v>
      </c>
      <c r="Y445">
        <v>30.37</v>
      </c>
      <c r="Z445" t="s">
        <v>5567</v>
      </c>
      <c r="AA445" t="s">
        <v>3138</v>
      </c>
      <c r="AB445" t="s">
        <v>3144</v>
      </c>
      <c r="AC445" t="s">
        <v>2902</v>
      </c>
      <c r="AD445" t="s">
        <v>1776</v>
      </c>
      <c r="AE445" t="s">
        <v>5568</v>
      </c>
      <c r="AF445" t="s">
        <v>9</v>
      </c>
      <c r="AG445" t="s">
        <v>2232</v>
      </c>
      <c r="AH445" t="s">
        <v>5569</v>
      </c>
      <c r="AI445" t="s">
        <v>5570</v>
      </c>
      <c r="AJ445" t="s">
        <v>3340</v>
      </c>
      <c r="AK445" t="s">
        <v>5571</v>
      </c>
      <c r="AL445" t="s">
        <v>9</v>
      </c>
      <c r="AM445" t="s">
        <v>3353</v>
      </c>
      <c r="AN445" s="5">
        <v>0.2344</v>
      </c>
      <c r="AO445" t="s">
        <v>9</v>
      </c>
      <c r="AP445" t="s">
        <v>2879</v>
      </c>
      <c r="AQ445" t="s">
        <v>1268</v>
      </c>
      <c r="AR445" t="s">
        <v>5572</v>
      </c>
      <c r="AS445" t="s">
        <v>5573</v>
      </c>
      <c r="AT445" t="s">
        <v>5574</v>
      </c>
      <c r="AU445" t="s">
        <v>5575</v>
      </c>
      <c r="AV445" t="s">
        <v>3608</v>
      </c>
      <c r="AW445" t="s">
        <v>5576</v>
      </c>
      <c r="AX445" t="s">
        <v>5577</v>
      </c>
      <c r="AY445" t="s">
        <v>4356</v>
      </c>
      <c r="AZ445" t="s">
        <v>5578</v>
      </c>
      <c r="BA445" t="s">
        <v>1081</v>
      </c>
      <c r="BB445" t="s">
        <v>5579</v>
      </c>
      <c r="BC445" t="s">
        <v>2786</v>
      </c>
      <c r="BD445" t="s">
        <v>5580</v>
      </c>
      <c r="BE445" t="s">
        <v>5581</v>
      </c>
      <c r="BF445" t="s">
        <v>1539</v>
      </c>
      <c r="BG445" t="s">
        <v>1778</v>
      </c>
      <c r="BH445" t="s">
        <v>5565</v>
      </c>
      <c r="BI445" t="s">
        <v>5582</v>
      </c>
      <c r="BJ445" t="s">
        <v>5577</v>
      </c>
      <c r="BK445" t="s">
        <v>5566</v>
      </c>
      <c r="BL445" t="s">
        <v>22</v>
      </c>
      <c r="BM445" t="s">
        <v>2786</v>
      </c>
      <c r="BN445">
        <v>-24.62</v>
      </c>
      <c r="BO445">
        <v>1.47</v>
      </c>
      <c r="BP445">
        <v>44.71</v>
      </c>
      <c r="BQ445">
        <v>-31.01</v>
      </c>
      <c r="BR445">
        <v>1.6</v>
      </c>
      <c r="BS445">
        <v>40.729999999999997</v>
      </c>
      <c r="BT445" t="s">
        <v>69</v>
      </c>
      <c r="BU445" t="s">
        <v>551</v>
      </c>
      <c r="BV445">
        <v>80.89</v>
      </c>
      <c r="BW445">
        <v>81.84</v>
      </c>
      <c r="BX445">
        <v>87.58</v>
      </c>
      <c r="BY445">
        <v>-69.94</v>
      </c>
      <c r="BZ445">
        <v>14.96</v>
      </c>
      <c r="CA445">
        <v>138.77000000000001</v>
      </c>
      <c r="CB445">
        <v>-0.46</v>
      </c>
      <c r="CC445">
        <v>1.63</v>
      </c>
      <c r="CD445" t="s">
        <v>6490</v>
      </c>
      <c r="CE445" t="s">
        <v>1857</v>
      </c>
      <c r="CF445" s="8">
        <v>-1.4442013129102845E-2</v>
      </c>
      <c r="CG445" s="9">
        <v>0.81630000000000003</v>
      </c>
      <c r="CH445" s="8">
        <v>0.10420407354831696</v>
      </c>
      <c r="CI445" s="8">
        <v>-0.11330830305814743</v>
      </c>
      <c r="CJ445" s="8">
        <v>-4.1920781135559082E-2</v>
      </c>
      <c r="CK445" s="8">
        <v>0.36565050482749939</v>
      </c>
      <c r="CL445" s="8">
        <v>8.2582175731658936E-2</v>
      </c>
      <c r="CM445" s="9">
        <v>-15.09710693359375</v>
      </c>
      <c r="CN445" s="9">
        <v>-0.95957571268081665</v>
      </c>
      <c r="CO445" s="9">
        <v>7.9288196563720703</v>
      </c>
      <c r="CP445" s="9">
        <v>-4.9006772041320801</v>
      </c>
      <c r="CQ445" s="9">
        <v>-0.88460534811019897</v>
      </c>
      <c r="CR445">
        <v>77.532579471632744</v>
      </c>
      <c r="CS445">
        <v>28.387950096394221</v>
      </c>
      <c r="CT445">
        <v>0</v>
      </c>
      <c r="CU445" s="8">
        <v>2.7311792224645616E-2</v>
      </c>
      <c r="CV445" s="9">
        <v>-4.4126440957188609E-2</v>
      </c>
      <c r="CW445">
        <v>0.06</v>
      </c>
      <c r="CX445" t="e">
        <v>#VALUE!</v>
      </c>
      <c r="CY445" t="s">
        <v>108</v>
      </c>
      <c r="CZ445">
        <v>2.7311792224645616E-2</v>
      </c>
      <c r="DA445" t="e">
        <v>#VALUE!</v>
      </c>
      <c r="DB445" t="s">
        <v>108</v>
      </c>
      <c r="DC445">
        <v>2.5946202613413336E-2</v>
      </c>
      <c r="DD445" t="e">
        <v>#VALUE!</v>
      </c>
      <c r="DE445" t="s">
        <v>108</v>
      </c>
      <c r="DF445">
        <v>2.4034377157688143E-2</v>
      </c>
      <c r="DG445" t="e">
        <v>#VALUE!</v>
      </c>
      <c r="DH445" t="s">
        <v>108</v>
      </c>
      <c r="DI445">
        <v>2.1849433779716494E-2</v>
      </c>
      <c r="DJ445" t="e">
        <v>#VALUE!</v>
      </c>
      <c r="DK445" t="s">
        <v>108</v>
      </c>
      <c r="DL445">
        <v>1.911825455725193E-2</v>
      </c>
      <c r="DM445">
        <v>-6823000000</v>
      </c>
      <c r="DN445">
        <v>2.7311792224645616E-2</v>
      </c>
      <c r="DO445">
        <v>10517121000</v>
      </c>
      <c r="DP445" t="e">
        <v>#VALUE!</v>
      </c>
      <c r="DQ445">
        <v>452</v>
      </c>
      <c r="DR445">
        <v>-4.1753805353748459E-2</v>
      </c>
      <c r="DS445">
        <v>0.86042644095718868</v>
      </c>
      <c r="DT445">
        <v>-0.44</v>
      </c>
      <c r="DU445">
        <v>-0.53333333333333333</v>
      </c>
      <c r="DV445">
        <v>-0.97333333333333338</v>
      </c>
      <c r="DW445">
        <v>1.6299999999999999E-2</v>
      </c>
      <c r="DX445">
        <v>0.47836906077347779</v>
      </c>
      <c r="DY445">
        <v>2.2554156906077344E-3</v>
      </c>
      <c r="DZ445">
        <v>0</v>
      </c>
      <c r="EA445">
        <v>2.2554156906077344E-3</v>
      </c>
      <c r="EB445">
        <v>0</v>
      </c>
      <c r="EC445">
        <v>1.8376167743430403E-2</v>
      </c>
      <c r="ED445">
        <v>0.13280546706545482</v>
      </c>
      <c r="EE445">
        <v>0</v>
      </c>
      <c r="EF445">
        <v>0</v>
      </c>
      <c r="EG445">
        <v>34.138369060773478</v>
      </c>
      <c r="EH445" t="s">
        <v>110</v>
      </c>
      <c r="EI445">
        <v>0</v>
      </c>
      <c r="EJ445">
        <v>0</v>
      </c>
      <c r="EK445">
        <v>0</v>
      </c>
      <c r="EL445">
        <v>0</v>
      </c>
      <c r="EM445">
        <v>0</v>
      </c>
      <c r="EN445">
        <v>0</v>
      </c>
      <c r="EO445">
        <v>0</v>
      </c>
      <c r="EP445">
        <v>0</v>
      </c>
    </row>
    <row r="446" spans="1:146" ht="84" x14ac:dyDescent="0.25">
      <c r="A446" s="7"/>
      <c r="B446" s="7"/>
      <c r="C446" s="7" t="str">
        <f>""&amp;CHAR(10)&amp;Basic_Fundamental_Information_Constructure(F446)&amp;CHAR(10)&amp;Basic_Fundamental_Information_Concatenate("")</f>
        <v xml:space="preserve">
市值51.751873亿, 利润--; PE; 平均PE52.07; 平均PEG2.47, PB.72; ROIC0%; ROE0%; 股利率0%; 毛利0%; 净利0%, 利润增20.44%; 过往5年营收增21.08%, 利润增19.78%
Income profile:
</v>
      </c>
      <c r="D446" s="11">
        <v>3896</v>
      </c>
      <c r="E446" t="s">
        <v>5583</v>
      </c>
      <c r="F446">
        <v>1.36</v>
      </c>
      <c r="G446" s="5">
        <v>-2.86E-2</v>
      </c>
      <c r="H446" t="s">
        <v>11922</v>
      </c>
      <c r="I446">
        <v>5175187300</v>
      </c>
      <c r="K446">
        <v>0.72</v>
      </c>
      <c r="L446" t="s">
        <v>6350</v>
      </c>
      <c r="M446" t="s">
        <v>9</v>
      </c>
      <c r="N446" t="s">
        <v>9</v>
      </c>
      <c r="O446" t="s">
        <v>9</v>
      </c>
      <c r="P446" t="s">
        <v>9</v>
      </c>
      <c r="Q446" t="s">
        <v>9</v>
      </c>
      <c r="R446">
        <v>-2385703900</v>
      </c>
      <c r="S446" s="5">
        <v>0.2044</v>
      </c>
      <c r="T446" t="s">
        <v>9</v>
      </c>
      <c r="U446">
        <v>3805284800</v>
      </c>
      <c r="V446">
        <v>3805284800</v>
      </c>
      <c r="W446" t="s">
        <v>9</v>
      </c>
      <c r="X446" t="s">
        <v>9</v>
      </c>
      <c r="Y446" t="s">
        <v>9</v>
      </c>
      <c r="Z446" t="s">
        <v>9</v>
      </c>
      <c r="AA446" t="s">
        <v>9</v>
      </c>
      <c r="AB446" t="s">
        <v>9</v>
      </c>
      <c r="AC446" t="s">
        <v>9</v>
      </c>
      <c r="AD446" t="s">
        <v>9</v>
      </c>
      <c r="AE446" t="s">
        <v>9</v>
      </c>
      <c r="AF446" t="s">
        <v>9</v>
      </c>
      <c r="AG446" t="s">
        <v>9</v>
      </c>
      <c r="AH446" t="s">
        <v>11923</v>
      </c>
      <c r="AI446" t="s">
        <v>9</v>
      </c>
      <c r="AJ446" t="s">
        <v>9</v>
      </c>
      <c r="AK446" t="s">
        <v>11924</v>
      </c>
      <c r="AL446" t="s">
        <v>9</v>
      </c>
      <c r="AM446" t="s">
        <v>9</v>
      </c>
      <c r="AN446" s="5">
        <v>0.51919999999999999</v>
      </c>
      <c r="AO446" t="s">
        <v>9</v>
      </c>
      <c r="AP446" t="s">
        <v>9</v>
      </c>
      <c r="AQ446" t="s">
        <v>9</v>
      </c>
      <c r="AR446" t="s">
        <v>9</v>
      </c>
      <c r="AS446" t="s">
        <v>9</v>
      </c>
      <c r="AT446" t="s">
        <v>9</v>
      </c>
      <c r="AU446" t="s">
        <v>9</v>
      </c>
      <c r="AV446" t="s">
        <v>9</v>
      </c>
      <c r="AW446" t="s">
        <v>9</v>
      </c>
      <c r="AX446" t="s">
        <v>9</v>
      </c>
      <c r="AY446" t="s">
        <v>9</v>
      </c>
      <c r="AZ446" t="s">
        <v>9</v>
      </c>
      <c r="BA446" t="s">
        <v>9</v>
      </c>
      <c r="BB446" t="s">
        <v>9</v>
      </c>
      <c r="BC446" t="s">
        <v>9</v>
      </c>
      <c r="BD446" t="s">
        <v>9</v>
      </c>
      <c r="BE446" t="s">
        <v>9</v>
      </c>
      <c r="BF446" t="s">
        <v>9</v>
      </c>
      <c r="BG446" t="s">
        <v>9</v>
      </c>
      <c r="BH446" t="s">
        <v>9</v>
      </c>
      <c r="BI446" t="s">
        <v>9</v>
      </c>
      <c r="BJ446" t="s">
        <v>9</v>
      </c>
      <c r="BK446" t="s">
        <v>9</v>
      </c>
      <c r="BL446" t="s">
        <v>9</v>
      </c>
      <c r="BM446" t="s">
        <v>9</v>
      </c>
      <c r="BN446" t="s">
        <v>9</v>
      </c>
      <c r="BO446" t="s">
        <v>9</v>
      </c>
      <c r="BP446" t="s">
        <v>9</v>
      </c>
      <c r="BQ446" t="s">
        <v>9</v>
      </c>
      <c r="BR446" t="s">
        <v>9</v>
      </c>
      <c r="BS446" t="s">
        <v>9</v>
      </c>
      <c r="BT446" t="s">
        <v>9</v>
      </c>
      <c r="BU446" t="s">
        <v>9</v>
      </c>
      <c r="BV446" t="s">
        <v>9</v>
      </c>
      <c r="BW446" t="s">
        <v>9</v>
      </c>
      <c r="BX446" t="s">
        <v>9</v>
      </c>
      <c r="BY446" t="s">
        <v>9</v>
      </c>
      <c r="BZ446" t="s">
        <v>9</v>
      </c>
      <c r="CA446" t="s">
        <v>9</v>
      </c>
      <c r="CB446">
        <v>-5.56</v>
      </c>
      <c r="CC446">
        <v>-23.6</v>
      </c>
      <c r="CD446" t="s">
        <v>11925</v>
      </c>
      <c r="CE446" t="s">
        <v>2538</v>
      </c>
      <c r="CF446" s="8" t="s">
        <v>9</v>
      </c>
      <c r="CG446" s="9">
        <v>0.2044</v>
      </c>
      <c r="CH446" s="8" t="s">
        <v>9</v>
      </c>
      <c r="CI446" s="8" t="s">
        <v>9</v>
      </c>
      <c r="CJ446" s="8" t="s">
        <v>9</v>
      </c>
      <c r="CK446" s="8" t="s">
        <v>9</v>
      </c>
      <c r="CL446" s="8" t="s">
        <v>9</v>
      </c>
      <c r="CM446" s="9" t="s">
        <v>9</v>
      </c>
      <c r="CN446" s="9" t="s">
        <v>9</v>
      </c>
      <c r="CO446" s="9" t="s">
        <v>9</v>
      </c>
      <c r="CP446" s="9" t="s">
        <v>9</v>
      </c>
      <c r="CQ446" s="9" t="s">
        <v>9</v>
      </c>
      <c r="CR446">
        <v>52.071498270685119</v>
      </c>
      <c r="CS446">
        <v>2.4703696795609842</v>
      </c>
      <c r="CT446">
        <v>0</v>
      </c>
      <c r="CU446" s="8">
        <v>0.21078423485159875</v>
      </c>
      <c r="CV446" s="9">
        <v>0.19778579473495483</v>
      </c>
      <c r="CW446">
        <v>0.06</v>
      </c>
      <c r="CX446" t="e">
        <v>#DIV/0!</v>
      </c>
      <c r="CY446">
        <v>0</v>
      </c>
      <c r="CZ446">
        <v>0.21078423485159875</v>
      </c>
      <c r="DA446" t="e">
        <v>#DIV/0!</v>
      </c>
      <c r="DB446">
        <v>0</v>
      </c>
      <c r="DC446">
        <v>0.20024502310901882</v>
      </c>
      <c r="DD446" t="e">
        <v>#DIV/0!</v>
      </c>
      <c r="DE446">
        <v>0</v>
      </c>
      <c r="DF446">
        <v>0.1854901266694069</v>
      </c>
      <c r="DG446" t="e">
        <v>#DIV/0!</v>
      </c>
      <c r="DH446">
        <v>0</v>
      </c>
      <c r="DI446">
        <v>0.16862738788127901</v>
      </c>
      <c r="DJ446" t="e">
        <v>#DIV/0!</v>
      </c>
      <c r="DK446">
        <v>0</v>
      </c>
      <c r="DL446">
        <v>0.14754896439611911</v>
      </c>
      <c r="DM446">
        <v>0</v>
      </c>
      <c r="DN446">
        <v>0.21078423485159875</v>
      </c>
      <c r="DO446">
        <v>5175187300</v>
      </c>
      <c r="DP446" t="e">
        <v>#VALUE!</v>
      </c>
      <c r="DQ446">
        <v>446</v>
      </c>
      <c r="DR446" t="e">
        <v>#VALUE!</v>
      </c>
      <c r="DS446">
        <v>6.6142052650451644E-3</v>
      </c>
      <c r="DT446" t="e">
        <v>#VALUE!</v>
      </c>
      <c r="DU446" t="e">
        <v>#VALUE!</v>
      </c>
      <c r="DV446" t="e">
        <v>#VALUE!</v>
      </c>
      <c r="DW446">
        <v>-8.2355932203389823</v>
      </c>
      <c r="DX446">
        <v>0.27596420581655423</v>
      </c>
      <c r="DY446">
        <v>-8.0343881773025441</v>
      </c>
      <c r="DZ446">
        <v>0</v>
      </c>
      <c r="EA446">
        <v>-8.0343881773025441</v>
      </c>
      <c r="EB446">
        <v>8</v>
      </c>
      <c r="EC446">
        <v>1.7146154211637458E-2</v>
      </c>
      <c r="ED446">
        <v>0.11746821157775103</v>
      </c>
      <c r="EE446">
        <v>0</v>
      </c>
      <c r="EF446">
        <v>0</v>
      </c>
      <c r="EG446">
        <v>13.145964205816554</v>
      </c>
      <c r="EH446" t="s">
        <v>110</v>
      </c>
      <c r="EI446">
        <v>0</v>
      </c>
      <c r="EJ446">
        <v>0</v>
      </c>
      <c r="EK446">
        <v>0</v>
      </c>
      <c r="EL446">
        <v>0</v>
      </c>
      <c r="EM446">
        <v>0</v>
      </c>
      <c r="EN446">
        <v>0</v>
      </c>
      <c r="EO446">
        <v>0</v>
      </c>
      <c r="EP446">
        <v>0</v>
      </c>
    </row>
    <row r="447" spans="1:146" ht="96" x14ac:dyDescent="0.25">
      <c r="A447" s="7"/>
      <c r="B447" s="7"/>
      <c r="C447" s="7" t="str">
        <f>""&amp;CHAR(10)&amp;Basic_Fundamental_Information_Constructure(F447)&amp;CHAR(10)&amp;Basic_Fundamental_Information_Concatenate("")</f>
        <v xml:space="preserve">
市值413.58125亿, 利润34.04亿; PE11.75; 平均PE59.59; 平均PEG2.53, PB1.03; ROIC7.6833%; ROE7.3367%; 股利率0%; 毛利32.99%; 净利14.1867%; 上一年度营收增17.56%, 利润增37.76%; 当季营收增35.71%, 利润增23.1%; 过往5年营收增23.59%, 利润增58.6%
Income profile:
</v>
      </c>
      <c r="D447" s="11">
        <v>3898</v>
      </c>
      <c r="E447" t="s">
        <v>5584</v>
      </c>
      <c r="F447">
        <v>29.3</v>
      </c>
      <c r="G447" s="5">
        <v>-1.5100000000000001E-2</v>
      </c>
      <c r="H447" t="s">
        <v>11926</v>
      </c>
      <c r="I447">
        <v>41358125000</v>
      </c>
      <c r="J447">
        <v>11.75</v>
      </c>
      <c r="K447">
        <v>1.03</v>
      </c>
      <c r="L447" t="s">
        <v>6350</v>
      </c>
      <c r="M447" t="s">
        <v>5952</v>
      </c>
      <c r="N447" t="s">
        <v>11927</v>
      </c>
      <c r="O447" t="s">
        <v>11928</v>
      </c>
      <c r="P447">
        <v>27.2</v>
      </c>
      <c r="Q447" t="s">
        <v>11929</v>
      </c>
      <c r="R447">
        <v>3404472300</v>
      </c>
      <c r="S447" s="5">
        <v>0.23100000000000001</v>
      </c>
      <c r="T447" t="s">
        <v>11930</v>
      </c>
      <c r="U447">
        <v>542632600</v>
      </c>
      <c r="V447">
        <v>1411540100</v>
      </c>
      <c r="W447">
        <v>1.47</v>
      </c>
      <c r="X447">
        <v>7.0000000000000007E-2</v>
      </c>
      <c r="Y447">
        <v>15.78</v>
      </c>
      <c r="Z447" t="s">
        <v>431</v>
      </c>
      <c r="AA447" t="s">
        <v>4022</v>
      </c>
      <c r="AB447" t="s">
        <v>691</v>
      </c>
      <c r="AC447" t="s">
        <v>173</v>
      </c>
      <c r="AD447" t="s">
        <v>3540</v>
      </c>
      <c r="AE447" t="s">
        <v>11931</v>
      </c>
      <c r="AF447" t="s">
        <v>9</v>
      </c>
      <c r="AG447" t="s">
        <v>1692</v>
      </c>
      <c r="AH447" t="s">
        <v>11932</v>
      </c>
      <c r="AI447" t="s">
        <v>11933</v>
      </c>
      <c r="AJ447" t="s">
        <v>6562</v>
      </c>
      <c r="AK447" t="s">
        <v>11934</v>
      </c>
      <c r="AL447" t="s">
        <v>9</v>
      </c>
      <c r="AM447" t="s">
        <v>9593</v>
      </c>
      <c r="AN447" s="5">
        <v>0.30620000000000003</v>
      </c>
      <c r="AO447" t="s">
        <v>2667</v>
      </c>
      <c r="AP447" t="s">
        <v>11935</v>
      </c>
      <c r="AQ447" t="s">
        <v>11936</v>
      </c>
      <c r="AR447" t="s">
        <v>11937</v>
      </c>
      <c r="AS447" t="s">
        <v>11938</v>
      </c>
      <c r="AT447" t="s">
        <v>6465</v>
      </c>
      <c r="AU447" t="s">
        <v>11939</v>
      </c>
      <c r="AV447" t="s">
        <v>11940</v>
      </c>
      <c r="AW447" t="s">
        <v>1383</v>
      </c>
      <c r="AX447" t="s">
        <v>5585</v>
      </c>
      <c r="AY447" t="s">
        <v>5589</v>
      </c>
      <c r="AZ447" t="s">
        <v>5590</v>
      </c>
      <c r="BA447" t="s">
        <v>5591</v>
      </c>
      <c r="BB447" t="s">
        <v>5592</v>
      </c>
      <c r="BC447" t="s">
        <v>5593</v>
      </c>
      <c r="BD447" t="s">
        <v>2912</v>
      </c>
      <c r="BE447" t="s">
        <v>5594</v>
      </c>
      <c r="BF447" t="s">
        <v>1887</v>
      </c>
      <c r="BG447" t="s">
        <v>3271</v>
      </c>
      <c r="BH447" t="s">
        <v>5585</v>
      </c>
      <c r="BI447" t="s">
        <v>4683</v>
      </c>
      <c r="BJ447" t="s">
        <v>5589</v>
      </c>
      <c r="BK447" t="s">
        <v>5586</v>
      </c>
      <c r="BL447" t="s">
        <v>199</v>
      </c>
      <c r="BM447" t="s">
        <v>5593</v>
      </c>
      <c r="BN447">
        <v>8.51</v>
      </c>
      <c r="BO447">
        <v>7.5</v>
      </c>
      <c r="BP447">
        <v>7.04</v>
      </c>
      <c r="BQ447">
        <v>8.42</v>
      </c>
      <c r="BR447">
        <v>7.4</v>
      </c>
      <c r="BS447">
        <v>6.19</v>
      </c>
      <c r="BT447" t="s">
        <v>11941</v>
      </c>
      <c r="BU447" t="s">
        <v>589</v>
      </c>
      <c r="BV447">
        <v>33.49</v>
      </c>
      <c r="BW447">
        <v>32.25</v>
      </c>
      <c r="BX447">
        <v>33.229999999999997</v>
      </c>
      <c r="BY447">
        <v>14.53</v>
      </c>
      <c r="BZ447">
        <v>14.47</v>
      </c>
      <c r="CA447">
        <v>13.56</v>
      </c>
      <c r="CB447">
        <v>-2.82</v>
      </c>
      <c r="CC447">
        <v>-8.58</v>
      </c>
      <c r="CD447" t="s">
        <v>11942</v>
      </c>
      <c r="CE447" t="s">
        <v>11943</v>
      </c>
      <c r="CF447" s="8">
        <v>0.35707379954882373</v>
      </c>
      <c r="CG447" s="9">
        <v>0.23100000000000001</v>
      </c>
      <c r="CH447" s="8">
        <v>0.17558005452156067</v>
      </c>
      <c r="CI447" s="8">
        <v>0.10014701634645462</v>
      </c>
      <c r="CJ447" s="8">
        <v>-3.1828016042709351E-2</v>
      </c>
      <c r="CK447" s="8">
        <v>6.4449161291122437E-2</v>
      </c>
      <c r="CL447" s="8">
        <v>-1.8065625801682472E-2</v>
      </c>
      <c r="CM447" s="9">
        <v>0.37757989764213562</v>
      </c>
      <c r="CN447" s="9">
        <v>-0.1623729020357132</v>
      </c>
      <c r="CO447" s="9">
        <v>-7.4023795314133167E-3</v>
      </c>
      <c r="CP447" s="9">
        <v>-1.0084249079227448E-3</v>
      </c>
      <c r="CQ447" s="9">
        <v>-1.6528883948922157E-2</v>
      </c>
      <c r="CR447">
        <v>59.589287859637814</v>
      </c>
      <c r="CS447">
        <v>2.5265288999725786</v>
      </c>
      <c r="CT447">
        <v>0</v>
      </c>
      <c r="CU447" s="8">
        <v>0.2358543686568737</v>
      </c>
      <c r="CV447" s="9">
        <v>0.58597178012132645</v>
      </c>
      <c r="CW447">
        <v>0.06</v>
      </c>
      <c r="CX447">
        <v>4.6151159370930879</v>
      </c>
      <c r="CY447">
        <v>3968724783.8754692</v>
      </c>
      <c r="CZ447">
        <v>0.2358543686568737</v>
      </c>
      <c r="DA447">
        <v>1.3357807701785194</v>
      </c>
      <c r="DB447">
        <v>13711924448.165365</v>
      </c>
      <c r="DC447">
        <v>0.22406165022403002</v>
      </c>
      <c r="DD447">
        <v>0.55448723157856994</v>
      </c>
      <c r="DE447">
        <v>33032546029.699936</v>
      </c>
      <c r="DF447">
        <v>0.20755184441804886</v>
      </c>
      <c r="DG447">
        <v>0.2715802966511997</v>
      </c>
      <c r="DH447">
        <v>67442760855.08535</v>
      </c>
      <c r="DI447">
        <v>0.18868349492549896</v>
      </c>
      <c r="DJ447">
        <v>8.6301210384518393E-2</v>
      </c>
      <c r="DK447">
        <v>212234856479.90097</v>
      </c>
      <c r="DL447">
        <v>0.16509805805981159</v>
      </c>
      <c r="DM447">
        <v>3404000000</v>
      </c>
      <c r="DN447">
        <v>0.2358543686568737</v>
      </c>
      <c r="DO447">
        <v>18316125000</v>
      </c>
      <c r="DP447" t="e">
        <v>#VALUE!</v>
      </c>
      <c r="DQ447">
        <v>447</v>
      </c>
      <c r="DR447">
        <v>0.12121943089195003</v>
      </c>
      <c r="DS447">
        <v>-0.35497178012132646</v>
      </c>
      <c r="DT447">
        <v>-0.27333333333333337</v>
      </c>
      <c r="DU447">
        <v>0.80166666666666664</v>
      </c>
      <c r="DV447">
        <v>0.52833333333333332</v>
      </c>
      <c r="DW447">
        <v>-8.3286713286713283</v>
      </c>
      <c r="DX447">
        <v>0.33148626774448342</v>
      </c>
      <c r="DY447">
        <v>-8.0399290530348999</v>
      </c>
      <c r="DZ447">
        <v>0</v>
      </c>
      <c r="EA447">
        <v>-8.0399290530348999</v>
      </c>
      <c r="EB447">
        <v>8</v>
      </c>
      <c r="EC447">
        <v>6.7258450539237251E-3</v>
      </c>
      <c r="ED447">
        <v>5.5363003856567727E-2</v>
      </c>
      <c r="EE447">
        <v>0</v>
      </c>
      <c r="EF447">
        <v>0</v>
      </c>
      <c r="EG447">
        <v>21.121486267744483</v>
      </c>
      <c r="EH447" t="s">
        <v>110</v>
      </c>
      <c r="EI447">
        <v>0</v>
      </c>
      <c r="EJ447">
        <v>0</v>
      </c>
      <c r="EK447">
        <v>0</v>
      </c>
      <c r="EL447">
        <v>0</v>
      </c>
      <c r="EM447">
        <v>0</v>
      </c>
      <c r="EN447">
        <v>0</v>
      </c>
      <c r="EO447">
        <v>0</v>
      </c>
      <c r="EP447">
        <v>0</v>
      </c>
    </row>
    <row r="448" spans="1:146" ht="96" x14ac:dyDescent="0.25">
      <c r="A448" s="7"/>
      <c r="B448" s="7"/>
      <c r="C448" s="7" t="str">
        <f>""&amp;CHAR(10)&amp;Basic_Fundamental_Information_Constructure(F448)&amp;CHAR(10)&amp;Basic_Fundamental_Information_Concatenate("")</f>
        <v xml:space="preserve">
市值159.21979亿, 利润12.21亿; PE13.04; 平均PE49.63; 平均PEG6.83, PB1.29; ROIC9.4867%; ROE10.7267%; 股利率0%; 毛利15.93%; 净利5.1267%; 上一年度营收增17.12%, 利润增12.85%, 利润增2.6%; 过往5年营收增7.27%, 利润增24.58%
Income profile:
</v>
      </c>
      <c r="D448" s="11">
        <v>3899</v>
      </c>
      <c r="E448" t="s">
        <v>5595</v>
      </c>
      <c r="F448">
        <v>7.85</v>
      </c>
      <c r="G448" s="5">
        <v>-8.8000000000000005E-3</v>
      </c>
      <c r="H448" t="s">
        <v>11944</v>
      </c>
      <c r="I448">
        <v>15921979000</v>
      </c>
      <c r="J448">
        <v>13.04</v>
      </c>
      <c r="K448">
        <v>1.29</v>
      </c>
      <c r="L448" t="s">
        <v>6350</v>
      </c>
      <c r="M448" t="s">
        <v>9</v>
      </c>
      <c r="N448" t="s">
        <v>9</v>
      </c>
      <c r="O448" t="s">
        <v>9</v>
      </c>
      <c r="P448" t="s">
        <v>9</v>
      </c>
      <c r="Q448" t="s">
        <v>11945</v>
      </c>
      <c r="R448">
        <v>1221136110</v>
      </c>
      <c r="S448" s="5">
        <v>2.5999999999999999E-2</v>
      </c>
      <c r="T448" t="s">
        <v>952</v>
      </c>
      <c r="U448">
        <v>2028277600</v>
      </c>
      <c r="V448">
        <v>2028277600</v>
      </c>
      <c r="W448" t="s">
        <v>9</v>
      </c>
      <c r="X448" t="s">
        <v>9</v>
      </c>
      <c r="Y448" t="s">
        <v>9</v>
      </c>
      <c r="Z448" t="s">
        <v>9</v>
      </c>
      <c r="AA448" t="s">
        <v>9</v>
      </c>
      <c r="AB448" t="s">
        <v>9</v>
      </c>
      <c r="AC448" t="s">
        <v>9</v>
      </c>
      <c r="AD448" t="s">
        <v>76</v>
      </c>
      <c r="AE448" t="s">
        <v>9</v>
      </c>
      <c r="AF448" t="s">
        <v>9</v>
      </c>
      <c r="AG448" t="s">
        <v>9</v>
      </c>
      <c r="AH448" t="s">
        <v>11946</v>
      </c>
      <c r="AI448" t="s">
        <v>9</v>
      </c>
      <c r="AJ448" t="s">
        <v>9</v>
      </c>
      <c r="AK448" t="s">
        <v>11947</v>
      </c>
      <c r="AL448" t="s">
        <v>9</v>
      </c>
      <c r="AM448" t="s">
        <v>9</v>
      </c>
      <c r="AN448" s="5">
        <v>0.55149999999999999</v>
      </c>
      <c r="AO448" t="s">
        <v>9</v>
      </c>
      <c r="AP448" t="s">
        <v>11948</v>
      </c>
      <c r="AQ448" t="s">
        <v>9</v>
      </c>
      <c r="AR448" t="s">
        <v>11949</v>
      </c>
      <c r="AS448" t="s">
        <v>9</v>
      </c>
      <c r="AT448" t="s">
        <v>9</v>
      </c>
      <c r="AU448" t="s">
        <v>5964</v>
      </c>
      <c r="AV448" t="s">
        <v>11950</v>
      </c>
      <c r="AW448" t="s">
        <v>9</v>
      </c>
      <c r="AX448" t="s">
        <v>5596</v>
      </c>
      <c r="AY448" t="s">
        <v>5598</v>
      </c>
      <c r="AZ448" t="s">
        <v>5599</v>
      </c>
      <c r="BA448" t="s">
        <v>5600</v>
      </c>
      <c r="BB448" t="s">
        <v>5601</v>
      </c>
      <c r="BC448" t="s">
        <v>3821</v>
      </c>
      <c r="BD448" t="s">
        <v>4042</v>
      </c>
      <c r="BE448" t="s">
        <v>5602</v>
      </c>
      <c r="BF448" t="s">
        <v>5603</v>
      </c>
      <c r="BG448" t="s">
        <v>1578</v>
      </c>
      <c r="BH448" t="s">
        <v>5596</v>
      </c>
      <c r="BI448" t="s">
        <v>9</v>
      </c>
      <c r="BJ448" t="s">
        <v>5598</v>
      </c>
      <c r="BK448" t="s">
        <v>2544</v>
      </c>
      <c r="BL448" t="s">
        <v>9</v>
      </c>
      <c r="BM448" t="s">
        <v>3821</v>
      </c>
      <c r="BN448">
        <v>8.91</v>
      </c>
      <c r="BO448">
        <v>9.94</v>
      </c>
      <c r="BP448">
        <v>9.61</v>
      </c>
      <c r="BQ448">
        <v>9.92</v>
      </c>
      <c r="BR448">
        <v>11.54</v>
      </c>
      <c r="BS448">
        <v>10.72</v>
      </c>
      <c r="BT448" t="s">
        <v>5604</v>
      </c>
      <c r="BU448" t="s">
        <v>1410</v>
      </c>
      <c r="BV448">
        <v>15.75</v>
      </c>
      <c r="BW448">
        <v>17.350000000000001</v>
      </c>
      <c r="BX448">
        <v>14.69</v>
      </c>
      <c r="BY448">
        <v>4.92</v>
      </c>
      <c r="BZ448">
        <v>5.53</v>
      </c>
      <c r="CA448">
        <v>4.93</v>
      </c>
      <c r="CB448">
        <v>0</v>
      </c>
      <c r="CC448">
        <v>-3.68</v>
      </c>
      <c r="CD448" t="s">
        <v>11951</v>
      </c>
      <c r="CE448" t="s">
        <v>11952</v>
      </c>
      <c r="CF448" s="8" t="s">
        <v>9</v>
      </c>
      <c r="CG448" s="9">
        <v>2.5999999999999999E-2</v>
      </c>
      <c r="CH448" s="8">
        <v>0.17121152579784393</v>
      </c>
      <c r="CI448" s="8">
        <v>-1.9857276231050491E-2</v>
      </c>
      <c r="CJ448" s="8">
        <v>0.5402103066444397</v>
      </c>
      <c r="CK448" s="8">
        <v>-1.4332830905914307E-2</v>
      </c>
      <c r="CL448" s="8">
        <v>0.15775942802429199</v>
      </c>
      <c r="CM448" s="9">
        <v>0.12846574187278748</v>
      </c>
      <c r="CN448" s="9">
        <v>0.56584662199020386</v>
      </c>
      <c r="CO448" s="9">
        <v>-0.32121807336807251</v>
      </c>
      <c r="CP448" s="9">
        <v>0.13870246708393097</v>
      </c>
      <c r="CQ448" s="9">
        <v>0.77380955219268799</v>
      </c>
      <c r="CR448">
        <v>49.632400650772801</v>
      </c>
      <c r="CS448">
        <v>6.8294783672847466</v>
      </c>
      <c r="CT448">
        <v>0</v>
      </c>
      <c r="CU448" s="8">
        <v>7.267377972602844E-2</v>
      </c>
      <c r="CV448" s="9">
        <v>0.24579035714268685</v>
      </c>
      <c r="CW448">
        <v>0.06</v>
      </c>
      <c r="CX448">
        <v>12.8860432060818</v>
      </c>
      <c r="CY448">
        <v>1235598759.4768684</v>
      </c>
      <c r="CZ448">
        <v>7.267377972602844E-2</v>
      </c>
      <c r="DA448">
        <v>4.2733989015736027</v>
      </c>
      <c r="DB448">
        <v>3725834954.0308571</v>
      </c>
      <c r="DC448">
        <v>6.9040090739727014E-2</v>
      </c>
      <c r="DD448">
        <v>2.145178517722778</v>
      </c>
      <c r="DE448">
        <v>7422216318.3426027</v>
      </c>
      <c r="DF448">
        <v>6.3952926158905021E-2</v>
      </c>
      <c r="DG448">
        <v>1.3166583210646712</v>
      </c>
      <c r="DH448">
        <v>12092718927.356363</v>
      </c>
      <c r="DI448">
        <v>5.8139023780822752E-2</v>
      </c>
      <c r="DJ448">
        <v>0.71310163097867885</v>
      </c>
      <c r="DK448">
        <v>22327783738.410851</v>
      </c>
      <c r="DL448">
        <v>5.0871645808219908E-2</v>
      </c>
      <c r="DM448">
        <v>1221000000</v>
      </c>
      <c r="DN448">
        <v>7.267377972602844E-2</v>
      </c>
      <c r="DO448">
        <v>15921979000</v>
      </c>
      <c r="DP448" t="e">
        <v>#VALUE!</v>
      </c>
      <c r="DQ448">
        <v>448</v>
      </c>
      <c r="DR448" t="e">
        <v>#VALUE!</v>
      </c>
      <c r="DS448">
        <v>-0.21979035714268685</v>
      </c>
      <c r="DT448" t="e">
        <v>#VALUE!</v>
      </c>
      <c r="DU448" t="e">
        <v>#VALUE!</v>
      </c>
      <c r="DV448" t="e">
        <v>#VALUE!</v>
      </c>
      <c r="DW448">
        <v>-1.0367999999999999</v>
      </c>
      <c r="DX448">
        <v>0.59036041610325696</v>
      </c>
      <c r="DY448">
        <v>-1.0036932633125999</v>
      </c>
      <c r="DZ448">
        <v>0</v>
      </c>
      <c r="EA448">
        <v>-1.0036932633125999</v>
      </c>
      <c r="EB448">
        <v>1</v>
      </c>
      <c r="EC448">
        <v>3.9140105871109552E-3</v>
      </c>
      <c r="ED448">
        <v>3.8999543257786803E-2</v>
      </c>
      <c r="EE448">
        <v>0</v>
      </c>
      <c r="EF448">
        <v>0</v>
      </c>
      <c r="EG448">
        <v>49.100360416103257</v>
      </c>
      <c r="EH448" t="s">
        <v>110</v>
      </c>
      <c r="EI448">
        <v>0</v>
      </c>
      <c r="EJ448">
        <v>0</v>
      </c>
      <c r="EK448">
        <v>0</v>
      </c>
      <c r="EL448">
        <v>0</v>
      </c>
      <c r="EM448">
        <v>0</v>
      </c>
      <c r="EN448">
        <v>0</v>
      </c>
      <c r="EO448">
        <v>0</v>
      </c>
      <c r="EP448">
        <v>0</v>
      </c>
    </row>
    <row r="449" spans="1:146" ht="96" x14ac:dyDescent="0.25">
      <c r="A449" s="7"/>
      <c r="B449" s="7"/>
      <c r="C449" s="7" t="str">
        <f>""&amp;CHAR(10)&amp;Basic_Fundamental_Information_Constructure(F449)&amp;CHAR(10)&amp;Basic_Fundamental_Information_Concatenate("")</f>
        <v xml:space="preserve">
市值155.46472亿, 利润33.89亿; PE4.59; 平均PE24.75; 平均PEG10.28, PB.393; ROIC2.17%; ROE8.3733%; 股利率0%; 毛利16.1467%; 净利6.5833%; 上一年度营收增.41%, 利润增-14.98%, 利润增16.25%; 过往5年营收增2.41%, 利润增-27.14%
Income profile:
</v>
      </c>
      <c r="D449" s="11">
        <v>3900</v>
      </c>
      <c r="E449" t="s">
        <v>5605</v>
      </c>
      <c r="F449">
        <v>6.14</v>
      </c>
      <c r="G449" s="5">
        <v>-3.3099999999999997E-2</v>
      </c>
      <c r="H449" t="s">
        <v>11953</v>
      </c>
      <c r="I449">
        <v>15546472000</v>
      </c>
      <c r="J449">
        <v>4.59</v>
      </c>
      <c r="K449">
        <v>0.39300000000000002</v>
      </c>
      <c r="L449" t="s">
        <v>6350</v>
      </c>
      <c r="M449" t="s">
        <v>9</v>
      </c>
      <c r="N449" t="s">
        <v>9</v>
      </c>
      <c r="O449" t="s">
        <v>9</v>
      </c>
      <c r="P449" t="s">
        <v>9</v>
      </c>
      <c r="Q449" t="s">
        <v>11954</v>
      </c>
      <c r="R449">
        <v>3389154400</v>
      </c>
      <c r="S449" s="5">
        <v>0.16250000000000001</v>
      </c>
      <c r="T449" t="s">
        <v>4464</v>
      </c>
      <c r="U449">
        <v>2531998700</v>
      </c>
      <c r="V449">
        <v>2531998700</v>
      </c>
      <c r="W449" t="s">
        <v>9</v>
      </c>
      <c r="X449" t="s">
        <v>9</v>
      </c>
      <c r="Y449" t="s">
        <v>9</v>
      </c>
      <c r="Z449" t="s">
        <v>9</v>
      </c>
      <c r="AA449" t="s">
        <v>9</v>
      </c>
      <c r="AB449" t="s">
        <v>9</v>
      </c>
      <c r="AC449" t="s">
        <v>9</v>
      </c>
      <c r="AD449" t="s">
        <v>9</v>
      </c>
      <c r="AE449" t="s">
        <v>9</v>
      </c>
      <c r="AF449" t="s">
        <v>9</v>
      </c>
      <c r="AG449" t="s">
        <v>9</v>
      </c>
      <c r="AH449" t="s">
        <v>11955</v>
      </c>
      <c r="AI449" t="s">
        <v>9</v>
      </c>
      <c r="AJ449" t="s">
        <v>9</v>
      </c>
      <c r="AK449" t="s">
        <v>11956</v>
      </c>
      <c r="AL449" t="s">
        <v>9</v>
      </c>
      <c r="AM449" t="s">
        <v>9</v>
      </c>
      <c r="AN449" s="5">
        <v>0.7873</v>
      </c>
      <c r="AO449" t="s">
        <v>9</v>
      </c>
      <c r="AP449" t="s">
        <v>11957</v>
      </c>
      <c r="AQ449" t="s">
        <v>9</v>
      </c>
      <c r="AR449" t="s">
        <v>11958</v>
      </c>
      <c r="AS449" t="s">
        <v>9</v>
      </c>
      <c r="AT449" t="s">
        <v>9</v>
      </c>
      <c r="AU449" t="s">
        <v>3318</v>
      </c>
      <c r="AV449" t="s">
        <v>11959</v>
      </c>
      <c r="AW449" t="s">
        <v>9</v>
      </c>
      <c r="AX449" t="s">
        <v>5606</v>
      </c>
      <c r="AY449" t="s">
        <v>5608</v>
      </c>
      <c r="AZ449" t="s">
        <v>5609</v>
      </c>
      <c r="BA449" t="s">
        <v>5610</v>
      </c>
      <c r="BB449" t="s">
        <v>5611</v>
      </c>
      <c r="BC449" t="s">
        <v>5612</v>
      </c>
      <c r="BD449" t="s">
        <v>1504</v>
      </c>
      <c r="BE449" t="s">
        <v>5613</v>
      </c>
      <c r="BF449" t="s">
        <v>75</v>
      </c>
      <c r="BG449" t="s">
        <v>5614</v>
      </c>
      <c r="BH449" t="s">
        <v>5606</v>
      </c>
      <c r="BI449" t="s">
        <v>9</v>
      </c>
      <c r="BJ449" t="s">
        <v>5608</v>
      </c>
      <c r="BK449" t="s">
        <v>5607</v>
      </c>
      <c r="BL449" t="s">
        <v>9</v>
      </c>
      <c r="BM449" t="s">
        <v>5612</v>
      </c>
      <c r="BN449">
        <v>2.08</v>
      </c>
      <c r="BO449">
        <v>1.88</v>
      </c>
      <c r="BP449">
        <v>2.5499999999999998</v>
      </c>
      <c r="BQ449">
        <v>8.56</v>
      </c>
      <c r="BR449">
        <v>7.17</v>
      </c>
      <c r="BS449">
        <v>9.39</v>
      </c>
      <c r="BT449" t="s">
        <v>11037</v>
      </c>
      <c r="BU449" t="s">
        <v>410</v>
      </c>
      <c r="BV449">
        <v>12.99</v>
      </c>
      <c r="BW449">
        <v>17.32</v>
      </c>
      <c r="BX449">
        <v>18.13</v>
      </c>
      <c r="BY449">
        <v>5.08</v>
      </c>
      <c r="BZ449">
        <v>7</v>
      </c>
      <c r="CA449">
        <v>7.67</v>
      </c>
      <c r="CB449">
        <v>-8.08</v>
      </c>
      <c r="CC449">
        <v>-15.98</v>
      </c>
      <c r="CD449" t="s">
        <v>11960</v>
      </c>
      <c r="CE449" t="s">
        <v>5951</v>
      </c>
      <c r="CF449" s="8" t="s">
        <v>9</v>
      </c>
      <c r="CG449" s="9">
        <v>0.16250000000000001</v>
      </c>
      <c r="CH449" s="8">
        <v>4.0503973141312599E-3</v>
      </c>
      <c r="CI449" s="8">
        <v>0.16861928999423981</v>
      </c>
      <c r="CJ449" s="8">
        <v>0.56549239158630371</v>
      </c>
      <c r="CK449" s="8">
        <v>0.14194585382938385</v>
      </c>
      <c r="CL449" s="8">
        <v>0.36509132385253906</v>
      </c>
      <c r="CM449" s="9">
        <v>-0.14977419376373291</v>
      </c>
      <c r="CN449" s="9">
        <v>0.35210308432579041</v>
      </c>
      <c r="CO449" s="9">
        <v>1.2098950147628784</v>
      </c>
      <c r="CP449" s="9">
        <v>1.9910314083099365</v>
      </c>
      <c r="CQ449" s="9">
        <v>-0.77621674537658691</v>
      </c>
      <c r="CR449">
        <v>24.751799470127605</v>
      </c>
      <c r="CS449">
        <v>10.280202476745067</v>
      </c>
      <c r="CT449">
        <v>0</v>
      </c>
      <c r="CU449" s="8">
        <v>2.4077151715755463E-2</v>
      </c>
      <c r="CV449" s="9">
        <v>-0.27143781147897245</v>
      </c>
      <c r="CW449">
        <v>0.06</v>
      </c>
      <c r="CX449">
        <v>4.7482488176488911</v>
      </c>
      <c r="CY449">
        <v>3274148553.9289575</v>
      </c>
      <c r="CZ449">
        <v>2.4077151715755463E-2</v>
      </c>
      <c r="DA449">
        <v>1.6414326842968412</v>
      </c>
      <c r="DB449">
        <v>9471282099.3081512</v>
      </c>
      <c r="DC449">
        <v>2.2873294129967688E-2</v>
      </c>
      <c r="DD449">
        <v>0.86941845645277405</v>
      </c>
      <c r="DE449">
        <v>17881460744.955406</v>
      </c>
      <c r="DF449">
        <v>2.1187893509864809E-2</v>
      </c>
      <c r="DG449">
        <v>0.56548771842814349</v>
      </c>
      <c r="DH449">
        <v>27492147916.516579</v>
      </c>
      <c r="DI449">
        <v>1.9261721372604373E-2</v>
      </c>
      <c r="DJ449">
        <v>0.34484950425572797</v>
      </c>
      <c r="DK449">
        <v>45081903288.662689</v>
      </c>
      <c r="DL449">
        <v>1.6854006201028823E-2</v>
      </c>
      <c r="DM449">
        <v>3389000000</v>
      </c>
      <c r="DN449">
        <v>2.4077151715755463E-2</v>
      </c>
      <c r="DO449">
        <v>15546472000</v>
      </c>
      <c r="DP449" t="e">
        <v>#VALUE!</v>
      </c>
      <c r="DQ449">
        <v>449</v>
      </c>
      <c r="DR449" t="e">
        <v>#VALUE!</v>
      </c>
      <c r="DS449">
        <v>0.43393781147897248</v>
      </c>
      <c r="DT449" t="e">
        <v>#VALUE!</v>
      </c>
      <c r="DU449" t="e">
        <v>#VALUE!</v>
      </c>
      <c r="DV449" t="e">
        <v>#VALUE!</v>
      </c>
      <c r="DW449">
        <v>-9.5056320400500631</v>
      </c>
      <c r="DX449">
        <v>0.25951079812206646</v>
      </c>
      <c r="DY449">
        <v>-9.0553721682619699</v>
      </c>
      <c r="DZ449">
        <v>0</v>
      </c>
      <c r="EA449">
        <v>-9.0553721682619699</v>
      </c>
      <c r="EB449">
        <v>9</v>
      </c>
      <c r="EC449">
        <v>1.8424811987462712E-2</v>
      </c>
      <c r="ED449">
        <v>0.16824653188013089</v>
      </c>
      <c r="EE449">
        <v>0</v>
      </c>
      <c r="EF449">
        <v>0</v>
      </c>
      <c r="EG449">
        <v>15.109510798122066</v>
      </c>
      <c r="EH449" t="s">
        <v>110</v>
      </c>
      <c r="EI449">
        <v>0</v>
      </c>
      <c r="EJ449">
        <v>0</v>
      </c>
      <c r="EK449">
        <v>0</v>
      </c>
      <c r="EL449">
        <v>0</v>
      </c>
      <c r="EM449">
        <v>0</v>
      </c>
      <c r="EN449">
        <v>0</v>
      </c>
      <c r="EO449">
        <v>0</v>
      </c>
      <c r="EP449">
        <v>0</v>
      </c>
    </row>
    <row r="450" spans="1:146" ht="96" x14ac:dyDescent="0.25">
      <c r="A450" s="7"/>
      <c r="B450" s="7"/>
      <c r="C450" s="7" t="str">
        <f>""&amp;CHAR(10)&amp;Basic_Fundamental_Information_Constructure(F450)&amp;CHAR(10)&amp;Basic_Fundamental_Information_Concatenate("")</f>
        <v xml:space="preserve">
市值420.45407亿, 利润60.24亿; PE8.8; 平均PE17.36; 平均PEG4.86, PB.368; ROIC4.07%; ROE8.2333%; 股利率0%; 毛利0%; 净利29.77%; 上一年度营收增-9.62%, 利润增-52.8%; 当季营收增-34.98%, 利润增-48.22%; 过往5年营收增3.57%, 利润增-1.96%
Income profile:
</v>
      </c>
      <c r="D450" s="11">
        <v>3908</v>
      </c>
      <c r="E450" t="s">
        <v>5616</v>
      </c>
      <c r="F450">
        <v>8.7100000000000009</v>
      </c>
      <c r="G450" s="5">
        <v>-3.0099999999999998E-2</v>
      </c>
      <c r="H450" t="s">
        <v>11961</v>
      </c>
      <c r="I450">
        <v>42045407000</v>
      </c>
      <c r="J450">
        <v>8.8000000000000007</v>
      </c>
      <c r="K450">
        <v>0.36799999999999999</v>
      </c>
      <c r="L450" t="s">
        <v>6350</v>
      </c>
      <c r="M450" t="s">
        <v>11962</v>
      </c>
      <c r="N450" t="s">
        <v>11963</v>
      </c>
      <c r="O450" t="s">
        <v>11964</v>
      </c>
      <c r="P450">
        <v>-17.84</v>
      </c>
      <c r="Q450" t="s">
        <v>11965</v>
      </c>
      <c r="R450">
        <v>6024200800</v>
      </c>
      <c r="S450" s="5">
        <v>-0.48220000000000002</v>
      </c>
      <c r="T450" t="s">
        <v>11966</v>
      </c>
      <c r="U450">
        <v>1903714400</v>
      </c>
      <c r="V450">
        <v>4827256900</v>
      </c>
      <c r="W450">
        <v>5.79</v>
      </c>
      <c r="X450">
        <v>0.01</v>
      </c>
      <c r="Y450">
        <v>33.35</v>
      </c>
      <c r="Z450" t="s">
        <v>9</v>
      </c>
      <c r="AA450" t="s">
        <v>9</v>
      </c>
      <c r="AB450" t="s">
        <v>9</v>
      </c>
      <c r="AC450" t="s">
        <v>5843</v>
      </c>
      <c r="AD450" t="s">
        <v>9</v>
      </c>
      <c r="AE450" t="s">
        <v>11967</v>
      </c>
      <c r="AF450" t="s">
        <v>3675</v>
      </c>
      <c r="AG450" t="s">
        <v>11968</v>
      </c>
      <c r="AH450" t="s">
        <v>11969</v>
      </c>
      <c r="AI450" t="s">
        <v>11970</v>
      </c>
      <c r="AJ450" t="s">
        <v>9</v>
      </c>
      <c r="AK450" t="s">
        <v>11971</v>
      </c>
      <c r="AL450" t="s">
        <v>9</v>
      </c>
      <c r="AM450" t="s">
        <v>3200</v>
      </c>
      <c r="AN450" s="5">
        <v>0.82689999999999997</v>
      </c>
      <c r="AO450" t="s">
        <v>9</v>
      </c>
      <c r="AP450" t="s">
        <v>9</v>
      </c>
      <c r="AQ450" t="s">
        <v>9</v>
      </c>
      <c r="AR450" t="s">
        <v>11972</v>
      </c>
      <c r="AS450" t="s">
        <v>11973</v>
      </c>
      <c r="AT450" t="s">
        <v>11974</v>
      </c>
      <c r="AU450" t="s">
        <v>11975</v>
      </c>
      <c r="AV450" t="s">
        <v>11976</v>
      </c>
      <c r="AW450" t="s">
        <v>8825</v>
      </c>
      <c r="AX450" t="s">
        <v>5617</v>
      </c>
      <c r="AY450" t="s">
        <v>1390</v>
      </c>
      <c r="AZ450" t="s">
        <v>5620</v>
      </c>
      <c r="BA450" t="s">
        <v>5621</v>
      </c>
      <c r="BB450" t="s">
        <v>5622</v>
      </c>
      <c r="BC450" t="s">
        <v>5623</v>
      </c>
      <c r="BD450" t="s">
        <v>5624</v>
      </c>
      <c r="BE450" t="s">
        <v>5625</v>
      </c>
      <c r="BF450" t="s">
        <v>3876</v>
      </c>
      <c r="BG450" t="s">
        <v>5045</v>
      </c>
      <c r="BH450" t="s">
        <v>5617</v>
      </c>
      <c r="BI450" t="s">
        <v>4386</v>
      </c>
      <c r="BJ450" t="s">
        <v>1390</v>
      </c>
      <c r="BK450" t="s">
        <v>5618</v>
      </c>
      <c r="BL450" t="s">
        <v>200</v>
      </c>
      <c r="BM450" t="s">
        <v>5623</v>
      </c>
      <c r="BN450" t="s">
        <v>9</v>
      </c>
      <c r="BO450" t="s">
        <v>9</v>
      </c>
      <c r="BP450">
        <v>4.07</v>
      </c>
      <c r="BQ450">
        <v>5.25</v>
      </c>
      <c r="BR450">
        <v>7.1</v>
      </c>
      <c r="BS450">
        <v>12.35</v>
      </c>
      <c r="BT450" t="s">
        <v>11977</v>
      </c>
      <c r="BU450" t="s">
        <v>826</v>
      </c>
      <c r="BV450" t="s">
        <v>9</v>
      </c>
      <c r="BW450" t="s">
        <v>9</v>
      </c>
      <c r="BX450" t="s">
        <v>9</v>
      </c>
      <c r="BY450">
        <v>24.85</v>
      </c>
      <c r="BZ450">
        <v>28.48</v>
      </c>
      <c r="CA450">
        <v>35.979999999999997</v>
      </c>
      <c r="CB450">
        <v>-8.1199999999999992</v>
      </c>
      <c r="CC450">
        <v>-20.38</v>
      </c>
      <c r="CD450" t="s">
        <v>11978</v>
      </c>
      <c r="CE450" t="s">
        <v>156</v>
      </c>
      <c r="CF450" s="8">
        <v>-0.34981041988484757</v>
      </c>
      <c r="CG450" s="9">
        <v>-0.48220000000000002</v>
      </c>
      <c r="CH450" s="8">
        <v>-9.6230536699295044E-2</v>
      </c>
      <c r="CI450" s="8">
        <v>-5.9669308364391327E-2</v>
      </c>
      <c r="CJ450" s="8">
        <v>0.40332484245300293</v>
      </c>
      <c r="CK450" s="8">
        <v>0.4378153383731842</v>
      </c>
      <c r="CL450" s="8">
        <v>0.18187244236469269</v>
      </c>
      <c r="CM450" s="9">
        <v>-0.52801066637039185</v>
      </c>
      <c r="CN450" s="9">
        <v>0.50720351934432983</v>
      </c>
      <c r="CO450" s="9">
        <v>0.81211221218109131</v>
      </c>
      <c r="CP450" s="9">
        <v>0.19483505189418793</v>
      </c>
      <c r="CQ450" s="9">
        <v>0.20412564277648926</v>
      </c>
      <c r="CR450">
        <v>17.364567868942729</v>
      </c>
      <c r="CS450">
        <v>4.8605911490672931</v>
      </c>
      <c r="CT450">
        <v>0</v>
      </c>
      <c r="CU450" s="8">
        <v>3.5725218057632444E-2</v>
      </c>
      <c r="CV450" s="9">
        <v>-1.9563653692603111E-2</v>
      </c>
      <c r="CW450">
        <v>0.06</v>
      </c>
      <c r="CX450">
        <v>80.668144715946582</v>
      </c>
      <c r="CY450">
        <v>5886045956.2067709</v>
      </c>
      <c r="CZ450">
        <v>3.5725218057632444E-2</v>
      </c>
      <c r="DA450">
        <v>27.609066949591565</v>
      </c>
      <c r="DB450">
        <v>17197843297.888927</v>
      </c>
      <c r="DC450">
        <v>3.3938957154750822E-2</v>
      </c>
      <c r="DD450">
        <v>14.43897531708495</v>
      </c>
      <c r="DE450">
        <v>32884356166.062035</v>
      </c>
      <c r="DF450">
        <v>3.1438191890716553E-2</v>
      </c>
      <c r="DG450">
        <v>9.2660037363429648</v>
      </c>
      <c r="DH450">
        <v>51242846485.986511</v>
      </c>
      <c r="DI450">
        <v>2.8580174446105958E-2</v>
      </c>
      <c r="DJ450">
        <v>5.5027780057017921</v>
      </c>
      <c r="DK450">
        <v>86286673114.563461</v>
      </c>
      <c r="DL450">
        <v>2.5007652640342708E-2</v>
      </c>
      <c r="DM450">
        <v>6024000000</v>
      </c>
      <c r="DN450">
        <v>3.5725218057632444E-2</v>
      </c>
      <c r="DO450">
        <v>474816407000</v>
      </c>
      <c r="DP450" t="e">
        <v>#VALUE!</v>
      </c>
      <c r="DQ450">
        <v>450</v>
      </c>
      <c r="DR450">
        <v>-0.38553563794248003</v>
      </c>
      <c r="DS450">
        <v>-0.46263634630739692</v>
      </c>
      <c r="DT450">
        <v>-0.44</v>
      </c>
      <c r="DU450">
        <v>0.5</v>
      </c>
      <c r="DV450">
        <v>0.06</v>
      </c>
      <c r="DW450">
        <v>-9.3984298331697751</v>
      </c>
      <c r="DX450">
        <v>0.45289805194805183</v>
      </c>
      <c r="DY450">
        <v>-9.0569348469979474</v>
      </c>
      <c r="DZ450">
        <v>0</v>
      </c>
      <c r="EA450">
        <v>-9.0569348469979474</v>
      </c>
      <c r="EB450">
        <v>9</v>
      </c>
      <c r="EC450">
        <v>1.3676276479091054E-2</v>
      </c>
      <c r="ED450">
        <v>9.5706528484116926E-2</v>
      </c>
      <c r="EE450">
        <v>0</v>
      </c>
      <c r="EF450">
        <v>0</v>
      </c>
      <c r="EG450">
        <v>31.142898051948052</v>
      </c>
      <c r="EH450" t="s">
        <v>110</v>
      </c>
      <c r="EI450">
        <v>0</v>
      </c>
      <c r="EJ450">
        <v>0</v>
      </c>
      <c r="EK450">
        <v>0</v>
      </c>
      <c r="EL450">
        <v>0</v>
      </c>
      <c r="EM450">
        <v>0</v>
      </c>
      <c r="EN450">
        <v>0</v>
      </c>
      <c r="EO450">
        <v>0</v>
      </c>
      <c r="EP450">
        <v>0</v>
      </c>
    </row>
    <row r="451" spans="1:146" ht="96" x14ac:dyDescent="0.25">
      <c r="A451" s="7"/>
      <c r="B451" s="7"/>
      <c r="C451" s="7" t="str">
        <f>""&amp;CHAR(10)&amp;Basic_Fundamental_Information_Constructure(F451)&amp;CHAR(10)&amp;Basic_Fundamental_Information_Concatenate("")</f>
        <v xml:space="preserve">
市值168.07363亿, 利润13.88亿; PE12.11; 平均PE49.43; 平均PEG1.39, PB1.06; ROIC1.86%; ROE1.89%; 股利率0%; 毛利79.1667%; 净利-2.93%; 上一年度营收增15.29%, 利润增221.12%, 利润增65.78%; 过往5年营收增35.53%, 利润增38.11%
Income profile:
</v>
      </c>
      <c r="D451" s="11">
        <v>3918</v>
      </c>
      <c r="E451" t="s">
        <v>5626</v>
      </c>
      <c r="F451">
        <v>3.8</v>
      </c>
      <c r="G451" s="5">
        <v>-2.3099999999999999E-2</v>
      </c>
      <c r="H451" t="s">
        <v>11979</v>
      </c>
      <c r="I451">
        <v>16807363000</v>
      </c>
      <c r="J451">
        <v>12.11</v>
      </c>
      <c r="K451">
        <v>1.06</v>
      </c>
      <c r="L451" t="s">
        <v>6350</v>
      </c>
      <c r="M451" t="s">
        <v>9</v>
      </c>
      <c r="N451" t="s">
        <v>9</v>
      </c>
      <c r="O451" t="s">
        <v>9</v>
      </c>
      <c r="P451" t="s">
        <v>9</v>
      </c>
      <c r="Q451" t="s">
        <v>11980</v>
      </c>
      <c r="R451">
        <v>1388264700</v>
      </c>
      <c r="S451" s="5">
        <v>0.65780000000000005</v>
      </c>
      <c r="T451" t="s">
        <v>11981</v>
      </c>
      <c r="U451">
        <v>4422990200</v>
      </c>
      <c r="V451">
        <v>4422990200</v>
      </c>
      <c r="W451" t="s">
        <v>9</v>
      </c>
      <c r="X451" t="s">
        <v>9</v>
      </c>
      <c r="Y451" t="s">
        <v>9</v>
      </c>
      <c r="Z451" t="s">
        <v>9</v>
      </c>
      <c r="AA451" t="s">
        <v>9</v>
      </c>
      <c r="AB451" t="s">
        <v>9</v>
      </c>
      <c r="AC451" t="s">
        <v>9</v>
      </c>
      <c r="AD451" t="s">
        <v>9</v>
      </c>
      <c r="AE451" t="s">
        <v>9</v>
      </c>
      <c r="AF451" t="s">
        <v>9</v>
      </c>
      <c r="AG451" t="s">
        <v>9</v>
      </c>
      <c r="AH451" t="s">
        <v>11982</v>
      </c>
      <c r="AI451" t="s">
        <v>9</v>
      </c>
      <c r="AJ451" t="s">
        <v>9</v>
      </c>
      <c r="AK451" t="s">
        <v>11983</v>
      </c>
      <c r="AL451" t="s">
        <v>9</v>
      </c>
      <c r="AM451" t="s">
        <v>9</v>
      </c>
      <c r="AN451" s="5">
        <v>0.26400000000000001</v>
      </c>
      <c r="AO451" t="s">
        <v>9</v>
      </c>
      <c r="AP451" t="s">
        <v>2814</v>
      </c>
      <c r="AQ451" t="s">
        <v>9</v>
      </c>
      <c r="AR451" t="s">
        <v>11984</v>
      </c>
      <c r="AS451" t="s">
        <v>9</v>
      </c>
      <c r="AT451" t="s">
        <v>9</v>
      </c>
      <c r="AU451" t="s">
        <v>11985</v>
      </c>
      <c r="AV451" t="s">
        <v>11986</v>
      </c>
      <c r="AW451" t="s">
        <v>9</v>
      </c>
      <c r="AX451" t="s">
        <v>4467</v>
      </c>
      <c r="AY451" t="s">
        <v>1841</v>
      </c>
      <c r="AZ451" t="s">
        <v>3604</v>
      </c>
      <c r="BA451" t="s">
        <v>5627</v>
      </c>
      <c r="BB451" t="s">
        <v>5628</v>
      </c>
      <c r="BC451" t="s">
        <v>5629</v>
      </c>
      <c r="BD451" t="s">
        <v>407</v>
      </c>
      <c r="BE451" t="s">
        <v>5630</v>
      </c>
      <c r="BF451" t="s">
        <v>4354</v>
      </c>
      <c r="BG451" t="s">
        <v>5631</v>
      </c>
      <c r="BH451" t="s">
        <v>4467</v>
      </c>
      <c r="BI451" t="s">
        <v>9</v>
      </c>
      <c r="BJ451" t="s">
        <v>1841</v>
      </c>
      <c r="BK451" t="s">
        <v>3773</v>
      </c>
      <c r="BL451" t="s">
        <v>9</v>
      </c>
      <c r="BM451" t="s">
        <v>5629</v>
      </c>
      <c r="BN451">
        <v>7.38</v>
      </c>
      <c r="BO451">
        <v>4.76</v>
      </c>
      <c r="BP451">
        <v>-6.56</v>
      </c>
      <c r="BQ451">
        <v>8.7799999999999994</v>
      </c>
      <c r="BR451">
        <v>5.8</v>
      </c>
      <c r="BS451">
        <v>-8.91</v>
      </c>
      <c r="BT451" t="s">
        <v>5632</v>
      </c>
      <c r="BU451" t="s">
        <v>567</v>
      </c>
      <c r="BV451">
        <v>83.99</v>
      </c>
      <c r="BW451">
        <v>86.32</v>
      </c>
      <c r="BX451">
        <v>67.19</v>
      </c>
      <c r="BY451">
        <v>35.409999999999997</v>
      </c>
      <c r="BZ451">
        <v>24.62</v>
      </c>
      <c r="CA451">
        <v>-68.819999999999993</v>
      </c>
      <c r="CB451">
        <v>-4.76</v>
      </c>
      <c r="CC451">
        <v>-15.18</v>
      </c>
      <c r="CD451" t="s">
        <v>11987</v>
      </c>
      <c r="CE451" t="s">
        <v>11988</v>
      </c>
      <c r="CF451" s="8" t="s">
        <v>9</v>
      </c>
      <c r="CG451" s="9">
        <v>0.65780000000000005</v>
      </c>
      <c r="CH451" s="8">
        <v>0.1528962105512619</v>
      </c>
      <c r="CI451" s="8">
        <v>1.0414165258407593</v>
      </c>
      <c r="CJ451" s="8">
        <v>-0.75543159246444702</v>
      </c>
      <c r="CK451" s="8">
        <v>-0.41021642088890076</v>
      </c>
      <c r="CL451" s="8">
        <v>0.54556405544281006</v>
      </c>
      <c r="CM451" s="9">
        <v>2.2111694812774658</v>
      </c>
      <c r="CN451" s="9">
        <v>-2.4451451301574707</v>
      </c>
      <c r="CO451" s="9">
        <v>-0.80463171005249023</v>
      </c>
      <c r="CP451" s="9">
        <v>0.32647061347961426</v>
      </c>
      <c r="CQ451" s="9">
        <v>0.53460383415222168</v>
      </c>
      <c r="CR451">
        <v>49.430726129046299</v>
      </c>
      <c r="CS451">
        <v>1.3911612689453445</v>
      </c>
      <c r="CT451">
        <v>0</v>
      </c>
      <c r="CU451" s="8">
        <v>0.35531988441944123</v>
      </c>
      <c r="CV451" s="9">
        <v>0.38114095926284791</v>
      </c>
      <c r="CW451">
        <v>0.06</v>
      </c>
      <c r="CX451">
        <v>9.4705274890880951</v>
      </c>
      <c r="CY451">
        <v>1774701886.3907399</v>
      </c>
      <c r="CZ451">
        <v>0.35531988441944123</v>
      </c>
      <c r="DA451">
        <v>2.4899041943552738</v>
      </c>
      <c r="DB451">
        <v>6750204701.892972</v>
      </c>
      <c r="DC451">
        <v>0.33755389019846915</v>
      </c>
      <c r="DD451">
        <v>0.89416560163609793</v>
      </c>
      <c r="DE451">
        <v>18796700487.299843</v>
      </c>
      <c r="DF451">
        <v>0.3126814982891083</v>
      </c>
      <c r="DG451">
        <v>0.36363277339106853</v>
      </c>
      <c r="DH451">
        <v>46220704595.084824</v>
      </c>
      <c r="DI451">
        <v>0.28425590753555302</v>
      </c>
      <c r="DJ451">
        <v>7.1773871291596139E-2</v>
      </c>
      <c r="DK451">
        <v>234171052745.87494</v>
      </c>
      <c r="DL451">
        <v>0.24872391909360886</v>
      </c>
      <c r="DM451">
        <v>1388000000</v>
      </c>
      <c r="DN451">
        <v>0.35531988441944123</v>
      </c>
      <c r="DO451">
        <v>16807363000</v>
      </c>
      <c r="DP451" t="e">
        <v>#VALUE!</v>
      </c>
      <c r="DQ451">
        <v>451</v>
      </c>
      <c r="DR451" t="e">
        <v>#VALUE!</v>
      </c>
      <c r="DS451">
        <v>0.27665904073715214</v>
      </c>
      <c r="DT451" t="e">
        <v>#VALUE!</v>
      </c>
      <c r="DU451" t="e">
        <v>#VALUE!</v>
      </c>
      <c r="DV451" t="e">
        <v>#VALUE!</v>
      </c>
      <c r="DW451">
        <v>-8.3135704874835312</v>
      </c>
      <c r="DX451">
        <v>0.30446745146837301</v>
      </c>
      <c r="DY451">
        <v>-8.0390293194327711</v>
      </c>
      <c r="DZ451">
        <v>0</v>
      </c>
      <c r="EA451">
        <v>-8.0390293194327711</v>
      </c>
      <c r="EB451">
        <v>8</v>
      </c>
      <c r="EC451">
        <v>1.4835438703888605E-3</v>
      </c>
      <c r="ED451">
        <v>1.191913108918939E-2</v>
      </c>
      <c r="EE451">
        <v>0</v>
      </c>
      <c r="EF451">
        <v>0</v>
      </c>
      <c r="EG451">
        <v>18.124467451468373</v>
      </c>
      <c r="EH451" t="s">
        <v>110</v>
      </c>
      <c r="EI451">
        <v>0</v>
      </c>
      <c r="EJ451">
        <v>0</v>
      </c>
      <c r="EK451">
        <v>0</v>
      </c>
      <c r="EL451">
        <v>0</v>
      </c>
      <c r="EM451">
        <v>0</v>
      </c>
      <c r="EN451">
        <v>0</v>
      </c>
      <c r="EO451">
        <v>0</v>
      </c>
      <c r="EP451">
        <v>0</v>
      </c>
    </row>
    <row r="452" spans="1:146" ht="96" x14ac:dyDescent="0.25">
      <c r="A452" s="7"/>
      <c r="B452" s="7"/>
      <c r="C452" s="7" t="str">
        <f>""&amp;CHAR(10)&amp;Basic_Fundamental_Information_Constructure(F452)&amp;CHAR(10)&amp;Basic_Fundamental_Information_Concatenate("")</f>
        <v xml:space="preserve">
市值150.08639亿, 利润29.61亿; PE5.07; 平均PE27.15; 平均PEG1.48, PB1.08; ROIC13.9267%; ROE15.5633%; 股利率0%; 毛利44.45%; 净利14.6033%; 上一年度营收增17.8%, 利润增144.71%, 利润增66.02%; 过往5年营收增18.31%, 利润增17.21%
Income profile:
</v>
      </c>
      <c r="D452" s="11">
        <v>3933</v>
      </c>
      <c r="E452" t="s">
        <v>5633</v>
      </c>
      <c r="F452">
        <v>8.26</v>
      </c>
      <c r="G452" s="5">
        <v>-3.1699999999999999E-2</v>
      </c>
      <c r="H452" t="s">
        <v>11989</v>
      </c>
      <c r="I452">
        <v>15008639000</v>
      </c>
      <c r="J452">
        <v>5.07</v>
      </c>
      <c r="K452">
        <v>1.08</v>
      </c>
      <c r="L452" t="s">
        <v>6350</v>
      </c>
      <c r="M452" t="s">
        <v>9</v>
      </c>
      <c r="N452" t="s">
        <v>9</v>
      </c>
      <c r="O452" t="s">
        <v>9</v>
      </c>
      <c r="P452" t="s">
        <v>9</v>
      </c>
      <c r="Q452" t="s">
        <v>10230</v>
      </c>
      <c r="R452">
        <v>2961219900</v>
      </c>
      <c r="S452" s="5">
        <v>0.66020000000000001</v>
      </c>
      <c r="T452" t="s">
        <v>11990</v>
      </c>
      <c r="U452">
        <v>1817026500</v>
      </c>
      <c r="V452">
        <v>1817026500</v>
      </c>
      <c r="W452" t="s">
        <v>9</v>
      </c>
      <c r="X452" t="s">
        <v>9</v>
      </c>
      <c r="Y452" t="s">
        <v>9</v>
      </c>
      <c r="Z452" t="s">
        <v>9</v>
      </c>
      <c r="AA452" t="s">
        <v>9</v>
      </c>
      <c r="AB452" t="s">
        <v>9</v>
      </c>
      <c r="AC452" t="s">
        <v>9</v>
      </c>
      <c r="AD452" t="s">
        <v>5141</v>
      </c>
      <c r="AE452" t="s">
        <v>9</v>
      </c>
      <c r="AF452" t="s">
        <v>9</v>
      </c>
      <c r="AG452" t="s">
        <v>9</v>
      </c>
      <c r="AH452" t="s">
        <v>11991</v>
      </c>
      <c r="AI452" t="s">
        <v>9</v>
      </c>
      <c r="AJ452" t="s">
        <v>9</v>
      </c>
      <c r="AK452" t="s">
        <v>11992</v>
      </c>
      <c r="AL452" t="s">
        <v>9</v>
      </c>
      <c r="AM452" t="s">
        <v>9</v>
      </c>
      <c r="AN452" s="5">
        <v>0.39350000000000002</v>
      </c>
      <c r="AO452" t="s">
        <v>9</v>
      </c>
      <c r="AP452" t="s">
        <v>2317</v>
      </c>
      <c r="AQ452" t="s">
        <v>9</v>
      </c>
      <c r="AR452" t="s">
        <v>11993</v>
      </c>
      <c r="AS452" t="s">
        <v>9</v>
      </c>
      <c r="AT452" t="s">
        <v>9</v>
      </c>
      <c r="AU452" t="s">
        <v>10632</v>
      </c>
      <c r="AV452" t="s">
        <v>7522</v>
      </c>
      <c r="AW452" t="s">
        <v>9</v>
      </c>
      <c r="AX452" t="s">
        <v>5634</v>
      </c>
      <c r="AY452" t="s">
        <v>5637</v>
      </c>
      <c r="AZ452" t="s">
        <v>5638</v>
      </c>
      <c r="BA452" t="s">
        <v>5639</v>
      </c>
      <c r="BB452" t="s">
        <v>4120</v>
      </c>
      <c r="BC452" t="s">
        <v>2815</v>
      </c>
      <c r="BD452" t="s">
        <v>174</v>
      </c>
      <c r="BE452" t="s">
        <v>3885</v>
      </c>
      <c r="BF452" t="s">
        <v>1349</v>
      </c>
      <c r="BG452" t="s">
        <v>5640</v>
      </c>
      <c r="BH452" t="s">
        <v>5634</v>
      </c>
      <c r="BI452" t="s">
        <v>9</v>
      </c>
      <c r="BJ452" t="s">
        <v>5637</v>
      </c>
      <c r="BK452" t="s">
        <v>2360</v>
      </c>
      <c r="BL452" t="s">
        <v>9</v>
      </c>
      <c r="BM452" t="s">
        <v>2815</v>
      </c>
      <c r="BN452">
        <v>19.760000000000002</v>
      </c>
      <c r="BO452">
        <v>13.04</v>
      </c>
      <c r="BP452">
        <v>8.98</v>
      </c>
      <c r="BQ452">
        <v>21.21</v>
      </c>
      <c r="BR452">
        <v>14.9</v>
      </c>
      <c r="BS452">
        <v>10.58</v>
      </c>
      <c r="BT452" t="s">
        <v>11994</v>
      </c>
      <c r="BU452" t="s">
        <v>489</v>
      </c>
      <c r="BV452">
        <v>46.11</v>
      </c>
      <c r="BW452">
        <v>43.84</v>
      </c>
      <c r="BX452">
        <v>43.4</v>
      </c>
      <c r="BY452">
        <v>19.66</v>
      </c>
      <c r="BZ452">
        <v>13.95</v>
      </c>
      <c r="CA452">
        <v>10.199999999999999</v>
      </c>
      <c r="CB452">
        <v>-4.62</v>
      </c>
      <c r="CC452">
        <v>-19.809999999999999</v>
      </c>
      <c r="CD452" t="s">
        <v>11995</v>
      </c>
      <c r="CE452" t="s">
        <v>1969</v>
      </c>
      <c r="CF452" s="8" t="s">
        <v>9</v>
      </c>
      <c r="CG452" s="9">
        <v>0.66020000000000001</v>
      </c>
      <c r="CH452" s="8">
        <v>0.17800717055797577</v>
      </c>
      <c r="CI452" s="8">
        <v>7.6081424951553345E-2</v>
      </c>
      <c r="CJ452" s="8">
        <v>0.13638100028038025</v>
      </c>
      <c r="CK452" s="8">
        <v>0.22263804078102112</v>
      </c>
      <c r="CL452" s="8">
        <v>4.4965788722038269E-2</v>
      </c>
      <c r="CM452" s="9">
        <v>1.4471074342727661</v>
      </c>
      <c r="CN452" s="9">
        <v>0.44391408562660217</v>
      </c>
      <c r="CO452" s="9">
        <v>0.16875872015953064</v>
      </c>
      <c r="CP452" s="9">
        <v>-7.8406170010566711E-2</v>
      </c>
      <c r="CQ452" s="9">
        <v>6.9371800422668457</v>
      </c>
      <c r="CR452">
        <v>27.147479893939774</v>
      </c>
      <c r="CS452">
        <v>1.4825047853478888</v>
      </c>
      <c r="CT452">
        <v>0</v>
      </c>
      <c r="CU452" s="8">
        <v>0.18311900347471238</v>
      </c>
      <c r="CV452" s="9">
        <v>0.17205624021589755</v>
      </c>
      <c r="CW452">
        <v>0.06</v>
      </c>
      <c r="CX452">
        <v>4.5413015367167038</v>
      </c>
      <c r="CY452">
        <v>3304920159.7062483</v>
      </c>
      <c r="CZ452">
        <v>0.18311900347471238</v>
      </c>
      <c r="DA452">
        <v>1.3727019818599921</v>
      </c>
      <c r="DB452">
        <v>10933647068.58185</v>
      </c>
      <c r="DC452">
        <v>0.17396305330097675</v>
      </c>
      <c r="DD452">
        <v>0.60669827840385748</v>
      </c>
      <c r="DE452">
        <v>24738225794.023571</v>
      </c>
      <c r="DF452">
        <v>0.16114472305774691</v>
      </c>
      <c r="DG452">
        <v>0.32104918810234861</v>
      </c>
      <c r="DH452">
        <v>46748721243.348335</v>
      </c>
      <c r="DI452">
        <v>0.14649520277976991</v>
      </c>
      <c r="DJ452">
        <v>0.12356469489739876</v>
      </c>
      <c r="DK452">
        <v>121463813045.16098</v>
      </c>
      <c r="DL452">
        <v>0.12818330243229867</v>
      </c>
      <c r="DM452">
        <v>2961000000</v>
      </c>
      <c r="DN452">
        <v>0.18311900347471238</v>
      </c>
      <c r="DO452">
        <v>15008639000</v>
      </c>
      <c r="DP452" t="e">
        <v>#VALUE!</v>
      </c>
      <c r="DQ452">
        <v>452</v>
      </c>
      <c r="DR452" t="e">
        <v>#VALUE!</v>
      </c>
      <c r="DS452">
        <v>0.48814375978410246</v>
      </c>
      <c r="DT452" t="e">
        <v>#VALUE!</v>
      </c>
      <c r="DU452" t="e">
        <v>#VALUE!</v>
      </c>
      <c r="DV452" t="e">
        <v>#VALUE!</v>
      </c>
      <c r="DW452">
        <v>-8.2332155477031801</v>
      </c>
      <c r="DX452">
        <v>0.35557557251908389</v>
      </c>
      <c r="DY452">
        <v>-8.0316183314002103</v>
      </c>
      <c r="DZ452">
        <v>0</v>
      </c>
      <c r="EA452">
        <v>-8.0316183314002103</v>
      </c>
      <c r="EB452">
        <v>8</v>
      </c>
      <c r="EC452">
        <v>9.7744309177659212E-3</v>
      </c>
      <c r="ED452">
        <v>7.2095811481010325E-2</v>
      </c>
      <c r="EE452">
        <v>0</v>
      </c>
      <c r="EF452">
        <v>0</v>
      </c>
      <c r="EG452">
        <v>22.135575572519084</v>
      </c>
      <c r="EH452" t="s">
        <v>110</v>
      </c>
      <c r="EI452">
        <v>0</v>
      </c>
      <c r="EJ452">
        <v>0</v>
      </c>
      <c r="EK452">
        <v>0</v>
      </c>
      <c r="EL452">
        <v>0</v>
      </c>
      <c r="EM452">
        <v>0</v>
      </c>
      <c r="EN452">
        <v>0</v>
      </c>
      <c r="EO452">
        <v>0</v>
      </c>
      <c r="EP452">
        <v>0</v>
      </c>
    </row>
    <row r="453" spans="1:146" ht="84" x14ac:dyDescent="0.25">
      <c r="A453" s="7"/>
      <c r="B453" s="7"/>
      <c r="C453" s="7" t="str">
        <f>""&amp;CHAR(10)&amp;Basic_Fundamental_Information_Constructure(F453)&amp;CHAR(10)&amp;Basic_Fundamental_Information_Concatenate("")</f>
        <v xml:space="preserve">
市值256.59869亿, 利润27.58亿; PE12.32; 平均PE46.72; 平均PEG2.62, PB.297; ROIC0%; ROE4.93%; 股利率0%; 毛利0%; 净利16.0167%; 上一年度营收增.3%, 利润增-56.13%; 当季营收增-35.6%, 利润增-41.44%; 过往5年营收增17.81%, 利润增50.99%
Income profile:
</v>
      </c>
      <c r="D453" s="11">
        <v>3958</v>
      </c>
      <c r="E453" t="s">
        <v>5641</v>
      </c>
      <c r="F453">
        <v>3.02</v>
      </c>
      <c r="G453" s="5">
        <v>-1.95E-2</v>
      </c>
      <c r="H453" t="s">
        <v>11996</v>
      </c>
      <c r="I453">
        <v>25659869000</v>
      </c>
      <c r="J453">
        <v>12.32</v>
      </c>
      <c r="K453">
        <v>0.29699999999999999</v>
      </c>
      <c r="L453" t="s">
        <v>6350</v>
      </c>
      <c r="M453" t="s">
        <v>11997</v>
      </c>
      <c r="N453" t="s">
        <v>11998</v>
      </c>
      <c r="O453" t="s">
        <v>9703</v>
      </c>
      <c r="P453">
        <v>-25.37</v>
      </c>
      <c r="Q453" t="s">
        <v>11999</v>
      </c>
      <c r="R453">
        <v>2758318700</v>
      </c>
      <c r="S453" s="5">
        <v>-0.41439999999999999</v>
      </c>
      <c r="T453" t="s">
        <v>12000</v>
      </c>
      <c r="U453">
        <v>1027162430</v>
      </c>
      <c r="V453">
        <v>8496645300</v>
      </c>
      <c r="W453">
        <v>4.41</v>
      </c>
      <c r="X453">
        <v>0.01</v>
      </c>
      <c r="Y453">
        <v>32.32</v>
      </c>
      <c r="Z453" t="s">
        <v>9</v>
      </c>
      <c r="AA453" t="s">
        <v>9</v>
      </c>
      <c r="AB453" t="s">
        <v>9</v>
      </c>
      <c r="AC453" t="s">
        <v>1432</v>
      </c>
      <c r="AD453" t="s">
        <v>1310</v>
      </c>
      <c r="AE453" t="s">
        <v>12001</v>
      </c>
      <c r="AF453" t="s">
        <v>2625</v>
      </c>
      <c r="AG453" t="s">
        <v>2781</v>
      </c>
      <c r="AH453" t="s">
        <v>12002</v>
      </c>
      <c r="AI453" t="s">
        <v>12003</v>
      </c>
      <c r="AJ453" t="s">
        <v>9</v>
      </c>
      <c r="AK453" t="s">
        <v>12004</v>
      </c>
      <c r="AL453" t="s">
        <v>9</v>
      </c>
      <c r="AM453" t="s">
        <v>2503</v>
      </c>
      <c r="AN453" s="5">
        <v>0.7732</v>
      </c>
      <c r="AO453" t="s">
        <v>2065</v>
      </c>
      <c r="AP453" t="s">
        <v>12005</v>
      </c>
      <c r="AQ453" t="s">
        <v>9</v>
      </c>
      <c r="AR453" t="s">
        <v>12006</v>
      </c>
      <c r="AS453" t="s">
        <v>12007</v>
      </c>
      <c r="AT453" t="s">
        <v>12008</v>
      </c>
      <c r="AU453" t="s">
        <v>7595</v>
      </c>
      <c r="AV453" t="s">
        <v>12009</v>
      </c>
      <c r="AW453" t="s">
        <v>12010</v>
      </c>
      <c r="AX453" t="s">
        <v>5642</v>
      </c>
      <c r="AY453" t="s">
        <v>5644</v>
      </c>
      <c r="AZ453" t="s">
        <v>5645</v>
      </c>
      <c r="BA453" t="s">
        <v>5646</v>
      </c>
      <c r="BB453" t="s">
        <v>5647</v>
      </c>
      <c r="BC453" t="s">
        <v>926</v>
      </c>
      <c r="BD453" t="s">
        <v>5648</v>
      </c>
      <c r="BE453" t="s">
        <v>5649</v>
      </c>
      <c r="BF453" t="s">
        <v>5650</v>
      </c>
      <c r="BG453" t="s">
        <v>5651</v>
      </c>
      <c r="BH453" t="s">
        <v>5642</v>
      </c>
      <c r="BI453" t="s">
        <v>1646</v>
      </c>
      <c r="BJ453" t="s">
        <v>5644</v>
      </c>
      <c r="BK453" t="s">
        <v>3710</v>
      </c>
      <c r="BL453" t="s">
        <v>1965</v>
      </c>
      <c r="BM453" t="s">
        <v>926</v>
      </c>
      <c r="BN453" t="s">
        <v>9</v>
      </c>
      <c r="BO453" t="s">
        <v>9</v>
      </c>
      <c r="BP453" t="s">
        <v>9</v>
      </c>
      <c r="BQ453">
        <v>3.2</v>
      </c>
      <c r="BR453">
        <v>3.58</v>
      </c>
      <c r="BS453">
        <v>8.01</v>
      </c>
      <c r="BT453" t="s">
        <v>5652</v>
      </c>
      <c r="BU453" t="s">
        <v>826</v>
      </c>
      <c r="BV453" t="s">
        <v>9</v>
      </c>
      <c r="BW453" t="s">
        <v>9</v>
      </c>
      <c r="BX453" t="s">
        <v>9</v>
      </c>
      <c r="BY453">
        <v>12.59</v>
      </c>
      <c r="BZ453">
        <v>14.19</v>
      </c>
      <c r="CA453">
        <v>21.27</v>
      </c>
      <c r="CB453">
        <v>-6.5</v>
      </c>
      <c r="CC453">
        <v>-13.71</v>
      </c>
      <c r="CD453" t="s">
        <v>12011</v>
      </c>
      <c r="CE453" t="s">
        <v>12012</v>
      </c>
      <c r="CF453" s="8">
        <v>-0.35603026257231862</v>
      </c>
      <c r="CG453" s="9">
        <v>-0.41439999999999999</v>
      </c>
      <c r="CH453" s="8">
        <v>2.9677336569875479E-3</v>
      </c>
      <c r="CI453" s="8">
        <v>-0.2265864759683609</v>
      </c>
      <c r="CJ453" s="8">
        <v>0.15490591526031494</v>
      </c>
      <c r="CK453" s="8">
        <v>0.49790281057357788</v>
      </c>
      <c r="CL453" s="8">
        <v>-0.10581585764884949</v>
      </c>
      <c r="CM453" s="9">
        <v>-0.56131696701049805</v>
      </c>
      <c r="CN453" s="9">
        <v>0.99841076135635376</v>
      </c>
      <c r="CO453" s="9">
        <v>0.15619255602359772</v>
      </c>
      <c r="CP453" s="9">
        <v>0.94079881906509399</v>
      </c>
      <c r="CQ453" s="9">
        <v>-0.67089200019836426</v>
      </c>
      <c r="CR453">
        <v>46.722634169769663</v>
      </c>
      <c r="CS453">
        <v>2.6238955399330384</v>
      </c>
      <c r="CT453">
        <v>0</v>
      </c>
      <c r="CU453" s="8">
        <v>0.17806590795516969</v>
      </c>
      <c r="CV453" s="9">
        <v>0.50990672744810583</v>
      </c>
      <c r="CW453">
        <v>0.06</v>
      </c>
      <c r="CX453">
        <v>76.293330648979847</v>
      </c>
      <c r="CY453">
        <v>3065194126.5475078</v>
      </c>
      <c r="CZ453">
        <v>0.17806590795516969</v>
      </c>
      <c r="DA453">
        <v>23.158007517014795</v>
      </c>
      <c r="DB453">
        <v>10098186073.572237</v>
      </c>
      <c r="DC453">
        <v>0.16916261255741119</v>
      </c>
      <c r="DD453">
        <v>10.296365634523283</v>
      </c>
      <c r="DE453">
        <v>22712273174.905304</v>
      </c>
      <c r="DF453">
        <v>0.15669799900054932</v>
      </c>
      <c r="DG453">
        <v>5.4880349838039226</v>
      </c>
      <c r="DH453">
        <v>42611584964.407211</v>
      </c>
      <c r="DI453">
        <v>0.14245272636413575</v>
      </c>
      <c r="DJ453">
        <v>2.1495684755555087</v>
      </c>
      <c r="DK453">
        <v>108791076748.35323</v>
      </c>
      <c r="DL453">
        <v>0.12464613556861877</v>
      </c>
      <c r="DM453">
        <v>2758000000</v>
      </c>
      <c r="DN453">
        <v>0.17806590795516969</v>
      </c>
      <c r="DO453">
        <v>233853869000</v>
      </c>
      <c r="DP453" t="e">
        <v>#VALUE!</v>
      </c>
      <c r="DQ453">
        <v>453</v>
      </c>
      <c r="DR453">
        <v>-0.53409617052748826</v>
      </c>
      <c r="DS453">
        <v>-0.92430672744810582</v>
      </c>
      <c r="DT453">
        <v>-5.6666666666666719E-2</v>
      </c>
      <c r="DU453">
        <v>1.0166666666666666</v>
      </c>
      <c r="DV453">
        <v>0.95999999999999985</v>
      </c>
      <c r="DW453">
        <v>-9.4741064916119626</v>
      </c>
      <c r="DX453">
        <v>0.41973817909220029</v>
      </c>
      <c r="DY453">
        <v>-9.0615097129175268</v>
      </c>
      <c r="DZ453">
        <v>0</v>
      </c>
      <c r="EA453">
        <v>-9.0615097129175268</v>
      </c>
      <c r="EB453">
        <v>9</v>
      </c>
      <c r="EC453">
        <v>1.4398270809303994E-3</v>
      </c>
      <c r="ED453">
        <v>1.1097944738260404E-2</v>
      </c>
      <c r="EE453">
        <v>0</v>
      </c>
      <c r="EF453">
        <v>0</v>
      </c>
      <c r="EG453">
        <v>29.1297381790922</v>
      </c>
      <c r="EH453" t="s">
        <v>110</v>
      </c>
      <c r="EI453">
        <v>0</v>
      </c>
      <c r="EJ453">
        <v>0</v>
      </c>
      <c r="EK453">
        <v>0</v>
      </c>
      <c r="EL453">
        <v>0</v>
      </c>
      <c r="EM453">
        <v>0</v>
      </c>
      <c r="EN453">
        <v>0</v>
      </c>
      <c r="EO453">
        <v>0</v>
      </c>
      <c r="EP453">
        <v>0</v>
      </c>
    </row>
    <row r="454" spans="1:146" ht="96" x14ac:dyDescent="0.25">
      <c r="A454" s="7"/>
      <c r="B454" s="7"/>
      <c r="C454" s="7" t="str">
        <f>""&amp;CHAR(10)&amp;Basic_Fundamental_Information_Constructure(F454)&amp;CHAR(10)&amp;Basic_Fundamental_Information_Concatenate("")</f>
        <v xml:space="preserve">
市值8953.0452亿, 利润1557.09亿; PE5.88; 平均PE34.42; 平均PEG3.97, PB.761; ROIC0%; ROE13.5933%; 毛利0%; 净利40.5267%; 上一年度营收增-4.42%, 利润增9.33%; 当季营收增-18.03%, 利润增-7.48%; 过往5年营收增8.67%, 利润增13.07%
Income profile:
</v>
      </c>
      <c r="D454" s="11">
        <v>3968</v>
      </c>
      <c r="E454" t="s">
        <v>5653</v>
      </c>
      <c r="F454">
        <v>35.5</v>
      </c>
      <c r="G454" s="5">
        <v>-1.4E-3</v>
      </c>
      <c r="H454" t="s">
        <v>12013</v>
      </c>
      <c r="I454">
        <v>895304520000</v>
      </c>
      <c r="J454">
        <v>5.88</v>
      </c>
      <c r="K454">
        <v>0.76100000000000001</v>
      </c>
      <c r="L454" t="s">
        <v>6350</v>
      </c>
      <c r="M454" t="s">
        <v>12014</v>
      </c>
      <c r="N454" t="s">
        <v>12015</v>
      </c>
      <c r="O454" t="s">
        <v>12016</v>
      </c>
      <c r="P454" t="s">
        <v>9</v>
      </c>
      <c r="Q454" t="s">
        <v>12017</v>
      </c>
      <c r="R454">
        <v>155708630000</v>
      </c>
      <c r="S454" s="5">
        <v>-7.4800000000000005E-2</v>
      </c>
      <c r="T454" t="s">
        <v>12018</v>
      </c>
      <c r="U454">
        <v>4590901200</v>
      </c>
      <c r="V454">
        <v>25219846000</v>
      </c>
      <c r="W454">
        <v>10.3</v>
      </c>
      <c r="X454">
        <v>0.01</v>
      </c>
      <c r="Y454">
        <v>51.87</v>
      </c>
      <c r="Z454" t="s">
        <v>9</v>
      </c>
      <c r="AA454" t="s">
        <v>9</v>
      </c>
      <c r="AB454" t="s">
        <v>9</v>
      </c>
      <c r="AC454" t="s">
        <v>9</v>
      </c>
      <c r="AD454" t="s">
        <v>9</v>
      </c>
      <c r="AE454" t="s">
        <v>9</v>
      </c>
      <c r="AF454" t="s">
        <v>9</v>
      </c>
      <c r="AG454" t="s">
        <v>12019</v>
      </c>
      <c r="AH454" t="s">
        <v>12020</v>
      </c>
      <c r="AI454" t="s">
        <v>9</v>
      </c>
      <c r="AJ454" t="s">
        <v>9</v>
      </c>
      <c r="AK454" t="s">
        <v>12021</v>
      </c>
      <c r="AL454" t="s">
        <v>9</v>
      </c>
      <c r="AM454" t="s">
        <v>12022</v>
      </c>
      <c r="AN454" s="5">
        <v>0.90229999999999999</v>
      </c>
      <c r="AO454" t="s">
        <v>9</v>
      </c>
      <c r="AP454" t="s">
        <v>9</v>
      </c>
      <c r="AQ454" t="s">
        <v>9</v>
      </c>
      <c r="AR454" t="s">
        <v>9</v>
      </c>
      <c r="AS454" t="s">
        <v>9</v>
      </c>
      <c r="AT454" t="s">
        <v>9</v>
      </c>
      <c r="AU454" t="s">
        <v>12023</v>
      </c>
      <c r="AV454" t="s">
        <v>12024</v>
      </c>
      <c r="AW454" t="s">
        <v>2241</v>
      </c>
      <c r="AX454" t="s">
        <v>5654</v>
      </c>
      <c r="AY454" t="s">
        <v>5656</v>
      </c>
      <c r="AZ454" t="s">
        <v>5657</v>
      </c>
      <c r="BA454" t="s">
        <v>5658</v>
      </c>
      <c r="BB454" t="s">
        <v>5659</v>
      </c>
      <c r="BC454" t="s">
        <v>5660</v>
      </c>
      <c r="BD454" t="s">
        <v>5661</v>
      </c>
      <c r="BE454" t="s">
        <v>5662</v>
      </c>
      <c r="BF454" t="s">
        <v>5663</v>
      </c>
      <c r="BG454" t="s">
        <v>5664</v>
      </c>
      <c r="BH454" t="s">
        <v>5654</v>
      </c>
      <c r="BI454" t="s">
        <v>5665</v>
      </c>
      <c r="BJ454" t="s">
        <v>5656</v>
      </c>
      <c r="BK454" t="s">
        <v>5655</v>
      </c>
      <c r="BL454" t="s">
        <v>5666</v>
      </c>
      <c r="BM454" t="s">
        <v>5660</v>
      </c>
      <c r="BN454" t="s">
        <v>9</v>
      </c>
      <c r="BO454" t="s">
        <v>9</v>
      </c>
      <c r="BP454" t="s">
        <v>9</v>
      </c>
      <c r="BQ454">
        <v>13.2</v>
      </c>
      <c r="BR454">
        <v>14.04</v>
      </c>
      <c r="BS454">
        <v>13.54</v>
      </c>
      <c r="BT454" t="s">
        <v>12025</v>
      </c>
      <c r="BU454" t="s">
        <v>422</v>
      </c>
      <c r="BV454" t="s">
        <v>9</v>
      </c>
      <c r="BW454" t="s">
        <v>9</v>
      </c>
      <c r="BX454" t="s">
        <v>9</v>
      </c>
      <c r="BY454">
        <v>43.97</v>
      </c>
      <c r="BZ454">
        <v>40.700000000000003</v>
      </c>
      <c r="CA454">
        <v>36.909999999999997</v>
      </c>
      <c r="CB454">
        <v>-0.56000000000000005</v>
      </c>
      <c r="CC454">
        <v>-4.3099999999999996</v>
      </c>
      <c r="CD454" t="s">
        <v>12026</v>
      </c>
      <c r="CE454" t="s">
        <v>2132</v>
      </c>
      <c r="CF454" s="8">
        <v>-0.18032961379481641</v>
      </c>
      <c r="CG454" s="9">
        <v>-7.4800000000000005E-2</v>
      </c>
      <c r="CH454" s="8">
        <v>-4.4216718524694443E-2</v>
      </c>
      <c r="CI454" s="8">
        <v>-3.6969274282455444E-2</v>
      </c>
      <c r="CJ454" s="8">
        <v>0.17026130855083466</v>
      </c>
      <c r="CK454" s="8">
        <v>0.21735823154449463</v>
      </c>
      <c r="CL454" s="8">
        <v>6.6651493310928345E-2</v>
      </c>
      <c r="CM454" s="9">
        <v>9.3308500945568085E-2</v>
      </c>
      <c r="CN454" s="9">
        <v>0.24870680272579193</v>
      </c>
      <c r="CO454" s="9">
        <v>9.9008433520793915E-2</v>
      </c>
      <c r="CP454" s="9">
        <v>0.13140226900577545</v>
      </c>
      <c r="CQ454" s="9">
        <v>9.0638861060142517E-2</v>
      </c>
      <c r="CR454">
        <v>34.424847048068024</v>
      </c>
      <c r="CS454">
        <v>3.9703642286013698</v>
      </c>
      <c r="CT454" t="e">
        <v>#VALUE!</v>
      </c>
      <c r="CU454" s="8">
        <v>8.6704506352543828E-2</v>
      </c>
      <c r="CV454" s="9">
        <v>0.13065413832664491</v>
      </c>
      <c r="CW454">
        <v>0.06</v>
      </c>
      <c r="CX454">
        <v>68.238990219121661</v>
      </c>
      <c r="CY454">
        <v>159631766018.53607</v>
      </c>
      <c r="CZ454">
        <v>8.6704506352543828E-2</v>
      </c>
      <c r="DA454">
        <v>22.362204853445157</v>
      </c>
      <c r="DB454">
        <v>487121488752.56323</v>
      </c>
      <c r="DC454">
        <v>8.2369281034916628E-2</v>
      </c>
      <c r="DD454">
        <v>11.049518393349347</v>
      </c>
      <c r="DE454">
        <v>985844824382.25659</v>
      </c>
      <c r="DF454">
        <v>7.6299965590238564E-2</v>
      </c>
      <c r="DG454">
        <v>6.6633434659268991</v>
      </c>
      <c r="DH454">
        <v>1634781484055.5757</v>
      </c>
      <c r="DI454">
        <v>6.9363605082035068E-2</v>
      </c>
      <c r="DJ454">
        <v>3.4739547377436413</v>
      </c>
      <c r="DK454">
        <v>3135651251194.814</v>
      </c>
      <c r="DL454">
        <v>6.0693154446780674E-2</v>
      </c>
      <c r="DM454">
        <v>155709000000</v>
      </c>
      <c r="DN454">
        <v>8.6704506352543828E-2</v>
      </c>
      <c r="DO454">
        <v>10893110520000</v>
      </c>
      <c r="DP454" t="e">
        <v>#VALUE!</v>
      </c>
      <c r="DQ454">
        <v>454</v>
      </c>
      <c r="DR454">
        <v>-0.26703412014736022</v>
      </c>
      <c r="DS454">
        <v>-0.20545413832664491</v>
      </c>
      <c r="DT454">
        <v>-0.19000000000000003</v>
      </c>
      <c r="DU454">
        <v>0.78333333333333321</v>
      </c>
      <c r="DV454">
        <v>0.59333333333333316</v>
      </c>
      <c r="DW454">
        <v>-1.0430999999999999</v>
      </c>
      <c r="DX454">
        <v>0.54994875444839864</v>
      </c>
      <c r="DY454">
        <v>-1.007324791316726</v>
      </c>
      <c r="DZ454">
        <v>0</v>
      </c>
      <c r="EA454">
        <v>-1.007324791316726</v>
      </c>
      <c r="EB454">
        <v>1</v>
      </c>
      <c r="EC454">
        <v>3.7871444575831277E-3</v>
      </c>
      <c r="ED454">
        <v>2.2284037737581745E-2</v>
      </c>
      <c r="EE454">
        <v>0</v>
      </c>
      <c r="EF454">
        <v>0</v>
      </c>
      <c r="EG454">
        <v>38.169948754448399</v>
      </c>
      <c r="EH454" t="s">
        <v>110</v>
      </c>
      <c r="EI454">
        <v>0</v>
      </c>
      <c r="EJ454">
        <v>0</v>
      </c>
      <c r="EK454">
        <v>0</v>
      </c>
      <c r="EL454">
        <v>0</v>
      </c>
      <c r="EM454">
        <v>0</v>
      </c>
      <c r="EN454">
        <v>0</v>
      </c>
      <c r="EO454">
        <v>0</v>
      </c>
      <c r="EP454">
        <v>0</v>
      </c>
    </row>
    <row r="455" spans="1:146" ht="96" x14ac:dyDescent="0.25">
      <c r="A455" s="7"/>
      <c r="B455" s="7"/>
      <c r="C455" s="7" t="str">
        <f>""&amp;CHAR(10)&amp;Basic_Fundamental_Information_Constructure(F455)&amp;CHAR(10)&amp;Basic_Fundamental_Information_Concatenate("")</f>
        <v xml:space="preserve">
市值350.52301亿, 利润38.12亿; PE9.5; 平均PE49.36; 平均PEG22.88, PB.685; ROIC7.2033%; ROE7.6567%; 股利率0%; 毛利23.4467%; 净利10.2833%; 上一年度营收增-10.48%, 利润增-4.94%; 当季营收增-17.6%, 利润增-15.86%; 过往5年营收增2.16%, 利润增-6.94%
Income profile:
</v>
      </c>
      <c r="D455" s="11">
        <v>3969</v>
      </c>
      <c r="E455" t="s">
        <v>5667</v>
      </c>
      <c r="F455">
        <v>3.31</v>
      </c>
      <c r="G455" s="5">
        <v>-2.07E-2</v>
      </c>
      <c r="H455" t="s">
        <v>12027</v>
      </c>
      <c r="I455">
        <v>35052301000</v>
      </c>
      <c r="J455">
        <v>9.5</v>
      </c>
      <c r="K455">
        <v>0.68500000000000005</v>
      </c>
      <c r="L455" t="s">
        <v>6350</v>
      </c>
      <c r="M455" t="s">
        <v>12028</v>
      </c>
      <c r="N455" t="s">
        <v>12029</v>
      </c>
      <c r="O455" t="s">
        <v>12030</v>
      </c>
      <c r="P455">
        <v>-12.74</v>
      </c>
      <c r="Q455" t="s">
        <v>12031</v>
      </c>
      <c r="R455">
        <v>3811845500</v>
      </c>
      <c r="S455" s="5">
        <v>-0.15859999999999999</v>
      </c>
      <c r="T455" t="s">
        <v>12032</v>
      </c>
      <c r="U455">
        <v>1968801000</v>
      </c>
      <c r="V455">
        <v>10589819000</v>
      </c>
      <c r="W455">
        <v>2.4900000000000002</v>
      </c>
      <c r="X455">
        <v>0.05</v>
      </c>
      <c r="Y455">
        <v>13.55</v>
      </c>
      <c r="Z455" t="s">
        <v>1521</v>
      </c>
      <c r="AA455" t="s">
        <v>12033</v>
      </c>
      <c r="AB455" t="s">
        <v>15</v>
      </c>
      <c r="AC455" t="s">
        <v>3143</v>
      </c>
      <c r="AD455" t="s">
        <v>12034</v>
      </c>
      <c r="AE455" t="s">
        <v>12035</v>
      </c>
      <c r="AF455" t="s">
        <v>9</v>
      </c>
      <c r="AG455" t="s">
        <v>12036</v>
      </c>
      <c r="AH455" t="s">
        <v>12037</v>
      </c>
      <c r="AI455" t="s">
        <v>12038</v>
      </c>
      <c r="AJ455" t="s">
        <v>12039</v>
      </c>
      <c r="AK455" t="s">
        <v>12040</v>
      </c>
      <c r="AL455" t="s">
        <v>9</v>
      </c>
      <c r="AM455" t="s">
        <v>12041</v>
      </c>
      <c r="AN455" s="5">
        <v>0.57969999999999999</v>
      </c>
      <c r="AO455" t="s">
        <v>12042</v>
      </c>
      <c r="AP455" t="s">
        <v>12043</v>
      </c>
      <c r="AQ455" t="s">
        <v>12044</v>
      </c>
      <c r="AR455" t="s">
        <v>12045</v>
      </c>
      <c r="AS455" t="s">
        <v>12046</v>
      </c>
      <c r="AT455" t="s">
        <v>12047</v>
      </c>
      <c r="AU455" t="s">
        <v>3647</v>
      </c>
      <c r="AV455" t="s">
        <v>12048</v>
      </c>
      <c r="AW455" t="s">
        <v>12049</v>
      </c>
      <c r="AX455" t="s">
        <v>5669</v>
      </c>
      <c r="AY455" t="s">
        <v>5671</v>
      </c>
      <c r="AZ455" t="s">
        <v>5672</v>
      </c>
      <c r="BA455" t="s">
        <v>5673</v>
      </c>
      <c r="BB455" t="s">
        <v>5674</v>
      </c>
      <c r="BC455" t="s">
        <v>3914</v>
      </c>
      <c r="BD455" t="s">
        <v>5675</v>
      </c>
      <c r="BE455" t="s">
        <v>5676</v>
      </c>
      <c r="BF455" t="s">
        <v>670</v>
      </c>
      <c r="BG455" t="s">
        <v>5527</v>
      </c>
      <c r="BH455" t="s">
        <v>5669</v>
      </c>
      <c r="BI455" t="s">
        <v>5677</v>
      </c>
      <c r="BJ455" t="s">
        <v>5671</v>
      </c>
      <c r="BK455" t="s">
        <v>5095</v>
      </c>
      <c r="BL455" t="s">
        <v>169</v>
      </c>
      <c r="BM455" t="s">
        <v>3914</v>
      </c>
      <c r="BN455">
        <v>6.88</v>
      </c>
      <c r="BO455">
        <v>7.6</v>
      </c>
      <c r="BP455">
        <v>7.13</v>
      </c>
      <c r="BQ455">
        <v>7.43</v>
      </c>
      <c r="BR455">
        <v>8.02</v>
      </c>
      <c r="BS455">
        <v>7.52</v>
      </c>
      <c r="BT455" t="s">
        <v>12050</v>
      </c>
      <c r="BU455" t="s">
        <v>551</v>
      </c>
      <c r="BV455">
        <v>25.41</v>
      </c>
      <c r="BW455">
        <v>23.26</v>
      </c>
      <c r="BX455">
        <v>21.67</v>
      </c>
      <c r="BY455">
        <v>10.9</v>
      </c>
      <c r="BZ455">
        <v>10.26</v>
      </c>
      <c r="CA455">
        <v>9.69</v>
      </c>
      <c r="CB455">
        <v>3.76</v>
      </c>
      <c r="CC455">
        <v>1.1299999999999999</v>
      </c>
      <c r="CD455" t="s">
        <v>12051</v>
      </c>
      <c r="CE455" t="s">
        <v>2137</v>
      </c>
      <c r="CF455" s="8">
        <v>-0.17602070831862562</v>
      </c>
      <c r="CG455" s="9">
        <v>-0.15859999999999999</v>
      </c>
      <c r="CH455" s="8">
        <v>-0.10476946830749512</v>
      </c>
      <c r="CI455" s="8">
        <v>-3.3434033393859863E-2</v>
      </c>
      <c r="CJ455" s="8">
        <v>-1.8738230690360069E-2</v>
      </c>
      <c r="CK455" s="8">
        <v>4.3724469840526581E-2</v>
      </c>
      <c r="CL455" s="8">
        <v>0.10355360805988312</v>
      </c>
      <c r="CM455" s="9">
        <v>-4.9376528710126877E-2</v>
      </c>
      <c r="CN455" s="9">
        <v>-0.11906857043504715</v>
      </c>
      <c r="CO455" s="9">
        <v>6.7542210221290588E-2</v>
      </c>
      <c r="CP455" s="9">
        <v>9.8685920238494873E-2</v>
      </c>
      <c r="CQ455" s="9">
        <v>-2.1925419569015503E-2</v>
      </c>
      <c r="CR455">
        <v>49.36268715926316</v>
      </c>
      <c r="CS455">
        <v>22.876751670687213</v>
      </c>
      <c r="CT455">
        <v>0</v>
      </c>
      <c r="CU455" s="8">
        <v>2.1577664464712144E-2</v>
      </c>
      <c r="CV455" s="9">
        <v>-6.9388585537672048E-2</v>
      </c>
      <c r="CW455">
        <v>0.06</v>
      </c>
      <c r="CX455">
        <v>15.065580776747909</v>
      </c>
      <c r="CY455">
        <v>3673824582.0183787</v>
      </c>
      <c r="CZ455">
        <v>2.1577664464712144E-2</v>
      </c>
      <c r="DA455">
        <v>5.2192503670538795</v>
      </c>
      <c r="DB455">
        <v>10604645707.242163</v>
      </c>
      <c r="DC455">
        <v>2.0498781241476534E-2</v>
      </c>
      <c r="DD455">
        <v>2.7719972029313804</v>
      </c>
      <c r="DE455">
        <v>19966939700.180546</v>
      </c>
      <c r="DF455">
        <v>1.8988344728946685E-2</v>
      </c>
      <c r="DG455">
        <v>1.8081023817976514</v>
      </c>
      <c r="DH455">
        <v>30611264913.534168</v>
      </c>
      <c r="DI455">
        <v>1.7262131571769715E-2</v>
      </c>
      <c r="DJ455">
        <v>1.1087443864981996</v>
      </c>
      <c r="DK455">
        <v>49919802683.113632</v>
      </c>
      <c r="DL455">
        <v>1.5104365125298499E-2</v>
      </c>
      <c r="DM455">
        <v>3811999999.9999995</v>
      </c>
      <c r="DN455">
        <v>2.1577664464712144E-2</v>
      </c>
      <c r="DO455">
        <v>55348301000.000008</v>
      </c>
      <c r="DP455" t="e">
        <v>#VALUE!</v>
      </c>
      <c r="DQ455">
        <v>455</v>
      </c>
      <c r="DR455">
        <v>-0.19759837278333778</v>
      </c>
      <c r="DS455">
        <v>-8.9211414462327943E-2</v>
      </c>
      <c r="DT455">
        <v>-0.3066666666666667</v>
      </c>
      <c r="DU455">
        <v>0.41666666666666669</v>
      </c>
      <c r="DV455">
        <v>0.10999999999999999</v>
      </c>
      <c r="DW455">
        <v>4.3005319148936172</v>
      </c>
      <c r="DX455">
        <v>0.34640344827586278</v>
      </c>
      <c r="DY455">
        <v>4.0590255044020545</v>
      </c>
      <c r="DZ455">
        <v>0</v>
      </c>
      <c r="EA455">
        <v>4.0590255044020545</v>
      </c>
      <c r="EB455">
        <v>4</v>
      </c>
      <c r="EC455">
        <v>5.3784677528482781E-3</v>
      </c>
      <c r="ED455">
        <v>2.738479288456205E-2</v>
      </c>
      <c r="EE455">
        <v>0</v>
      </c>
      <c r="EF455">
        <v>0</v>
      </c>
      <c r="EG455">
        <v>15.196403448275863</v>
      </c>
      <c r="EH455" t="s">
        <v>110</v>
      </c>
      <c r="EI455">
        <v>0</v>
      </c>
      <c r="EJ455">
        <v>0</v>
      </c>
      <c r="EK455">
        <v>0</v>
      </c>
      <c r="EL455">
        <v>0</v>
      </c>
      <c r="EM455">
        <v>0</v>
      </c>
      <c r="EN455">
        <v>0</v>
      </c>
      <c r="EO455">
        <v>0</v>
      </c>
      <c r="EP455">
        <v>0</v>
      </c>
    </row>
    <row r="456" spans="1:146" ht="96" x14ac:dyDescent="0.25">
      <c r="A456" s="7"/>
      <c r="B456" s="7"/>
      <c r="C456" s="7" t="str">
        <f>""&amp;CHAR(10)&amp;Basic_Fundamental_Information_Constructure(F456)&amp;CHAR(10)&amp;Basic_Fundamental_Information_Concatenate("")</f>
        <v xml:space="preserve">
市值11186.7361亿, 利润2374.46亿; PE4.82; 平均PE28.24; 平均PEG.82, PB.409; ROIC0%; ROE8.77%; 毛利0%; 净利38.58%; 上一年度营收增3.65%, 利润增-5.83%; 当季营收增-5.77%, 利润增-8.37%; 过往5年营收增34.42%, 利润增7.52%
Income profile:
</v>
      </c>
      <c r="D456" s="11">
        <v>3988</v>
      </c>
      <c r="E456" t="s">
        <v>5678</v>
      </c>
      <c r="F456">
        <v>3.8</v>
      </c>
      <c r="G456" s="5">
        <v>-5.1999999999999998E-3</v>
      </c>
      <c r="H456" t="s">
        <v>6352</v>
      </c>
      <c r="I456">
        <v>1118673610000</v>
      </c>
      <c r="J456">
        <v>4.82</v>
      </c>
      <c r="K456">
        <v>0.40899999999999997</v>
      </c>
      <c r="L456" t="s">
        <v>6350</v>
      </c>
      <c r="M456" t="s">
        <v>12052</v>
      </c>
      <c r="N456" t="s">
        <v>12053</v>
      </c>
      <c r="O456" t="s">
        <v>12054</v>
      </c>
      <c r="P456" t="s">
        <v>9</v>
      </c>
      <c r="Q456" t="s">
        <v>12055</v>
      </c>
      <c r="R456">
        <v>237445690000</v>
      </c>
      <c r="S456" s="5">
        <v>-8.3699999999999997E-2</v>
      </c>
      <c r="T456" t="s">
        <v>12056</v>
      </c>
      <c r="U456">
        <v>83622276000</v>
      </c>
      <c r="V456">
        <v>294387790000</v>
      </c>
      <c r="W456">
        <v>12.68</v>
      </c>
      <c r="X456">
        <v>0</v>
      </c>
      <c r="Y456">
        <v>43.88</v>
      </c>
      <c r="Z456" t="s">
        <v>9</v>
      </c>
      <c r="AA456" t="s">
        <v>9</v>
      </c>
      <c r="AB456" t="s">
        <v>9</v>
      </c>
      <c r="AC456" t="s">
        <v>9</v>
      </c>
      <c r="AD456" t="s">
        <v>9</v>
      </c>
      <c r="AE456" t="s">
        <v>9</v>
      </c>
      <c r="AF456" t="s">
        <v>9</v>
      </c>
      <c r="AG456" t="s">
        <v>12057</v>
      </c>
      <c r="AH456" t="s">
        <v>12058</v>
      </c>
      <c r="AI456" t="s">
        <v>9</v>
      </c>
      <c r="AJ456" t="s">
        <v>9</v>
      </c>
      <c r="AK456" t="s">
        <v>12059</v>
      </c>
      <c r="AL456" t="s">
        <v>9</v>
      </c>
      <c r="AM456" t="s">
        <v>12060</v>
      </c>
      <c r="AN456" s="5">
        <v>0.9173</v>
      </c>
      <c r="AO456" t="s">
        <v>9</v>
      </c>
      <c r="AP456" t="s">
        <v>9</v>
      </c>
      <c r="AQ456" t="s">
        <v>9</v>
      </c>
      <c r="AR456" t="s">
        <v>9</v>
      </c>
      <c r="AS456" t="s">
        <v>9</v>
      </c>
      <c r="AT456" t="s">
        <v>9</v>
      </c>
      <c r="AU456" t="s">
        <v>12061</v>
      </c>
      <c r="AV456" t="s">
        <v>12062</v>
      </c>
      <c r="AW456" t="s">
        <v>12063</v>
      </c>
      <c r="AX456" t="s">
        <v>12064</v>
      </c>
      <c r="AY456" t="s">
        <v>5680</v>
      </c>
      <c r="AZ456" t="s">
        <v>5681</v>
      </c>
      <c r="BA456" t="s">
        <v>5682</v>
      </c>
      <c r="BB456" t="s">
        <v>5683</v>
      </c>
      <c r="BC456" t="s">
        <v>5684</v>
      </c>
      <c r="BD456" t="s">
        <v>5685</v>
      </c>
      <c r="BE456" t="s">
        <v>5686</v>
      </c>
      <c r="BF456" t="s">
        <v>5687</v>
      </c>
      <c r="BG456" t="s">
        <v>5688</v>
      </c>
      <c r="BH456" t="s">
        <v>12064</v>
      </c>
      <c r="BI456" t="s">
        <v>5689</v>
      </c>
      <c r="BJ456" t="s">
        <v>5680</v>
      </c>
      <c r="BK456" t="s">
        <v>5679</v>
      </c>
      <c r="BL456" t="s">
        <v>12065</v>
      </c>
      <c r="BM456" t="s">
        <v>5684</v>
      </c>
      <c r="BN456" t="s">
        <v>9</v>
      </c>
      <c r="BO456" t="s">
        <v>9</v>
      </c>
      <c r="BP456" t="s">
        <v>9</v>
      </c>
      <c r="BQ456">
        <v>8.24</v>
      </c>
      <c r="BR456">
        <v>8.82</v>
      </c>
      <c r="BS456">
        <v>9.25</v>
      </c>
      <c r="BT456" t="s">
        <v>12066</v>
      </c>
      <c r="BU456" t="s">
        <v>422</v>
      </c>
      <c r="BV456" t="s">
        <v>9</v>
      </c>
      <c r="BW456" t="s">
        <v>9</v>
      </c>
      <c r="BX456" t="s">
        <v>9</v>
      </c>
      <c r="BY456">
        <v>39.520000000000003</v>
      </c>
      <c r="BZ456">
        <v>38.49</v>
      </c>
      <c r="CA456">
        <v>37.729999999999997</v>
      </c>
      <c r="CB456">
        <v>-2.31</v>
      </c>
      <c r="CC456">
        <v>2.98</v>
      </c>
      <c r="CD456" t="s">
        <v>3959</v>
      </c>
      <c r="CE456" t="s">
        <v>12067</v>
      </c>
      <c r="CF456" s="8">
        <v>-5.7680261118987178E-2</v>
      </c>
      <c r="CG456" s="9">
        <v>-8.3699999999999997E-2</v>
      </c>
      <c r="CH456" s="8">
        <v>3.6496791988611221E-2</v>
      </c>
      <c r="CI456" s="8">
        <v>-0.10646586120128632</v>
      </c>
      <c r="CJ456" s="8">
        <v>0.10912075638771057</v>
      </c>
      <c r="CK456" s="8">
        <v>0.16614422202110291</v>
      </c>
      <c r="CL456" s="8">
        <v>-1.1559538543224335E-2</v>
      </c>
      <c r="CM456" s="9">
        <v>-5.825471505522728E-2</v>
      </c>
      <c r="CN456" s="9">
        <v>0.16975648701190948</v>
      </c>
      <c r="CO456" s="9">
        <v>2.921808697283268E-2</v>
      </c>
      <c r="CP456" s="9">
        <v>2.1356187760829926E-2</v>
      </c>
      <c r="CQ456" s="9">
        <v>3.2452035695314407E-2</v>
      </c>
      <c r="CR456">
        <v>28.236653664587294</v>
      </c>
      <c r="CS456">
        <v>0.82028655835775288</v>
      </c>
      <c r="CT456" t="e">
        <v>#VALUE!</v>
      </c>
      <c r="CU456" s="8">
        <v>0.34422914013266565</v>
      </c>
      <c r="CV456" s="9">
        <v>7.5166323781013483E-2</v>
      </c>
      <c r="CW456">
        <v>0.06</v>
      </c>
      <c r="CX456">
        <v>104.33644708210365</v>
      </c>
      <c r="CY456">
        <v>301114936233.90649</v>
      </c>
      <c r="CZ456">
        <v>0.34422914013266565</v>
      </c>
      <c r="DA456">
        <v>27.67350246772682</v>
      </c>
      <c r="DB456">
        <v>1135283206259.822</v>
      </c>
      <c r="DC456">
        <v>0.32701768312603235</v>
      </c>
      <c r="DD456">
        <v>10.073695063690696</v>
      </c>
      <c r="DE456">
        <v>3118742667051.6733</v>
      </c>
      <c r="DF456">
        <v>0.30292164331674576</v>
      </c>
      <c r="DG456">
        <v>4.1700256104960545</v>
      </c>
      <c r="DH456">
        <v>7534069462528.4785</v>
      </c>
      <c r="DI456">
        <v>0.27538331210613254</v>
      </c>
      <c r="DJ456">
        <v>0.86171490129499173</v>
      </c>
      <c r="DK456">
        <v>36458998867010.305</v>
      </c>
      <c r="DL456">
        <v>0.24096039809286593</v>
      </c>
      <c r="DM456">
        <v>237446000000</v>
      </c>
      <c r="DN456">
        <v>0.34422914013266565</v>
      </c>
      <c r="DO456">
        <v>31417262610000</v>
      </c>
      <c r="DP456" t="e">
        <v>#VALUE!</v>
      </c>
      <c r="DQ456">
        <v>456</v>
      </c>
      <c r="DR456">
        <v>-0.40190940125165281</v>
      </c>
      <c r="DS456">
        <v>-0.15886632378101348</v>
      </c>
      <c r="DT456">
        <v>-4.0000000000000036E-2</v>
      </c>
      <c r="DU456">
        <v>0.48333333333333334</v>
      </c>
      <c r="DV456">
        <v>0.4433333333333333</v>
      </c>
      <c r="DW456">
        <v>1.0298</v>
      </c>
      <c r="DX456">
        <v>0.31564607787823573</v>
      </c>
      <c r="DY456">
        <v>1.0028502531207715</v>
      </c>
      <c r="DZ456">
        <v>0</v>
      </c>
      <c r="EA456">
        <v>1.0028502531207715</v>
      </c>
      <c r="EB456">
        <v>1</v>
      </c>
      <c r="EC456">
        <v>4.1713686562883604E-3</v>
      </c>
      <c r="ED456">
        <v>4.3612542490298251E-2</v>
      </c>
      <c r="EE456">
        <v>0</v>
      </c>
      <c r="EF456">
        <v>0</v>
      </c>
      <c r="EG456">
        <v>22.095646077878236</v>
      </c>
      <c r="EH456" t="s">
        <v>110</v>
      </c>
      <c r="EI456">
        <v>0</v>
      </c>
      <c r="EJ456">
        <v>0</v>
      </c>
      <c r="EK456">
        <v>0</v>
      </c>
      <c r="EL456">
        <v>0</v>
      </c>
      <c r="EM456">
        <v>0</v>
      </c>
      <c r="EN456">
        <v>0</v>
      </c>
      <c r="EO456">
        <v>0</v>
      </c>
      <c r="EP456">
        <v>0</v>
      </c>
    </row>
    <row r="457" spans="1:146" ht="96" x14ac:dyDescent="0.25">
      <c r="A457" s="7"/>
      <c r="B457" s="7"/>
      <c r="C457" s="7" t="str">
        <f>""&amp;CHAR(10)&amp;Basic_Fundamental_Information_Constructure(F457)&amp;CHAR(10)&amp;Basic_Fundamental_Information_Concatenate("")</f>
        <v xml:space="preserve">
市值94.162993亿, 利润10.01亿; PE9.4; 平均PE42.23; 平均PEG3.68, PB155.4; ROIC2.75%; ROE8.8233%; 股利率0%; 毛利15.0667%; 净利4.98%; 上一年度营收增-2.92%, 利润增-78.16%, 利润增-99.95%; 过往5年营收增11.47%, 利润增-.42%
Income profile:
</v>
      </c>
      <c r="D457" s="11">
        <v>3990</v>
      </c>
      <c r="E457" t="s">
        <v>5690</v>
      </c>
      <c r="F457">
        <v>6.56</v>
      </c>
      <c r="G457" s="5">
        <v>-7.6E-3</v>
      </c>
      <c r="H457" t="s">
        <v>12068</v>
      </c>
      <c r="I457">
        <v>9416299300</v>
      </c>
      <c r="J457">
        <v>9.4</v>
      </c>
      <c r="K457">
        <v>155.4</v>
      </c>
      <c r="L457" t="s">
        <v>6350</v>
      </c>
      <c r="M457" t="s">
        <v>2579</v>
      </c>
      <c r="N457" t="s">
        <v>12069</v>
      </c>
      <c r="O457" t="s">
        <v>12070</v>
      </c>
      <c r="P457" t="s">
        <v>9</v>
      </c>
      <c r="Q457" t="s">
        <v>12071</v>
      </c>
      <c r="R457">
        <v>1001470780</v>
      </c>
      <c r="S457" s="5">
        <v>-0.99950000000000006</v>
      </c>
      <c r="T457" t="s">
        <v>3705</v>
      </c>
      <c r="U457">
        <v>1435411500</v>
      </c>
      <c r="V457">
        <v>1435411500</v>
      </c>
      <c r="W457" t="s">
        <v>9</v>
      </c>
      <c r="X457" t="s">
        <v>9</v>
      </c>
      <c r="Y457" t="s">
        <v>9</v>
      </c>
      <c r="Z457" t="s">
        <v>9</v>
      </c>
      <c r="AA457" t="s">
        <v>9</v>
      </c>
      <c r="AB457" t="s">
        <v>9</v>
      </c>
      <c r="AC457" t="s">
        <v>9</v>
      </c>
      <c r="AD457" t="s">
        <v>9</v>
      </c>
      <c r="AE457" t="s">
        <v>9</v>
      </c>
      <c r="AF457" t="s">
        <v>9</v>
      </c>
      <c r="AG457" t="s">
        <v>9</v>
      </c>
      <c r="AH457" t="s">
        <v>12072</v>
      </c>
      <c r="AI457" t="s">
        <v>12073</v>
      </c>
      <c r="AJ457" t="s">
        <v>9</v>
      </c>
      <c r="AK457" t="s">
        <v>12074</v>
      </c>
      <c r="AL457" t="s">
        <v>9</v>
      </c>
      <c r="AM457" t="s">
        <v>9</v>
      </c>
      <c r="AN457" s="5">
        <v>0.75139999999999996</v>
      </c>
      <c r="AO457" t="s">
        <v>9</v>
      </c>
      <c r="AP457" t="s">
        <v>12075</v>
      </c>
      <c r="AQ457" t="s">
        <v>9</v>
      </c>
      <c r="AR457" t="s">
        <v>12076</v>
      </c>
      <c r="AS457" t="s">
        <v>9</v>
      </c>
      <c r="AT457" t="s">
        <v>9</v>
      </c>
      <c r="AU457" t="s">
        <v>4174</v>
      </c>
      <c r="AV457" t="s">
        <v>11794</v>
      </c>
      <c r="AW457" t="s">
        <v>9</v>
      </c>
      <c r="AX457" t="s">
        <v>5691</v>
      </c>
      <c r="AY457" t="s">
        <v>5693</v>
      </c>
      <c r="AZ457" t="s">
        <v>5694</v>
      </c>
      <c r="BA457" t="s">
        <v>5695</v>
      </c>
      <c r="BB457" t="s">
        <v>5696</v>
      </c>
      <c r="BC457" t="s">
        <v>4850</v>
      </c>
      <c r="BD457" t="s">
        <v>5697</v>
      </c>
      <c r="BE457" t="s">
        <v>5698</v>
      </c>
      <c r="BF457" t="s">
        <v>776</v>
      </c>
      <c r="BG457" t="s">
        <v>5699</v>
      </c>
      <c r="BH457" t="s">
        <v>5691</v>
      </c>
      <c r="BI457" t="s">
        <v>9</v>
      </c>
      <c r="BJ457" t="s">
        <v>5693</v>
      </c>
      <c r="BK457" t="s">
        <v>5692</v>
      </c>
      <c r="BL457" t="s">
        <v>9</v>
      </c>
      <c r="BM457" t="s">
        <v>4850</v>
      </c>
      <c r="BN457">
        <v>1.34</v>
      </c>
      <c r="BO457">
        <v>2.25</v>
      </c>
      <c r="BP457">
        <v>4.66</v>
      </c>
      <c r="BQ457">
        <v>3.61</v>
      </c>
      <c r="BR457">
        <v>6.94</v>
      </c>
      <c r="BS457">
        <v>15.92</v>
      </c>
      <c r="BT457" t="s">
        <v>5700</v>
      </c>
      <c r="BU457" t="s">
        <v>410</v>
      </c>
      <c r="BV457">
        <v>11.53</v>
      </c>
      <c r="BW457">
        <v>15.36</v>
      </c>
      <c r="BX457">
        <v>18.309999999999999</v>
      </c>
      <c r="BY457">
        <v>2.89</v>
      </c>
      <c r="BZ457">
        <v>4.8600000000000003</v>
      </c>
      <c r="CA457">
        <v>7.19</v>
      </c>
      <c r="CB457">
        <v>72.180000000000007</v>
      </c>
      <c r="CC457">
        <v>53.63</v>
      </c>
      <c r="CD457" t="s">
        <v>26</v>
      </c>
      <c r="CE457" t="s">
        <v>450</v>
      </c>
      <c r="CF457" s="8" t="s">
        <v>9</v>
      </c>
      <c r="CG457" s="9">
        <v>-0.99950000000000006</v>
      </c>
      <c r="CH457" s="8">
        <v>-2.9158562421798706E-2</v>
      </c>
      <c r="CI457" s="8">
        <v>-7.962421327829361E-2</v>
      </c>
      <c r="CJ457" s="8">
        <v>0.44271445274353027</v>
      </c>
      <c r="CK457" s="8">
        <v>0.82408004999160767</v>
      </c>
      <c r="CL457" s="8">
        <v>0.61451905965805054</v>
      </c>
      <c r="CM457" s="9">
        <v>-0.78163176774978638</v>
      </c>
      <c r="CN457" s="9">
        <v>-0.11111114174127579</v>
      </c>
      <c r="CO457" s="9">
        <v>7.1918599307537079E-2</v>
      </c>
      <c r="CP457" s="9">
        <v>0.31627899408340454</v>
      </c>
      <c r="CQ457" s="9">
        <v>0.59398174285888672</v>
      </c>
      <c r="CR457">
        <v>42.232185769066895</v>
      </c>
      <c r="CS457">
        <v>3.6816860332756391</v>
      </c>
      <c r="CT457">
        <v>0</v>
      </c>
      <c r="CU457" s="8">
        <v>0.11470881924033165</v>
      </c>
      <c r="CV457" s="9">
        <v>-4.2033284902572628E-3</v>
      </c>
      <c r="CW457">
        <v>0.06</v>
      </c>
      <c r="CX457">
        <v>9.0396555408190782</v>
      </c>
      <c r="CY457">
        <v>1052663705.7165772</v>
      </c>
      <c r="CZ457">
        <v>0.11470881924033165</v>
      </c>
      <c r="DA457">
        <v>2.89307988291917</v>
      </c>
      <c r="DB457">
        <v>3289130506.2750182</v>
      </c>
      <c r="DC457">
        <v>0.10897337827831506</v>
      </c>
      <c r="DD457">
        <v>1.3846482868074692</v>
      </c>
      <c r="DE457">
        <v>6872299190.0997667</v>
      </c>
      <c r="DF457">
        <v>0.10094376093149185</v>
      </c>
      <c r="DG457">
        <v>0.80521876988966945</v>
      </c>
      <c r="DH457">
        <v>11817555248.126963</v>
      </c>
      <c r="DI457">
        <v>9.1767055392265318E-2</v>
      </c>
      <c r="DJ457">
        <v>0.38716413425641805</v>
      </c>
      <c r="DK457">
        <v>24577992789.22298</v>
      </c>
      <c r="DL457">
        <v>8.0296173468232146E-2</v>
      </c>
      <c r="DM457">
        <v>1001000000</v>
      </c>
      <c r="DN457">
        <v>0.11470881924033165</v>
      </c>
      <c r="DO457">
        <v>9515717300</v>
      </c>
      <c r="DP457" t="e">
        <v>#VALUE!</v>
      </c>
      <c r="DQ457">
        <v>457</v>
      </c>
      <c r="DR457" t="e">
        <v>#VALUE!</v>
      </c>
      <c r="DS457">
        <v>-0.99529667150974277</v>
      </c>
      <c r="DT457" t="e">
        <v>#VALUE!</v>
      </c>
      <c r="DU457" t="e">
        <v>#VALUE!</v>
      </c>
      <c r="DV457" t="e">
        <v>#VALUE!</v>
      </c>
      <c r="DW457">
        <v>5.7430036021058468</v>
      </c>
      <c r="DX457">
        <v>0.68417177914110461</v>
      </c>
      <c r="DY457">
        <v>5.4786219522767725</v>
      </c>
      <c r="DZ457">
        <v>0</v>
      </c>
      <c r="EA457">
        <v>5.4786219522767725</v>
      </c>
      <c r="EB457">
        <v>5</v>
      </c>
      <c r="EC457">
        <v>7.3149755314068476E-2</v>
      </c>
      <c r="ED457">
        <v>0.11355628682088725</v>
      </c>
      <c r="EE457">
        <v>0</v>
      </c>
      <c r="EF457">
        <v>0</v>
      </c>
      <c r="EG457">
        <v>4.6441717791411046</v>
      </c>
      <c r="EH457" t="s">
        <v>110</v>
      </c>
      <c r="EI457">
        <v>1</v>
      </c>
      <c r="EJ457">
        <v>0</v>
      </c>
      <c r="EK457">
        <v>0</v>
      </c>
      <c r="EL457">
        <v>0</v>
      </c>
      <c r="EM457">
        <v>0</v>
      </c>
      <c r="EN457">
        <v>0</v>
      </c>
      <c r="EO457">
        <v>0</v>
      </c>
      <c r="EP457">
        <v>0</v>
      </c>
    </row>
    <row r="458" spans="1:146" ht="96" x14ac:dyDescent="0.25">
      <c r="A458" s="7"/>
      <c r="B458" s="7"/>
      <c r="C458" s="7" t="str">
        <f>""&amp;CHAR(10)&amp;Basic_Fundamental_Information_Constructure(F458)&amp;CHAR(10)&amp;Basic_Fundamental_Information_Concatenate("")</f>
        <v xml:space="preserve">
市值1479.548亿, 利润90.43亿; PE13.55; 平均PE79.56; 平均PEG3.08, PB2.21; ROIC7.1367%; ROE12.8033%; 股利率0%; 毛利8.52%; 净利3.9967%; 上一年度营收增3.64%, 利润增44.64%; 当季营收增-10.43%, 利润增516.5%; 过往5年营收增25.85%, 利润增120.33%
Income profile:
</v>
      </c>
      <c r="D458" s="11">
        <v>3993</v>
      </c>
      <c r="E458" t="s">
        <v>5701</v>
      </c>
      <c r="F458">
        <v>6.85</v>
      </c>
      <c r="G458" s="5">
        <v>-1.2999999999999999E-2</v>
      </c>
      <c r="H458" t="s">
        <v>12077</v>
      </c>
      <c r="I458">
        <v>147954800000</v>
      </c>
      <c r="J458">
        <v>13.55</v>
      </c>
      <c r="K458">
        <v>2.21</v>
      </c>
      <c r="L458" t="s">
        <v>6350</v>
      </c>
      <c r="M458" t="s">
        <v>12078</v>
      </c>
      <c r="N458" t="s">
        <v>12079</v>
      </c>
      <c r="O458" t="s">
        <v>12080</v>
      </c>
      <c r="P458">
        <v>4.1500000000000004</v>
      </c>
      <c r="Q458" t="s">
        <v>12081</v>
      </c>
      <c r="R458">
        <v>9043334200</v>
      </c>
      <c r="S458" s="5">
        <v>5.165</v>
      </c>
      <c r="T458" t="s">
        <v>12082</v>
      </c>
      <c r="U458">
        <v>3933468000</v>
      </c>
      <c r="V458">
        <v>21599241000</v>
      </c>
      <c r="W458">
        <v>2.87</v>
      </c>
      <c r="X458">
        <v>0.26</v>
      </c>
      <c r="Y458">
        <v>7.8</v>
      </c>
      <c r="Z458" t="s">
        <v>646</v>
      </c>
      <c r="AA458" t="s">
        <v>12083</v>
      </c>
      <c r="AB458" t="s">
        <v>12084</v>
      </c>
      <c r="AC458" t="s">
        <v>668</v>
      </c>
      <c r="AD458" t="s">
        <v>172</v>
      </c>
      <c r="AE458" t="s">
        <v>3865</v>
      </c>
      <c r="AF458" t="s">
        <v>9</v>
      </c>
      <c r="AG458" t="s">
        <v>12085</v>
      </c>
      <c r="AH458" t="s">
        <v>12086</v>
      </c>
      <c r="AI458" t="s">
        <v>12087</v>
      </c>
      <c r="AJ458" t="s">
        <v>12088</v>
      </c>
      <c r="AK458" t="s">
        <v>12089</v>
      </c>
      <c r="AL458" t="s">
        <v>9</v>
      </c>
      <c r="AM458" t="s">
        <v>12090</v>
      </c>
      <c r="AN458" s="5">
        <v>0.57950000000000002</v>
      </c>
      <c r="AO458" t="s">
        <v>12091</v>
      </c>
      <c r="AP458" t="s">
        <v>12092</v>
      </c>
      <c r="AQ458" t="s">
        <v>12093</v>
      </c>
      <c r="AR458" t="s">
        <v>12094</v>
      </c>
      <c r="AS458" t="s">
        <v>12095</v>
      </c>
      <c r="AT458" t="s">
        <v>9658</v>
      </c>
      <c r="AU458" t="s">
        <v>3496</v>
      </c>
      <c r="AV458" t="s">
        <v>12096</v>
      </c>
      <c r="AW458" t="s">
        <v>12097</v>
      </c>
      <c r="AX458" t="s">
        <v>5702</v>
      </c>
      <c r="AY458" t="s">
        <v>5705</v>
      </c>
      <c r="AZ458" t="s">
        <v>5706</v>
      </c>
      <c r="BA458" t="s">
        <v>5707</v>
      </c>
      <c r="BB458" t="s">
        <v>5708</v>
      </c>
      <c r="BC458" t="s">
        <v>4754</v>
      </c>
      <c r="BD458" t="s">
        <v>5709</v>
      </c>
      <c r="BE458" t="s">
        <v>2846</v>
      </c>
      <c r="BF458" t="s">
        <v>5710</v>
      </c>
      <c r="BG458" t="s">
        <v>2047</v>
      </c>
      <c r="BH458" t="s">
        <v>5702</v>
      </c>
      <c r="BI458" t="s">
        <v>5711</v>
      </c>
      <c r="BJ458" t="s">
        <v>5705</v>
      </c>
      <c r="BK458" t="s">
        <v>5703</v>
      </c>
      <c r="BL458" t="s">
        <v>183</v>
      </c>
      <c r="BM458" t="s">
        <v>4754</v>
      </c>
      <c r="BN458">
        <v>8.2799999999999994</v>
      </c>
      <c r="BO458">
        <v>6.85</v>
      </c>
      <c r="BP458">
        <v>6.28</v>
      </c>
      <c r="BQ458">
        <v>13.86</v>
      </c>
      <c r="BR458">
        <v>11.74</v>
      </c>
      <c r="BS458">
        <v>12.81</v>
      </c>
      <c r="BT458" t="s">
        <v>12098</v>
      </c>
      <c r="BU458" t="s">
        <v>1254</v>
      </c>
      <c r="BV458">
        <v>8.1999999999999993</v>
      </c>
      <c r="BW458">
        <v>8.6300000000000008</v>
      </c>
      <c r="BX458">
        <v>8.73</v>
      </c>
      <c r="BY458">
        <v>4.66</v>
      </c>
      <c r="BZ458">
        <v>4.1900000000000004</v>
      </c>
      <c r="CA458">
        <v>3.14</v>
      </c>
      <c r="CB458">
        <v>-4.0599999999999996</v>
      </c>
      <c r="CC458">
        <v>-16.16</v>
      </c>
      <c r="CD458" t="s">
        <v>98</v>
      </c>
      <c r="CE458" t="s">
        <v>2885</v>
      </c>
      <c r="CF458" s="8">
        <v>-0.10431634846842211</v>
      </c>
      <c r="CG458" s="9">
        <v>5.165</v>
      </c>
      <c r="CH458" s="8">
        <v>3.6380447447299957E-2</v>
      </c>
      <c r="CI458" s="8">
        <v>-8.3266720175743103E-2</v>
      </c>
      <c r="CJ458" s="8">
        <v>0.58202534914016724</v>
      </c>
      <c r="CK458" s="8">
        <v>3.5194346904754639</v>
      </c>
      <c r="CL458" s="8">
        <v>2.1070115268230438E-2</v>
      </c>
      <c r="CM458" s="9">
        <v>0.44641715288162231</v>
      </c>
      <c r="CN458" s="9">
        <v>1.2521615028381348</v>
      </c>
      <c r="CO458" s="9">
        <v>0.3378312885761261</v>
      </c>
      <c r="CP458" s="9">
        <v>-0.60685867071151733</v>
      </c>
      <c r="CQ458" s="9">
        <v>0.61406725645065308</v>
      </c>
      <c r="CR458">
        <v>79.56235424482874</v>
      </c>
      <c r="CS458">
        <v>3.0772914067024693</v>
      </c>
      <c r="CT458">
        <v>0</v>
      </c>
      <c r="CU458" s="8">
        <v>0.25854670139960945</v>
      </c>
      <c r="CV458" s="9">
        <v>1.2032577907666564</v>
      </c>
      <c r="CW458">
        <v>0.06</v>
      </c>
      <c r="CX458">
        <v>16.616341231649379</v>
      </c>
      <c r="CY458">
        <v>10736828132.789309</v>
      </c>
      <c r="CZ458">
        <v>0.25854670139960945</v>
      </c>
      <c r="DA458">
        <v>4.7212539197772063</v>
      </c>
      <c r="DB458">
        <v>37788012047.532265</v>
      </c>
      <c r="DC458">
        <v>0.24561936632962897</v>
      </c>
      <c r="DD458">
        <v>1.907088460678275</v>
      </c>
      <c r="DE458">
        <v>93549304963.30928</v>
      </c>
      <c r="DF458">
        <v>0.22752109723165631</v>
      </c>
      <c r="DG458">
        <v>0.9025618781306074</v>
      </c>
      <c r="DH458">
        <v>197667112164.67224</v>
      </c>
      <c r="DI458">
        <v>0.20683736111968756</v>
      </c>
      <c r="DJ458">
        <v>0.2629985367462821</v>
      </c>
      <c r="DK458">
        <v>678356625885.37976</v>
      </c>
      <c r="DL458">
        <v>0.18098269097972661</v>
      </c>
      <c r="DM458">
        <v>9043000000</v>
      </c>
      <c r="DN458">
        <v>0.25854670139960945</v>
      </c>
      <c r="DO458">
        <v>178406800000</v>
      </c>
      <c r="DP458" t="e">
        <v>#VALUE!</v>
      </c>
      <c r="DQ458">
        <v>458</v>
      </c>
      <c r="DR458">
        <v>-0.36286304986803153</v>
      </c>
      <c r="DS458">
        <v>3.9617422092333436</v>
      </c>
      <c r="DT458">
        <v>-0.26799999999999996</v>
      </c>
      <c r="DU458">
        <v>1.4360000000000002</v>
      </c>
      <c r="DV458">
        <v>1.1680000000000001</v>
      </c>
      <c r="DW458">
        <v>-8.2512376237623766</v>
      </c>
      <c r="DX458">
        <v>0.31666666666666715</v>
      </c>
      <c r="DY458">
        <v>-8.0293110561056107</v>
      </c>
      <c r="DZ458">
        <v>0</v>
      </c>
      <c r="EA458">
        <v>-8.0293110561056107</v>
      </c>
      <c r="EB458">
        <v>8</v>
      </c>
      <c r="EC458">
        <v>6.48170924154233E-3</v>
      </c>
      <c r="ED458">
        <v>5.5557507784648547E-2</v>
      </c>
      <c r="EE458">
        <v>0</v>
      </c>
      <c r="EF458">
        <v>0</v>
      </c>
      <c r="EG458">
        <v>20.116666666666667</v>
      </c>
      <c r="EH458" t="s">
        <v>110</v>
      </c>
      <c r="EI458">
        <v>0</v>
      </c>
      <c r="EJ458">
        <v>0</v>
      </c>
      <c r="EK458">
        <v>0</v>
      </c>
      <c r="EL458">
        <v>0</v>
      </c>
      <c r="EM458">
        <v>0</v>
      </c>
      <c r="EN458">
        <v>0</v>
      </c>
      <c r="EO458">
        <v>0</v>
      </c>
      <c r="EP458">
        <v>0</v>
      </c>
    </row>
    <row r="459" spans="1:146" ht="96" x14ac:dyDescent="0.25">
      <c r="A459" s="7"/>
      <c r="B459" s="7"/>
      <c r="C459" s="7" t="str">
        <f>""&amp;CHAR(10)&amp;Basic_Fundamental_Information_Constructure(F459)&amp;CHAR(10)&amp;Basic_Fundamental_Information_Concatenate("")</f>
        <v xml:space="preserve">
市值346.03666亿, 利润87.54亿; PE3.82; 平均PE22.96; 平均PEG.98, PB.286; ROIC3.1633%; ROE7.1367%; 股利率0%; 毛利12.37%; 净利2.8733%; 上一年度营收增7.81%, 利润增9.92%; 当季营收增19.52%, 利润增24.29%; 过往5年营收增23.5%, 利润增32.07%
Income profile:
</v>
      </c>
      <c r="D459" s="11">
        <v>3996</v>
      </c>
      <c r="E459" t="s">
        <v>5712</v>
      </c>
      <c r="F459">
        <v>0.83</v>
      </c>
      <c r="G459" s="5">
        <v>-2.35E-2</v>
      </c>
      <c r="H459" t="s">
        <v>12099</v>
      </c>
      <c r="I459">
        <v>34603666000</v>
      </c>
      <c r="J459">
        <v>3.82</v>
      </c>
      <c r="K459">
        <v>0.28599999999999998</v>
      </c>
      <c r="L459" t="s">
        <v>6350</v>
      </c>
      <c r="M459" t="s">
        <v>12100</v>
      </c>
      <c r="N459" t="s">
        <v>12101</v>
      </c>
      <c r="O459" t="s">
        <v>12102</v>
      </c>
      <c r="P459">
        <v>10.039999999999999</v>
      </c>
      <c r="Q459" t="s">
        <v>12103</v>
      </c>
      <c r="R459">
        <v>8754380400</v>
      </c>
      <c r="S459" s="5">
        <v>0.2429</v>
      </c>
      <c r="T459" t="s">
        <v>12104</v>
      </c>
      <c r="U459">
        <v>9262436000</v>
      </c>
      <c r="V459">
        <v>41691164000</v>
      </c>
      <c r="W459">
        <v>7.26</v>
      </c>
      <c r="X459">
        <v>0.12</v>
      </c>
      <c r="Y459">
        <v>3.14</v>
      </c>
      <c r="Z459" t="s">
        <v>6222</v>
      </c>
      <c r="AA459" t="s">
        <v>12105</v>
      </c>
      <c r="AB459" t="s">
        <v>2370</v>
      </c>
      <c r="AC459" t="s">
        <v>12106</v>
      </c>
      <c r="AD459" t="s">
        <v>12107</v>
      </c>
      <c r="AE459" t="s">
        <v>8189</v>
      </c>
      <c r="AF459" t="s">
        <v>9</v>
      </c>
      <c r="AG459" t="s">
        <v>6416</v>
      </c>
      <c r="AH459" t="s">
        <v>12108</v>
      </c>
      <c r="AI459" t="s">
        <v>12109</v>
      </c>
      <c r="AJ459" t="s">
        <v>12110</v>
      </c>
      <c r="AK459" t="s">
        <v>12111</v>
      </c>
      <c r="AL459" t="s">
        <v>9</v>
      </c>
      <c r="AM459" t="s">
        <v>12112</v>
      </c>
      <c r="AN459" s="5">
        <v>0.76580000000000004</v>
      </c>
      <c r="AO459" t="s">
        <v>12113</v>
      </c>
      <c r="AP459" t="s">
        <v>12114</v>
      </c>
      <c r="AQ459" t="s">
        <v>12115</v>
      </c>
      <c r="AR459" t="s">
        <v>12116</v>
      </c>
      <c r="AS459" t="s">
        <v>12117</v>
      </c>
      <c r="AT459" t="s">
        <v>12118</v>
      </c>
      <c r="AU459" t="s">
        <v>12119</v>
      </c>
      <c r="AV459" t="s">
        <v>12120</v>
      </c>
      <c r="AW459" t="s">
        <v>12121</v>
      </c>
      <c r="AX459" t="s">
        <v>12122</v>
      </c>
      <c r="AY459" t="s">
        <v>5716</v>
      </c>
      <c r="AZ459" t="s">
        <v>5717</v>
      </c>
      <c r="BA459" t="s">
        <v>5718</v>
      </c>
      <c r="BB459" t="s">
        <v>5719</v>
      </c>
      <c r="BC459" t="s">
        <v>12123</v>
      </c>
      <c r="BD459" t="s">
        <v>12124</v>
      </c>
      <c r="BE459" t="s">
        <v>1470</v>
      </c>
      <c r="BF459" t="s">
        <v>5720</v>
      </c>
      <c r="BG459" t="s">
        <v>4134</v>
      </c>
      <c r="BH459" t="s">
        <v>12122</v>
      </c>
      <c r="BI459" t="s">
        <v>5721</v>
      </c>
      <c r="BJ459" t="s">
        <v>5716</v>
      </c>
      <c r="BK459" t="s">
        <v>5713</v>
      </c>
      <c r="BL459" t="s">
        <v>191</v>
      </c>
      <c r="BM459" t="s">
        <v>12123</v>
      </c>
      <c r="BN459">
        <v>2.78</v>
      </c>
      <c r="BO459">
        <v>3.29</v>
      </c>
      <c r="BP459">
        <v>3.42</v>
      </c>
      <c r="BQ459">
        <v>7.23</v>
      </c>
      <c r="BR459">
        <v>7.66</v>
      </c>
      <c r="BS459">
        <v>6.52</v>
      </c>
      <c r="BT459" t="s">
        <v>5722</v>
      </c>
      <c r="BU459" t="s">
        <v>589</v>
      </c>
      <c r="BV459">
        <v>12.33</v>
      </c>
      <c r="BW459">
        <v>12.01</v>
      </c>
      <c r="BX459">
        <v>12.77</v>
      </c>
      <c r="BY459">
        <v>2.78</v>
      </c>
      <c r="BZ459">
        <v>2.85</v>
      </c>
      <c r="CA459">
        <v>2.99</v>
      </c>
      <c r="CB459">
        <v>-4.5999999999999996</v>
      </c>
      <c r="CC459">
        <v>-7.78</v>
      </c>
      <c r="CD459" t="s">
        <v>12125</v>
      </c>
      <c r="CE459" t="s">
        <v>4096</v>
      </c>
      <c r="CF459" s="8">
        <v>0.19521548575602629</v>
      </c>
      <c r="CG459" s="9">
        <v>0.2429</v>
      </c>
      <c r="CH459" s="8">
        <v>7.809729129076004E-2</v>
      </c>
      <c r="CI459" s="8">
        <v>4.7057922929525375E-2</v>
      </c>
      <c r="CJ459" s="8">
        <v>0.22717319428920746</v>
      </c>
      <c r="CK459" s="8">
        <v>0.25519630312919617</v>
      </c>
      <c r="CL459" s="8">
        <v>-9.2175379395484924E-2</v>
      </c>
      <c r="CM459" s="9">
        <v>9.9196329712867737E-2</v>
      </c>
      <c r="CN459" s="9">
        <v>0.48250183463096619</v>
      </c>
      <c r="CO459" s="9">
        <v>-5.3391993045806885E-2</v>
      </c>
      <c r="CP459" s="9">
        <v>9.0507321059703827E-2</v>
      </c>
      <c r="CQ459" s="9">
        <v>-0.17501586675643921</v>
      </c>
      <c r="CR459">
        <v>22.962266221393357</v>
      </c>
      <c r="CS459">
        <v>0.97706030688608314</v>
      </c>
      <c r="CT459">
        <v>0</v>
      </c>
      <c r="CU459" s="8">
        <v>0.23501380681991577</v>
      </c>
      <c r="CV459" s="9">
        <v>0.32068661302328111</v>
      </c>
      <c r="CW459">
        <v>0.06</v>
      </c>
      <c r="CX459">
        <v>49.240360638251623</v>
      </c>
      <c r="CY459">
        <v>10199349872.548624</v>
      </c>
      <c r="CZ459">
        <v>0.23501380681991577</v>
      </c>
      <c r="DA459">
        <v>14.261728632636443</v>
      </c>
      <c r="DB459">
        <v>35214501617.337181</v>
      </c>
      <c r="DC459">
        <v>0.22326311647891997</v>
      </c>
      <c r="DD459">
        <v>5.9260586452785935</v>
      </c>
      <c r="DE459">
        <v>84747670595.553116</v>
      </c>
      <c r="DF459">
        <v>0.20681215000152586</v>
      </c>
      <c r="DG459">
        <v>2.9061619833447399</v>
      </c>
      <c r="DH459">
        <v>172812000459.10339</v>
      </c>
      <c r="DI459">
        <v>0.18801104545593261</v>
      </c>
      <c r="DJ459">
        <v>0.92643206153029634</v>
      </c>
      <c r="DK459">
        <v>542100912581.13947</v>
      </c>
      <c r="DL459">
        <v>0.16450966477394102</v>
      </c>
      <c r="DM459">
        <v>8754000000</v>
      </c>
      <c r="DN459">
        <v>0.23501380681991577</v>
      </c>
      <c r="DO459">
        <v>502219666000</v>
      </c>
      <c r="DP459" t="e">
        <v>#VALUE!</v>
      </c>
      <c r="DQ459">
        <v>459</v>
      </c>
      <c r="DR459">
        <v>-3.9798321063889475E-2</v>
      </c>
      <c r="DS459">
        <v>-7.7786613023281104E-2</v>
      </c>
      <c r="DT459">
        <v>2.6666666666666616E-2</v>
      </c>
      <c r="DU459">
        <v>0.86666666666666659</v>
      </c>
      <c r="DV459">
        <v>0.8933333333333332</v>
      </c>
      <c r="DW459">
        <v>-8.5912596401028285</v>
      </c>
      <c r="DX459">
        <v>0.67821995884773367</v>
      </c>
      <c r="DY459">
        <v>-8.0639860939202563</v>
      </c>
      <c r="DZ459">
        <v>0</v>
      </c>
      <c r="EA459">
        <v>-8.0639860939202563</v>
      </c>
      <c r="EB459">
        <v>8</v>
      </c>
      <c r="EC459">
        <v>1.2615358976304908E-3</v>
      </c>
      <c r="ED459">
        <v>1.1657146344007092E-2</v>
      </c>
      <c r="EE459">
        <v>0</v>
      </c>
      <c r="EF459">
        <v>0</v>
      </c>
      <c r="EG459">
        <v>57.108219958847734</v>
      </c>
      <c r="EH459" t="s">
        <v>110</v>
      </c>
      <c r="EI459">
        <v>0</v>
      </c>
      <c r="EJ459">
        <v>0</v>
      </c>
      <c r="EK459">
        <v>0</v>
      </c>
      <c r="EL459">
        <v>0</v>
      </c>
      <c r="EM459">
        <v>0</v>
      </c>
      <c r="EN459">
        <v>0</v>
      </c>
      <c r="EO459">
        <v>0</v>
      </c>
      <c r="EP459">
        <v>0</v>
      </c>
    </row>
    <row r="460" spans="1:146" ht="96" x14ac:dyDescent="0.25">
      <c r="A460" s="7"/>
      <c r="B460" s="7"/>
      <c r="C460" s="7" t="str">
        <f>""&amp;CHAR(10)&amp;Basic_Fundamental_Information_Constructure(F460)&amp;CHAR(10)&amp;Basic_Fundamental_Information_Concatenate("")</f>
        <v xml:space="preserve">
市值499.94624亿, 利润24.44亿; PE15.08; 平均PE104.01; 平均PEG28.4, PB3.37; ROIC14.08%; ROE16.4633%; 股利率0%; 毛利59.3867%; 净利12.7233%; 上一年度营收增-4.12%, 利润增20.69%, 利润增21.4%; 过往5年营收增3.66%, 利润增2.96%
Income profile:
</v>
      </c>
      <c r="D460" s="11">
        <v>3998</v>
      </c>
      <c r="E460" t="s">
        <v>5723</v>
      </c>
      <c r="F460">
        <v>4.5599999999999996</v>
      </c>
      <c r="G460" s="5">
        <v>5.3100000000000001E-2</v>
      </c>
      <c r="H460" t="s">
        <v>12126</v>
      </c>
      <c r="I460">
        <v>49994624000</v>
      </c>
      <c r="J460">
        <v>15.08</v>
      </c>
      <c r="K460">
        <v>3.37</v>
      </c>
      <c r="L460" t="s">
        <v>6350</v>
      </c>
      <c r="M460" t="s">
        <v>9</v>
      </c>
      <c r="N460" t="s">
        <v>9</v>
      </c>
      <c r="O460" t="s">
        <v>9</v>
      </c>
      <c r="P460" t="s">
        <v>9</v>
      </c>
      <c r="Q460" t="s">
        <v>12127</v>
      </c>
      <c r="R460">
        <v>986524270</v>
      </c>
      <c r="S460" s="5">
        <v>0.214</v>
      </c>
      <c r="T460" t="s">
        <v>12128</v>
      </c>
      <c r="U460">
        <v>10953533400</v>
      </c>
      <c r="V460">
        <v>10953533400</v>
      </c>
      <c r="W460" t="s">
        <v>9</v>
      </c>
      <c r="X460" t="s">
        <v>9</v>
      </c>
      <c r="Y460" t="s">
        <v>9</v>
      </c>
      <c r="Z460" t="s">
        <v>9</v>
      </c>
      <c r="AA460" t="s">
        <v>9</v>
      </c>
      <c r="AB460" t="s">
        <v>9</v>
      </c>
      <c r="AC460" t="s">
        <v>9</v>
      </c>
      <c r="AD460" t="s">
        <v>9</v>
      </c>
      <c r="AE460" t="s">
        <v>9</v>
      </c>
      <c r="AF460" t="s">
        <v>9</v>
      </c>
      <c r="AG460" t="s">
        <v>9</v>
      </c>
      <c r="AH460" t="s">
        <v>12129</v>
      </c>
      <c r="AI460" t="s">
        <v>9</v>
      </c>
      <c r="AJ460" t="s">
        <v>9</v>
      </c>
      <c r="AK460" t="s">
        <v>12130</v>
      </c>
      <c r="AL460" t="s">
        <v>9</v>
      </c>
      <c r="AM460" t="s">
        <v>9</v>
      </c>
      <c r="AN460" s="5">
        <v>0.48549999999999999</v>
      </c>
      <c r="AO460" t="s">
        <v>9</v>
      </c>
      <c r="AP460" t="s">
        <v>12131</v>
      </c>
      <c r="AQ460" t="s">
        <v>9</v>
      </c>
      <c r="AR460" t="s">
        <v>12132</v>
      </c>
      <c r="AS460" t="s">
        <v>9</v>
      </c>
      <c r="AT460" t="s">
        <v>9</v>
      </c>
      <c r="AU460" t="s">
        <v>12133</v>
      </c>
      <c r="AV460" t="s">
        <v>3827</v>
      </c>
      <c r="AW460" t="s">
        <v>9</v>
      </c>
      <c r="AX460" t="s">
        <v>5724</v>
      </c>
      <c r="AY460" t="s">
        <v>5725</v>
      </c>
      <c r="AZ460" t="s">
        <v>4383</v>
      </c>
      <c r="BA460" t="s">
        <v>5726</v>
      </c>
      <c r="BB460" t="s">
        <v>5727</v>
      </c>
      <c r="BC460" t="s">
        <v>5198</v>
      </c>
      <c r="BD460" t="s">
        <v>5728</v>
      </c>
      <c r="BE460" t="s">
        <v>5729</v>
      </c>
      <c r="BF460" t="s">
        <v>1297</v>
      </c>
      <c r="BG460" t="s">
        <v>2346</v>
      </c>
      <c r="BH460" t="s">
        <v>5724</v>
      </c>
      <c r="BI460" t="s">
        <v>9</v>
      </c>
      <c r="BJ460" t="s">
        <v>5725</v>
      </c>
      <c r="BK460" t="s">
        <v>3316</v>
      </c>
      <c r="BL460" t="s">
        <v>9</v>
      </c>
      <c r="BM460" t="s">
        <v>5198</v>
      </c>
      <c r="BN460">
        <v>14.43</v>
      </c>
      <c r="BO460">
        <v>14.69</v>
      </c>
      <c r="BP460">
        <v>13.12</v>
      </c>
      <c r="BQ460">
        <v>17.04</v>
      </c>
      <c r="BR460">
        <v>16.91</v>
      </c>
      <c r="BS460">
        <v>15.44</v>
      </c>
      <c r="BT460" t="s">
        <v>12134</v>
      </c>
      <c r="BU460" t="s">
        <v>1004</v>
      </c>
      <c r="BV460">
        <v>59.47</v>
      </c>
      <c r="BW460">
        <v>60.06</v>
      </c>
      <c r="BX460">
        <v>58.63</v>
      </c>
      <c r="BY460">
        <v>12.86</v>
      </c>
      <c r="BZ460">
        <v>12.7</v>
      </c>
      <c r="CA460">
        <v>12.61</v>
      </c>
      <c r="CB460">
        <v>1.33</v>
      </c>
      <c r="CC460">
        <v>-2.77</v>
      </c>
      <c r="CD460" t="s">
        <v>1188</v>
      </c>
      <c r="CE460" t="s">
        <v>2345</v>
      </c>
      <c r="CF460" s="8" t="s">
        <v>9</v>
      </c>
      <c r="CG460" s="9">
        <v>0.214</v>
      </c>
      <c r="CH460" s="8">
        <v>-4.116034135222435E-2</v>
      </c>
      <c r="CI460" s="8">
        <v>0.24914105236530304</v>
      </c>
      <c r="CJ460" s="8">
        <v>0.20281031727790833</v>
      </c>
      <c r="CK460" s="8">
        <v>0.19913496077060699</v>
      </c>
      <c r="CL460" s="8">
        <v>0.44223526120185852</v>
      </c>
      <c r="CM460" s="9">
        <v>0.20691362023353577</v>
      </c>
      <c r="CN460" s="9">
        <v>0.54226964712142944</v>
      </c>
      <c r="CO460" s="9">
        <v>0.1467248946428299</v>
      </c>
      <c r="CP460" s="9">
        <v>0.4889465868473053</v>
      </c>
      <c r="CQ460" s="9">
        <v>0.7398189902305603</v>
      </c>
      <c r="CR460">
        <v>104.01333316920575</v>
      </c>
      <c r="CS460">
        <v>28.395241541864074</v>
      </c>
      <c r="CT460">
        <v>0</v>
      </c>
      <c r="CU460" s="8">
        <v>3.6630550585687163E-2</v>
      </c>
      <c r="CV460" s="9">
        <v>2.9602860286831855E-2</v>
      </c>
      <c r="CW460">
        <v>0.06</v>
      </c>
      <c r="CX460">
        <v>20.917220105257758</v>
      </c>
      <c r="CY460">
        <v>2390117986.4447351</v>
      </c>
      <c r="CZ460">
        <v>3.6630550585687163E-2</v>
      </c>
      <c r="DA460">
        <v>7.1534698492177844</v>
      </c>
      <c r="DB460">
        <v>6988863454.2112169</v>
      </c>
      <c r="DC460">
        <v>3.4799023056402804E-2</v>
      </c>
      <c r="DD460">
        <v>3.7374071932291151</v>
      </c>
      <c r="DE460">
        <v>13376820189.82917</v>
      </c>
      <c r="DF460">
        <v>3.2234884515404703E-2</v>
      </c>
      <c r="DG460">
        <v>2.3958927543741924</v>
      </c>
      <c r="DH460">
        <v>20866803786.90765</v>
      </c>
      <c r="DI460">
        <v>2.9304440468549731E-2</v>
      </c>
      <c r="DJ460">
        <v>1.4198403729361215</v>
      </c>
      <c r="DK460">
        <v>35211439928.7118</v>
      </c>
      <c r="DL460">
        <v>2.5641385409981014E-2</v>
      </c>
      <c r="DM460">
        <v>2444000000</v>
      </c>
      <c r="DN460">
        <v>3.6630550585687163E-2</v>
      </c>
      <c r="DO460">
        <v>49994624000</v>
      </c>
      <c r="DP460" t="e">
        <v>#VALUE!</v>
      </c>
      <c r="DQ460">
        <v>460</v>
      </c>
      <c r="DR460" t="e">
        <v>#VALUE!</v>
      </c>
      <c r="DS460">
        <v>0.18439713971316815</v>
      </c>
      <c r="DT460" t="e">
        <v>#VALUE!</v>
      </c>
      <c r="DU460" t="e">
        <v>#VALUE!</v>
      </c>
      <c r="DV460" t="e">
        <v>#VALUE!</v>
      </c>
      <c r="DW460">
        <v>-1.0277000000000001</v>
      </c>
      <c r="DX460">
        <v>1.7659375000000057</v>
      </c>
      <c r="DY460">
        <v>-1.0065354687500001</v>
      </c>
      <c r="DZ460">
        <v>0</v>
      </c>
      <c r="EA460">
        <v>-1.0065354687500001</v>
      </c>
      <c r="EB460">
        <v>1</v>
      </c>
      <c r="EC460">
        <v>1.3785505962852133E-2</v>
      </c>
      <c r="ED460">
        <v>5.8428634544538845E-2</v>
      </c>
      <c r="EE460">
        <v>0</v>
      </c>
      <c r="EF460">
        <v>0</v>
      </c>
      <c r="EG460">
        <v>153.23593750000001</v>
      </c>
      <c r="EH460" t="s">
        <v>110</v>
      </c>
      <c r="EI460">
        <v>0</v>
      </c>
      <c r="EJ460">
        <v>0</v>
      </c>
      <c r="EK460">
        <v>0</v>
      </c>
      <c r="EL460">
        <v>0</v>
      </c>
      <c r="EM460">
        <v>0</v>
      </c>
      <c r="EN460">
        <v>0</v>
      </c>
      <c r="EO460">
        <v>0</v>
      </c>
      <c r="EP460">
        <v>0</v>
      </c>
    </row>
    <row r="461" spans="1:146" ht="96" x14ac:dyDescent="0.25">
      <c r="A461" s="7"/>
      <c r="B461" s="7"/>
      <c r="C461" s="7" t="str">
        <f>""&amp;CHAR(10)&amp;Basic_Fundamental_Information_Constructure(F461)&amp;CHAR(10)&amp;Basic_Fundamental_Information_Concatenate("")</f>
        <v xml:space="preserve">
市值1719.1834亿, 利润210.42亿; PE8.51; 平均PE47.64; 平均PEG4.05, PB.567; ROIC0%; ROE8.8033%; 毛利0%; 净利32.7867%; 上一年度营收增-11.99%, 利润增-25.1%; 当季营收增-45.45%, 利润增-13.62%; 过往5年营收增11.77%, 利润增25.59%
Income profile:
</v>
      </c>
      <c r="D461" s="11">
        <v>6030</v>
      </c>
      <c r="E461" t="s">
        <v>5730</v>
      </c>
      <c r="F461">
        <v>11.6</v>
      </c>
      <c r="G461" s="5">
        <v>-1.8599999999999998E-2</v>
      </c>
      <c r="H461" t="s">
        <v>12135</v>
      </c>
      <c r="I461">
        <v>171918340000</v>
      </c>
      <c r="J461">
        <v>8.51</v>
      </c>
      <c r="K461">
        <v>0.56699999999999995</v>
      </c>
      <c r="L461" t="s">
        <v>6350</v>
      </c>
      <c r="M461" t="s">
        <v>12136</v>
      </c>
      <c r="N461" t="s">
        <v>12137</v>
      </c>
      <c r="O461" t="s">
        <v>12138</v>
      </c>
      <c r="P461">
        <v>-21.3</v>
      </c>
      <c r="Q461" t="s">
        <v>12139</v>
      </c>
      <c r="R461">
        <v>21041980000</v>
      </c>
      <c r="S461" s="5">
        <v>-0.13619999999999999</v>
      </c>
      <c r="T461" t="s">
        <v>12140</v>
      </c>
      <c r="U461">
        <v>2620076900</v>
      </c>
      <c r="V461">
        <v>14820547000</v>
      </c>
      <c r="W461">
        <v>5.58</v>
      </c>
      <c r="X461">
        <v>0</v>
      </c>
      <c r="Y461">
        <v>91.04</v>
      </c>
      <c r="Z461" t="s">
        <v>9</v>
      </c>
      <c r="AA461" t="s">
        <v>9</v>
      </c>
      <c r="AB461" t="s">
        <v>9</v>
      </c>
      <c r="AC461" t="s">
        <v>12141</v>
      </c>
      <c r="AD461" t="s">
        <v>9</v>
      </c>
      <c r="AE461" t="s">
        <v>9</v>
      </c>
      <c r="AF461" t="s">
        <v>5427</v>
      </c>
      <c r="AG461" t="s">
        <v>6260</v>
      </c>
      <c r="AH461" t="s">
        <v>12142</v>
      </c>
      <c r="AI461" t="s">
        <v>12143</v>
      </c>
      <c r="AJ461" t="s">
        <v>9</v>
      </c>
      <c r="AK461" t="s">
        <v>12144</v>
      </c>
      <c r="AL461" t="s">
        <v>9</v>
      </c>
      <c r="AM461" t="s">
        <v>12145</v>
      </c>
      <c r="AN461" s="5">
        <v>0.81759999999999999</v>
      </c>
      <c r="AO461" t="s">
        <v>6545</v>
      </c>
      <c r="AP461" t="s">
        <v>9</v>
      </c>
      <c r="AQ461" t="s">
        <v>9</v>
      </c>
      <c r="AR461" t="s">
        <v>12146</v>
      </c>
      <c r="AS461" t="s">
        <v>12147</v>
      </c>
      <c r="AT461" t="s">
        <v>12148</v>
      </c>
      <c r="AU461" t="s">
        <v>12149</v>
      </c>
      <c r="AV461" t="s">
        <v>12150</v>
      </c>
      <c r="AW461" t="s">
        <v>12151</v>
      </c>
      <c r="AX461" t="s">
        <v>5731</v>
      </c>
      <c r="AY461" t="s">
        <v>5733</v>
      </c>
      <c r="AZ461" t="s">
        <v>5734</v>
      </c>
      <c r="BA461" t="s">
        <v>5735</v>
      </c>
      <c r="BB461" t="s">
        <v>5736</v>
      </c>
      <c r="BC461" t="s">
        <v>4731</v>
      </c>
      <c r="BD461" t="s">
        <v>5737</v>
      </c>
      <c r="BE461" t="s">
        <v>5738</v>
      </c>
      <c r="BF461" t="s">
        <v>5739</v>
      </c>
      <c r="BG461" t="s">
        <v>4782</v>
      </c>
      <c r="BH461" t="s">
        <v>5731</v>
      </c>
      <c r="BI461" t="s">
        <v>5740</v>
      </c>
      <c r="BJ461" t="s">
        <v>5733</v>
      </c>
      <c r="BK461" t="s">
        <v>5732</v>
      </c>
      <c r="BL461" t="s">
        <v>5741</v>
      </c>
      <c r="BM461" t="s">
        <v>4731</v>
      </c>
      <c r="BN461" t="s">
        <v>9</v>
      </c>
      <c r="BO461" t="s">
        <v>9</v>
      </c>
      <c r="BP461" t="s">
        <v>9</v>
      </c>
      <c r="BQ461">
        <v>7.14</v>
      </c>
      <c r="BR461">
        <v>8.23</v>
      </c>
      <c r="BS461">
        <v>11.04</v>
      </c>
      <c r="BT461" t="s">
        <v>12152</v>
      </c>
      <c r="BU461" t="s">
        <v>826</v>
      </c>
      <c r="BV461" t="s">
        <v>9</v>
      </c>
      <c r="BW461" t="s">
        <v>9</v>
      </c>
      <c r="BX461" t="s">
        <v>9</v>
      </c>
      <c r="BY461">
        <v>33.39</v>
      </c>
      <c r="BZ461">
        <v>32.630000000000003</v>
      </c>
      <c r="CA461">
        <v>32.340000000000003</v>
      </c>
      <c r="CB461">
        <v>-3.33</v>
      </c>
      <c r="CC461">
        <v>-11.59</v>
      </c>
      <c r="CD461" t="s">
        <v>12153</v>
      </c>
      <c r="CE461" t="s">
        <v>1734</v>
      </c>
      <c r="CF461" s="8">
        <v>-0.45446973903387022</v>
      </c>
      <c r="CG461" s="9">
        <v>-0.13619999999999999</v>
      </c>
      <c r="CH461" s="8">
        <v>-0.11993838101625443</v>
      </c>
      <c r="CI461" s="8">
        <v>-0.15678918361663818</v>
      </c>
      <c r="CJ461" s="8">
        <v>0.42349198460578918</v>
      </c>
      <c r="CK461" s="8">
        <v>0.3112945556640625</v>
      </c>
      <c r="CL461" s="8">
        <v>0.29167217016220093</v>
      </c>
      <c r="CM461" s="9">
        <v>-0.25096112489700317</v>
      </c>
      <c r="CN461" s="9">
        <v>0.58157861232757568</v>
      </c>
      <c r="CO461" s="9">
        <v>0.29981708526611328</v>
      </c>
      <c r="CP461" s="9">
        <v>0.27817791700363159</v>
      </c>
      <c r="CQ461" s="9">
        <v>-0.22003352642059326</v>
      </c>
      <c r="CR461">
        <v>47.636170304204349</v>
      </c>
      <c r="CS461">
        <v>4.0457814819440037</v>
      </c>
      <c r="CT461" t="e">
        <v>#VALUE!</v>
      </c>
      <c r="CU461" s="8">
        <v>0.11774281561374664</v>
      </c>
      <c r="CV461" s="9">
        <v>0.25592968761920931</v>
      </c>
      <c r="CW461">
        <v>0.06</v>
      </c>
      <c r="CX461">
        <v>56.141758619541129</v>
      </c>
      <c r="CY461">
        <v>22188249364.28722</v>
      </c>
      <c r="CZ461">
        <v>0.11774281561374664</v>
      </c>
      <c r="DA461">
        <v>17.921960146571084</v>
      </c>
      <c r="DB461">
        <v>69506199646.266418</v>
      </c>
      <c r="DC461">
        <v>0.1118556748330593</v>
      </c>
      <c r="DD461">
        <v>8.5477612293872021</v>
      </c>
      <c r="DE461">
        <v>145732585009.19833</v>
      </c>
      <c r="DF461">
        <v>0.10361367774009704</v>
      </c>
      <c r="DG461">
        <v>4.9508598091667375</v>
      </c>
      <c r="DH461">
        <v>251610303667.56787</v>
      </c>
      <c r="DI461">
        <v>9.4194252490997318E-2</v>
      </c>
      <c r="DJ461">
        <v>2.3587905705371943</v>
      </c>
      <c r="DK461">
        <v>528104256291.09808</v>
      </c>
      <c r="DL461">
        <v>8.2419970929622638E-2</v>
      </c>
      <c r="DM461">
        <v>21042000000</v>
      </c>
      <c r="DN461">
        <v>0.11774281561374664</v>
      </c>
      <c r="DO461">
        <v>1245687340000</v>
      </c>
      <c r="DP461" t="e">
        <v>#VALUE!</v>
      </c>
      <c r="DQ461">
        <v>461</v>
      </c>
      <c r="DR461">
        <v>-0.57221255464761689</v>
      </c>
      <c r="DS461">
        <v>-0.3921296876192093</v>
      </c>
      <c r="DT461">
        <v>-0.3066666666666667</v>
      </c>
      <c r="DU461">
        <v>1.0333333333333334</v>
      </c>
      <c r="DV461">
        <v>0.72666666666666679</v>
      </c>
      <c r="DW461">
        <v>-8.287316652286453</v>
      </c>
      <c r="DX461">
        <v>0.41551260997067518</v>
      </c>
      <c r="DY461">
        <v>-8.038935029439374</v>
      </c>
      <c r="DZ461">
        <v>0</v>
      </c>
      <c r="EA461">
        <v>-8.038935029439374</v>
      </c>
      <c r="EB461">
        <v>8</v>
      </c>
      <c r="EC461">
        <v>3.1179550930205201E-3</v>
      </c>
      <c r="ED461">
        <v>2.3008597455950849E-2</v>
      </c>
      <c r="EE461">
        <v>0</v>
      </c>
      <c r="EF461">
        <v>0</v>
      </c>
      <c r="EG461">
        <v>28.135512609970675</v>
      </c>
      <c r="EH461" t="s">
        <v>110</v>
      </c>
      <c r="EI461">
        <v>0</v>
      </c>
      <c r="EJ461">
        <v>0</v>
      </c>
      <c r="EK461">
        <v>0</v>
      </c>
      <c r="EL461">
        <v>0</v>
      </c>
      <c r="EM461">
        <v>0</v>
      </c>
      <c r="EN461">
        <v>0</v>
      </c>
      <c r="EO461">
        <v>0</v>
      </c>
      <c r="EP461">
        <v>0</v>
      </c>
    </row>
    <row r="462" spans="1:146" ht="96" x14ac:dyDescent="0.25">
      <c r="A462" s="7"/>
      <c r="B462" s="7"/>
      <c r="C462" s="7" t="str">
        <f>""&amp;CHAR(10)&amp;Basic_Fundamental_Information_Constructure(F462)&amp;CHAR(10)&amp;Basic_Fundamental_Information_Concatenate("")</f>
        <v xml:space="preserve">
市值160.19002亿, 利润15.13亿; PE10.59; 平均PE55; 平均PEG185.09, PB1.68; ROIC15.0833%; ROE14.2533%; 股利率0%; 毛利19.0333%; 净利8.5467%; 上一年度营收增6.94%, 利润增46.04%, 利润增20.5%; 过往5年营收增.3%, 利润增43.15%
Income profile:
</v>
      </c>
      <c r="D462" s="11">
        <v>6049</v>
      </c>
      <c r="E462" t="s">
        <v>5742</v>
      </c>
      <c r="F462">
        <v>28.95</v>
      </c>
      <c r="G462" s="5">
        <v>-2.69E-2</v>
      </c>
      <c r="H462" t="s">
        <v>12154</v>
      </c>
      <c r="I462">
        <v>16019002000</v>
      </c>
      <c r="J462">
        <v>10.59</v>
      </c>
      <c r="K462">
        <v>1.68</v>
      </c>
      <c r="L462" t="s">
        <v>6350</v>
      </c>
      <c r="M462" t="s">
        <v>9</v>
      </c>
      <c r="N462" t="s">
        <v>9</v>
      </c>
      <c r="O462" t="s">
        <v>9</v>
      </c>
      <c r="P462" t="s">
        <v>9</v>
      </c>
      <c r="Q462" t="s">
        <v>12155</v>
      </c>
      <c r="R462">
        <v>1512909500</v>
      </c>
      <c r="S462" s="5">
        <v>0.20499999999999999</v>
      </c>
      <c r="T462" t="s">
        <v>3084</v>
      </c>
      <c r="U462">
        <v>153333400</v>
      </c>
      <c r="V462">
        <v>553333400</v>
      </c>
      <c r="W462" t="s">
        <v>9</v>
      </c>
      <c r="X462" t="s">
        <v>9</v>
      </c>
      <c r="Y462" t="s">
        <v>9</v>
      </c>
      <c r="Z462" t="s">
        <v>9</v>
      </c>
      <c r="AA462" t="s">
        <v>9</v>
      </c>
      <c r="AB462" t="s">
        <v>9</v>
      </c>
      <c r="AC462" t="s">
        <v>9</v>
      </c>
      <c r="AD462" t="s">
        <v>9</v>
      </c>
      <c r="AE462" t="s">
        <v>9</v>
      </c>
      <c r="AF462" t="s">
        <v>9</v>
      </c>
      <c r="AG462" t="s">
        <v>9</v>
      </c>
      <c r="AH462" t="s">
        <v>12156</v>
      </c>
      <c r="AI462" t="s">
        <v>9</v>
      </c>
      <c r="AJ462" t="s">
        <v>9</v>
      </c>
      <c r="AK462" t="s">
        <v>12157</v>
      </c>
      <c r="AL462" t="s">
        <v>9</v>
      </c>
      <c r="AM462" t="s">
        <v>9</v>
      </c>
      <c r="AN462" s="5">
        <v>0.40329999999999999</v>
      </c>
      <c r="AO462" t="s">
        <v>9</v>
      </c>
      <c r="AP462" t="s">
        <v>3413</v>
      </c>
      <c r="AQ462" t="s">
        <v>9</v>
      </c>
      <c r="AR462" t="s">
        <v>12158</v>
      </c>
      <c r="AS462" t="s">
        <v>9</v>
      </c>
      <c r="AT462" t="s">
        <v>9</v>
      </c>
      <c r="AU462" t="s">
        <v>1374</v>
      </c>
      <c r="AV462" t="s">
        <v>12159</v>
      </c>
      <c r="AW462" t="s">
        <v>9</v>
      </c>
      <c r="AX462" t="s">
        <v>5743</v>
      </c>
      <c r="AY462" t="s">
        <v>5745</v>
      </c>
      <c r="AZ462" t="s">
        <v>5746</v>
      </c>
      <c r="BA462" t="s">
        <v>5747</v>
      </c>
      <c r="BB462" t="s">
        <v>3198</v>
      </c>
      <c r="BC462" t="s">
        <v>3963</v>
      </c>
      <c r="BD462" t="s">
        <v>3779</v>
      </c>
      <c r="BE462" t="s">
        <v>1310</v>
      </c>
      <c r="BF462" t="s">
        <v>152</v>
      </c>
      <c r="BG462" t="s">
        <v>1301</v>
      </c>
      <c r="BH462" t="s">
        <v>5743</v>
      </c>
      <c r="BI462" t="s">
        <v>9</v>
      </c>
      <c r="BJ462" t="s">
        <v>5745</v>
      </c>
      <c r="BK462" t="s">
        <v>162</v>
      </c>
      <c r="BL462" t="s">
        <v>9</v>
      </c>
      <c r="BM462" t="s">
        <v>3963</v>
      </c>
      <c r="BN462">
        <v>16.82</v>
      </c>
      <c r="BO462">
        <v>15.38</v>
      </c>
      <c r="BP462">
        <v>13.05</v>
      </c>
      <c r="BQ462">
        <v>15.83</v>
      </c>
      <c r="BR462">
        <v>14.47</v>
      </c>
      <c r="BS462">
        <v>12.46</v>
      </c>
      <c r="BT462" t="s">
        <v>4981</v>
      </c>
      <c r="BU462" t="s">
        <v>410</v>
      </c>
      <c r="BV462">
        <v>19.61</v>
      </c>
      <c r="BW462">
        <v>18.809999999999999</v>
      </c>
      <c r="BX462">
        <v>18.68</v>
      </c>
      <c r="BY462">
        <v>9.2799999999999994</v>
      </c>
      <c r="BZ462">
        <v>8.2799999999999994</v>
      </c>
      <c r="CA462">
        <v>8.08</v>
      </c>
      <c r="CB462">
        <v>-5.39</v>
      </c>
      <c r="CC462">
        <v>-9.1199999999999992</v>
      </c>
      <c r="CD462" t="s">
        <v>12160</v>
      </c>
      <c r="CE462" t="s">
        <v>12161</v>
      </c>
      <c r="CF462" s="8" t="s">
        <v>9</v>
      </c>
      <c r="CG462" s="9">
        <v>0.20499999999999999</v>
      </c>
      <c r="CH462" s="8">
        <v>6.9365255534648895E-2</v>
      </c>
      <c r="CI462" s="8">
        <v>0.1694311648607254</v>
      </c>
      <c r="CJ462" s="8">
        <v>0.3783276379108429</v>
      </c>
      <c r="CK462" s="8">
        <v>0.98899495601654053</v>
      </c>
      <c r="CL462" s="8">
        <v>0.23963965475559235</v>
      </c>
      <c r="CM462" s="9">
        <v>0.46042466163635254</v>
      </c>
      <c r="CN462" s="9">
        <v>0.29016190767288208</v>
      </c>
      <c r="CO462" s="9">
        <v>0.46532845497131348</v>
      </c>
      <c r="CP462" s="9">
        <v>0.46524062752723694</v>
      </c>
      <c r="CQ462" s="9">
        <v>0.42205321788787842</v>
      </c>
      <c r="CR462">
        <v>54.997755777813531</v>
      </c>
      <c r="CS462">
        <v>185.0929483252543</v>
      </c>
      <c r="CT462">
        <v>0</v>
      </c>
      <c r="CU462" s="8">
        <v>2.9713587835431101E-3</v>
      </c>
      <c r="CV462" s="9">
        <v>0.43147304654121399</v>
      </c>
      <c r="CW462">
        <v>0.06</v>
      </c>
      <c r="CX462">
        <v>11.189581955482119</v>
      </c>
      <c r="CY462">
        <v>1431599684.754246</v>
      </c>
      <c r="CZ462">
        <v>2.9713587835431101E-3</v>
      </c>
      <c r="DA462">
        <v>3.9390692523223523</v>
      </c>
      <c r="DB462">
        <v>4066697225.6341257</v>
      </c>
      <c r="DC462">
        <v>2.8227908443659543E-3</v>
      </c>
      <c r="DD462">
        <v>2.1344517382232051</v>
      </c>
      <c r="DE462">
        <v>7504972688.3657703</v>
      </c>
      <c r="DF462">
        <v>2.614795729517937E-3</v>
      </c>
      <c r="DG462">
        <v>1.4214294151531621</v>
      </c>
      <c r="DH462">
        <v>11269642958.861885</v>
      </c>
      <c r="DI462">
        <v>2.3770870268344881E-3</v>
      </c>
      <c r="DJ462">
        <v>0.90665452822913639</v>
      </c>
      <c r="DK462">
        <v>17668253454.033993</v>
      </c>
      <c r="DL462">
        <v>2.079951148480177E-3</v>
      </c>
      <c r="DM462">
        <v>1513000000</v>
      </c>
      <c r="DN462">
        <v>2.9713587835431101E-3</v>
      </c>
      <c r="DO462">
        <v>16019002000</v>
      </c>
      <c r="DP462" t="e">
        <v>#VALUE!</v>
      </c>
      <c r="DQ462">
        <v>462</v>
      </c>
      <c r="DR462" t="e">
        <v>#VALUE!</v>
      </c>
      <c r="DS462">
        <v>-0.226473046541214</v>
      </c>
      <c r="DT462" t="e">
        <v>#VALUE!</v>
      </c>
      <c r="DU462" t="e">
        <v>#VALUE!</v>
      </c>
      <c r="DV462" t="e">
        <v>#VALUE!</v>
      </c>
      <c r="DW462">
        <v>-8.5910087719298254</v>
      </c>
      <c r="DX462">
        <v>0.24881495240468218</v>
      </c>
      <c r="DY462">
        <v>-8.0584005036689952</v>
      </c>
      <c r="DZ462">
        <v>0</v>
      </c>
      <c r="EA462">
        <v>-8.0584005036689952</v>
      </c>
      <c r="EB462">
        <v>8</v>
      </c>
      <c r="EC462">
        <v>1.0248793945928441E-2</v>
      </c>
      <c r="ED462">
        <v>0.10371703569674269</v>
      </c>
      <c r="EE462">
        <v>0</v>
      </c>
      <c r="EF462">
        <v>0</v>
      </c>
      <c r="EG462">
        <v>15.098814952404682</v>
      </c>
      <c r="EH462" t="s">
        <v>110</v>
      </c>
      <c r="EI462">
        <v>0</v>
      </c>
      <c r="EJ462">
        <v>0</v>
      </c>
      <c r="EK462">
        <v>0</v>
      </c>
      <c r="EL462">
        <v>0</v>
      </c>
      <c r="EM462">
        <v>0</v>
      </c>
      <c r="EN462">
        <v>0</v>
      </c>
      <c r="EO462">
        <v>0</v>
      </c>
      <c r="EP462">
        <v>0</v>
      </c>
    </row>
    <row r="463" spans="1:146" ht="96" x14ac:dyDescent="0.25">
      <c r="A463" s="7"/>
      <c r="B463" s="7"/>
      <c r="C463" s="7" t="str">
        <f>""&amp;CHAR(10)&amp;Basic_Fundamental_Information_Constructure(F463)&amp;CHAR(10)&amp;Basic_Fundamental_Information_Concatenate("")</f>
        <v xml:space="preserve">
市值114.957216亿, 利润5.99亿; PE19.2; 平均PE75.71; 平均PEG7.68, PB4.61; ROIC17.6333%; ROE27.4733%; 股利率0%; 毛利8.2833%; 净利6.7767%; 上一年度营收增42.19%, 利润增-14.79%, 利润增59.71%; 过往5年营收增9.86%, 利润增11.17%
Income profile:
</v>
      </c>
      <c r="D463" s="11">
        <v>6055</v>
      </c>
      <c r="E463" t="s">
        <v>5748</v>
      </c>
      <c r="F463">
        <v>16.62</v>
      </c>
      <c r="G463" s="5">
        <v>-3.9300000000000002E-2</v>
      </c>
      <c r="H463" t="s">
        <v>12162</v>
      </c>
      <c r="I463">
        <v>11495721600</v>
      </c>
      <c r="J463">
        <v>19.2</v>
      </c>
      <c r="K463">
        <v>4.6100000000000003</v>
      </c>
      <c r="L463" t="s">
        <v>6350</v>
      </c>
      <c r="M463" t="s">
        <v>9</v>
      </c>
      <c r="N463" t="s">
        <v>9</v>
      </c>
      <c r="O463" t="s">
        <v>9</v>
      </c>
      <c r="P463" t="s">
        <v>9</v>
      </c>
      <c r="Q463" t="s">
        <v>12163</v>
      </c>
      <c r="R463">
        <v>598773000</v>
      </c>
      <c r="S463" s="5">
        <v>0.59709999999999996</v>
      </c>
      <c r="T463" t="s">
        <v>3128</v>
      </c>
      <c r="U463">
        <v>691680000</v>
      </c>
      <c r="V463">
        <v>691680000</v>
      </c>
      <c r="W463" t="s">
        <v>9</v>
      </c>
      <c r="X463" t="s">
        <v>9</v>
      </c>
      <c r="Y463" t="s">
        <v>9</v>
      </c>
      <c r="Z463" t="s">
        <v>9</v>
      </c>
      <c r="AA463" t="s">
        <v>9</v>
      </c>
      <c r="AB463" t="s">
        <v>9</v>
      </c>
      <c r="AC463" t="s">
        <v>9</v>
      </c>
      <c r="AD463" t="s">
        <v>9</v>
      </c>
      <c r="AE463" t="s">
        <v>9</v>
      </c>
      <c r="AF463" t="s">
        <v>9</v>
      </c>
      <c r="AG463" t="s">
        <v>9</v>
      </c>
      <c r="AH463" t="s">
        <v>12164</v>
      </c>
      <c r="AI463" t="s">
        <v>9</v>
      </c>
      <c r="AJ463" t="s">
        <v>9</v>
      </c>
      <c r="AK463" t="s">
        <v>12165</v>
      </c>
      <c r="AL463" t="s">
        <v>9</v>
      </c>
      <c r="AM463" t="s">
        <v>9</v>
      </c>
      <c r="AN463" s="5">
        <v>0.60009999999999997</v>
      </c>
      <c r="AO463" t="s">
        <v>9</v>
      </c>
      <c r="AP463" t="s">
        <v>3069</v>
      </c>
      <c r="AQ463" t="s">
        <v>9</v>
      </c>
      <c r="AR463" t="s">
        <v>2493</v>
      </c>
      <c r="AS463" t="s">
        <v>9</v>
      </c>
      <c r="AT463" t="s">
        <v>9</v>
      </c>
      <c r="AU463" t="s">
        <v>1317</v>
      </c>
      <c r="AV463" t="s">
        <v>12166</v>
      </c>
      <c r="AW463" t="s">
        <v>9</v>
      </c>
      <c r="AX463" t="s">
        <v>5749</v>
      </c>
      <c r="AY463" t="s">
        <v>5750</v>
      </c>
      <c r="AZ463" t="s">
        <v>454</v>
      </c>
      <c r="BA463" t="s">
        <v>5751</v>
      </c>
      <c r="BB463" t="s">
        <v>5752</v>
      </c>
      <c r="BC463" t="s">
        <v>4137</v>
      </c>
      <c r="BD463" t="s">
        <v>237</v>
      </c>
      <c r="BE463" t="s">
        <v>2935</v>
      </c>
      <c r="BF463" t="s">
        <v>3518</v>
      </c>
      <c r="BG463" t="s">
        <v>50</v>
      </c>
      <c r="BH463" t="s">
        <v>5749</v>
      </c>
      <c r="BI463" t="s">
        <v>9</v>
      </c>
      <c r="BJ463" t="s">
        <v>5750</v>
      </c>
      <c r="BK463" t="s">
        <v>215</v>
      </c>
      <c r="BL463" t="s">
        <v>9</v>
      </c>
      <c r="BM463" t="s">
        <v>4137</v>
      </c>
      <c r="BN463">
        <v>13.17</v>
      </c>
      <c r="BO463">
        <v>10.45</v>
      </c>
      <c r="BP463">
        <v>29.28</v>
      </c>
      <c r="BQ463">
        <v>24.01</v>
      </c>
      <c r="BR463">
        <v>18.53</v>
      </c>
      <c r="BS463">
        <v>39.880000000000003</v>
      </c>
      <c r="BT463" t="s">
        <v>3138</v>
      </c>
      <c r="BU463" t="s">
        <v>759</v>
      </c>
      <c r="BV463">
        <v>9.19</v>
      </c>
      <c r="BW463">
        <v>10.14</v>
      </c>
      <c r="BX463">
        <v>5.52</v>
      </c>
      <c r="BY463">
        <v>5.85</v>
      </c>
      <c r="BZ463">
        <v>5.58</v>
      </c>
      <c r="CA463">
        <v>8.9</v>
      </c>
      <c r="CB463">
        <v>-4.26</v>
      </c>
      <c r="CC463">
        <v>34.68</v>
      </c>
      <c r="CD463" t="s">
        <v>12167</v>
      </c>
      <c r="CE463" t="s">
        <v>129</v>
      </c>
      <c r="CF463" s="8" t="s">
        <v>9</v>
      </c>
      <c r="CG463" s="9">
        <v>0.59709999999999996</v>
      </c>
      <c r="CH463" s="8">
        <v>0.42191261053085327</v>
      </c>
      <c r="CI463" s="8">
        <v>3.2242029905319214E-2</v>
      </c>
      <c r="CJ463" s="8">
        <v>1.3139169216156006</v>
      </c>
      <c r="CK463" s="8">
        <v>-0.50447887182235718</v>
      </c>
      <c r="CL463" s="8">
        <v>-9.9141813814640045E-2</v>
      </c>
      <c r="CM463" s="9">
        <v>-0.14793741703033447</v>
      </c>
      <c r="CN463" s="9">
        <v>5.632075309753418</v>
      </c>
      <c r="CO463" s="9">
        <v>-0.66771161556243896</v>
      </c>
      <c r="CP463" s="9">
        <v>0.23166023194789886</v>
      </c>
      <c r="CQ463" s="9">
        <v>-0.24709302186965942</v>
      </c>
      <c r="CR463">
        <v>75.711967909009957</v>
      </c>
      <c r="CS463">
        <v>7.679427979222111</v>
      </c>
      <c r="CT463">
        <v>0</v>
      </c>
      <c r="CU463" s="8">
        <v>9.8590634763240814E-2</v>
      </c>
      <c r="CV463" s="9">
        <v>0.1116801381111145</v>
      </c>
      <c r="CW463">
        <v>0.06</v>
      </c>
      <c r="CX463">
        <v>18.51737356777496</v>
      </c>
      <c r="CY463">
        <v>620807349.26715207</v>
      </c>
      <c r="CZ463">
        <v>9.8590634763240814E-2</v>
      </c>
      <c r="DA463">
        <v>6.0074876915406215</v>
      </c>
      <c r="DB463">
        <v>1913565568.5466614</v>
      </c>
      <c r="DC463">
        <v>9.3661103025078768E-2</v>
      </c>
      <c r="DD463">
        <v>2.9286513188381198</v>
      </c>
      <c r="DE463">
        <v>3925261271.6493282</v>
      </c>
      <c r="DF463">
        <v>8.6759758591651914E-2</v>
      </c>
      <c r="DG463">
        <v>1.7393949085977218</v>
      </c>
      <c r="DH463">
        <v>6609034867.9172029</v>
      </c>
      <c r="DI463">
        <v>7.8872507810592657E-2</v>
      </c>
      <c r="DJ463">
        <v>0.8769003120825225</v>
      </c>
      <c r="DK463">
        <v>13109496531.822618</v>
      </c>
      <c r="DL463">
        <v>6.9013444334268564E-2</v>
      </c>
      <c r="DM463">
        <v>599000000</v>
      </c>
      <c r="DN463">
        <v>9.8590634763240814E-2</v>
      </c>
      <c r="DO463">
        <v>11495721600</v>
      </c>
      <c r="DP463" t="e">
        <v>#VALUE!</v>
      </c>
      <c r="DQ463">
        <v>463</v>
      </c>
      <c r="DR463" t="e">
        <v>#VALUE!</v>
      </c>
      <c r="DS463">
        <v>0.48541986188888547</v>
      </c>
      <c r="DT463" t="e">
        <v>#VALUE!</v>
      </c>
      <c r="DU463" t="e">
        <v>#VALUE!</v>
      </c>
      <c r="DV463" t="e">
        <v>#VALUE!</v>
      </c>
      <c r="DW463">
        <v>-6.1093990755007708</v>
      </c>
      <c r="DX463">
        <v>0.32831709401709386</v>
      </c>
      <c r="DY463">
        <v>-6.0129437807014074</v>
      </c>
      <c r="DZ463">
        <v>0</v>
      </c>
      <c r="EA463">
        <v>-6.0129437807014074</v>
      </c>
      <c r="EB463">
        <v>6</v>
      </c>
      <c r="EC463">
        <v>2.0013734674994219E-2</v>
      </c>
      <c r="ED463">
        <v>0.16915336571825121</v>
      </c>
      <c r="EE463">
        <v>0</v>
      </c>
      <c r="EF463">
        <v>0</v>
      </c>
      <c r="EG463">
        <v>21.118317094017094</v>
      </c>
      <c r="EH463" t="s">
        <v>110</v>
      </c>
      <c r="EI463">
        <v>0</v>
      </c>
      <c r="EJ463">
        <v>0</v>
      </c>
      <c r="EK463">
        <v>0</v>
      </c>
      <c r="EL463">
        <v>0</v>
      </c>
      <c r="EM463">
        <v>0</v>
      </c>
      <c r="EN463">
        <v>0</v>
      </c>
      <c r="EO463">
        <v>0</v>
      </c>
      <c r="EP463">
        <v>0</v>
      </c>
    </row>
    <row r="464" spans="1:146" ht="96" x14ac:dyDescent="0.25">
      <c r="A464" s="7"/>
      <c r="B464" s="7"/>
      <c r="C464" s="7" t="str">
        <f>""&amp;CHAR(10)&amp;Basic_Fundamental_Information_Constructure(F464)&amp;CHAR(10)&amp;Basic_Fundamental_Information_Concatenate("")</f>
        <v xml:space="preserve">
市值199.30663亿, 利润44.70亿; PE4.46; 平均PE24.43; 平均PEG.86, PB.906; ROIC0%; ROE6.1167%; 股利率0%; 毛利0%; 净利3.2267%; 上一年度营收增12.67%, 利润增213.46%, 利润增456.2%; 过往5年营收增28.42%, 利润增8.09%
Income profile:
</v>
      </c>
      <c r="D464" s="11">
        <v>6060</v>
      </c>
      <c r="E464" t="s">
        <v>5753</v>
      </c>
      <c r="F464">
        <v>13.56</v>
      </c>
      <c r="G464" s="5">
        <v>-3.4200000000000001E-2</v>
      </c>
      <c r="H464" t="s">
        <v>12168</v>
      </c>
      <c r="I464">
        <v>19930663000</v>
      </c>
      <c r="J464">
        <v>4.46</v>
      </c>
      <c r="K464">
        <v>0.90600000000000003</v>
      </c>
      <c r="L464" t="s">
        <v>6350</v>
      </c>
      <c r="M464" t="s">
        <v>9</v>
      </c>
      <c r="N464" t="s">
        <v>9</v>
      </c>
      <c r="O464" t="s">
        <v>9</v>
      </c>
      <c r="P464" t="s">
        <v>9</v>
      </c>
      <c r="Q464" t="s">
        <v>956</v>
      </c>
      <c r="R464">
        <v>4470144700</v>
      </c>
      <c r="S464" s="5">
        <v>4.5620000000000003</v>
      </c>
      <c r="T464" t="s">
        <v>4572</v>
      </c>
      <c r="U464">
        <v>1419812900</v>
      </c>
      <c r="V464">
        <v>1469812900</v>
      </c>
      <c r="W464" t="s">
        <v>9</v>
      </c>
      <c r="X464" t="s">
        <v>9</v>
      </c>
      <c r="Y464" t="s">
        <v>9</v>
      </c>
      <c r="Z464" t="s">
        <v>9</v>
      </c>
      <c r="AA464" t="s">
        <v>9</v>
      </c>
      <c r="AB464" t="s">
        <v>9</v>
      </c>
      <c r="AC464" t="s">
        <v>9</v>
      </c>
      <c r="AD464" t="s">
        <v>9704</v>
      </c>
      <c r="AE464" t="s">
        <v>9</v>
      </c>
      <c r="AF464" t="s">
        <v>9</v>
      </c>
      <c r="AG464" t="s">
        <v>9</v>
      </c>
      <c r="AH464" t="s">
        <v>12169</v>
      </c>
      <c r="AI464" t="s">
        <v>9</v>
      </c>
      <c r="AJ464" t="s">
        <v>9</v>
      </c>
      <c r="AK464" t="s">
        <v>12170</v>
      </c>
      <c r="AL464" t="s">
        <v>9</v>
      </c>
      <c r="AM464" t="s">
        <v>9</v>
      </c>
      <c r="AN464" s="5">
        <v>0.53169999999999995</v>
      </c>
      <c r="AO464" t="s">
        <v>9</v>
      </c>
      <c r="AP464" t="s">
        <v>9</v>
      </c>
      <c r="AQ464" t="s">
        <v>9</v>
      </c>
      <c r="AR464" t="s">
        <v>9</v>
      </c>
      <c r="AS464" t="s">
        <v>9</v>
      </c>
      <c r="AT464" t="s">
        <v>9</v>
      </c>
      <c r="AU464" t="s">
        <v>5192</v>
      </c>
      <c r="AV464" t="s">
        <v>12171</v>
      </c>
      <c r="AW464" t="s">
        <v>9</v>
      </c>
      <c r="AX464" t="s">
        <v>12172</v>
      </c>
      <c r="AY464" t="s">
        <v>5755</v>
      </c>
      <c r="AZ464" t="s">
        <v>5756</v>
      </c>
      <c r="BA464" t="s">
        <v>1497</v>
      </c>
      <c r="BB464" t="s">
        <v>5757</v>
      </c>
      <c r="BC464" t="s">
        <v>5758</v>
      </c>
      <c r="BD464" t="s">
        <v>1161</v>
      </c>
      <c r="BE464" t="s">
        <v>5759</v>
      </c>
      <c r="BF464" t="s">
        <v>5760</v>
      </c>
      <c r="BG464" t="s">
        <v>5761</v>
      </c>
      <c r="BH464" t="s">
        <v>12172</v>
      </c>
      <c r="BI464" t="s">
        <v>9</v>
      </c>
      <c r="BJ464" t="s">
        <v>5755</v>
      </c>
      <c r="BK464" t="s">
        <v>5559</v>
      </c>
      <c r="BL464" t="s">
        <v>9</v>
      </c>
      <c r="BM464" t="s">
        <v>5758</v>
      </c>
      <c r="BN464" t="s">
        <v>9</v>
      </c>
      <c r="BO464" t="s">
        <v>9</v>
      </c>
      <c r="BP464" t="s">
        <v>9</v>
      </c>
      <c r="BQ464">
        <v>20.309999999999999</v>
      </c>
      <c r="BR464">
        <v>-8.91</v>
      </c>
      <c r="BS464">
        <v>6.95</v>
      </c>
      <c r="BT464" t="s">
        <v>9</v>
      </c>
      <c r="BU464" t="s">
        <v>2704</v>
      </c>
      <c r="BV464" t="s">
        <v>9</v>
      </c>
      <c r="BW464" t="s">
        <v>9</v>
      </c>
      <c r="BX464" t="s">
        <v>9</v>
      </c>
      <c r="BY464">
        <v>13.22</v>
      </c>
      <c r="BZ464">
        <v>-6.99</v>
      </c>
      <c r="CA464">
        <v>3.45</v>
      </c>
      <c r="CB464">
        <v>-7.25</v>
      </c>
      <c r="CC464">
        <v>-9.84</v>
      </c>
      <c r="CD464" t="s">
        <v>12173</v>
      </c>
      <c r="CE464" t="s">
        <v>625</v>
      </c>
      <c r="CF464" s="8" t="s">
        <v>9</v>
      </c>
      <c r="CG464" s="9">
        <v>4.5620000000000003</v>
      </c>
      <c r="CH464" s="8">
        <v>0.12671424448490143</v>
      </c>
      <c r="CI464" s="8">
        <v>5.3078234195709229E-2</v>
      </c>
      <c r="CJ464" s="8">
        <v>0.21885494887828827</v>
      </c>
      <c r="CK464" s="8">
        <v>1.0144397020339966</v>
      </c>
      <c r="CL464" s="8">
        <v>0.63459813594818115</v>
      </c>
      <c r="CM464" s="9">
        <v>2.1346426010131836</v>
      </c>
      <c r="CN464" s="9">
        <v>1.1606060266494751</v>
      </c>
      <c r="CO464" s="9">
        <v>2.3017752170562744</v>
      </c>
      <c r="CP464" s="9">
        <v>0.74471300840377808</v>
      </c>
      <c r="CQ464" s="9">
        <v>-0.66053509712219238</v>
      </c>
      <c r="CR464">
        <v>24.425589420848464</v>
      </c>
      <c r="CS464">
        <v>0.85948633074241731</v>
      </c>
      <c r="CT464">
        <v>0</v>
      </c>
      <c r="CU464" s="8">
        <v>0.28418822437524793</v>
      </c>
      <c r="CV464" s="9">
        <v>8.0923390388488767E-2</v>
      </c>
      <c r="CW464">
        <v>0.06</v>
      </c>
      <c r="CX464">
        <v>3.6803693459273203</v>
      </c>
      <c r="CY464">
        <v>5415397512.2239237</v>
      </c>
      <c r="CZ464">
        <v>0.28418822437524793</v>
      </c>
      <c r="DA464">
        <v>1.0242264510743164</v>
      </c>
      <c r="DB464">
        <v>19459234800.170044</v>
      </c>
      <c r="DC464">
        <v>0.26997881315648553</v>
      </c>
      <c r="DD464">
        <v>0.40110279511138119</v>
      </c>
      <c r="DE464">
        <v>49689663704.451385</v>
      </c>
      <c r="DF464">
        <v>0.25008563745021817</v>
      </c>
      <c r="DG464">
        <v>0.18249326546680833</v>
      </c>
      <c r="DH464">
        <v>109213142463.19389</v>
      </c>
      <c r="DI464">
        <v>0.22735057950019835</v>
      </c>
      <c r="DJ464">
        <v>4.8095391071216763E-2</v>
      </c>
      <c r="DK464">
        <v>414398605689.42816</v>
      </c>
      <c r="DL464">
        <v>0.19893175706267355</v>
      </c>
      <c r="DM464">
        <v>4470000000</v>
      </c>
      <c r="DN464">
        <v>0.28418822437524793</v>
      </c>
      <c r="DO464">
        <v>19930663000</v>
      </c>
      <c r="DP464" t="e">
        <v>#VALUE!</v>
      </c>
      <c r="DQ464">
        <v>464</v>
      </c>
      <c r="DR464" t="e">
        <v>#VALUE!</v>
      </c>
      <c r="DS464">
        <v>4.4810766096115113</v>
      </c>
      <c r="DT464" t="e">
        <v>#VALUE!</v>
      </c>
      <c r="DU464" t="e">
        <v>#VALUE!</v>
      </c>
      <c r="DV464" t="e">
        <v>#VALUE!</v>
      </c>
      <c r="DW464">
        <v>-9.7367886178861784</v>
      </c>
      <c r="DX464">
        <v>0.32580743801652745</v>
      </c>
      <c r="DY464">
        <v>-9.0484861713028284</v>
      </c>
      <c r="DZ464">
        <v>0</v>
      </c>
      <c r="EA464">
        <v>-9.0484861713028284</v>
      </c>
      <c r="EB464">
        <v>9</v>
      </c>
      <c r="EC464">
        <v>1.0834984507211768E-2</v>
      </c>
      <c r="ED464">
        <v>0.16464680640644805</v>
      </c>
      <c r="EE464">
        <v>0</v>
      </c>
      <c r="EF464">
        <v>0</v>
      </c>
      <c r="EG464">
        <v>26.065807438016527</v>
      </c>
      <c r="EH464" t="s">
        <v>110</v>
      </c>
      <c r="EI464">
        <v>0</v>
      </c>
      <c r="EJ464">
        <v>0</v>
      </c>
      <c r="EK464">
        <v>0</v>
      </c>
      <c r="EL464">
        <v>0</v>
      </c>
      <c r="EM464">
        <v>0</v>
      </c>
      <c r="EN464">
        <v>0</v>
      </c>
      <c r="EO464">
        <v>0</v>
      </c>
      <c r="EP464">
        <v>0</v>
      </c>
    </row>
    <row r="465" spans="1:146" ht="96" x14ac:dyDescent="0.25">
      <c r="A465" s="7"/>
      <c r="B465" s="7"/>
      <c r="C465" s="7" t="str">
        <f>""&amp;CHAR(10)&amp;Basic_Fundamental_Information_Constructure(F465)&amp;CHAR(10)&amp;Basic_Fundamental_Information_Concatenate("")</f>
        <v xml:space="preserve">
市值452.21531亿, 利润66.33亿; PE8.72; 平均PE38.54; 平均PEG45.77, PB.407; ROIC0%; ROE8.4967%; 股利率0%; 毛利0%; 净利22.6167%; 上一年度营收增-9.43%, 利润增-44.11%; 当季营收增-10.48%, 利润增-52.24%; 过往5年营收增-.84%, 利润增-7.96%
Income profile:
</v>
      </c>
      <c r="D465" s="11">
        <v>6066</v>
      </c>
      <c r="E465" t="s">
        <v>5762</v>
      </c>
      <c r="F465">
        <v>5.83</v>
      </c>
      <c r="G465" s="5">
        <v>-2.5100000000000001E-2</v>
      </c>
      <c r="H465" t="s">
        <v>12174</v>
      </c>
      <c r="I465">
        <v>45221531000</v>
      </c>
      <c r="J465">
        <v>8.7200000000000006</v>
      </c>
      <c r="K465">
        <v>0.40699999999999997</v>
      </c>
      <c r="L465" t="s">
        <v>6350</v>
      </c>
      <c r="M465" t="s">
        <v>12175</v>
      </c>
      <c r="N465" t="s">
        <v>12176</v>
      </c>
      <c r="O465" t="s">
        <v>12177</v>
      </c>
      <c r="P465">
        <v>-31.34</v>
      </c>
      <c r="Q465" t="s">
        <v>12178</v>
      </c>
      <c r="R465">
        <v>6632816800</v>
      </c>
      <c r="S465" s="5">
        <v>-0.52239999999999998</v>
      </c>
      <c r="T465" t="s">
        <v>12179</v>
      </c>
      <c r="U465">
        <v>1261023760</v>
      </c>
      <c r="V465">
        <v>7756694800</v>
      </c>
      <c r="W465">
        <v>5.16</v>
      </c>
      <c r="X465">
        <v>0.01</v>
      </c>
      <c r="Y465">
        <v>25.36</v>
      </c>
      <c r="Z465" t="s">
        <v>9</v>
      </c>
      <c r="AA465" t="s">
        <v>9</v>
      </c>
      <c r="AB465" t="s">
        <v>9</v>
      </c>
      <c r="AC465" t="s">
        <v>12180</v>
      </c>
      <c r="AD465" t="s">
        <v>9</v>
      </c>
      <c r="AE465" t="s">
        <v>9</v>
      </c>
      <c r="AF465" t="s">
        <v>12181</v>
      </c>
      <c r="AG465" t="s">
        <v>6421</v>
      </c>
      <c r="AH465" t="s">
        <v>12182</v>
      </c>
      <c r="AI465" t="s">
        <v>12183</v>
      </c>
      <c r="AJ465" t="s">
        <v>9</v>
      </c>
      <c r="AK465" t="s">
        <v>12184</v>
      </c>
      <c r="AL465" t="s">
        <v>9</v>
      </c>
      <c r="AM465" t="s">
        <v>12185</v>
      </c>
      <c r="AN465" s="5">
        <v>0.80620000000000003</v>
      </c>
      <c r="AO465" t="s">
        <v>9794</v>
      </c>
      <c r="AP465" t="s">
        <v>9</v>
      </c>
      <c r="AQ465" t="s">
        <v>9</v>
      </c>
      <c r="AR465" t="s">
        <v>12186</v>
      </c>
      <c r="AS465" t="s">
        <v>12187</v>
      </c>
      <c r="AT465" t="s">
        <v>12188</v>
      </c>
      <c r="AU465" t="s">
        <v>12189</v>
      </c>
      <c r="AV465" t="s">
        <v>12190</v>
      </c>
      <c r="AW465" t="s">
        <v>12191</v>
      </c>
      <c r="AX465" t="s">
        <v>5763</v>
      </c>
      <c r="AY465" t="s">
        <v>5765</v>
      </c>
      <c r="AZ465" t="s">
        <v>5766</v>
      </c>
      <c r="BA465" t="s">
        <v>5767</v>
      </c>
      <c r="BB465" t="s">
        <v>5768</v>
      </c>
      <c r="BC465" t="s">
        <v>5769</v>
      </c>
      <c r="BD465" t="s">
        <v>5770</v>
      </c>
      <c r="BE465" t="s">
        <v>645</v>
      </c>
      <c r="BF465" t="s">
        <v>5771</v>
      </c>
      <c r="BG465" t="s">
        <v>5772</v>
      </c>
      <c r="BH465" t="s">
        <v>5763</v>
      </c>
      <c r="BI465" t="s">
        <v>5773</v>
      </c>
      <c r="BJ465" t="s">
        <v>5765</v>
      </c>
      <c r="BK465" t="s">
        <v>5764</v>
      </c>
      <c r="BL465" t="s">
        <v>4188</v>
      </c>
      <c r="BM465" t="s">
        <v>5769</v>
      </c>
      <c r="BN465" t="s">
        <v>9</v>
      </c>
      <c r="BO465" t="s">
        <v>9</v>
      </c>
      <c r="BP465" t="s">
        <v>9</v>
      </c>
      <c r="BQ465">
        <v>6.21</v>
      </c>
      <c r="BR465">
        <v>7.14</v>
      </c>
      <c r="BS465">
        <v>12.14</v>
      </c>
      <c r="BT465" t="s">
        <v>12192</v>
      </c>
      <c r="BU465" t="s">
        <v>826</v>
      </c>
      <c r="BV465" t="s">
        <v>9</v>
      </c>
      <c r="BW465" t="s">
        <v>9</v>
      </c>
      <c r="BX465" t="s">
        <v>9</v>
      </c>
      <c r="BY465">
        <v>20.82</v>
      </c>
      <c r="BZ465">
        <v>20.7</v>
      </c>
      <c r="CA465">
        <v>26.33</v>
      </c>
      <c r="CB465">
        <v>-7.75</v>
      </c>
      <c r="CC465">
        <v>-11.4</v>
      </c>
      <c r="CD465" t="s">
        <v>12193</v>
      </c>
      <c r="CE465" t="s">
        <v>38</v>
      </c>
      <c r="CF465" s="8">
        <v>-0.10483614381164492</v>
      </c>
      <c r="CG465" s="9">
        <v>-0.52239999999999998</v>
      </c>
      <c r="CH465" s="8">
        <v>-9.4270989298820496E-2</v>
      </c>
      <c r="CI465" s="8">
        <v>-0.13916786015033722</v>
      </c>
      <c r="CJ465" s="8">
        <v>0.30637672543525696</v>
      </c>
      <c r="CK465" s="8">
        <v>0.939983069896698</v>
      </c>
      <c r="CL465" s="8">
        <v>-4.6221055090427399E-2</v>
      </c>
      <c r="CM465" s="9">
        <v>-0.44105502963066101</v>
      </c>
      <c r="CN465" s="9">
        <v>8.9415237307548523E-2</v>
      </c>
      <c r="CO465" s="9">
        <v>0.77179574966430664</v>
      </c>
      <c r="CP465" s="9">
        <v>0.74907529354095459</v>
      </c>
      <c r="CQ465" s="9">
        <v>-0.26983797550201416</v>
      </c>
      <c r="CR465">
        <v>38.541816639949772</v>
      </c>
      <c r="CS465">
        <v>45.766303762799318</v>
      </c>
      <c r="CT465">
        <v>0</v>
      </c>
      <c r="CU465" s="8">
        <v>-8.4214396774768829E-3</v>
      </c>
      <c r="CV465" s="9">
        <v>-7.9582919552922252E-2</v>
      </c>
      <c r="CW465">
        <v>0.06</v>
      </c>
      <c r="CX465">
        <v>59.823689280868386</v>
      </c>
      <c r="CY465" t="s">
        <v>12194</v>
      </c>
      <c r="CZ465">
        <v>-8.4214396774768829E-3</v>
      </c>
      <c r="DA465">
        <v>19.941229760289463</v>
      </c>
      <c r="DB465" t="s">
        <v>12195</v>
      </c>
      <c r="DC465">
        <v>-8.0003676936030391E-3</v>
      </c>
      <c r="DD465">
        <v>9.9706148801447316</v>
      </c>
      <c r="DE465" t="s">
        <v>12196</v>
      </c>
      <c r="DF465">
        <v>-7.4108669161796568E-3</v>
      </c>
      <c r="DG465">
        <v>5.9823689280868386</v>
      </c>
      <c r="DH465" t="s">
        <v>12197</v>
      </c>
      <c r="DI465">
        <v>-6.7371517419815069E-3</v>
      </c>
      <c r="DJ465">
        <v>2.9911844640434193</v>
      </c>
      <c r="DK465" t="s">
        <v>12198</v>
      </c>
      <c r="DL465">
        <v>-5.8950077742338175E-3</v>
      </c>
      <c r="DM465">
        <v>6633000000</v>
      </c>
      <c r="DN465">
        <v>-8.4214396774768829E-3</v>
      </c>
      <c r="DO465">
        <v>396810531000</v>
      </c>
      <c r="DP465" t="e">
        <v>#VALUE!</v>
      </c>
      <c r="DQ465">
        <v>465</v>
      </c>
      <c r="DR465">
        <v>-9.6414704134168042E-2</v>
      </c>
      <c r="DS465">
        <v>-0.44281708044707774</v>
      </c>
      <c r="DT465">
        <v>-0.59</v>
      </c>
      <c r="DU465">
        <v>0.44999999999999996</v>
      </c>
      <c r="DV465">
        <v>-0.14000000000000001</v>
      </c>
      <c r="DW465">
        <v>-9.6798245614035086</v>
      </c>
      <c r="DX465">
        <v>0.32918058252427046</v>
      </c>
      <c r="DY465">
        <v>-9.0878201328564128</v>
      </c>
      <c r="DZ465">
        <v>0</v>
      </c>
      <c r="EA465">
        <v>-9.0878201328564128</v>
      </c>
      <c r="EB465">
        <v>9</v>
      </c>
      <c r="EC465">
        <v>1.7153697990025338E-3</v>
      </c>
      <c r="ED465">
        <v>1.3278851708848981E-2</v>
      </c>
      <c r="EE465">
        <v>0</v>
      </c>
      <c r="EF465">
        <v>0</v>
      </c>
      <c r="EG465">
        <v>20.12918058252427</v>
      </c>
      <c r="EH465" t="s">
        <v>110</v>
      </c>
      <c r="EI465">
        <v>0</v>
      </c>
      <c r="EJ465">
        <v>0</v>
      </c>
      <c r="EK465">
        <v>0</v>
      </c>
      <c r="EL465">
        <v>0</v>
      </c>
      <c r="EM465">
        <v>0</v>
      </c>
      <c r="EN465">
        <v>0</v>
      </c>
      <c r="EO465">
        <v>0</v>
      </c>
      <c r="EP465">
        <v>0</v>
      </c>
    </row>
    <row r="466" spans="1:146" ht="96" x14ac:dyDescent="0.25">
      <c r="A466" s="7"/>
      <c r="B466" s="7"/>
      <c r="C466" s="7" t="str">
        <f>""&amp;CHAR(10)&amp;Basic_Fundamental_Information_Constructure(F466)&amp;CHAR(10)&amp;Basic_Fundamental_Information_Concatenate("")</f>
        <v xml:space="preserve">
市值43.885271亿, 利润2.94亿; PE14.92; 平均PE41.17; 平均PEG2.05, PB1.02; ROIC0%; ROE7.7767%; 股利率0%; 毛利0%; 净利35.6933%; 上一年度营收增20.95%, 利润增-41.55%, 利润增18.81%; 过往5年营收增20.13%, 利润增20.27%
Income profile:
</v>
      </c>
      <c r="D466" s="11">
        <v>6069</v>
      </c>
      <c r="E466" t="s">
        <v>5775</v>
      </c>
      <c r="F466">
        <v>4.4400000000000004</v>
      </c>
      <c r="G466" s="5">
        <v>-6.7000000000000002E-3</v>
      </c>
      <c r="H466" t="s">
        <v>6446</v>
      </c>
      <c r="I466">
        <v>4388527100</v>
      </c>
      <c r="J466">
        <v>14.92</v>
      </c>
      <c r="K466">
        <v>1.02</v>
      </c>
      <c r="L466" t="s">
        <v>6350</v>
      </c>
      <c r="M466" t="s">
        <v>9</v>
      </c>
      <c r="N466" t="s">
        <v>9</v>
      </c>
      <c r="O466" t="s">
        <v>9</v>
      </c>
      <c r="P466" t="s">
        <v>9</v>
      </c>
      <c r="Q466" t="s">
        <v>3330</v>
      </c>
      <c r="R466">
        <v>294051270</v>
      </c>
      <c r="S466" s="5">
        <v>0.18809999999999999</v>
      </c>
      <c r="T466" t="s">
        <v>1434</v>
      </c>
      <c r="U466">
        <v>989750000</v>
      </c>
      <c r="V466">
        <v>989750000</v>
      </c>
      <c r="W466" t="s">
        <v>9</v>
      </c>
      <c r="X466" t="s">
        <v>9</v>
      </c>
      <c r="Y466" t="s">
        <v>9</v>
      </c>
      <c r="Z466" t="s">
        <v>9</v>
      </c>
      <c r="AA466" t="s">
        <v>9</v>
      </c>
      <c r="AB466" t="s">
        <v>9</v>
      </c>
      <c r="AC466" t="s">
        <v>9</v>
      </c>
      <c r="AD466" t="s">
        <v>12199</v>
      </c>
      <c r="AE466" t="s">
        <v>9</v>
      </c>
      <c r="AF466" t="s">
        <v>9</v>
      </c>
      <c r="AG466" t="s">
        <v>9</v>
      </c>
      <c r="AH466" t="s">
        <v>12200</v>
      </c>
      <c r="AI466" t="s">
        <v>9</v>
      </c>
      <c r="AJ466" t="s">
        <v>9</v>
      </c>
      <c r="AK466" t="s">
        <v>12201</v>
      </c>
      <c r="AL466" t="s">
        <v>9</v>
      </c>
      <c r="AM466" t="s">
        <v>9</v>
      </c>
      <c r="AN466" s="5">
        <v>0.65620000000000001</v>
      </c>
      <c r="AO466" t="s">
        <v>9</v>
      </c>
      <c r="AP466" t="s">
        <v>12202</v>
      </c>
      <c r="AQ466" t="s">
        <v>9</v>
      </c>
      <c r="AR466" t="s">
        <v>12203</v>
      </c>
      <c r="AS466" t="s">
        <v>9</v>
      </c>
      <c r="AT466" t="s">
        <v>9</v>
      </c>
      <c r="AU466" t="s">
        <v>1510</v>
      </c>
      <c r="AV466" t="s">
        <v>12204</v>
      </c>
      <c r="AW466" t="s">
        <v>9</v>
      </c>
      <c r="AX466" t="s">
        <v>3822</v>
      </c>
      <c r="AY466" t="s">
        <v>5776</v>
      </c>
      <c r="AZ466" t="s">
        <v>5777</v>
      </c>
      <c r="BA466" t="s">
        <v>2334</v>
      </c>
      <c r="BB466" t="s">
        <v>3167</v>
      </c>
      <c r="BC466" t="s">
        <v>406</v>
      </c>
      <c r="BD466" t="s">
        <v>5778</v>
      </c>
      <c r="BE466" t="s">
        <v>1273</v>
      </c>
      <c r="BF466" t="s">
        <v>1944</v>
      </c>
      <c r="BG466" t="s">
        <v>237</v>
      </c>
      <c r="BH466" t="s">
        <v>3822</v>
      </c>
      <c r="BI466" t="s">
        <v>9</v>
      </c>
      <c r="BJ466" t="s">
        <v>5776</v>
      </c>
      <c r="BK466" t="s">
        <v>73</v>
      </c>
      <c r="BL466" t="s">
        <v>9</v>
      </c>
      <c r="BM466" t="s">
        <v>406</v>
      </c>
      <c r="BN466" t="s">
        <v>9</v>
      </c>
      <c r="BO466" t="s">
        <v>9</v>
      </c>
      <c r="BP466" t="s">
        <v>9</v>
      </c>
      <c r="BQ466">
        <v>6.83</v>
      </c>
      <c r="BR466">
        <v>5.6</v>
      </c>
      <c r="BS466">
        <v>10.9</v>
      </c>
      <c r="BT466" t="s">
        <v>2112</v>
      </c>
      <c r="BU466" t="s">
        <v>826</v>
      </c>
      <c r="BV466" t="s">
        <v>9</v>
      </c>
      <c r="BW466" t="s">
        <v>9</v>
      </c>
      <c r="BX466" t="s">
        <v>9</v>
      </c>
      <c r="BY466">
        <v>27.25</v>
      </c>
      <c r="BZ466">
        <v>28.91</v>
      </c>
      <c r="CA466">
        <v>50.92</v>
      </c>
      <c r="CB466">
        <v>-1.99</v>
      </c>
      <c r="CC466">
        <v>-5.93</v>
      </c>
      <c r="CD466" t="s">
        <v>12205</v>
      </c>
      <c r="CE466" t="s">
        <v>12206</v>
      </c>
      <c r="CF466" s="8" t="s">
        <v>9</v>
      </c>
      <c r="CG466" s="9">
        <v>0.18809999999999999</v>
      </c>
      <c r="CH466" s="8">
        <v>0.20947360992431641</v>
      </c>
      <c r="CI466" s="8">
        <v>-6.3116371631622314E-2</v>
      </c>
      <c r="CJ466" s="8">
        <v>0.20858164131641388</v>
      </c>
      <c r="CK466" s="8">
        <v>0.47711268067359924</v>
      </c>
      <c r="CL466" s="8">
        <v>1.1194030046463013</v>
      </c>
      <c r="CM466" s="9">
        <v>-0.41550695896148682</v>
      </c>
      <c r="CN466" s="9">
        <v>0.28316327929496765</v>
      </c>
      <c r="CO466" s="9">
        <v>0.25239616632461548</v>
      </c>
      <c r="CP466" s="9">
        <v>0.32067510485649109</v>
      </c>
      <c r="CQ466" s="9">
        <v>1.2358490228652954</v>
      </c>
      <c r="CR466">
        <v>41.171428821604707</v>
      </c>
      <c r="CS466">
        <v>2.0450171565187749</v>
      </c>
      <c r="CT466">
        <v>0</v>
      </c>
      <c r="CU466" s="8">
        <v>0.2013255912810564</v>
      </c>
      <c r="CV466" s="9">
        <v>0.20269230455160142</v>
      </c>
      <c r="CW466">
        <v>0.06</v>
      </c>
      <c r="CX466">
        <v>13.170934520597006</v>
      </c>
      <c r="CY466">
        <v>333197852.67606652</v>
      </c>
      <c r="CZ466">
        <v>0.2013255912810564</v>
      </c>
      <c r="DA466">
        <v>3.9217381323599145</v>
      </c>
      <c r="DB466">
        <v>1119026041.9961274</v>
      </c>
      <c r="DC466">
        <v>0.19125931171700358</v>
      </c>
      <c r="DD466">
        <v>1.6963675677143248</v>
      </c>
      <c r="DE466">
        <v>2587014267.1455774</v>
      </c>
      <c r="DF466">
        <v>0.17716652032732963</v>
      </c>
      <c r="DG466">
        <v>0.8743758622710478</v>
      </c>
      <c r="DH466">
        <v>5019039625.1350317</v>
      </c>
      <c r="DI466">
        <v>0.16106047302484514</v>
      </c>
      <c r="DJ466">
        <v>0.31553165888197943</v>
      </c>
      <c r="DK466">
        <v>13908357454.68404</v>
      </c>
      <c r="DL466">
        <v>0.14092791389673948</v>
      </c>
      <c r="DM466">
        <v>294000000</v>
      </c>
      <c r="DN466">
        <v>0.2013255912810564</v>
      </c>
      <c r="DO466">
        <v>4388527100</v>
      </c>
      <c r="DP466" t="e">
        <v>#VALUE!</v>
      </c>
      <c r="DQ466">
        <v>466</v>
      </c>
      <c r="DR466" t="e">
        <v>#VALUE!</v>
      </c>
      <c r="DS466">
        <v>-1.4592304551601432E-2</v>
      </c>
      <c r="DT466" t="e">
        <v>#VALUE!</v>
      </c>
      <c r="DU466" t="e">
        <v>#VALUE!</v>
      </c>
      <c r="DV466" t="e">
        <v>#VALUE!</v>
      </c>
      <c r="DW466">
        <v>-1.0592999999999999</v>
      </c>
      <c r="DX466">
        <v>0.44325035181690081</v>
      </c>
      <c r="DY466">
        <v>-1.0090877458627423</v>
      </c>
      <c r="DZ466">
        <v>0</v>
      </c>
      <c r="EA466">
        <v>-1.0090877458627423</v>
      </c>
      <c r="EB466">
        <v>1</v>
      </c>
      <c r="EC466">
        <v>7.0967416014144982E-3</v>
      </c>
      <c r="ED466">
        <v>4.6308158625915634E-2</v>
      </c>
      <c r="EE466">
        <v>0</v>
      </c>
      <c r="EF466">
        <v>0</v>
      </c>
      <c r="EG466">
        <v>29.153250351816901</v>
      </c>
      <c r="EH466" t="s">
        <v>110</v>
      </c>
      <c r="EI466">
        <v>0</v>
      </c>
      <c r="EJ466">
        <v>0</v>
      </c>
      <c r="EK466">
        <v>0</v>
      </c>
      <c r="EL466">
        <v>0</v>
      </c>
      <c r="EM466">
        <v>0</v>
      </c>
      <c r="EN466">
        <v>0</v>
      </c>
      <c r="EO466">
        <v>0</v>
      </c>
      <c r="EP466">
        <v>0</v>
      </c>
    </row>
    <row r="467" spans="1:146" ht="96" x14ac:dyDescent="0.25">
      <c r="A467" s="7"/>
      <c r="B467" s="7"/>
      <c r="C467" s="7" t="str">
        <f>""&amp;CHAR(10)&amp;Basic_Fundamental_Information_Constructure(F467)&amp;CHAR(10)&amp;Basic_Fundamental_Information_Concatenate("")</f>
        <v xml:space="preserve">
市值178.72135亿, 利润7.49亿; PE23.87; 平均PE81.63; 平均PEG1.69, PB2.62; ROIC8.6267%; ROE10.1767%; 股利率0%; 毛利32.1533%; 净利17.15%; 上一年度营收增23.97%, 利润增38.45%, 利润增39.19%; 过往5年营收增48.21%, 利润增74.49%
Income profile:
</v>
      </c>
      <c r="D467" s="11">
        <v>6078</v>
      </c>
      <c r="E467" t="s">
        <v>5779</v>
      </c>
      <c r="F467">
        <v>28.3</v>
      </c>
      <c r="G467" s="5">
        <v>-4.07E-2</v>
      </c>
      <c r="H467" t="s">
        <v>12207</v>
      </c>
      <c r="I467">
        <v>17872135000</v>
      </c>
      <c r="J467">
        <v>23.87</v>
      </c>
      <c r="K467">
        <v>2.62</v>
      </c>
      <c r="L467" t="s">
        <v>6350</v>
      </c>
      <c r="M467" t="s">
        <v>9</v>
      </c>
      <c r="N467" t="s">
        <v>9</v>
      </c>
      <c r="O467" t="s">
        <v>9</v>
      </c>
      <c r="P467" t="s">
        <v>9</v>
      </c>
      <c r="Q467" t="s">
        <v>12208</v>
      </c>
      <c r="R467">
        <v>748625670</v>
      </c>
      <c r="S467" s="5">
        <v>0.39190000000000003</v>
      </c>
      <c r="T467" t="s">
        <v>1152</v>
      </c>
      <c r="U467">
        <v>631524200</v>
      </c>
      <c r="V467">
        <v>631524200</v>
      </c>
      <c r="W467" t="s">
        <v>9</v>
      </c>
      <c r="X467" t="s">
        <v>9</v>
      </c>
      <c r="Y467" t="s">
        <v>9</v>
      </c>
      <c r="Z467" t="s">
        <v>9</v>
      </c>
      <c r="AA467" t="s">
        <v>9</v>
      </c>
      <c r="AB467" t="s">
        <v>9</v>
      </c>
      <c r="AC467" t="s">
        <v>9</v>
      </c>
      <c r="AD467" t="s">
        <v>9</v>
      </c>
      <c r="AE467" t="s">
        <v>9</v>
      </c>
      <c r="AF467" t="s">
        <v>9</v>
      </c>
      <c r="AG467" t="s">
        <v>9</v>
      </c>
      <c r="AH467" t="s">
        <v>12209</v>
      </c>
      <c r="AI467" t="s">
        <v>9</v>
      </c>
      <c r="AJ467" t="s">
        <v>9</v>
      </c>
      <c r="AK467" t="s">
        <v>12210</v>
      </c>
      <c r="AL467" t="s">
        <v>9</v>
      </c>
      <c r="AM467" t="s">
        <v>9</v>
      </c>
      <c r="AN467" s="5">
        <v>0.4173</v>
      </c>
      <c r="AO467" t="s">
        <v>9</v>
      </c>
      <c r="AP467" t="s">
        <v>6464</v>
      </c>
      <c r="AQ467" t="s">
        <v>9</v>
      </c>
      <c r="AR467" t="s">
        <v>1754</v>
      </c>
      <c r="AS467" t="s">
        <v>9</v>
      </c>
      <c r="AT467" t="s">
        <v>9</v>
      </c>
      <c r="AU467" t="s">
        <v>6031</v>
      </c>
      <c r="AV467" t="s">
        <v>12211</v>
      </c>
      <c r="AW467" t="s">
        <v>9</v>
      </c>
      <c r="AX467" t="s">
        <v>5780</v>
      </c>
      <c r="AY467" t="s">
        <v>4305</v>
      </c>
      <c r="AZ467" t="s">
        <v>5781</v>
      </c>
      <c r="BA467" t="s">
        <v>5782</v>
      </c>
      <c r="BB467" t="s">
        <v>5783</v>
      </c>
      <c r="BC467" t="s">
        <v>3806</v>
      </c>
      <c r="BD467" t="s">
        <v>2347</v>
      </c>
      <c r="BE467" t="s">
        <v>5784</v>
      </c>
      <c r="BF467" t="s">
        <v>5785</v>
      </c>
      <c r="BG467" t="s">
        <v>5786</v>
      </c>
      <c r="BH467" t="s">
        <v>5780</v>
      </c>
      <c r="BI467" t="s">
        <v>9</v>
      </c>
      <c r="BJ467" t="s">
        <v>4305</v>
      </c>
      <c r="BK467" t="s">
        <v>5105</v>
      </c>
      <c r="BL467" t="s">
        <v>9</v>
      </c>
      <c r="BM467" t="s">
        <v>3806</v>
      </c>
      <c r="BN467">
        <v>9</v>
      </c>
      <c r="BO467">
        <v>8.01</v>
      </c>
      <c r="BP467">
        <v>8.8699999999999992</v>
      </c>
      <c r="BQ467">
        <v>10.96</v>
      </c>
      <c r="BR467">
        <v>9.66</v>
      </c>
      <c r="BS467">
        <v>9.91</v>
      </c>
      <c r="BT467" t="s">
        <v>179</v>
      </c>
      <c r="BU467" t="s">
        <v>2382</v>
      </c>
      <c r="BV467">
        <v>31.55</v>
      </c>
      <c r="BW467">
        <v>32.19</v>
      </c>
      <c r="BX467">
        <v>32.72</v>
      </c>
      <c r="BY467">
        <v>16.8</v>
      </c>
      <c r="BZ467">
        <v>15.08</v>
      </c>
      <c r="CA467">
        <v>19.57</v>
      </c>
      <c r="CB467">
        <v>-5.51</v>
      </c>
      <c r="CC467">
        <v>-23.72</v>
      </c>
      <c r="CD467" t="s">
        <v>12212</v>
      </c>
      <c r="CE467" t="s">
        <v>12213</v>
      </c>
      <c r="CF467" s="8" t="s">
        <v>9</v>
      </c>
      <c r="CG467" s="9">
        <v>0.39190000000000003</v>
      </c>
      <c r="CH467" s="8">
        <v>0.23966720700263977</v>
      </c>
      <c r="CI467" s="8">
        <v>0.27160489559173584</v>
      </c>
      <c r="CJ467" s="8">
        <v>0.69658881425857544</v>
      </c>
      <c r="CK467" s="8">
        <v>0.91628450155258179</v>
      </c>
      <c r="CL467" s="8">
        <v>0.21958042681217194</v>
      </c>
      <c r="CM467" s="9">
        <v>0.38447320461273193</v>
      </c>
      <c r="CN467" s="9">
        <v>1.6650246381759644</v>
      </c>
      <c r="CO467" s="9">
        <v>3.567997932434082</v>
      </c>
      <c r="CP467" s="9">
        <v>14.081141471862793</v>
      </c>
      <c r="CQ467" s="9">
        <v>1.0529319047927856</v>
      </c>
      <c r="CR467">
        <v>81.630038275210026</v>
      </c>
      <c r="CS467">
        <v>1.6932975320392034</v>
      </c>
      <c r="CT467">
        <v>0</v>
      </c>
      <c r="CU467" s="8">
        <v>0.48207734748721121</v>
      </c>
      <c r="CV467" s="9">
        <v>0.74485489130020144</v>
      </c>
      <c r="CW467">
        <v>0.06</v>
      </c>
      <c r="CX467">
        <v>17.065916422699058</v>
      </c>
      <c r="CY467">
        <v>1047241446.479171</v>
      </c>
      <c r="CZ467">
        <v>0.48207734748721121</v>
      </c>
      <c r="DA467">
        <v>4.0653473518521777</v>
      </c>
      <c r="DB467">
        <v>4396213522.0394964</v>
      </c>
      <c r="DC467">
        <v>0.45797348011285061</v>
      </c>
      <c r="DD467">
        <v>1.2495387182115303</v>
      </c>
      <c r="DE467">
        <v>14302986165.631151</v>
      </c>
      <c r="DF467">
        <v>0.42422806578874589</v>
      </c>
      <c r="DG467">
        <v>0.41320533996635278</v>
      </c>
      <c r="DH467">
        <v>43252429897.095047</v>
      </c>
      <c r="DI467">
        <v>0.38566187798976898</v>
      </c>
      <c r="DJ467">
        <v>4.7787998673789987E-2</v>
      </c>
      <c r="DK467">
        <v>373987936218.01593</v>
      </c>
      <c r="DL467">
        <v>0.33745414324104783</v>
      </c>
      <c r="DM467">
        <v>749000000</v>
      </c>
      <c r="DN467">
        <v>0.48207734748721121</v>
      </c>
      <c r="DO467">
        <v>17872135000</v>
      </c>
      <c r="DP467" t="e">
        <v>#VALUE!</v>
      </c>
      <c r="DQ467">
        <v>467</v>
      </c>
      <c r="DR467" t="e">
        <v>#VALUE!</v>
      </c>
      <c r="DS467">
        <v>-0.35295489130020141</v>
      </c>
      <c r="DT467" t="e">
        <v>#VALUE!</v>
      </c>
      <c r="DU467" t="e">
        <v>#VALUE!</v>
      </c>
      <c r="DV467" t="e">
        <v>#VALUE!</v>
      </c>
      <c r="DW467">
        <v>-8.2322934232715017</v>
      </c>
      <c r="DX467">
        <v>0.33224790690094991</v>
      </c>
      <c r="DY467">
        <v>-8.0353661874799425</v>
      </c>
      <c r="DZ467">
        <v>0</v>
      </c>
      <c r="EA467">
        <v>-8.0353661874799425</v>
      </c>
      <c r="EB467">
        <v>8</v>
      </c>
      <c r="EC467">
        <v>1.8392169294541683E-2</v>
      </c>
      <c r="ED467">
        <v>0.12080408003367092</v>
      </c>
      <c r="EE467">
        <v>0</v>
      </c>
      <c r="EF467">
        <v>0</v>
      </c>
      <c r="EG467">
        <v>18.15224790690095</v>
      </c>
      <c r="EH467" t="s">
        <v>110</v>
      </c>
      <c r="EI467">
        <v>0</v>
      </c>
      <c r="EJ467">
        <v>0</v>
      </c>
      <c r="EK467">
        <v>0</v>
      </c>
      <c r="EL467">
        <v>0</v>
      </c>
      <c r="EM467">
        <v>0</v>
      </c>
      <c r="EN467">
        <v>0</v>
      </c>
      <c r="EO467">
        <v>0</v>
      </c>
      <c r="EP467">
        <v>0</v>
      </c>
    </row>
    <row r="468" spans="1:146" ht="96" x14ac:dyDescent="0.25">
      <c r="A468" s="7"/>
      <c r="B468" s="7"/>
      <c r="C468" s="7" t="str">
        <f>""&amp;CHAR(10)&amp;Basic_Fundamental_Information_Constructure(F468)&amp;CHAR(10)&amp;Basic_Fundamental_Information_Concatenate("")</f>
        <v xml:space="preserve">
市值225.25941亿, 利润10.07亿; PE19.42; 平均PE91.94; 平均PEG3.82, PB1.2; ROIC4.11%; ROE6.0933%; 股利率0%; 毛利17.06%; 净利3.3%; 上一年度营收增-7.36%, 利润增-6.15%, 利润增-23.94%; 过往5年营收增24.07%, 利润增35.64%
Income profile:
</v>
      </c>
      <c r="D468" s="11">
        <v>6088</v>
      </c>
      <c r="E468" t="s">
        <v>5787</v>
      </c>
      <c r="F468">
        <v>3.09</v>
      </c>
      <c r="G468" s="5">
        <v>0</v>
      </c>
      <c r="H468" t="s">
        <v>12214</v>
      </c>
      <c r="I468">
        <v>22525941000</v>
      </c>
      <c r="J468">
        <v>19.420000000000002</v>
      </c>
      <c r="K468">
        <v>1.2</v>
      </c>
      <c r="L468" t="s">
        <v>6350</v>
      </c>
      <c r="M468" t="s">
        <v>9</v>
      </c>
      <c r="N468" t="s">
        <v>9</v>
      </c>
      <c r="O468" t="s">
        <v>9</v>
      </c>
      <c r="P468" t="s">
        <v>9</v>
      </c>
      <c r="Q468" t="s">
        <v>12215</v>
      </c>
      <c r="R468">
        <v>1007376860</v>
      </c>
      <c r="S468" s="5">
        <v>-0.2394</v>
      </c>
      <c r="T468" t="s">
        <v>6331</v>
      </c>
      <c r="U468">
        <v>7289948600</v>
      </c>
      <c r="V468">
        <v>7289948600</v>
      </c>
      <c r="W468" t="s">
        <v>9</v>
      </c>
      <c r="X468" t="s">
        <v>9</v>
      </c>
      <c r="Y468" t="s">
        <v>9</v>
      </c>
      <c r="Z468" t="s">
        <v>9</v>
      </c>
      <c r="AA468" t="s">
        <v>9</v>
      </c>
      <c r="AB468" t="s">
        <v>9</v>
      </c>
      <c r="AC468" t="s">
        <v>9</v>
      </c>
      <c r="AD468" t="s">
        <v>1560</v>
      </c>
      <c r="AE468" t="s">
        <v>9</v>
      </c>
      <c r="AF468" t="s">
        <v>9</v>
      </c>
      <c r="AG468" t="s">
        <v>9</v>
      </c>
      <c r="AH468" t="s">
        <v>12216</v>
      </c>
      <c r="AI468" t="s">
        <v>9</v>
      </c>
      <c r="AJ468" t="s">
        <v>9</v>
      </c>
      <c r="AK468" t="s">
        <v>12217</v>
      </c>
      <c r="AL468" t="s">
        <v>9</v>
      </c>
      <c r="AM468" t="s">
        <v>9</v>
      </c>
      <c r="AN468" s="5">
        <v>0.52149999999999996</v>
      </c>
      <c r="AO468" t="s">
        <v>9</v>
      </c>
      <c r="AP468" t="s">
        <v>12218</v>
      </c>
      <c r="AQ468" t="s">
        <v>9</v>
      </c>
      <c r="AR468" t="s">
        <v>12219</v>
      </c>
      <c r="AS468" t="s">
        <v>9</v>
      </c>
      <c r="AT468" t="s">
        <v>9</v>
      </c>
      <c r="AU468" t="s">
        <v>12220</v>
      </c>
      <c r="AV468" t="s">
        <v>12221</v>
      </c>
      <c r="AW468" t="s">
        <v>9</v>
      </c>
      <c r="AX468" t="s">
        <v>5788</v>
      </c>
      <c r="AY468" t="s">
        <v>5790</v>
      </c>
      <c r="AZ468" t="s">
        <v>5791</v>
      </c>
      <c r="BA468" t="s">
        <v>5792</v>
      </c>
      <c r="BB468" t="s">
        <v>5793</v>
      </c>
      <c r="BC468" t="s">
        <v>5794</v>
      </c>
      <c r="BD468" t="s">
        <v>818</v>
      </c>
      <c r="BE468" t="s">
        <v>4759</v>
      </c>
      <c r="BF468" t="s">
        <v>4759</v>
      </c>
      <c r="BG468" t="s">
        <v>1688</v>
      </c>
      <c r="BH468" t="s">
        <v>5788</v>
      </c>
      <c r="BI468" t="s">
        <v>5795</v>
      </c>
      <c r="BJ468" t="s">
        <v>5790</v>
      </c>
      <c r="BK468" t="s">
        <v>3566</v>
      </c>
      <c r="BL468" t="s">
        <v>3884</v>
      </c>
      <c r="BM468" t="s">
        <v>5794</v>
      </c>
      <c r="BN468">
        <v>3.59</v>
      </c>
      <c r="BO468">
        <v>4.82</v>
      </c>
      <c r="BP468">
        <v>3.92</v>
      </c>
      <c r="BQ468">
        <v>5.3</v>
      </c>
      <c r="BR468">
        <v>7.23</v>
      </c>
      <c r="BS468">
        <v>5.75</v>
      </c>
      <c r="BT468" t="s">
        <v>1187</v>
      </c>
      <c r="BU468" t="s">
        <v>1093</v>
      </c>
      <c r="BV468">
        <v>19.239999999999998</v>
      </c>
      <c r="BW468">
        <v>16.95</v>
      </c>
      <c r="BX468">
        <v>14.99</v>
      </c>
      <c r="BY468">
        <v>3.09</v>
      </c>
      <c r="BZ468">
        <v>3.76</v>
      </c>
      <c r="CA468">
        <v>3.05</v>
      </c>
      <c r="CB468">
        <v>-12.71</v>
      </c>
      <c r="CC468">
        <v>38.57</v>
      </c>
      <c r="CD468" t="s">
        <v>3638</v>
      </c>
      <c r="CE468" t="s">
        <v>2795</v>
      </c>
      <c r="CF468" s="8" t="s">
        <v>9</v>
      </c>
      <c r="CG468" s="9">
        <v>-0.2394</v>
      </c>
      <c r="CH468" s="8">
        <v>-7.3611341416835785E-2</v>
      </c>
      <c r="CI468" s="8">
        <v>1.0281351394951344E-2</v>
      </c>
      <c r="CJ468" s="8">
        <v>4.6723689883947372E-2</v>
      </c>
      <c r="CK468" s="8">
        <v>6.6029265522956848E-2</v>
      </c>
      <c r="CL468" s="8">
        <v>0.18156494200229645</v>
      </c>
      <c r="CM468" s="9">
        <v>-6.1509784311056137E-2</v>
      </c>
      <c r="CN468" s="9">
        <v>2.2515151500701904</v>
      </c>
      <c r="CO468" s="9">
        <v>-0.81996726989746094</v>
      </c>
      <c r="CP468" s="9">
        <v>0</v>
      </c>
      <c r="CQ468" s="9">
        <v>0.29999995231628418</v>
      </c>
      <c r="CR468">
        <v>91.942134724872531</v>
      </c>
      <c r="CS468">
        <v>3.8199693435277244</v>
      </c>
      <c r="CT468">
        <v>0</v>
      </c>
      <c r="CU468" s="8">
        <v>0.24068814814090728</v>
      </c>
      <c r="CV468" s="9">
        <v>0.35638125538825988</v>
      </c>
      <c r="CW468">
        <v>0.06</v>
      </c>
      <c r="CX468">
        <v>19.111584871375996</v>
      </c>
      <c r="CY468">
        <v>1178653740.7338619</v>
      </c>
      <c r="CZ468">
        <v>0.24068814814090728</v>
      </c>
      <c r="DA468">
        <v>5.5097855229920487</v>
      </c>
      <c r="DB468">
        <v>4088351698.2649179</v>
      </c>
      <c r="DC468">
        <v>0.22865374073386191</v>
      </c>
      <c r="DD468">
        <v>2.2739128907666304</v>
      </c>
      <c r="DE468">
        <v>9906246229.3379974</v>
      </c>
      <c r="DF468">
        <v>0.21180557036399841</v>
      </c>
      <c r="DG468">
        <v>1.1056742179292192</v>
      </c>
      <c r="DH468">
        <v>20373036320.03656</v>
      </c>
      <c r="DI468">
        <v>0.19255051851272584</v>
      </c>
      <c r="DJ468">
        <v>0.34499302959456146</v>
      </c>
      <c r="DK468">
        <v>65293901811.502289</v>
      </c>
      <c r="DL468">
        <v>0.16848170369863508</v>
      </c>
      <c r="DM468">
        <v>1007000000</v>
      </c>
      <c r="DN468">
        <v>0.24068814814090728</v>
      </c>
      <c r="DO468">
        <v>22525941000</v>
      </c>
      <c r="DP468" t="e">
        <v>#VALUE!</v>
      </c>
      <c r="DQ468">
        <v>468</v>
      </c>
      <c r="DR468" t="e">
        <v>#VALUE!</v>
      </c>
      <c r="DS468">
        <v>-0.59578125538825988</v>
      </c>
      <c r="DT468" t="e">
        <v>#VALUE!</v>
      </c>
      <c r="DU468">
        <v>0.6349999999999999</v>
      </c>
      <c r="DV468" t="e">
        <v>#VALUE!</v>
      </c>
      <c r="DW468">
        <v>-7.2478549141965676</v>
      </c>
      <c r="DX468">
        <v>0.43719211822660142</v>
      </c>
      <c r="DY468">
        <v>-7.0463964864013278</v>
      </c>
      <c r="DZ468">
        <v>0</v>
      </c>
      <c r="EA468">
        <v>-7.0463964864013278</v>
      </c>
      <c r="EB468">
        <v>7</v>
      </c>
      <c r="EC468">
        <v>3.1275940683587258E-2</v>
      </c>
      <c r="ED468">
        <v>0.16707936733600565</v>
      </c>
      <c r="EE468">
        <v>0</v>
      </c>
      <c r="EF468">
        <v>0</v>
      </c>
      <c r="EG468">
        <v>25.187192118226601</v>
      </c>
      <c r="EH468" t="s">
        <v>110</v>
      </c>
      <c r="EI468">
        <v>0</v>
      </c>
      <c r="EJ468">
        <v>0</v>
      </c>
      <c r="EK468">
        <v>0</v>
      </c>
      <c r="EL468">
        <v>0</v>
      </c>
      <c r="EM468">
        <v>0</v>
      </c>
      <c r="EN468">
        <v>0</v>
      </c>
      <c r="EO468">
        <v>0</v>
      </c>
      <c r="EP468">
        <v>0</v>
      </c>
    </row>
    <row r="469" spans="1:146" ht="96" x14ac:dyDescent="0.25">
      <c r="A469" s="7"/>
      <c r="B469" s="7"/>
      <c r="C469" s="7" t="str">
        <f>""&amp;CHAR(10)&amp;Basic_Fundamental_Information_Constructure(F469)&amp;CHAR(10)&amp;Basic_Fundamental_Information_Concatenate("")</f>
        <v xml:space="preserve">
市值163.13939亿, 利润3.20亿; PE50.91; 平均PE140.07; 平均PEG15.65, PB.412; ROIC6.35%; ROE5.7167%; 股利率0%; 毛利25.34%; 净利7.2533%; 上一年度营收增.1%, 利润增-93.52%, 利润增-85.38%; 过往5年营收增8.95%, 利润增41.84%
Income profile:
</v>
      </c>
      <c r="D469" s="11">
        <v>6098</v>
      </c>
      <c r="E469" t="s">
        <v>5796</v>
      </c>
      <c r="F469">
        <v>4.88</v>
      </c>
      <c r="G469" s="5">
        <v>-2.5899999999999999E-2</v>
      </c>
      <c r="H469" t="s">
        <v>12222</v>
      </c>
      <c r="I469">
        <v>16313939000</v>
      </c>
      <c r="J469">
        <v>50.91</v>
      </c>
      <c r="K469">
        <v>0.41199999999999998</v>
      </c>
      <c r="L469" t="s">
        <v>6350</v>
      </c>
      <c r="M469" t="s">
        <v>9</v>
      </c>
      <c r="N469" t="s">
        <v>9</v>
      </c>
      <c r="O469" t="s">
        <v>9</v>
      </c>
      <c r="P469" t="s">
        <v>9</v>
      </c>
      <c r="Q469" t="s">
        <v>1528</v>
      </c>
      <c r="R469">
        <v>320457630</v>
      </c>
      <c r="S469" s="5">
        <v>-0.8538</v>
      </c>
      <c r="T469" t="s">
        <v>44</v>
      </c>
      <c r="U469">
        <v>3343020300</v>
      </c>
      <c r="V469">
        <v>3343020300</v>
      </c>
      <c r="W469" t="s">
        <v>9</v>
      </c>
      <c r="X469" t="s">
        <v>9</v>
      </c>
      <c r="Y469" t="s">
        <v>9</v>
      </c>
      <c r="Z469" t="s">
        <v>9</v>
      </c>
      <c r="AA469" t="s">
        <v>9</v>
      </c>
      <c r="AB469" t="s">
        <v>9</v>
      </c>
      <c r="AC469" t="s">
        <v>9</v>
      </c>
      <c r="AD469" t="s">
        <v>9</v>
      </c>
      <c r="AE469" t="s">
        <v>9</v>
      </c>
      <c r="AF469" t="s">
        <v>9</v>
      </c>
      <c r="AG469" t="s">
        <v>9</v>
      </c>
      <c r="AH469" t="s">
        <v>12223</v>
      </c>
      <c r="AI469" t="s">
        <v>9</v>
      </c>
      <c r="AJ469" t="s">
        <v>9</v>
      </c>
      <c r="AK469" t="s">
        <v>12224</v>
      </c>
      <c r="AL469" t="s">
        <v>9</v>
      </c>
      <c r="AM469" t="s">
        <v>9</v>
      </c>
      <c r="AN469" s="5">
        <v>0.43990000000000001</v>
      </c>
      <c r="AO469" t="s">
        <v>9</v>
      </c>
      <c r="AP469" t="s">
        <v>12225</v>
      </c>
      <c r="AQ469" t="s">
        <v>9</v>
      </c>
      <c r="AR469" t="s">
        <v>12226</v>
      </c>
      <c r="AS469" t="s">
        <v>9</v>
      </c>
      <c r="AT469" t="s">
        <v>9</v>
      </c>
      <c r="AU469" t="s">
        <v>3727</v>
      </c>
      <c r="AV469" t="s">
        <v>12227</v>
      </c>
      <c r="AW469" t="s">
        <v>9</v>
      </c>
      <c r="AX469" t="s">
        <v>5797</v>
      </c>
      <c r="AY469" t="s">
        <v>5798</v>
      </c>
      <c r="AZ469" t="s">
        <v>5799</v>
      </c>
      <c r="BA469" t="s">
        <v>5800</v>
      </c>
      <c r="BB469" t="s">
        <v>5801</v>
      </c>
      <c r="BC469" t="s">
        <v>5802</v>
      </c>
      <c r="BD469" t="s">
        <v>5803</v>
      </c>
      <c r="BE469" t="s">
        <v>5804</v>
      </c>
      <c r="BF469" t="s">
        <v>4791</v>
      </c>
      <c r="BG469" t="s">
        <v>3341</v>
      </c>
      <c r="BH469" t="s">
        <v>5797</v>
      </c>
      <c r="BI469" t="s">
        <v>9</v>
      </c>
      <c r="BJ469" t="s">
        <v>5798</v>
      </c>
      <c r="BK469" t="s">
        <v>1469</v>
      </c>
      <c r="BL469" t="s">
        <v>9</v>
      </c>
      <c r="BM469" t="s">
        <v>5802</v>
      </c>
      <c r="BN469">
        <v>0.76</v>
      </c>
      <c r="BO469">
        <v>4.79</v>
      </c>
      <c r="BP469">
        <v>13.5</v>
      </c>
      <c r="BQ469">
        <v>0.81</v>
      </c>
      <c r="BR469">
        <v>5.19</v>
      </c>
      <c r="BS469">
        <v>11.15</v>
      </c>
      <c r="BT469" t="s">
        <v>5805</v>
      </c>
      <c r="BU469" t="s">
        <v>410</v>
      </c>
      <c r="BV469">
        <v>20.49</v>
      </c>
      <c r="BW469">
        <v>24.8</v>
      </c>
      <c r="BX469">
        <v>30.73</v>
      </c>
      <c r="BY469">
        <v>1.21</v>
      </c>
      <c r="BZ469">
        <v>5.47</v>
      </c>
      <c r="CA469">
        <v>15.08</v>
      </c>
      <c r="CB469">
        <v>-2.79</v>
      </c>
      <c r="CC469">
        <v>-12.12</v>
      </c>
      <c r="CD469" t="s">
        <v>12228</v>
      </c>
      <c r="CE469" t="s">
        <v>2241</v>
      </c>
      <c r="CF469" s="8" t="s">
        <v>9</v>
      </c>
      <c r="CG469" s="9">
        <v>-0.8538</v>
      </c>
      <c r="CH469" s="8">
        <v>9.6435850718989968E-4</v>
      </c>
      <c r="CI469" s="8">
        <v>0.32130914926528931</v>
      </c>
      <c r="CJ469" s="8">
        <v>0.89942991733551025</v>
      </c>
      <c r="CK469" s="8">
        <v>2.4931433200836182</v>
      </c>
      <c r="CL469" s="8">
        <v>0.42212122678756714</v>
      </c>
      <c r="CM469" s="9">
        <v>-0.93520957231521606</v>
      </c>
      <c r="CN469" s="9">
        <v>0.54247331619262695</v>
      </c>
      <c r="CO469" s="9">
        <v>0.71505087614059448</v>
      </c>
      <c r="CP469" s="9">
        <v>0.77640348672866821</v>
      </c>
      <c r="CQ469" s="9">
        <v>1.1804978847503662</v>
      </c>
      <c r="CR469">
        <v>140.06503023134485</v>
      </c>
      <c r="CS469">
        <v>15.645667737126299</v>
      </c>
      <c r="CT469">
        <v>0</v>
      </c>
      <c r="CU469" s="8">
        <v>8.9523203857243064E-2</v>
      </c>
      <c r="CV469" s="9">
        <v>0.41843882799148557</v>
      </c>
      <c r="CW469">
        <v>0.06</v>
      </c>
      <c r="CX469">
        <v>49.599607191643329</v>
      </c>
      <c r="CY469">
        <v>328912665.31539416</v>
      </c>
      <c r="CZ469">
        <v>8.9523203857243064E-2</v>
      </c>
      <c r="DA469">
        <v>16.215234739617763</v>
      </c>
      <c r="DB469">
        <v>1006087131.1434721</v>
      </c>
      <c r="DC469">
        <v>8.50470436643809E-2</v>
      </c>
      <c r="DD469">
        <v>7.9866952782008189</v>
      </c>
      <c r="DE469">
        <v>2042639468.7334406</v>
      </c>
      <c r="DF469">
        <v>7.8780419394373899E-2</v>
      </c>
      <c r="DG469">
        <v>4.7990689323803366</v>
      </c>
      <c r="DH469">
        <v>3399396680.8699894</v>
      </c>
      <c r="DI469">
        <v>7.1618563085794451E-2</v>
      </c>
      <c r="DJ469">
        <v>2.4824333120725011</v>
      </c>
      <c r="DK469">
        <v>6571753174.8637533</v>
      </c>
      <c r="DL469">
        <v>6.2666242700070138E-2</v>
      </c>
      <c r="DM469">
        <v>320000000</v>
      </c>
      <c r="DN469">
        <v>8.9523203857243064E-2</v>
      </c>
      <c r="DO469">
        <v>16313939000</v>
      </c>
      <c r="DP469" t="e">
        <v>#VALUE!</v>
      </c>
      <c r="DQ469">
        <v>469</v>
      </c>
      <c r="DR469" t="e">
        <v>#VALUE!</v>
      </c>
      <c r="DS469">
        <v>-1.2722388279914856</v>
      </c>
      <c r="DT469" t="e">
        <v>#VALUE!</v>
      </c>
      <c r="DU469" t="e">
        <v>#VALUE!</v>
      </c>
      <c r="DV469" t="e">
        <v>#VALUE!</v>
      </c>
      <c r="DW469">
        <v>-8.2301980198019802</v>
      </c>
      <c r="DX469">
        <v>0.22057638068194904</v>
      </c>
      <c r="DY469">
        <v>-8.0162465430777754</v>
      </c>
      <c r="DZ469">
        <v>0</v>
      </c>
      <c r="EA469">
        <v>-8.0162465430777754</v>
      </c>
      <c r="EB469">
        <v>8</v>
      </c>
      <c r="EC469">
        <v>2.5481658008478143E-2</v>
      </c>
      <c r="ED469">
        <v>0.36105075401426667</v>
      </c>
      <c r="EE469">
        <v>0</v>
      </c>
      <c r="EF469">
        <v>0</v>
      </c>
      <c r="EG469">
        <v>15.070576380681949</v>
      </c>
      <c r="EH469" t="s">
        <v>110</v>
      </c>
      <c r="EI469">
        <v>0</v>
      </c>
      <c r="EJ469">
        <v>0</v>
      </c>
      <c r="EK469">
        <v>0</v>
      </c>
      <c r="EL469">
        <v>0</v>
      </c>
      <c r="EM469">
        <v>0</v>
      </c>
      <c r="EN469">
        <v>0</v>
      </c>
      <c r="EO469">
        <v>0</v>
      </c>
      <c r="EP469">
        <v>0</v>
      </c>
    </row>
    <row r="470" spans="1:146" ht="96" x14ac:dyDescent="0.25">
      <c r="A470" s="7"/>
      <c r="B470" s="7"/>
      <c r="C470" s="7" t="str">
        <f>""&amp;CHAR(10)&amp;Basic_Fundamental_Information_Constructure(F470)&amp;CHAR(10)&amp;Basic_Fundamental_Information_Concatenate("")</f>
        <v xml:space="preserve">
市值534.8364亿, 利润89.80亿; PE6.13; 平均PE28.82; 平均PEG1.18, PB.399; ROIC0%; ROE7.6133%; 股利率0%; 毛利0%; 净利28.6667%; 上一年度营收增-.51%, 利润增-32.36%; 当季营收增-47.4%, 利润增-9.92%; 过往5年营收增24.42%, 利润增24.46%
Income profile:
</v>
      </c>
      <c r="D470" s="11">
        <v>6099</v>
      </c>
      <c r="E470" t="s">
        <v>5806</v>
      </c>
      <c r="F470">
        <v>6.15</v>
      </c>
      <c r="G470" s="5">
        <v>-2.3800000000000002E-2</v>
      </c>
      <c r="H470" t="s">
        <v>12229</v>
      </c>
      <c r="I470">
        <v>53483640000</v>
      </c>
      <c r="J470">
        <v>6.13</v>
      </c>
      <c r="K470">
        <v>0.39900000000000002</v>
      </c>
      <c r="L470" t="s">
        <v>6350</v>
      </c>
      <c r="M470" t="s">
        <v>12230</v>
      </c>
      <c r="N470" t="s">
        <v>12231</v>
      </c>
      <c r="O470" t="s">
        <v>1599</v>
      </c>
      <c r="P470">
        <v>-25</v>
      </c>
      <c r="Q470" t="s">
        <v>12232</v>
      </c>
      <c r="R470">
        <v>8979763500</v>
      </c>
      <c r="S470" s="5">
        <v>-9.9199999999999997E-2</v>
      </c>
      <c r="T470" t="s">
        <v>12233</v>
      </c>
      <c r="U470">
        <v>1274521530</v>
      </c>
      <c r="V470">
        <v>8696526800</v>
      </c>
      <c r="W470">
        <v>5.17</v>
      </c>
      <c r="X470">
        <v>0</v>
      </c>
      <c r="Y470">
        <v>122.91</v>
      </c>
      <c r="Z470" t="s">
        <v>9</v>
      </c>
      <c r="AA470" t="s">
        <v>9</v>
      </c>
      <c r="AB470" t="s">
        <v>9</v>
      </c>
      <c r="AC470" t="s">
        <v>12234</v>
      </c>
      <c r="AD470" t="s">
        <v>9</v>
      </c>
      <c r="AE470" t="s">
        <v>9</v>
      </c>
      <c r="AF470" t="s">
        <v>12235</v>
      </c>
      <c r="AG470" t="s">
        <v>12236</v>
      </c>
      <c r="AH470" t="s">
        <v>12237</v>
      </c>
      <c r="AI470" t="s">
        <v>12238</v>
      </c>
      <c r="AJ470" t="s">
        <v>9</v>
      </c>
      <c r="AK470" t="s">
        <v>12239</v>
      </c>
      <c r="AL470" t="s">
        <v>9</v>
      </c>
      <c r="AM470" t="s">
        <v>483</v>
      </c>
      <c r="AN470" s="5">
        <v>0.80640000000000001</v>
      </c>
      <c r="AO470" t="s">
        <v>7454</v>
      </c>
      <c r="AP470" t="s">
        <v>12240</v>
      </c>
      <c r="AQ470" t="s">
        <v>9</v>
      </c>
      <c r="AR470" t="s">
        <v>12241</v>
      </c>
      <c r="AS470" t="s">
        <v>12242</v>
      </c>
      <c r="AT470" t="s">
        <v>12243</v>
      </c>
      <c r="AU470" t="s">
        <v>12244</v>
      </c>
      <c r="AV470" t="s">
        <v>12245</v>
      </c>
      <c r="AW470" t="s">
        <v>12246</v>
      </c>
      <c r="AX470" t="s">
        <v>5808</v>
      </c>
      <c r="AY470" t="s">
        <v>5813</v>
      </c>
      <c r="AZ470" t="s">
        <v>5814</v>
      </c>
      <c r="BA470" t="s">
        <v>5815</v>
      </c>
      <c r="BB470" t="s">
        <v>5816</v>
      </c>
      <c r="BC470" t="s">
        <v>5817</v>
      </c>
      <c r="BD470" t="s">
        <v>5818</v>
      </c>
      <c r="BE470" t="s">
        <v>5819</v>
      </c>
      <c r="BF470" t="s">
        <v>5820</v>
      </c>
      <c r="BG470" t="s">
        <v>5821</v>
      </c>
      <c r="BH470" t="s">
        <v>5808</v>
      </c>
      <c r="BI470" t="s">
        <v>5822</v>
      </c>
      <c r="BJ470" t="s">
        <v>5813</v>
      </c>
      <c r="BK470" t="s">
        <v>5809</v>
      </c>
      <c r="BL470" t="s">
        <v>7461</v>
      </c>
      <c r="BM470" t="s">
        <v>5817</v>
      </c>
      <c r="BN470" t="s">
        <v>9</v>
      </c>
      <c r="BO470" t="s">
        <v>9</v>
      </c>
      <c r="BP470" t="s">
        <v>9</v>
      </c>
      <c r="BQ470">
        <v>6.72</v>
      </c>
      <c r="BR470">
        <v>6.48</v>
      </c>
      <c r="BS470">
        <v>9.64</v>
      </c>
      <c r="BT470" t="s">
        <v>12247</v>
      </c>
      <c r="BU470" t="s">
        <v>826</v>
      </c>
      <c r="BV470" t="s">
        <v>9</v>
      </c>
      <c r="BW470" t="s">
        <v>9</v>
      </c>
      <c r="BX470" t="s">
        <v>9</v>
      </c>
      <c r="BY470">
        <v>29.32</v>
      </c>
      <c r="BZ470">
        <v>27.66</v>
      </c>
      <c r="CA470">
        <v>29.02</v>
      </c>
      <c r="CB470">
        <v>-4.21</v>
      </c>
      <c r="CC470">
        <v>-11.51</v>
      </c>
      <c r="CD470" t="s">
        <v>12248</v>
      </c>
      <c r="CE470" t="s">
        <v>12249</v>
      </c>
      <c r="CF470" s="8">
        <v>-0.47404479578392628</v>
      </c>
      <c r="CG470" s="9">
        <v>-9.9199999999999997E-2</v>
      </c>
      <c r="CH470" s="8">
        <v>-5.0679794512689114E-3</v>
      </c>
      <c r="CI470" s="8">
        <v>-0.33012133836746216</v>
      </c>
      <c r="CJ470" s="8">
        <v>0.27659398317337036</v>
      </c>
      <c r="CK470" s="8">
        <v>0.88204562664031982</v>
      </c>
      <c r="CL470" s="8">
        <v>-0.11325743794441223</v>
      </c>
      <c r="CM470" s="9">
        <v>-0.32364240288734436</v>
      </c>
      <c r="CN470" s="9">
        <v>0.28193485736846924</v>
      </c>
      <c r="CO470" s="9">
        <v>0.43012985587120056</v>
      </c>
      <c r="CP470" s="9">
        <v>0.75563633441925049</v>
      </c>
      <c r="CQ470" s="9">
        <v>-0.33756223320960999</v>
      </c>
      <c r="CR470">
        <v>28.824980282802532</v>
      </c>
      <c r="CS470">
        <v>1.180547996464588</v>
      </c>
      <c r="CT470">
        <v>0</v>
      </c>
      <c r="CU470" s="8">
        <v>0.24416610226035118</v>
      </c>
      <c r="CV470" s="9">
        <v>0.24459136929363012</v>
      </c>
      <c r="CW470">
        <v>0.06</v>
      </c>
      <c r="CX470">
        <v>45.375007798286873</v>
      </c>
      <c r="CY470">
        <v>10540199621.035805</v>
      </c>
      <c r="CZ470">
        <v>0.24416610226035118</v>
      </c>
      <c r="DA470">
        <v>13.044347642770024</v>
      </c>
      <c r="DB470">
        <v>36664281963.159874</v>
      </c>
      <c r="DC470">
        <v>0.23195779714733361</v>
      </c>
      <c r="DD470">
        <v>5.3610324631093738</v>
      </c>
      <c r="DE470">
        <v>89210733807.534241</v>
      </c>
      <c r="DF470">
        <v>0.21486616998910904</v>
      </c>
      <c r="DG470">
        <v>2.5931393598512424</v>
      </c>
      <c r="DH470">
        <v>184433450590.72949</v>
      </c>
      <c r="DI470">
        <v>0.19533288180828096</v>
      </c>
      <c r="DJ470">
        <v>0.79849237338461276</v>
      </c>
      <c r="DK470">
        <v>598955802135.9259</v>
      </c>
      <c r="DL470">
        <v>0.17091627158224582</v>
      </c>
      <c r="DM470">
        <v>8980000000</v>
      </c>
      <c r="DN470">
        <v>0.24416610226035118</v>
      </c>
      <c r="DO470">
        <v>478261640000</v>
      </c>
      <c r="DP470" t="e">
        <v>#VALUE!</v>
      </c>
      <c r="DQ470">
        <v>470</v>
      </c>
      <c r="DR470">
        <v>-0.7182108980442774</v>
      </c>
      <c r="DS470">
        <v>-0.34379136929363013</v>
      </c>
      <c r="DT470">
        <v>-2.8000000000000025E-2</v>
      </c>
      <c r="DU470">
        <v>1.24</v>
      </c>
      <c r="DV470">
        <v>1.212</v>
      </c>
      <c r="DW470">
        <v>-8.3657688966116428</v>
      </c>
      <c r="DX470">
        <v>0.43126548896354805</v>
      </c>
      <c r="DY470">
        <v>-8.0443551440952685</v>
      </c>
      <c r="DZ470">
        <v>0</v>
      </c>
      <c r="EA470">
        <v>-8.0443551440952685</v>
      </c>
      <c r="EB470">
        <v>8</v>
      </c>
      <c r="EC470">
        <v>6.1757988258025036E-4</v>
      </c>
      <c r="ED470">
        <v>5.0927917568195152E-3</v>
      </c>
      <c r="EE470">
        <v>0</v>
      </c>
      <c r="EF470">
        <v>0</v>
      </c>
      <c r="EG470">
        <v>31.121265488963548</v>
      </c>
      <c r="EH470" t="s">
        <v>110</v>
      </c>
      <c r="EI470">
        <v>0</v>
      </c>
      <c r="EJ470">
        <v>0</v>
      </c>
      <c r="EK470">
        <v>0</v>
      </c>
      <c r="EL470">
        <v>0</v>
      </c>
      <c r="EM470">
        <v>0</v>
      </c>
      <c r="EN470">
        <v>0</v>
      </c>
      <c r="EO470">
        <v>0</v>
      </c>
      <c r="EP470">
        <v>0</v>
      </c>
    </row>
    <row r="471" spans="1:146" ht="96" x14ac:dyDescent="0.25">
      <c r="A471" s="7"/>
      <c r="B471" s="7"/>
      <c r="C471" s="7" t="str">
        <f>""&amp;CHAR(10)&amp;Basic_Fundamental_Information_Constructure(F471)&amp;CHAR(10)&amp;Basic_Fundamental_Information_Concatenate("")</f>
        <v xml:space="preserve">
市值11.1128495亿, 利润82.22万; PE28.96; 平均PE8.21; 平均PEG.43, PB.356; ROIC2.0267%; ROE1.9933%; 股利率0%; 毛利76.62%; 净利3.7833%; 上一年度营收增-15.93%, 利润增-99.5%, 利润增-98.36%; 过往5年营收增19.3%, 利润增9.16%
Income profile:
</v>
      </c>
      <c r="D471" s="11">
        <v>6100</v>
      </c>
      <c r="E471" t="s">
        <v>5823</v>
      </c>
      <c r="F471">
        <v>2.16</v>
      </c>
      <c r="G471" s="5">
        <v>-4.4200000000000003E-2</v>
      </c>
      <c r="H471" t="s">
        <v>12250</v>
      </c>
      <c r="I471">
        <v>1111284950</v>
      </c>
      <c r="J471">
        <v>28.96</v>
      </c>
      <c r="K471">
        <v>0.35599999999999998</v>
      </c>
      <c r="L471" t="s">
        <v>6350</v>
      </c>
      <c r="M471" t="s">
        <v>9</v>
      </c>
      <c r="N471" t="s">
        <v>9</v>
      </c>
      <c r="O471" t="s">
        <v>9</v>
      </c>
      <c r="P471" t="s">
        <v>9</v>
      </c>
      <c r="Q471" t="s">
        <v>5494</v>
      </c>
      <c r="R471">
        <v>822150</v>
      </c>
      <c r="S471" s="5">
        <v>-0.98360000000000003</v>
      </c>
      <c r="T471" t="s">
        <v>12251</v>
      </c>
      <c r="U471">
        <v>514483770</v>
      </c>
      <c r="V471">
        <v>514483770</v>
      </c>
      <c r="W471" t="s">
        <v>9</v>
      </c>
      <c r="X471" t="s">
        <v>9</v>
      </c>
      <c r="Y471" t="s">
        <v>9</v>
      </c>
      <c r="Z471" t="s">
        <v>9</v>
      </c>
      <c r="AA471" t="s">
        <v>9</v>
      </c>
      <c r="AB471" t="s">
        <v>9</v>
      </c>
      <c r="AC471" t="s">
        <v>9</v>
      </c>
      <c r="AD471" t="s">
        <v>4152</v>
      </c>
      <c r="AE471" t="s">
        <v>9</v>
      </c>
      <c r="AF471" t="s">
        <v>9</v>
      </c>
      <c r="AG471" t="s">
        <v>9</v>
      </c>
      <c r="AH471" t="s">
        <v>12252</v>
      </c>
      <c r="AI471" t="s">
        <v>9</v>
      </c>
      <c r="AJ471" t="s">
        <v>9</v>
      </c>
      <c r="AK471" t="s">
        <v>12253</v>
      </c>
      <c r="AL471" t="s">
        <v>9</v>
      </c>
      <c r="AM471" t="s">
        <v>9</v>
      </c>
      <c r="AN471" s="5">
        <v>0.30009999999999998</v>
      </c>
      <c r="AO471" t="s">
        <v>9</v>
      </c>
      <c r="AP471" t="s">
        <v>12254</v>
      </c>
      <c r="AQ471" t="s">
        <v>9</v>
      </c>
      <c r="AR471" t="s">
        <v>6363</v>
      </c>
      <c r="AS471" t="s">
        <v>9</v>
      </c>
      <c r="AT471" t="s">
        <v>9</v>
      </c>
      <c r="AU471" t="s">
        <v>12255</v>
      </c>
      <c r="AV471" t="s">
        <v>1508</v>
      </c>
      <c r="AW471" t="s">
        <v>9</v>
      </c>
      <c r="AX471" t="s">
        <v>5826</v>
      </c>
      <c r="AY471" t="s">
        <v>5829</v>
      </c>
      <c r="AZ471" t="s">
        <v>5830</v>
      </c>
      <c r="BA471" t="s">
        <v>5443</v>
      </c>
      <c r="BB471" t="s">
        <v>3534</v>
      </c>
      <c r="BC471" t="s">
        <v>2720</v>
      </c>
      <c r="BD471" t="s">
        <v>5831</v>
      </c>
      <c r="BE471" t="s">
        <v>182</v>
      </c>
      <c r="BF471" t="s">
        <v>5832</v>
      </c>
      <c r="BG471" t="s">
        <v>5833</v>
      </c>
      <c r="BH471" t="s">
        <v>5826</v>
      </c>
      <c r="BI471" t="s">
        <v>1291</v>
      </c>
      <c r="BJ471" t="s">
        <v>5829</v>
      </c>
      <c r="BK471" t="s">
        <v>5827</v>
      </c>
      <c r="BL471" t="s">
        <v>5834</v>
      </c>
      <c r="BM471" t="s">
        <v>2720</v>
      </c>
      <c r="BN471">
        <v>0.03</v>
      </c>
      <c r="BO471">
        <v>1.46</v>
      </c>
      <c r="BP471">
        <v>4.59</v>
      </c>
      <c r="BQ471">
        <v>0.03</v>
      </c>
      <c r="BR471">
        <v>1.44</v>
      </c>
      <c r="BS471">
        <v>4.51</v>
      </c>
      <c r="BT471" t="s">
        <v>9</v>
      </c>
      <c r="BU471" t="s">
        <v>1974</v>
      </c>
      <c r="BV471">
        <v>74.3</v>
      </c>
      <c r="BW471">
        <v>77.599999999999994</v>
      </c>
      <c r="BX471">
        <v>77.959999999999994</v>
      </c>
      <c r="BY471">
        <v>0.73</v>
      </c>
      <c r="BZ471">
        <v>3.4</v>
      </c>
      <c r="CA471">
        <v>7.22</v>
      </c>
      <c r="CB471">
        <v>-8.86</v>
      </c>
      <c r="CC471">
        <v>-34.15</v>
      </c>
      <c r="CD471" t="s">
        <v>12256</v>
      </c>
      <c r="CE471" t="s">
        <v>68</v>
      </c>
      <c r="CF471" s="8" t="s">
        <v>9</v>
      </c>
      <c r="CG471" s="9">
        <v>-0.98360000000000003</v>
      </c>
      <c r="CH471" s="8">
        <v>-0.1592741459608078</v>
      </c>
      <c r="CI471" s="8">
        <v>-8.3461672067642212E-2</v>
      </c>
      <c r="CJ471" s="8">
        <v>0.4573608934879303</v>
      </c>
      <c r="CK471" s="8">
        <v>0.59713256359100342</v>
      </c>
      <c r="CL471" s="8">
        <v>0.41051572561264038</v>
      </c>
      <c r="CM471" s="9">
        <v>-0.99501693248748779</v>
      </c>
      <c r="CN471" s="9">
        <v>1.5814324617385864</v>
      </c>
      <c r="CO471" s="9">
        <v>-0.52300000190734863</v>
      </c>
      <c r="CP471" s="9">
        <v>14.211197853088379</v>
      </c>
      <c r="CQ471" s="9">
        <v>-0.18339404463768005</v>
      </c>
      <c r="CR471">
        <v>8.2137866552184384</v>
      </c>
      <c r="CS471">
        <v>0.42565821631904727</v>
      </c>
      <c r="CT471">
        <v>0</v>
      </c>
      <c r="CU471" s="8">
        <v>0.19296671226620674</v>
      </c>
      <c r="CV471" s="9">
        <v>9.1592290997505182E-2</v>
      </c>
      <c r="CW471">
        <v>0.06</v>
      </c>
      <c r="CX471">
        <v>1200.9515860008339</v>
      </c>
      <c r="CY471">
        <v>925337.01021252363</v>
      </c>
      <c r="CZ471">
        <v>0.19296671226620674</v>
      </c>
      <c r="DA471">
        <v>360.06724637172022</v>
      </c>
      <c r="DB471">
        <v>3086326.1271277927</v>
      </c>
      <c r="DC471">
        <v>0.18331837665289638</v>
      </c>
      <c r="DD471">
        <v>157.29937722386686</v>
      </c>
      <c r="DE471">
        <v>7064776.5402048016</v>
      </c>
      <c r="DF471">
        <v>0.16981070679426194</v>
      </c>
      <c r="DG471">
        <v>82.067844338261494</v>
      </c>
      <c r="DH471">
        <v>13541052.027875662</v>
      </c>
      <c r="DI471">
        <v>0.1543733698129654</v>
      </c>
      <c r="DJ471">
        <v>30.511806989786443</v>
      </c>
      <c r="DK471">
        <v>36421472.853836313</v>
      </c>
      <c r="DL471">
        <v>0.13507669858634472</v>
      </c>
      <c r="DM471">
        <v>822200</v>
      </c>
      <c r="DN471">
        <v>0.19296671226620674</v>
      </c>
      <c r="DO471">
        <v>1111284950</v>
      </c>
      <c r="DP471" t="e">
        <v>#VALUE!</v>
      </c>
      <c r="DQ471">
        <v>471</v>
      </c>
      <c r="DR471" t="e">
        <v>#VALUE!</v>
      </c>
      <c r="DS471">
        <v>-1.0751922909975051</v>
      </c>
      <c r="DT471" t="e">
        <v>#VALUE!</v>
      </c>
      <c r="DU471">
        <v>-0.15</v>
      </c>
      <c r="DV471" t="e">
        <v>#VALUE!</v>
      </c>
      <c r="DW471">
        <v>-9.2594436310395309</v>
      </c>
      <c r="DX471">
        <v>0.26055230769230803</v>
      </c>
      <c r="DY471">
        <v>-9.020898783196305</v>
      </c>
      <c r="DZ471">
        <v>0</v>
      </c>
      <c r="EA471">
        <v>-9.020898783196305</v>
      </c>
      <c r="EB471">
        <v>9</v>
      </c>
      <c r="EC471">
        <v>3.0530992260455563E-2</v>
      </c>
      <c r="ED471">
        <v>0.37902070263557586</v>
      </c>
      <c r="EE471">
        <v>0</v>
      </c>
      <c r="EF471">
        <v>0</v>
      </c>
      <c r="EG471">
        <v>18.080552307692308</v>
      </c>
      <c r="EH471" t="s">
        <v>110</v>
      </c>
      <c r="EI471">
        <v>0</v>
      </c>
      <c r="EJ471">
        <v>0</v>
      </c>
      <c r="EK471">
        <v>0</v>
      </c>
      <c r="EL471">
        <v>0</v>
      </c>
      <c r="EM471">
        <v>0</v>
      </c>
      <c r="EN471">
        <v>0</v>
      </c>
      <c r="EO471">
        <v>0</v>
      </c>
      <c r="EP471">
        <v>0</v>
      </c>
    </row>
    <row r="472" spans="1:146" ht="96" x14ac:dyDescent="0.25">
      <c r="A472" s="7"/>
      <c r="B472" s="7"/>
      <c r="C472" s="7" t="str">
        <f>""&amp;CHAR(10)&amp;Basic_Fundamental_Information_Constructure(F472)&amp;CHAR(10)&amp;Basic_Fundamental_Information_Concatenate("")</f>
        <v xml:space="preserve">
市值272.85377亿, 利润20.71亿; PE11.36; 平均PE25.2; 平均PEG.84, PB2.55; ROIC20.5133%; ROE23.4467%; 股利率0%; 毛利41.94%; 净利7.38%; 上一年度营收增-22.63%, 利润增-37.51%, 利润增10.39%; 过往5年营收增30.12%, 利润增120.28%
Income profile:
</v>
      </c>
      <c r="D472" s="11">
        <v>6110</v>
      </c>
      <c r="E472" t="s">
        <v>5835</v>
      </c>
      <c r="F472">
        <v>4.4000000000000004</v>
      </c>
      <c r="G472" s="5">
        <v>-1.12E-2</v>
      </c>
      <c r="H472" t="s">
        <v>12257</v>
      </c>
      <c r="I472">
        <v>27285377000</v>
      </c>
      <c r="J472">
        <v>11.36</v>
      </c>
      <c r="K472">
        <v>2.5499999999999998</v>
      </c>
      <c r="L472" t="s">
        <v>6350</v>
      </c>
      <c r="M472" t="s">
        <v>9</v>
      </c>
      <c r="N472" t="s">
        <v>9</v>
      </c>
      <c r="O472" t="s">
        <v>9</v>
      </c>
      <c r="P472" t="s">
        <v>9</v>
      </c>
      <c r="Q472" t="s">
        <v>12258</v>
      </c>
      <c r="R472">
        <v>1437423100</v>
      </c>
      <c r="S472" s="5">
        <v>0.10390000000000001</v>
      </c>
      <c r="T472" t="s">
        <v>12259</v>
      </c>
      <c r="U472">
        <v>6201222000</v>
      </c>
      <c r="V472">
        <v>6201222000</v>
      </c>
      <c r="W472" t="s">
        <v>9</v>
      </c>
      <c r="X472" t="s">
        <v>9</v>
      </c>
      <c r="Y472" t="s">
        <v>9</v>
      </c>
      <c r="Z472" t="s">
        <v>9</v>
      </c>
      <c r="AA472" t="s">
        <v>9</v>
      </c>
      <c r="AB472" t="s">
        <v>9</v>
      </c>
      <c r="AC472" t="s">
        <v>9</v>
      </c>
      <c r="AD472" t="s">
        <v>9</v>
      </c>
      <c r="AE472" t="s">
        <v>9</v>
      </c>
      <c r="AF472" t="s">
        <v>9</v>
      </c>
      <c r="AG472" t="s">
        <v>9</v>
      </c>
      <c r="AH472" t="s">
        <v>12260</v>
      </c>
      <c r="AI472" t="s">
        <v>9</v>
      </c>
      <c r="AJ472" t="s">
        <v>9</v>
      </c>
      <c r="AK472" t="s">
        <v>12261</v>
      </c>
      <c r="AL472" t="s">
        <v>9</v>
      </c>
      <c r="AM472" t="s">
        <v>9</v>
      </c>
      <c r="AN472" s="5">
        <v>0.35670000000000002</v>
      </c>
      <c r="AO472" t="s">
        <v>9</v>
      </c>
      <c r="AP472" t="s">
        <v>3094</v>
      </c>
      <c r="AQ472" t="s">
        <v>9</v>
      </c>
      <c r="AR472" t="s">
        <v>12262</v>
      </c>
      <c r="AS472" t="s">
        <v>9</v>
      </c>
      <c r="AT472" t="s">
        <v>9</v>
      </c>
      <c r="AU472" t="s">
        <v>10031</v>
      </c>
      <c r="AV472" t="s">
        <v>1602</v>
      </c>
      <c r="AW472" t="s">
        <v>9</v>
      </c>
      <c r="AX472" t="s">
        <v>5836</v>
      </c>
      <c r="AY472" t="s">
        <v>5837</v>
      </c>
      <c r="AZ472" t="s">
        <v>5838</v>
      </c>
      <c r="BA472" t="s">
        <v>5839</v>
      </c>
      <c r="BB472" t="s">
        <v>5840</v>
      </c>
      <c r="BC472" t="s">
        <v>5841</v>
      </c>
      <c r="BD472" t="s">
        <v>5842</v>
      </c>
      <c r="BE472" t="s">
        <v>5843</v>
      </c>
      <c r="BF472" t="s">
        <v>5744</v>
      </c>
      <c r="BG472" t="s">
        <v>5844</v>
      </c>
      <c r="BH472" t="s">
        <v>5836</v>
      </c>
      <c r="BI472" t="s">
        <v>9</v>
      </c>
      <c r="BJ472" t="s">
        <v>5837</v>
      </c>
      <c r="BK472" t="s">
        <v>1964</v>
      </c>
      <c r="BL472" t="s">
        <v>9</v>
      </c>
      <c r="BM472" t="s">
        <v>5841</v>
      </c>
      <c r="BN472">
        <v>16.34</v>
      </c>
      <c r="BO472">
        <v>22.1</v>
      </c>
      <c r="BP472">
        <v>23.1</v>
      </c>
      <c r="BQ472">
        <v>18.68</v>
      </c>
      <c r="BR472">
        <v>23.12</v>
      </c>
      <c r="BS472">
        <v>28.54</v>
      </c>
      <c r="BT472" t="s">
        <v>12263</v>
      </c>
      <c r="BU472" t="s">
        <v>1541</v>
      </c>
      <c r="BV472">
        <v>41.68</v>
      </c>
      <c r="BW472">
        <v>43.37</v>
      </c>
      <c r="BX472">
        <v>40.770000000000003</v>
      </c>
      <c r="BY472">
        <v>6.78</v>
      </c>
      <c r="BZ472">
        <v>7.67</v>
      </c>
      <c r="CA472">
        <v>7.69</v>
      </c>
      <c r="CB472">
        <v>-4.76</v>
      </c>
      <c r="CC472">
        <v>-23.88</v>
      </c>
      <c r="CD472" t="s">
        <v>12264</v>
      </c>
      <c r="CE472" t="s">
        <v>3452</v>
      </c>
      <c r="CF472" s="8" t="s">
        <v>9</v>
      </c>
      <c r="CG472" s="9">
        <v>0.10390000000000001</v>
      </c>
      <c r="CH472" s="8">
        <v>-0.22629362344741821</v>
      </c>
      <c r="CI472" s="8">
        <v>-8.3940804004669189E-2</v>
      </c>
      <c r="CJ472" s="8">
        <v>0.14553919434547424</v>
      </c>
      <c r="CK472" s="8">
        <v>0.14453977346420288</v>
      </c>
      <c r="CL472" s="8">
        <v>0.33783954381942749</v>
      </c>
      <c r="CM472" s="9">
        <v>-0.37507539987564087</v>
      </c>
      <c r="CN472" s="9">
        <v>0.28899252414703369</v>
      </c>
      <c r="CO472" s="9">
        <v>-4.6457606367766857E-3</v>
      </c>
      <c r="CP472" s="9">
        <v>0.45357352495193481</v>
      </c>
      <c r="CQ472" s="9">
        <v>0.1910187304019928</v>
      </c>
      <c r="CR472">
        <v>25.198131753116826</v>
      </c>
      <c r="CS472">
        <v>0.8365513032848253</v>
      </c>
      <c r="CT472">
        <v>0</v>
      </c>
      <c r="CU472" s="8">
        <v>0.30121442228555678</v>
      </c>
      <c r="CV472" s="9">
        <v>1.2028418868780135</v>
      </c>
      <c r="CW472">
        <v>0.06</v>
      </c>
      <c r="CX472">
        <v>10.732647281628113</v>
      </c>
      <c r="CY472">
        <v>2542278366.5598001</v>
      </c>
      <c r="CZ472">
        <v>0.30121442228555678</v>
      </c>
      <c r="DA472">
        <v>2.9461670607283215</v>
      </c>
      <c r="DB472">
        <v>9261313577.1244373</v>
      </c>
      <c r="DC472">
        <v>0.28615370117127892</v>
      </c>
      <c r="DD472">
        <v>1.1301791738659888</v>
      </c>
      <c r="DE472">
        <v>24142523266.169624</v>
      </c>
      <c r="DF472">
        <v>0.26506869161128999</v>
      </c>
      <c r="DG472">
        <v>0.50075737729282987</v>
      </c>
      <c r="DH472">
        <v>54488217722.34066</v>
      </c>
      <c r="DI472">
        <v>0.24097153782844544</v>
      </c>
      <c r="DJ472">
        <v>0.1233026862727801</v>
      </c>
      <c r="DK472">
        <v>221287774214.72473</v>
      </c>
      <c r="DL472">
        <v>0.21085009559988974</v>
      </c>
      <c r="DM472">
        <v>2071000000</v>
      </c>
      <c r="DN472">
        <v>0.30121442228555678</v>
      </c>
      <c r="DO472">
        <v>27285377000</v>
      </c>
      <c r="DP472" t="e">
        <v>#VALUE!</v>
      </c>
      <c r="DQ472">
        <v>472</v>
      </c>
      <c r="DR472" t="e">
        <v>#VALUE!</v>
      </c>
      <c r="DS472">
        <v>-1.0989418868780134</v>
      </c>
      <c r="DT472" t="e">
        <v>#VALUE!</v>
      </c>
      <c r="DU472" t="e">
        <v>#VALUE!</v>
      </c>
      <c r="DV472" t="e">
        <v>#VALUE!</v>
      </c>
      <c r="DW472">
        <v>-8.1993299832495818</v>
      </c>
      <c r="DX472">
        <v>0.27559069767441863</v>
      </c>
      <c r="DY472">
        <v>-8.0409803903237123</v>
      </c>
      <c r="DZ472">
        <v>0</v>
      </c>
      <c r="EA472">
        <v>-8.0409803903237123</v>
      </c>
      <c r="EB472">
        <v>8</v>
      </c>
      <c r="EC472">
        <v>7.1279499427693441E-3</v>
      </c>
      <c r="ED472">
        <v>3.4670585894199565E-2</v>
      </c>
      <c r="EE472">
        <v>0</v>
      </c>
      <c r="EF472">
        <v>0</v>
      </c>
      <c r="EG472">
        <v>7.2055906976744186</v>
      </c>
      <c r="EH472" t="s">
        <v>110</v>
      </c>
      <c r="EI472">
        <v>0</v>
      </c>
      <c r="EJ472">
        <v>0</v>
      </c>
      <c r="EK472">
        <v>0</v>
      </c>
      <c r="EL472">
        <v>0</v>
      </c>
      <c r="EM472">
        <v>0</v>
      </c>
      <c r="EN472">
        <v>0</v>
      </c>
      <c r="EO472">
        <v>0</v>
      </c>
      <c r="EP472">
        <v>0</v>
      </c>
    </row>
    <row r="473" spans="1:146" ht="156" x14ac:dyDescent="0.25">
      <c r="A473" s="7"/>
      <c r="B473" s="7"/>
      <c r="C473" s="7" t="str">
        <f>"公司主营业务专注于药物全生命周期的安全性评价和监测服务，其药物临床前研究服务为公司的核心业务，主要内容包括药物非临床安全性评价服务、药效学研究服务、动物药代动力学研究服务和药物筛选。"&amp;CHAR(10)&amp;Basic_Fundamental_Information_Constructure(F473)&amp;CHAR(10)&amp;Basic_Fundamental_Information_Concatenate("非临床研究服务 22.14亿 97.60
临床试验及相关服务 0.50亿 2.19
销售实验模型 481.00万 0.21")</f>
        <v>公司主营业务专注于药物全生命周期的安全性评价和监测服务，其药物临床前研究服务为公司的核心业务，主要内容包括药物非临床安全性评价服务、药效学研究服务、动物药代动力学研究服务和药物筛选。
市值57.966396亿, 利润4.35亿; PE; 平均PE21.4; 平均PEG.96, PB.672; ROIC10.7033%; ROE8.5767%; 股利率0%; 毛利45.8%; 净利33.4967%; 上一年度营收增1.84%, 利润增-36.31%; 当季营收增5.14%, 利润增-236.8%; 过往5年营收增22.29%, 利润增67.36%
Income profile:
非临床研究服务 22.14亿 97.60
临床试验及相关服务 0.50亿 2.19
销售实验模型 481.00万 0.21</v>
      </c>
      <c r="D473" s="11">
        <v>6127</v>
      </c>
      <c r="E473" t="s">
        <v>5845</v>
      </c>
      <c r="F473">
        <v>7.73</v>
      </c>
      <c r="G473" s="5">
        <v>-3.7400000000000003E-2</v>
      </c>
      <c r="H473" t="s">
        <v>12265</v>
      </c>
      <c r="I473">
        <v>5796639600</v>
      </c>
      <c r="K473">
        <v>0.67200000000000004</v>
      </c>
      <c r="L473" t="s">
        <v>6350</v>
      </c>
      <c r="M473" t="s">
        <v>9964</v>
      </c>
      <c r="N473" t="s">
        <v>12266</v>
      </c>
      <c r="O473" t="s">
        <v>3644</v>
      </c>
      <c r="P473">
        <v>-12.07</v>
      </c>
      <c r="Q473" t="s">
        <v>10162</v>
      </c>
      <c r="R473">
        <v>435183730</v>
      </c>
      <c r="S473" s="5">
        <v>-2.3679999999999999</v>
      </c>
      <c r="T473" t="s">
        <v>2625</v>
      </c>
      <c r="U473">
        <v>118995206</v>
      </c>
      <c r="V473">
        <v>749888700</v>
      </c>
      <c r="W473">
        <v>1.22</v>
      </c>
      <c r="X473">
        <v>0.03</v>
      </c>
      <c r="Y473">
        <v>-90.87</v>
      </c>
      <c r="Z473" t="s">
        <v>2814</v>
      </c>
      <c r="AA473" t="s">
        <v>2283</v>
      </c>
      <c r="AB473" t="s">
        <v>12267</v>
      </c>
      <c r="AC473" t="s">
        <v>99</v>
      </c>
      <c r="AD473" t="s">
        <v>1205</v>
      </c>
      <c r="AE473" t="s">
        <v>12268</v>
      </c>
      <c r="AF473" t="s">
        <v>9</v>
      </c>
      <c r="AG473" t="s">
        <v>12269</v>
      </c>
      <c r="AH473" t="s">
        <v>12270</v>
      </c>
      <c r="AI473" t="s">
        <v>5812</v>
      </c>
      <c r="AJ473" t="s">
        <v>3689</v>
      </c>
      <c r="AK473" t="s">
        <v>12271</v>
      </c>
      <c r="AL473" t="s">
        <v>9</v>
      </c>
      <c r="AM473" t="s">
        <v>1411</v>
      </c>
      <c r="AN473" s="5">
        <v>0.1787</v>
      </c>
      <c r="AO473" t="s">
        <v>9</v>
      </c>
      <c r="AP473" t="s">
        <v>12272</v>
      </c>
      <c r="AQ473" t="s">
        <v>12273</v>
      </c>
      <c r="AR473" t="s">
        <v>3208</v>
      </c>
      <c r="AS473" t="s">
        <v>3057</v>
      </c>
      <c r="AT473" t="s">
        <v>9</v>
      </c>
      <c r="AU473" t="s">
        <v>173</v>
      </c>
      <c r="AV473" t="s">
        <v>1602</v>
      </c>
      <c r="AW473" t="s">
        <v>12274</v>
      </c>
      <c r="AX473" t="s">
        <v>5846</v>
      </c>
      <c r="AY473" t="s">
        <v>5487</v>
      </c>
      <c r="AZ473" t="s">
        <v>5715</v>
      </c>
      <c r="BA473" t="s">
        <v>3488</v>
      </c>
      <c r="BB473" t="s">
        <v>909</v>
      </c>
      <c r="BC473" t="s">
        <v>1890</v>
      </c>
      <c r="BD473" t="s">
        <v>102</v>
      </c>
      <c r="BE473" t="s">
        <v>1206</v>
      </c>
      <c r="BF473" t="s">
        <v>82</v>
      </c>
      <c r="BG473" t="s">
        <v>5849</v>
      </c>
      <c r="BH473" t="s">
        <v>5846</v>
      </c>
      <c r="BI473" t="s">
        <v>906</v>
      </c>
      <c r="BJ473" t="s">
        <v>5487</v>
      </c>
      <c r="BK473" t="s">
        <v>1868</v>
      </c>
      <c r="BL473" t="s">
        <v>1805</v>
      </c>
      <c r="BM473" t="s">
        <v>1890</v>
      </c>
      <c r="BN473">
        <v>4.82</v>
      </c>
      <c r="BO473">
        <v>14.01</v>
      </c>
      <c r="BP473">
        <v>13.28</v>
      </c>
      <c r="BQ473">
        <v>4.79</v>
      </c>
      <c r="BR473">
        <v>13.13</v>
      </c>
      <c r="BS473">
        <v>7.81</v>
      </c>
      <c r="BT473" t="s">
        <v>1945</v>
      </c>
      <c r="BU473" t="s">
        <v>489</v>
      </c>
      <c r="BV473">
        <v>41.21</v>
      </c>
      <c r="BW473">
        <v>47.68</v>
      </c>
      <c r="BX473">
        <v>48.51</v>
      </c>
      <c r="BY473">
        <v>16.48</v>
      </c>
      <c r="BZ473">
        <v>47.32</v>
      </c>
      <c r="CA473">
        <v>36.69</v>
      </c>
      <c r="CB473">
        <v>-3.62</v>
      </c>
      <c r="CC473">
        <v>-18.63</v>
      </c>
      <c r="CD473" t="s">
        <v>12275</v>
      </c>
      <c r="CE473" t="s">
        <v>12276</v>
      </c>
      <c r="CF473" s="8">
        <v>5.1359516616314202E-2</v>
      </c>
      <c r="CG473" s="9">
        <v>-2.3679999999999999</v>
      </c>
      <c r="CH473" s="8">
        <v>1.8373653292655945E-2</v>
      </c>
      <c r="CI473" s="8">
        <v>0.37749069929122925</v>
      </c>
      <c r="CJ473" s="8">
        <v>0.44851788878440857</v>
      </c>
      <c r="CK473" s="8">
        <v>1.7569892406463623</v>
      </c>
      <c r="CL473" s="8">
        <v>0.28808864951133728</v>
      </c>
      <c r="CM473" s="9">
        <v>-0.3631039559841156</v>
      </c>
      <c r="CN473" s="9">
        <v>0.83109921216964722</v>
      </c>
      <c r="CO473" s="9">
        <v>0.77619045972824097</v>
      </c>
      <c r="CP473" s="9">
        <v>0.75</v>
      </c>
      <c r="CQ473" s="9">
        <v>0.25244623422622681</v>
      </c>
      <c r="CR473">
        <v>21.400605139085815</v>
      </c>
      <c r="CS473">
        <v>0.95995205982126997</v>
      </c>
      <c r="CT473">
        <v>0</v>
      </c>
      <c r="CU473" s="8">
        <v>0.22293410301208497</v>
      </c>
      <c r="CV473" s="9">
        <v>0.67357815802097321</v>
      </c>
      <c r="CW473">
        <v>0.06</v>
      </c>
      <c r="CX473" t="s">
        <v>6351</v>
      </c>
      <c r="CY473">
        <v>501864466.80212909</v>
      </c>
      <c r="CZ473">
        <v>0.22293410301208497</v>
      </c>
      <c r="DA473" t="s">
        <v>6351</v>
      </c>
      <c r="DB473">
        <v>1715696620.8770583</v>
      </c>
      <c r="DC473">
        <v>0.21178739786148071</v>
      </c>
      <c r="DD473" t="s">
        <v>6351</v>
      </c>
      <c r="DE473">
        <v>4069784032.9251709</v>
      </c>
      <c r="DF473">
        <v>0.19618201065063476</v>
      </c>
      <c r="DG473" t="s">
        <v>6351</v>
      </c>
      <c r="DH473">
        <v>8150681093.2131472</v>
      </c>
      <c r="DI473">
        <v>0.17834728240966799</v>
      </c>
      <c r="DJ473" t="s">
        <v>6351</v>
      </c>
      <c r="DK473">
        <v>24439970182.647305</v>
      </c>
      <c r="DL473">
        <v>0.15605387210845947</v>
      </c>
      <c r="DM473">
        <v>434999999.99999994</v>
      </c>
      <c r="DN473">
        <v>0.22293410301208497</v>
      </c>
      <c r="DO473">
        <v>-949360400</v>
      </c>
      <c r="DP473" t="e">
        <v>#VALUE!</v>
      </c>
      <c r="DQ473">
        <v>473</v>
      </c>
      <c r="DR473">
        <v>-0.17157458639577078</v>
      </c>
      <c r="DS473">
        <v>-3.0415781580209731</v>
      </c>
      <c r="DT473">
        <v>-0.25666666666666677</v>
      </c>
      <c r="DU473">
        <v>1.2316666666666667</v>
      </c>
      <c r="DV473">
        <v>0.97499999999999987</v>
      </c>
      <c r="DW473">
        <v>-8.1943102522812676</v>
      </c>
      <c r="DX473">
        <v>0.28151947095048857</v>
      </c>
      <c r="DY473">
        <v>-8.0236124790574745</v>
      </c>
      <c r="DZ473">
        <v>0</v>
      </c>
      <c r="EA473">
        <v>-8.0236124790574745</v>
      </c>
      <c r="EB473">
        <v>8</v>
      </c>
      <c r="EC473">
        <v>3.5629287386248118E-3</v>
      </c>
      <c r="ED473">
        <v>2.9319817727617443E-2</v>
      </c>
      <c r="EE473">
        <v>0</v>
      </c>
      <c r="EF473">
        <v>0</v>
      </c>
      <c r="EG473">
        <v>16.121519470950489</v>
      </c>
      <c r="EH473" t="s">
        <v>110</v>
      </c>
      <c r="EI473">
        <v>0</v>
      </c>
      <c r="EJ473">
        <v>0</v>
      </c>
      <c r="EK473">
        <v>0</v>
      </c>
      <c r="EL473">
        <v>0</v>
      </c>
      <c r="EM473">
        <v>0</v>
      </c>
      <c r="EN473">
        <v>0</v>
      </c>
      <c r="EO473">
        <v>0</v>
      </c>
      <c r="EP473">
        <v>0</v>
      </c>
    </row>
    <row r="474" spans="1:146" ht="96" x14ac:dyDescent="0.25">
      <c r="A474" s="7"/>
      <c r="B474" s="7"/>
      <c r="C474" s="7" t="str">
        <f>""&amp;CHAR(10)&amp;Basic_Fundamental_Information_Constructure(F474)&amp;CHAR(10)&amp;Basic_Fundamental_Information_Concatenate("")</f>
        <v xml:space="preserve">
市值1171.32656亿, 利润-68.87亿; PE; 平均PE-109.45; 平均PEG-16.33, PB4.45; ROIC-26.09%; ROE-31.0933%; 股利率0%; 毛利83.4333%; 净利-99.1767%; 上一年度营收增73.72%, 利润增39.42%, 利润增55.98%; 过往5年营收增6.7%, 利润增1.26%
Income profile:
</v>
      </c>
      <c r="D474" s="11">
        <v>6160</v>
      </c>
      <c r="E474" t="s">
        <v>5850</v>
      </c>
      <c r="F474">
        <v>85.2</v>
      </c>
      <c r="G474" s="5">
        <v>-5.7000000000000002E-2</v>
      </c>
      <c r="H474" t="s">
        <v>12277</v>
      </c>
      <c r="I474">
        <v>117132656000</v>
      </c>
      <c r="K474">
        <v>4.45</v>
      </c>
      <c r="L474" t="s">
        <v>6350</v>
      </c>
      <c r="M474" t="s">
        <v>9</v>
      </c>
      <c r="N474" t="s">
        <v>9</v>
      </c>
      <c r="O474" t="s">
        <v>9</v>
      </c>
      <c r="P474" t="s">
        <v>9</v>
      </c>
      <c r="Q474" t="s">
        <v>12278</v>
      </c>
      <c r="R474">
        <v>-6887021200</v>
      </c>
      <c r="S474" s="5">
        <v>0.55979999999999996</v>
      </c>
      <c r="T474" t="s">
        <v>12279</v>
      </c>
      <c r="U474">
        <v>1243940270</v>
      </c>
      <c r="V474">
        <v>1358995500</v>
      </c>
      <c r="W474" t="s">
        <v>9</v>
      </c>
      <c r="X474" t="s">
        <v>9</v>
      </c>
      <c r="Y474" t="s">
        <v>9</v>
      </c>
      <c r="Z474" t="s">
        <v>9</v>
      </c>
      <c r="AA474" t="s">
        <v>9</v>
      </c>
      <c r="AB474" t="s">
        <v>9</v>
      </c>
      <c r="AC474" t="s">
        <v>9</v>
      </c>
      <c r="AD474" t="s">
        <v>9</v>
      </c>
      <c r="AE474" t="s">
        <v>9</v>
      </c>
      <c r="AF474" t="s">
        <v>9</v>
      </c>
      <c r="AG474" t="s">
        <v>9</v>
      </c>
      <c r="AH474" t="s">
        <v>12280</v>
      </c>
      <c r="AI474" t="s">
        <v>9</v>
      </c>
      <c r="AJ474" t="s">
        <v>9</v>
      </c>
      <c r="AK474" t="s">
        <v>12281</v>
      </c>
      <c r="AL474" t="s">
        <v>9</v>
      </c>
      <c r="AM474" t="s">
        <v>9</v>
      </c>
      <c r="AN474" s="5">
        <v>0.39069999999999999</v>
      </c>
      <c r="AO474" t="s">
        <v>9</v>
      </c>
      <c r="AP474" t="s">
        <v>5427</v>
      </c>
      <c r="AQ474" t="s">
        <v>9</v>
      </c>
      <c r="AR474" t="s">
        <v>12282</v>
      </c>
      <c r="AS474" t="s">
        <v>9</v>
      </c>
      <c r="AT474" t="s">
        <v>9</v>
      </c>
      <c r="AU474" t="s">
        <v>12283</v>
      </c>
      <c r="AV474" t="s">
        <v>1042</v>
      </c>
      <c r="AW474" t="s">
        <v>9</v>
      </c>
      <c r="AX474" t="s">
        <v>5851</v>
      </c>
      <c r="AY474" t="s">
        <v>5856</v>
      </c>
      <c r="AZ474" t="s">
        <v>493</v>
      </c>
      <c r="BA474" t="s">
        <v>46</v>
      </c>
      <c r="BB474" t="s">
        <v>248</v>
      </c>
      <c r="BC474" t="s">
        <v>12284</v>
      </c>
      <c r="BD474" t="s">
        <v>5858</v>
      </c>
      <c r="BE474" t="s">
        <v>5859</v>
      </c>
      <c r="BF474" t="s">
        <v>5860</v>
      </c>
      <c r="BG474" t="s">
        <v>4640</v>
      </c>
      <c r="BH474" t="s">
        <v>5851</v>
      </c>
      <c r="BI474" t="s">
        <v>5861</v>
      </c>
      <c r="BJ474" t="s">
        <v>5856</v>
      </c>
      <c r="BK474" t="s">
        <v>5852</v>
      </c>
      <c r="BL474" t="s">
        <v>2373</v>
      </c>
      <c r="BM474" t="s">
        <v>12284</v>
      </c>
      <c r="BN474">
        <v>-18.87</v>
      </c>
      <c r="BO474">
        <v>-34.299999999999997</v>
      </c>
      <c r="BP474">
        <v>-25.1</v>
      </c>
      <c r="BQ474">
        <v>-24.93</v>
      </c>
      <c r="BR474">
        <v>-45.71</v>
      </c>
      <c r="BS474">
        <v>-22.64</v>
      </c>
      <c r="BT474" t="s">
        <v>9</v>
      </c>
      <c r="BU474" t="s">
        <v>489</v>
      </c>
      <c r="BV474">
        <v>84.55</v>
      </c>
      <c r="BW474">
        <v>79.77</v>
      </c>
      <c r="BX474">
        <v>85.98</v>
      </c>
      <c r="BY474">
        <v>-35.86</v>
      </c>
      <c r="BZ474">
        <v>-141.52000000000001</v>
      </c>
      <c r="CA474">
        <v>-120.15</v>
      </c>
      <c r="CB474">
        <v>-8.44</v>
      </c>
      <c r="CC474">
        <v>-13.81</v>
      </c>
      <c r="CD474" t="s">
        <v>12285</v>
      </c>
      <c r="CE474" t="s">
        <v>12286</v>
      </c>
      <c r="CF474" s="8" t="s">
        <v>9</v>
      </c>
      <c r="CG474" s="9">
        <v>0.55979999999999996</v>
      </c>
      <c r="CH474" s="8">
        <v>0.73715633153915405</v>
      </c>
      <c r="CI474" s="8">
        <v>0.20527632534503937</v>
      </c>
      <c r="CJ474" s="8">
        <v>2.8300626277923584</v>
      </c>
      <c r="CK474" s="8">
        <v>0.54217654466629028</v>
      </c>
      <c r="CL474" s="8">
        <v>-0.16639834642410278</v>
      </c>
      <c r="CM474" s="9">
        <v>0.39417660236358643</v>
      </c>
      <c r="CN474" s="9">
        <v>8.1818930804729462E-2</v>
      </c>
      <c r="CO474" s="9">
        <v>-0.6760525107383728</v>
      </c>
      <c r="CP474" s="9">
        <v>-0.39958310127258301</v>
      </c>
      <c r="CQ474" s="9">
        <v>-6.25</v>
      </c>
      <c r="CR474">
        <v>-109.44703868752495</v>
      </c>
      <c r="CS474">
        <v>-16.334646651280057</v>
      </c>
      <c r="CT474">
        <v>0</v>
      </c>
      <c r="CU474" s="8">
        <v>6.7003003507852557E-2</v>
      </c>
      <c r="CV474" s="9">
        <v>1.2584311328828335E-2</v>
      </c>
      <c r="CW474">
        <v>0.06</v>
      </c>
      <c r="CX474" t="e">
        <v>#VALUE!</v>
      </c>
      <c r="CY474" t="s">
        <v>109</v>
      </c>
      <c r="CZ474">
        <v>6.7003003507852557E-2</v>
      </c>
      <c r="DA474" t="e">
        <v>#VALUE!</v>
      </c>
      <c r="DB474" t="s">
        <v>108</v>
      </c>
      <c r="DC474">
        <v>6.365285333245993E-2</v>
      </c>
      <c r="DD474" t="e">
        <v>#VALUE!</v>
      </c>
      <c r="DE474" t="s">
        <v>108</v>
      </c>
      <c r="DF474">
        <v>5.8962643086910252E-2</v>
      </c>
      <c r="DG474" t="e">
        <v>#VALUE!</v>
      </c>
      <c r="DH474" t="s">
        <v>108</v>
      </c>
      <c r="DI474">
        <v>5.3602402806282048E-2</v>
      </c>
      <c r="DJ474" t="e">
        <v>#VALUE!</v>
      </c>
      <c r="DK474" t="s">
        <v>108</v>
      </c>
      <c r="DL474">
        <v>4.6902102455496787E-2</v>
      </c>
      <c r="DM474">
        <v>-6887000000</v>
      </c>
      <c r="DN474">
        <v>6.7003003507852557E-2</v>
      </c>
      <c r="DO474">
        <v>117132656000</v>
      </c>
      <c r="DP474" t="e">
        <v>#VALUE!</v>
      </c>
      <c r="DQ474">
        <v>474</v>
      </c>
      <c r="DR474" t="e">
        <v>#VALUE!</v>
      </c>
      <c r="DS474">
        <v>0.54721568867117165</v>
      </c>
      <c r="DT474" t="e">
        <v>#VALUE!</v>
      </c>
      <c r="DU474">
        <v>-1.2816666666666665</v>
      </c>
      <c r="DV474" t="e">
        <v>#VALUE!</v>
      </c>
      <c r="DW474">
        <v>-9.6111513396089787</v>
      </c>
      <c r="DX474">
        <v>0.44051588628979216</v>
      </c>
      <c r="DY474">
        <v>-9.0919879855384398</v>
      </c>
      <c r="DZ474">
        <v>0</v>
      </c>
      <c r="EA474">
        <v>-9.0919879855384398</v>
      </c>
      <c r="EB474">
        <v>9</v>
      </c>
      <c r="EC474">
        <v>4.27124298792748E-3</v>
      </c>
      <c r="ED474">
        <v>2.8377356657913879E-2</v>
      </c>
      <c r="EE474">
        <v>0</v>
      </c>
      <c r="EF474">
        <v>0</v>
      </c>
      <c r="EG474">
        <v>29.150515886289792</v>
      </c>
      <c r="EH474" t="s">
        <v>110</v>
      </c>
      <c r="EI474">
        <v>0</v>
      </c>
      <c r="EJ474">
        <v>0</v>
      </c>
      <c r="EK474">
        <v>0</v>
      </c>
      <c r="EL474">
        <v>0</v>
      </c>
      <c r="EM474">
        <v>0</v>
      </c>
      <c r="EN474">
        <v>0</v>
      </c>
      <c r="EO474">
        <v>0</v>
      </c>
      <c r="EP474">
        <v>0</v>
      </c>
    </row>
    <row r="475" spans="1:146" ht="96" x14ac:dyDescent="0.25">
      <c r="A475" s="7"/>
      <c r="B475" s="7"/>
      <c r="C475" s="7" t="str">
        <f>""&amp;CHAR(10)&amp;Basic_Fundamental_Information_Constructure(F475)&amp;CHAR(10)&amp;Basic_Fundamental_Information_Concatenate("")</f>
        <v xml:space="preserve">
市值228.69507亿, 利润42.55亿; PE5.87; 平均PE4.49; 平均PEG.54, PB.313; ROIC0%; ROE5.3133%; 股利率0%; 毛利0%; 净利22.4067%; 上一年度营收增-4.36%, 利润增4.78%; 当季营收增-38.24%, 利润增-32.76%; 过往5年营收增8.31%, 利润增11.38%
Income profile:
</v>
      </c>
      <c r="D475" s="11">
        <v>6178</v>
      </c>
      <c r="E475" t="s">
        <v>5863</v>
      </c>
      <c r="F475">
        <v>4.96</v>
      </c>
      <c r="G475" s="5">
        <v>-2.3599999999999999E-2</v>
      </c>
      <c r="H475" t="s">
        <v>12287</v>
      </c>
      <c r="I475">
        <v>22869507000</v>
      </c>
      <c r="J475">
        <v>5.87</v>
      </c>
      <c r="K475">
        <v>0.313</v>
      </c>
      <c r="L475" t="s">
        <v>6350</v>
      </c>
      <c r="M475" t="s">
        <v>12288</v>
      </c>
      <c r="N475" t="s">
        <v>12289</v>
      </c>
      <c r="O475" t="s">
        <v>6086</v>
      </c>
      <c r="P475">
        <v>-2.42</v>
      </c>
      <c r="Q475" t="s">
        <v>1750</v>
      </c>
      <c r="R475">
        <v>4255012100</v>
      </c>
      <c r="S475" s="5">
        <v>-0.3276</v>
      </c>
      <c r="T475" t="s">
        <v>12290</v>
      </c>
      <c r="U475">
        <v>704088800</v>
      </c>
      <c r="V475">
        <v>4610787600</v>
      </c>
      <c r="W475">
        <v>3.63</v>
      </c>
      <c r="X475">
        <v>0.01</v>
      </c>
      <c r="Y475">
        <v>53.77</v>
      </c>
      <c r="Z475" t="s">
        <v>9</v>
      </c>
      <c r="AA475" t="s">
        <v>9</v>
      </c>
      <c r="AB475" t="s">
        <v>9</v>
      </c>
      <c r="AC475" t="s">
        <v>12291</v>
      </c>
      <c r="AD475" t="s">
        <v>977</v>
      </c>
      <c r="AE475" t="s">
        <v>12292</v>
      </c>
      <c r="AF475" t="s">
        <v>12293</v>
      </c>
      <c r="AG475" t="s">
        <v>12294</v>
      </c>
      <c r="AH475" t="s">
        <v>12295</v>
      </c>
      <c r="AI475" t="s">
        <v>12296</v>
      </c>
      <c r="AJ475" t="s">
        <v>9</v>
      </c>
      <c r="AK475" t="s">
        <v>12297</v>
      </c>
      <c r="AL475" t="s">
        <v>9</v>
      </c>
      <c r="AM475" t="s">
        <v>2728</v>
      </c>
      <c r="AN475" s="5">
        <v>0.72089999999999999</v>
      </c>
      <c r="AO475" t="s">
        <v>1717</v>
      </c>
      <c r="AP475" t="s">
        <v>12298</v>
      </c>
      <c r="AQ475" t="s">
        <v>9</v>
      </c>
      <c r="AR475" t="s">
        <v>12299</v>
      </c>
      <c r="AS475" t="s">
        <v>12300</v>
      </c>
      <c r="AT475" t="s">
        <v>12301</v>
      </c>
      <c r="AU475" t="s">
        <v>5055</v>
      </c>
      <c r="AV475" t="s">
        <v>12302</v>
      </c>
      <c r="AW475" t="s">
        <v>12303</v>
      </c>
      <c r="AX475" t="s">
        <v>5864</v>
      </c>
      <c r="AY475" t="s">
        <v>5866</v>
      </c>
      <c r="AZ475" t="s">
        <v>5867</v>
      </c>
      <c r="BA475" t="s">
        <v>5868</v>
      </c>
      <c r="BB475" t="s">
        <v>5869</v>
      </c>
      <c r="BC475" t="s">
        <v>1629</v>
      </c>
      <c r="BD475" t="s">
        <v>12304</v>
      </c>
      <c r="BE475" t="s">
        <v>3118</v>
      </c>
      <c r="BF475" t="s">
        <v>116</v>
      </c>
      <c r="BG475" t="s">
        <v>5870</v>
      </c>
      <c r="BH475" t="s">
        <v>5864</v>
      </c>
      <c r="BI475" t="s">
        <v>1712</v>
      </c>
      <c r="BJ475" t="s">
        <v>5866</v>
      </c>
      <c r="BK475" t="s">
        <v>5865</v>
      </c>
      <c r="BL475" t="s">
        <v>5871</v>
      </c>
      <c r="BM475" t="s">
        <v>1629</v>
      </c>
      <c r="BN475" t="s">
        <v>9</v>
      </c>
      <c r="BO475" t="s">
        <v>9</v>
      </c>
      <c r="BP475" t="s">
        <v>9</v>
      </c>
      <c r="BQ475">
        <v>5.79</v>
      </c>
      <c r="BR475">
        <v>4.42</v>
      </c>
      <c r="BS475">
        <v>5.73</v>
      </c>
      <c r="BT475" t="s">
        <v>12305</v>
      </c>
      <c r="BU475" t="s">
        <v>826</v>
      </c>
      <c r="BV475" t="s">
        <v>9</v>
      </c>
      <c r="BW475" t="s">
        <v>9</v>
      </c>
      <c r="BX475" t="s">
        <v>9</v>
      </c>
      <c r="BY475">
        <v>29.21</v>
      </c>
      <c r="BZ475">
        <v>21.67</v>
      </c>
      <c r="CA475">
        <v>16.34</v>
      </c>
      <c r="CB475">
        <v>-4.8</v>
      </c>
      <c r="CC475">
        <v>-9.85</v>
      </c>
      <c r="CD475" t="s">
        <v>12306</v>
      </c>
      <c r="CE475" t="s">
        <v>12307</v>
      </c>
      <c r="CF475" s="8">
        <v>-0.38237436270939551</v>
      </c>
      <c r="CG475" s="9">
        <v>-0.3276</v>
      </c>
      <c r="CH475" s="8">
        <v>-4.3563276529312134E-2</v>
      </c>
      <c r="CI475" s="8">
        <v>-0.36797153949737549</v>
      </c>
      <c r="CJ475" s="8">
        <v>6.9040097296237946E-2</v>
      </c>
      <c r="CK475" s="8">
        <v>0.62666922807693481</v>
      </c>
      <c r="CL475" s="8">
        <v>-0.13256481289863586</v>
      </c>
      <c r="CM475" s="9">
        <v>4.7771517187356949E-2</v>
      </c>
      <c r="CN475" s="9">
        <v>0.48049575090408325</v>
      </c>
      <c r="CO475" s="9">
        <v>3.3196849822998047</v>
      </c>
      <c r="CP475" s="9">
        <v>4.3813557624816895</v>
      </c>
      <c r="CQ475" s="9">
        <v>-0.96736723184585571</v>
      </c>
      <c r="CR475">
        <v>4.4934683171234893</v>
      </c>
      <c r="CS475">
        <v>0.54088246452111577</v>
      </c>
      <c r="CT475">
        <v>0</v>
      </c>
      <c r="CU475" s="8">
        <v>8.3076612977311018E-2</v>
      </c>
      <c r="CV475" s="9">
        <v>0.11377095133066177</v>
      </c>
      <c r="CW475">
        <v>0.06</v>
      </c>
      <c r="CX475">
        <v>32.229377859197676</v>
      </c>
      <c r="CY475">
        <v>4347633007.7532625</v>
      </c>
      <c r="CZ475">
        <v>8.3076612977311018E-2</v>
      </c>
      <c r="DA475">
        <v>10.594236434981271</v>
      </c>
      <c r="DB475">
        <v>13226201610.654135</v>
      </c>
      <c r="DC475">
        <v>7.8922782328445462E-2</v>
      </c>
      <c r="DD475">
        <v>5.256270030276494</v>
      </c>
      <c r="DE475">
        <v>26657973466.524746</v>
      </c>
      <c r="DF475">
        <v>7.3107419420033695E-2</v>
      </c>
      <c r="DG475">
        <v>3.1843684045434952</v>
      </c>
      <c r="DH475">
        <v>44002919637.084999</v>
      </c>
      <c r="DI475">
        <v>6.6461290381848823E-2</v>
      </c>
      <c r="DJ475">
        <v>1.6768849224762183</v>
      </c>
      <c r="DK475">
        <v>83560598060.05394</v>
      </c>
      <c r="DL475">
        <v>5.8153629084117711E-2</v>
      </c>
      <c r="DM475">
        <v>4254999999.9999995</v>
      </c>
      <c r="DN475">
        <v>8.3076612977311018E-2</v>
      </c>
      <c r="DO475">
        <v>140121507000</v>
      </c>
      <c r="DP475" t="e">
        <v>#VALUE!</v>
      </c>
      <c r="DQ475">
        <v>475</v>
      </c>
      <c r="DR475">
        <v>-0.46545097568670651</v>
      </c>
      <c r="DS475">
        <v>-0.44137095133066179</v>
      </c>
      <c r="DT475">
        <v>-0.3066666666666667</v>
      </c>
      <c r="DU475">
        <v>0.75</v>
      </c>
      <c r="DV475">
        <v>0.4433333333333333</v>
      </c>
      <c r="DW475">
        <v>-8.4873096446700504</v>
      </c>
      <c r="DX475">
        <v>0.44547496324170111</v>
      </c>
      <c r="DY475">
        <v>-8.0416527739655006</v>
      </c>
      <c r="DZ475">
        <v>0</v>
      </c>
      <c r="EA475">
        <v>-8.0416527739655006</v>
      </c>
      <c r="EB475">
        <v>8</v>
      </c>
      <c r="EC475">
        <v>1.1271610082407614E-3</v>
      </c>
      <c r="ED475">
        <v>1.3187031213495933E-2</v>
      </c>
      <c r="EE475">
        <v>0</v>
      </c>
      <c r="EF475">
        <v>0</v>
      </c>
      <c r="EG475">
        <v>36.085474963241701</v>
      </c>
      <c r="EH475" t="s">
        <v>110</v>
      </c>
      <c r="EI475">
        <v>0</v>
      </c>
      <c r="EJ475">
        <v>0</v>
      </c>
      <c r="EK475">
        <v>0</v>
      </c>
      <c r="EL475">
        <v>0</v>
      </c>
      <c r="EM475">
        <v>0</v>
      </c>
      <c r="EN475">
        <v>0</v>
      </c>
      <c r="EO475">
        <v>0</v>
      </c>
      <c r="EP475">
        <v>0</v>
      </c>
    </row>
    <row r="476" spans="1:146" ht="96" x14ac:dyDescent="0.25">
      <c r="A476" s="7"/>
      <c r="B476" s="7"/>
      <c r="C476" s="7" t="str">
        <f>""&amp;CHAR(10)&amp;Basic_Fundamental_Information_Constructure(F476)&amp;CHAR(10)&amp;Basic_Fundamental_Information_Concatenate("")</f>
        <v xml:space="preserve">
市值48.00528亿, 利润-16.25亿; PE; 平均PE-25.26; 平均PEG-4.02, PB.872; ROIC-.8133%; ROE-5.8833%; 股利率0%; 毛利-67.3433%; 净利-206.3967%; 上一年度营收增-67.5%, 利润增-169.33%; 当季营收增-80.29%, 利润增-15.03%; 过往5年营收增6.28%, 利润增14.39%
Income profile:
</v>
      </c>
      <c r="D476" s="11">
        <v>6185</v>
      </c>
      <c r="E476" t="s">
        <v>5872</v>
      </c>
      <c r="F476">
        <v>19.399999999999999</v>
      </c>
      <c r="G476" s="5">
        <v>-3.9600000000000003E-2</v>
      </c>
      <c r="H476" t="s">
        <v>12308</v>
      </c>
      <c r="I476">
        <v>4800528000</v>
      </c>
      <c r="K476">
        <v>0.872</v>
      </c>
      <c r="L476" t="s">
        <v>6350</v>
      </c>
      <c r="M476" t="s">
        <v>12309</v>
      </c>
      <c r="N476" t="s">
        <v>12310</v>
      </c>
      <c r="O476" t="s">
        <v>2159</v>
      </c>
      <c r="P476">
        <v>13.65</v>
      </c>
      <c r="Q476" t="s">
        <v>832</v>
      </c>
      <c r="R476">
        <v>-1625370800</v>
      </c>
      <c r="S476" s="5">
        <v>-0.15029999999999999</v>
      </c>
      <c r="T476" t="s">
        <v>12311</v>
      </c>
      <c r="U476">
        <v>132670900</v>
      </c>
      <c r="V476">
        <v>247449900</v>
      </c>
      <c r="W476">
        <v>1.68</v>
      </c>
      <c r="X476">
        <v>0.01</v>
      </c>
      <c r="Y476">
        <v>-155.71</v>
      </c>
      <c r="Z476" t="s">
        <v>12312</v>
      </c>
      <c r="AA476" t="s">
        <v>12313</v>
      </c>
      <c r="AB476" t="s">
        <v>12314</v>
      </c>
      <c r="AC476" t="s">
        <v>178</v>
      </c>
      <c r="AD476" t="s">
        <v>7616</v>
      </c>
      <c r="AE476" t="s">
        <v>12315</v>
      </c>
      <c r="AF476" t="s">
        <v>9</v>
      </c>
      <c r="AG476" t="s">
        <v>12316</v>
      </c>
      <c r="AH476" t="s">
        <v>12317</v>
      </c>
      <c r="AI476" t="s">
        <v>10859</v>
      </c>
      <c r="AJ476" t="s">
        <v>5854</v>
      </c>
      <c r="AK476" t="s">
        <v>12318</v>
      </c>
      <c r="AL476" t="s">
        <v>9</v>
      </c>
      <c r="AM476" t="s">
        <v>6424</v>
      </c>
      <c r="AN476" s="5">
        <v>0.40410000000000001</v>
      </c>
      <c r="AO476" t="s">
        <v>12319</v>
      </c>
      <c r="AP476" t="s">
        <v>908</v>
      </c>
      <c r="AQ476" t="s">
        <v>12320</v>
      </c>
      <c r="AR476" t="s">
        <v>12321</v>
      </c>
      <c r="AS476" t="s">
        <v>3032</v>
      </c>
      <c r="AT476" t="s">
        <v>6961</v>
      </c>
      <c r="AU476" t="s">
        <v>6239</v>
      </c>
      <c r="AV476" t="s">
        <v>12322</v>
      </c>
      <c r="AW476" t="s">
        <v>1645</v>
      </c>
      <c r="AX476" t="s">
        <v>2743</v>
      </c>
      <c r="AY476" t="s">
        <v>5874</v>
      </c>
      <c r="AZ476" t="s">
        <v>5875</v>
      </c>
      <c r="BA476" t="s">
        <v>5876</v>
      </c>
      <c r="BB476" t="s">
        <v>9</v>
      </c>
      <c r="BC476" t="s">
        <v>5877</v>
      </c>
      <c r="BD476" t="s">
        <v>5878</v>
      </c>
      <c r="BE476" t="s">
        <v>5879</v>
      </c>
      <c r="BF476" t="s">
        <v>4670</v>
      </c>
      <c r="BG476" t="s">
        <v>5880</v>
      </c>
      <c r="BH476" t="s">
        <v>2743</v>
      </c>
      <c r="BI476" t="s">
        <v>3835</v>
      </c>
      <c r="BJ476" t="s">
        <v>5874</v>
      </c>
      <c r="BK476" t="s">
        <v>5873</v>
      </c>
      <c r="BL476" t="s">
        <v>148</v>
      </c>
      <c r="BM476" t="s">
        <v>5877</v>
      </c>
      <c r="BN476">
        <v>-17.510000000000002</v>
      </c>
      <c r="BO476">
        <v>-9.93</v>
      </c>
      <c r="BP476">
        <v>25</v>
      </c>
      <c r="BQ476">
        <v>-28.11</v>
      </c>
      <c r="BR476">
        <v>-13.48</v>
      </c>
      <c r="BS476">
        <v>23.94</v>
      </c>
      <c r="BT476" t="s">
        <v>568</v>
      </c>
      <c r="BU476" t="s">
        <v>489</v>
      </c>
      <c r="BV476">
        <v>-253.78</v>
      </c>
      <c r="BW476">
        <v>-18.100000000000001</v>
      </c>
      <c r="BX476">
        <v>69.849999999999994</v>
      </c>
      <c r="BY476">
        <v>-569.97</v>
      </c>
      <c r="BZ476">
        <v>-93.57</v>
      </c>
      <c r="CA476">
        <v>44.35</v>
      </c>
      <c r="CB476">
        <v>-3</v>
      </c>
      <c r="CC476">
        <v>-8.27</v>
      </c>
      <c r="CD476" t="s">
        <v>12323</v>
      </c>
      <c r="CE476" t="s">
        <v>12324</v>
      </c>
      <c r="CF476" s="8">
        <v>-0.80293159609120524</v>
      </c>
      <c r="CG476" s="9">
        <v>-0.15029999999999999</v>
      </c>
      <c r="CH476" s="8">
        <v>-0.67497849464416504</v>
      </c>
      <c r="CI476" s="8">
        <v>-0.77910727262496948</v>
      </c>
      <c r="CJ476" s="8">
        <v>237.207275390625</v>
      </c>
      <c r="CK476" s="8">
        <v>16.148420333862305</v>
      </c>
      <c r="CL476" s="8" t="s">
        <v>9</v>
      </c>
      <c r="CM476" s="9">
        <v>-1.6932593584060669</v>
      </c>
      <c r="CN476" s="9">
        <v>5.9556021690368652</v>
      </c>
      <c r="CO476" s="9">
        <v>-1.7028571367263794</v>
      </c>
      <c r="CP476" s="9">
        <v>-0.11464968323707581</v>
      </c>
      <c r="CQ476" s="9">
        <v>-1.0318599939346313</v>
      </c>
      <c r="CR476">
        <v>-25.260647617029662</v>
      </c>
      <c r="CS476">
        <v>-4.0218042740827276</v>
      </c>
      <c r="CT476">
        <v>0</v>
      </c>
      <c r="CU476" s="8">
        <v>6.2809241563081736E-2</v>
      </c>
      <c r="CV476" s="9">
        <v>0.14393121004104614</v>
      </c>
      <c r="CW476">
        <v>0.06</v>
      </c>
      <c r="CX476" t="e">
        <v>#VALUE!</v>
      </c>
      <c r="CY476" t="s">
        <v>109</v>
      </c>
      <c r="CZ476">
        <v>6.2809241563081736E-2</v>
      </c>
      <c r="DA476" t="e">
        <v>#VALUE!</v>
      </c>
      <c r="DB476" t="s">
        <v>108</v>
      </c>
      <c r="DC476">
        <v>5.9668779484927645E-2</v>
      </c>
      <c r="DD476" t="e">
        <v>#VALUE!</v>
      </c>
      <c r="DE476" t="s">
        <v>108</v>
      </c>
      <c r="DF476">
        <v>5.5272132575511924E-2</v>
      </c>
      <c r="DG476" t="e">
        <v>#VALUE!</v>
      </c>
      <c r="DH476" t="s">
        <v>108</v>
      </c>
      <c r="DI476">
        <v>5.0247393250465393E-2</v>
      </c>
      <c r="DJ476" t="e">
        <v>#VALUE!</v>
      </c>
      <c r="DK476" t="s">
        <v>108</v>
      </c>
      <c r="DL476">
        <v>4.3966469094157211E-2</v>
      </c>
      <c r="DM476">
        <v>-1625000000</v>
      </c>
      <c r="DN476">
        <v>6.2809241563081736E-2</v>
      </c>
      <c r="DO476">
        <v>3026528000</v>
      </c>
      <c r="DP476" t="e">
        <v>#VALUE!</v>
      </c>
      <c r="DQ476">
        <v>476</v>
      </c>
      <c r="DR476">
        <v>-0.865740837654287</v>
      </c>
      <c r="DS476">
        <v>-0.29423121004104613</v>
      </c>
      <c r="DT476">
        <v>-0.34</v>
      </c>
      <c r="DU476">
        <v>-1.1483333333333332</v>
      </c>
      <c r="DV476">
        <v>-1.4883333333333333</v>
      </c>
      <c r="DW476">
        <v>-8.3627569528415968</v>
      </c>
      <c r="DX476">
        <v>0.24035020566727625</v>
      </c>
      <c r="DY476">
        <v>-8.0291475957680571</v>
      </c>
      <c r="DZ476">
        <v>0</v>
      </c>
      <c r="EA476">
        <v>-8.0291475957680571</v>
      </c>
      <c r="EB476">
        <v>8</v>
      </c>
      <c r="EC476">
        <v>1.1367553593676942E-2</v>
      </c>
      <c r="ED476">
        <v>0.14147510263693783</v>
      </c>
      <c r="EE476">
        <v>0</v>
      </c>
      <c r="EF476">
        <v>0</v>
      </c>
      <c r="EG476">
        <v>16.080350205667276</v>
      </c>
      <c r="EH476" t="s">
        <v>110</v>
      </c>
      <c r="EI476">
        <v>0</v>
      </c>
      <c r="EJ476">
        <v>0</v>
      </c>
      <c r="EK476">
        <v>0</v>
      </c>
      <c r="EL476">
        <v>0</v>
      </c>
      <c r="EM476">
        <v>0</v>
      </c>
      <c r="EN476">
        <v>0</v>
      </c>
      <c r="EO476">
        <v>0</v>
      </c>
      <c r="EP476">
        <v>0</v>
      </c>
    </row>
    <row r="477" spans="1:146" ht="96" x14ac:dyDescent="0.25">
      <c r="A477" s="7"/>
      <c r="B477" s="7"/>
      <c r="C477" s="7" t="str">
        <f>""&amp;CHAR(10)&amp;Basic_Fundamental_Information_Constructure(F477)&amp;CHAR(10)&amp;Basic_Fundamental_Information_Concatenate("")</f>
        <v xml:space="preserve">
市值328.23451亿, 利润37.16亿; PE8.83; 平均PE46.81; 平均PEG6.3, PB1.2; ROIC22.6%; ROE22.3433%; 股利率0%; 毛利66.8567%; 净利23.4767%; 上一年度营收增-10.94%, 利润增-55.84%, 利润增-33.34%; 过往5年营收增7.43%, 利润增28.55%
Income profile:
</v>
      </c>
      <c r="D477" s="11">
        <v>6186</v>
      </c>
      <c r="E477" t="s">
        <v>5881</v>
      </c>
      <c r="F477">
        <v>3.62</v>
      </c>
      <c r="G477" s="5">
        <v>-2.4299999999999999E-2</v>
      </c>
      <c r="H477" t="s">
        <v>12325</v>
      </c>
      <c r="I477">
        <v>32823451000</v>
      </c>
      <c r="J477">
        <v>8.83</v>
      </c>
      <c r="K477">
        <v>1.2</v>
      </c>
      <c r="L477" t="s">
        <v>6350</v>
      </c>
      <c r="M477" t="s">
        <v>9</v>
      </c>
      <c r="N477" t="s">
        <v>9</v>
      </c>
      <c r="O477" t="s">
        <v>9</v>
      </c>
      <c r="P477" t="s">
        <v>9</v>
      </c>
      <c r="Q477" t="s">
        <v>12326</v>
      </c>
      <c r="R477">
        <v>3716127900</v>
      </c>
      <c r="S477" s="5">
        <v>-0.33339999999999997</v>
      </c>
      <c r="T477" t="s">
        <v>1036</v>
      </c>
      <c r="U477">
        <v>9067251700</v>
      </c>
      <c r="V477">
        <v>9067251700</v>
      </c>
      <c r="W477" t="s">
        <v>9</v>
      </c>
      <c r="X477" t="s">
        <v>9</v>
      </c>
      <c r="Y477" t="s">
        <v>9</v>
      </c>
      <c r="Z477" t="s">
        <v>9</v>
      </c>
      <c r="AA477" t="s">
        <v>9</v>
      </c>
      <c r="AB477" t="s">
        <v>9</v>
      </c>
      <c r="AC477" t="s">
        <v>9</v>
      </c>
      <c r="AD477" t="s">
        <v>5635</v>
      </c>
      <c r="AE477" t="s">
        <v>9</v>
      </c>
      <c r="AF477" t="s">
        <v>9</v>
      </c>
      <c r="AG477" t="s">
        <v>9</v>
      </c>
      <c r="AH477" t="s">
        <v>12327</v>
      </c>
      <c r="AI477" t="s">
        <v>9</v>
      </c>
      <c r="AJ477" t="s">
        <v>9</v>
      </c>
      <c r="AK477" t="s">
        <v>12328</v>
      </c>
      <c r="AL477" t="s">
        <v>9</v>
      </c>
      <c r="AM477" t="s">
        <v>9</v>
      </c>
      <c r="AN477" s="5">
        <v>0.27239999999999998</v>
      </c>
      <c r="AO477" t="s">
        <v>9</v>
      </c>
      <c r="AP477" t="s">
        <v>4869</v>
      </c>
      <c r="AQ477" t="s">
        <v>9</v>
      </c>
      <c r="AR477" t="s">
        <v>12329</v>
      </c>
      <c r="AS477" t="s">
        <v>9</v>
      </c>
      <c r="AT477" t="s">
        <v>9</v>
      </c>
      <c r="AU477" t="s">
        <v>12330</v>
      </c>
      <c r="AV477" t="s">
        <v>3374</v>
      </c>
      <c r="AW477" t="s">
        <v>9</v>
      </c>
      <c r="AX477" t="s">
        <v>5882</v>
      </c>
      <c r="AY477" t="s">
        <v>5884</v>
      </c>
      <c r="AZ477" t="s">
        <v>5885</v>
      </c>
      <c r="BA477" t="s">
        <v>4312</v>
      </c>
      <c r="BB477" t="s">
        <v>5886</v>
      </c>
      <c r="BC477" t="s">
        <v>5887</v>
      </c>
      <c r="BD477" t="s">
        <v>5888</v>
      </c>
      <c r="BE477" t="s">
        <v>5889</v>
      </c>
      <c r="BF477" t="s">
        <v>5554</v>
      </c>
      <c r="BG477" t="s">
        <v>1172</v>
      </c>
      <c r="BH477" t="s">
        <v>5882</v>
      </c>
      <c r="BI477" t="s">
        <v>9</v>
      </c>
      <c r="BJ477" t="s">
        <v>5884</v>
      </c>
      <c r="BK477" t="s">
        <v>5883</v>
      </c>
      <c r="BL477" t="s">
        <v>9</v>
      </c>
      <c r="BM477" t="s">
        <v>5887</v>
      </c>
      <c r="BN477">
        <v>13.14</v>
      </c>
      <c r="BO477">
        <v>20.96</v>
      </c>
      <c r="BP477">
        <v>33.700000000000003</v>
      </c>
      <c r="BQ477">
        <v>13.59</v>
      </c>
      <c r="BR477">
        <v>20.6</v>
      </c>
      <c r="BS477">
        <v>32.840000000000003</v>
      </c>
      <c r="BT477" t="s">
        <v>12331</v>
      </c>
      <c r="BU477" t="s">
        <v>759</v>
      </c>
      <c r="BV477">
        <v>64.83</v>
      </c>
      <c r="BW477">
        <v>65.459999999999994</v>
      </c>
      <c r="BX477">
        <v>70.28</v>
      </c>
      <c r="BY477">
        <v>16.850000000000001</v>
      </c>
      <c r="BZ477">
        <v>23.22</v>
      </c>
      <c r="CA477">
        <v>30.36</v>
      </c>
      <c r="CB477">
        <v>-4.49</v>
      </c>
      <c r="CC477">
        <v>-19.91</v>
      </c>
      <c r="CD477" t="s">
        <v>12332</v>
      </c>
      <c r="CE477" t="s">
        <v>4583</v>
      </c>
      <c r="CF477" s="8" t="s">
        <v>9</v>
      </c>
      <c r="CG477" s="9">
        <v>-0.33339999999999997</v>
      </c>
      <c r="CH477" s="8">
        <v>-0.10939647257328033</v>
      </c>
      <c r="CI477" s="8">
        <v>-0.13800641894340515</v>
      </c>
      <c r="CJ477" s="8">
        <v>0.25857406854629517</v>
      </c>
      <c r="CK477" s="8">
        <v>0.87288689613342285</v>
      </c>
      <c r="CL477" s="8">
        <v>0.67639565467834473</v>
      </c>
      <c r="CM477" s="9">
        <v>-0.55835515260696411</v>
      </c>
      <c r="CN477" s="9">
        <v>-5.0767134875059128E-2</v>
      </c>
      <c r="CO477" s="9">
        <v>1.0159198045730591</v>
      </c>
      <c r="CP477" s="9">
        <v>0.72228759527206421</v>
      </c>
      <c r="CQ477" s="9">
        <v>0.83537012338638306</v>
      </c>
      <c r="CR477">
        <v>46.814417039226704</v>
      </c>
      <c r="CS477">
        <v>6.2971093799376474</v>
      </c>
      <c r="CT477">
        <v>0</v>
      </c>
      <c r="CU477" s="8">
        <v>7.434270903468132E-2</v>
      </c>
      <c r="CV477" s="9">
        <v>0.28547481298446653</v>
      </c>
      <c r="CW477">
        <v>0.06</v>
      </c>
      <c r="CX477">
        <v>8.7150836340025233</v>
      </c>
      <c r="CY477">
        <v>3766280666.7668633</v>
      </c>
      <c r="CZ477">
        <v>7.434270903468132E-2</v>
      </c>
      <c r="DA477">
        <v>2.8860867620480306</v>
      </c>
      <c r="DB477">
        <v>11372995237.574825</v>
      </c>
      <c r="DC477">
        <v>7.0625573582947257E-2</v>
      </c>
      <c r="DD477">
        <v>1.4460593279126046</v>
      </c>
      <c r="DE477">
        <v>22698550720.862091</v>
      </c>
      <c r="DF477">
        <v>6.5421583950519557E-2</v>
      </c>
      <c r="DG477">
        <v>0.88571358727440441</v>
      </c>
      <c r="DH477">
        <v>37058764223.101967</v>
      </c>
      <c r="DI477">
        <v>5.947416722774506E-2</v>
      </c>
      <c r="DJ477">
        <v>0.47757518689647688</v>
      </c>
      <c r="DK477">
        <v>68729389425.156799</v>
      </c>
      <c r="DL477">
        <v>5.203989632427692E-2</v>
      </c>
      <c r="DM477">
        <v>3715999999.9999995</v>
      </c>
      <c r="DN477">
        <v>7.434270903468132E-2</v>
      </c>
      <c r="DO477">
        <v>32823451000</v>
      </c>
      <c r="DP477" t="e">
        <v>#VALUE!</v>
      </c>
      <c r="DQ477">
        <v>477</v>
      </c>
      <c r="DR477" t="e">
        <v>#VALUE!</v>
      </c>
      <c r="DS477">
        <v>-0.61887481298446656</v>
      </c>
      <c r="DT477" t="e">
        <v>#VALUE!</v>
      </c>
      <c r="DU477" t="e">
        <v>#VALUE!</v>
      </c>
      <c r="DV477" t="e">
        <v>#VALUE!</v>
      </c>
      <c r="DW477">
        <v>-8.2255148166750374</v>
      </c>
      <c r="DX477">
        <v>0.25153793103448352</v>
      </c>
      <c r="DY477">
        <v>-8.025153456069555</v>
      </c>
      <c r="DZ477">
        <v>0</v>
      </c>
      <c r="EA477">
        <v>-8.025153456069555</v>
      </c>
      <c r="EB477">
        <v>8</v>
      </c>
      <c r="EC477">
        <v>6.7779523535229534E-3</v>
      </c>
      <c r="ED477">
        <v>6.076813771476091E-2</v>
      </c>
      <c r="EE477">
        <v>0</v>
      </c>
      <c r="EF477">
        <v>0</v>
      </c>
      <c r="EG477">
        <v>14.111537931034484</v>
      </c>
      <c r="EH477" t="s">
        <v>110</v>
      </c>
      <c r="EI477">
        <v>0</v>
      </c>
      <c r="EJ477">
        <v>0</v>
      </c>
      <c r="EK477">
        <v>0</v>
      </c>
      <c r="EL477">
        <v>0</v>
      </c>
      <c r="EM477">
        <v>0</v>
      </c>
      <c r="EN477">
        <v>0</v>
      </c>
      <c r="EO477">
        <v>0</v>
      </c>
      <c r="EP477">
        <v>0</v>
      </c>
    </row>
    <row r="478" spans="1:146" ht="96" x14ac:dyDescent="0.25">
      <c r="A478" s="7"/>
      <c r="B478" s="7"/>
      <c r="C478" s="7" t="str">
        <f>""&amp;CHAR(10)&amp;Basic_Fundamental_Information_Constructure(F478)&amp;CHAR(10)&amp;Basic_Fundamental_Information_Concatenate("")</f>
        <v xml:space="preserve">
市值70.009103亿, 利润15.02亿; PE5.9; 平均PE21.65; 平均PEG2.48, PB.121; ROIC0%; ROE3.3967%; 股利率0%; 毛利0%; 净利18.7367%; 上一年度营收增-12.47%, 利润增-55.5%; 当季营收增-21.2%, 利润增-23.15%; 过往5年营收增8.72%, 利润增8.04%
Income profile:
</v>
      </c>
      <c r="D478" s="11">
        <v>6196</v>
      </c>
      <c r="E478" t="s">
        <v>5890</v>
      </c>
      <c r="F478">
        <v>0.77</v>
      </c>
      <c r="G478" s="5">
        <v>-2.53E-2</v>
      </c>
      <c r="H478" t="s">
        <v>12333</v>
      </c>
      <c r="I478">
        <v>7000910300</v>
      </c>
      <c r="J478">
        <v>5.9</v>
      </c>
      <c r="K478">
        <v>0.121</v>
      </c>
      <c r="L478" t="s">
        <v>6350</v>
      </c>
      <c r="M478" t="s">
        <v>12334</v>
      </c>
      <c r="N478" t="s">
        <v>12335</v>
      </c>
      <c r="O478" t="s">
        <v>12336</v>
      </c>
      <c r="P478" t="s">
        <v>9</v>
      </c>
      <c r="Q478" t="s">
        <v>12337</v>
      </c>
      <c r="R478">
        <v>1501922300</v>
      </c>
      <c r="S478" s="5">
        <v>-0.23150000000000001</v>
      </c>
      <c r="T478" t="s">
        <v>7406</v>
      </c>
      <c r="U478">
        <v>2020458000</v>
      </c>
      <c r="V478">
        <v>9092091400</v>
      </c>
      <c r="W478">
        <v>11.78</v>
      </c>
      <c r="X478">
        <v>0.01</v>
      </c>
      <c r="Y478">
        <v>28.78</v>
      </c>
      <c r="Z478" t="s">
        <v>9</v>
      </c>
      <c r="AA478" t="s">
        <v>9</v>
      </c>
      <c r="AB478" t="s">
        <v>9</v>
      </c>
      <c r="AC478" t="s">
        <v>9</v>
      </c>
      <c r="AD478" t="s">
        <v>9</v>
      </c>
      <c r="AE478" t="s">
        <v>9</v>
      </c>
      <c r="AF478" t="s">
        <v>9</v>
      </c>
      <c r="AG478" t="s">
        <v>12338</v>
      </c>
      <c r="AH478" t="s">
        <v>12339</v>
      </c>
      <c r="AI478" t="s">
        <v>9</v>
      </c>
      <c r="AJ478" t="s">
        <v>9</v>
      </c>
      <c r="AK478" t="s">
        <v>12340</v>
      </c>
      <c r="AL478" t="s">
        <v>9</v>
      </c>
      <c r="AM478" t="s">
        <v>12341</v>
      </c>
      <c r="AN478" s="5">
        <v>0.91210000000000002</v>
      </c>
      <c r="AO478" t="s">
        <v>9</v>
      </c>
      <c r="AP478" t="s">
        <v>9</v>
      </c>
      <c r="AQ478" t="s">
        <v>9</v>
      </c>
      <c r="AR478" t="s">
        <v>9</v>
      </c>
      <c r="AS478" t="s">
        <v>9</v>
      </c>
      <c r="AT478" t="s">
        <v>9</v>
      </c>
      <c r="AU478" t="s">
        <v>3875</v>
      </c>
      <c r="AV478" t="s">
        <v>12342</v>
      </c>
      <c r="AW478" t="s">
        <v>12343</v>
      </c>
      <c r="AX478" t="s">
        <v>5891</v>
      </c>
      <c r="AY478" t="s">
        <v>5893</v>
      </c>
      <c r="AZ478" t="s">
        <v>5894</v>
      </c>
      <c r="BA478" t="s">
        <v>5895</v>
      </c>
      <c r="BB478" t="s">
        <v>5896</v>
      </c>
      <c r="BC478" t="s">
        <v>5897</v>
      </c>
      <c r="BD478" t="s">
        <v>5898</v>
      </c>
      <c r="BE478" t="s">
        <v>5899</v>
      </c>
      <c r="BF478" t="s">
        <v>3140</v>
      </c>
      <c r="BG478" t="s">
        <v>5900</v>
      </c>
      <c r="BH478" t="s">
        <v>5891</v>
      </c>
      <c r="BI478" t="s">
        <v>2749</v>
      </c>
      <c r="BJ478" t="s">
        <v>5893</v>
      </c>
      <c r="BK478" t="s">
        <v>5892</v>
      </c>
      <c r="BL478" t="s">
        <v>887</v>
      </c>
      <c r="BM478" t="s">
        <v>5897</v>
      </c>
      <c r="BN478" t="s">
        <v>9</v>
      </c>
      <c r="BO478" t="s">
        <v>9</v>
      </c>
      <c r="BP478" t="s">
        <v>9</v>
      </c>
      <c r="BQ478">
        <v>2.61</v>
      </c>
      <c r="BR478">
        <v>2.81</v>
      </c>
      <c r="BS478">
        <v>4.7699999999999996</v>
      </c>
      <c r="BT478" t="s">
        <v>1185</v>
      </c>
      <c r="BU478" t="s">
        <v>422</v>
      </c>
      <c r="BV478" t="s">
        <v>9</v>
      </c>
      <c r="BW478" t="s">
        <v>9</v>
      </c>
      <c r="BX478" t="s">
        <v>9</v>
      </c>
      <c r="BY478">
        <v>14.09</v>
      </c>
      <c r="BZ478">
        <v>17.75</v>
      </c>
      <c r="CA478">
        <v>24.37</v>
      </c>
      <c r="CB478">
        <v>-4.9400000000000004</v>
      </c>
      <c r="CC478">
        <v>-3.75</v>
      </c>
      <c r="CD478" t="s">
        <v>12344</v>
      </c>
      <c r="CE478" t="s">
        <v>153</v>
      </c>
      <c r="CF478" s="8">
        <v>-0.2120092378752888</v>
      </c>
      <c r="CG478" s="9">
        <v>-0.23150000000000001</v>
      </c>
      <c r="CH478" s="8">
        <v>-0.12469746172428131</v>
      </c>
      <c r="CI478" s="8">
        <v>-3.1751617789268494E-2</v>
      </c>
      <c r="CJ478" s="8">
        <v>6.9414839148521423E-2</v>
      </c>
      <c r="CK478" s="8">
        <v>0.56751453876495361</v>
      </c>
      <c r="CL478" s="8">
        <v>-0.12132195383310318</v>
      </c>
      <c r="CM478" s="9">
        <v>-0.55496299266815186</v>
      </c>
      <c r="CN478" s="9">
        <v>5.8989644050598145E-2</v>
      </c>
      <c r="CO478" s="9">
        <v>-0.1318441778421402</v>
      </c>
      <c r="CP478" s="9">
        <v>5.3976457566022873E-2</v>
      </c>
      <c r="CQ478" s="9">
        <v>-0.321184903383255</v>
      </c>
      <c r="CR478">
        <v>21.647344440378365</v>
      </c>
      <c r="CS478">
        <v>2.4837781130045604</v>
      </c>
      <c r="CT478">
        <v>0</v>
      </c>
      <c r="CU478" s="8">
        <v>8.715490456670523E-2</v>
      </c>
      <c r="CV478" s="9">
        <v>8.0410607904195783E-2</v>
      </c>
      <c r="CW478">
        <v>0.06</v>
      </c>
      <c r="CX478">
        <v>369.79230794213447</v>
      </c>
      <c r="CY478">
        <v>1540477987.4143314</v>
      </c>
      <c r="CZ478">
        <v>8.715490456670523E-2</v>
      </c>
      <c r="DA478">
        <v>121.13625770932585</v>
      </c>
      <c r="DB478">
        <v>4702612752.5495129</v>
      </c>
      <c r="DC478">
        <v>8.2797159338369966E-2</v>
      </c>
      <c r="DD478">
        <v>59.82486645917411</v>
      </c>
      <c r="DE478">
        <v>9522075752.3754311</v>
      </c>
      <c r="DF478">
        <v>7.6696316018700597E-2</v>
      </c>
      <c r="DG478">
        <v>36.056363475812759</v>
      </c>
      <c r="DH478">
        <v>15799067221.022882</v>
      </c>
      <c r="DI478">
        <v>6.9723923653364189E-2</v>
      </c>
      <c r="DJ478">
        <v>18.774601273984185</v>
      </c>
      <c r="DK478">
        <v>30341891259.729122</v>
      </c>
      <c r="DL478">
        <v>6.1008433196693655E-2</v>
      </c>
      <c r="DM478">
        <v>1502000000</v>
      </c>
      <c r="DN478">
        <v>8.715490456670523E-2</v>
      </c>
      <c r="DO478">
        <v>569656910300</v>
      </c>
      <c r="DP478" t="e">
        <v>#VALUE!</v>
      </c>
      <c r="DQ478">
        <v>478</v>
      </c>
      <c r="DR478">
        <v>-0.29916414244199402</v>
      </c>
      <c r="DS478">
        <v>-0.31191060790419578</v>
      </c>
      <c r="DT478">
        <v>-0.34</v>
      </c>
      <c r="DU478">
        <v>9.9999999999999992E-2</v>
      </c>
      <c r="DV478">
        <v>-0.24000000000000005</v>
      </c>
      <c r="DW478">
        <v>-4.7591093117408905</v>
      </c>
      <c r="DX478">
        <v>0.25866244131455451</v>
      </c>
      <c r="DY478">
        <v>-4.1128510435080115</v>
      </c>
      <c r="DZ478">
        <v>0</v>
      </c>
      <c r="EA478">
        <v>-4.1128510435080115</v>
      </c>
      <c r="EB478">
        <v>4</v>
      </c>
      <c r="EC478">
        <v>3.48270805988598E-3</v>
      </c>
      <c r="ED478">
        <v>2.3426953231024492E-2</v>
      </c>
      <c r="EE478">
        <v>0</v>
      </c>
      <c r="EF478">
        <v>0</v>
      </c>
      <c r="EG478">
        <v>11.148662441314555</v>
      </c>
      <c r="EH478" t="s">
        <v>110</v>
      </c>
      <c r="EI478">
        <v>0</v>
      </c>
      <c r="EJ478">
        <v>0</v>
      </c>
      <c r="EK478">
        <v>0</v>
      </c>
      <c r="EL478">
        <v>0</v>
      </c>
      <c r="EM478">
        <v>0</v>
      </c>
      <c r="EN478">
        <v>0</v>
      </c>
      <c r="EO478">
        <v>0</v>
      </c>
      <c r="EP478">
        <v>0</v>
      </c>
    </row>
    <row r="479" spans="1:146" ht="96" x14ac:dyDescent="0.25">
      <c r="A479" s="7"/>
      <c r="B479" s="7"/>
      <c r="C479" s="7" t="str">
        <f>""&amp;CHAR(10)&amp;Basic_Fundamental_Information_Constructure(F479)&amp;CHAR(10)&amp;Basic_Fundamental_Information_Concatenate("")</f>
        <v xml:space="preserve">
市值374.53647亿, 利润53.97亿; PE6.96; 平均PE38.45; 平均PEG86.63, PB.835; ROIC11.7867%; ROE11.89%; 股利率0%; 毛利32.4667%; 净利29.0167%; 上一年度营收增-8.38%, 利润增10.68%; 当季营收增-15.08%, 利润增-1.29%; 过往5年营收增-.44%, 利润增-19.17%
Income profile:
</v>
      </c>
      <c r="D479" s="11">
        <v>6198</v>
      </c>
      <c r="E479" t="s">
        <v>5901</v>
      </c>
      <c r="F479">
        <v>5.77</v>
      </c>
      <c r="G479" s="5">
        <v>-2.7E-2</v>
      </c>
      <c r="H479" t="s">
        <v>12345</v>
      </c>
      <c r="I479">
        <v>37453647000</v>
      </c>
      <c r="J479">
        <v>6.96</v>
      </c>
      <c r="K479">
        <v>0.83499999999999996</v>
      </c>
      <c r="L479" t="s">
        <v>6350</v>
      </c>
      <c r="M479" t="s">
        <v>12346</v>
      </c>
      <c r="N479" t="s">
        <v>12347</v>
      </c>
      <c r="O479" t="s">
        <v>12348</v>
      </c>
      <c r="P479">
        <v>-2.67</v>
      </c>
      <c r="Q479" t="s">
        <v>12349</v>
      </c>
      <c r="R479">
        <v>5396945200</v>
      </c>
      <c r="S479" s="5">
        <v>-1.29E-2</v>
      </c>
      <c r="T479" t="s">
        <v>12350</v>
      </c>
      <c r="U479">
        <v>1099025000</v>
      </c>
      <c r="V479">
        <v>6491100000</v>
      </c>
      <c r="W479">
        <v>1.46</v>
      </c>
      <c r="X479">
        <v>7.0000000000000007E-2</v>
      </c>
      <c r="Y479">
        <v>41.53</v>
      </c>
      <c r="Z479" t="s">
        <v>1765</v>
      </c>
      <c r="AA479" t="s">
        <v>5501</v>
      </c>
      <c r="AB479" t="s">
        <v>12351</v>
      </c>
      <c r="AC479" t="s">
        <v>2854</v>
      </c>
      <c r="AD479" t="s">
        <v>2232</v>
      </c>
      <c r="AE479" t="s">
        <v>12352</v>
      </c>
      <c r="AF479" t="s">
        <v>9</v>
      </c>
      <c r="AG479" t="s">
        <v>12353</v>
      </c>
      <c r="AH479" t="s">
        <v>12354</v>
      </c>
      <c r="AI479" t="s">
        <v>12355</v>
      </c>
      <c r="AJ479" t="s">
        <v>5512</v>
      </c>
      <c r="AK479" t="s">
        <v>12356</v>
      </c>
      <c r="AL479" t="s">
        <v>9</v>
      </c>
      <c r="AM479" t="s">
        <v>12357</v>
      </c>
      <c r="AN479" s="5">
        <v>0.2437</v>
      </c>
      <c r="AO479" t="s">
        <v>123</v>
      </c>
      <c r="AP479" t="s">
        <v>12358</v>
      </c>
      <c r="AQ479" t="s">
        <v>5332</v>
      </c>
      <c r="AR479" t="s">
        <v>12359</v>
      </c>
      <c r="AS479" t="s">
        <v>6729</v>
      </c>
      <c r="AT479" t="s">
        <v>7147</v>
      </c>
      <c r="AU479" t="s">
        <v>12360</v>
      </c>
      <c r="AV479" t="s">
        <v>12361</v>
      </c>
      <c r="AW479" t="s">
        <v>12362</v>
      </c>
      <c r="AX479" t="s">
        <v>5902</v>
      </c>
      <c r="AY479" t="s">
        <v>5906</v>
      </c>
      <c r="AZ479" t="s">
        <v>5907</v>
      </c>
      <c r="BA479" t="s">
        <v>5908</v>
      </c>
      <c r="BB479" t="s">
        <v>5909</v>
      </c>
      <c r="BC479" t="s">
        <v>1746</v>
      </c>
      <c r="BD479" t="s">
        <v>5911</v>
      </c>
      <c r="BE479" t="s">
        <v>5912</v>
      </c>
      <c r="BF479" t="s">
        <v>5913</v>
      </c>
      <c r="BG479" t="s">
        <v>1174</v>
      </c>
      <c r="BH479" t="s">
        <v>5902</v>
      </c>
      <c r="BI479" t="s">
        <v>5914</v>
      </c>
      <c r="BJ479" t="s">
        <v>5906</v>
      </c>
      <c r="BK479" t="s">
        <v>5903</v>
      </c>
      <c r="BL479" t="s">
        <v>652</v>
      </c>
      <c r="BM479" t="s">
        <v>1746</v>
      </c>
      <c r="BN479">
        <v>12.1</v>
      </c>
      <c r="BO479">
        <v>11.87</v>
      </c>
      <c r="BP479">
        <v>11.39</v>
      </c>
      <c r="BQ479">
        <v>12.22</v>
      </c>
      <c r="BR479">
        <v>12.1</v>
      </c>
      <c r="BS479">
        <v>11.35</v>
      </c>
      <c r="BT479" t="s">
        <v>5915</v>
      </c>
      <c r="BU479" t="s">
        <v>687</v>
      </c>
      <c r="BV479">
        <v>35.08</v>
      </c>
      <c r="BW479">
        <v>30.92</v>
      </c>
      <c r="BX479">
        <v>31.4</v>
      </c>
      <c r="BY479">
        <v>30.61</v>
      </c>
      <c r="BZ479">
        <v>27.45</v>
      </c>
      <c r="CA479">
        <v>28.99</v>
      </c>
      <c r="CB479">
        <v>-5.87</v>
      </c>
      <c r="CC479">
        <v>8.6999999999999993</v>
      </c>
      <c r="CD479" t="s">
        <v>12363</v>
      </c>
      <c r="CE479" t="s">
        <v>12364</v>
      </c>
      <c r="CF479" s="8">
        <v>-0.15080789946140036</v>
      </c>
      <c r="CG479" s="9">
        <v>-1.29E-2</v>
      </c>
      <c r="CH479" s="8">
        <v>-8.3835624158382416E-2</v>
      </c>
      <c r="CI479" s="8">
        <v>5.8038488030433655E-2</v>
      </c>
      <c r="CJ479" s="8">
        <v>0.30392786860466003</v>
      </c>
      <c r="CK479" s="8">
        <v>0.18111066520214081</v>
      </c>
      <c r="CL479" s="8">
        <v>8.8046744465827942E-2</v>
      </c>
      <c r="CM479" s="9">
        <v>0.10684985667467117</v>
      </c>
      <c r="CN479" s="9">
        <v>6.4861424267292023E-2</v>
      </c>
      <c r="CO479" s="9">
        <v>8.1227801740169525E-2</v>
      </c>
      <c r="CP479" s="9">
        <v>3.4946251660585403E-2</v>
      </c>
      <c r="CQ479" s="9">
        <v>0.12171052396297455</v>
      </c>
      <c r="CR479">
        <v>38.447166641032013</v>
      </c>
      <c r="CS479">
        <v>86.632602061442938</v>
      </c>
      <c r="CT479">
        <v>0</v>
      </c>
      <c r="CU479" s="8">
        <v>-4.4379558879882094E-3</v>
      </c>
      <c r="CV479" s="9">
        <v>-0.19170108400285243</v>
      </c>
      <c r="CW479">
        <v>0.06</v>
      </c>
      <c r="CX479">
        <v>0.7049559014267186</v>
      </c>
      <c r="CY479" t="s">
        <v>12365</v>
      </c>
      <c r="CZ479">
        <v>-4.4379558879882094E-3</v>
      </c>
      <c r="DA479">
        <v>0.23498530047557284</v>
      </c>
      <c r="DB479" t="s">
        <v>12366</v>
      </c>
      <c r="DC479">
        <v>-4.216058093588799E-3</v>
      </c>
      <c r="DD479">
        <v>0.11749265023778642</v>
      </c>
      <c r="DE479" t="s">
        <v>12367</v>
      </c>
      <c r="DF479">
        <v>-3.9054011814296241E-3</v>
      </c>
      <c r="DG479">
        <v>7.0495590142671857E-2</v>
      </c>
      <c r="DH479" t="s">
        <v>12368</v>
      </c>
      <c r="DI479">
        <v>-3.5503647103905678E-3</v>
      </c>
      <c r="DJ479">
        <v>3.5247795071335929E-2</v>
      </c>
      <c r="DK479" t="s">
        <v>12369</v>
      </c>
      <c r="DL479">
        <v>-3.1065691215917462E-3</v>
      </c>
      <c r="DM479">
        <v>5397000000</v>
      </c>
      <c r="DN479">
        <v>-4.4379558879882094E-3</v>
      </c>
      <c r="DO479">
        <v>3804647000</v>
      </c>
      <c r="DP479" t="e">
        <v>#VALUE!</v>
      </c>
      <c r="DQ479">
        <v>479</v>
      </c>
      <c r="DR479">
        <v>-0.14636994357341215</v>
      </c>
      <c r="DS479">
        <v>0.17880108400285244</v>
      </c>
      <c r="DT479">
        <v>-0.38999999999999996</v>
      </c>
      <c r="DU479">
        <v>0.45</v>
      </c>
      <c r="DV479">
        <v>6.0000000000000053E-2</v>
      </c>
      <c r="DW479">
        <v>-6.4028826355525048</v>
      </c>
      <c r="DX479">
        <v>0.33582620575373184</v>
      </c>
      <c r="DY479">
        <v>-6.058750846106685</v>
      </c>
      <c r="DZ479">
        <v>0</v>
      </c>
      <c r="EA479">
        <v>-6.058750846106685</v>
      </c>
      <c r="EB479">
        <v>6</v>
      </c>
      <c r="EC479">
        <v>1.9305510622236604E-3</v>
      </c>
      <c r="ED479">
        <v>1.3238711466469471E-2</v>
      </c>
      <c r="EE479">
        <v>0</v>
      </c>
      <c r="EF479">
        <v>0</v>
      </c>
      <c r="EG479">
        <v>19.145826205753732</v>
      </c>
      <c r="EH479" t="s">
        <v>110</v>
      </c>
      <c r="EI479">
        <v>0</v>
      </c>
      <c r="EJ479">
        <v>0</v>
      </c>
      <c r="EK479">
        <v>0</v>
      </c>
      <c r="EL479">
        <v>0</v>
      </c>
      <c r="EM479">
        <v>0</v>
      </c>
      <c r="EN479">
        <v>0</v>
      </c>
      <c r="EO479">
        <v>0</v>
      </c>
      <c r="EP479">
        <v>0</v>
      </c>
    </row>
    <row r="480" spans="1:146" ht="96" x14ac:dyDescent="0.25">
      <c r="A480" s="7"/>
      <c r="B480" s="7"/>
      <c r="C480" s="7" t="str">
        <f>""&amp;CHAR(10)&amp;Basic_Fundamental_Information_Constructure(F480)&amp;CHAR(10)&amp;Basic_Fundamental_Information_Concatenate("")</f>
        <v xml:space="preserve">
市值93.393874亿, 利润-8938.84万; PE76.19; 平均PE120.69; 平均PEG3.56, PB2.9; ROIC-127.2633%; ROE-25.48%; 股利率0%; 毛利69.98%; 净利-859.4467%; 上一年度营收增230.65%, 利润增97.63%, 利润增97.63%; 过往5年营收增33.86%, 利润增269.57%
Income profile:
</v>
      </c>
      <c r="D480" s="11">
        <v>6606</v>
      </c>
      <c r="E480" t="s">
        <v>5916</v>
      </c>
      <c r="F480">
        <v>20.399999999999999</v>
      </c>
      <c r="G480" s="5">
        <v>-4.8999999999999998E-3</v>
      </c>
      <c r="H480" t="s">
        <v>6494</v>
      </c>
      <c r="I480">
        <v>9339387400</v>
      </c>
      <c r="J480">
        <v>76.19</v>
      </c>
      <c r="K480">
        <v>2.9</v>
      </c>
      <c r="L480" t="s">
        <v>6350</v>
      </c>
      <c r="M480" t="s">
        <v>9</v>
      </c>
      <c r="N480" t="s">
        <v>9</v>
      </c>
      <c r="O480" t="s">
        <v>9</v>
      </c>
      <c r="P480" t="s">
        <v>9</v>
      </c>
      <c r="Q480" t="s">
        <v>668</v>
      </c>
      <c r="R480">
        <v>-89388388</v>
      </c>
      <c r="S480" s="5">
        <v>0.97629999999999995</v>
      </c>
      <c r="T480" t="s">
        <v>5917</v>
      </c>
      <c r="U480">
        <v>457591990</v>
      </c>
      <c r="V480">
        <v>457591990</v>
      </c>
      <c r="W480" t="s">
        <v>9</v>
      </c>
      <c r="X480" t="s">
        <v>9</v>
      </c>
      <c r="Y480" t="s">
        <v>9</v>
      </c>
      <c r="Z480" t="s">
        <v>9</v>
      </c>
      <c r="AA480" t="s">
        <v>9</v>
      </c>
      <c r="AB480" t="s">
        <v>9</v>
      </c>
      <c r="AC480" t="s">
        <v>9</v>
      </c>
      <c r="AD480" t="s">
        <v>1205</v>
      </c>
      <c r="AE480" t="s">
        <v>9</v>
      </c>
      <c r="AF480" t="s">
        <v>9</v>
      </c>
      <c r="AG480" t="s">
        <v>9</v>
      </c>
      <c r="AH480" t="s">
        <v>5918</v>
      </c>
      <c r="AI480" t="s">
        <v>9</v>
      </c>
      <c r="AJ480" t="s">
        <v>9</v>
      </c>
      <c r="AK480" t="s">
        <v>5919</v>
      </c>
      <c r="AL480" t="s">
        <v>9</v>
      </c>
      <c r="AM480" t="s">
        <v>9</v>
      </c>
      <c r="AN480" s="5">
        <v>0.17599999999999999</v>
      </c>
      <c r="AO480" t="s">
        <v>9</v>
      </c>
      <c r="AP480" t="s">
        <v>5920</v>
      </c>
      <c r="AQ480" t="s">
        <v>9</v>
      </c>
      <c r="AR480" t="s">
        <v>5921</v>
      </c>
      <c r="AS480" t="s">
        <v>9</v>
      </c>
      <c r="AT480" t="s">
        <v>9</v>
      </c>
      <c r="AU480" t="s">
        <v>5922</v>
      </c>
      <c r="AV480" t="s">
        <v>4353</v>
      </c>
      <c r="AW480" t="s">
        <v>9</v>
      </c>
      <c r="AX480" t="s">
        <v>3535</v>
      </c>
      <c r="AY480" t="s">
        <v>5923</v>
      </c>
      <c r="AZ480" t="s">
        <v>5924</v>
      </c>
      <c r="BA480" t="s">
        <v>5925</v>
      </c>
      <c r="BB480" t="s">
        <v>9</v>
      </c>
      <c r="BC480" t="s">
        <v>5926</v>
      </c>
      <c r="BD480" t="s">
        <v>4621</v>
      </c>
      <c r="BE480" t="s">
        <v>5927</v>
      </c>
      <c r="BF480" t="s">
        <v>4574</v>
      </c>
      <c r="BG480" t="s">
        <v>9</v>
      </c>
      <c r="BH480" t="s">
        <v>668</v>
      </c>
      <c r="BI480" t="s">
        <v>9</v>
      </c>
      <c r="BJ480" t="s">
        <v>3535</v>
      </c>
      <c r="BK480" t="s">
        <v>5917</v>
      </c>
      <c r="BL480" t="s">
        <v>9</v>
      </c>
      <c r="BM480" t="s">
        <v>5926</v>
      </c>
      <c r="BN480">
        <v>-3.52</v>
      </c>
      <c r="BO480">
        <v>-500.67</v>
      </c>
      <c r="BP480">
        <v>122.4</v>
      </c>
      <c r="BQ480">
        <v>-3.73</v>
      </c>
      <c r="BR480">
        <v>-145.08000000000001</v>
      </c>
      <c r="BS480">
        <v>72.37</v>
      </c>
      <c r="BT480" t="s">
        <v>9</v>
      </c>
      <c r="BU480" t="s">
        <v>2382</v>
      </c>
      <c r="BV480">
        <v>84.47</v>
      </c>
      <c r="BW480">
        <v>72.680000000000007</v>
      </c>
      <c r="BX480">
        <v>52.79</v>
      </c>
      <c r="BY480">
        <v>-10.5</v>
      </c>
      <c r="BZ480">
        <v>-1450.14</v>
      </c>
      <c r="CA480">
        <v>-1117.7</v>
      </c>
      <c r="CB480">
        <v>4.62</v>
      </c>
      <c r="CC480">
        <v>-2.86</v>
      </c>
      <c r="CD480" t="s">
        <v>6495</v>
      </c>
      <c r="CE480" t="s">
        <v>6496</v>
      </c>
      <c r="CF480" s="8" t="s">
        <v>9</v>
      </c>
      <c r="CG480" s="9">
        <v>0.97629999999999995</v>
      </c>
      <c r="CH480" s="8">
        <v>2.3065133094787598</v>
      </c>
      <c r="CI480" s="8">
        <v>2.103123664855957</v>
      </c>
      <c r="CJ480" s="8">
        <v>0.29155144095420837</v>
      </c>
      <c r="CK480" s="8">
        <v>2.039703369140625</v>
      </c>
      <c r="CL480" s="8" t="s">
        <v>9</v>
      </c>
      <c r="CM480" s="9">
        <v>0.97633975744247437</v>
      </c>
      <c r="CN480" s="9">
        <v>-3.0191488265991211</v>
      </c>
      <c r="CO480" s="9">
        <v>-6.8991594314575195</v>
      </c>
      <c r="CP480" s="9">
        <v>0.53515625</v>
      </c>
      <c r="CQ480" s="9" t="s">
        <v>9</v>
      </c>
      <c r="CR480">
        <v>120.68668508530033</v>
      </c>
      <c r="CS480">
        <v>3.564475695134854</v>
      </c>
      <c r="CT480">
        <v>0</v>
      </c>
      <c r="CU480" s="8">
        <v>0.3385818712413311</v>
      </c>
      <c r="CV480" s="9">
        <v>2.6956750191748142</v>
      </c>
      <c r="CW480">
        <v>0.06</v>
      </c>
      <c r="CX480" t="e">
        <v>#VALUE!</v>
      </c>
      <c r="CY480" t="s">
        <v>109</v>
      </c>
      <c r="CZ480">
        <v>0.3385818712413311</v>
      </c>
      <c r="DA480" t="e">
        <v>#VALUE!</v>
      </c>
      <c r="DB480" t="s">
        <v>108</v>
      </c>
      <c r="DC480">
        <v>0.32165277767926453</v>
      </c>
      <c r="DD480" t="e">
        <v>#VALUE!</v>
      </c>
      <c r="DE480" t="s">
        <v>108</v>
      </c>
      <c r="DF480">
        <v>0.29795204669237135</v>
      </c>
      <c r="DG480" t="e">
        <v>#VALUE!</v>
      </c>
      <c r="DH480" t="s">
        <v>108</v>
      </c>
      <c r="DI480">
        <v>0.27086549699306489</v>
      </c>
      <c r="DJ480" t="e">
        <v>#VALUE!</v>
      </c>
      <c r="DK480" t="s">
        <v>108</v>
      </c>
      <c r="DL480">
        <v>0.23700730986893176</v>
      </c>
      <c r="DM480">
        <v>-89388400</v>
      </c>
      <c r="DN480">
        <v>0.3385818712413311</v>
      </c>
      <c r="DO480">
        <v>9339387400</v>
      </c>
      <c r="DP480" t="e">
        <v>#VALUE!</v>
      </c>
      <c r="DQ480">
        <v>488</v>
      </c>
      <c r="DR480" t="e">
        <v>#VALUE!</v>
      </c>
      <c r="DS480">
        <v>-1.7193750191748143</v>
      </c>
      <c r="DT480" t="e">
        <v>#VALUE!</v>
      </c>
      <c r="DU480" t="e">
        <v>#VALUE!</v>
      </c>
      <c r="DV480" t="e">
        <v>#VALUE!</v>
      </c>
      <c r="DW480">
        <v>4.6190476190476186</v>
      </c>
      <c r="DX480">
        <v>0.36786927157679528</v>
      </c>
      <c r="DY480">
        <v>4.079157168118968</v>
      </c>
      <c r="DZ480">
        <v>0</v>
      </c>
      <c r="EA480">
        <v>4.079157168118968</v>
      </c>
      <c r="EB480">
        <v>4</v>
      </c>
      <c r="EC480">
        <v>1.311605126654424E-2</v>
      </c>
      <c r="ED480">
        <v>0.10257391087636827</v>
      </c>
      <c r="EE480">
        <v>0</v>
      </c>
      <c r="EF480">
        <v>0</v>
      </c>
      <c r="EG480">
        <v>24.127869271576795</v>
      </c>
      <c r="EH480" t="s">
        <v>110</v>
      </c>
      <c r="EI480">
        <v>0</v>
      </c>
      <c r="EJ480">
        <v>0</v>
      </c>
      <c r="EK480">
        <v>0</v>
      </c>
      <c r="EL480">
        <v>0</v>
      </c>
      <c r="EM480">
        <v>0</v>
      </c>
      <c r="EN480">
        <v>0</v>
      </c>
      <c r="EO480">
        <v>0</v>
      </c>
      <c r="EP480">
        <v>0</v>
      </c>
    </row>
    <row r="481" spans="1:146" ht="96" x14ac:dyDescent="0.25">
      <c r="A481" s="7"/>
      <c r="B481" s="7"/>
      <c r="C481" s="7" t="str">
        <f>""&amp;CHAR(10)&amp;Basic_Fundamental_Information_Constructure(F481)&amp;CHAR(10)&amp;Basic_Fundamental_Information_Concatenate("")</f>
        <v xml:space="preserve">
市值47.572613亿, 利润2.52亿; PE21.7; 平均PE50.13; 平均PEG55.74, PB1.81; ROIC10.14%; ROE8.48%; 毛利50.2467%; 净利26.18%; 上一年度营收增26.32%, 利润增27.27%, 利润增27.25%; 过往5年营收增.9%, 利润增-20.07%
Income profile:
</v>
      </c>
      <c r="D481" s="11">
        <v>6616</v>
      </c>
      <c r="E481" t="s">
        <v>5929</v>
      </c>
      <c r="F481">
        <v>3.84</v>
      </c>
      <c r="G481" s="5">
        <v>5.1999999999999998E-3</v>
      </c>
      <c r="H481" t="s">
        <v>6497</v>
      </c>
      <c r="I481">
        <v>4757261300</v>
      </c>
      <c r="J481">
        <v>21.7</v>
      </c>
      <c r="K481">
        <v>1.81</v>
      </c>
      <c r="L481" t="s">
        <v>6350</v>
      </c>
      <c r="M481" t="s">
        <v>9</v>
      </c>
      <c r="N481" t="s">
        <v>9</v>
      </c>
      <c r="O481" t="s">
        <v>9</v>
      </c>
      <c r="P481" t="s">
        <v>9</v>
      </c>
      <c r="Q481" t="s">
        <v>4623</v>
      </c>
      <c r="R481">
        <v>252455240</v>
      </c>
      <c r="S481" s="5">
        <v>0.27250000000000002</v>
      </c>
      <c r="T481" t="s">
        <v>42</v>
      </c>
      <c r="U481">
        <v>1235579380</v>
      </c>
      <c r="V481">
        <v>1191763590</v>
      </c>
      <c r="W481" t="s">
        <v>9</v>
      </c>
      <c r="X481" t="s">
        <v>9</v>
      </c>
      <c r="Y481" t="s">
        <v>9</v>
      </c>
      <c r="Z481" t="s">
        <v>9</v>
      </c>
      <c r="AA481" t="s">
        <v>9</v>
      </c>
      <c r="AB481" t="s">
        <v>9</v>
      </c>
      <c r="AC481" t="s">
        <v>9</v>
      </c>
      <c r="AD481" t="s">
        <v>5930</v>
      </c>
      <c r="AE481" t="s">
        <v>9</v>
      </c>
      <c r="AF481" t="s">
        <v>9</v>
      </c>
      <c r="AG481" t="s">
        <v>9</v>
      </c>
      <c r="AH481" t="s">
        <v>5931</v>
      </c>
      <c r="AI481" t="s">
        <v>9</v>
      </c>
      <c r="AJ481" t="s">
        <v>9</v>
      </c>
      <c r="AK481" t="s">
        <v>5932</v>
      </c>
      <c r="AL481" t="s">
        <v>9</v>
      </c>
      <c r="AM481" t="s">
        <v>9</v>
      </c>
      <c r="AN481" s="5">
        <v>0.19439999999999999</v>
      </c>
      <c r="AO481" t="s">
        <v>9</v>
      </c>
      <c r="AP481" t="s">
        <v>5933</v>
      </c>
      <c r="AQ481" t="s">
        <v>9</v>
      </c>
      <c r="AR481" t="s">
        <v>3770</v>
      </c>
      <c r="AS481" t="s">
        <v>9</v>
      </c>
      <c r="AT481" t="s">
        <v>9</v>
      </c>
      <c r="AU481" t="s">
        <v>122</v>
      </c>
      <c r="AV481" t="s">
        <v>5934</v>
      </c>
      <c r="AW481" t="s">
        <v>9</v>
      </c>
      <c r="AX481" t="s">
        <v>3583</v>
      </c>
      <c r="AY481" t="s">
        <v>3529</v>
      </c>
      <c r="AZ481" t="s">
        <v>2667</v>
      </c>
      <c r="BA481" t="s">
        <v>3826</v>
      </c>
      <c r="BB481" t="s">
        <v>4249</v>
      </c>
      <c r="BC481" t="s">
        <v>240</v>
      </c>
      <c r="BD481" t="s">
        <v>117</v>
      </c>
      <c r="BE481" t="s">
        <v>9</v>
      </c>
      <c r="BF481" t="s">
        <v>9</v>
      </c>
      <c r="BG481" t="s">
        <v>9</v>
      </c>
      <c r="BH481" t="s">
        <v>4623</v>
      </c>
      <c r="BI481" t="s">
        <v>9</v>
      </c>
      <c r="BJ481" t="s">
        <v>3583</v>
      </c>
      <c r="BK481" t="s">
        <v>42</v>
      </c>
      <c r="BL481" t="s">
        <v>9</v>
      </c>
      <c r="BM481" t="s">
        <v>240</v>
      </c>
      <c r="BN481">
        <v>8.6300000000000008</v>
      </c>
      <c r="BO481">
        <v>8.82</v>
      </c>
      <c r="BP481">
        <v>12.97</v>
      </c>
      <c r="BQ481">
        <v>9.49</v>
      </c>
      <c r="BR481">
        <v>7.47</v>
      </c>
      <c r="BS481" t="s">
        <v>9</v>
      </c>
      <c r="BT481" t="s">
        <v>5935</v>
      </c>
      <c r="BU481" t="s">
        <v>937</v>
      </c>
      <c r="BV481">
        <v>50.01</v>
      </c>
      <c r="BW481">
        <v>50.37</v>
      </c>
      <c r="BX481">
        <v>50.36</v>
      </c>
      <c r="BY481">
        <v>25.98</v>
      </c>
      <c r="BZ481">
        <v>25.46</v>
      </c>
      <c r="CA481">
        <v>27.1</v>
      </c>
      <c r="CB481">
        <v>-0.78</v>
      </c>
      <c r="CC481">
        <v>5.79</v>
      </c>
      <c r="CD481" t="s">
        <v>6498</v>
      </c>
      <c r="CE481" t="s">
        <v>6499</v>
      </c>
      <c r="CF481" s="8" t="s">
        <v>9</v>
      </c>
      <c r="CG481" s="9">
        <v>0.27250000000000002</v>
      </c>
      <c r="CH481" s="8">
        <v>0.26322263479232788</v>
      </c>
      <c r="CI481" s="8">
        <v>0.2098214328289032</v>
      </c>
      <c r="CJ481" s="8">
        <v>0.37704917788505554</v>
      </c>
      <c r="CK481" s="8">
        <v>0.36694678664207458</v>
      </c>
      <c r="CL481" s="8">
        <v>0.61538463830947876</v>
      </c>
      <c r="CM481" s="9">
        <v>0.27272728085517883</v>
      </c>
      <c r="CN481" s="9">
        <v>0.11864406615495682</v>
      </c>
      <c r="CO481" s="9" t="s">
        <v>9</v>
      </c>
      <c r="CP481" s="9" t="s">
        <v>9</v>
      </c>
      <c r="CQ481" s="9" t="s">
        <v>9</v>
      </c>
      <c r="CR481">
        <v>50.12547856033877</v>
      </c>
      <c r="CS481">
        <v>55.744998467790545</v>
      </c>
      <c r="CT481" t="e">
        <v>#VALUE!</v>
      </c>
      <c r="CU481" s="8">
        <v>8.9919239282608039E-3</v>
      </c>
      <c r="CV481" s="9">
        <v>-0.20070737600326538</v>
      </c>
      <c r="CW481">
        <v>0.06</v>
      </c>
      <c r="CX481">
        <v>19.832371121211825</v>
      </c>
      <c r="CY481">
        <v>239873551.72634122</v>
      </c>
      <c r="CZ481">
        <v>8.9919239282608039E-3</v>
      </c>
      <c r="DA481">
        <v>6.9454480657418607</v>
      </c>
      <c r="DB481">
        <v>684946637.70721972</v>
      </c>
      <c r="DC481">
        <v>8.5423277318477635E-3</v>
      </c>
      <c r="DD481">
        <v>3.739284570821328</v>
      </c>
      <c r="DE481">
        <v>1272238368.0349514</v>
      </c>
      <c r="DF481">
        <v>7.9128930568695081E-3</v>
      </c>
      <c r="DG481">
        <v>2.4737154790973959</v>
      </c>
      <c r="DH481">
        <v>1923123875.8856049</v>
      </c>
      <c r="DI481">
        <v>7.1935391426086433E-3</v>
      </c>
      <c r="DJ481">
        <v>1.5584023351284388</v>
      </c>
      <c r="DK481">
        <v>3052652830.892942</v>
      </c>
      <c r="DL481">
        <v>6.2943467497825626E-3</v>
      </c>
      <c r="DM481">
        <v>252000000</v>
      </c>
      <c r="DN481">
        <v>8.9919239282608039E-3</v>
      </c>
      <c r="DO481">
        <v>4757261300</v>
      </c>
      <c r="DP481" t="e">
        <v>#VALUE!</v>
      </c>
      <c r="DQ481">
        <v>490</v>
      </c>
      <c r="DR481" t="e">
        <v>#VALUE!</v>
      </c>
      <c r="DS481">
        <v>0.4732073760032654</v>
      </c>
      <c r="DT481" t="e">
        <v>#VALUE!</v>
      </c>
      <c r="DU481" t="e">
        <v>#VALUE!</v>
      </c>
      <c r="DV481" t="e">
        <v>#VALUE!</v>
      </c>
      <c r="DW481">
        <v>1.0579000000000001</v>
      </c>
      <c r="DX481">
        <v>0.58010294473199708</v>
      </c>
      <c r="DY481">
        <v>1.0110069604999827</v>
      </c>
      <c r="DZ481">
        <v>0</v>
      </c>
      <c r="EA481">
        <v>1.0110069604999827</v>
      </c>
      <c r="EB481">
        <v>1</v>
      </c>
      <c r="EC481">
        <v>1.1221185235236126E-2</v>
      </c>
      <c r="ED481">
        <v>5.9026891398821807E-2</v>
      </c>
      <c r="EE481">
        <v>0</v>
      </c>
      <c r="EF481">
        <v>0</v>
      </c>
      <c r="EG481">
        <v>39.190102944731997</v>
      </c>
      <c r="EH481" t="s">
        <v>110</v>
      </c>
      <c r="EI481">
        <v>0</v>
      </c>
      <c r="EJ481">
        <v>0</v>
      </c>
      <c r="EK481">
        <v>0</v>
      </c>
      <c r="EL481">
        <v>0</v>
      </c>
      <c r="EM481">
        <v>0</v>
      </c>
      <c r="EN481">
        <v>0</v>
      </c>
      <c r="EO481">
        <v>0</v>
      </c>
      <c r="EP481">
        <v>0</v>
      </c>
    </row>
    <row r="482" spans="1:146" ht="96" x14ac:dyDescent="0.25">
      <c r="A482" s="7"/>
      <c r="B482" s="7"/>
      <c r="C482" s="7" t="str">
        <f>""&amp;CHAR(10)&amp;Basic_Fundamental_Information_Constructure(F482)&amp;CHAR(10)&amp;Basic_Fundamental_Information_Concatenate("")</f>
        <v xml:space="preserve">
市值680.9508亿, 利润23.48亿; PE29; 平均PE65.9; 平均PEG4.02, PB1.26; ROIC.9133%; ROE.8333%; 股利率0%; 毛利22.2633%; 净利.44%; 上一年度营收增11.3%, 利润增278.56%, 利润增447.6%; 过往5年营收增16.39%, 利润增32.86%
Income profile:
</v>
      </c>
      <c r="D482" s="11">
        <v>6618</v>
      </c>
      <c r="E482" t="s">
        <v>5936</v>
      </c>
      <c r="F482">
        <v>21.35</v>
      </c>
      <c r="G482" s="5">
        <v>-5.5300000000000002E-2</v>
      </c>
      <c r="H482" t="s">
        <v>12370</v>
      </c>
      <c r="I482">
        <v>68095080000</v>
      </c>
      <c r="J482">
        <v>29</v>
      </c>
      <c r="K482">
        <v>1.26</v>
      </c>
      <c r="L482" t="s">
        <v>6350</v>
      </c>
      <c r="M482" t="s">
        <v>9</v>
      </c>
      <c r="N482" t="s">
        <v>9</v>
      </c>
      <c r="O482" t="s">
        <v>9</v>
      </c>
      <c r="P482" t="s">
        <v>9</v>
      </c>
      <c r="Q482" t="s">
        <v>12371</v>
      </c>
      <c r="R482">
        <v>2347886100</v>
      </c>
      <c r="S482" s="5">
        <v>4.476</v>
      </c>
      <c r="T482" t="s">
        <v>7557</v>
      </c>
      <c r="U482">
        <v>3189115100</v>
      </c>
      <c r="V482">
        <v>3189115100</v>
      </c>
      <c r="W482" t="s">
        <v>9</v>
      </c>
      <c r="X482" t="s">
        <v>9</v>
      </c>
      <c r="Y482" t="s">
        <v>9</v>
      </c>
      <c r="Z482" t="s">
        <v>9</v>
      </c>
      <c r="AA482" t="s">
        <v>9</v>
      </c>
      <c r="AB482" t="s">
        <v>9</v>
      </c>
      <c r="AC482" t="s">
        <v>9</v>
      </c>
      <c r="AD482" t="s">
        <v>12372</v>
      </c>
      <c r="AE482" t="s">
        <v>9</v>
      </c>
      <c r="AF482" t="s">
        <v>9</v>
      </c>
      <c r="AG482" t="s">
        <v>9</v>
      </c>
      <c r="AH482" t="s">
        <v>12373</v>
      </c>
      <c r="AI482" t="s">
        <v>9</v>
      </c>
      <c r="AJ482" t="s">
        <v>9</v>
      </c>
      <c r="AK482" t="s">
        <v>12374</v>
      </c>
      <c r="AL482" t="s">
        <v>9</v>
      </c>
      <c r="AM482" t="s">
        <v>9</v>
      </c>
      <c r="AN482" s="5">
        <v>0.23200000000000001</v>
      </c>
      <c r="AO482" t="s">
        <v>9</v>
      </c>
      <c r="AP482" t="s">
        <v>12375</v>
      </c>
      <c r="AQ482" t="s">
        <v>9</v>
      </c>
      <c r="AR482" t="s">
        <v>12376</v>
      </c>
      <c r="AS482" t="s">
        <v>9</v>
      </c>
      <c r="AT482" t="s">
        <v>9</v>
      </c>
      <c r="AU482" t="s">
        <v>5448</v>
      </c>
      <c r="AV482" t="s">
        <v>12377</v>
      </c>
      <c r="AW482" t="s">
        <v>9</v>
      </c>
      <c r="AX482" t="s">
        <v>5937</v>
      </c>
      <c r="AY482" t="s">
        <v>5938</v>
      </c>
      <c r="AZ482" t="s">
        <v>5939</v>
      </c>
      <c r="BA482" t="s">
        <v>5940</v>
      </c>
      <c r="BB482" t="s">
        <v>4168</v>
      </c>
      <c r="BC482" t="s">
        <v>5941</v>
      </c>
      <c r="BD482" t="s">
        <v>5942</v>
      </c>
      <c r="BE482" t="s">
        <v>5943</v>
      </c>
      <c r="BF482" t="s">
        <v>701</v>
      </c>
      <c r="BG482" t="s">
        <v>1395</v>
      </c>
      <c r="BH482" t="s">
        <v>5937</v>
      </c>
      <c r="BI482" t="s">
        <v>9</v>
      </c>
      <c r="BJ482" t="s">
        <v>5938</v>
      </c>
      <c r="BK482" t="s">
        <v>953</v>
      </c>
      <c r="BL482" t="s">
        <v>9</v>
      </c>
      <c r="BM482" t="s">
        <v>5941</v>
      </c>
      <c r="BN482">
        <v>4.55</v>
      </c>
      <c r="BO482">
        <v>0.9</v>
      </c>
      <c r="BP482">
        <v>-2.71</v>
      </c>
      <c r="BQ482">
        <v>4.34</v>
      </c>
      <c r="BR482">
        <v>0.85</v>
      </c>
      <c r="BS482">
        <v>-2.69</v>
      </c>
      <c r="BT482" t="s">
        <v>9</v>
      </c>
      <c r="BU482" t="s">
        <v>489</v>
      </c>
      <c r="BV482">
        <v>22.17</v>
      </c>
      <c r="BW482">
        <v>21.16</v>
      </c>
      <c r="BX482">
        <v>23.46</v>
      </c>
      <c r="BY482">
        <v>4</v>
      </c>
      <c r="BZ482">
        <v>0.82</v>
      </c>
      <c r="CA482">
        <v>-3.5</v>
      </c>
      <c r="CB482">
        <v>-9.73</v>
      </c>
      <c r="CC482">
        <v>-29.19</v>
      </c>
      <c r="CD482" t="s">
        <v>12378</v>
      </c>
      <c r="CE482" t="s">
        <v>236</v>
      </c>
      <c r="CF482" s="8" t="s">
        <v>9</v>
      </c>
      <c r="CG482" s="9">
        <v>4.476</v>
      </c>
      <c r="CH482" s="8">
        <v>0.11298676580190659</v>
      </c>
      <c r="CI482" s="8">
        <v>0.40332713723182678</v>
      </c>
      <c r="CJ482" s="8">
        <v>0.62626612186431885</v>
      </c>
      <c r="CK482" s="8">
        <v>1.4838187694549561</v>
      </c>
      <c r="CL482" s="8">
        <v>0.39696609973907471</v>
      </c>
      <c r="CM482" s="9">
        <v>2.7855513095855713</v>
      </c>
      <c r="CN482" s="9">
        <v>0.93598479032516479</v>
      </c>
      <c r="CO482" s="9">
        <v>-17.915285110473633</v>
      </c>
      <c r="CP482" s="9">
        <v>-5.4326534271240234</v>
      </c>
      <c r="CQ482" s="9">
        <v>0.14485980570316315</v>
      </c>
      <c r="CR482">
        <v>65.898464516129025</v>
      </c>
      <c r="CS482">
        <v>4.0215939408792529</v>
      </c>
      <c r="CT482">
        <v>0</v>
      </c>
      <c r="CU482" s="8">
        <v>0.16386155709624289</v>
      </c>
      <c r="CV482" s="9">
        <v>0.32855431437492372</v>
      </c>
      <c r="CW482">
        <v>0.06</v>
      </c>
      <c r="CX482">
        <v>26.413270781675834</v>
      </c>
      <c r="CY482">
        <v>2578063147.228281</v>
      </c>
      <c r="CZ482">
        <v>0.16386155709624289</v>
      </c>
      <c r="DA482">
        <v>8.1126238241667075</v>
      </c>
      <c r="DB482">
        <v>8393718416.6177483</v>
      </c>
      <c r="DC482">
        <v>0.15566847924143074</v>
      </c>
      <c r="DD482">
        <v>3.6676591587537724</v>
      </c>
      <c r="DE482">
        <v>18566359918.55304</v>
      </c>
      <c r="DF482">
        <v>0.14419817024469375</v>
      </c>
      <c r="DG482">
        <v>1.9945511940500238</v>
      </c>
      <c r="DH482">
        <v>34140552623.134205</v>
      </c>
      <c r="DI482">
        <v>0.13108924567699431</v>
      </c>
      <c r="DJ482">
        <v>0.81997058530638711</v>
      </c>
      <c r="DK482">
        <v>83045759470.20813</v>
      </c>
      <c r="DL482">
        <v>0.11470308996737001</v>
      </c>
      <c r="DM482">
        <v>2348000000</v>
      </c>
      <c r="DN482">
        <v>0.16386155709624289</v>
      </c>
      <c r="DO482">
        <v>68095080000</v>
      </c>
      <c r="DP482" t="e">
        <v>#VALUE!</v>
      </c>
      <c r="DQ482">
        <v>482</v>
      </c>
      <c r="DR482" t="e">
        <v>#VALUE!</v>
      </c>
      <c r="DS482">
        <v>4.1474456856250761</v>
      </c>
      <c r="DT482" t="e">
        <v>#VALUE!</v>
      </c>
      <c r="DU482" t="e">
        <v>#VALUE!</v>
      </c>
      <c r="DV482" t="e">
        <v>#VALUE!</v>
      </c>
      <c r="DW482">
        <v>-9.3333333333333339</v>
      </c>
      <c r="DX482">
        <v>0.45832142857142516</v>
      </c>
      <c r="DY482">
        <v>-9.0427738095238102</v>
      </c>
      <c r="DZ482">
        <v>0</v>
      </c>
      <c r="EA482">
        <v>-9.0427738095238102</v>
      </c>
      <c r="EB482">
        <v>9</v>
      </c>
      <c r="EC482">
        <v>9.5764809492137806E-3</v>
      </c>
      <c r="ED482">
        <v>7.4628852373500101E-2</v>
      </c>
      <c r="EE482">
        <v>0</v>
      </c>
      <c r="EF482">
        <v>0</v>
      </c>
      <c r="EG482">
        <v>33.128321428571425</v>
      </c>
      <c r="EH482" t="s">
        <v>110</v>
      </c>
      <c r="EI482">
        <v>0</v>
      </c>
      <c r="EJ482">
        <v>0</v>
      </c>
      <c r="EK482">
        <v>0</v>
      </c>
      <c r="EL482">
        <v>0</v>
      </c>
      <c r="EM482">
        <v>0</v>
      </c>
      <c r="EN482">
        <v>0</v>
      </c>
      <c r="EO482">
        <v>0</v>
      </c>
      <c r="EP482">
        <v>0</v>
      </c>
    </row>
    <row r="483" spans="1:146" ht="96" x14ac:dyDescent="0.25">
      <c r="A483" s="7"/>
      <c r="B483" s="7"/>
      <c r="C483" s="7" t="str">
        <f>""&amp;CHAR(10)&amp;Basic_Fundamental_Information_Constructure(F483)&amp;CHAR(10)&amp;Basic_Fundamental_Information_Concatenate("")</f>
        <v xml:space="preserve">
市值29.358725亿, 利润-2.51亿; PE158.6; 平均PE298.7; 平均PEG14.34, PB1.55; ROIC86.37%; ROE-11.49%; 股利率0%; 毛利20.5167%; 净利-32.5%; 上一年度营收增-15.88%, 利润增64.65%, 利润增105.5%; 过往5年营收增20.83%, 利润增12.73%
Income profile:
</v>
      </c>
      <c r="D483" s="11">
        <v>6639</v>
      </c>
      <c r="E483" t="s">
        <v>5944</v>
      </c>
      <c r="F483">
        <v>5.0599999999999996</v>
      </c>
      <c r="G483" s="5">
        <v>-1.9400000000000001E-2</v>
      </c>
      <c r="H483" t="s">
        <v>12379</v>
      </c>
      <c r="I483">
        <v>2935872500</v>
      </c>
      <c r="J483">
        <v>158.6</v>
      </c>
      <c r="K483">
        <v>1.55</v>
      </c>
      <c r="L483" t="s">
        <v>6350</v>
      </c>
      <c r="M483" t="s">
        <v>9</v>
      </c>
      <c r="N483" t="s">
        <v>9</v>
      </c>
      <c r="O483" t="s">
        <v>9</v>
      </c>
      <c r="P483" t="s">
        <v>9</v>
      </c>
      <c r="Q483" t="s">
        <v>3740</v>
      </c>
      <c r="R483">
        <v>5349096</v>
      </c>
      <c r="S483" s="5">
        <v>1.0549999999999999</v>
      </c>
      <c r="T483" t="s">
        <v>1164</v>
      </c>
      <c r="U483">
        <v>580341950</v>
      </c>
      <c r="V483">
        <v>580341950</v>
      </c>
      <c r="W483" t="s">
        <v>9</v>
      </c>
      <c r="X483" t="s">
        <v>9</v>
      </c>
      <c r="Y483" t="s">
        <v>9</v>
      </c>
      <c r="Z483" t="s">
        <v>9</v>
      </c>
      <c r="AA483" t="s">
        <v>9</v>
      </c>
      <c r="AB483" t="s">
        <v>9</v>
      </c>
      <c r="AC483" t="s">
        <v>9</v>
      </c>
      <c r="AD483" t="s">
        <v>12380</v>
      </c>
      <c r="AE483" t="s">
        <v>9</v>
      </c>
      <c r="AF483" t="s">
        <v>9</v>
      </c>
      <c r="AG483" t="s">
        <v>9</v>
      </c>
      <c r="AH483" t="s">
        <v>12381</v>
      </c>
      <c r="AI483" t="s">
        <v>9</v>
      </c>
      <c r="AJ483" t="s">
        <v>9</v>
      </c>
      <c r="AK483" t="s">
        <v>12382</v>
      </c>
      <c r="AL483" t="s">
        <v>9</v>
      </c>
      <c r="AM483" t="s">
        <v>9</v>
      </c>
      <c r="AN483" s="5">
        <v>0.43990000000000001</v>
      </c>
      <c r="AO483" t="s">
        <v>9</v>
      </c>
      <c r="AP483" t="s">
        <v>12383</v>
      </c>
      <c r="AQ483" t="s">
        <v>9</v>
      </c>
      <c r="AR483" t="s">
        <v>3300</v>
      </c>
      <c r="AS483" t="s">
        <v>9</v>
      </c>
      <c r="AT483" t="s">
        <v>9</v>
      </c>
      <c r="AU483" t="s">
        <v>148</v>
      </c>
      <c r="AV483" t="s">
        <v>12384</v>
      </c>
      <c r="AW483" t="s">
        <v>9</v>
      </c>
      <c r="AX483" t="s">
        <v>1460</v>
      </c>
      <c r="AY483" t="s">
        <v>2884</v>
      </c>
      <c r="AZ483" t="s">
        <v>2464</v>
      </c>
      <c r="BA483" t="s">
        <v>9</v>
      </c>
      <c r="BB483" t="s">
        <v>9</v>
      </c>
      <c r="BC483" t="s">
        <v>5946</v>
      </c>
      <c r="BD483" t="s">
        <v>5947</v>
      </c>
      <c r="BE483" t="s">
        <v>9</v>
      </c>
      <c r="BF483" t="s">
        <v>9</v>
      </c>
      <c r="BG483" t="s">
        <v>9</v>
      </c>
      <c r="BH483" t="s">
        <v>1460</v>
      </c>
      <c r="BI483" t="s">
        <v>9</v>
      </c>
      <c r="BJ483" t="s">
        <v>2884</v>
      </c>
      <c r="BK483" t="s">
        <v>5945</v>
      </c>
      <c r="BL483" t="s">
        <v>9</v>
      </c>
      <c r="BM483" t="s">
        <v>5946</v>
      </c>
      <c r="BN483">
        <v>-12.45</v>
      </c>
      <c r="BO483">
        <v>242.02</v>
      </c>
      <c r="BP483">
        <v>29.54</v>
      </c>
      <c r="BQ483">
        <v>-13.65</v>
      </c>
      <c r="BR483">
        <v>-44.8</v>
      </c>
      <c r="BS483">
        <v>23.98</v>
      </c>
      <c r="BT483" t="s">
        <v>9</v>
      </c>
      <c r="BU483" t="s">
        <v>2382</v>
      </c>
      <c r="BV483">
        <v>16.77</v>
      </c>
      <c r="BW483">
        <v>20.73</v>
      </c>
      <c r="BX483">
        <v>24.05</v>
      </c>
      <c r="BY483">
        <v>-15.16</v>
      </c>
      <c r="BZ483">
        <v>-42.89</v>
      </c>
      <c r="CA483">
        <v>-39.450000000000003</v>
      </c>
      <c r="CB483">
        <v>-9.48</v>
      </c>
      <c r="CC483">
        <v>-20.059999999999999</v>
      </c>
      <c r="CD483" t="s">
        <v>12385</v>
      </c>
      <c r="CE483" t="s">
        <v>12386</v>
      </c>
      <c r="CF483" s="8" t="s">
        <v>9</v>
      </c>
      <c r="CG483" s="9">
        <v>1.0549999999999999</v>
      </c>
      <c r="CH483" s="8">
        <v>-0.15884116291999817</v>
      </c>
      <c r="CI483" s="8">
        <v>0.11594203114509583</v>
      </c>
      <c r="CJ483" s="8">
        <v>0.4937552809715271</v>
      </c>
      <c r="CK483" s="8" t="s">
        <v>9</v>
      </c>
      <c r="CL483" s="8" t="s">
        <v>9</v>
      </c>
      <c r="CM483" s="9">
        <v>0.64647889137268066</v>
      </c>
      <c r="CN483" s="9">
        <v>-1.05202317237854</v>
      </c>
      <c r="CO483" s="9" t="s">
        <v>9</v>
      </c>
      <c r="CP483" s="9" t="s">
        <v>9</v>
      </c>
      <c r="CQ483" s="9" t="s">
        <v>9</v>
      </c>
      <c r="CR483">
        <v>298.69695931738937</v>
      </c>
      <c r="CS483">
        <v>14.342808444403385</v>
      </c>
      <c r="CT483">
        <v>0</v>
      </c>
      <c r="CU483" s="8">
        <v>0.20825555920600891</v>
      </c>
      <c r="CV483" s="9">
        <v>0.12726604640483857</v>
      </c>
      <c r="CW483">
        <v>0.06</v>
      </c>
      <c r="CX483" t="e">
        <v>#VALUE!</v>
      </c>
      <c r="CY483" t="s">
        <v>108</v>
      </c>
      <c r="CZ483">
        <v>0.20825555920600891</v>
      </c>
      <c r="DA483" t="e">
        <v>#VALUE!</v>
      </c>
      <c r="DB483" t="s">
        <v>108</v>
      </c>
      <c r="DC483">
        <v>0.19784278124570845</v>
      </c>
      <c r="DD483" t="e">
        <v>#VALUE!</v>
      </c>
      <c r="DE483" t="s">
        <v>108</v>
      </c>
      <c r="DF483">
        <v>0.18326489210128785</v>
      </c>
      <c r="DG483" t="e">
        <v>#VALUE!</v>
      </c>
      <c r="DH483" t="s">
        <v>108</v>
      </c>
      <c r="DI483">
        <v>0.16660444736480715</v>
      </c>
      <c r="DJ483" t="e">
        <v>#VALUE!</v>
      </c>
      <c r="DK483" t="s">
        <v>108</v>
      </c>
      <c r="DL483">
        <v>0.14577889144420622</v>
      </c>
      <c r="DM483">
        <v>-250999999.99999997</v>
      </c>
      <c r="DN483">
        <v>0.20825555920600891</v>
      </c>
      <c r="DO483">
        <v>2935872500</v>
      </c>
      <c r="DP483" t="e">
        <v>#VALUE!</v>
      </c>
      <c r="DQ483">
        <v>483</v>
      </c>
      <c r="DR483" t="e">
        <v>#VALUE!</v>
      </c>
      <c r="DS483">
        <v>0.92773395359516142</v>
      </c>
      <c r="DT483" t="e">
        <v>#VALUE!</v>
      </c>
      <c r="DU483" t="e">
        <v>#VALUE!</v>
      </c>
      <c r="DV483" t="e">
        <v>#VALUE!</v>
      </c>
      <c r="DW483">
        <v>-9.4725822532402795</v>
      </c>
      <c r="DX483">
        <v>0.45330050894931534</v>
      </c>
      <c r="DY483">
        <v>-9.0535438098125383</v>
      </c>
      <c r="DZ483">
        <v>0</v>
      </c>
      <c r="EA483">
        <v>-9.0535438098125383</v>
      </c>
      <c r="EB483">
        <v>9</v>
      </c>
      <c r="EC483">
        <v>1.1772542033192671E-2</v>
      </c>
      <c r="ED483">
        <v>0.10390546470059592</v>
      </c>
      <c r="EE483">
        <v>0</v>
      </c>
      <c r="EF483">
        <v>0</v>
      </c>
      <c r="EG483">
        <v>34.113300508949315</v>
      </c>
      <c r="EH483" t="s">
        <v>110</v>
      </c>
      <c r="EI483">
        <v>0</v>
      </c>
      <c r="EJ483">
        <v>0</v>
      </c>
      <c r="EK483">
        <v>0</v>
      </c>
      <c r="EL483">
        <v>0</v>
      </c>
      <c r="EM483">
        <v>0</v>
      </c>
      <c r="EN483">
        <v>0</v>
      </c>
      <c r="EO483">
        <v>0</v>
      </c>
      <c r="EP483">
        <v>0</v>
      </c>
    </row>
    <row r="484" spans="1:146" ht="96" x14ac:dyDescent="0.25">
      <c r="A484" s="7"/>
      <c r="B484" s="7"/>
      <c r="C484" s="7" t="str">
        <f>""&amp;CHAR(10)&amp;Basic_Fundamental_Information_Constructure(F484)&amp;CHAR(10)&amp;Basic_Fundamental_Information_Concatenate("")</f>
        <v xml:space="preserve">
市值162.57746亿, 利润30.28亿; PE5.54; 平均PE22.25; 平均PEG1.09, PB.517; ROIC10.0967%; ROE13.15%; 股利率0%; 毛利27.5567%; 净利12.6967%; 上一年度营收增7.34%, 利润增-53.9%; 当季营收增-5.47%, 利润增-32.46%; 过往5年营收增20.39%, 利润增34.11%
Income profile:
</v>
      </c>
      <c r="D484" s="11">
        <v>6655</v>
      </c>
      <c r="E484" t="s">
        <v>5948</v>
      </c>
      <c r="F484">
        <v>7.82</v>
      </c>
      <c r="G484" s="5">
        <v>-1.6400000000000001E-2</v>
      </c>
      <c r="H484" t="s">
        <v>12387</v>
      </c>
      <c r="I484">
        <v>16257746000</v>
      </c>
      <c r="J484">
        <v>5.54</v>
      </c>
      <c r="K484">
        <v>0.51700000000000002</v>
      </c>
      <c r="L484" t="s">
        <v>6350</v>
      </c>
      <c r="M484" t="s">
        <v>12388</v>
      </c>
      <c r="N484" t="s">
        <v>12389</v>
      </c>
      <c r="O484" t="s">
        <v>12390</v>
      </c>
      <c r="P484">
        <v>6.87</v>
      </c>
      <c r="Q484" t="s">
        <v>12391</v>
      </c>
      <c r="R484">
        <v>3027832300</v>
      </c>
      <c r="S484" s="5">
        <v>-0.3246</v>
      </c>
      <c r="T484" t="s">
        <v>2366</v>
      </c>
      <c r="U484">
        <v>734720000</v>
      </c>
      <c r="V484">
        <v>2078995600</v>
      </c>
      <c r="W484">
        <v>2.37</v>
      </c>
      <c r="X484">
        <v>0.1</v>
      </c>
      <c r="Y484">
        <v>5.14</v>
      </c>
      <c r="Z484" t="s">
        <v>12392</v>
      </c>
      <c r="AA484" t="s">
        <v>12393</v>
      </c>
      <c r="AB484" t="s">
        <v>180</v>
      </c>
      <c r="AC484" t="s">
        <v>218</v>
      </c>
      <c r="AD484" t="s">
        <v>1992</v>
      </c>
      <c r="AE484" t="s">
        <v>640</v>
      </c>
      <c r="AF484" t="s">
        <v>9</v>
      </c>
      <c r="AG484" t="s">
        <v>12394</v>
      </c>
      <c r="AH484" t="s">
        <v>12395</v>
      </c>
      <c r="AI484" t="s">
        <v>12396</v>
      </c>
      <c r="AJ484" t="s">
        <v>1382</v>
      </c>
      <c r="AK484" t="s">
        <v>12397</v>
      </c>
      <c r="AL484" t="s">
        <v>9</v>
      </c>
      <c r="AM484" t="s">
        <v>12398</v>
      </c>
      <c r="AN484" s="5">
        <v>0.5181</v>
      </c>
      <c r="AO484" t="s">
        <v>2624</v>
      </c>
      <c r="AP484" t="s">
        <v>12399</v>
      </c>
      <c r="AQ484" t="s">
        <v>12400</v>
      </c>
      <c r="AR484" t="s">
        <v>12401</v>
      </c>
      <c r="AS484" t="s">
        <v>12402</v>
      </c>
      <c r="AT484" t="s">
        <v>12403</v>
      </c>
      <c r="AU484" t="s">
        <v>12404</v>
      </c>
      <c r="AV484" t="s">
        <v>12405</v>
      </c>
      <c r="AW484" t="s">
        <v>3159</v>
      </c>
      <c r="AX484" t="s">
        <v>5949</v>
      </c>
      <c r="AY484" t="s">
        <v>5953</v>
      </c>
      <c r="AZ484" t="s">
        <v>5954</v>
      </c>
      <c r="BA484" t="s">
        <v>5486</v>
      </c>
      <c r="BB484" t="s">
        <v>5955</v>
      </c>
      <c r="BC484" t="s">
        <v>5956</v>
      </c>
      <c r="BD484" t="s">
        <v>5957</v>
      </c>
      <c r="BE484" t="s">
        <v>9</v>
      </c>
      <c r="BF484" t="s">
        <v>9</v>
      </c>
      <c r="BG484" t="s">
        <v>9</v>
      </c>
      <c r="BH484" t="s">
        <v>5949</v>
      </c>
      <c r="BI484" t="s">
        <v>5958</v>
      </c>
      <c r="BJ484" t="s">
        <v>5953</v>
      </c>
      <c r="BK484" t="s">
        <v>5950</v>
      </c>
      <c r="BL484" t="s">
        <v>5959</v>
      </c>
      <c r="BM484" t="s">
        <v>5956</v>
      </c>
      <c r="BN484">
        <v>6.74</v>
      </c>
      <c r="BO484">
        <v>7.15</v>
      </c>
      <c r="BP484">
        <v>16.399999999999999</v>
      </c>
      <c r="BQ484">
        <v>9.5500000000000007</v>
      </c>
      <c r="BR484">
        <v>9.83</v>
      </c>
      <c r="BS484">
        <v>20.07</v>
      </c>
      <c r="BT484" t="s">
        <v>776</v>
      </c>
      <c r="BU484" t="s">
        <v>1446</v>
      </c>
      <c r="BV484">
        <v>25.05</v>
      </c>
      <c r="BW484">
        <v>24.77</v>
      </c>
      <c r="BX484">
        <v>32.85</v>
      </c>
      <c r="BY484">
        <v>9.75</v>
      </c>
      <c r="BZ484">
        <v>10.119999999999999</v>
      </c>
      <c r="CA484">
        <v>18.22</v>
      </c>
      <c r="CB484">
        <v>2.4900000000000002</v>
      </c>
      <c r="CC484">
        <v>-2.4900000000000002</v>
      </c>
      <c r="CD484" t="s">
        <v>12406</v>
      </c>
      <c r="CE484" t="s">
        <v>12407</v>
      </c>
      <c r="CF484" s="8">
        <v>-5.4718176060797971E-2</v>
      </c>
      <c r="CG484" s="9">
        <v>-0.3246</v>
      </c>
      <c r="CH484" s="8">
        <v>7.341381162405014E-2</v>
      </c>
      <c r="CI484" s="8">
        <v>-0.13582998514175415</v>
      </c>
      <c r="CJ484" s="8">
        <v>0.13466347754001617</v>
      </c>
      <c r="CK484" s="8">
        <v>0.11982544511556625</v>
      </c>
      <c r="CL484" s="8">
        <v>0.24575990438461304</v>
      </c>
      <c r="CM484" s="9">
        <v>-0.53897684812545776</v>
      </c>
      <c r="CN484" s="9">
        <v>-2.1308308467268944E-2</v>
      </c>
      <c r="CO484" s="9" t="s">
        <v>9</v>
      </c>
      <c r="CP484" s="9" t="s">
        <v>9</v>
      </c>
      <c r="CQ484" s="9" t="s">
        <v>9</v>
      </c>
      <c r="CR484">
        <v>22.245490535917902</v>
      </c>
      <c r="CS484">
        <v>1.0908347623815722</v>
      </c>
      <c r="CT484">
        <v>0</v>
      </c>
      <c r="CU484" s="8">
        <v>0.2039308913052082</v>
      </c>
      <c r="CV484" s="9">
        <v>0.34113624542951582</v>
      </c>
      <c r="CW484">
        <v>0.06</v>
      </c>
      <c r="CX484">
        <v>5.5132013880252773</v>
      </c>
      <c r="CY484">
        <v>3439153527.2378969</v>
      </c>
      <c r="CZ484">
        <v>0.2039308913052082</v>
      </c>
      <c r="DA484">
        <v>1.6380732205416699</v>
      </c>
      <c r="DB484">
        <v>11575029591.003359</v>
      </c>
      <c r="DC484">
        <v>0.19373434673994777</v>
      </c>
      <c r="DD484">
        <v>0.70636877978275636</v>
      </c>
      <c r="DE484">
        <v>26842559499.630455</v>
      </c>
      <c r="DF484">
        <v>0.17945918434858321</v>
      </c>
      <c r="DG484">
        <v>0.36271001499536715</v>
      </c>
      <c r="DH484">
        <v>52275220468.456551</v>
      </c>
      <c r="DI484">
        <v>0.16314471304416656</v>
      </c>
      <c r="DJ484">
        <v>0.12966798893311565</v>
      </c>
      <c r="DK484">
        <v>146225341782.54425</v>
      </c>
      <c r="DL484">
        <v>0.14275162391364574</v>
      </c>
      <c r="DM484">
        <v>3028000000</v>
      </c>
      <c r="DN484">
        <v>0.2039308913052082</v>
      </c>
      <c r="DO484">
        <v>18960746000</v>
      </c>
      <c r="DP484" t="e">
        <v>#VALUE!</v>
      </c>
      <c r="DQ484">
        <v>484</v>
      </c>
      <c r="DR484">
        <v>-0.25864906736600618</v>
      </c>
      <c r="DS484">
        <v>-0.66573624542951582</v>
      </c>
      <c r="DT484">
        <v>0.14333333333333331</v>
      </c>
      <c r="DU484">
        <v>1</v>
      </c>
      <c r="DV484">
        <v>1.1433333333333333</v>
      </c>
      <c r="DW484">
        <v>-2.4900000000000002E-2</v>
      </c>
      <c r="DX484">
        <v>0.38653975485410624</v>
      </c>
      <c r="DY484">
        <v>-2.4038398958672312E-3</v>
      </c>
      <c r="DZ484">
        <v>0</v>
      </c>
      <c r="EA484">
        <v>-2.4038398958672312E-3</v>
      </c>
      <c r="EB484">
        <v>0</v>
      </c>
      <c r="EC484">
        <v>1.1986557354907341E-3</v>
      </c>
      <c r="ED484">
        <v>1.2416187893807952E-2</v>
      </c>
      <c r="EE484">
        <v>0</v>
      </c>
      <c r="EF484">
        <v>0</v>
      </c>
      <c r="EG484">
        <v>29.096539754854106</v>
      </c>
      <c r="EH484" t="s">
        <v>110</v>
      </c>
      <c r="EI484">
        <v>0</v>
      </c>
      <c r="EJ484">
        <v>0</v>
      </c>
      <c r="EK484">
        <v>0</v>
      </c>
      <c r="EL484">
        <v>0</v>
      </c>
      <c r="EM484">
        <v>0</v>
      </c>
      <c r="EN484">
        <v>0</v>
      </c>
      <c r="EO484">
        <v>0</v>
      </c>
      <c r="EP484">
        <v>0</v>
      </c>
    </row>
    <row r="485" spans="1:146" ht="84" x14ac:dyDescent="0.25">
      <c r="A485" s="7"/>
      <c r="B485" s="7"/>
      <c r="C485" s="7" t="str">
        <f>""&amp;CHAR(10)&amp;Basic_Fundamental_Information_Constructure(F485)&amp;CHAR(10)&amp;Basic_Fundamental_Information_Concatenate("")</f>
        <v xml:space="preserve">
市值86.227657亿, 利润-14.26亿; PE; 平均PE-93.73; 平均PEG-16.03, PB2.16; ROIC-13.815%; ROE-18.77%; 股利率0%; 毛利78.59%; 净利-91.245%; 上一年度营收增-8.7%, 利润增-68.16%, 利润增-295.6%; 过往5年营收增5.85%, 利润增-22.17%
Income profile:
</v>
      </c>
      <c r="D485" s="11">
        <v>6660</v>
      </c>
      <c r="E485" t="s">
        <v>5960</v>
      </c>
      <c r="F485">
        <v>7.12</v>
      </c>
      <c r="G485" s="5">
        <v>-8.3999999999999995E-3</v>
      </c>
      <c r="H485" t="s">
        <v>12408</v>
      </c>
      <c r="I485">
        <v>8622765700</v>
      </c>
      <c r="K485">
        <v>2.16</v>
      </c>
      <c r="L485" t="s">
        <v>6350</v>
      </c>
      <c r="M485" t="s">
        <v>9</v>
      </c>
      <c r="N485" t="s">
        <v>9</v>
      </c>
      <c r="O485" t="s">
        <v>9</v>
      </c>
      <c r="P485" t="s">
        <v>9</v>
      </c>
      <c r="Q485" t="s">
        <v>3394</v>
      </c>
      <c r="R485">
        <v>-1426161700</v>
      </c>
      <c r="S485" s="5">
        <v>-2.956</v>
      </c>
      <c r="T485" t="s">
        <v>6332</v>
      </c>
      <c r="U485">
        <v>492173710</v>
      </c>
      <c r="V485">
        <v>1211062600</v>
      </c>
      <c r="W485" t="s">
        <v>9</v>
      </c>
      <c r="X485" t="s">
        <v>9</v>
      </c>
      <c r="Y485" t="s">
        <v>9</v>
      </c>
      <c r="Z485" t="s">
        <v>9</v>
      </c>
      <c r="AA485" t="s">
        <v>9</v>
      </c>
      <c r="AB485" t="s">
        <v>9</v>
      </c>
      <c r="AC485" t="s">
        <v>9</v>
      </c>
      <c r="AD485" t="s">
        <v>12409</v>
      </c>
      <c r="AE485" t="s">
        <v>9</v>
      </c>
      <c r="AF485" t="s">
        <v>9</v>
      </c>
      <c r="AG485" t="s">
        <v>9</v>
      </c>
      <c r="AH485" t="s">
        <v>12410</v>
      </c>
      <c r="AI485" t="s">
        <v>9</v>
      </c>
      <c r="AJ485" t="s">
        <v>9</v>
      </c>
      <c r="AK485" t="s">
        <v>12411</v>
      </c>
      <c r="AL485" t="s">
        <v>9</v>
      </c>
      <c r="AM485" t="s">
        <v>9</v>
      </c>
      <c r="AN485" s="5">
        <v>0.46439999999999998</v>
      </c>
      <c r="AO485" t="s">
        <v>9</v>
      </c>
      <c r="AP485" t="s">
        <v>12412</v>
      </c>
      <c r="AQ485" t="s">
        <v>9</v>
      </c>
      <c r="AR485" t="s">
        <v>2722</v>
      </c>
      <c r="AS485" t="s">
        <v>9</v>
      </c>
      <c r="AT485" t="s">
        <v>9</v>
      </c>
      <c r="AU485" t="s">
        <v>8620</v>
      </c>
      <c r="AV485" t="s">
        <v>3062</v>
      </c>
      <c r="AW485" t="s">
        <v>9</v>
      </c>
      <c r="AX485" t="s">
        <v>5758</v>
      </c>
      <c r="AY485" t="s">
        <v>5963</v>
      </c>
      <c r="AZ485" t="s">
        <v>5964</v>
      </c>
      <c r="BA485" t="s">
        <v>424</v>
      </c>
      <c r="BB485" t="s">
        <v>9</v>
      </c>
      <c r="BC485" t="s">
        <v>12413</v>
      </c>
      <c r="BD485" t="s">
        <v>1809</v>
      </c>
      <c r="BE485" t="s">
        <v>9</v>
      </c>
      <c r="BF485" t="s">
        <v>9</v>
      </c>
      <c r="BG485" t="s">
        <v>9</v>
      </c>
      <c r="BH485" t="s">
        <v>5758</v>
      </c>
      <c r="BI485" t="s">
        <v>9</v>
      </c>
      <c r="BJ485" t="s">
        <v>5963</v>
      </c>
      <c r="BK485" t="s">
        <v>5961</v>
      </c>
      <c r="BL485" t="s">
        <v>9</v>
      </c>
      <c r="BM485" t="s">
        <v>12413</v>
      </c>
      <c r="BN485">
        <v>-22.21</v>
      </c>
      <c r="BO485">
        <v>-5.42</v>
      </c>
      <c r="BP485" t="s">
        <v>9</v>
      </c>
      <c r="BQ485">
        <v>-35.71</v>
      </c>
      <c r="BR485">
        <v>-6.44</v>
      </c>
      <c r="BS485">
        <v>-14.16</v>
      </c>
      <c r="BT485" t="s">
        <v>9</v>
      </c>
      <c r="BU485" t="s">
        <v>489</v>
      </c>
      <c r="BV485">
        <v>75.88</v>
      </c>
      <c r="BW485">
        <v>81.3</v>
      </c>
      <c r="BX485" t="s">
        <v>9</v>
      </c>
      <c r="BY485">
        <v>-164.24</v>
      </c>
      <c r="BZ485">
        <v>-18.25</v>
      </c>
      <c r="CA485" t="s">
        <v>9</v>
      </c>
      <c r="CB485">
        <v>0</v>
      </c>
      <c r="CC485">
        <v>-15.14</v>
      </c>
      <c r="CD485" t="s">
        <v>12414</v>
      </c>
      <c r="CE485" t="s">
        <v>12415</v>
      </c>
      <c r="CF485" s="8" t="s">
        <v>9</v>
      </c>
      <c r="CG485" s="9">
        <v>-2.956</v>
      </c>
      <c r="CH485" s="8">
        <v>-8.6956523358821869E-2</v>
      </c>
      <c r="CI485" s="8">
        <v>-0.25845035910606384</v>
      </c>
      <c r="CJ485" s="8">
        <v>-1.4856524765491486E-2</v>
      </c>
      <c r="CK485" s="8">
        <v>0.5430830717086792</v>
      </c>
      <c r="CL485" s="8" t="s">
        <v>9</v>
      </c>
      <c r="CM485" s="9">
        <v>-0.68160378932952881</v>
      </c>
      <c r="CN485" s="9">
        <v>-2.8761062622070312</v>
      </c>
      <c r="CO485" s="9" t="s">
        <v>9</v>
      </c>
      <c r="CP485" s="9" t="s">
        <v>9</v>
      </c>
      <c r="CQ485" s="9" t="s">
        <v>9</v>
      </c>
      <c r="CR485">
        <v>-93.725714130434781</v>
      </c>
      <c r="CS485">
        <v>-16.025594174416383</v>
      </c>
      <c r="CT485">
        <v>0</v>
      </c>
      <c r="CU485" s="8">
        <v>5.8485016599297522E-2</v>
      </c>
      <c r="CV485" s="9">
        <v>-0.22169358916580678</v>
      </c>
      <c r="CW485">
        <v>0.06</v>
      </c>
      <c r="CX485" t="e">
        <v>#VALUE!</v>
      </c>
      <c r="CY485" t="s">
        <v>109</v>
      </c>
      <c r="CZ485">
        <v>5.8485016599297522E-2</v>
      </c>
      <c r="DA485" t="e">
        <v>#VALUE!</v>
      </c>
      <c r="DB485" t="s">
        <v>108</v>
      </c>
      <c r="DC485">
        <v>5.5560765769332644E-2</v>
      </c>
      <c r="DD485" t="e">
        <v>#VALUE!</v>
      </c>
      <c r="DE485" t="s">
        <v>108</v>
      </c>
      <c r="DF485">
        <v>5.1466814607381818E-2</v>
      </c>
      <c r="DG485" t="e">
        <v>#VALUE!</v>
      </c>
      <c r="DH485" t="s">
        <v>108</v>
      </c>
      <c r="DI485">
        <v>4.6788013279438018E-2</v>
      </c>
      <c r="DJ485" t="e">
        <v>#VALUE!</v>
      </c>
      <c r="DK485" t="s">
        <v>108</v>
      </c>
      <c r="DL485">
        <v>4.0939511619508262E-2</v>
      </c>
      <c r="DM485">
        <v>-1426000000</v>
      </c>
      <c r="DN485">
        <v>5.8485016599297522E-2</v>
      </c>
      <c r="DO485">
        <v>8622765700</v>
      </c>
      <c r="DP485" t="e">
        <v>#VALUE!</v>
      </c>
      <c r="DQ485">
        <v>485</v>
      </c>
      <c r="DR485" t="e">
        <v>#VALUE!</v>
      </c>
      <c r="DS485">
        <v>-2.734306410834193</v>
      </c>
      <c r="DT485" t="e">
        <v>#VALUE!</v>
      </c>
      <c r="DU485" t="e">
        <v>#VALUE!</v>
      </c>
      <c r="DV485" t="e">
        <v>#VALUE!</v>
      </c>
      <c r="DW485">
        <v>-2.1514000000000002</v>
      </c>
      <c r="DX485">
        <v>0.14787156630889536</v>
      </c>
      <c r="DY485">
        <v>-2.0148177551391666</v>
      </c>
      <c r="DZ485">
        <v>0</v>
      </c>
      <c r="EA485">
        <v>-2.0148177551391666</v>
      </c>
      <c r="EB485">
        <v>2</v>
      </c>
      <c r="EC485">
        <v>7.5520456167996587E-4</v>
      </c>
      <c r="ED485">
        <v>7.7162815530757867E-3</v>
      </c>
      <c r="EE485">
        <v>0</v>
      </c>
      <c r="EF485">
        <v>0</v>
      </c>
      <c r="EG485">
        <v>5.0978715663088954</v>
      </c>
      <c r="EH485" t="s">
        <v>110</v>
      </c>
      <c r="EI485">
        <v>0</v>
      </c>
      <c r="EJ485">
        <v>0</v>
      </c>
      <c r="EK485">
        <v>0</v>
      </c>
      <c r="EL485">
        <v>0</v>
      </c>
      <c r="EM485">
        <v>0</v>
      </c>
      <c r="EN485">
        <v>0</v>
      </c>
      <c r="EO485">
        <v>0</v>
      </c>
      <c r="EP485">
        <v>0</v>
      </c>
    </row>
    <row r="486" spans="1:146" ht="96" x14ac:dyDescent="0.25">
      <c r="A486"/>
      <c r="B486"/>
      <c r="C486" s="7" t="str">
        <f>""&amp;CHAR(10)&amp;Basic_Fundamental_Information_Constructure(F486)&amp;CHAR(10)&amp;Basic_Fundamental_Information_Concatenate("")</f>
        <v xml:space="preserve">
市值76.756758亿, 利润16.89亿; PE4.54; 平均PE19.5; 平均PEG.75, PB; ROIC-95.95%; ROE-200.23%; 股利率0%; 毛利23.96%; 净利12.52%; 上一年度营收增2.75%, 利润增536.43%, 利润增5.27%; 过往5年营收增25.92%, 利润增208.75%
Income profile:
</v>
      </c>
      <c r="D486" s="11">
        <v>6666</v>
      </c>
      <c r="E486" t="s">
        <v>12416</v>
      </c>
      <c r="F486">
        <v>0.71</v>
      </c>
      <c r="G486">
        <v>0</v>
      </c>
      <c r="H486" t="s">
        <v>12417</v>
      </c>
      <c r="I486">
        <v>7675675800</v>
      </c>
      <c r="J486">
        <v>4.54</v>
      </c>
      <c r="L486" t="s">
        <v>6350</v>
      </c>
      <c r="M486" t="s">
        <v>9</v>
      </c>
      <c r="N486" t="s">
        <v>9</v>
      </c>
      <c r="O486" t="s">
        <v>9</v>
      </c>
      <c r="P486" s="5" t="s">
        <v>9</v>
      </c>
      <c r="Q486" t="s">
        <v>12418</v>
      </c>
      <c r="R486">
        <v>1689462300</v>
      </c>
      <c r="S486">
        <v>5.2699999999999997E-2</v>
      </c>
      <c r="T486" t="s">
        <v>6078</v>
      </c>
      <c r="U486">
        <v>10810811000</v>
      </c>
      <c r="V486">
        <v>10810811000</v>
      </c>
      <c r="W486" t="s">
        <v>9</v>
      </c>
      <c r="X486" t="s">
        <v>9</v>
      </c>
      <c r="Y486" t="s">
        <v>9</v>
      </c>
      <c r="Z486" t="s">
        <v>9</v>
      </c>
      <c r="AA486" t="s">
        <v>9</v>
      </c>
      <c r="AB486" t="s">
        <v>9</v>
      </c>
      <c r="AC486" t="s">
        <v>9</v>
      </c>
      <c r="AD486" t="s">
        <v>9</v>
      </c>
      <c r="AE486" t="s">
        <v>9</v>
      </c>
      <c r="AF486" t="s">
        <v>9</v>
      </c>
      <c r="AG486" t="s">
        <v>9</v>
      </c>
      <c r="AH486" t="s">
        <v>12419</v>
      </c>
      <c r="AI486" t="s">
        <v>9</v>
      </c>
      <c r="AJ486" t="s">
        <v>9</v>
      </c>
      <c r="AK486" s="5" t="s">
        <v>12420</v>
      </c>
      <c r="AL486" t="s">
        <v>9</v>
      </c>
      <c r="AM486" t="s">
        <v>9</v>
      </c>
      <c r="AN486">
        <v>0.99770000000000003</v>
      </c>
      <c r="AO486" t="s">
        <v>9</v>
      </c>
      <c r="AP486" t="s">
        <v>3975</v>
      </c>
      <c r="AQ486" t="s">
        <v>9</v>
      </c>
      <c r="AR486" t="s">
        <v>12421</v>
      </c>
      <c r="AS486" t="s">
        <v>9</v>
      </c>
      <c r="AT486" t="s">
        <v>9</v>
      </c>
      <c r="AU486" t="s">
        <v>1433</v>
      </c>
      <c r="AV486" t="s">
        <v>6333</v>
      </c>
      <c r="AW486" t="s">
        <v>9</v>
      </c>
      <c r="AX486" t="s">
        <v>12422</v>
      </c>
      <c r="AY486" t="s">
        <v>12423</v>
      </c>
      <c r="AZ486" t="s">
        <v>12424</v>
      </c>
      <c r="BA486" t="s">
        <v>12203</v>
      </c>
      <c r="BB486" t="s">
        <v>12425</v>
      </c>
      <c r="BC486" t="s">
        <v>1925</v>
      </c>
      <c r="BD486" t="s">
        <v>12426</v>
      </c>
      <c r="BE486" t="s">
        <v>3576</v>
      </c>
      <c r="BF486" t="s">
        <v>43</v>
      </c>
      <c r="BG486" t="s">
        <v>669</v>
      </c>
      <c r="BH486" t="s">
        <v>12422</v>
      </c>
      <c r="BI486" t="s">
        <v>9</v>
      </c>
      <c r="BJ486" t="s">
        <v>12423</v>
      </c>
      <c r="BK486" t="s">
        <v>3619</v>
      </c>
      <c r="BL486" t="s">
        <v>9</v>
      </c>
      <c r="BM486" t="s">
        <v>1925</v>
      </c>
      <c r="BN486">
        <v>-138.47</v>
      </c>
      <c r="BO486">
        <v>-53.43</v>
      </c>
      <c r="BP486" t="s">
        <v>9</v>
      </c>
      <c r="BQ486">
        <v>-329.62</v>
      </c>
      <c r="BR486">
        <v>-70.84</v>
      </c>
      <c r="BS486" t="s">
        <v>9</v>
      </c>
      <c r="BT486" t="s">
        <v>9</v>
      </c>
      <c r="BU486" t="s">
        <v>410</v>
      </c>
      <c r="BV486">
        <v>24.89</v>
      </c>
      <c r="BW486">
        <v>23.03</v>
      </c>
      <c r="BX486" t="s">
        <v>9</v>
      </c>
      <c r="BY486">
        <v>12.52</v>
      </c>
      <c r="BZ486">
        <v>12.52</v>
      </c>
      <c r="CA486" t="s">
        <v>9</v>
      </c>
      <c r="CB486">
        <v>1.43</v>
      </c>
      <c r="CC486" s="8">
        <v>7.58</v>
      </c>
      <c r="CD486" s="10" t="s">
        <v>1805</v>
      </c>
      <c r="CE486" s="8" t="s">
        <v>5555</v>
      </c>
      <c r="CF486" s="8" t="s">
        <v>9</v>
      </c>
      <c r="CG486" s="8">
        <v>5.2699999999999997E-2</v>
      </c>
      <c r="CH486" s="8">
        <v>2.7473360300064087E-2</v>
      </c>
      <c r="CI486" s="8">
        <v>-0.17536363005638123</v>
      </c>
      <c r="CJ486" s="9">
        <v>0.25710058212280273</v>
      </c>
      <c r="CK486" s="9">
        <v>0.91206669807434082</v>
      </c>
      <c r="CL486" s="9">
        <v>0.27436482906341553</v>
      </c>
      <c r="CM486" s="9">
        <v>5.3643412590026855</v>
      </c>
      <c r="CN486" s="9">
        <v>-1.1226624250411987</v>
      </c>
      <c r="CO486">
        <v>2.0336539745330811</v>
      </c>
      <c r="CP486">
        <v>2.8235294818878174</v>
      </c>
      <c r="CQ486">
        <v>1.125</v>
      </c>
      <c r="CR486" s="8">
        <v>19.495303125061117</v>
      </c>
      <c r="CS486" s="9">
        <v>0.75200005227039524</v>
      </c>
      <c r="CT486">
        <v>0</v>
      </c>
      <c r="CU486">
        <v>0.25924603417515757</v>
      </c>
      <c r="CV486">
        <v>2.0875044852495193</v>
      </c>
      <c r="CW486">
        <v>0.06</v>
      </c>
      <c r="CX486">
        <v>3.8254475069971776</v>
      </c>
      <c r="CY486">
        <v>2006477878.9828687</v>
      </c>
      <c r="CZ486">
        <v>0.25924603417515757</v>
      </c>
      <c r="DA486">
        <v>1.0863192244297519</v>
      </c>
      <c r="DB486">
        <v>7065764489.2819033</v>
      </c>
      <c r="DC486">
        <v>0.24628373246639967</v>
      </c>
      <c r="DD486">
        <v>0.43843475511090135</v>
      </c>
      <c r="DE486">
        <v>17506996675.157402</v>
      </c>
      <c r="DF486">
        <v>0.22813651007413865</v>
      </c>
      <c r="DG486">
        <v>0.20727556389290666</v>
      </c>
      <c r="DH486">
        <v>37031262421.101418</v>
      </c>
      <c r="DI486">
        <v>0.20739682734012607</v>
      </c>
      <c r="DJ486">
        <v>6.0235051487404156E-2</v>
      </c>
      <c r="DK486">
        <v>127428724811.58371</v>
      </c>
      <c r="DL486">
        <v>0.18147222392261028</v>
      </c>
      <c r="DM486">
        <v>1689000000</v>
      </c>
      <c r="DN486">
        <v>0.25924603417515757</v>
      </c>
      <c r="DO486">
        <v>7675675800</v>
      </c>
      <c r="DP486" t="e">
        <v>#VALUE!</v>
      </c>
      <c r="DQ486">
        <v>486</v>
      </c>
      <c r="DR486" t="e">
        <v>#VALUE!</v>
      </c>
      <c r="DS486">
        <v>-2.0348044852495191</v>
      </c>
      <c r="DT486" t="e">
        <v>#VALUE!</v>
      </c>
      <c r="DU486" t="e">
        <v>#VALUE!</v>
      </c>
      <c r="DV486" t="e">
        <v>#VALUE!</v>
      </c>
      <c r="DW486">
        <v>2.0758000000000001</v>
      </c>
      <c r="DX486">
        <v>0.15804213840676354</v>
      </c>
      <c r="DY486">
        <v>2.0051575940912327</v>
      </c>
      <c r="DZ486">
        <v>0</v>
      </c>
      <c r="EA486">
        <v>2.0051575940912327</v>
      </c>
      <c r="EB486">
        <v>2</v>
      </c>
      <c r="EC486">
        <v>1.4337499749093754E-2</v>
      </c>
      <c r="ED486">
        <v>0.21071499631248755</v>
      </c>
      <c r="EE486">
        <v>0</v>
      </c>
      <c r="EF486">
        <v>0</v>
      </c>
      <c r="EG486">
        <v>9.0680421384067635</v>
      </c>
      <c r="EH486" t="s">
        <v>110</v>
      </c>
      <c r="EI486">
        <v>1</v>
      </c>
      <c r="EJ486">
        <v>0</v>
      </c>
      <c r="EK486">
        <v>0</v>
      </c>
      <c r="EL486">
        <v>0</v>
      </c>
      <c r="EM486">
        <v>0</v>
      </c>
      <c r="EN486">
        <v>0</v>
      </c>
      <c r="EO486">
        <v>0</v>
      </c>
      <c r="EP486">
        <v>0</v>
      </c>
    </row>
    <row r="487" spans="1:146" ht="96" x14ac:dyDescent="0.25">
      <c r="A487" s="7"/>
      <c r="B487" s="7"/>
      <c r="C487" s="7" t="str">
        <f>""&amp;CHAR(10)&amp;Basic_Fundamental_Information_Constructure(F487)&amp;CHAR(10)&amp;Basic_Fundamental_Information_Concatenate("")</f>
        <v xml:space="preserve">
市值83.5392亿, 利润6.18亿; PE15.94; 平均PE47.42; 平均PEG19.5, PB1.09; ROIC10.03%; ROE11.2233%; 股利率0%; 毛利18.2233%; 净利9.8133%; 上一年度营收增-9.3%, 利润增11.35%; 当季营收增-10.75%, 利润增-46.15%; 过往5年营收增2.43%, 利润增9.46%
Income profile:
</v>
      </c>
      <c r="D487" s="11">
        <v>6680</v>
      </c>
      <c r="E487" t="s">
        <v>5965</v>
      </c>
      <c r="F487">
        <v>6.21</v>
      </c>
      <c r="G487" s="5">
        <v>-1.9E-2</v>
      </c>
      <c r="H487" t="s">
        <v>12427</v>
      </c>
      <c r="I487">
        <v>8353920000</v>
      </c>
      <c r="J487">
        <v>15.94</v>
      </c>
      <c r="K487">
        <v>1.0900000000000001</v>
      </c>
      <c r="L487" t="s">
        <v>6350</v>
      </c>
      <c r="M487" t="s">
        <v>6556</v>
      </c>
      <c r="N487" t="s">
        <v>12428</v>
      </c>
      <c r="O487" t="s">
        <v>198</v>
      </c>
      <c r="P487">
        <v>-6.93</v>
      </c>
      <c r="Q487" t="s">
        <v>12429</v>
      </c>
      <c r="R487">
        <v>617920270</v>
      </c>
      <c r="S487" s="5">
        <v>-0.46150000000000002</v>
      </c>
      <c r="T487" t="s">
        <v>1313</v>
      </c>
      <c r="U487">
        <v>200745600</v>
      </c>
      <c r="V487">
        <v>1344771200</v>
      </c>
      <c r="W487">
        <v>1.63</v>
      </c>
      <c r="X487">
        <v>0.13</v>
      </c>
      <c r="Y487">
        <v>7.48</v>
      </c>
      <c r="Z487" t="s">
        <v>145</v>
      </c>
      <c r="AA487" t="s">
        <v>11384</v>
      </c>
      <c r="AB487" t="s">
        <v>12430</v>
      </c>
      <c r="AC487" t="s">
        <v>115</v>
      </c>
      <c r="AD487" t="s">
        <v>114</v>
      </c>
      <c r="AE487" t="s">
        <v>12431</v>
      </c>
      <c r="AF487" t="s">
        <v>9</v>
      </c>
      <c r="AG487" t="s">
        <v>12432</v>
      </c>
      <c r="AH487" t="s">
        <v>12433</v>
      </c>
      <c r="AI487" t="s">
        <v>4957</v>
      </c>
      <c r="AJ487" t="s">
        <v>12434</v>
      </c>
      <c r="AK487" t="s">
        <v>12435</v>
      </c>
      <c r="AL487" t="s">
        <v>9</v>
      </c>
      <c r="AM487" t="s">
        <v>4298</v>
      </c>
      <c r="AN487" s="5">
        <v>0.38400000000000001</v>
      </c>
      <c r="AO487" t="s">
        <v>37</v>
      </c>
      <c r="AP487" t="s">
        <v>12436</v>
      </c>
      <c r="AQ487" t="s">
        <v>12437</v>
      </c>
      <c r="AR487" t="s">
        <v>2875</v>
      </c>
      <c r="AS487" t="s">
        <v>12438</v>
      </c>
      <c r="AT487" t="s">
        <v>7009</v>
      </c>
      <c r="AU487" t="s">
        <v>5096</v>
      </c>
      <c r="AV487" t="s">
        <v>12439</v>
      </c>
      <c r="AW487" t="s">
        <v>6214</v>
      </c>
      <c r="AX487" t="s">
        <v>5966</v>
      </c>
      <c r="AY487" t="s">
        <v>5967</v>
      </c>
      <c r="AZ487" t="s">
        <v>5968</v>
      </c>
      <c r="BA487" t="s">
        <v>222</v>
      </c>
      <c r="BB487" t="s">
        <v>9</v>
      </c>
      <c r="BC487" t="s">
        <v>252</v>
      </c>
      <c r="BD487" t="s">
        <v>2112</v>
      </c>
      <c r="BE487" t="s">
        <v>9</v>
      </c>
      <c r="BF487" t="s">
        <v>9</v>
      </c>
      <c r="BG487" t="s">
        <v>9</v>
      </c>
      <c r="BH487" t="s">
        <v>5966</v>
      </c>
      <c r="BI487" t="s">
        <v>2794</v>
      </c>
      <c r="BJ487" t="s">
        <v>5967</v>
      </c>
      <c r="BK487" t="s">
        <v>407</v>
      </c>
      <c r="BL487" t="s">
        <v>2064</v>
      </c>
      <c r="BM487" t="s">
        <v>252</v>
      </c>
      <c r="BN487">
        <v>6.96</v>
      </c>
      <c r="BO487">
        <v>10.84</v>
      </c>
      <c r="BP487">
        <v>12.29</v>
      </c>
      <c r="BQ487">
        <v>8.0299999999999994</v>
      </c>
      <c r="BR487">
        <v>10.36</v>
      </c>
      <c r="BS487">
        <v>15.28</v>
      </c>
      <c r="BT487" t="s">
        <v>406</v>
      </c>
      <c r="BU487" t="s">
        <v>1254</v>
      </c>
      <c r="BV487">
        <v>16.07</v>
      </c>
      <c r="BW487">
        <v>16.18</v>
      </c>
      <c r="BX487">
        <v>22.42</v>
      </c>
      <c r="BY487">
        <v>8.48</v>
      </c>
      <c r="BZ487">
        <v>9.83</v>
      </c>
      <c r="CA487">
        <v>11.13</v>
      </c>
      <c r="CB487">
        <v>-4.46</v>
      </c>
      <c r="CC487">
        <v>-10.83</v>
      </c>
      <c r="CD487" t="s">
        <v>12440</v>
      </c>
      <c r="CE487" t="s">
        <v>12441</v>
      </c>
      <c r="CF487" s="8">
        <v>-0.10750945434900065</v>
      </c>
      <c r="CG487" s="9">
        <v>-0.46150000000000002</v>
      </c>
      <c r="CH487" s="8">
        <v>-9.3034766614437103E-2</v>
      </c>
      <c r="CI487" s="8">
        <v>0.61789435148239136</v>
      </c>
      <c r="CJ487" s="8">
        <v>0.73412007093429565</v>
      </c>
      <c r="CK487" s="8">
        <v>0.97328764200210571</v>
      </c>
      <c r="CL487" s="8" t="s">
        <v>9</v>
      </c>
      <c r="CM487" s="9">
        <v>0.1135135143995285</v>
      </c>
      <c r="CN487" s="9">
        <v>0.90721648931503296</v>
      </c>
      <c r="CO487" s="9" t="s">
        <v>9</v>
      </c>
      <c r="CP487" s="9" t="s">
        <v>9</v>
      </c>
      <c r="CQ487" s="9" t="s">
        <v>9</v>
      </c>
      <c r="CR487">
        <v>47.419889240897028</v>
      </c>
      <c r="CS487">
        <v>19.501079663214238</v>
      </c>
      <c r="CT487">
        <v>0</v>
      </c>
      <c r="CU487" s="8">
        <v>2.4316545575857162E-2</v>
      </c>
      <c r="CV487" s="9">
        <v>9.4608189165592188E-2</v>
      </c>
      <c r="CW487">
        <v>0.06</v>
      </c>
      <c r="CX487">
        <v>9.1258500740567321</v>
      </c>
      <c r="CY487">
        <v>597195872.79799974</v>
      </c>
      <c r="CZ487">
        <v>2.4316545575857162E-2</v>
      </c>
      <c r="DA487">
        <v>3.1540867701740751</v>
      </c>
      <c r="DB487">
        <v>1727891588.632236</v>
      </c>
      <c r="DC487">
        <v>2.3100718297064303E-2</v>
      </c>
      <c r="DD487">
        <v>1.6701919855991698</v>
      </c>
      <c r="DE487">
        <v>3263050024.7819595</v>
      </c>
      <c r="DF487">
        <v>2.1398560106754304E-2</v>
      </c>
      <c r="DG487">
        <v>1.0860305195156563</v>
      </c>
      <c r="DH487">
        <v>5018201516.501152</v>
      </c>
      <c r="DI487">
        <v>1.9453236460685731E-2</v>
      </c>
      <c r="DJ487">
        <v>0.66193769802632474</v>
      </c>
      <c r="DK487">
        <v>8233282401.4251289</v>
      </c>
      <c r="DL487">
        <v>1.7021581903100012E-2</v>
      </c>
      <c r="DM487">
        <v>618000000</v>
      </c>
      <c r="DN487">
        <v>2.4316545575857162E-2</v>
      </c>
      <c r="DO487">
        <v>5449920000.000001</v>
      </c>
      <c r="DP487" t="e">
        <v>#VALUE!</v>
      </c>
      <c r="DQ487">
        <v>487</v>
      </c>
      <c r="DR487">
        <v>-0.13182599992485783</v>
      </c>
      <c r="DS487">
        <v>-0.55610818916559224</v>
      </c>
      <c r="DT487">
        <v>-0.54</v>
      </c>
      <c r="DU487">
        <v>0.8833333333333333</v>
      </c>
      <c r="DV487">
        <v>0.34333333333333327</v>
      </c>
      <c r="DW487">
        <v>-8.411819021237303</v>
      </c>
      <c r="DX487">
        <v>0.19035317095490945</v>
      </c>
      <c r="DY487">
        <v>-8.0330909642159636</v>
      </c>
      <c r="DZ487">
        <v>0</v>
      </c>
      <c r="EA487">
        <v>-8.0330909642159636</v>
      </c>
      <c r="EB487">
        <v>8</v>
      </c>
      <c r="EC487">
        <v>1.4103514411968371E-3</v>
      </c>
      <c r="ED487">
        <v>1.7551907714858855E-2</v>
      </c>
      <c r="EE487">
        <v>0</v>
      </c>
      <c r="EF487">
        <v>0</v>
      </c>
      <c r="EG487">
        <v>11.080353170954909</v>
      </c>
      <c r="EH487" t="s">
        <v>110</v>
      </c>
      <c r="EI487">
        <v>0</v>
      </c>
      <c r="EJ487">
        <v>0</v>
      </c>
      <c r="EK487">
        <v>0</v>
      </c>
      <c r="EL487">
        <v>0</v>
      </c>
      <c r="EM487">
        <v>0</v>
      </c>
      <c r="EN487">
        <v>0</v>
      </c>
      <c r="EO487">
        <v>0</v>
      </c>
      <c r="EP487">
        <v>0</v>
      </c>
    </row>
    <row r="488" spans="1:146" ht="96" x14ac:dyDescent="0.25">
      <c r="A488"/>
      <c r="B488"/>
      <c r="C488" s="7" t="str">
        <f>""&amp;CHAR(10)&amp;Basic_Fundamental_Information_Constructure(F488)&amp;CHAR(10)&amp;Basic_Fundamental_Information_Concatenate("")</f>
        <v xml:space="preserve">
市值245.74048亿, 利润--; PE; 平均PE513.26; 平均PEG124.4, PB4.19; ROIC0%; ROE0%; 股利率0%; 毛利0%; 净利0%, 利润增46.32%; 过往5年营收增4.13%, 利润增-4.01%
Income profile:
</v>
      </c>
      <c r="D488" s="11">
        <v>6682</v>
      </c>
      <c r="E488" t="s">
        <v>12442</v>
      </c>
      <c r="F488">
        <v>52.75</v>
      </c>
      <c r="G488">
        <v>-4.7000000000000002E-3</v>
      </c>
      <c r="H488" t="s">
        <v>12443</v>
      </c>
      <c r="I488">
        <v>24574048000</v>
      </c>
      <c r="K488">
        <v>4.1900000000000004</v>
      </c>
      <c r="L488" t="s">
        <v>6350</v>
      </c>
      <c r="M488" t="s">
        <v>9</v>
      </c>
      <c r="N488" t="s">
        <v>9</v>
      </c>
      <c r="O488" t="s">
        <v>9</v>
      </c>
      <c r="P488" s="5" t="s">
        <v>9</v>
      </c>
      <c r="Q488" t="s">
        <v>9</v>
      </c>
      <c r="R488">
        <v>-996135580</v>
      </c>
      <c r="S488">
        <v>0.4632</v>
      </c>
      <c r="T488" t="s">
        <v>9</v>
      </c>
      <c r="U488">
        <v>135440450</v>
      </c>
      <c r="V488">
        <v>465858730</v>
      </c>
      <c r="W488" t="s">
        <v>9</v>
      </c>
      <c r="X488" t="s">
        <v>9</v>
      </c>
      <c r="Y488" t="s">
        <v>9</v>
      </c>
      <c r="Z488" t="s">
        <v>9</v>
      </c>
      <c r="AA488" t="s">
        <v>9</v>
      </c>
      <c r="AB488" t="s">
        <v>9</v>
      </c>
      <c r="AC488" t="s">
        <v>9</v>
      </c>
      <c r="AD488" t="s">
        <v>9</v>
      </c>
      <c r="AE488" t="s">
        <v>9</v>
      </c>
      <c r="AF488" t="s">
        <v>9</v>
      </c>
      <c r="AG488" t="s">
        <v>9</v>
      </c>
      <c r="AH488" t="s">
        <v>12444</v>
      </c>
      <c r="AI488" t="s">
        <v>9</v>
      </c>
      <c r="AJ488" t="s">
        <v>9</v>
      </c>
      <c r="AK488" s="5" t="s">
        <v>12445</v>
      </c>
      <c r="AL488" t="s">
        <v>9</v>
      </c>
      <c r="AM488" t="s">
        <v>9</v>
      </c>
      <c r="AN488">
        <v>0.23710000000000001</v>
      </c>
      <c r="AO488" t="s">
        <v>9</v>
      </c>
      <c r="AP488" t="s">
        <v>9</v>
      </c>
      <c r="AQ488" t="s">
        <v>9</v>
      </c>
      <c r="AR488" t="s">
        <v>9</v>
      </c>
      <c r="AS488" t="s">
        <v>9</v>
      </c>
      <c r="AT488" t="s">
        <v>9</v>
      </c>
      <c r="AU488" t="s">
        <v>9</v>
      </c>
      <c r="AV488" t="s">
        <v>9</v>
      </c>
      <c r="AW488" t="s">
        <v>9</v>
      </c>
      <c r="AX488" t="s">
        <v>9</v>
      </c>
      <c r="AY488" t="s">
        <v>9</v>
      </c>
      <c r="AZ488" t="s">
        <v>9</v>
      </c>
      <c r="BA488" t="s">
        <v>9</v>
      </c>
      <c r="BB488" t="s">
        <v>9</v>
      </c>
      <c r="BC488" t="s">
        <v>9</v>
      </c>
      <c r="BD488" t="s">
        <v>9</v>
      </c>
      <c r="BE488" t="s">
        <v>9</v>
      </c>
      <c r="BF488" t="s">
        <v>9</v>
      </c>
      <c r="BG488" t="s">
        <v>9</v>
      </c>
      <c r="BH488" t="s">
        <v>9</v>
      </c>
      <c r="BI488" t="s">
        <v>9</v>
      </c>
      <c r="BJ488" t="s">
        <v>9</v>
      </c>
      <c r="BK488" t="s">
        <v>9</v>
      </c>
      <c r="BL488" t="s">
        <v>9</v>
      </c>
      <c r="BM488" t="s">
        <v>9</v>
      </c>
      <c r="BN488" t="s">
        <v>9</v>
      </c>
      <c r="BO488" t="s">
        <v>9</v>
      </c>
      <c r="BP488" t="s">
        <v>9</v>
      </c>
      <c r="BQ488" t="s">
        <v>9</v>
      </c>
      <c r="BR488" t="s">
        <v>9</v>
      </c>
      <c r="BS488" t="s">
        <v>9</v>
      </c>
      <c r="BT488" t="s">
        <v>9</v>
      </c>
      <c r="BU488" t="s">
        <v>9</v>
      </c>
      <c r="BV488" t="s">
        <v>9</v>
      </c>
      <c r="BW488" t="s">
        <v>9</v>
      </c>
      <c r="BX488" t="s">
        <v>9</v>
      </c>
      <c r="BY488" t="s">
        <v>9</v>
      </c>
      <c r="BZ488" t="s">
        <v>9</v>
      </c>
      <c r="CA488" t="s">
        <v>9</v>
      </c>
      <c r="CB488">
        <v>2.83</v>
      </c>
      <c r="CC488" s="8">
        <v>4.04</v>
      </c>
      <c r="CD488" s="10" t="s">
        <v>12446</v>
      </c>
      <c r="CE488" s="8" t="s">
        <v>12447</v>
      </c>
      <c r="CF488" s="8" t="s">
        <v>9</v>
      </c>
      <c r="CG488" s="8">
        <v>0.4632</v>
      </c>
      <c r="CH488" s="8" t="s">
        <v>9</v>
      </c>
      <c r="CI488" s="8" t="s">
        <v>9</v>
      </c>
      <c r="CJ488" s="9" t="s">
        <v>9</v>
      </c>
      <c r="CK488" s="9" t="s">
        <v>9</v>
      </c>
      <c r="CL488" s="9" t="s">
        <v>9</v>
      </c>
      <c r="CM488" s="9" t="s">
        <v>9</v>
      </c>
      <c r="CN488" s="9" t="s">
        <v>9</v>
      </c>
      <c r="CO488" t="s">
        <v>9</v>
      </c>
      <c r="CP488" t="s">
        <v>9</v>
      </c>
      <c r="CQ488" t="s">
        <v>9</v>
      </c>
      <c r="CR488" s="8">
        <v>513.26302140770895</v>
      </c>
      <c r="CS488" s="9">
        <v>124.39726597183409</v>
      </c>
      <c r="CT488">
        <v>0</v>
      </c>
      <c r="CU488">
        <v>4.1259992122650149E-2</v>
      </c>
      <c r="CV488">
        <v>-4.0122574567794798E-2</v>
      </c>
      <c r="CW488">
        <v>0.06</v>
      </c>
      <c r="CX488" t="e">
        <v>#DIV/0!</v>
      </c>
      <c r="CY488">
        <v>0</v>
      </c>
      <c r="CZ488">
        <v>4.1259992122650149E-2</v>
      </c>
      <c r="DA488" t="e">
        <v>#DIV/0!</v>
      </c>
      <c r="DB488">
        <v>0</v>
      </c>
      <c r="DC488">
        <v>3.9196992516517641E-2</v>
      </c>
      <c r="DD488" t="e">
        <v>#DIV/0!</v>
      </c>
      <c r="DE488">
        <v>0</v>
      </c>
      <c r="DF488">
        <v>3.6308793067932131E-2</v>
      </c>
      <c r="DG488" t="e">
        <v>#DIV/0!</v>
      </c>
      <c r="DH488">
        <v>0</v>
      </c>
      <c r="DI488">
        <v>3.3007993698120124E-2</v>
      </c>
      <c r="DJ488" t="e">
        <v>#DIV/0!</v>
      </c>
      <c r="DK488">
        <v>0</v>
      </c>
      <c r="DL488">
        <v>2.8881994485855104E-2</v>
      </c>
      <c r="DM488">
        <v>0</v>
      </c>
      <c r="DN488">
        <v>4.1259992122650149E-2</v>
      </c>
      <c r="DO488">
        <v>24574048000</v>
      </c>
      <c r="DP488" t="e">
        <v>#VALUE!</v>
      </c>
      <c r="DQ488">
        <v>488</v>
      </c>
      <c r="DR488" t="e">
        <v>#VALUE!</v>
      </c>
      <c r="DS488">
        <v>0.50332257456779483</v>
      </c>
      <c r="DT488" t="e">
        <v>#VALUE!</v>
      </c>
      <c r="DU488" t="e">
        <v>#VALUE!</v>
      </c>
      <c r="DV488" t="e">
        <v>#VALUE!</v>
      </c>
      <c r="DW488">
        <v>8.7004950495049513</v>
      </c>
      <c r="DX488">
        <v>0.26611514469782005</v>
      </c>
      <c r="DY488">
        <v>8.0393083810630781</v>
      </c>
      <c r="DZ488">
        <v>0</v>
      </c>
      <c r="EA488">
        <v>8.0393083810630781</v>
      </c>
      <c r="EB488">
        <v>8</v>
      </c>
      <c r="EC488">
        <v>9.4234576220134374E-4</v>
      </c>
      <c r="ED488">
        <v>1.6793073728595793E-2</v>
      </c>
      <c r="EE488">
        <v>0</v>
      </c>
      <c r="EF488">
        <v>0</v>
      </c>
      <c r="EG488">
        <v>21.05611514469782</v>
      </c>
      <c r="EH488" t="s">
        <v>110</v>
      </c>
      <c r="EI488">
        <v>0</v>
      </c>
      <c r="EJ488">
        <v>0</v>
      </c>
      <c r="EK488">
        <v>0</v>
      </c>
      <c r="EL488">
        <v>0</v>
      </c>
      <c r="EM488">
        <v>0</v>
      </c>
      <c r="EN488">
        <v>0</v>
      </c>
      <c r="EO488">
        <v>0</v>
      </c>
      <c r="EP488">
        <v>0</v>
      </c>
    </row>
    <row r="489" spans="1:146" ht="96" x14ac:dyDescent="0.25">
      <c r="A489"/>
      <c r="B489"/>
      <c r="C489" s="7" t="str">
        <f>""&amp;CHAR(10)&amp;Basic_Fundamental_Information_Constructure(F489)&amp;CHAR(10)&amp;Basic_Fundamental_Information_Concatenate("")</f>
        <v xml:space="preserve">
市值99.500617亿, 利润--; PE263; 平均PE87.59; 平均PEG55.75, PB13.27; ROIC0%; ROE0%; 股利率0%; 毛利0%; 净利0%, 利润增-44.46%; 过往5年营收增1.57%, 利润增1.89%
Income profile:
</v>
      </c>
      <c r="D489" s="11">
        <v>6683</v>
      </c>
      <c r="E489" t="s">
        <v>12448</v>
      </c>
      <c r="F489">
        <v>11.94</v>
      </c>
      <c r="G489">
        <v>-1.6500000000000001E-2</v>
      </c>
      <c r="H489" t="s">
        <v>12449</v>
      </c>
      <c r="I489">
        <v>9950061700</v>
      </c>
      <c r="J489">
        <v>263</v>
      </c>
      <c r="K489">
        <v>13.27</v>
      </c>
      <c r="L489" t="s">
        <v>6350</v>
      </c>
      <c r="M489" t="s">
        <v>9</v>
      </c>
      <c r="N489" t="s">
        <v>9</v>
      </c>
      <c r="O489" t="s">
        <v>9</v>
      </c>
      <c r="P489" s="5" t="s">
        <v>9</v>
      </c>
      <c r="Q489" t="s">
        <v>9</v>
      </c>
      <c r="R489">
        <v>37835343</v>
      </c>
      <c r="S489">
        <v>-0.4446</v>
      </c>
      <c r="T489" t="s">
        <v>9</v>
      </c>
      <c r="U489">
        <v>833338500</v>
      </c>
      <c r="V489">
        <v>833338500</v>
      </c>
      <c r="W489" t="s">
        <v>9</v>
      </c>
      <c r="X489" t="s">
        <v>9</v>
      </c>
      <c r="Y489" t="s">
        <v>9</v>
      </c>
      <c r="Z489" t="s">
        <v>9</v>
      </c>
      <c r="AA489" t="s">
        <v>9</v>
      </c>
      <c r="AB489" t="s">
        <v>9</v>
      </c>
      <c r="AC489" t="s">
        <v>9</v>
      </c>
      <c r="AD489" t="s">
        <v>9</v>
      </c>
      <c r="AE489" t="s">
        <v>9</v>
      </c>
      <c r="AF489" t="s">
        <v>9</v>
      </c>
      <c r="AG489" t="s">
        <v>9</v>
      </c>
      <c r="AH489" t="s">
        <v>12450</v>
      </c>
      <c r="AI489" t="s">
        <v>9</v>
      </c>
      <c r="AJ489" t="s">
        <v>9</v>
      </c>
      <c r="AK489" s="5" t="s">
        <v>12451</v>
      </c>
      <c r="AL489" t="s">
        <v>9</v>
      </c>
      <c r="AM489" t="s">
        <v>9</v>
      </c>
      <c r="AN489">
        <v>0.23380000000000001</v>
      </c>
      <c r="AO489" t="s">
        <v>9</v>
      </c>
      <c r="AP489" t="s">
        <v>9</v>
      </c>
      <c r="AQ489" t="s">
        <v>9</v>
      </c>
      <c r="AR489" t="s">
        <v>9</v>
      </c>
      <c r="AS489" t="s">
        <v>9</v>
      </c>
      <c r="AT489" t="s">
        <v>9</v>
      </c>
      <c r="AU489" t="s">
        <v>9</v>
      </c>
      <c r="AV489" t="s">
        <v>9</v>
      </c>
      <c r="AW489" t="s">
        <v>9</v>
      </c>
      <c r="AX489" t="s">
        <v>9</v>
      </c>
      <c r="AY489" t="s">
        <v>9</v>
      </c>
      <c r="AZ489" t="s">
        <v>9</v>
      </c>
      <c r="BA489" t="s">
        <v>9</v>
      </c>
      <c r="BB489" t="s">
        <v>9</v>
      </c>
      <c r="BC489" t="s">
        <v>9</v>
      </c>
      <c r="BD489" t="s">
        <v>9</v>
      </c>
      <c r="BE489" t="s">
        <v>9</v>
      </c>
      <c r="BF489" t="s">
        <v>9</v>
      </c>
      <c r="BG489" t="s">
        <v>9</v>
      </c>
      <c r="BH489" t="s">
        <v>9</v>
      </c>
      <c r="BI489" t="s">
        <v>9</v>
      </c>
      <c r="BJ489" t="s">
        <v>9</v>
      </c>
      <c r="BK489" t="s">
        <v>9</v>
      </c>
      <c r="BL489" t="s">
        <v>9</v>
      </c>
      <c r="BM489" t="s">
        <v>9</v>
      </c>
      <c r="BN489" t="s">
        <v>9</v>
      </c>
      <c r="BO489" t="s">
        <v>9</v>
      </c>
      <c r="BP489" t="s">
        <v>9</v>
      </c>
      <c r="BQ489" t="s">
        <v>9</v>
      </c>
      <c r="BR489" t="s">
        <v>9</v>
      </c>
      <c r="BS489" t="s">
        <v>9</v>
      </c>
      <c r="BT489" t="s">
        <v>9</v>
      </c>
      <c r="BU489" t="s">
        <v>9</v>
      </c>
      <c r="BV489" t="s">
        <v>9</v>
      </c>
      <c r="BW489" t="s">
        <v>9</v>
      </c>
      <c r="BX489" t="s">
        <v>9</v>
      </c>
      <c r="BY489" t="s">
        <v>9</v>
      </c>
      <c r="BZ489" t="s">
        <v>9</v>
      </c>
      <c r="CA489" t="s">
        <v>9</v>
      </c>
      <c r="CB489">
        <v>-2.13</v>
      </c>
      <c r="CC489" s="8">
        <v>8.5500000000000007</v>
      </c>
      <c r="CD489" s="10" t="s">
        <v>12452</v>
      </c>
      <c r="CE489" s="8" t="s">
        <v>2159</v>
      </c>
      <c r="CF489" s="8" t="s">
        <v>9</v>
      </c>
      <c r="CG489" s="8">
        <v>-0.4446</v>
      </c>
      <c r="CH489" s="8" t="s">
        <v>9</v>
      </c>
      <c r="CI489" s="8" t="s">
        <v>9</v>
      </c>
      <c r="CJ489" s="9" t="s">
        <v>9</v>
      </c>
      <c r="CK489" s="9" t="s">
        <v>9</v>
      </c>
      <c r="CL489" s="9" t="s">
        <v>9</v>
      </c>
      <c r="CM489" s="9" t="s">
        <v>9</v>
      </c>
      <c r="CN489" s="9" t="s">
        <v>9</v>
      </c>
      <c r="CO489" t="s">
        <v>9</v>
      </c>
      <c r="CP489" t="s">
        <v>9</v>
      </c>
      <c r="CQ489" t="s">
        <v>9</v>
      </c>
      <c r="CR489" s="8">
        <v>87.588571302816902</v>
      </c>
      <c r="CS489" s="9">
        <v>55.75185349716066</v>
      </c>
      <c r="CT489">
        <v>0</v>
      </c>
      <c r="CU489">
        <v>1.5710432175546886E-2</v>
      </c>
      <c r="CV489">
        <v>1.892928723245859E-2</v>
      </c>
      <c r="CW489">
        <v>0.06</v>
      </c>
      <c r="CX489" t="e">
        <v>#DIV/0!</v>
      </c>
      <c r="CY489">
        <v>0</v>
      </c>
      <c r="CZ489">
        <v>1.5710432175546886E-2</v>
      </c>
      <c r="DA489" t="e">
        <v>#DIV/0!</v>
      </c>
      <c r="DB489">
        <v>0</v>
      </c>
      <c r="DC489">
        <v>1.4924910566769541E-2</v>
      </c>
      <c r="DD489" t="e">
        <v>#DIV/0!</v>
      </c>
      <c r="DE489">
        <v>0</v>
      </c>
      <c r="DF489">
        <v>1.382518031448126E-2</v>
      </c>
      <c r="DG489" t="e">
        <v>#DIV/0!</v>
      </c>
      <c r="DH489">
        <v>0</v>
      </c>
      <c r="DI489">
        <v>1.256834574043751E-2</v>
      </c>
      <c r="DJ489" t="e">
        <v>#DIV/0!</v>
      </c>
      <c r="DK489">
        <v>0</v>
      </c>
      <c r="DL489">
        <v>1.0997302522882819E-2</v>
      </c>
      <c r="DM489">
        <v>0</v>
      </c>
      <c r="DN489">
        <v>1.5710432175546886E-2</v>
      </c>
      <c r="DO489">
        <v>9950061700</v>
      </c>
      <c r="DP489" t="e">
        <v>#VALUE!</v>
      </c>
      <c r="DQ489">
        <v>489</v>
      </c>
      <c r="DR489" t="e">
        <v>#VALUE!</v>
      </c>
      <c r="DS489">
        <v>-0.46352928723245856</v>
      </c>
      <c r="DT489" t="e">
        <v>#VALUE!</v>
      </c>
      <c r="DU489" t="e">
        <v>#VALUE!</v>
      </c>
      <c r="DV489" t="e">
        <v>#VALUE!</v>
      </c>
      <c r="DW489">
        <v>2.0855000000000001</v>
      </c>
      <c r="DX489">
        <v>0.72960165289255852</v>
      </c>
      <c r="DY489">
        <v>2.0119359413223141</v>
      </c>
      <c r="DZ489">
        <v>0</v>
      </c>
      <c r="EA489">
        <v>2.0119359413223141</v>
      </c>
      <c r="EB489">
        <v>2</v>
      </c>
      <c r="EC489">
        <v>2.0270034325787181E-2</v>
      </c>
      <c r="ED489">
        <v>0.14519909976558146</v>
      </c>
      <c r="EE489">
        <v>0</v>
      </c>
      <c r="EF489">
        <v>0</v>
      </c>
      <c r="EG489">
        <v>59.139601652892559</v>
      </c>
      <c r="EH489" t="s">
        <v>110</v>
      </c>
      <c r="EI489">
        <v>1</v>
      </c>
      <c r="EJ489">
        <v>0</v>
      </c>
      <c r="EK489">
        <v>0</v>
      </c>
      <c r="EL489">
        <v>0</v>
      </c>
      <c r="EM489">
        <v>0</v>
      </c>
      <c r="EN489">
        <v>0</v>
      </c>
      <c r="EO489">
        <v>0</v>
      </c>
      <c r="EP489">
        <v>0</v>
      </c>
    </row>
    <row r="490" spans="1:146" ht="84" x14ac:dyDescent="0.25">
      <c r="A490" s="7"/>
      <c r="B490" s="7"/>
      <c r="C490" s="7" t="str">
        <f>""&amp;CHAR(10)&amp;Basic_Fundamental_Information_Constructure(F490)&amp;CHAR(10)&amp;Basic_Fundamental_Information_Concatenate("")</f>
        <v xml:space="preserve">
市值27.945555亿, 利润--; PE1.86; 平均PE34.64; 平均PEG5.11, PB.346; ROIC20.84%; ROE14.655%; 股利率0%; 毛利17.08%; 净利9.65%, 利润增-13.7%; 过往5年营收增6.78%, 利润增23.61%
Income profile:
</v>
      </c>
      <c r="D490" s="11">
        <v>6689</v>
      </c>
      <c r="E490" t="s">
        <v>5969</v>
      </c>
      <c r="F490">
        <v>1.74</v>
      </c>
      <c r="G490" s="5">
        <v>0</v>
      </c>
      <c r="H490" t="s">
        <v>9</v>
      </c>
      <c r="I490">
        <v>2794555500</v>
      </c>
      <c r="J490">
        <v>1.86</v>
      </c>
      <c r="K490">
        <v>0.34599999999999997</v>
      </c>
      <c r="L490" t="s">
        <v>6350</v>
      </c>
      <c r="M490" t="s">
        <v>9</v>
      </c>
      <c r="N490" t="s">
        <v>9</v>
      </c>
      <c r="O490" t="s">
        <v>9</v>
      </c>
      <c r="P490" t="s">
        <v>9</v>
      </c>
      <c r="Q490" t="s">
        <v>9</v>
      </c>
      <c r="R490">
        <v>866676650</v>
      </c>
      <c r="S490" s="5">
        <v>-0.13700000000000001</v>
      </c>
      <c r="T490" t="s">
        <v>9</v>
      </c>
      <c r="U490">
        <v>1136394190</v>
      </c>
      <c r="V490">
        <v>1606066400</v>
      </c>
      <c r="W490" t="s">
        <v>9</v>
      </c>
      <c r="X490" t="s">
        <v>9</v>
      </c>
      <c r="Y490" t="s">
        <v>9</v>
      </c>
      <c r="Z490" t="s">
        <v>9</v>
      </c>
      <c r="AA490" t="s">
        <v>9</v>
      </c>
      <c r="AB490" t="s">
        <v>9</v>
      </c>
      <c r="AC490" t="s">
        <v>9</v>
      </c>
      <c r="AD490" t="s">
        <v>9</v>
      </c>
      <c r="AE490" t="s">
        <v>9</v>
      </c>
      <c r="AF490" t="s">
        <v>9</v>
      </c>
      <c r="AG490" t="s">
        <v>9</v>
      </c>
      <c r="AH490" t="s">
        <v>12453</v>
      </c>
      <c r="AI490" t="s">
        <v>9</v>
      </c>
      <c r="AJ490" t="s">
        <v>9</v>
      </c>
      <c r="AK490" t="s">
        <v>12454</v>
      </c>
      <c r="AL490" t="s">
        <v>9</v>
      </c>
      <c r="AM490" t="s">
        <v>9</v>
      </c>
      <c r="AN490" s="5">
        <v>0.33650000000000002</v>
      </c>
      <c r="AO490" t="s">
        <v>9</v>
      </c>
      <c r="AP490" t="s">
        <v>9</v>
      </c>
      <c r="AQ490" t="s">
        <v>9</v>
      </c>
      <c r="AR490" t="s">
        <v>9</v>
      </c>
      <c r="AS490" t="s">
        <v>9</v>
      </c>
      <c r="AT490" t="s">
        <v>9</v>
      </c>
      <c r="AU490" t="s">
        <v>9</v>
      </c>
      <c r="AV490" t="s">
        <v>9</v>
      </c>
      <c r="AW490" t="s">
        <v>9</v>
      </c>
      <c r="AX490" t="s">
        <v>5970</v>
      </c>
      <c r="AY490" t="s">
        <v>5971</v>
      </c>
      <c r="AZ490" t="s">
        <v>5972</v>
      </c>
      <c r="BA490" t="s">
        <v>5463</v>
      </c>
      <c r="BB490" t="s">
        <v>9</v>
      </c>
      <c r="BC490" t="s">
        <v>6445</v>
      </c>
      <c r="BD490" t="s">
        <v>12455</v>
      </c>
      <c r="BE490" t="s">
        <v>9</v>
      </c>
      <c r="BF490" t="s">
        <v>9</v>
      </c>
      <c r="BG490" t="s">
        <v>9</v>
      </c>
      <c r="BH490" t="s">
        <v>5970</v>
      </c>
      <c r="BI490" t="s">
        <v>9</v>
      </c>
      <c r="BJ490" t="s">
        <v>5971</v>
      </c>
      <c r="BK490" t="s">
        <v>1522</v>
      </c>
      <c r="BL490" t="s">
        <v>9</v>
      </c>
      <c r="BM490" t="s">
        <v>6445</v>
      </c>
      <c r="BN490" t="s">
        <v>9</v>
      </c>
      <c r="BO490">
        <v>20.84</v>
      </c>
      <c r="BP490" t="s">
        <v>9</v>
      </c>
      <c r="BQ490" t="s">
        <v>9</v>
      </c>
      <c r="BR490">
        <v>22.79</v>
      </c>
      <c r="BS490">
        <v>6.52</v>
      </c>
      <c r="BT490" t="s">
        <v>9</v>
      </c>
      <c r="BU490" t="s">
        <v>1108</v>
      </c>
      <c r="BV490" t="s">
        <v>9</v>
      </c>
      <c r="BW490">
        <v>17.079999999999998</v>
      </c>
      <c r="BX490" t="s">
        <v>9</v>
      </c>
      <c r="BY490" t="s">
        <v>9</v>
      </c>
      <c r="BZ490">
        <v>9.65</v>
      </c>
      <c r="CA490" t="s">
        <v>9</v>
      </c>
      <c r="CB490" t="s">
        <v>9</v>
      </c>
      <c r="CC490" t="s">
        <v>9</v>
      </c>
      <c r="CD490">
        <v>0</v>
      </c>
      <c r="CE490">
        <v>0</v>
      </c>
      <c r="CF490" s="8" t="s">
        <v>9</v>
      </c>
      <c r="CG490" s="9">
        <v>-0.13700000000000001</v>
      </c>
      <c r="CH490" s="8" t="s">
        <v>9</v>
      </c>
      <c r="CI490" s="8">
        <v>0.3514457643032074</v>
      </c>
      <c r="CJ490" s="8">
        <v>0.82991713285446167</v>
      </c>
      <c r="CK490" s="8">
        <v>3.9276502132415771</v>
      </c>
      <c r="CL490" s="8" t="s">
        <v>9</v>
      </c>
      <c r="CM490" s="9" t="s">
        <v>9</v>
      </c>
      <c r="CN490" s="9">
        <v>662.65008544921875</v>
      </c>
      <c r="CO490" s="9" t="s">
        <v>9</v>
      </c>
      <c r="CP490" s="9" t="s">
        <v>9</v>
      </c>
      <c r="CQ490" s="9" t="s">
        <v>9</v>
      </c>
      <c r="CR490">
        <v>34.643407470033956</v>
      </c>
      <c r="CS490">
        <v>5.1126304899900008</v>
      </c>
      <c r="CT490">
        <v>0</v>
      </c>
      <c r="CU490" s="8">
        <v>6.7760436702519661E-2</v>
      </c>
      <c r="CV490" s="9">
        <v>0.23614664971828461</v>
      </c>
      <c r="CW490">
        <v>0.06</v>
      </c>
      <c r="CX490" t="e">
        <v>#DIV/0!</v>
      </c>
      <c r="CY490">
        <v>0</v>
      </c>
      <c r="CZ490">
        <v>6.7760436702519661E-2</v>
      </c>
      <c r="DA490" t="e">
        <v>#DIV/0!</v>
      </c>
      <c r="DB490">
        <v>0</v>
      </c>
      <c r="DC490">
        <v>6.4372414867393674E-2</v>
      </c>
      <c r="DD490" t="e">
        <v>#DIV/0!</v>
      </c>
      <c r="DE490">
        <v>0</v>
      </c>
      <c r="DF490">
        <v>5.96291842982173E-2</v>
      </c>
      <c r="DG490" t="e">
        <v>#DIV/0!</v>
      </c>
      <c r="DH490">
        <v>0</v>
      </c>
      <c r="DI490">
        <v>5.4208349362015733E-2</v>
      </c>
      <c r="DJ490" t="e">
        <v>#DIV/0!</v>
      </c>
      <c r="DK490">
        <v>0</v>
      </c>
      <c r="DL490">
        <v>4.7432305691763758E-2</v>
      </c>
      <c r="DM490">
        <v>0</v>
      </c>
      <c r="DN490">
        <v>6.7760436702519661E-2</v>
      </c>
      <c r="DO490">
        <v>2794555500</v>
      </c>
      <c r="DP490" t="e">
        <v>#VALUE!</v>
      </c>
      <c r="DQ490">
        <v>490</v>
      </c>
      <c r="DR490" t="e">
        <v>#VALUE!</v>
      </c>
      <c r="DS490">
        <v>-0.3731466497182846</v>
      </c>
      <c r="DT490" t="e">
        <v>#VALUE!</v>
      </c>
      <c r="DU490" t="e">
        <v>#VALUE!</v>
      </c>
      <c r="DV490" t="e">
        <v>#VALUE!</v>
      </c>
      <c r="DW490" t="e">
        <v>#VALUE!</v>
      </c>
      <c r="DX490" t="e">
        <v>#VALUE!</v>
      </c>
      <c r="DY490" t="e">
        <v>#VALUE!</v>
      </c>
      <c r="DZ490">
        <v>0</v>
      </c>
      <c r="EA490" t="e">
        <v>#VALUE!</v>
      </c>
      <c r="EB490" t="e">
        <v>#VALUE!</v>
      </c>
      <c r="EC490">
        <v>0</v>
      </c>
      <c r="ED490">
        <v>0</v>
      </c>
      <c r="EE490">
        <v>0</v>
      </c>
      <c r="EF490">
        <v>0</v>
      </c>
      <c r="EG490" t="e">
        <v>#VALUE!</v>
      </c>
      <c r="EH490" t="s">
        <v>110</v>
      </c>
      <c r="EI490" t="e">
        <v>#VALUE!</v>
      </c>
      <c r="EJ490">
        <v>0</v>
      </c>
      <c r="EK490">
        <v>0</v>
      </c>
      <c r="EL490">
        <v>0</v>
      </c>
      <c r="EM490">
        <v>0</v>
      </c>
      <c r="EN490">
        <v>0</v>
      </c>
      <c r="EO490">
        <v>0</v>
      </c>
      <c r="EP490">
        <v>0</v>
      </c>
    </row>
    <row r="491" spans="1:146" ht="108" x14ac:dyDescent="0.25">
      <c r="A491" s="7"/>
      <c r="B491" s="7"/>
      <c r="C491" s="7" t="str">
        <f>""&amp;CHAR(10)&amp;Basic_Fundamental_Information_Constructure(F491)&amp;CHAR(10)&amp;Basic_Fundamental_Information_Concatenate("")</f>
        <v xml:space="preserve">
市值2472.7861亿, 利润181.94亿; PE13.15; 平均PE71.65; 平均PEG22.78, PB2.14; ROIC13.0867%; ROE16.05%; 股利率0%; 毛利30.6733%; 净利6.0867%; 上一年度营收增4.3%, 利润增13.61%; 当季营收增-.02%, 利润增13.4%; 过往5年营收增3.15%, 利润增32.11%
Income profile:
</v>
      </c>
      <c r="D491" s="11">
        <v>6690</v>
      </c>
      <c r="E491" t="s">
        <v>5973</v>
      </c>
      <c r="F491">
        <v>26.2</v>
      </c>
      <c r="G491" s="5">
        <v>-5.4199999999999998E-2</v>
      </c>
      <c r="H491" t="s">
        <v>12456</v>
      </c>
      <c r="I491">
        <v>247278610000</v>
      </c>
      <c r="J491">
        <v>13.15</v>
      </c>
      <c r="K491">
        <v>2.14</v>
      </c>
      <c r="L491" t="s">
        <v>6350</v>
      </c>
      <c r="M491" t="s">
        <v>12457</v>
      </c>
      <c r="N491" t="s">
        <v>12458</v>
      </c>
      <c r="O491" t="s">
        <v>12459</v>
      </c>
      <c r="P491">
        <v>6.01</v>
      </c>
      <c r="Q491" t="s">
        <v>12460</v>
      </c>
      <c r="R491">
        <v>18193631000</v>
      </c>
      <c r="S491" s="5">
        <v>0.13400000000000001</v>
      </c>
      <c r="T491" t="s">
        <v>12461</v>
      </c>
      <c r="U491">
        <v>2858548300</v>
      </c>
      <c r="V491">
        <v>9438114900</v>
      </c>
      <c r="W491">
        <v>2.4</v>
      </c>
      <c r="X491">
        <v>0.27</v>
      </c>
      <c r="Y491">
        <v>8.42</v>
      </c>
      <c r="Z491" t="s">
        <v>12462</v>
      </c>
      <c r="AA491" t="s">
        <v>12463</v>
      </c>
      <c r="AB491" t="s">
        <v>12464</v>
      </c>
      <c r="AC491" t="s">
        <v>12465</v>
      </c>
      <c r="AD491" t="s">
        <v>7399</v>
      </c>
      <c r="AE491" t="s">
        <v>253</v>
      </c>
      <c r="AF491" t="s">
        <v>9</v>
      </c>
      <c r="AG491" t="s">
        <v>2283</v>
      </c>
      <c r="AH491" t="s">
        <v>12466</v>
      </c>
      <c r="AI491" t="s">
        <v>12467</v>
      </c>
      <c r="AJ491" t="s">
        <v>12468</v>
      </c>
      <c r="AK491" t="s">
        <v>12469</v>
      </c>
      <c r="AL491" t="s">
        <v>9</v>
      </c>
      <c r="AM491" t="s">
        <v>12470</v>
      </c>
      <c r="AN491" s="5">
        <v>0.57340000000000002</v>
      </c>
      <c r="AO491" t="s">
        <v>12471</v>
      </c>
      <c r="AP491" t="s">
        <v>12472</v>
      </c>
      <c r="AQ491" t="s">
        <v>12473</v>
      </c>
      <c r="AR491" t="s">
        <v>12474</v>
      </c>
      <c r="AS491" t="s">
        <v>12475</v>
      </c>
      <c r="AT491" t="s">
        <v>2321</v>
      </c>
      <c r="AU491" t="s">
        <v>12476</v>
      </c>
      <c r="AV491" t="s">
        <v>12477</v>
      </c>
      <c r="AW491" t="s">
        <v>12478</v>
      </c>
      <c r="AX491" t="s">
        <v>12479</v>
      </c>
      <c r="AY491" t="s">
        <v>5975</v>
      </c>
      <c r="AZ491" t="s">
        <v>5976</v>
      </c>
      <c r="BA491" t="s">
        <v>5977</v>
      </c>
      <c r="BB491" t="s">
        <v>5978</v>
      </c>
      <c r="BC491" t="s">
        <v>12480</v>
      </c>
      <c r="BD491" t="s">
        <v>5979</v>
      </c>
      <c r="BE491" t="s">
        <v>5980</v>
      </c>
      <c r="BF491" t="s">
        <v>5981</v>
      </c>
      <c r="BG491" t="s">
        <v>5982</v>
      </c>
      <c r="BH491" t="s">
        <v>12479</v>
      </c>
      <c r="BI491" t="s">
        <v>5983</v>
      </c>
      <c r="BJ491" t="s">
        <v>5975</v>
      </c>
      <c r="BK491" t="s">
        <v>5974</v>
      </c>
      <c r="BL491" t="s">
        <v>923</v>
      </c>
      <c r="BM491" t="s">
        <v>12480</v>
      </c>
      <c r="BN491">
        <v>13.19</v>
      </c>
      <c r="BO491">
        <v>13.31</v>
      </c>
      <c r="BP491">
        <v>12.76</v>
      </c>
      <c r="BQ491">
        <v>16.03</v>
      </c>
      <c r="BR491">
        <v>15.75</v>
      </c>
      <c r="BS491">
        <v>16.37</v>
      </c>
      <c r="BT491" t="s">
        <v>12481</v>
      </c>
      <c r="BU491" t="s">
        <v>1987</v>
      </c>
      <c r="BV491">
        <v>30.87</v>
      </c>
      <c r="BW491">
        <v>30.62</v>
      </c>
      <c r="BX491">
        <v>30.53</v>
      </c>
      <c r="BY491">
        <v>6.4</v>
      </c>
      <c r="BZ491">
        <v>6.05</v>
      </c>
      <c r="CA491">
        <v>5.81</v>
      </c>
      <c r="CB491">
        <v>-6.93</v>
      </c>
      <c r="CC491">
        <v>-15.89</v>
      </c>
      <c r="CD491" t="s">
        <v>12482</v>
      </c>
      <c r="CE491" t="s">
        <v>3644</v>
      </c>
      <c r="CF491" s="8">
        <v>-1.8891347762724673E-4</v>
      </c>
      <c r="CG491" s="9">
        <v>0.13400000000000001</v>
      </c>
      <c r="CH491" s="8">
        <v>4.3028388172388077E-2</v>
      </c>
      <c r="CI491" s="8">
        <v>-1.1911029927432537E-2</v>
      </c>
      <c r="CJ491" s="8">
        <v>0.11249761283397675</v>
      </c>
      <c r="CK491" s="8">
        <v>0.16928020119667053</v>
      </c>
      <c r="CL491" s="8">
        <v>9.2726193368434906E-2</v>
      </c>
      <c r="CM491" s="9">
        <v>0.13605996966362</v>
      </c>
      <c r="CN491" s="9">
        <v>0.51256132125854492</v>
      </c>
      <c r="CO491" s="9">
        <v>0.15463472902774811</v>
      </c>
      <c r="CP491" s="9">
        <v>7.6164759695529938E-2</v>
      </c>
      <c r="CQ491" s="9">
        <v>2.354351244866848E-2</v>
      </c>
      <c r="CR491">
        <v>71.654190089829029</v>
      </c>
      <c r="CS491">
        <v>22.781381753246226</v>
      </c>
      <c r="CT491">
        <v>0</v>
      </c>
      <c r="CU491" s="8">
        <v>3.1452960520982745E-2</v>
      </c>
      <c r="CV491" s="9">
        <v>0.321147683262825</v>
      </c>
      <c r="CW491">
        <v>0.06</v>
      </c>
      <c r="CX491">
        <v>16.272445617726891</v>
      </c>
      <c r="CY491">
        <v>17704014305.395058</v>
      </c>
      <c r="CZ491">
        <v>3.1452960520982745E-2</v>
      </c>
      <c r="DA491">
        <v>5.5897588075348432</v>
      </c>
      <c r="DB491">
        <v>51538468817.592941</v>
      </c>
      <c r="DC491">
        <v>2.9880312494933607E-2</v>
      </c>
      <c r="DD491">
        <v>2.9370268460842612</v>
      </c>
      <c r="DE491">
        <v>98088177295.378723</v>
      </c>
      <c r="DF491">
        <v>2.7678605258464817E-2</v>
      </c>
      <c r="DG491">
        <v>1.8941758301047626</v>
      </c>
      <c r="DH491">
        <v>152091271264.96304</v>
      </c>
      <c r="DI491">
        <v>2.5162368416786197E-2</v>
      </c>
      <c r="DJ491">
        <v>1.1360453710085567</v>
      </c>
      <c r="DK491">
        <v>253588120115.52145</v>
      </c>
      <c r="DL491">
        <v>2.2017072364687921E-2</v>
      </c>
      <c r="DM491">
        <v>18194000000</v>
      </c>
      <c r="DN491">
        <v>3.1452960520982745E-2</v>
      </c>
      <c r="DO491">
        <v>288087610000</v>
      </c>
      <c r="DP491" t="e">
        <v>#VALUE!</v>
      </c>
      <c r="DQ491">
        <v>491</v>
      </c>
      <c r="DR491">
        <v>-3.1641873998609994E-2</v>
      </c>
      <c r="DS491">
        <v>-0.18714768326282499</v>
      </c>
      <c r="DT491">
        <v>-0.3066666666666667</v>
      </c>
      <c r="DU491">
        <v>0.91666666666666663</v>
      </c>
      <c r="DV491">
        <v>0.60999999999999988</v>
      </c>
      <c r="DW491">
        <v>-9.4361233480176203</v>
      </c>
      <c r="DX491">
        <v>0.61720775862069099</v>
      </c>
      <c r="DY491">
        <v>-9.0729232075041768</v>
      </c>
      <c r="DZ491">
        <v>0</v>
      </c>
      <c r="EA491">
        <v>-9.0729232075041768</v>
      </c>
      <c r="EB491">
        <v>9</v>
      </c>
      <c r="EC491">
        <v>6.1652459857211529E-3</v>
      </c>
      <c r="ED491">
        <v>3.6871769806489645E-2</v>
      </c>
      <c r="EE491">
        <v>0</v>
      </c>
      <c r="EF491">
        <v>0</v>
      </c>
      <c r="EG491">
        <v>45.167207758620691</v>
      </c>
      <c r="EH491" t="s">
        <v>110</v>
      </c>
      <c r="EI491">
        <v>0</v>
      </c>
      <c r="EJ491">
        <v>0</v>
      </c>
      <c r="EK491">
        <v>0</v>
      </c>
      <c r="EL491">
        <v>0</v>
      </c>
      <c r="EM491">
        <v>0</v>
      </c>
      <c r="EN491">
        <v>0</v>
      </c>
      <c r="EO491">
        <v>0</v>
      </c>
      <c r="EP491">
        <v>0</v>
      </c>
    </row>
    <row r="492" spans="1:146" ht="84" x14ac:dyDescent="0.25">
      <c r="A492" s="7"/>
      <c r="B492" s="7"/>
      <c r="C492" s="7" t="str">
        <f>""&amp;CHAR(10)&amp;Basic_Fundamental_Information_Constructure(F492)&amp;CHAR(10)&amp;Basic_Fundamental_Information_Concatenate("")</f>
        <v xml:space="preserve">
市值16.459626亿, 利润-17.59亿; PE; 平均PE13.72; 平均PEG1.01, PB.521; ROIC-20.835%; ROE-20.8033%; 股利率0%; 毛利9.135%; 净利-186.715%; 上一年度营收增-52.49%, 利润增-316.82%, 利润增-1894%; 过往5年营收增13.53%, 利润增31.92%
Income profile:
</v>
      </c>
      <c r="D492" s="11">
        <v>6698</v>
      </c>
      <c r="E492" t="s">
        <v>5984</v>
      </c>
      <c r="F492">
        <v>4.13</v>
      </c>
      <c r="G492" s="5">
        <v>-2.8199999999999999E-2</v>
      </c>
      <c r="H492" t="s">
        <v>12483</v>
      </c>
      <c r="I492">
        <v>1645962600</v>
      </c>
      <c r="K492">
        <v>0.52100000000000002</v>
      </c>
      <c r="L492" t="s">
        <v>6350</v>
      </c>
      <c r="M492" t="s">
        <v>9</v>
      </c>
      <c r="N492" t="s">
        <v>9</v>
      </c>
      <c r="O492" t="s">
        <v>9</v>
      </c>
      <c r="P492" t="s">
        <v>9</v>
      </c>
      <c r="Q492" t="s">
        <v>3169</v>
      </c>
      <c r="R492">
        <v>-15072750</v>
      </c>
      <c r="S492" s="5">
        <v>-18.940000000000001</v>
      </c>
      <c r="T492" t="s">
        <v>12484</v>
      </c>
      <c r="U492">
        <v>398538170</v>
      </c>
      <c r="V492">
        <v>398538170</v>
      </c>
      <c r="W492" t="s">
        <v>9</v>
      </c>
      <c r="X492" t="s">
        <v>9</v>
      </c>
      <c r="Y492" t="s">
        <v>9</v>
      </c>
      <c r="Z492" t="s">
        <v>9</v>
      </c>
      <c r="AA492" t="s">
        <v>9</v>
      </c>
      <c r="AB492" t="s">
        <v>9</v>
      </c>
      <c r="AC492" t="s">
        <v>9</v>
      </c>
      <c r="AD492" t="s">
        <v>12485</v>
      </c>
      <c r="AE492" t="s">
        <v>9</v>
      </c>
      <c r="AF492" t="s">
        <v>9</v>
      </c>
      <c r="AG492" t="s">
        <v>9</v>
      </c>
      <c r="AH492" t="s">
        <v>12486</v>
      </c>
      <c r="AI492" t="s">
        <v>9</v>
      </c>
      <c r="AJ492" t="s">
        <v>9</v>
      </c>
      <c r="AK492" t="s">
        <v>12487</v>
      </c>
      <c r="AL492" t="s">
        <v>9</v>
      </c>
      <c r="AM492" t="s">
        <v>9</v>
      </c>
      <c r="AN492" s="5">
        <v>0.1075</v>
      </c>
      <c r="AO492" t="s">
        <v>9</v>
      </c>
      <c r="AP492" t="s">
        <v>883</v>
      </c>
      <c r="AQ492" t="s">
        <v>9</v>
      </c>
      <c r="AR492" t="s">
        <v>1992</v>
      </c>
      <c r="AS492" t="s">
        <v>9</v>
      </c>
      <c r="AT492" t="s">
        <v>9</v>
      </c>
      <c r="AU492" t="s">
        <v>12488</v>
      </c>
      <c r="AV492" t="s">
        <v>7968</v>
      </c>
      <c r="AW492" t="s">
        <v>9</v>
      </c>
      <c r="AX492" t="s">
        <v>4474</v>
      </c>
      <c r="AY492" t="s">
        <v>3639</v>
      </c>
      <c r="AZ492" t="s">
        <v>7698</v>
      </c>
      <c r="BA492" t="s">
        <v>1274</v>
      </c>
      <c r="BB492" t="s">
        <v>9</v>
      </c>
      <c r="BC492" t="s">
        <v>1757</v>
      </c>
      <c r="BD492" t="s">
        <v>12489</v>
      </c>
      <c r="BE492" t="s">
        <v>9</v>
      </c>
      <c r="BF492" t="s">
        <v>9</v>
      </c>
      <c r="BG492" t="s">
        <v>9</v>
      </c>
      <c r="BH492" t="s">
        <v>4474</v>
      </c>
      <c r="BI492" t="s">
        <v>9</v>
      </c>
      <c r="BJ492" t="s">
        <v>3639</v>
      </c>
      <c r="BK492" t="s">
        <v>5985</v>
      </c>
      <c r="BL492" t="s">
        <v>9</v>
      </c>
      <c r="BM492" t="s">
        <v>1757</v>
      </c>
      <c r="BN492">
        <v>-43.73</v>
      </c>
      <c r="BO492">
        <v>2.06</v>
      </c>
      <c r="BP492" t="s">
        <v>9</v>
      </c>
      <c r="BQ492">
        <v>-55.71</v>
      </c>
      <c r="BR492">
        <v>1.95</v>
      </c>
      <c r="BS492">
        <v>-8.65</v>
      </c>
      <c r="BT492" t="s">
        <v>9</v>
      </c>
      <c r="BU492" t="s">
        <v>743</v>
      </c>
      <c r="BV492">
        <v>-13.91</v>
      </c>
      <c r="BW492">
        <v>32.18</v>
      </c>
      <c r="BX492" t="s">
        <v>9</v>
      </c>
      <c r="BY492">
        <v>-383.11</v>
      </c>
      <c r="BZ492">
        <v>9.68</v>
      </c>
      <c r="CA492" t="s">
        <v>9</v>
      </c>
      <c r="CB492">
        <v>-9.43</v>
      </c>
      <c r="CC492">
        <v>-23.09</v>
      </c>
      <c r="CD492" t="s">
        <v>12490</v>
      </c>
      <c r="CE492" t="s">
        <v>4249</v>
      </c>
      <c r="CF492" s="8" t="s">
        <v>9</v>
      </c>
      <c r="CG492" s="9">
        <v>-18.940000000000001</v>
      </c>
      <c r="CH492" s="8">
        <v>-0.52487307786941528</v>
      </c>
      <c r="CI492" s="8">
        <v>-0.2862318754196167</v>
      </c>
      <c r="CJ492" s="8">
        <v>-0.25766542553901672</v>
      </c>
      <c r="CK492" s="8">
        <v>-6.1111077666282654E-2</v>
      </c>
      <c r="CL492" s="8" t="s">
        <v>9</v>
      </c>
      <c r="CM492" s="9">
        <v>-3.1682465076446533</v>
      </c>
      <c r="CN492" s="9">
        <v>-20.521938323974609</v>
      </c>
      <c r="CO492" s="9" t="s">
        <v>9</v>
      </c>
      <c r="CP492" s="9" t="s">
        <v>9</v>
      </c>
      <c r="CQ492" s="9" t="s">
        <v>9</v>
      </c>
      <c r="CR492">
        <v>13.716355</v>
      </c>
      <c r="CS492">
        <v>1.0136034277611403</v>
      </c>
      <c r="CT492">
        <v>0</v>
      </c>
      <c r="CU492" s="8">
        <v>0.1353226974606514</v>
      </c>
      <c r="CV492" s="9">
        <v>0.31919307485222814</v>
      </c>
      <c r="CW492">
        <v>0.06</v>
      </c>
      <c r="CX492" t="e">
        <v>#VALUE!</v>
      </c>
      <c r="CY492" t="s">
        <v>109</v>
      </c>
      <c r="CZ492">
        <v>0.1353226974606514</v>
      </c>
      <c r="DA492" t="e">
        <v>#VALUE!</v>
      </c>
      <c r="DB492" t="s">
        <v>108</v>
      </c>
      <c r="DC492">
        <v>0.12855656258761883</v>
      </c>
      <c r="DD492" t="e">
        <v>#VALUE!</v>
      </c>
      <c r="DE492" t="s">
        <v>108</v>
      </c>
      <c r="DF492">
        <v>0.11908397376537323</v>
      </c>
      <c r="DG492" t="e">
        <v>#VALUE!</v>
      </c>
      <c r="DH492" t="s">
        <v>108</v>
      </c>
      <c r="DI492">
        <v>0.10825815796852112</v>
      </c>
      <c r="DJ492" t="e">
        <v>#VALUE!</v>
      </c>
      <c r="DK492" t="s">
        <v>108</v>
      </c>
      <c r="DL492">
        <v>9.4725888222455978E-2</v>
      </c>
      <c r="DM492">
        <v>-1759000000</v>
      </c>
      <c r="DN492">
        <v>0.1353226974606514</v>
      </c>
      <c r="DO492">
        <v>1645962600</v>
      </c>
      <c r="DP492" t="e">
        <v>#VALUE!</v>
      </c>
      <c r="DQ492">
        <v>492</v>
      </c>
      <c r="DR492" t="e">
        <v>#VALUE!</v>
      </c>
      <c r="DS492">
        <v>-19.259193074852231</v>
      </c>
      <c r="DT492" t="e">
        <v>#VALUE!</v>
      </c>
      <c r="DU492" t="e">
        <v>#VALUE!</v>
      </c>
      <c r="DV492" t="e">
        <v>#VALUE!</v>
      </c>
      <c r="DW492">
        <v>-9.4084019055868335</v>
      </c>
      <c r="DX492">
        <v>0.14214841628959199</v>
      </c>
      <c r="DY492">
        <v>-9.0212975125860044</v>
      </c>
      <c r="DZ492">
        <v>0</v>
      </c>
      <c r="EA492">
        <v>-9.0212975125860044</v>
      </c>
      <c r="EB492">
        <v>9</v>
      </c>
      <c r="EC492">
        <v>2.8917681837099821E-2</v>
      </c>
      <c r="ED492">
        <v>0.55452655889898828</v>
      </c>
      <c r="EE492">
        <v>0</v>
      </c>
      <c r="EF492">
        <v>0</v>
      </c>
      <c r="EG492">
        <v>9.052148416289592</v>
      </c>
      <c r="EH492" t="s">
        <v>110</v>
      </c>
      <c r="EI492">
        <v>0</v>
      </c>
      <c r="EJ492">
        <v>0</v>
      </c>
      <c r="EK492">
        <v>0</v>
      </c>
      <c r="EL492">
        <v>0</v>
      </c>
      <c r="EM492">
        <v>0</v>
      </c>
      <c r="EN492">
        <v>0</v>
      </c>
      <c r="EO492">
        <v>0</v>
      </c>
      <c r="EP492">
        <v>0</v>
      </c>
    </row>
    <row r="493" spans="1:146" ht="96" x14ac:dyDescent="0.25">
      <c r="A493" s="7"/>
      <c r="B493" s="7"/>
      <c r="C493" s="7" t="str">
        <f>""&amp;CHAR(10)&amp;Basic_Fundamental_Information_Constructure(F493)&amp;CHAR(10)&amp;Basic_Fundamental_Information_Concatenate("")</f>
        <v xml:space="preserve">
市值94.509908亿, 利润5861.93万; PE161.2; 平均PE152.43; 平均PEG15.09, PB2.58; ROIC7.5567%; ROE5.38%; 股利率0%; 毛利63.0867%; 净利14.1833%; 上一年度营收增12.99%, 利润增-83.25%, 利润增-75.69%; 过往5年营收增10.1%, 利润增17.12%
Income profile:
</v>
      </c>
      <c r="D493" s="11">
        <v>6699</v>
      </c>
      <c r="E493" t="s">
        <v>5986</v>
      </c>
      <c r="F493">
        <v>55.85</v>
      </c>
      <c r="G493" s="5">
        <v>-3.2899999999999999E-2</v>
      </c>
      <c r="H493" t="s">
        <v>12491</v>
      </c>
      <c r="I493">
        <v>9450990800</v>
      </c>
      <c r="J493">
        <v>161.19999999999999</v>
      </c>
      <c r="K493">
        <v>2.58</v>
      </c>
      <c r="L493" t="s">
        <v>6350</v>
      </c>
      <c r="M493" t="s">
        <v>9</v>
      </c>
      <c r="N493" t="s">
        <v>9</v>
      </c>
      <c r="O493" t="s">
        <v>9</v>
      </c>
      <c r="P493" t="s">
        <v>9</v>
      </c>
      <c r="Q493" t="s">
        <v>12492</v>
      </c>
      <c r="R493">
        <v>58619295</v>
      </c>
      <c r="S493" s="5">
        <v>-0.75690000000000002</v>
      </c>
      <c r="T493" t="s">
        <v>12493</v>
      </c>
      <c r="U493">
        <v>169240360</v>
      </c>
      <c r="V493">
        <v>169240360</v>
      </c>
      <c r="W493" t="s">
        <v>9</v>
      </c>
      <c r="X493" t="s">
        <v>9</v>
      </c>
      <c r="Y493" t="s">
        <v>9</v>
      </c>
      <c r="Z493" t="s">
        <v>9</v>
      </c>
      <c r="AA493" t="s">
        <v>9</v>
      </c>
      <c r="AB493" t="s">
        <v>9</v>
      </c>
      <c r="AC493" t="s">
        <v>9</v>
      </c>
      <c r="AD493" t="s">
        <v>249</v>
      </c>
      <c r="AE493" t="s">
        <v>9</v>
      </c>
      <c r="AF493" t="s">
        <v>9</v>
      </c>
      <c r="AG493" t="s">
        <v>9</v>
      </c>
      <c r="AH493" t="s">
        <v>12494</v>
      </c>
      <c r="AI493" t="s">
        <v>9</v>
      </c>
      <c r="AJ493" t="s">
        <v>9</v>
      </c>
      <c r="AK493" t="s">
        <v>12495</v>
      </c>
      <c r="AL493" t="s">
        <v>9</v>
      </c>
      <c r="AM493" t="s">
        <v>9</v>
      </c>
      <c r="AN493" s="5">
        <v>0.28360000000000002</v>
      </c>
      <c r="AO493" t="s">
        <v>9</v>
      </c>
      <c r="AP493" t="s">
        <v>12496</v>
      </c>
      <c r="AQ493" t="s">
        <v>9</v>
      </c>
      <c r="AR493" t="s">
        <v>8715</v>
      </c>
      <c r="AS493" t="s">
        <v>9</v>
      </c>
      <c r="AT493" t="s">
        <v>9</v>
      </c>
      <c r="AU493" t="s">
        <v>6760</v>
      </c>
      <c r="AV493" t="s">
        <v>12497</v>
      </c>
      <c r="AW493" t="s">
        <v>9</v>
      </c>
      <c r="AX493" t="s">
        <v>5987</v>
      </c>
      <c r="AY493" t="s">
        <v>5988</v>
      </c>
      <c r="AZ493" t="s">
        <v>5989</v>
      </c>
      <c r="BA493" t="s">
        <v>3651</v>
      </c>
      <c r="BB493" t="s">
        <v>9</v>
      </c>
      <c r="BC493" t="s">
        <v>2422</v>
      </c>
      <c r="BD493" t="s">
        <v>572</v>
      </c>
      <c r="BE493" t="s">
        <v>9</v>
      </c>
      <c r="BF493" t="s">
        <v>9</v>
      </c>
      <c r="BG493" t="s">
        <v>9</v>
      </c>
      <c r="BH493" t="s">
        <v>5987</v>
      </c>
      <c r="BI493" t="s">
        <v>9</v>
      </c>
      <c r="BJ493" t="s">
        <v>5988</v>
      </c>
      <c r="BK493" t="s">
        <v>1838</v>
      </c>
      <c r="BL493" t="s">
        <v>9</v>
      </c>
      <c r="BM493" t="s">
        <v>2422</v>
      </c>
      <c r="BN493">
        <v>1.54</v>
      </c>
      <c r="BO493">
        <v>6.17</v>
      </c>
      <c r="BP493">
        <v>14.96</v>
      </c>
      <c r="BQ493">
        <v>1.6</v>
      </c>
      <c r="BR493">
        <v>5.93</v>
      </c>
      <c r="BS493">
        <v>8.61</v>
      </c>
      <c r="BT493" t="s">
        <v>5338</v>
      </c>
      <c r="BU493" t="s">
        <v>2382</v>
      </c>
      <c r="BV493">
        <v>62.38</v>
      </c>
      <c r="BW493">
        <v>61.88</v>
      </c>
      <c r="BX493">
        <v>65</v>
      </c>
      <c r="BY493">
        <v>3.3</v>
      </c>
      <c r="BZ493">
        <v>16.79</v>
      </c>
      <c r="CA493">
        <v>22.46</v>
      </c>
      <c r="CB493">
        <v>-6.92</v>
      </c>
      <c r="CC493">
        <v>-26.32</v>
      </c>
      <c r="CD493" t="s">
        <v>12498</v>
      </c>
      <c r="CE493" t="s">
        <v>12499</v>
      </c>
      <c r="CF493" s="8" t="s">
        <v>9</v>
      </c>
      <c r="CG493" s="9">
        <v>-0.75690000000000002</v>
      </c>
      <c r="CH493" s="8">
        <v>0.12988826632499695</v>
      </c>
      <c r="CI493" s="8">
        <v>-8.0282554030418396E-2</v>
      </c>
      <c r="CJ493" s="8">
        <v>0.60020548105239868</v>
      </c>
      <c r="CK493" s="8">
        <v>0.75</v>
      </c>
      <c r="CL493" s="8" t="s">
        <v>9</v>
      </c>
      <c r="CM493" s="9">
        <v>-0.83251631259918213</v>
      </c>
      <c r="CN493" s="9">
        <v>0.94444441795349121</v>
      </c>
      <c r="CO493" s="9" t="s">
        <v>9</v>
      </c>
      <c r="CP493" s="9" t="s">
        <v>9</v>
      </c>
      <c r="CQ493" s="9" t="s">
        <v>9</v>
      </c>
      <c r="CR493">
        <v>152.42673074907063</v>
      </c>
      <c r="CS493">
        <v>15.086643605718507</v>
      </c>
      <c r="CT493">
        <v>0</v>
      </c>
      <c r="CU493" s="8">
        <v>0.1010342225432396</v>
      </c>
      <c r="CV493" s="9">
        <v>0.17121997445938178</v>
      </c>
      <c r="CW493">
        <v>0.06</v>
      </c>
      <c r="CX493">
        <v>155.21788435853804</v>
      </c>
      <c r="CY493">
        <v>60888542.831631057</v>
      </c>
      <c r="CZ493">
        <v>0.1010342225432396</v>
      </c>
      <c r="DA493">
        <v>50.252611038966549</v>
      </c>
      <c r="DB493">
        <v>188069646.623368</v>
      </c>
      <c r="DC493">
        <v>9.5982511416077609E-2</v>
      </c>
      <c r="DD493">
        <v>24.430108614811733</v>
      </c>
      <c r="DE493">
        <v>386858320.97651654</v>
      </c>
      <c r="DF493">
        <v>8.8910115838050849E-2</v>
      </c>
      <c r="DG493">
        <v>14.4637552726184</v>
      </c>
      <c r="DH493">
        <v>653425795.85066986</v>
      </c>
      <c r="DI493">
        <v>8.0827378034591682E-2</v>
      </c>
      <c r="DJ493">
        <v>7.2405741152088376</v>
      </c>
      <c r="DK493">
        <v>1305281963.7807696</v>
      </c>
      <c r="DL493">
        <v>7.0723955780267717E-2</v>
      </c>
      <c r="DM493">
        <v>58619300</v>
      </c>
      <c r="DN493">
        <v>0.1010342225432396</v>
      </c>
      <c r="DO493">
        <v>9450990800</v>
      </c>
      <c r="DP493" t="e">
        <v>#VALUE!</v>
      </c>
      <c r="DQ493">
        <v>493</v>
      </c>
      <c r="DR493" t="e">
        <v>#VALUE!</v>
      </c>
      <c r="DS493">
        <v>-0.92811997445938177</v>
      </c>
      <c r="DT493" t="e">
        <v>#VALUE!</v>
      </c>
      <c r="DU493" t="e">
        <v>#VALUE!</v>
      </c>
      <c r="DV493" t="e">
        <v>#VALUE!</v>
      </c>
      <c r="DW493">
        <v>-9.2629179331306997</v>
      </c>
      <c r="DX493">
        <v>0.29085881820987469</v>
      </c>
      <c r="DY493">
        <v>-9.0370343093469732</v>
      </c>
      <c r="DZ493">
        <v>0</v>
      </c>
      <c r="EA493">
        <v>-9.0370343093469732</v>
      </c>
      <c r="EB493">
        <v>9</v>
      </c>
      <c r="EC493">
        <v>1.1596524611505199E-2</v>
      </c>
      <c r="ED493">
        <v>8.2327288833467377E-2</v>
      </c>
      <c r="EE493">
        <v>0</v>
      </c>
      <c r="EF493">
        <v>0</v>
      </c>
      <c r="EG493">
        <v>15.140858818209875</v>
      </c>
      <c r="EH493" t="s">
        <v>110</v>
      </c>
      <c r="EI493">
        <v>0</v>
      </c>
      <c r="EJ493">
        <v>0</v>
      </c>
      <c r="EK493">
        <v>0</v>
      </c>
      <c r="EL493">
        <v>0</v>
      </c>
      <c r="EM493">
        <v>0</v>
      </c>
      <c r="EN493">
        <v>0</v>
      </c>
      <c r="EO493">
        <v>0</v>
      </c>
      <c r="EP493">
        <v>0</v>
      </c>
    </row>
    <row r="494" spans="1:146" ht="96" x14ac:dyDescent="0.25">
      <c r="A494" s="7"/>
      <c r="B494" s="7"/>
      <c r="C494" s="7" t="str">
        <f>""&amp;CHAR(10)&amp;Basic_Fundamental_Information_Constructure(F494)&amp;CHAR(10)&amp;Basic_Fundamental_Information_Concatenate("")</f>
        <v xml:space="preserve">
市值365.58319亿, 利润50.49亿; PE8.61; 平均PE33.95; 平均PEG1.04, PB.332; ROIC0%; ROE5.8%; 股利率0%; 毛利0%; 净利15.9833%; 上一年度营收增-1.75%, 利润增-56.13%; 当季营收增-38.42%, 利润增-34.88%; 过往5年营收增32.55%, 利润增46.27%
Income profile:
</v>
      </c>
      <c r="D494" s="11">
        <v>6806</v>
      </c>
      <c r="E494" t="s">
        <v>5990</v>
      </c>
      <c r="F494">
        <v>1.46</v>
      </c>
      <c r="G494" s="5">
        <v>-1.35E-2</v>
      </c>
      <c r="H494" t="s">
        <v>12500</v>
      </c>
      <c r="I494">
        <v>36558319000</v>
      </c>
      <c r="J494">
        <v>8.61</v>
      </c>
      <c r="K494">
        <v>0.33200000000000002</v>
      </c>
      <c r="L494" t="s">
        <v>6350</v>
      </c>
      <c r="M494" t="s">
        <v>12501</v>
      </c>
      <c r="N494" t="s">
        <v>12502</v>
      </c>
      <c r="O494" t="s">
        <v>925</v>
      </c>
      <c r="P494">
        <v>-16.72</v>
      </c>
      <c r="Q494" t="s">
        <v>12503</v>
      </c>
      <c r="R494">
        <v>5049469900</v>
      </c>
      <c r="S494" s="5">
        <v>-0.3488</v>
      </c>
      <c r="T494" t="s">
        <v>1224</v>
      </c>
      <c r="U494">
        <v>2504000000</v>
      </c>
      <c r="V494">
        <v>25039945000</v>
      </c>
      <c r="W494">
        <v>6.15</v>
      </c>
      <c r="X494">
        <v>0</v>
      </c>
      <c r="Y494">
        <v>72.48</v>
      </c>
      <c r="Z494" t="s">
        <v>9</v>
      </c>
      <c r="AA494" t="s">
        <v>9</v>
      </c>
      <c r="AB494" t="s">
        <v>9</v>
      </c>
      <c r="AC494" t="s">
        <v>12504</v>
      </c>
      <c r="AD494" t="s">
        <v>9</v>
      </c>
      <c r="AE494" t="s">
        <v>12505</v>
      </c>
      <c r="AF494" t="s">
        <v>12506</v>
      </c>
      <c r="AG494" t="s">
        <v>7541</v>
      </c>
      <c r="AH494" t="s">
        <v>12507</v>
      </c>
      <c r="AI494" t="s">
        <v>12508</v>
      </c>
      <c r="AJ494" t="s">
        <v>10028</v>
      </c>
      <c r="AK494" t="s">
        <v>12509</v>
      </c>
      <c r="AL494" t="s">
        <v>9</v>
      </c>
      <c r="AM494" t="s">
        <v>1492</v>
      </c>
      <c r="AN494" s="5">
        <v>0.79149999999999998</v>
      </c>
      <c r="AO494" t="s">
        <v>683</v>
      </c>
      <c r="AP494" t="s">
        <v>12510</v>
      </c>
      <c r="AQ494" t="s">
        <v>9</v>
      </c>
      <c r="AR494" t="s">
        <v>12511</v>
      </c>
      <c r="AS494" t="s">
        <v>12512</v>
      </c>
      <c r="AT494" t="s">
        <v>12513</v>
      </c>
      <c r="AU494" t="s">
        <v>12514</v>
      </c>
      <c r="AV494" t="s">
        <v>12515</v>
      </c>
      <c r="AW494" t="s">
        <v>12516</v>
      </c>
      <c r="AX494" t="s">
        <v>5991</v>
      </c>
      <c r="AY494" t="s">
        <v>5994</v>
      </c>
      <c r="AZ494" t="s">
        <v>5995</v>
      </c>
      <c r="BA494" t="s">
        <v>5996</v>
      </c>
      <c r="BB494" t="s">
        <v>5997</v>
      </c>
      <c r="BC494" t="s">
        <v>5998</v>
      </c>
      <c r="BD494" t="s">
        <v>2509</v>
      </c>
      <c r="BE494" t="s">
        <v>5999</v>
      </c>
      <c r="BF494" t="s">
        <v>6000</v>
      </c>
      <c r="BG494" t="s">
        <v>6001</v>
      </c>
      <c r="BH494" t="s">
        <v>5991</v>
      </c>
      <c r="BI494" t="s">
        <v>6002</v>
      </c>
      <c r="BJ494" t="s">
        <v>5994</v>
      </c>
      <c r="BK494" t="s">
        <v>5648</v>
      </c>
      <c r="BL494" t="s">
        <v>6003</v>
      </c>
      <c r="BM494" t="s">
        <v>5998</v>
      </c>
      <c r="BN494" t="s">
        <v>9</v>
      </c>
      <c r="BO494" t="s">
        <v>9</v>
      </c>
      <c r="BP494" t="s">
        <v>9</v>
      </c>
      <c r="BQ494">
        <v>4.5999999999999996</v>
      </c>
      <c r="BR494">
        <v>2.93</v>
      </c>
      <c r="BS494">
        <v>9.8699999999999992</v>
      </c>
      <c r="BT494" t="s">
        <v>12517</v>
      </c>
      <c r="BU494" t="s">
        <v>826</v>
      </c>
      <c r="BV494" t="s">
        <v>9</v>
      </c>
      <c r="BW494" t="s">
        <v>9</v>
      </c>
      <c r="BX494" t="s">
        <v>9</v>
      </c>
      <c r="BY494">
        <v>17.23</v>
      </c>
      <c r="BZ494">
        <v>9.99</v>
      </c>
      <c r="CA494">
        <v>20.73</v>
      </c>
      <c r="CB494">
        <v>-2.67</v>
      </c>
      <c r="CC494">
        <v>-8.75</v>
      </c>
      <c r="CD494" t="s">
        <v>12518</v>
      </c>
      <c r="CE494" t="s">
        <v>3454</v>
      </c>
      <c r="CF494" s="8">
        <v>-0.38419732441471571</v>
      </c>
      <c r="CG494" s="9">
        <v>-0.3488</v>
      </c>
      <c r="CH494" s="8">
        <v>-1.7457760870456696E-2</v>
      </c>
      <c r="CI494" s="8">
        <v>-0.37035852670669556</v>
      </c>
      <c r="CJ494" s="8">
        <v>0.21163153648376465</v>
      </c>
      <c r="CK494" s="8">
        <v>0.69308948516845703</v>
      </c>
      <c r="CL494" s="8">
        <v>9.4232082366943359E-2</v>
      </c>
      <c r="CM494" s="9">
        <v>-0.56126171350479126</v>
      </c>
      <c r="CN494" s="9">
        <v>0.24316731095314026</v>
      </c>
      <c r="CO494" s="9">
        <v>0.44437509775161743</v>
      </c>
      <c r="CP494" s="9">
        <v>0.35296601057052612</v>
      </c>
      <c r="CQ494" s="9">
        <v>-0.14106978476047516</v>
      </c>
      <c r="CR494">
        <v>33.951892636653042</v>
      </c>
      <c r="CS494">
        <v>1.0430017936585736</v>
      </c>
      <c r="CT494">
        <v>0</v>
      </c>
      <c r="CU494" s="8">
        <v>0.32552094198763371</v>
      </c>
      <c r="CV494" s="9">
        <v>0.46267697960138321</v>
      </c>
      <c r="CW494">
        <v>0.06</v>
      </c>
      <c r="CX494">
        <v>68.344896979415651</v>
      </c>
      <c r="CY494">
        <v>6313731354.8071346</v>
      </c>
      <c r="CZ494">
        <v>0.32552094198763371</v>
      </c>
      <c r="DA494">
        <v>18.399379759277561</v>
      </c>
      <c r="DB494">
        <v>23452492673.423847</v>
      </c>
      <c r="DC494">
        <v>0.30924489488825202</v>
      </c>
      <c r="DD494">
        <v>6.8524416402181316</v>
      </c>
      <c r="DE494">
        <v>62971907191.064209</v>
      </c>
      <c r="DF494">
        <v>0.28645842894911766</v>
      </c>
      <c r="DG494">
        <v>2.9222119887298157</v>
      </c>
      <c r="DH494">
        <v>147665987499.95651</v>
      </c>
      <c r="DI494">
        <v>0.26041675359010696</v>
      </c>
      <c r="DJ494">
        <v>0.65206009478354554</v>
      </c>
      <c r="DK494">
        <v>661766181448.724</v>
      </c>
      <c r="DL494">
        <v>0.22786465939134357</v>
      </c>
      <c r="DM494">
        <v>5049000000</v>
      </c>
      <c r="DN494">
        <v>0.32552094198763371</v>
      </c>
      <c r="DO494">
        <v>431511319000</v>
      </c>
      <c r="DP494" t="e">
        <v>#VALUE!</v>
      </c>
      <c r="DQ494">
        <v>494</v>
      </c>
      <c r="DR494">
        <v>-0.70971826640234936</v>
      </c>
      <c r="DS494">
        <v>-0.81147697960138321</v>
      </c>
      <c r="DT494">
        <v>0.13199999999999995</v>
      </c>
      <c r="DU494">
        <v>1.5</v>
      </c>
      <c r="DV494">
        <v>1.6319999999999999</v>
      </c>
      <c r="DW494">
        <v>-8.305142857142858</v>
      </c>
      <c r="DX494">
        <v>0.22467297297297228</v>
      </c>
      <c r="DY494">
        <v>-8.0319402100386093</v>
      </c>
      <c r="DZ494">
        <v>0</v>
      </c>
      <c r="EA494">
        <v>-8.0319402100386093</v>
      </c>
      <c r="EB494">
        <v>8</v>
      </c>
      <c r="EC494">
        <v>4.6400661023816137E-4</v>
      </c>
      <c r="ED494">
        <v>4.4329170850814573E-3</v>
      </c>
      <c r="EE494">
        <v>0</v>
      </c>
      <c r="EF494">
        <v>0</v>
      </c>
      <c r="EG494">
        <v>12.104672972972972</v>
      </c>
      <c r="EH494" t="s">
        <v>110</v>
      </c>
      <c r="EI494">
        <v>0</v>
      </c>
      <c r="EJ494">
        <v>0</v>
      </c>
      <c r="EK494">
        <v>0</v>
      </c>
      <c r="EL494">
        <v>0</v>
      </c>
      <c r="EM494">
        <v>0</v>
      </c>
      <c r="EN494">
        <v>0</v>
      </c>
      <c r="EO494">
        <v>0</v>
      </c>
      <c r="EP494">
        <v>0</v>
      </c>
    </row>
    <row r="495" spans="1:146" ht="84" x14ac:dyDescent="0.25">
      <c r="A495" s="7"/>
      <c r="B495" s="7"/>
      <c r="C495" s="7" t="str">
        <f>""&amp;CHAR(10)&amp;Basic_Fundamental_Information_Constructure(F495)&amp;CHAR(10)&amp;Basic_Fundamental_Information_Concatenate("")</f>
        <v xml:space="preserve">
市值141.18763亿, 利润1.25亿; PE; 平均PE131.36; 平均PEG13.22, PB.612; ROIC-1.25%; ROE-1.31%; 股利率0%; 毛利24.48%; 净利-.425%; 上一年度营收增-12.02%, 利润增-404.9%; 过往5年营收增9.94%, 利润增23.41%
Income profile:
</v>
      </c>
      <c r="D495" s="11">
        <v>6808</v>
      </c>
      <c r="E495" t="s">
        <v>6004</v>
      </c>
      <c r="F495">
        <v>1.48</v>
      </c>
      <c r="G495" s="5">
        <v>-6.7000000000000002E-3</v>
      </c>
      <c r="H495" t="s">
        <v>12519</v>
      </c>
      <c r="I495">
        <v>14118763000</v>
      </c>
      <c r="K495">
        <v>0.61199999999999999</v>
      </c>
      <c r="L495" t="s">
        <v>6350</v>
      </c>
      <c r="M495" t="s">
        <v>9</v>
      </c>
      <c r="N495" t="s">
        <v>9</v>
      </c>
      <c r="O495" t="s">
        <v>9</v>
      </c>
      <c r="P495" t="s">
        <v>9</v>
      </c>
      <c r="Q495" t="s">
        <v>12520</v>
      </c>
      <c r="R495">
        <v>-385530100</v>
      </c>
      <c r="S495" s="5">
        <v>-4.0490000000000004</v>
      </c>
      <c r="T495" t="s">
        <v>219</v>
      </c>
      <c r="U495">
        <v>9539704700</v>
      </c>
      <c r="V495">
        <v>9539704700</v>
      </c>
      <c r="W495" t="s">
        <v>9</v>
      </c>
      <c r="X495" t="s">
        <v>9</v>
      </c>
      <c r="Y495" t="s">
        <v>9</v>
      </c>
      <c r="Z495" t="s">
        <v>9</v>
      </c>
      <c r="AA495" t="s">
        <v>9</v>
      </c>
      <c r="AB495" t="s">
        <v>9</v>
      </c>
      <c r="AC495" t="s">
        <v>9</v>
      </c>
      <c r="AD495" t="s">
        <v>9</v>
      </c>
      <c r="AE495" t="s">
        <v>9</v>
      </c>
      <c r="AF495" t="s">
        <v>9</v>
      </c>
      <c r="AG495" t="s">
        <v>9</v>
      </c>
      <c r="AH495" t="s">
        <v>12521</v>
      </c>
      <c r="AI495" t="s">
        <v>9</v>
      </c>
      <c r="AJ495" t="s">
        <v>9</v>
      </c>
      <c r="AK495" t="s">
        <v>12522</v>
      </c>
      <c r="AL495" t="s">
        <v>9</v>
      </c>
      <c r="AM495" t="s">
        <v>9</v>
      </c>
      <c r="AN495" s="5">
        <v>0.64119999999999999</v>
      </c>
      <c r="AO495" t="s">
        <v>9</v>
      </c>
      <c r="AP495" t="s">
        <v>6916</v>
      </c>
      <c r="AQ495" t="s">
        <v>9</v>
      </c>
      <c r="AR495" t="s">
        <v>12523</v>
      </c>
      <c r="AS495" t="s">
        <v>9</v>
      </c>
      <c r="AT495" t="s">
        <v>9</v>
      </c>
      <c r="AU495" t="s">
        <v>2546</v>
      </c>
      <c r="AV495" t="s">
        <v>12524</v>
      </c>
      <c r="AW495" t="s">
        <v>9</v>
      </c>
      <c r="AX495" t="s">
        <v>6005</v>
      </c>
      <c r="AY495" t="s">
        <v>9</v>
      </c>
      <c r="AZ495" t="s">
        <v>9</v>
      </c>
      <c r="BA495" t="s">
        <v>6008</v>
      </c>
      <c r="BB495" t="s">
        <v>6009</v>
      </c>
      <c r="BC495" t="s">
        <v>9</v>
      </c>
      <c r="BD495" t="s">
        <v>9</v>
      </c>
      <c r="BE495" t="s">
        <v>4568</v>
      </c>
      <c r="BF495" t="s">
        <v>6010</v>
      </c>
      <c r="BG495" t="s">
        <v>6011</v>
      </c>
      <c r="BH495" t="s">
        <v>6005</v>
      </c>
      <c r="BI495" t="s">
        <v>9</v>
      </c>
      <c r="BJ495" t="s">
        <v>9</v>
      </c>
      <c r="BK495" t="s">
        <v>6006</v>
      </c>
      <c r="BL495" t="s">
        <v>9</v>
      </c>
      <c r="BM495" t="s">
        <v>9</v>
      </c>
      <c r="BN495">
        <v>0.45</v>
      </c>
      <c r="BO495">
        <v>-2.95</v>
      </c>
      <c r="BP495" t="s">
        <v>9</v>
      </c>
      <c r="BQ495">
        <v>0.46</v>
      </c>
      <c r="BR495">
        <v>-3.08</v>
      </c>
      <c r="BS495" t="s">
        <v>9</v>
      </c>
      <c r="BT495" t="s">
        <v>2890</v>
      </c>
      <c r="BU495" t="s">
        <v>2877</v>
      </c>
      <c r="BV495">
        <v>24.6</v>
      </c>
      <c r="BW495">
        <v>24.36</v>
      </c>
      <c r="BX495" t="s">
        <v>9</v>
      </c>
      <c r="BY495">
        <v>0.09</v>
      </c>
      <c r="BZ495">
        <v>-0.94</v>
      </c>
      <c r="CA495" t="s">
        <v>9</v>
      </c>
      <c r="CB495">
        <v>2.78</v>
      </c>
      <c r="CC495">
        <v>-12.43</v>
      </c>
      <c r="CD495" t="s">
        <v>12525</v>
      </c>
      <c r="CE495" t="s">
        <v>117</v>
      </c>
      <c r="CF495" s="8" t="s">
        <v>9</v>
      </c>
      <c r="CG495" s="9">
        <v>-4.0490000000000004</v>
      </c>
      <c r="CH495" s="8">
        <v>-0.12024915218353271</v>
      </c>
      <c r="CI495" s="8" t="s">
        <v>9</v>
      </c>
      <c r="CJ495" s="8" t="s">
        <v>9</v>
      </c>
      <c r="CK495" s="8" t="s">
        <v>9</v>
      </c>
      <c r="CL495" s="8">
        <v>-7.7777154743671417E-2</v>
      </c>
      <c r="CM495" s="9" t="s">
        <v>9</v>
      </c>
      <c r="CN495" s="9" t="s">
        <v>9</v>
      </c>
      <c r="CO495" s="9" t="s">
        <v>9</v>
      </c>
      <c r="CP495" s="9">
        <v>0.1226515918970108</v>
      </c>
      <c r="CQ495" s="9">
        <v>-0.15765900909900665</v>
      </c>
      <c r="CR495">
        <v>131.3609629862712</v>
      </c>
      <c r="CS495">
        <v>13.217929712397304</v>
      </c>
      <c r="CT495">
        <v>0</v>
      </c>
      <c r="CU495" s="8">
        <v>9.9380890838801861E-2</v>
      </c>
      <c r="CV495" s="9">
        <v>0.23405470792204142</v>
      </c>
      <c r="CW495">
        <v>0.06</v>
      </c>
      <c r="CX495">
        <v>108.90412161762337</v>
      </c>
      <c r="CY495">
        <v>129643972.9762738</v>
      </c>
      <c r="CZ495">
        <v>9.9380890838801861E-2</v>
      </c>
      <c r="DA495">
        <v>35.307567113089597</v>
      </c>
      <c r="DB495">
        <v>399879237.07056385</v>
      </c>
      <c r="DC495">
        <v>9.4411846296861765E-2</v>
      </c>
      <c r="DD495">
        <v>17.196975292620149</v>
      </c>
      <c r="DE495">
        <v>821002691.44765699</v>
      </c>
      <c r="DF495">
        <v>8.7455183938145636E-2</v>
      </c>
      <c r="DG495">
        <v>10.203249101018621</v>
      </c>
      <c r="DH495">
        <v>1383751671.6700058</v>
      </c>
      <c r="DI495">
        <v>7.9504712671041491E-2</v>
      </c>
      <c r="DJ495">
        <v>5.1321956440236107</v>
      </c>
      <c r="DK495">
        <v>2751018078.6738234</v>
      </c>
      <c r="DL495">
        <v>6.95666235871613E-2</v>
      </c>
      <c r="DM495">
        <v>125000000</v>
      </c>
      <c r="DN495">
        <v>9.9380890838801861E-2</v>
      </c>
      <c r="DO495">
        <v>14118763000</v>
      </c>
      <c r="DP495" t="e">
        <v>#VALUE!</v>
      </c>
      <c r="DQ495">
        <v>495</v>
      </c>
      <c r="DR495" t="e">
        <v>#VALUE!</v>
      </c>
      <c r="DS495">
        <v>-4.2830547079220418</v>
      </c>
      <c r="DT495" t="e">
        <v>#VALUE!</v>
      </c>
      <c r="DU495" t="e">
        <v>#VALUE!</v>
      </c>
      <c r="DV495" t="e">
        <v>#VALUE!</v>
      </c>
      <c r="DW495">
        <v>6.1827744904667981</v>
      </c>
      <c r="DX495">
        <v>0.2159084745762711</v>
      </c>
      <c r="DY495">
        <v>6.0266683470954661</v>
      </c>
      <c r="DZ495">
        <v>0</v>
      </c>
      <c r="EA495">
        <v>6.0266683470954661</v>
      </c>
      <c r="EB495">
        <v>6</v>
      </c>
      <c r="EC495">
        <v>2.7071907162912493E-3</v>
      </c>
      <c r="ED495">
        <v>1.8554033438791875E-2</v>
      </c>
      <c r="EE495">
        <v>0</v>
      </c>
      <c r="EF495">
        <v>0</v>
      </c>
      <c r="EG495">
        <v>7.1459084745762711</v>
      </c>
      <c r="EH495" t="s">
        <v>110</v>
      </c>
      <c r="EI495">
        <v>0</v>
      </c>
      <c r="EJ495">
        <v>0</v>
      </c>
      <c r="EK495">
        <v>0</v>
      </c>
      <c r="EL495">
        <v>0</v>
      </c>
      <c r="EM495">
        <v>0</v>
      </c>
      <c r="EN495">
        <v>0</v>
      </c>
      <c r="EO495">
        <v>0</v>
      </c>
      <c r="EP495">
        <v>0</v>
      </c>
    </row>
    <row r="496" spans="1:146" ht="96" x14ac:dyDescent="0.25">
      <c r="A496" s="7"/>
      <c r="B496" s="7"/>
      <c r="C496" s="7" t="str">
        <f>""&amp;CHAR(10)&amp;Basic_Fundamental_Information_Constructure(F496)&amp;CHAR(10)&amp;Basic_Fundamental_Information_Concatenate("")</f>
        <v xml:space="preserve">
市值1418.0532亿, 利润394.42亿; PE3.66; 平均PE21.01; 平均PEG53.69, PB.263; ROIC0%; ROE7.4633%; 毛利0%; 净利30.4833%; 上一年度营收增-8.6%, 利润增-16.57%; 当季营收增-26.05%, 利润增-5.26%; 过往5年营收增.39%, 利润增-136.63%
Income profile:
</v>
      </c>
      <c r="D496" s="11">
        <v>6818</v>
      </c>
      <c r="E496" t="s">
        <v>6012</v>
      </c>
      <c r="F496">
        <v>2.4</v>
      </c>
      <c r="G496" s="5">
        <v>-1.6400000000000001E-2</v>
      </c>
      <c r="H496" t="s">
        <v>12526</v>
      </c>
      <c r="I496">
        <v>141805320000</v>
      </c>
      <c r="J496">
        <v>3.66</v>
      </c>
      <c r="K496">
        <v>0.26300000000000001</v>
      </c>
      <c r="L496" t="s">
        <v>6350</v>
      </c>
      <c r="M496" t="s">
        <v>12527</v>
      </c>
      <c r="N496" t="s">
        <v>12528</v>
      </c>
      <c r="O496" t="s">
        <v>12529</v>
      </c>
      <c r="P496" t="s">
        <v>9</v>
      </c>
      <c r="Q496" t="s">
        <v>12530</v>
      </c>
      <c r="R496">
        <v>39442372000</v>
      </c>
      <c r="S496" s="5">
        <v>-5.2600000000000001E-2</v>
      </c>
      <c r="T496" t="s">
        <v>12531</v>
      </c>
      <c r="U496">
        <v>12678735500</v>
      </c>
      <c r="V496">
        <v>59085551000</v>
      </c>
      <c r="W496">
        <v>12.2</v>
      </c>
      <c r="X496">
        <v>0</v>
      </c>
      <c r="Y496">
        <v>37</v>
      </c>
      <c r="Z496" t="s">
        <v>9</v>
      </c>
      <c r="AA496" t="s">
        <v>9</v>
      </c>
      <c r="AB496" t="s">
        <v>9</v>
      </c>
      <c r="AC496" t="s">
        <v>9</v>
      </c>
      <c r="AD496" t="s">
        <v>9</v>
      </c>
      <c r="AE496" t="s">
        <v>9</v>
      </c>
      <c r="AF496" t="s">
        <v>9</v>
      </c>
      <c r="AG496" t="s">
        <v>2762</v>
      </c>
      <c r="AH496" t="s">
        <v>12532</v>
      </c>
      <c r="AI496" t="s">
        <v>9</v>
      </c>
      <c r="AJ496" t="s">
        <v>9</v>
      </c>
      <c r="AK496" t="s">
        <v>12533</v>
      </c>
      <c r="AL496" t="s">
        <v>9</v>
      </c>
      <c r="AM496" t="s">
        <v>12534</v>
      </c>
      <c r="AN496" s="5">
        <v>0.91769999999999996</v>
      </c>
      <c r="AO496" t="s">
        <v>9</v>
      </c>
      <c r="AP496" t="s">
        <v>9</v>
      </c>
      <c r="AQ496" t="s">
        <v>9</v>
      </c>
      <c r="AR496" t="s">
        <v>9</v>
      </c>
      <c r="AS496" t="s">
        <v>9</v>
      </c>
      <c r="AT496" t="s">
        <v>9</v>
      </c>
      <c r="AU496" t="s">
        <v>12535</v>
      </c>
      <c r="AV496" t="s">
        <v>12536</v>
      </c>
      <c r="AW496" t="s">
        <v>12537</v>
      </c>
      <c r="AX496" t="s">
        <v>6013</v>
      </c>
      <c r="AY496" t="s">
        <v>6016</v>
      </c>
      <c r="AZ496" t="s">
        <v>6017</v>
      </c>
      <c r="BA496" t="s">
        <v>6018</v>
      </c>
      <c r="BB496" t="s">
        <v>6019</v>
      </c>
      <c r="BC496" t="s">
        <v>6020</v>
      </c>
      <c r="BD496" t="s">
        <v>6021</v>
      </c>
      <c r="BE496" t="s">
        <v>6022</v>
      </c>
      <c r="BF496" t="s">
        <v>6023</v>
      </c>
      <c r="BG496" t="s">
        <v>6024</v>
      </c>
      <c r="BH496" t="s">
        <v>6013</v>
      </c>
      <c r="BI496" t="s">
        <v>6025</v>
      </c>
      <c r="BJ496" t="s">
        <v>6016</v>
      </c>
      <c r="BK496" t="s">
        <v>6014</v>
      </c>
      <c r="BL496" t="s">
        <v>3561</v>
      </c>
      <c r="BM496" t="s">
        <v>6020</v>
      </c>
      <c r="BN496" t="s">
        <v>9</v>
      </c>
      <c r="BO496" t="s">
        <v>9</v>
      </c>
      <c r="BP496" t="s">
        <v>9</v>
      </c>
      <c r="BQ496">
        <v>6.51</v>
      </c>
      <c r="BR496">
        <v>7.88</v>
      </c>
      <c r="BS496">
        <v>8</v>
      </c>
      <c r="BT496" t="s">
        <v>12538</v>
      </c>
      <c r="BU496" t="s">
        <v>422</v>
      </c>
      <c r="BV496" t="s">
        <v>9</v>
      </c>
      <c r="BW496" t="s">
        <v>9</v>
      </c>
      <c r="BX496" t="s">
        <v>9</v>
      </c>
      <c r="BY496">
        <v>30.02</v>
      </c>
      <c r="BZ496">
        <v>30.97</v>
      </c>
      <c r="CA496">
        <v>30.46</v>
      </c>
      <c r="CB496">
        <v>-3.23</v>
      </c>
      <c r="CC496">
        <v>-4.76</v>
      </c>
      <c r="CD496" t="s">
        <v>12539</v>
      </c>
      <c r="CE496" t="s">
        <v>180</v>
      </c>
      <c r="CF496" s="8">
        <v>-0.26046923417441348</v>
      </c>
      <c r="CG496" s="9">
        <v>-5.2600000000000001E-2</v>
      </c>
      <c r="CH496" s="8">
        <v>-8.6000204086303711E-2</v>
      </c>
      <c r="CI496" s="8">
        <v>-6.4740516245365143E-2</v>
      </c>
      <c r="CJ496" s="8">
        <v>6.9756500422954559E-2</v>
      </c>
      <c r="CK496" s="8">
        <v>0.43284380435943604</v>
      </c>
      <c r="CL496" s="8">
        <v>3.5322777926921844E-2</v>
      </c>
      <c r="CM496" s="9">
        <v>-0.1656724214553833</v>
      </c>
      <c r="CN496" s="9">
        <v>0.1136133149266243</v>
      </c>
      <c r="CO496" s="9">
        <v>5.8021649718284607E-2</v>
      </c>
      <c r="CP496" s="9">
        <v>9.4074644148349762E-2</v>
      </c>
      <c r="CQ496" s="9">
        <v>1.6407499089837074E-2</v>
      </c>
      <c r="CR496">
        <v>21.008460417775044</v>
      </c>
      <c r="CS496">
        <v>53.690435068051052</v>
      </c>
      <c r="CT496" t="e">
        <v>#VALUE!</v>
      </c>
      <c r="CU496" s="8">
        <v>3.9128869771957401E-3</v>
      </c>
      <c r="CV496" s="9">
        <v>-1.3662877976894379</v>
      </c>
      <c r="CW496">
        <v>0.06</v>
      </c>
      <c r="CX496">
        <v>170.16801415340476</v>
      </c>
      <c r="CY496">
        <v>37355030271.843925</v>
      </c>
      <c r="CZ496">
        <v>3.9128869771957401E-3</v>
      </c>
      <c r="DA496">
        <v>59.85562849733261</v>
      </c>
      <c r="DB496">
        <v>106199391428.71544</v>
      </c>
      <c r="DC496">
        <v>3.7172426283359531E-3</v>
      </c>
      <c r="DD496">
        <v>32.401117746019317</v>
      </c>
      <c r="DE496">
        <v>196185556616.5137</v>
      </c>
      <c r="DF496">
        <v>3.4433405399322513E-3</v>
      </c>
      <c r="DG496">
        <v>21.555162170091442</v>
      </c>
      <c r="DH496">
        <v>294900649312.67615</v>
      </c>
      <c r="DI496">
        <v>3.1303095817565921E-3</v>
      </c>
      <c r="DJ496">
        <v>13.722550494056717</v>
      </c>
      <c r="DK496">
        <v>463225208954.63843</v>
      </c>
      <c r="DL496">
        <v>2.7390208840370181E-3</v>
      </c>
      <c r="DM496">
        <v>39442000000</v>
      </c>
      <c r="DN496">
        <v>3.9128869771957401E-3</v>
      </c>
      <c r="DO496">
        <v>6356631320000</v>
      </c>
      <c r="DP496" t="e">
        <v>#VALUE!</v>
      </c>
      <c r="DQ496">
        <v>496</v>
      </c>
      <c r="DR496">
        <v>-0.2643821211516092</v>
      </c>
      <c r="DS496">
        <v>1.3136877976894379</v>
      </c>
      <c r="DT496">
        <v>-0.60666666666666669</v>
      </c>
      <c r="DU496">
        <v>-0.19999999999999998</v>
      </c>
      <c r="DV496">
        <v>-0.80666666666666664</v>
      </c>
      <c r="DW496">
        <v>-8.6785714285714288</v>
      </c>
      <c r="DX496">
        <v>0.36875724299065493</v>
      </c>
      <c r="DY496">
        <v>-8.1009424148865161</v>
      </c>
      <c r="DZ496">
        <v>0</v>
      </c>
      <c r="EA496">
        <v>-8.1009424148865161</v>
      </c>
      <c r="EB496">
        <v>8</v>
      </c>
      <c r="EC496">
        <v>1.0775578618197198E-3</v>
      </c>
      <c r="ED496">
        <v>7.2437337514208843E-3</v>
      </c>
      <c r="EE496">
        <v>0</v>
      </c>
      <c r="EF496">
        <v>0</v>
      </c>
      <c r="EG496">
        <v>22.148757242990655</v>
      </c>
      <c r="EH496" t="s">
        <v>110</v>
      </c>
      <c r="EI496">
        <v>0</v>
      </c>
      <c r="EJ496">
        <v>0</v>
      </c>
      <c r="EK496">
        <v>0</v>
      </c>
      <c r="EL496">
        <v>0</v>
      </c>
      <c r="EM496">
        <v>0</v>
      </c>
      <c r="EN496">
        <v>0</v>
      </c>
      <c r="EO496">
        <v>0</v>
      </c>
      <c r="EP496">
        <v>0</v>
      </c>
    </row>
    <row r="497" spans="1:146" ht="96" x14ac:dyDescent="0.25">
      <c r="A497" s="7"/>
      <c r="B497" s="7"/>
      <c r="C497" s="7" t="str">
        <f>""&amp;CHAR(10)&amp;Basic_Fundamental_Information_Constructure(F497)&amp;CHAR(10)&amp;Basic_Fundamental_Information_Concatenate("")</f>
        <v xml:space="preserve">
市值180.11737亿, 利润24.83亿; PE8.72; 平均PE35.98; 平均PEG2.99, PB.95; ROIC15.9933%; ROE14.1767%; 股利率0%; 毛利47.46%; 净利28.07%; 上一年度营收增-26.09%, 利润增89.83%; 当季营收增-42.09%, 利润增-57.79%; 过往5年营收增12.04%, 利润增53.84%
Income profile:
</v>
      </c>
      <c r="D497" s="11">
        <v>6821</v>
      </c>
      <c r="E497" t="s">
        <v>6026</v>
      </c>
      <c r="F497">
        <v>48.75</v>
      </c>
      <c r="G497" s="5">
        <v>-3.6600000000000001E-2</v>
      </c>
      <c r="H497" t="s">
        <v>12540</v>
      </c>
      <c r="I497">
        <v>18011737000</v>
      </c>
      <c r="J497">
        <v>8.7200000000000006</v>
      </c>
      <c r="K497">
        <v>0.95</v>
      </c>
      <c r="L497" t="s">
        <v>6350</v>
      </c>
      <c r="M497" t="s">
        <v>12541</v>
      </c>
      <c r="N497" t="s">
        <v>12542</v>
      </c>
      <c r="O497" t="s">
        <v>2065</v>
      </c>
      <c r="P497">
        <v>-39.29</v>
      </c>
      <c r="Q497" t="s">
        <v>5668</v>
      </c>
      <c r="R497">
        <v>2482758200</v>
      </c>
      <c r="S497" s="5">
        <v>-0.57789999999999997</v>
      </c>
      <c r="T497" t="s">
        <v>10835</v>
      </c>
      <c r="U497">
        <v>27553260</v>
      </c>
      <c r="V497">
        <v>369471530</v>
      </c>
      <c r="W497">
        <v>1.1299999999999999</v>
      </c>
      <c r="X497">
        <v>7.0000000000000007E-2</v>
      </c>
      <c r="Y497">
        <v>21.63</v>
      </c>
      <c r="Z497" t="s">
        <v>1313</v>
      </c>
      <c r="AA497" t="s">
        <v>4734</v>
      </c>
      <c r="AB497" t="s">
        <v>12543</v>
      </c>
      <c r="AC497" t="s">
        <v>152</v>
      </c>
      <c r="AD497" t="s">
        <v>3743</v>
      </c>
      <c r="AE497" t="s">
        <v>12544</v>
      </c>
      <c r="AF497" t="s">
        <v>9</v>
      </c>
      <c r="AG497" t="s">
        <v>22</v>
      </c>
      <c r="AH497" t="s">
        <v>12545</v>
      </c>
      <c r="AI497" t="s">
        <v>8000</v>
      </c>
      <c r="AJ497" t="s">
        <v>4653</v>
      </c>
      <c r="AK497" t="s">
        <v>12546</v>
      </c>
      <c r="AL497" t="s">
        <v>9</v>
      </c>
      <c r="AM497" t="s">
        <v>4867</v>
      </c>
      <c r="AN497" s="5">
        <v>0.11260000000000001</v>
      </c>
      <c r="AO497" t="s">
        <v>12547</v>
      </c>
      <c r="AP497" t="s">
        <v>6353</v>
      </c>
      <c r="AQ497" t="s">
        <v>758</v>
      </c>
      <c r="AR497" t="s">
        <v>3776</v>
      </c>
      <c r="AS497" t="s">
        <v>3252</v>
      </c>
      <c r="AT497" t="s">
        <v>9</v>
      </c>
      <c r="AU497" t="s">
        <v>12548</v>
      </c>
      <c r="AV497" t="s">
        <v>12549</v>
      </c>
      <c r="AW497" t="s">
        <v>6337</v>
      </c>
      <c r="AX497" t="s">
        <v>1774</v>
      </c>
      <c r="AY497" t="s">
        <v>6029</v>
      </c>
      <c r="AZ497" t="s">
        <v>2549</v>
      </c>
      <c r="BA497" t="s">
        <v>2846</v>
      </c>
      <c r="BB497" t="s">
        <v>9</v>
      </c>
      <c r="BC497" t="s">
        <v>1492</v>
      </c>
      <c r="BD497" t="s">
        <v>6031</v>
      </c>
      <c r="BE497" t="s">
        <v>9</v>
      </c>
      <c r="BF497" t="s">
        <v>9</v>
      </c>
      <c r="BG497" t="s">
        <v>9</v>
      </c>
      <c r="BH497" t="s">
        <v>1774</v>
      </c>
      <c r="BI497" t="s">
        <v>45</v>
      </c>
      <c r="BJ497" t="s">
        <v>6029</v>
      </c>
      <c r="BK497" t="s">
        <v>1231</v>
      </c>
      <c r="BL497" t="s">
        <v>2624</v>
      </c>
      <c r="BM497" t="s">
        <v>1492</v>
      </c>
      <c r="BN497">
        <v>13.67</v>
      </c>
      <c r="BO497">
        <v>23.05</v>
      </c>
      <c r="BP497">
        <v>11.26</v>
      </c>
      <c r="BQ497">
        <v>12.96</v>
      </c>
      <c r="BR497">
        <v>21.09</v>
      </c>
      <c r="BS497">
        <v>8.48</v>
      </c>
      <c r="BT497" t="s">
        <v>4981</v>
      </c>
      <c r="BU497" t="s">
        <v>489</v>
      </c>
      <c r="BV497">
        <v>50.89</v>
      </c>
      <c r="BW497">
        <v>47.24</v>
      </c>
      <c r="BX497">
        <v>44.25</v>
      </c>
      <c r="BY497">
        <v>28.93</v>
      </c>
      <c r="BZ497">
        <v>32.200000000000003</v>
      </c>
      <c r="CA497">
        <v>23.08</v>
      </c>
      <c r="CB497">
        <v>-3.56</v>
      </c>
      <c r="CC497">
        <v>-21.46</v>
      </c>
      <c r="CD497" t="s">
        <v>12550</v>
      </c>
      <c r="CE497" t="s">
        <v>12551</v>
      </c>
      <c r="CF497" s="8">
        <v>-0.42086614173228348</v>
      </c>
      <c r="CG497" s="9">
        <v>-0.57789999999999997</v>
      </c>
      <c r="CH497" s="8">
        <v>-0.26089596748352051</v>
      </c>
      <c r="CI497" s="8">
        <v>1.0347321033477783</v>
      </c>
      <c r="CJ497" s="8">
        <v>0.51698315143585205</v>
      </c>
      <c r="CK497" s="8">
        <v>0.80192768573760986</v>
      </c>
      <c r="CL497" s="8" t="s">
        <v>9</v>
      </c>
      <c r="CM497" s="9">
        <v>0.89831811189651489</v>
      </c>
      <c r="CN497" s="9">
        <v>0.52447551488876343</v>
      </c>
      <c r="CO497" s="9" t="s">
        <v>9</v>
      </c>
      <c r="CP497" s="9" t="s">
        <v>9</v>
      </c>
      <c r="CQ497" s="9" t="s">
        <v>9</v>
      </c>
      <c r="CR497">
        <v>35.977627709010406</v>
      </c>
      <c r="CS497">
        <v>2.9892135175202399</v>
      </c>
      <c r="CT497">
        <v>0</v>
      </c>
      <c r="CU497" s="8">
        <v>0.1203581728041172</v>
      </c>
      <c r="CV497" s="9">
        <v>0.53840237185358997</v>
      </c>
      <c r="CW497">
        <v>0.06</v>
      </c>
      <c r="CX497">
        <v>0.5451701486914089</v>
      </c>
      <c r="CY497">
        <v>2624386172.7100215</v>
      </c>
      <c r="CZ497">
        <v>0.1203581728041172</v>
      </c>
      <c r="DA497">
        <v>0.17365055437531121</v>
      </c>
      <c r="DB497">
        <v>8239173235.8524227</v>
      </c>
      <c r="DC497">
        <v>0.11434026416391134</v>
      </c>
      <c r="DD497">
        <v>8.257294565840656E-2</v>
      </c>
      <c r="DE497">
        <v>17326946357.451885</v>
      </c>
      <c r="DF497">
        <v>0.10591519206762313</v>
      </c>
      <c r="DG497">
        <v>4.7660121938650393E-2</v>
      </c>
      <c r="DH497">
        <v>30019583286.876389</v>
      </c>
      <c r="DI497">
        <v>9.6286538243293765E-2</v>
      </c>
      <c r="DJ497">
        <v>2.2527580096129457E-2</v>
      </c>
      <c r="DK497">
        <v>63510461127.860779</v>
      </c>
      <c r="DL497">
        <v>8.4250720962882039E-2</v>
      </c>
      <c r="DM497">
        <v>2483000000</v>
      </c>
      <c r="DN497">
        <v>0.1203581728041172</v>
      </c>
      <c r="DO497">
        <v>1430737000</v>
      </c>
      <c r="DP497" t="e">
        <v>#VALUE!</v>
      </c>
      <c r="DQ497">
        <v>497</v>
      </c>
      <c r="DR497">
        <v>-0.54122431453640063</v>
      </c>
      <c r="DS497">
        <v>-1.1163023718535898</v>
      </c>
      <c r="DT497">
        <v>-0.19000000000000003</v>
      </c>
      <c r="DU497">
        <v>0.73</v>
      </c>
      <c r="DV497">
        <v>0.53999999999999992</v>
      </c>
      <c r="DW497">
        <v>-8.1658900279589943</v>
      </c>
      <c r="DX497">
        <v>0.47352418932818352</v>
      </c>
      <c r="DY497">
        <v>-8.017173630662084</v>
      </c>
      <c r="DZ497">
        <v>0</v>
      </c>
      <c r="EA497">
        <v>-8.017173630662084</v>
      </c>
      <c r="EB497">
        <v>8</v>
      </c>
      <c r="EC497">
        <v>1.5527583410824644E-3</v>
      </c>
      <c r="ED497">
        <v>1.4998990585282715E-2</v>
      </c>
      <c r="EE497">
        <v>0</v>
      </c>
      <c r="EF497">
        <v>0</v>
      </c>
      <c r="EG497">
        <v>37.103524189328184</v>
      </c>
      <c r="EH497" t="s">
        <v>110</v>
      </c>
      <c r="EI497">
        <v>0</v>
      </c>
      <c r="EJ497">
        <v>0</v>
      </c>
      <c r="EK497">
        <v>0</v>
      </c>
      <c r="EL497">
        <v>0</v>
      </c>
      <c r="EM497">
        <v>0</v>
      </c>
      <c r="EN497">
        <v>0</v>
      </c>
      <c r="EO497">
        <v>0</v>
      </c>
      <c r="EP497">
        <v>0</v>
      </c>
    </row>
    <row r="498" spans="1:146" ht="96" x14ac:dyDescent="0.25">
      <c r="A498" s="7"/>
      <c r="B498" s="7"/>
      <c r="C498" s="7" t="str">
        <f>""&amp;CHAR(10)&amp;Basic_Fundamental_Information_Constructure(F498)&amp;CHAR(10)&amp;Basic_Fundamental_Information_Concatenate("")</f>
        <v xml:space="preserve">
市值73.590592亿, 利润4.56亿; PE15.71; 平均PE32.48; 平均PEG2.05, PB1.19; ROIC5.4867%; ROE5.5967%; 股利率0%; 毛利70.37%; 净利14.8467%; 上一年度营收增21.7%, 利润增5.8%; 当季营收增19.28%, 利润增13.39%; 过往5年营收增15.87%, 利润增21.35%
Income profile:
</v>
      </c>
      <c r="D498" s="11">
        <v>6826</v>
      </c>
      <c r="E498" t="s">
        <v>6032</v>
      </c>
      <c r="F498">
        <v>31.25</v>
      </c>
      <c r="G498" s="5">
        <v>4.7999999999999996E-3</v>
      </c>
      <c r="H498" t="s">
        <v>12552</v>
      </c>
      <c r="I498">
        <v>7359059200</v>
      </c>
      <c r="J498">
        <v>15.71</v>
      </c>
      <c r="K498">
        <v>1.19</v>
      </c>
      <c r="L498" t="s">
        <v>6350</v>
      </c>
      <c r="M498" t="s">
        <v>4331</v>
      </c>
      <c r="N498" t="s">
        <v>2515</v>
      </c>
      <c r="O498" t="s">
        <v>2787</v>
      </c>
      <c r="P498">
        <v>5.68</v>
      </c>
      <c r="Q498" t="s">
        <v>11818</v>
      </c>
      <c r="R498">
        <v>379102500</v>
      </c>
      <c r="S498" s="5">
        <v>0.13389999999999999</v>
      </c>
      <c r="T498" t="s">
        <v>12553</v>
      </c>
      <c r="U498">
        <v>29598600</v>
      </c>
      <c r="V498">
        <v>168707200</v>
      </c>
      <c r="W498">
        <v>1.25</v>
      </c>
      <c r="X498">
        <v>0.09</v>
      </c>
      <c r="Y498">
        <v>17.8</v>
      </c>
      <c r="Z498" t="s">
        <v>6981</v>
      </c>
      <c r="AA498" t="s">
        <v>3452</v>
      </c>
      <c r="AB498" t="s">
        <v>3452</v>
      </c>
      <c r="AC498" t="s">
        <v>2232</v>
      </c>
      <c r="AD498" t="s">
        <v>1838</v>
      </c>
      <c r="AE498" t="s">
        <v>12554</v>
      </c>
      <c r="AF498" t="s">
        <v>9</v>
      </c>
      <c r="AG498" t="s">
        <v>12555</v>
      </c>
      <c r="AH498" t="s">
        <v>12556</v>
      </c>
      <c r="AI498" t="s">
        <v>11818</v>
      </c>
      <c r="AJ498" t="s">
        <v>10293</v>
      </c>
      <c r="AK498" t="s">
        <v>12557</v>
      </c>
      <c r="AL498" t="s">
        <v>9</v>
      </c>
      <c r="AM498" t="s">
        <v>1343</v>
      </c>
      <c r="AN498" s="5">
        <v>0.1489</v>
      </c>
      <c r="AO498" t="s">
        <v>8150</v>
      </c>
      <c r="AP498" t="s">
        <v>12558</v>
      </c>
      <c r="AQ498" t="s">
        <v>12559</v>
      </c>
      <c r="AR498" t="s">
        <v>1723</v>
      </c>
      <c r="AS498" t="s">
        <v>8870</v>
      </c>
      <c r="AT498" t="s">
        <v>915</v>
      </c>
      <c r="AU498" t="s">
        <v>2575</v>
      </c>
      <c r="AV498" t="s">
        <v>2429</v>
      </c>
      <c r="AW498" t="s">
        <v>202</v>
      </c>
      <c r="AX498" t="s">
        <v>6033</v>
      </c>
      <c r="AY498" t="s">
        <v>6035</v>
      </c>
      <c r="AZ498" t="s">
        <v>1282</v>
      </c>
      <c r="BA498" t="s">
        <v>6036</v>
      </c>
      <c r="BB498" t="s">
        <v>4500</v>
      </c>
      <c r="BC498" t="s">
        <v>1417</v>
      </c>
      <c r="BD498" t="s">
        <v>736</v>
      </c>
      <c r="BE498" t="s">
        <v>1968</v>
      </c>
      <c r="BF498" t="s">
        <v>36</v>
      </c>
      <c r="BG498" t="s">
        <v>75</v>
      </c>
      <c r="BH498" t="s">
        <v>6033</v>
      </c>
      <c r="BI498" t="s">
        <v>1972</v>
      </c>
      <c r="BJ498" t="s">
        <v>6035</v>
      </c>
      <c r="BK498" t="s">
        <v>3770</v>
      </c>
      <c r="BL498" t="s">
        <v>6037</v>
      </c>
      <c r="BM498" t="s">
        <v>1417</v>
      </c>
      <c r="BN498">
        <v>7.12</v>
      </c>
      <c r="BO498">
        <v>3.16</v>
      </c>
      <c r="BP498">
        <v>6.18</v>
      </c>
      <c r="BQ498">
        <v>7.36</v>
      </c>
      <c r="BR498">
        <v>3.27</v>
      </c>
      <c r="BS498">
        <v>6.16</v>
      </c>
      <c r="BT498" t="s">
        <v>6313</v>
      </c>
      <c r="BU498" t="s">
        <v>2382</v>
      </c>
      <c r="BV498">
        <v>70.34</v>
      </c>
      <c r="BW498">
        <v>68.790000000000006</v>
      </c>
      <c r="BX498">
        <v>71.98</v>
      </c>
      <c r="BY498">
        <v>15.65</v>
      </c>
      <c r="BZ498">
        <v>9.0500000000000007</v>
      </c>
      <c r="CA498">
        <v>19.84</v>
      </c>
      <c r="CB498">
        <v>1.96</v>
      </c>
      <c r="CC498">
        <v>6.18</v>
      </c>
      <c r="CD498" t="s">
        <v>12560</v>
      </c>
      <c r="CE498" t="s">
        <v>12561</v>
      </c>
      <c r="CF498" s="8">
        <v>0.19277108433734941</v>
      </c>
      <c r="CG498" s="9">
        <v>0.13389999999999999</v>
      </c>
      <c r="CH498" s="8">
        <v>0.21702489256858826</v>
      </c>
      <c r="CI498" s="8">
        <v>0.10732611268758774</v>
      </c>
      <c r="CJ498" s="8">
        <v>0.35718807578086853</v>
      </c>
      <c r="CK498" s="8">
        <v>-0.10284087061882019</v>
      </c>
      <c r="CL498" s="8">
        <v>9.1811411082744598E-2</v>
      </c>
      <c r="CM498" s="9">
        <v>5.800464004278183E-2</v>
      </c>
      <c r="CN498" s="9">
        <v>0.57299268245697021</v>
      </c>
      <c r="CO498" s="9">
        <v>-0.33816424012184143</v>
      </c>
      <c r="CP498" s="9">
        <v>-0.12288135290145874</v>
      </c>
      <c r="CQ498" s="9">
        <v>5.8295965194702148E-2</v>
      </c>
      <c r="CR498">
        <v>32.48060970132115</v>
      </c>
      <c r="CS498">
        <v>2.0462450123989178</v>
      </c>
      <c r="CT498">
        <v>0</v>
      </c>
      <c r="CU498" s="8">
        <v>0.15873274952173233</v>
      </c>
      <c r="CV498" s="9">
        <v>0.2134952086955309</v>
      </c>
      <c r="CW498">
        <v>0.06</v>
      </c>
      <c r="CX498">
        <v>3.8338214380960101</v>
      </c>
      <c r="CY498">
        <v>498473711.11500931</v>
      </c>
      <c r="CZ498">
        <v>0.15873274952173233</v>
      </c>
      <c r="DA498">
        <v>1.1825669963247329</v>
      </c>
      <c r="DB498">
        <v>1616026158.2974391</v>
      </c>
      <c r="DC498">
        <v>0.15079611204564572</v>
      </c>
      <c r="DD498">
        <v>0.53784833375041918</v>
      </c>
      <c r="DE498">
        <v>3553156308.3484416</v>
      </c>
      <c r="DF498">
        <v>0.13968481957912446</v>
      </c>
      <c r="DG498">
        <v>0.29460047758097058</v>
      </c>
      <c r="DH498">
        <v>6486952145.1293221</v>
      </c>
      <c r="DI498">
        <v>0.12698619961738586</v>
      </c>
      <c r="DJ498">
        <v>0.12320665723233097</v>
      </c>
      <c r="DK498">
        <v>15511006003.484964</v>
      </c>
      <c r="DL498">
        <v>0.11111292466521262</v>
      </c>
      <c r="DM498">
        <v>455999999.99999994</v>
      </c>
      <c r="DN498">
        <v>0.15873274952173233</v>
      </c>
      <c r="DO498">
        <v>1911059200</v>
      </c>
      <c r="DP498" t="e">
        <v>#VALUE!</v>
      </c>
      <c r="DQ498">
        <v>498</v>
      </c>
      <c r="DR498">
        <v>3.4038334815617077E-2</v>
      </c>
      <c r="DS498">
        <v>-7.9595208695530911E-2</v>
      </c>
      <c r="DT498">
        <v>-5.6666666666666719E-2</v>
      </c>
      <c r="DU498">
        <v>0.8833333333333333</v>
      </c>
      <c r="DV498">
        <v>0.82666666666666655</v>
      </c>
      <c r="DW498">
        <v>2.0617999999999999</v>
      </c>
      <c r="DX498">
        <v>0.40468455094899652</v>
      </c>
      <c r="DY498">
        <v>2.013885505248648</v>
      </c>
      <c r="DZ498">
        <v>0</v>
      </c>
      <c r="EA498">
        <v>2.013885505248648</v>
      </c>
      <c r="EB498">
        <v>2</v>
      </c>
      <c r="EC498">
        <v>5.0240890726655409E-3</v>
      </c>
      <c r="ED498">
        <v>2.236063428235428E-2</v>
      </c>
      <c r="EE498">
        <v>0</v>
      </c>
      <c r="EF498">
        <v>0</v>
      </c>
      <c r="EG498">
        <v>18.224684550948997</v>
      </c>
      <c r="EH498" t="s">
        <v>110</v>
      </c>
      <c r="EI498">
        <v>1</v>
      </c>
      <c r="EJ498">
        <v>0</v>
      </c>
      <c r="EK498">
        <v>0</v>
      </c>
      <c r="EL498">
        <v>0</v>
      </c>
      <c r="EM498">
        <v>0</v>
      </c>
      <c r="EN498">
        <v>0</v>
      </c>
      <c r="EO498">
        <v>0</v>
      </c>
      <c r="EP498">
        <v>0</v>
      </c>
    </row>
    <row r="499" spans="1:146" ht="96" x14ac:dyDescent="0.25">
      <c r="A499" s="7"/>
      <c r="B499" s="7"/>
      <c r="C499" s="7" t="str">
        <f>""&amp;CHAR(10)&amp;Basic_Fundamental_Information_Constructure(F499)&amp;CHAR(10)&amp;Basic_Fundamental_Information_Concatenate("")</f>
        <v xml:space="preserve">
市值472.92404亿, 利润11.05亿; PE; 平均PE172.99; 平均PEG9.55, PB.267; ROIC0%; ROE4.1533%; 毛利0%; 净利11.8067%; 上一年度营收增-3.33%, 利润增-92.96%; 当季营收增-52.41%, 利润增-64.66%; 过往5年营收增18.11%, 利润增30.04%
Income profile:
</v>
      </c>
      <c r="D499" s="11">
        <v>6837</v>
      </c>
      <c r="E499" t="s">
        <v>6038</v>
      </c>
      <c r="F499">
        <v>3.62</v>
      </c>
      <c r="G499" s="5">
        <v>-3.7199999999999997E-2</v>
      </c>
      <c r="H499" t="s">
        <v>12562</v>
      </c>
      <c r="I499">
        <v>47292404000</v>
      </c>
      <c r="K499">
        <v>0.26700000000000002</v>
      </c>
      <c r="L499" t="s">
        <v>6350</v>
      </c>
      <c r="M499" t="s">
        <v>12563</v>
      </c>
      <c r="N499" t="s">
        <v>12564</v>
      </c>
      <c r="O499" t="s">
        <v>5003</v>
      </c>
      <c r="P499">
        <v>-24.08</v>
      </c>
      <c r="Q499" t="s">
        <v>12565</v>
      </c>
      <c r="R499">
        <v>1105414660</v>
      </c>
      <c r="S499" s="5">
        <v>-0.64659999999999995</v>
      </c>
      <c r="T499" t="s">
        <v>9980</v>
      </c>
      <c r="U499">
        <v>3409568800</v>
      </c>
      <c r="V499">
        <v>13064200000</v>
      </c>
      <c r="W499">
        <v>4.34</v>
      </c>
      <c r="X499">
        <v>0.01</v>
      </c>
      <c r="Y499">
        <v>38.229999999999997</v>
      </c>
      <c r="Z499" t="s">
        <v>9</v>
      </c>
      <c r="AA499" t="s">
        <v>9</v>
      </c>
      <c r="AB499" t="s">
        <v>9</v>
      </c>
      <c r="AC499" t="s">
        <v>12566</v>
      </c>
      <c r="AD499" t="s">
        <v>9</v>
      </c>
      <c r="AE499" t="s">
        <v>9</v>
      </c>
      <c r="AF499" t="s">
        <v>132</v>
      </c>
      <c r="AG499" t="s">
        <v>8106</v>
      </c>
      <c r="AH499" t="s">
        <v>12567</v>
      </c>
      <c r="AI499" t="s">
        <v>12568</v>
      </c>
      <c r="AJ499" t="s">
        <v>12569</v>
      </c>
      <c r="AK499" t="s">
        <v>12570</v>
      </c>
      <c r="AL499" t="s">
        <v>9</v>
      </c>
      <c r="AM499" t="s">
        <v>8897</v>
      </c>
      <c r="AN499" s="5">
        <v>0.75819999999999999</v>
      </c>
      <c r="AO499" t="s">
        <v>12571</v>
      </c>
      <c r="AP499" t="s">
        <v>12572</v>
      </c>
      <c r="AQ499" t="s">
        <v>3434</v>
      </c>
      <c r="AR499" t="s">
        <v>12573</v>
      </c>
      <c r="AS499" t="s">
        <v>12574</v>
      </c>
      <c r="AT499" t="s">
        <v>12575</v>
      </c>
      <c r="AU499" t="s">
        <v>12576</v>
      </c>
      <c r="AV499" t="s">
        <v>12577</v>
      </c>
      <c r="AW499" t="s">
        <v>12578</v>
      </c>
      <c r="AX499" t="s">
        <v>6039</v>
      </c>
      <c r="AY499" t="s">
        <v>6042</v>
      </c>
      <c r="AZ499" t="s">
        <v>6043</v>
      </c>
      <c r="BA499" t="s">
        <v>6044</v>
      </c>
      <c r="BB499" t="s">
        <v>6045</v>
      </c>
      <c r="BC499" t="s">
        <v>6046</v>
      </c>
      <c r="BD499" t="s">
        <v>2218</v>
      </c>
      <c r="BE499" t="s">
        <v>4040</v>
      </c>
      <c r="BF499" t="s">
        <v>2319</v>
      </c>
      <c r="BG499" t="s">
        <v>6047</v>
      </c>
      <c r="BH499" t="s">
        <v>6039</v>
      </c>
      <c r="BI499" t="s">
        <v>6048</v>
      </c>
      <c r="BJ499" t="s">
        <v>6042</v>
      </c>
      <c r="BK499" t="s">
        <v>6040</v>
      </c>
      <c r="BL499" t="s">
        <v>3277</v>
      </c>
      <c r="BM499" t="s">
        <v>6046</v>
      </c>
      <c r="BN499" t="s">
        <v>9</v>
      </c>
      <c r="BO499" t="s">
        <v>9</v>
      </c>
      <c r="BP499" t="s">
        <v>9</v>
      </c>
      <c r="BQ499">
        <v>0.62</v>
      </c>
      <c r="BR499">
        <v>3.98</v>
      </c>
      <c r="BS499">
        <v>7.86</v>
      </c>
      <c r="BT499" t="s">
        <v>9897</v>
      </c>
      <c r="BU499" t="s">
        <v>826</v>
      </c>
      <c r="BV499" t="s">
        <v>9</v>
      </c>
      <c r="BW499" t="s">
        <v>9</v>
      </c>
      <c r="BX499" t="s">
        <v>9</v>
      </c>
      <c r="BY499">
        <v>-0.74</v>
      </c>
      <c r="BZ499">
        <v>12.38</v>
      </c>
      <c r="CA499">
        <v>23.78</v>
      </c>
      <c r="CB499">
        <v>-7.42</v>
      </c>
      <c r="CC499">
        <v>-5.24</v>
      </c>
      <c r="CD499" t="s">
        <v>12579</v>
      </c>
      <c r="CE499" t="s">
        <v>247</v>
      </c>
      <c r="CF499" s="8">
        <v>-0.52413627061514378</v>
      </c>
      <c r="CG499" s="9">
        <v>-0.64659999999999995</v>
      </c>
      <c r="CH499" s="8">
        <v>-3.3257361501455307E-2</v>
      </c>
      <c r="CI499" s="8">
        <v>-0.33098825812339783</v>
      </c>
      <c r="CJ499" s="8">
        <v>9.4214208424091339E-2</v>
      </c>
      <c r="CK499" s="8">
        <v>0.46932694315910339</v>
      </c>
      <c r="CL499" s="8">
        <v>-0.11131515353918076</v>
      </c>
      <c r="CM499" s="9">
        <v>-0.92964476346969604</v>
      </c>
      <c r="CN499" s="9">
        <v>0.21169576048851013</v>
      </c>
      <c r="CO499" s="9">
        <v>0.21800413727760315</v>
      </c>
      <c r="CP499" s="9">
        <v>0.79369622468948364</v>
      </c>
      <c r="CQ499" s="9">
        <v>-0.42582014203071594</v>
      </c>
      <c r="CR499">
        <v>172.99260468907207</v>
      </c>
      <c r="CS499">
        <v>9.5546732135234276</v>
      </c>
      <c r="CT499" t="e">
        <v>#VALUE!</v>
      </c>
      <c r="CU499" s="8">
        <v>0.18105549067258836</v>
      </c>
      <c r="CV499" s="9">
        <v>0.30041733682155608</v>
      </c>
      <c r="CW499">
        <v>0.06</v>
      </c>
      <c r="CX499">
        <v>361.37535849848973</v>
      </c>
      <c r="CY499">
        <v>1231194638.8615189</v>
      </c>
      <c r="CZ499">
        <v>0.18105549067258836</v>
      </c>
      <c r="DA499">
        <v>109.42004145247654</v>
      </c>
      <c r="DB499">
        <v>4066196631.7499499</v>
      </c>
      <c r="DC499">
        <v>0.17200271613895893</v>
      </c>
      <c r="DD499">
        <v>48.478600233329139</v>
      </c>
      <c r="DE499">
        <v>9177727943.0216351</v>
      </c>
      <c r="DF499">
        <v>0.15932883179187776</v>
      </c>
      <c r="DG499">
        <v>25.729459392886689</v>
      </c>
      <c r="DH499">
        <v>17292372809.162327</v>
      </c>
      <c r="DI499">
        <v>0.14484439253807069</v>
      </c>
      <c r="DJ499">
        <v>9.9740170886911859</v>
      </c>
      <c r="DK499">
        <v>44608245608.929863</v>
      </c>
      <c r="DL499">
        <v>0.12673884347081185</v>
      </c>
      <c r="DM499">
        <v>1105000000</v>
      </c>
      <c r="DN499">
        <v>0.18105549067258836</v>
      </c>
      <c r="DO499">
        <v>444923404000</v>
      </c>
      <c r="DP499" t="e">
        <v>#VALUE!</v>
      </c>
      <c r="DQ499">
        <v>499</v>
      </c>
      <c r="DR499">
        <v>-0.70519176128773209</v>
      </c>
      <c r="DS499">
        <v>-0.94701733682155598</v>
      </c>
      <c r="DT499">
        <v>-0.3066666666666667</v>
      </c>
      <c r="DU499">
        <v>-8.6666666666666628E-2</v>
      </c>
      <c r="DV499">
        <v>-0.39333333333333331</v>
      </c>
      <c r="DW499">
        <v>-5.7061994609164417</v>
      </c>
      <c r="DX499">
        <v>0.43646344647519569</v>
      </c>
      <c r="DY499">
        <v>-5.0893084177264187</v>
      </c>
      <c r="DZ499">
        <v>0</v>
      </c>
      <c r="EA499">
        <v>-5.0893084177264187</v>
      </c>
      <c r="EB499">
        <v>5</v>
      </c>
      <c r="EC499">
        <v>3.7074983542811652E-3</v>
      </c>
      <c r="ED499">
        <v>2.9316758775891367E-2</v>
      </c>
      <c r="EE499">
        <v>0</v>
      </c>
      <c r="EF499">
        <v>0</v>
      </c>
      <c r="EG499">
        <v>31.126463446475196</v>
      </c>
      <c r="EH499" t="s">
        <v>110</v>
      </c>
      <c r="EI499">
        <v>0</v>
      </c>
      <c r="EJ499">
        <v>0</v>
      </c>
      <c r="EK499">
        <v>0</v>
      </c>
      <c r="EL499">
        <v>0</v>
      </c>
      <c r="EM499">
        <v>0</v>
      </c>
      <c r="EN499">
        <v>0</v>
      </c>
      <c r="EO499">
        <v>0</v>
      </c>
      <c r="EP499">
        <v>0</v>
      </c>
    </row>
    <row r="500" spans="1:146" ht="84" x14ac:dyDescent="0.25">
      <c r="A500" s="7"/>
      <c r="B500" s="7"/>
      <c r="C500" s="7" t="str">
        <f>""&amp;CHAR(10)&amp;Basic_Fundamental_Information_Constructure(F500)&amp;CHAR(10)&amp;Basic_Fundamental_Information_Concatenate("")</f>
        <v xml:space="preserve">
市值79.607362亿, 利润-10.15亿; PE; 平均PE-64.35; 平均PEG-2.81, PB120.2; ROIC-42.2533%; ROE-603.8333%; 股利率0%; 毛利87.9433%; 净利-1213.8067%; 上一年度营收增2.53%, 利润增-5.95%, 利润增-1.87%; 过往5年营收增22.87%, 利润增31.87%
Income profile:
</v>
      </c>
      <c r="D500" s="11">
        <v>6855</v>
      </c>
      <c r="E500" t="s">
        <v>6049</v>
      </c>
      <c r="F500">
        <v>25.3</v>
      </c>
      <c r="G500" s="5">
        <v>-2E-3</v>
      </c>
      <c r="H500" t="s">
        <v>12580</v>
      </c>
      <c r="I500">
        <v>7960736200</v>
      </c>
      <c r="K500">
        <v>120.2</v>
      </c>
      <c r="L500" t="s">
        <v>6350</v>
      </c>
      <c r="M500" t="s">
        <v>9</v>
      </c>
      <c r="N500" t="s">
        <v>9</v>
      </c>
      <c r="O500" t="s">
        <v>9</v>
      </c>
      <c r="P500" t="s">
        <v>9</v>
      </c>
      <c r="Q500" t="s">
        <v>1807</v>
      </c>
      <c r="R500">
        <v>-1014683280</v>
      </c>
      <c r="S500" s="5">
        <v>-1.8700000000000001E-2</v>
      </c>
      <c r="T500" t="s">
        <v>12581</v>
      </c>
      <c r="U500">
        <v>290212060</v>
      </c>
      <c r="V500">
        <v>290212060</v>
      </c>
      <c r="W500" t="s">
        <v>9</v>
      </c>
      <c r="X500" t="s">
        <v>9</v>
      </c>
      <c r="Y500" t="s">
        <v>9</v>
      </c>
      <c r="Z500" t="s">
        <v>9</v>
      </c>
      <c r="AA500" t="s">
        <v>9</v>
      </c>
      <c r="AB500" t="s">
        <v>9</v>
      </c>
      <c r="AC500" t="s">
        <v>9</v>
      </c>
      <c r="AD500" t="s">
        <v>7009</v>
      </c>
      <c r="AE500" t="s">
        <v>9</v>
      </c>
      <c r="AF500" t="s">
        <v>9</v>
      </c>
      <c r="AG500" t="s">
        <v>9</v>
      </c>
      <c r="AH500" t="s">
        <v>12582</v>
      </c>
      <c r="AI500" t="s">
        <v>9</v>
      </c>
      <c r="AJ500" t="s">
        <v>9</v>
      </c>
      <c r="AK500" t="s">
        <v>12583</v>
      </c>
      <c r="AL500" t="s">
        <v>9</v>
      </c>
      <c r="AM500" t="s">
        <v>9</v>
      </c>
      <c r="AN500" s="5">
        <v>0.9718</v>
      </c>
      <c r="AO500" t="s">
        <v>9</v>
      </c>
      <c r="AP500" t="s">
        <v>12584</v>
      </c>
      <c r="AQ500" t="s">
        <v>9</v>
      </c>
      <c r="AR500" t="s">
        <v>3676</v>
      </c>
      <c r="AS500" t="s">
        <v>9</v>
      </c>
      <c r="AT500" t="s">
        <v>9</v>
      </c>
      <c r="AU500" t="s">
        <v>4954</v>
      </c>
      <c r="AV500" t="s">
        <v>12585</v>
      </c>
      <c r="AW500" t="s">
        <v>9</v>
      </c>
      <c r="AX500" t="s">
        <v>1944</v>
      </c>
      <c r="AY500" t="s">
        <v>6051</v>
      </c>
      <c r="AZ500" t="s">
        <v>6052</v>
      </c>
      <c r="BA500" t="s">
        <v>6053</v>
      </c>
      <c r="BB500" t="s">
        <v>6054</v>
      </c>
      <c r="BC500" t="s">
        <v>6055</v>
      </c>
      <c r="BD500" t="s">
        <v>6056</v>
      </c>
      <c r="BE500" t="s">
        <v>6057</v>
      </c>
      <c r="BF500" t="s">
        <v>6058</v>
      </c>
      <c r="BG500" t="s">
        <v>6059</v>
      </c>
      <c r="BH500" t="s">
        <v>1944</v>
      </c>
      <c r="BI500" t="s">
        <v>9</v>
      </c>
      <c r="BJ500" t="s">
        <v>6051</v>
      </c>
      <c r="BK500" t="s">
        <v>6050</v>
      </c>
      <c r="BL500" t="s">
        <v>9</v>
      </c>
      <c r="BM500" t="s">
        <v>6055</v>
      </c>
      <c r="BN500">
        <v>-45.63</v>
      </c>
      <c r="BO500">
        <v>-39.04</v>
      </c>
      <c r="BP500">
        <v>-42.09</v>
      </c>
      <c r="BQ500">
        <v>-1532.08</v>
      </c>
      <c r="BR500">
        <v>-216.05</v>
      </c>
      <c r="BS500">
        <v>-63.37</v>
      </c>
      <c r="BT500" t="s">
        <v>9</v>
      </c>
      <c r="BU500" t="s">
        <v>489</v>
      </c>
      <c r="BV500">
        <v>86.24</v>
      </c>
      <c r="BW500">
        <v>89.51</v>
      </c>
      <c r="BX500">
        <v>88.08</v>
      </c>
      <c r="BY500">
        <v>-417.02</v>
      </c>
      <c r="BZ500">
        <v>-421.02</v>
      </c>
      <c r="CA500">
        <v>-2803.38</v>
      </c>
      <c r="CB500">
        <v>1</v>
      </c>
      <c r="CC500">
        <v>20.48</v>
      </c>
      <c r="CD500" t="s">
        <v>12586</v>
      </c>
      <c r="CE500" t="s">
        <v>12587</v>
      </c>
      <c r="CF500" s="8" t="s">
        <v>9</v>
      </c>
      <c r="CG500" s="9">
        <v>-1.8700000000000001E-2</v>
      </c>
      <c r="CH500" s="8">
        <v>2.5316456332802773E-2</v>
      </c>
      <c r="CI500" s="8">
        <v>5.9347314834594727</v>
      </c>
      <c r="CJ500" s="8">
        <v>1.3030756711959839</v>
      </c>
      <c r="CK500" s="8">
        <v>0.91461193561553955</v>
      </c>
      <c r="CL500" s="8">
        <v>2.1603880450129509E-2</v>
      </c>
      <c r="CM500" s="9">
        <v>-5.9498954564332962E-2</v>
      </c>
      <c r="CN500" s="9">
        <v>-0.18564356863498688</v>
      </c>
      <c r="CO500" s="9">
        <v>0.51178246736526489</v>
      </c>
      <c r="CP500" s="9">
        <v>-3.2111961841583252</v>
      </c>
      <c r="CQ500" s="9">
        <v>-1.7676056623458862</v>
      </c>
      <c r="CR500">
        <v>-64.352937831999668</v>
      </c>
      <c r="CS500">
        <v>-2.8140125642529896</v>
      </c>
      <c r="CT500">
        <v>0</v>
      </c>
      <c r="CU500" s="8">
        <v>0.22868745736777782</v>
      </c>
      <c r="CV500" s="9">
        <v>0.31866760551929474</v>
      </c>
      <c r="CW500">
        <v>0.06</v>
      </c>
      <c r="CX500" t="e">
        <v>#VALUE!</v>
      </c>
      <c r="CY500" t="s">
        <v>109</v>
      </c>
      <c r="CZ500">
        <v>0.22868745736777782</v>
      </c>
      <c r="DA500" t="e">
        <v>#VALUE!</v>
      </c>
      <c r="DB500" t="s">
        <v>108</v>
      </c>
      <c r="DC500">
        <v>0.2172530844993889</v>
      </c>
      <c r="DD500" t="e">
        <v>#VALUE!</v>
      </c>
      <c r="DE500" t="s">
        <v>108</v>
      </c>
      <c r="DF500">
        <v>0.20124496248364449</v>
      </c>
      <c r="DG500" t="e">
        <v>#VALUE!</v>
      </c>
      <c r="DH500" t="s">
        <v>108</v>
      </c>
      <c r="DI500">
        <v>0.18294996589422227</v>
      </c>
      <c r="DJ500" t="e">
        <v>#VALUE!</v>
      </c>
      <c r="DK500" t="s">
        <v>108</v>
      </c>
      <c r="DL500">
        <v>0.16008122015744447</v>
      </c>
      <c r="DM500">
        <v>-1015000000</v>
      </c>
      <c r="DN500">
        <v>0.22868745736777782</v>
      </c>
      <c r="DO500">
        <v>7960736200</v>
      </c>
      <c r="DP500" t="e">
        <v>#VALUE!</v>
      </c>
      <c r="DQ500">
        <v>500</v>
      </c>
      <c r="DR500" t="e">
        <v>#VALUE!</v>
      </c>
      <c r="DS500">
        <v>-0.33736760551929473</v>
      </c>
      <c r="DT500" t="e">
        <v>#VALUE!</v>
      </c>
      <c r="DU500" t="e">
        <v>#VALUE!</v>
      </c>
      <c r="DV500" t="e">
        <v>#VALUE!</v>
      </c>
      <c r="DW500">
        <v>3.0506666666666669</v>
      </c>
      <c r="DX500">
        <v>0.28746327012966005</v>
      </c>
      <c r="DY500">
        <v>3.0054448056865692</v>
      </c>
      <c r="DZ500">
        <v>0</v>
      </c>
      <c r="EA500">
        <v>3.0054448056865692</v>
      </c>
      <c r="EB500">
        <v>3</v>
      </c>
      <c r="EC500">
        <v>2.1024970499158444E-2</v>
      </c>
      <c r="ED500">
        <v>0.19564796859234587</v>
      </c>
      <c r="EE500">
        <v>0</v>
      </c>
      <c r="EF500">
        <v>0</v>
      </c>
      <c r="EG500">
        <v>18.10746327012966</v>
      </c>
      <c r="EH500" t="s">
        <v>110</v>
      </c>
      <c r="EI500">
        <v>0</v>
      </c>
      <c r="EJ500">
        <v>0</v>
      </c>
      <c r="EK500">
        <v>0</v>
      </c>
      <c r="EL500">
        <v>0</v>
      </c>
      <c r="EM500">
        <v>0</v>
      </c>
      <c r="EN500">
        <v>0</v>
      </c>
      <c r="EO500">
        <v>0</v>
      </c>
      <c r="EP500">
        <v>0</v>
      </c>
    </row>
    <row r="501" spans="1:146" ht="84" x14ac:dyDescent="0.25">
      <c r="A501" s="7"/>
      <c r="B501" s="7"/>
      <c r="C501" s="7" t="str">
        <f>""&amp;CHAR(10)&amp;Basic_Fundamental_Information_Constructure(F501)&amp;CHAR(10)&amp;Basic_Fundamental_Information_Concatenate("")</f>
        <v xml:space="preserve">
市值785.934亿, 利润49.32亿; PE15.94; 平均PE82.1; 平均PEG5.79, PB6.22; ROIC5.38%; ROE1.6333%; 股利率0%; 毛利58.16%; 净利1.5567%; 上一年度营收增29.78%, 利润增196.74%, 利润增218.1%; 过往5年营收增14.18%, 利润增14.24%
Income profile:
</v>
      </c>
      <c r="D501" s="11">
        <v>6862</v>
      </c>
      <c r="E501" t="s">
        <v>6060</v>
      </c>
      <c r="F501">
        <v>14.1</v>
      </c>
      <c r="G501" s="5">
        <v>-3.4200000000000001E-2</v>
      </c>
      <c r="H501" t="s">
        <v>12588</v>
      </c>
      <c r="I501">
        <v>78593400000</v>
      </c>
      <c r="J501">
        <v>15.94</v>
      </c>
      <c r="K501">
        <v>6.22</v>
      </c>
      <c r="L501" t="s">
        <v>6350</v>
      </c>
      <c r="M501" t="s">
        <v>9</v>
      </c>
      <c r="N501" t="s">
        <v>9</v>
      </c>
      <c r="O501" t="s">
        <v>9</v>
      </c>
      <c r="P501" t="s">
        <v>9</v>
      </c>
      <c r="Q501" t="s">
        <v>12589</v>
      </c>
      <c r="R501">
        <v>4931891500</v>
      </c>
      <c r="S501" s="5">
        <v>2.181</v>
      </c>
      <c r="T501" t="s">
        <v>4495</v>
      </c>
      <c r="U501">
        <v>5574000000</v>
      </c>
      <c r="V501">
        <v>5574000000</v>
      </c>
      <c r="W501" t="s">
        <v>9</v>
      </c>
      <c r="X501" t="s">
        <v>9</v>
      </c>
      <c r="Y501" t="s">
        <v>9</v>
      </c>
      <c r="Z501" t="s">
        <v>9</v>
      </c>
      <c r="AA501" t="s">
        <v>9</v>
      </c>
      <c r="AB501" t="s">
        <v>9</v>
      </c>
      <c r="AC501" t="s">
        <v>9</v>
      </c>
      <c r="AD501" t="s">
        <v>9</v>
      </c>
      <c r="AE501" t="s">
        <v>9</v>
      </c>
      <c r="AF501" t="s">
        <v>9</v>
      </c>
      <c r="AG501" t="s">
        <v>9</v>
      </c>
      <c r="AH501" t="s">
        <v>12590</v>
      </c>
      <c r="AI501" t="s">
        <v>9</v>
      </c>
      <c r="AJ501" t="s">
        <v>9</v>
      </c>
      <c r="AK501" t="s">
        <v>12591</v>
      </c>
      <c r="AL501" t="s">
        <v>9</v>
      </c>
      <c r="AM501" t="s">
        <v>9</v>
      </c>
      <c r="AN501" s="5">
        <v>0.5333</v>
      </c>
      <c r="AO501" t="s">
        <v>9</v>
      </c>
      <c r="AP501" t="s">
        <v>448</v>
      </c>
      <c r="AQ501" t="s">
        <v>9</v>
      </c>
      <c r="AR501" t="s">
        <v>12592</v>
      </c>
      <c r="AS501" t="s">
        <v>9</v>
      </c>
      <c r="AT501" t="s">
        <v>9</v>
      </c>
      <c r="AU501" t="s">
        <v>12593</v>
      </c>
      <c r="AV501" t="s">
        <v>12594</v>
      </c>
      <c r="AW501" t="s">
        <v>9</v>
      </c>
      <c r="AX501" t="s">
        <v>5790</v>
      </c>
      <c r="AY501" t="s">
        <v>6061</v>
      </c>
      <c r="AZ501" t="s">
        <v>6062</v>
      </c>
      <c r="BA501" t="s">
        <v>6063</v>
      </c>
      <c r="BB501" t="s">
        <v>6064</v>
      </c>
      <c r="BC501" t="s">
        <v>6065</v>
      </c>
      <c r="BD501" t="s">
        <v>1155</v>
      </c>
      <c r="BE501" t="s">
        <v>1582</v>
      </c>
      <c r="BF501" t="s">
        <v>3869</v>
      </c>
      <c r="BG501" t="s">
        <v>1756</v>
      </c>
      <c r="BH501" t="s">
        <v>5790</v>
      </c>
      <c r="BI501" t="s">
        <v>9</v>
      </c>
      <c r="BJ501" t="s">
        <v>6061</v>
      </c>
      <c r="BK501" t="s">
        <v>1963</v>
      </c>
      <c r="BL501" t="s">
        <v>9</v>
      </c>
      <c r="BM501" t="s">
        <v>6065</v>
      </c>
      <c r="BN501">
        <v>34.07</v>
      </c>
      <c r="BO501">
        <v>9.91</v>
      </c>
      <c r="BP501">
        <v>-27.84</v>
      </c>
      <c r="BQ501">
        <v>39.03</v>
      </c>
      <c r="BR501">
        <v>18.47</v>
      </c>
      <c r="BS501">
        <v>-52.6</v>
      </c>
      <c r="BT501" t="s">
        <v>4219</v>
      </c>
      <c r="BU501" t="s">
        <v>567</v>
      </c>
      <c r="BV501">
        <v>59.12</v>
      </c>
      <c r="BW501">
        <v>59.09</v>
      </c>
      <c r="BX501">
        <v>56.27</v>
      </c>
      <c r="BY501">
        <v>10.84</v>
      </c>
      <c r="BZ501">
        <v>3.95</v>
      </c>
      <c r="CA501">
        <v>-10.119999999999999</v>
      </c>
      <c r="CB501">
        <v>-8.1999999999999993</v>
      </c>
      <c r="CC501">
        <v>-26.85</v>
      </c>
      <c r="CD501" t="s">
        <v>12595</v>
      </c>
      <c r="CE501" t="s">
        <v>6445</v>
      </c>
      <c r="CF501" s="8" t="s">
        <v>9</v>
      </c>
      <c r="CG501" s="9">
        <v>2.181</v>
      </c>
      <c r="CH501" s="8">
        <v>0.2977580726146698</v>
      </c>
      <c r="CI501" s="8">
        <v>-0.30444368720054626</v>
      </c>
      <c r="CJ501" s="8">
        <v>0.4760591983795166</v>
      </c>
      <c r="CK501" s="8">
        <v>0.76517778635025024</v>
      </c>
      <c r="CL501" s="8">
        <v>0.51501601934432983</v>
      </c>
      <c r="CM501" s="9">
        <v>1.9674383401870728</v>
      </c>
      <c r="CN501" s="9">
        <v>-14.815717697143555</v>
      </c>
      <c r="CO501" s="9">
        <v>-0.85916030406951904</v>
      </c>
      <c r="CP501" s="9">
        <v>0.39807897806167603</v>
      </c>
      <c r="CQ501" s="9">
        <v>0.52110391855239868</v>
      </c>
      <c r="CR501">
        <v>82.096169916434533</v>
      </c>
      <c r="CS501">
        <v>5.7893335048151862</v>
      </c>
      <c r="CT501">
        <v>0</v>
      </c>
      <c r="CU501" s="8">
        <v>0.14180590882897376</v>
      </c>
      <c r="CV501" s="9">
        <v>0.14244762286543847</v>
      </c>
      <c r="CW501">
        <v>0.06</v>
      </c>
      <c r="CX501">
        <v>14.793692532883332</v>
      </c>
      <c r="CY501">
        <v>5312629002.211791</v>
      </c>
      <c r="CZ501">
        <v>0.14180590882897376</v>
      </c>
      <c r="DA501">
        <v>4.6281567645722079</v>
      </c>
      <c r="DB501">
        <v>16981576899.386766</v>
      </c>
      <c r="DC501">
        <v>0.13471561338752505</v>
      </c>
      <c r="DD501">
        <v>2.1468739984528189</v>
      </c>
      <c r="DE501">
        <v>36608296554.26432</v>
      </c>
      <c r="DF501">
        <v>0.12478919976949691</v>
      </c>
      <c r="DG501">
        <v>1.2037650981486963</v>
      </c>
      <c r="DH501">
        <v>65289648388.104095</v>
      </c>
      <c r="DI501">
        <v>0.11344472706317901</v>
      </c>
      <c r="DJ501">
        <v>0.53206307136492548</v>
      </c>
      <c r="DK501">
        <v>147714442572.3454</v>
      </c>
      <c r="DL501">
        <v>9.9264136180281626E-2</v>
      </c>
      <c r="DM501">
        <v>4932000000</v>
      </c>
      <c r="DN501">
        <v>0.14180590882897376</v>
      </c>
      <c r="DO501">
        <v>78593400000</v>
      </c>
      <c r="DP501" t="e">
        <v>#VALUE!</v>
      </c>
      <c r="DQ501">
        <v>501</v>
      </c>
      <c r="DR501" t="e">
        <v>#VALUE!</v>
      </c>
      <c r="DS501">
        <v>2.0385523771345615</v>
      </c>
      <c r="DT501" t="e">
        <v>#VALUE!</v>
      </c>
      <c r="DU501" t="e">
        <v>#VALUE!</v>
      </c>
      <c r="DV501" t="e">
        <v>#VALUE!</v>
      </c>
      <c r="DW501">
        <v>-9.3054003724394789</v>
      </c>
      <c r="DX501">
        <v>0.44721731818181737</v>
      </c>
      <c r="DY501">
        <v>-9.0816082684950068</v>
      </c>
      <c r="DZ501">
        <v>0</v>
      </c>
      <c r="EA501">
        <v>-9.0816082684950068</v>
      </c>
      <c r="EB501">
        <v>9</v>
      </c>
      <c r="EC501">
        <v>1.6874865446716899E-2</v>
      </c>
      <c r="ED501">
        <v>6.3150340868317181E-2</v>
      </c>
      <c r="EE501">
        <v>0</v>
      </c>
      <c r="EF501">
        <v>0</v>
      </c>
      <c r="EG501">
        <v>18.267217318181817</v>
      </c>
      <c r="EH501" t="s">
        <v>110</v>
      </c>
      <c r="EI501">
        <v>0</v>
      </c>
      <c r="EJ501">
        <v>0</v>
      </c>
      <c r="EK501">
        <v>0</v>
      </c>
      <c r="EL501">
        <v>0</v>
      </c>
      <c r="EM501">
        <v>0</v>
      </c>
      <c r="EN501">
        <v>0</v>
      </c>
      <c r="EO501">
        <v>0</v>
      </c>
      <c r="EP501">
        <v>0</v>
      </c>
    </row>
    <row r="502" spans="1:146" ht="108" x14ac:dyDescent="0.25">
      <c r="A502" s="7"/>
      <c r="B502" s="7"/>
      <c r="C502" s="7" t="str">
        <f>""&amp;CHAR(10)&amp;Basic_Fundamental_Information_Constructure(F502)&amp;CHAR(10)&amp;Basic_Fundamental_Information_Concatenate("")</f>
        <v xml:space="preserve">
市值273.69415亿, 利润30.25亿; PE8.4; 平均PE43.56; 平均PEG2.79, PB1.11; ROIC12.2567%; ROE15.1633%; 股利率0%; 毛利25.87%; 净利17.0933%; 上一年度营收增35.21%, 利润增16.57%; 当季营收增42%, 利润增40.21%; 过往5年营收增15.61%, 利润增1.96%
Income profile:
</v>
      </c>
      <c r="D502" s="11">
        <v>6865</v>
      </c>
      <c r="E502" t="s">
        <v>6066</v>
      </c>
      <c r="F502">
        <v>11.64</v>
      </c>
      <c r="G502" s="5">
        <v>-2.18E-2</v>
      </c>
      <c r="H502" t="s">
        <v>12596</v>
      </c>
      <c r="I502">
        <v>27369415000</v>
      </c>
      <c r="J502">
        <v>8.4</v>
      </c>
      <c r="K502">
        <v>1.1100000000000001</v>
      </c>
      <c r="L502" t="s">
        <v>6350</v>
      </c>
      <c r="M502" t="s">
        <v>12597</v>
      </c>
      <c r="N502" t="s">
        <v>12598</v>
      </c>
      <c r="O502" t="s">
        <v>2983</v>
      </c>
      <c r="P502">
        <v>6.73</v>
      </c>
      <c r="Q502" t="s">
        <v>12599</v>
      </c>
      <c r="R502">
        <v>3024596000</v>
      </c>
      <c r="S502" s="5">
        <v>0.40210000000000001</v>
      </c>
      <c r="T502" t="s">
        <v>3271</v>
      </c>
      <c r="U502">
        <v>450000000</v>
      </c>
      <c r="V502">
        <v>2351324300</v>
      </c>
      <c r="W502">
        <v>1.9</v>
      </c>
      <c r="X502">
        <v>0.13</v>
      </c>
      <c r="Y502">
        <v>15.19</v>
      </c>
      <c r="Z502" t="s">
        <v>3526</v>
      </c>
      <c r="AA502" t="s">
        <v>10501</v>
      </c>
      <c r="AB502" t="s">
        <v>12600</v>
      </c>
      <c r="AC502" t="s">
        <v>34</v>
      </c>
      <c r="AD502" t="s">
        <v>7133</v>
      </c>
      <c r="AE502" t="s">
        <v>1205</v>
      </c>
      <c r="AF502" t="s">
        <v>9</v>
      </c>
      <c r="AG502" t="s">
        <v>12601</v>
      </c>
      <c r="AH502" t="s">
        <v>12602</v>
      </c>
      <c r="AI502" t="s">
        <v>3113</v>
      </c>
      <c r="AJ502" t="s">
        <v>12603</v>
      </c>
      <c r="AK502" t="s">
        <v>12604</v>
      </c>
      <c r="AL502" t="s">
        <v>9</v>
      </c>
      <c r="AM502" t="s">
        <v>4072</v>
      </c>
      <c r="AN502" s="5">
        <v>0.47099999999999997</v>
      </c>
      <c r="AO502" t="s">
        <v>4851</v>
      </c>
      <c r="AP502" t="s">
        <v>12605</v>
      </c>
      <c r="AQ502" t="s">
        <v>12350</v>
      </c>
      <c r="AR502" t="s">
        <v>12606</v>
      </c>
      <c r="AS502" t="s">
        <v>12607</v>
      </c>
      <c r="AT502" t="s">
        <v>7748</v>
      </c>
      <c r="AU502" t="s">
        <v>12608</v>
      </c>
      <c r="AV502" t="s">
        <v>12609</v>
      </c>
      <c r="AW502" t="s">
        <v>12610</v>
      </c>
      <c r="AX502" t="s">
        <v>6067</v>
      </c>
      <c r="AY502" t="s">
        <v>2708</v>
      </c>
      <c r="AZ502" t="s">
        <v>6069</v>
      </c>
      <c r="BA502" t="s">
        <v>6070</v>
      </c>
      <c r="BB502" t="s">
        <v>6071</v>
      </c>
      <c r="BC502" t="s">
        <v>6072</v>
      </c>
      <c r="BD502" t="s">
        <v>4717</v>
      </c>
      <c r="BE502" t="s">
        <v>48</v>
      </c>
      <c r="BF502" t="s">
        <v>2103</v>
      </c>
      <c r="BG502" t="s">
        <v>6073</v>
      </c>
      <c r="BH502" t="s">
        <v>6067</v>
      </c>
      <c r="BI502" t="s">
        <v>6074</v>
      </c>
      <c r="BJ502" t="s">
        <v>2708</v>
      </c>
      <c r="BK502" t="s">
        <v>5810</v>
      </c>
      <c r="BL502" t="s">
        <v>194</v>
      </c>
      <c r="BM502" t="s">
        <v>6072</v>
      </c>
      <c r="BN502">
        <v>9.33</v>
      </c>
      <c r="BO502">
        <v>10.55</v>
      </c>
      <c r="BP502">
        <v>16.89</v>
      </c>
      <c r="BQ502">
        <v>12.42</v>
      </c>
      <c r="BR502">
        <v>15.12</v>
      </c>
      <c r="BS502">
        <v>17.95</v>
      </c>
      <c r="BT502" t="s">
        <v>6202</v>
      </c>
      <c r="BU502" t="s">
        <v>589</v>
      </c>
      <c r="BV502">
        <v>21.08</v>
      </c>
      <c r="BW502">
        <v>21.39</v>
      </c>
      <c r="BX502">
        <v>35.14</v>
      </c>
      <c r="BY502">
        <v>12.96</v>
      </c>
      <c r="BZ502">
        <v>13.85</v>
      </c>
      <c r="CA502">
        <v>24.47</v>
      </c>
      <c r="CB502">
        <v>-11.95</v>
      </c>
      <c r="CC502">
        <v>-30.76</v>
      </c>
      <c r="CD502" t="s">
        <v>12611</v>
      </c>
      <c r="CE502" t="s">
        <v>3884</v>
      </c>
      <c r="CF502" s="8">
        <v>0.4199767711962834</v>
      </c>
      <c r="CG502" s="9">
        <v>0.40210000000000001</v>
      </c>
      <c r="CH502" s="8">
        <v>0.35213136672973633</v>
      </c>
      <c r="CI502" s="8">
        <v>0.62950056791305542</v>
      </c>
      <c r="CJ502" s="8">
        <v>0.43591821193695068</v>
      </c>
      <c r="CK502" s="8">
        <v>1.1184060573577881</v>
      </c>
      <c r="CL502" s="8">
        <v>-2.1873211488127708E-2</v>
      </c>
      <c r="CM502" s="9">
        <v>0.16570322215557098</v>
      </c>
      <c r="CN502" s="9">
        <v>0.33693981170654297</v>
      </c>
      <c r="CO502" s="9">
        <v>1.4201993942260742</v>
      </c>
      <c r="CP502" s="9">
        <v>0.72844827175140381</v>
      </c>
      <c r="CQ502" s="9">
        <v>-9.9029123783111572E-2</v>
      </c>
      <c r="CR502">
        <v>43.55875066312997</v>
      </c>
      <c r="CS502">
        <v>2.7896494173861872</v>
      </c>
      <c r="CT502">
        <v>0</v>
      </c>
      <c r="CU502" s="8">
        <v>0.15614417493343352</v>
      </c>
      <c r="CV502" s="9">
        <v>1.9595624506473543E-2</v>
      </c>
      <c r="CW502">
        <v>0.06</v>
      </c>
      <c r="CX502">
        <v>7.4724530141673755</v>
      </c>
      <c r="CY502">
        <v>3299373706.7675815</v>
      </c>
      <c r="CZ502">
        <v>0.15614417493343352</v>
      </c>
      <c r="DA502">
        <v>2.3099046072672964</v>
      </c>
      <c r="DB502">
        <v>10673347688.22644</v>
      </c>
      <c r="DC502">
        <v>0.14833696618676184</v>
      </c>
      <c r="DD502">
        <v>1.0537598498118828</v>
      </c>
      <c r="DE502">
        <v>23396616415.401772</v>
      </c>
      <c r="DF502">
        <v>0.13740687394142151</v>
      </c>
      <c r="DG502">
        <v>0.57927125021370196</v>
      </c>
      <c r="DH502">
        <v>42561088593.477776</v>
      </c>
      <c r="DI502">
        <v>0.12491533994674682</v>
      </c>
      <c r="DJ502">
        <v>0.24434994325411732</v>
      </c>
      <c r="DK502">
        <v>100897977186.59618</v>
      </c>
      <c r="DL502">
        <v>0.10930092245340346</v>
      </c>
      <c r="DM502">
        <v>3025000000</v>
      </c>
      <c r="DN502">
        <v>0.15614417493343352</v>
      </c>
      <c r="DO502">
        <v>24654415000</v>
      </c>
      <c r="DP502" t="e">
        <v>#VALUE!</v>
      </c>
      <c r="DQ502">
        <v>502</v>
      </c>
      <c r="DR502">
        <v>0.26383259626284988</v>
      </c>
      <c r="DS502">
        <v>0.38250437549352645</v>
      </c>
      <c r="DT502">
        <v>-2.3333333333333355E-2</v>
      </c>
      <c r="DU502">
        <v>0.6</v>
      </c>
      <c r="DV502">
        <v>0.57666666666666666</v>
      </c>
      <c r="DW502">
        <v>-9.3884915474642394</v>
      </c>
      <c r="DX502">
        <v>0.37204999999999827</v>
      </c>
      <c r="DY502">
        <v>-9.0746098016905066</v>
      </c>
      <c r="DZ502">
        <v>0</v>
      </c>
      <c r="EA502">
        <v>-9.0746098016905066</v>
      </c>
      <c r="EB502">
        <v>9</v>
      </c>
      <c r="EC502">
        <v>1.9602570347271961E-2</v>
      </c>
      <c r="ED502">
        <v>0.102070139793137</v>
      </c>
      <c r="EE502">
        <v>0</v>
      </c>
      <c r="EF502">
        <v>0</v>
      </c>
      <c r="EG502">
        <v>18.192049999999998</v>
      </c>
      <c r="EH502" t="s">
        <v>110</v>
      </c>
      <c r="EI502">
        <v>0</v>
      </c>
      <c r="EJ502">
        <v>0</v>
      </c>
      <c r="EK502">
        <v>0</v>
      </c>
      <c r="EL502">
        <v>0</v>
      </c>
      <c r="EM502">
        <v>0</v>
      </c>
      <c r="EN502">
        <v>0</v>
      </c>
      <c r="EO502">
        <v>0</v>
      </c>
      <c r="EP502">
        <v>0</v>
      </c>
    </row>
    <row r="503" spans="1:146" ht="96" x14ac:dyDescent="0.25">
      <c r="A503" s="7"/>
      <c r="B503" s="7"/>
      <c r="C503" s="7" t="str">
        <f>""&amp;CHAR(10)&amp;Basic_Fundamental_Information_Constructure(F503)&amp;CHAR(10)&amp;Basic_Fundamental_Information_Concatenate("")</f>
        <v xml:space="preserve">
市值57.90395亿, 利润14.22亿; PE4.79; 平均PE17.41; 平均PEG.72, PB.473; ROIC7.17%; ROE10.07%; 股利率0%; 毛利22.0967%; 净利8.3033%; 上一年度营收增-6.26%, 利润增63.82%; 当季营收增-30.28%, 利润增-77.32%; 过往5年营收增24.17%, 利润增55.18%
Income profile:
</v>
      </c>
      <c r="D503" s="11">
        <v>6869</v>
      </c>
      <c r="E503" t="s">
        <v>6075</v>
      </c>
      <c r="F503">
        <v>7.64</v>
      </c>
      <c r="G503" s="5">
        <v>-2.18E-2</v>
      </c>
      <c r="H503" t="s">
        <v>12612</v>
      </c>
      <c r="I503">
        <v>5790395000</v>
      </c>
      <c r="J503">
        <v>4.79</v>
      </c>
      <c r="K503">
        <v>0.47299999999999998</v>
      </c>
      <c r="L503" t="s">
        <v>6350</v>
      </c>
      <c r="M503" t="s">
        <v>12613</v>
      </c>
      <c r="N503" t="s">
        <v>12614</v>
      </c>
      <c r="O503" t="s">
        <v>88</v>
      </c>
      <c r="P503">
        <v>-25.29</v>
      </c>
      <c r="Q503" t="s">
        <v>12615</v>
      </c>
      <c r="R503">
        <v>1422251300</v>
      </c>
      <c r="S503" s="5">
        <v>-0.7732</v>
      </c>
      <c r="T503" t="s">
        <v>12616</v>
      </c>
      <c r="U503">
        <v>351566790</v>
      </c>
      <c r="V503">
        <v>757905110</v>
      </c>
      <c r="W503">
        <v>2.58</v>
      </c>
      <c r="X503">
        <v>0.08</v>
      </c>
      <c r="Y503">
        <v>1.75</v>
      </c>
      <c r="Z503" t="s">
        <v>164</v>
      </c>
      <c r="AA503" t="s">
        <v>485</v>
      </c>
      <c r="AB503" t="s">
        <v>116</v>
      </c>
      <c r="AC503" t="s">
        <v>953</v>
      </c>
      <c r="AD503" t="s">
        <v>6283</v>
      </c>
      <c r="AE503" t="s">
        <v>12617</v>
      </c>
      <c r="AF503" t="s">
        <v>9</v>
      </c>
      <c r="AG503" t="s">
        <v>12618</v>
      </c>
      <c r="AH503" t="s">
        <v>12619</v>
      </c>
      <c r="AI503" t="s">
        <v>2880</v>
      </c>
      <c r="AJ503" t="s">
        <v>12620</v>
      </c>
      <c r="AK503" t="s">
        <v>12621</v>
      </c>
      <c r="AL503" t="s">
        <v>9</v>
      </c>
      <c r="AM503" t="s">
        <v>12622</v>
      </c>
      <c r="AN503" s="5">
        <v>0.50539999999999996</v>
      </c>
      <c r="AO503" t="s">
        <v>12623</v>
      </c>
      <c r="AP503" t="s">
        <v>491</v>
      </c>
      <c r="AQ503" t="s">
        <v>12624</v>
      </c>
      <c r="AR503" t="s">
        <v>12625</v>
      </c>
      <c r="AS503" t="s">
        <v>12626</v>
      </c>
      <c r="AT503" t="s">
        <v>12627</v>
      </c>
      <c r="AU503" t="s">
        <v>8809</v>
      </c>
      <c r="AV503" t="s">
        <v>12628</v>
      </c>
      <c r="AW503" t="s">
        <v>12629</v>
      </c>
      <c r="AX503" t="s">
        <v>6077</v>
      </c>
      <c r="AY503" t="s">
        <v>6082</v>
      </c>
      <c r="AZ503" t="s">
        <v>6083</v>
      </c>
      <c r="BA503" t="s">
        <v>6084</v>
      </c>
      <c r="BB503" t="s">
        <v>6085</v>
      </c>
      <c r="BC503" t="s">
        <v>4573</v>
      </c>
      <c r="BD503" t="s">
        <v>3794</v>
      </c>
      <c r="BE503" t="s">
        <v>2583</v>
      </c>
      <c r="BF503" t="s">
        <v>6086</v>
      </c>
      <c r="BG503" t="s">
        <v>6087</v>
      </c>
      <c r="BH503" t="s">
        <v>6077</v>
      </c>
      <c r="BI503" t="s">
        <v>6088</v>
      </c>
      <c r="BJ503" t="s">
        <v>6082</v>
      </c>
      <c r="BK503" t="s">
        <v>1523</v>
      </c>
      <c r="BL503" t="s">
        <v>2113</v>
      </c>
      <c r="BM503" t="s">
        <v>4573</v>
      </c>
      <c r="BN503">
        <v>7.69</v>
      </c>
      <c r="BO503">
        <v>8.01</v>
      </c>
      <c r="BP503">
        <v>5.81</v>
      </c>
      <c r="BQ503">
        <v>11.47</v>
      </c>
      <c r="BR503">
        <v>11.5</v>
      </c>
      <c r="BS503">
        <v>7.24</v>
      </c>
      <c r="BT503" t="s">
        <v>1207</v>
      </c>
      <c r="BU503" t="s">
        <v>1093</v>
      </c>
      <c r="BV503">
        <v>23.97</v>
      </c>
      <c r="BW503">
        <v>22.97</v>
      </c>
      <c r="BX503">
        <v>19.350000000000001</v>
      </c>
      <c r="BY503">
        <v>8.8800000000000008</v>
      </c>
      <c r="BZ503">
        <v>8.4499999999999993</v>
      </c>
      <c r="CA503">
        <v>7.58</v>
      </c>
      <c r="CB503">
        <v>-4.1399999999999997</v>
      </c>
      <c r="CC503">
        <v>-9.2200000000000006</v>
      </c>
      <c r="CD503" t="s">
        <v>12630</v>
      </c>
      <c r="CE503" t="s">
        <v>12631</v>
      </c>
      <c r="CF503" s="8">
        <v>-0.30281497676960928</v>
      </c>
      <c r="CG503" s="9">
        <v>-0.7732</v>
      </c>
      <c r="CH503" s="8">
        <v>-6.2625013291835785E-2</v>
      </c>
      <c r="CI503" s="8">
        <v>0.33238810300827026</v>
      </c>
      <c r="CJ503" s="8">
        <v>0.19072961807250977</v>
      </c>
      <c r="CK503" s="8">
        <v>-0.24439461529254913</v>
      </c>
      <c r="CL503" s="8">
        <v>4.0714465081691742E-2</v>
      </c>
      <c r="CM503" s="9">
        <v>0.63824886083602905</v>
      </c>
      <c r="CN503" s="9">
        <v>0.33950617909431458</v>
      </c>
      <c r="CO503" s="9">
        <v>-0.27597764134407043</v>
      </c>
      <c r="CP503" s="9">
        <v>-0.47228774428367615</v>
      </c>
      <c r="CQ503" s="9">
        <v>0.11505593359470367</v>
      </c>
      <c r="CR503">
        <v>17.41193502212904</v>
      </c>
      <c r="CS503">
        <v>0.72025977894257498</v>
      </c>
      <c r="CT503">
        <v>0</v>
      </c>
      <c r="CU503" s="8">
        <v>0.24174520820379258</v>
      </c>
      <c r="CV503" s="9">
        <v>0.55182921886444092</v>
      </c>
      <c r="CW503">
        <v>0.06</v>
      </c>
      <c r="CX503">
        <v>3.6819230767688973</v>
      </c>
      <c r="CY503">
        <v>1665812911.3828235</v>
      </c>
      <c r="CZ503">
        <v>0.24174520820379258</v>
      </c>
      <c r="DA503">
        <v>1.0605668238909525</v>
      </c>
      <c r="DB503">
        <v>5783129230.3658142</v>
      </c>
      <c r="DC503">
        <v>0.22965794779360293</v>
      </c>
      <c r="DD503">
        <v>0.43714577669692034</v>
      </c>
      <c r="DE503">
        <v>14030548450.78001</v>
      </c>
      <c r="DF503">
        <v>0.21273578321933748</v>
      </c>
      <c r="DG503">
        <v>0.21222108815558449</v>
      </c>
      <c r="DH503">
        <v>28900968576.239971</v>
      </c>
      <c r="DI503">
        <v>0.19339616656303407</v>
      </c>
      <c r="DJ503">
        <v>6.5952330392930164E-2</v>
      </c>
      <c r="DK503">
        <v>92997396202.052567</v>
      </c>
      <c r="DL503">
        <v>0.1692216457426548</v>
      </c>
      <c r="DM503">
        <v>1422000000</v>
      </c>
      <c r="DN503">
        <v>0.24174520820379258</v>
      </c>
      <c r="DO503">
        <v>6133395000</v>
      </c>
      <c r="DP503" t="e">
        <v>#VALUE!</v>
      </c>
      <c r="DQ503">
        <v>503</v>
      </c>
      <c r="DR503">
        <v>-0.54456018497340186</v>
      </c>
      <c r="DS503">
        <v>-1.325029218864441</v>
      </c>
      <c r="DT503">
        <v>-2.3333333333333355E-2</v>
      </c>
      <c r="DU503">
        <v>0.97166666666666657</v>
      </c>
      <c r="DV503">
        <v>0.94833333333333325</v>
      </c>
      <c r="DW503">
        <v>-8.4490238611713657</v>
      </c>
      <c r="DX503">
        <v>0.31254609913900638</v>
      </c>
      <c r="DY503">
        <v>-8.0505358839951722</v>
      </c>
      <c r="DZ503">
        <v>0</v>
      </c>
      <c r="EA503">
        <v>-8.0505358839951722</v>
      </c>
      <c r="EB503">
        <v>8</v>
      </c>
      <c r="EC503">
        <v>4.1634499601143999E-3</v>
      </c>
      <c r="ED503">
        <v>3.6993285346763258E-2</v>
      </c>
      <c r="EE503">
        <v>0</v>
      </c>
      <c r="EF503">
        <v>0</v>
      </c>
      <c r="EG503">
        <v>20.112546099139006</v>
      </c>
      <c r="EH503" t="s">
        <v>110</v>
      </c>
      <c r="EI503">
        <v>0</v>
      </c>
      <c r="EJ503">
        <v>0</v>
      </c>
      <c r="EK503">
        <v>0</v>
      </c>
      <c r="EL503">
        <v>0</v>
      </c>
      <c r="EM503">
        <v>0</v>
      </c>
      <c r="EN503">
        <v>0</v>
      </c>
      <c r="EO503">
        <v>0</v>
      </c>
      <c r="EP503">
        <v>0</v>
      </c>
    </row>
    <row r="504" spans="1:146" ht="96" x14ac:dyDescent="0.25">
      <c r="A504" s="7"/>
      <c r="B504" s="7"/>
      <c r="C504" s="7" t="str">
        <f>""&amp;CHAR(10)&amp;Basic_Fundamental_Information_Constructure(F504)&amp;CHAR(10)&amp;Basic_Fundamental_Information_Concatenate("")</f>
        <v xml:space="preserve">
市值450.49737亿, 利润79.84亿; PE5.67; 平均PE27.11; 平均PEG1.71, PB.348; ROIC0%; ROE8.5933%; 股利率0%; 毛利0%; 净利21.45%; 上一年度营收增-10.92%, 利润增-33.91%; 当季营收增-14.2%, 利润增33.67%; 过往5年营收增15.88%, 利润增32.38%
Income profile:
</v>
      </c>
      <c r="D504" s="11">
        <v>6881</v>
      </c>
      <c r="E504" t="s">
        <v>6089</v>
      </c>
      <c r="F504">
        <v>4.12</v>
      </c>
      <c r="G504" s="5">
        <v>1.23E-2</v>
      </c>
      <c r="H504" t="s">
        <v>6500</v>
      </c>
      <c r="I504">
        <v>45049737000</v>
      </c>
      <c r="J504">
        <v>5.67</v>
      </c>
      <c r="K504">
        <v>0.34799999999999998</v>
      </c>
      <c r="L504" t="s">
        <v>6350</v>
      </c>
      <c r="M504" t="s">
        <v>6090</v>
      </c>
      <c r="N504" t="s">
        <v>6091</v>
      </c>
      <c r="O504" t="s">
        <v>6092</v>
      </c>
      <c r="P504">
        <v>-21.2</v>
      </c>
      <c r="Q504" t="s">
        <v>6093</v>
      </c>
      <c r="R504">
        <v>2570565200</v>
      </c>
      <c r="S504" s="5">
        <v>0.3367</v>
      </c>
      <c r="T504" t="s">
        <v>6094</v>
      </c>
      <c r="U504">
        <v>3690984600</v>
      </c>
      <c r="V504">
        <v>10347115800</v>
      </c>
      <c r="W504">
        <v>6.21</v>
      </c>
      <c r="X504">
        <v>0.01</v>
      </c>
      <c r="Y504">
        <v>41.34</v>
      </c>
      <c r="Z504" t="s">
        <v>9</v>
      </c>
      <c r="AA504" t="s">
        <v>9</v>
      </c>
      <c r="AB504" t="s">
        <v>9</v>
      </c>
      <c r="AC504" t="s">
        <v>6095</v>
      </c>
      <c r="AD504" t="s">
        <v>9</v>
      </c>
      <c r="AE504" t="s">
        <v>6096</v>
      </c>
      <c r="AF504" t="s">
        <v>208</v>
      </c>
      <c r="AG504" t="s">
        <v>2496</v>
      </c>
      <c r="AH504" t="s">
        <v>6097</v>
      </c>
      <c r="AI504" t="s">
        <v>6098</v>
      </c>
      <c r="AJ504" t="s">
        <v>6099</v>
      </c>
      <c r="AK504" t="s">
        <v>6100</v>
      </c>
      <c r="AL504" t="s">
        <v>9</v>
      </c>
      <c r="AM504" t="s">
        <v>3634</v>
      </c>
      <c r="AN504" s="5">
        <v>0.83909999999999996</v>
      </c>
      <c r="AO504" t="s">
        <v>6101</v>
      </c>
      <c r="AP504" t="s">
        <v>6102</v>
      </c>
      <c r="AQ504" t="s">
        <v>9</v>
      </c>
      <c r="AR504" t="s">
        <v>6103</v>
      </c>
      <c r="AS504" t="s">
        <v>6104</v>
      </c>
      <c r="AT504" t="s">
        <v>6105</v>
      </c>
      <c r="AU504" t="s">
        <v>6106</v>
      </c>
      <c r="AV504" t="s">
        <v>6107</v>
      </c>
      <c r="AW504" t="s">
        <v>6108</v>
      </c>
      <c r="AX504" t="s">
        <v>6109</v>
      </c>
      <c r="AY504" t="s">
        <v>6110</v>
      </c>
      <c r="AZ504" t="s">
        <v>6111</v>
      </c>
      <c r="BA504" t="s">
        <v>6112</v>
      </c>
      <c r="BB504" t="s">
        <v>6113</v>
      </c>
      <c r="BC504" t="s">
        <v>6114</v>
      </c>
      <c r="BD504" t="s">
        <v>3033</v>
      </c>
      <c r="BE504" t="s">
        <v>3887</v>
      </c>
      <c r="BF504" t="s">
        <v>6115</v>
      </c>
      <c r="BG504" t="s">
        <v>6116</v>
      </c>
      <c r="BH504" t="s">
        <v>6093</v>
      </c>
      <c r="BI504" t="s">
        <v>6117</v>
      </c>
      <c r="BJ504" t="s">
        <v>6109</v>
      </c>
      <c r="BK504" t="s">
        <v>6094</v>
      </c>
      <c r="BL504" t="s">
        <v>3485</v>
      </c>
      <c r="BM504" t="s">
        <v>6114</v>
      </c>
      <c r="BN504" t="s">
        <v>9</v>
      </c>
      <c r="BO504" t="s">
        <v>9</v>
      </c>
      <c r="BP504" t="s">
        <v>9</v>
      </c>
      <c r="BQ504">
        <v>6.9</v>
      </c>
      <c r="BR504">
        <v>9.9700000000000006</v>
      </c>
      <c r="BS504">
        <v>8.91</v>
      </c>
      <c r="BT504" t="s">
        <v>6118</v>
      </c>
      <c r="BU504" t="s">
        <v>826</v>
      </c>
      <c r="BV504" t="s">
        <v>9</v>
      </c>
      <c r="BW504" t="s">
        <v>9</v>
      </c>
      <c r="BX504" t="s">
        <v>9</v>
      </c>
      <c r="BY504">
        <v>17.73</v>
      </c>
      <c r="BZ504">
        <v>23.23</v>
      </c>
      <c r="CA504">
        <v>23.39</v>
      </c>
      <c r="CB504">
        <v>-2.37</v>
      </c>
      <c r="CC504">
        <v>2.4900000000000002</v>
      </c>
      <c r="CD504" t="s">
        <v>908</v>
      </c>
      <c r="CE504" t="s">
        <v>2610</v>
      </c>
      <c r="CF504" s="8">
        <v>-0.14197902856454139</v>
      </c>
      <c r="CG504" s="9">
        <v>0.3367</v>
      </c>
      <c r="CH504" s="8">
        <v>-0.10917721688747406</v>
      </c>
      <c r="CI504" s="8">
        <v>0.48769688606262207</v>
      </c>
      <c r="CJ504" s="8">
        <v>0.41947898268699646</v>
      </c>
      <c r="CK504" s="8">
        <v>0.42028671503067017</v>
      </c>
      <c r="CL504" s="8">
        <v>-3.5481318831443787E-2</v>
      </c>
      <c r="CM504" s="9">
        <v>-0.33912757039070129</v>
      </c>
      <c r="CN504" s="9">
        <v>0.40411436557769775</v>
      </c>
      <c r="CO504" s="9">
        <v>0.47253131866455078</v>
      </c>
      <c r="CP504" s="9">
        <v>0.77760869264602661</v>
      </c>
      <c r="CQ504" s="9">
        <v>-0.31119021773338318</v>
      </c>
      <c r="CR504">
        <v>27.105909187682482</v>
      </c>
      <c r="CS504">
        <v>1.7063966419911281</v>
      </c>
      <c r="CT504">
        <v>0</v>
      </c>
      <c r="CU504" s="8">
        <v>0.15884881932288408</v>
      </c>
      <c r="CV504" s="9">
        <v>0.3237933941418305</v>
      </c>
      <c r="CW504">
        <v>0.06</v>
      </c>
      <c r="CX504">
        <v>63.41644100825544</v>
      </c>
      <c r="CY504">
        <v>8728536767.428215</v>
      </c>
      <c r="CZ504">
        <v>0.15884881932288408</v>
      </c>
      <c r="DA504">
        <v>19.559319388965971</v>
      </c>
      <c r="DB504">
        <v>28300204418.782856</v>
      </c>
      <c r="DC504">
        <v>0.15090637835673987</v>
      </c>
      <c r="DD504">
        <v>8.894650393150517</v>
      </c>
      <c r="DE504">
        <v>62232095982.800812</v>
      </c>
      <c r="DF504">
        <v>0.13978696100413798</v>
      </c>
      <c r="DG504">
        <v>4.8711572095199305</v>
      </c>
      <c r="DH504">
        <v>113634751085.06149</v>
      </c>
      <c r="DI504">
        <v>0.12707905545830728</v>
      </c>
      <c r="DJ504">
        <v>2.0364098059937388</v>
      </c>
      <c r="DK504">
        <v>271817949103.75812</v>
      </c>
      <c r="DL504">
        <v>0.11119417352601885</v>
      </c>
      <c r="DM504">
        <v>7984000000</v>
      </c>
      <c r="DN504">
        <v>0.15884881932288408</v>
      </c>
      <c r="DO504">
        <v>553532737000</v>
      </c>
      <c r="DP504" t="e">
        <v>#VALUE!</v>
      </c>
      <c r="DQ504">
        <v>511</v>
      </c>
      <c r="DR504">
        <v>-0.30082784788742545</v>
      </c>
      <c r="DS504">
        <v>1.2906605858169495E-2</v>
      </c>
      <c r="DT504">
        <v>-0.188</v>
      </c>
      <c r="DU504">
        <v>0.624</v>
      </c>
      <c r="DV504">
        <v>0.436</v>
      </c>
      <c r="DW504">
        <v>2.4900000000000002E-2</v>
      </c>
      <c r="DX504">
        <v>0.50936877076411924</v>
      </c>
      <c r="DY504">
        <v>4.7152823920265782E-3</v>
      </c>
      <c r="DZ504">
        <v>0</v>
      </c>
      <c r="EA504">
        <v>4.7152823920265782E-3</v>
      </c>
      <c r="EB504">
        <v>0</v>
      </c>
      <c r="EC504">
        <v>1.1017562981173941E-2</v>
      </c>
      <c r="ED504">
        <v>5.8180464163743097E-2</v>
      </c>
      <c r="EE504">
        <v>0</v>
      </c>
      <c r="EF504">
        <v>0</v>
      </c>
      <c r="EG504">
        <v>32.189368770764119</v>
      </c>
      <c r="EH504" t="s">
        <v>110</v>
      </c>
      <c r="EI504">
        <v>0</v>
      </c>
      <c r="EJ504">
        <v>0</v>
      </c>
      <c r="EK504">
        <v>0</v>
      </c>
      <c r="EL504">
        <v>0</v>
      </c>
      <c r="EM504">
        <v>0</v>
      </c>
      <c r="EN504">
        <v>0</v>
      </c>
      <c r="EO504">
        <v>0</v>
      </c>
      <c r="EP504">
        <v>0</v>
      </c>
    </row>
    <row r="505" spans="1:146" ht="96" x14ac:dyDescent="0.25">
      <c r="A505" s="7"/>
      <c r="B505" s="7"/>
      <c r="C505" s="7" t="str">
        <f>""&amp;CHAR(10)&amp;Basic_Fundamental_Information_Constructure(F505)&amp;CHAR(10)&amp;Basic_Fundamental_Information_Concatenate("")</f>
        <v xml:space="preserve">
市值784.65354亿, 利润133.38亿; PE6.48; 平均PE28.51; 平均PEG3.06, PB.401; ROIC0%; ROE7.3833%; 股利率0%; 毛利0%; 净利31.3033%; 上一年度营收增-3.32%, 利润增-17.79%; 当季营收增-37.4%, 利润增-33.37%; 过往5年营收增9.32%, 利润增20%
Income profile:
</v>
      </c>
      <c r="D505" s="11">
        <v>6886</v>
      </c>
      <c r="E505" t="s">
        <v>6119</v>
      </c>
      <c r="F505">
        <v>8.69</v>
      </c>
      <c r="G505" s="5">
        <v>-1.2500000000000001E-2</v>
      </c>
      <c r="H505" t="s">
        <v>12632</v>
      </c>
      <c r="I505">
        <v>78465354000</v>
      </c>
      <c r="J505">
        <v>6.48</v>
      </c>
      <c r="K505">
        <v>0.40100000000000002</v>
      </c>
      <c r="L505" t="s">
        <v>6350</v>
      </c>
      <c r="M505" t="s">
        <v>12633</v>
      </c>
      <c r="N505" t="s">
        <v>12634</v>
      </c>
      <c r="O505" t="s">
        <v>12635</v>
      </c>
      <c r="P505">
        <v>-9.67</v>
      </c>
      <c r="Q505" t="s">
        <v>12636</v>
      </c>
      <c r="R505">
        <v>13977244000</v>
      </c>
      <c r="S505" s="5">
        <v>-0.3337</v>
      </c>
      <c r="T505" t="s">
        <v>12637</v>
      </c>
      <c r="U505">
        <v>1719045700</v>
      </c>
      <c r="V505">
        <v>9029384800</v>
      </c>
      <c r="W505">
        <v>4.75</v>
      </c>
      <c r="X505">
        <v>0</v>
      </c>
      <c r="Y505">
        <v>59.24</v>
      </c>
      <c r="Z505" t="s">
        <v>9</v>
      </c>
      <c r="AA505" t="s">
        <v>9</v>
      </c>
      <c r="AB505" t="s">
        <v>9</v>
      </c>
      <c r="AC505" t="s">
        <v>12638</v>
      </c>
      <c r="AD505" t="s">
        <v>9</v>
      </c>
      <c r="AE505" t="s">
        <v>12639</v>
      </c>
      <c r="AF505" t="s">
        <v>2926</v>
      </c>
      <c r="AG505" t="s">
        <v>1317</v>
      </c>
      <c r="AH505" t="s">
        <v>12640</v>
      </c>
      <c r="AI505" t="s">
        <v>12641</v>
      </c>
      <c r="AJ505" t="s">
        <v>9</v>
      </c>
      <c r="AK505" t="s">
        <v>12642</v>
      </c>
      <c r="AL505" t="s">
        <v>9</v>
      </c>
      <c r="AM505" t="s">
        <v>12643</v>
      </c>
      <c r="AN505" s="5">
        <v>0.78590000000000004</v>
      </c>
      <c r="AO505" t="s">
        <v>12644</v>
      </c>
      <c r="AP505" t="s">
        <v>12645</v>
      </c>
      <c r="AQ505" t="s">
        <v>9</v>
      </c>
      <c r="AR505" t="s">
        <v>12646</v>
      </c>
      <c r="AS505" t="s">
        <v>12647</v>
      </c>
      <c r="AT505" t="s">
        <v>12648</v>
      </c>
      <c r="AU505" t="s">
        <v>12649</v>
      </c>
      <c r="AV505" t="s">
        <v>12650</v>
      </c>
      <c r="AW505" t="s">
        <v>4640</v>
      </c>
      <c r="AX505" t="s">
        <v>6121</v>
      </c>
      <c r="AY505" t="s">
        <v>6123</v>
      </c>
      <c r="AZ505" t="s">
        <v>6124</v>
      </c>
      <c r="BA505" t="s">
        <v>6125</v>
      </c>
      <c r="BB505" t="s">
        <v>6126</v>
      </c>
      <c r="BC505" t="s">
        <v>6127</v>
      </c>
      <c r="BD505" t="s">
        <v>6128</v>
      </c>
      <c r="BE505" t="s">
        <v>6129</v>
      </c>
      <c r="BF505" t="s">
        <v>2337</v>
      </c>
      <c r="BG505" t="s">
        <v>6130</v>
      </c>
      <c r="BH505" t="s">
        <v>6121</v>
      </c>
      <c r="BI505" t="s">
        <v>6131</v>
      </c>
      <c r="BJ505" t="s">
        <v>6123</v>
      </c>
      <c r="BK505" t="s">
        <v>6122</v>
      </c>
      <c r="BL505" t="s">
        <v>12651</v>
      </c>
      <c r="BM505" t="s">
        <v>6127</v>
      </c>
      <c r="BN505" t="s">
        <v>9</v>
      </c>
      <c r="BO505" t="s">
        <v>9</v>
      </c>
      <c r="BP505" t="s">
        <v>9</v>
      </c>
      <c r="BQ505">
        <v>6.79</v>
      </c>
      <c r="BR505">
        <v>6.43</v>
      </c>
      <c r="BS505">
        <v>8.93</v>
      </c>
      <c r="BT505" t="s">
        <v>12652</v>
      </c>
      <c r="BU505" t="s">
        <v>826</v>
      </c>
      <c r="BV505" t="s">
        <v>9</v>
      </c>
      <c r="BW505" t="s">
        <v>9</v>
      </c>
      <c r="BX505" t="s">
        <v>9</v>
      </c>
      <c r="BY505">
        <v>32.270000000000003</v>
      </c>
      <c r="BZ505">
        <v>27.99</v>
      </c>
      <c r="CA505">
        <v>33.65</v>
      </c>
      <c r="CB505">
        <v>-2.69</v>
      </c>
      <c r="CC505">
        <v>-11.05</v>
      </c>
      <c r="CD505" t="s">
        <v>12653</v>
      </c>
      <c r="CE505" t="s">
        <v>80</v>
      </c>
      <c r="CF505" s="8">
        <v>-0.37402031930333823</v>
      </c>
      <c r="CG505" s="9">
        <v>-0.3337</v>
      </c>
      <c r="CH505" s="8">
        <v>-3.3202368766069412E-2</v>
      </c>
      <c r="CI505" s="8">
        <v>-7.432103157043457E-2</v>
      </c>
      <c r="CJ505" s="8">
        <v>0.37642541527748108</v>
      </c>
      <c r="CK505" s="8">
        <v>0.28853523731231689</v>
      </c>
      <c r="CL505" s="8">
        <v>-0.25698992609977722</v>
      </c>
      <c r="CM505" s="9">
        <v>-0.17788459360599518</v>
      </c>
      <c r="CN505" s="9">
        <v>0.25777187943458557</v>
      </c>
      <c r="CO505" s="9">
        <v>0.28233429789543152</v>
      </c>
      <c r="CP505" s="9">
        <v>0.75549739599227905</v>
      </c>
      <c r="CQ505" s="9">
        <v>-0.4848048985004425</v>
      </c>
      <c r="CR505">
        <v>28.509170166746628</v>
      </c>
      <c r="CS505">
        <v>3.0573609202447538</v>
      </c>
      <c r="CT505">
        <v>0</v>
      </c>
      <c r="CU505" s="8">
        <v>9.3247643671929836E-2</v>
      </c>
      <c r="CV505" s="9">
        <v>0.20000333525240421</v>
      </c>
      <c r="CW505">
        <v>0.06</v>
      </c>
      <c r="CX505">
        <v>44.372824175637383</v>
      </c>
      <c r="CY505">
        <v>13756355727.637926</v>
      </c>
      <c r="CZ505">
        <v>9.3247643671929836E-2</v>
      </c>
      <c r="DA505">
        <v>14.460817006781827</v>
      </c>
      <c r="DB505">
        <v>42211194133.341911</v>
      </c>
      <c r="DC505">
        <v>8.8585261488333344E-2</v>
      </c>
      <c r="DD505">
        <v>7.0925698877079606</v>
      </c>
      <c r="DE505">
        <v>86063072153.563217</v>
      </c>
      <c r="DF505">
        <v>8.205792643129825E-2</v>
      </c>
      <c r="DG505">
        <v>4.2415393963343861</v>
      </c>
      <c r="DH505">
        <v>143911985004.20053</v>
      </c>
      <c r="DI505">
        <v>7.4598114937543869E-2</v>
      </c>
      <c r="DJ505">
        <v>2.1711628248451129</v>
      </c>
      <c r="DK505">
        <v>281143517664.80042</v>
      </c>
      <c r="DL505">
        <v>6.5273350570350885E-2</v>
      </c>
      <c r="DM505">
        <v>13338000000</v>
      </c>
      <c r="DN505">
        <v>9.3247643671929836E-2</v>
      </c>
      <c r="DO505">
        <v>610408354000</v>
      </c>
      <c r="DP505" t="e">
        <v>#VALUE!</v>
      </c>
      <c r="DQ505">
        <v>505</v>
      </c>
      <c r="DR505">
        <v>-0.46726796297526807</v>
      </c>
      <c r="DS505">
        <v>-0.53370333525240421</v>
      </c>
      <c r="DT505">
        <v>-0.36799999999999999</v>
      </c>
      <c r="DU505">
        <v>1.1000000000000001</v>
      </c>
      <c r="DV505">
        <v>0.7320000000000001</v>
      </c>
      <c r="DW505">
        <v>-8.2434389140271485</v>
      </c>
      <c r="DX505">
        <v>0.29818582677165423</v>
      </c>
      <c r="DY505">
        <v>-8.0287710293226926</v>
      </c>
      <c r="DZ505">
        <v>0</v>
      </c>
      <c r="EA505">
        <v>-8.0287710293226926</v>
      </c>
      <c r="EB505">
        <v>8</v>
      </c>
      <c r="EC505">
        <v>1.6623059413748765E-3</v>
      </c>
      <c r="ED505">
        <v>1.4065188582947533E-2</v>
      </c>
      <c r="EE505">
        <v>0</v>
      </c>
      <c r="EF505">
        <v>0</v>
      </c>
      <c r="EG505">
        <v>18.118185826771654</v>
      </c>
      <c r="EH505" t="s">
        <v>110</v>
      </c>
      <c r="EI505">
        <v>0</v>
      </c>
      <c r="EJ505">
        <v>0</v>
      </c>
      <c r="EK505">
        <v>0</v>
      </c>
      <c r="EL505">
        <v>0</v>
      </c>
      <c r="EM505">
        <v>0</v>
      </c>
      <c r="EN505">
        <v>0</v>
      </c>
      <c r="EO505">
        <v>0</v>
      </c>
      <c r="EP505">
        <v>0</v>
      </c>
    </row>
    <row r="506" spans="1:146" ht="84" x14ac:dyDescent="0.25">
      <c r="A506" s="7"/>
      <c r="B506" s="7"/>
      <c r="C506" s="7" t="str">
        <f>""&amp;CHAR(10)&amp;Basic_Fundamental_Information_Constructure(F506)&amp;CHAR(10)&amp;Basic_Fundamental_Information_Concatenate("")</f>
        <v xml:space="preserve">
市值57.242858亿, 利润-3.74亿; PE; 平均PE914.58; 平均PEG131.37, PB4.05; ROIC-18.88%; ROE-18.96%; 股利率0%; 毛利68.65%; 净利-64.3%; 上一年度营收增200%, 利润增-35.58%; 过往5年营收增6.96%, 利润增42.27%
Income profile:
</v>
      </c>
      <c r="D506" s="11">
        <v>6955</v>
      </c>
      <c r="E506" t="s">
        <v>6133</v>
      </c>
      <c r="F506">
        <v>11.24</v>
      </c>
      <c r="G506" s="5">
        <v>2.7400000000000001E-2</v>
      </c>
      <c r="H506" t="s">
        <v>6501</v>
      </c>
      <c r="I506">
        <v>5724285800</v>
      </c>
      <c r="K506">
        <v>4.05</v>
      </c>
      <c r="L506" t="s">
        <v>6350</v>
      </c>
      <c r="M506" t="s">
        <v>9</v>
      </c>
      <c r="N506" t="s">
        <v>9</v>
      </c>
      <c r="O506" t="s">
        <v>9</v>
      </c>
      <c r="P506" t="s">
        <v>9</v>
      </c>
      <c r="Q506" t="s">
        <v>101</v>
      </c>
      <c r="R506">
        <v>-374246050</v>
      </c>
      <c r="S506" s="5">
        <v>-0.35580000000000001</v>
      </c>
      <c r="T506" t="s">
        <v>6028</v>
      </c>
      <c r="U506">
        <v>509278090</v>
      </c>
      <c r="V506">
        <v>509278090</v>
      </c>
      <c r="W506" t="s">
        <v>9</v>
      </c>
      <c r="X506" t="s">
        <v>9</v>
      </c>
      <c r="Y506" t="s">
        <v>9</v>
      </c>
      <c r="Z506" t="s">
        <v>9</v>
      </c>
      <c r="AA506" t="s">
        <v>9</v>
      </c>
      <c r="AB506" t="s">
        <v>9</v>
      </c>
      <c r="AC506" t="s">
        <v>9</v>
      </c>
      <c r="AD506" t="s">
        <v>1809</v>
      </c>
      <c r="AE506" t="s">
        <v>9</v>
      </c>
      <c r="AF506" t="s">
        <v>9</v>
      </c>
      <c r="AG506" t="s">
        <v>9</v>
      </c>
      <c r="AH506" t="s">
        <v>6134</v>
      </c>
      <c r="AI506" t="s">
        <v>9</v>
      </c>
      <c r="AJ506" t="s">
        <v>9</v>
      </c>
      <c r="AK506" t="s">
        <v>6135</v>
      </c>
      <c r="AL506" t="s">
        <v>9</v>
      </c>
      <c r="AM506" t="s">
        <v>9</v>
      </c>
      <c r="AN506" s="5">
        <v>0.35599999999999998</v>
      </c>
      <c r="AO506" t="s">
        <v>9</v>
      </c>
      <c r="AP506" t="s">
        <v>1857</v>
      </c>
      <c r="AQ506" t="s">
        <v>9</v>
      </c>
      <c r="AR506" t="s">
        <v>1548</v>
      </c>
      <c r="AS506" t="s">
        <v>9</v>
      </c>
      <c r="AT506" t="s">
        <v>9</v>
      </c>
      <c r="AU506" t="s">
        <v>6136</v>
      </c>
      <c r="AV506" t="s">
        <v>2941</v>
      </c>
      <c r="AW506" t="s">
        <v>9</v>
      </c>
      <c r="AX506" t="s">
        <v>883</v>
      </c>
      <c r="AY506" t="s">
        <v>9</v>
      </c>
      <c r="AZ506" t="s">
        <v>9</v>
      </c>
      <c r="BA506" t="s">
        <v>9</v>
      </c>
      <c r="BB506" t="s">
        <v>9</v>
      </c>
      <c r="BC506" t="s">
        <v>9</v>
      </c>
      <c r="BD506" t="s">
        <v>9</v>
      </c>
      <c r="BE506" t="s">
        <v>9</v>
      </c>
      <c r="BF506" t="s">
        <v>9</v>
      </c>
      <c r="BG506" t="s">
        <v>9</v>
      </c>
      <c r="BH506" t="s">
        <v>101</v>
      </c>
      <c r="BI506" t="s">
        <v>9</v>
      </c>
      <c r="BJ506" t="s">
        <v>883</v>
      </c>
      <c r="BK506" t="s">
        <v>6028</v>
      </c>
      <c r="BL506" t="s">
        <v>9</v>
      </c>
      <c r="BM506" t="s">
        <v>9</v>
      </c>
      <c r="BN506">
        <v>-18.88</v>
      </c>
      <c r="BO506" t="s">
        <v>9</v>
      </c>
      <c r="BP506" t="s">
        <v>9</v>
      </c>
      <c r="BQ506">
        <v>-23.39</v>
      </c>
      <c r="BR506">
        <v>-14.53</v>
      </c>
      <c r="BS506" t="s">
        <v>9</v>
      </c>
      <c r="BT506" t="s">
        <v>9</v>
      </c>
      <c r="BU506" t="s">
        <v>489</v>
      </c>
      <c r="BV506">
        <v>68.650000000000006</v>
      </c>
      <c r="BW506" t="s">
        <v>9</v>
      </c>
      <c r="BX506" t="s">
        <v>9</v>
      </c>
      <c r="BY506">
        <v>-64.3</v>
      </c>
      <c r="BZ506" t="s">
        <v>9</v>
      </c>
      <c r="CA506" t="s">
        <v>9</v>
      </c>
      <c r="CB506">
        <v>4.66</v>
      </c>
      <c r="CC506">
        <v>-4.58</v>
      </c>
      <c r="CD506" t="s">
        <v>6502</v>
      </c>
      <c r="CE506" t="s">
        <v>6503</v>
      </c>
      <c r="CF506" s="8" t="s">
        <v>9</v>
      </c>
      <c r="CG506" s="9">
        <v>-0.35580000000000001</v>
      </c>
      <c r="CH506" s="8">
        <v>2</v>
      </c>
      <c r="CI506" s="8" t="s">
        <v>9</v>
      </c>
      <c r="CJ506" s="8" t="s">
        <v>9</v>
      </c>
      <c r="CK506" s="8" t="s">
        <v>9</v>
      </c>
      <c r="CL506" s="8" t="s">
        <v>9</v>
      </c>
      <c r="CM506" s="9" t="s">
        <v>9</v>
      </c>
      <c r="CN506" s="9" t="s">
        <v>9</v>
      </c>
      <c r="CO506" s="9" t="s">
        <v>9</v>
      </c>
      <c r="CP506" s="9" t="s">
        <v>9</v>
      </c>
      <c r="CQ506" s="9" t="s">
        <v>9</v>
      </c>
      <c r="CR506">
        <v>914.57849047761067</v>
      </c>
      <c r="CS506">
        <v>131.36588024103929</v>
      </c>
      <c r="CT506">
        <v>0</v>
      </c>
      <c r="CU506" s="8">
        <v>6.9620702788233763E-2</v>
      </c>
      <c r="CV506" s="9">
        <v>0.42270965874195099</v>
      </c>
      <c r="CW506">
        <v>0.06</v>
      </c>
      <c r="CX506" t="e">
        <v>#VALUE!</v>
      </c>
      <c r="CY506" t="s">
        <v>109</v>
      </c>
      <c r="CZ506">
        <v>6.9620702788233763E-2</v>
      </c>
      <c r="DA506" t="e">
        <v>#VALUE!</v>
      </c>
      <c r="DB506" t="s">
        <v>108</v>
      </c>
      <c r="DC506">
        <v>6.6139667648822065E-2</v>
      </c>
      <c r="DD506" t="e">
        <v>#VALUE!</v>
      </c>
      <c r="DE506" t="s">
        <v>108</v>
      </c>
      <c r="DF506">
        <v>6.1266218453645709E-2</v>
      </c>
      <c r="DG506" t="e">
        <v>#VALUE!</v>
      </c>
      <c r="DH506" t="s">
        <v>108</v>
      </c>
      <c r="DI506">
        <v>5.5696562230587013E-2</v>
      </c>
      <c r="DJ506" t="e">
        <v>#VALUE!</v>
      </c>
      <c r="DK506" t="s">
        <v>108</v>
      </c>
      <c r="DL506">
        <v>4.8734491951763631E-2</v>
      </c>
      <c r="DM506">
        <v>-374000000</v>
      </c>
      <c r="DN506">
        <v>6.9620702788233763E-2</v>
      </c>
      <c r="DO506">
        <v>5724285800</v>
      </c>
      <c r="DP506" t="e">
        <v>#VALUE!</v>
      </c>
      <c r="DQ506">
        <v>514</v>
      </c>
      <c r="DR506" t="e">
        <v>#VALUE!</v>
      </c>
      <c r="DS506">
        <v>-0.77850965874195099</v>
      </c>
      <c r="DT506" t="e">
        <v>#VALUE!</v>
      </c>
      <c r="DU506" t="e">
        <v>#VALUE!</v>
      </c>
      <c r="DV506" t="e">
        <v>#VALUE!</v>
      </c>
      <c r="DW506">
        <v>4.9828326180257507</v>
      </c>
      <c r="DX506">
        <v>0.55804036358034081</v>
      </c>
      <c r="DY506">
        <v>4.3125804431755297</v>
      </c>
      <c r="DZ506">
        <v>0</v>
      </c>
      <c r="EA506">
        <v>4.3125804431755297</v>
      </c>
      <c r="EB506">
        <v>4</v>
      </c>
      <c r="EC506">
        <v>2.0267905104655102E-3</v>
      </c>
      <c r="ED506">
        <v>6.3727461748845308E-3</v>
      </c>
      <c r="EE506">
        <v>0</v>
      </c>
      <c r="EF506">
        <v>0</v>
      </c>
      <c r="EG506">
        <v>24.318040363580341</v>
      </c>
      <c r="EH506" t="s">
        <v>110</v>
      </c>
      <c r="EI506">
        <v>0</v>
      </c>
      <c r="EJ506">
        <v>0</v>
      </c>
      <c r="EK506">
        <v>0</v>
      </c>
      <c r="EL506">
        <v>0</v>
      </c>
      <c r="EM506">
        <v>0</v>
      </c>
      <c r="EN506">
        <v>0</v>
      </c>
      <c r="EO506">
        <v>0</v>
      </c>
      <c r="EP506">
        <v>0</v>
      </c>
    </row>
    <row r="507" spans="1:146" ht="84" x14ac:dyDescent="0.25">
      <c r="A507" s="7"/>
      <c r="B507" s="7"/>
      <c r="C507" s="7" t="str">
        <f>""&amp;CHAR(10)&amp;Basic_Fundamental_Information_Constructure(F507)&amp;CHAR(10)&amp;Basic_Fundamental_Information_Concatenate("")</f>
        <v xml:space="preserve">
市值577.55745亿, 利润18.03亿; PE32.03; 平均PE161.22; 平均PEG29.15, PB2.46; ROIC17.9833%; ROE15.8233%; 股利率0%; 毛利45.25%; 净利24.6133%; 上一年度营收增-10.64%, 利润增-72.15%, 利润增-36.32%; 过往5年营收增5.53%, 利润增22.36%
Income profile:
</v>
      </c>
      <c r="D507" s="11">
        <v>6969</v>
      </c>
      <c r="E507" t="s">
        <v>6137</v>
      </c>
      <c r="F507">
        <v>9.41</v>
      </c>
      <c r="G507" s="5">
        <v>-4.4699999999999997E-2</v>
      </c>
      <c r="H507" t="s">
        <v>12654</v>
      </c>
      <c r="I507">
        <v>57755745000</v>
      </c>
      <c r="J507">
        <v>32.03</v>
      </c>
      <c r="K507">
        <v>2.46</v>
      </c>
      <c r="L507" t="s">
        <v>6350</v>
      </c>
      <c r="M507" t="s">
        <v>9</v>
      </c>
      <c r="N507" t="s">
        <v>9</v>
      </c>
      <c r="O507" t="s">
        <v>9</v>
      </c>
      <c r="P507" t="s">
        <v>9</v>
      </c>
      <c r="Q507" t="s">
        <v>12655</v>
      </c>
      <c r="R507">
        <v>1803347700</v>
      </c>
      <c r="S507" s="5">
        <v>-0.36320000000000002</v>
      </c>
      <c r="T507" t="s">
        <v>8186</v>
      </c>
      <c r="U507">
        <v>6137698700</v>
      </c>
      <c r="V507">
        <v>6137698700</v>
      </c>
      <c r="W507" t="s">
        <v>9</v>
      </c>
      <c r="X507" t="s">
        <v>9</v>
      </c>
      <c r="Y507" t="s">
        <v>9</v>
      </c>
      <c r="Z507" t="s">
        <v>9</v>
      </c>
      <c r="AA507" t="s">
        <v>9</v>
      </c>
      <c r="AB507" t="s">
        <v>9</v>
      </c>
      <c r="AC507" t="s">
        <v>9</v>
      </c>
      <c r="AD507" t="s">
        <v>12656</v>
      </c>
      <c r="AE507" t="s">
        <v>9</v>
      </c>
      <c r="AF507" t="s">
        <v>9</v>
      </c>
      <c r="AG507" t="s">
        <v>9</v>
      </c>
      <c r="AH507" t="s">
        <v>12657</v>
      </c>
      <c r="AI507" t="s">
        <v>9</v>
      </c>
      <c r="AJ507" t="s">
        <v>9</v>
      </c>
      <c r="AK507" t="s">
        <v>12658</v>
      </c>
      <c r="AL507" t="s">
        <v>9</v>
      </c>
      <c r="AM507" t="s">
        <v>9</v>
      </c>
      <c r="AN507" s="5">
        <v>0.16070000000000001</v>
      </c>
      <c r="AO507" t="s">
        <v>9</v>
      </c>
      <c r="AP507" t="s">
        <v>1340</v>
      </c>
      <c r="AQ507" t="s">
        <v>9</v>
      </c>
      <c r="AR507" t="s">
        <v>1845</v>
      </c>
      <c r="AS507" t="s">
        <v>9</v>
      </c>
      <c r="AT507" t="s">
        <v>9</v>
      </c>
      <c r="AU507" t="s">
        <v>1065</v>
      </c>
      <c r="AV507" t="s">
        <v>12659</v>
      </c>
      <c r="AW507" t="s">
        <v>9</v>
      </c>
      <c r="AX507" t="s">
        <v>6138</v>
      </c>
      <c r="AY507" t="s">
        <v>6140</v>
      </c>
      <c r="AZ507" t="s">
        <v>6141</v>
      </c>
      <c r="BA507" t="s">
        <v>6142</v>
      </c>
      <c r="BB507" t="s">
        <v>5862</v>
      </c>
      <c r="BC507" t="s">
        <v>2244</v>
      </c>
      <c r="BD507" t="s">
        <v>6143</v>
      </c>
      <c r="BE507" t="s">
        <v>6144</v>
      </c>
      <c r="BF507" t="s">
        <v>1153</v>
      </c>
      <c r="BG507" t="s">
        <v>1333</v>
      </c>
      <c r="BH507" t="s">
        <v>6138</v>
      </c>
      <c r="BI507" t="s">
        <v>10859</v>
      </c>
      <c r="BJ507" t="s">
        <v>6140</v>
      </c>
      <c r="BK507" t="s">
        <v>6139</v>
      </c>
      <c r="BL507" t="s">
        <v>9</v>
      </c>
      <c r="BM507" t="s">
        <v>2244</v>
      </c>
      <c r="BN507">
        <v>7.87</v>
      </c>
      <c r="BO507">
        <v>12.67</v>
      </c>
      <c r="BP507">
        <v>33.409999999999997</v>
      </c>
      <c r="BQ507">
        <v>7.68</v>
      </c>
      <c r="BR507">
        <v>12.32</v>
      </c>
      <c r="BS507">
        <v>27.47</v>
      </c>
      <c r="BT507" t="s">
        <v>12660</v>
      </c>
      <c r="BU507" t="s">
        <v>1987</v>
      </c>
      <c r="BV507">
        <v>38.81</v>
      </c>
      <c r="BW507">
        <v>43.31</v>
      </c>
      <c r="BX507">
        <v>53.63</v>
      </c>
      <c r="BY507">
        <v>14.73</v>
      </c>
      <c r="BZ507">
        <v>20.67</v>
      </c>
      <c r="CA507">
        <v>38.44</v>
      </c>
      <c r="CB507">
        <v>1.07</v>
      </c>
      <c r="CC507">
        <v>34.81</v>
      </c>
      <c r="CD507" t="s">
        <v>12661</v>
      </c>
      <c r="CE507" t="s">
        <v>3538</v>
      </c>
      <c r="CF507" s="8" t="s">
        <v>9</v>
      </c>
      <c r="CG507" s="9">
        <v>-0.36320000000000002</v>
      </c>
      <c r="CH507" s="8">
        <v>-0.10641557723283768</v>
      </c>
      <c r="CI507" s="8">
        <v>-0.18654632568359375</v>
      </c>
      <c r="CJ507" s="8">
        <v>0.41170060634613037</v>
      </c>
      <c r="CK507" s="8">
        <v>2.0514063835144043</v>
      </c>
      <c r="CL507" s="8">
        <v>1.0831115245819092</v>
      </c>
      <c r="CM507" s="9">
        <v>-0.72150135040283203</v>
      </c>
      <c r="CN507" s="9">
        <v>1.2636363506317139</v>
      </c>
      <c r="CO507" s="9">
        <v>0.17743930220603943</v>
      </c>
      <c r="CP507" s="9">
        <v>1.9055023193359375</v>
      </c>
      <c r="CQ507" s="9">
        <v>2.6828193664550781</v>
      </c>
      <c r="CR507">
        <v>161.22132569646732</v>
      </c>
      <c r="CS507">
        <v>29.145069870861168</v>
      </c>
      <c r="CT507">
        <v>0</v>
      </c>
      <c r="CU507" s="8">
        <v>5.5316843092441559E-2</v>
      </c>
      <c r="CV507" s="9">
        <v>0.2235627554357052</v>
      </c>
      <c r="CW507">
        <v>0.06</v>
      </c>
      <c r="CX507">
        <v>32.175289201415339</v>
      </c>
      <c r="CY507">
        <v>1795034215.1845963</v>
      </c>
      <c r="CZ507">
        <v>5.5316843092441559E-2</v>
      </c>
      <c r="DA507">
        <v>10.829201696086372</v>
      </c>
      <c r="DB507">
        <v>5333333575.3523445</v>
      </c>
      <c r="DC507">
        <v>5.2551000937819475E-2</v>
      </c>
      <c r="DD507">
        <v>5.542388665412334</v>
      </c>
      <c r="DE507">
        <v>10420731653.200142</v>
      </c>
      <c r="DF507">
        <v>4.8678821921348571E-2</v>
      </c>
      <c r="DG507">
        <v>3.474944714089534</v>
      </c>
      <c r="DH507">
        <v>16620622701.081594</v>
      </c>
      <c r="DI507">
        <v>4.4253474473953253E-2</v>
      </c>
      <c r="DJ507">
        <v>1.9682224178516543</v>
      </c>
      <c r="DK507">
        <v>29344115012.69318</v>
      </c>
      <c r="DL507">
        <v>3.8721790164709086E-2</v>
      </c>
      <c r="DM507">
        <v>1803000000</v>
      </c>
      <c r="DN507">
        <v>5.5316843092441559E-2</v>
      </c>
      <c r="DO507">
        <v>57755745000</v>
      </c>
      <c r="DP507" t="e">
        <v>#VALUE!</v>
      </c>
      <c r="DQ507">
        <v>507</v>
      </c>
      <c r="DR507" t="e">
        <v>#VALUE!</v>
      </c>
      <c r="DS507">
        <v>-0.58676275543570522</v>
      </c>
      <c r="DT507" t="e">
        <v>#VALUE!</v>
      </c>
      <c r="DU507" t="e">
        <v>#VALUE!</v>
      </c>
      <c r="DV507" t="e">
        <v>#VALUE!</v>
      </c>
      <c r="DW507">
        <v>3.2127321428571429</v>
      </c>
      <c r="DX507">
        <v>0.39742388509874416</v>
      </c>
      <c r="DY507">
        <v>3.0334891204139525</v>
      </c>
      <c r="DZ507">
        <v>0</v>
      </c>
      <c r="EA507">
        <v>3.0334891204139525</v>
      </c>
      <c r="EB507">
        <v>3</v>
      </c>
      <c r="EC507">
        <v>1.4286315488246434E-2</v>
      </c>
      <c r="ED507">
        <v>9.0750626126368833E-2</v>
      </c>
      <c r="EE507">
        <v>0</v>
      </c>
      <c r="EF507">
        <v>0</v>
      </c>
      <c r="EG507">
        <v>24.157423885098744</v>
      </c>
      <c r="EH507" t="s">
        <v>110</v>
      </c>
      <c r="EI507">
        <v>0</v>
      </c>
      <c r="EJ507">
        <v>0</v>
      </c>
      <c r="EK507">
        <v>0</v>
      </c>
      <c r="EL507">
        <v>0</v>
      </c>
      <c r="EM507">
        <v>0</v>
      </c>
      <c r="EN507">
        <v>0</v>
      </c>
      <c r="EO507">
        <v>0</v>
      </c>
      <c r="EP507">
        <v>0</v>
      </c>
    </row>
    <row r="508" spans="1:146" ht="84" x14ac:dyDescent="0.25">
      <c r="C508" s="7" t="str">
        <f>""&amp;CHAR(10)&amp;Basic_Fundamental_Information_Constructure(F508)&amp;CHAR(10)&amp;Basic_Fundamental_Information_Concatenate("")</f>
        <v xml:space="preserve">
市值279.90031亿, 利润--; PE10.97; 平均PE356.71; 平均PEG33.08, PB2.01; ROIC0%; ROE0%; 股利率0%; 毛利0%; 净利0%, 利润增119.6%; 过往5年营收增10.78%, 利润增14.12%
Income profile:
</v>
      </c>
      <c r="D508" s="11">
        <v>6979</v>
      </c>
      <c r="E508" t="s">
        <v>6381</v>
      </c>
      <c r="F508">
        <v>8.26</v>
      </c>
      <c r="G508">
        <v>-1.3100000000000001E-2</v>
      </c>
      <c r="H508" t="s">
        <v>12662</v>
      </c>
      <c r="I508">
        <v>27990031000</v>
      </c>
      <c r="J508">
        <v>10.97</v>
      </c>
      <c r="K508">
        <v>2.0099999999999998</v>
      </c>
      <c r="L508" t="s">
        <v>6350</v>
      </c>
      <c r="M508" t="s">
        <v>9</v>
      </c>
      <c r="N508" t="s">
        <v>9</v>
      </c>
      <c r="O508" t="s">
        <v>9</v>
      </c>
      <c r="P508" s="5" t="s">
        <v>9</v>
      </c>
      <c r="Q508" t="s">
        <v>9</v>
      </c>
      <c r="R508">
        <v>2550948400</v>
      </c>
      <c r="S508">
        <v>1.196</v>
      </c>
      <c r="T508" t="s">
        <v>9</v>
      </c>
      <c r="U508">
        <v>3388623600</v>
      </c>
      <c r="V508">
        <v>3388623600</v>
      </c>
      <c r="W508" t="s">
        <v>9</v>
      </c>
      <c r="X508" t="s">
        <v>9</v>
      </c>
      <c r="Y508" t="s">
        <v>9</v>
      </c>
      <c r="Z508" t="s">
        <v>9</v>
      </c>
      <c r="AA508" t="s">
        <v>9</v>
      </c>
      <c r="AB508" t="s">
        <v>9</v>
      </c>
      <c r="AC508" t="s">
        <v>9</v>
      </c>
      <c r="AD508" t="s">
        <v>9</v>
      </c>
      <c r="AE508" t="s">
        <v>9</v>
      </c>
      <c r="AF508" t="s">
        <v>9</v>
      </c>
      <c r="AG508" t="s">
        <v>9</v>
      </c>
      <c r="AH508" t="s">
        <v>12663</v>
      </c>
      <c r="AI508" t="s">
        <v>9</v>
      </c>
      <c r="AJ508" t="s">
        <v>9</v>
      </c>
      <c r="AK508" s="5" t="s">
        <v>12664</v>
      </c>
      <c r="AL508" t="s">
        <v>9</v>
      </c>
      <c r="AM508" t="s">
        <v>9</v>
      </c>
      <c r="AN508">
        <v>0.27889999999999998</v>
      </c>
      <c r="AO508" t="s">
        <v>9</v>
      </c>
      <c r="AP508" t="s">
        <v>9</v>
      </c>
      <c r="AQ508" t="s">
        <v>9</v>
      </c>
      <c r="AR508" t="s">
        <v>9</v>
      </c>
      <c r="AS508" t="s">
        <v>9</v>
      </c>
      <c r="AT508" t="s">
        <v>9</v>
      </c>
      <c r="AU508" t="s">
        <v>9</v>
      </c>
      <c r="AV508" t="s">
        <v>9</v>
      </c>
      <c r="AW508" t="s">
        <v>9</v>
      </c>
      <c r="AX508" t="s">
        <v>9</v>
      </c>
      <c r="AY508" t="s">
        <v>9</v>
      </c>
      <c r="AZ508" t="s">
        <v>9</v>
      </c>
      <c r="BA508" t="s">
        <v>9</v>
      </c>
      <c r="BB508" t="s">
        <v>9</v>
      </c>
      <c r="BC508" t="s">
        <v>9</v>
      </c>
      <c r="BD508" t="s">
        <v>9</v>
      </c>
      <c r="BE508" t="s">
        <v>9</v>
      </c>
      <c r="BF508" t="s">
        <v>9</v>
      </c>
      <c r="BG508" t="s">
        <v>9</v>
      </c>
      <c r="BH508" t="s">
        <v>9</v>
      </c>
      <c r="BI508" t="s">
        <v>9</v>
      </c>
      <c r="BJ508" t="s">
        <v>9</v>
      </c>
      <c r="BK508" t="s">
        <v>9</v>
      </c>
      <c r="BL508" t="s">
        <v>9</v>
      </c>
      <c r="BM508" t="s">
        <v>9</v>
      </c>
      <c r="BN508" t="s">
        <v>9</v>
      </c>
      <c r="BO508" t="s">
        <v>9</v>
      </c>
      <c r="BP508" t="s">
        <v>9</v>
      </c>
      <c r="BQ508" t="s">
        <v>9</v>
      </c>
      <c r="BR508" t="s">
        <v>9</v>
      </c>
      <c r="BS508" t="s">
        <v>9</v>
      </c>
      <c r="BT508" t="s">
        <v>9</v>
      </c>
      <c r="BU508" t="s">
        <v>9</v>
      </c>
      <c r="BV508" t="s">
        <v>9</v>
      </c>
      <c r="BW508" t="s">
        <v>9</v>
      </c>
      <c r="BX508" t="s">
        <v>9</v>
      </c>
      <c r="BY508" t="s">
        <v>9</v>
      </c>
      <c r="BZ508" t="s">
        <v>9</v>
      </c>
      <c r="CA508" t="s">
        <v>9</v>
      </c>
      <c r="CB508">
        <v>2.23</v>
      </c>
      <c r="CC508" s="8">
        <v>-22.8</v>
      </c>
      <c r="CD508" s="10" t="s">
        <v>12665</v>
      </c>
      <c r="CE508" s="8" t="s">
        <v>2219</v>
      </c>
      <c r="CF508" s="8" t="s">
        <v>9</v>
      </c>
      <c r="CG508" s="8">
        <v>1.196</v>
      </c>
      <c r="CH508" s="8" t="s">
        <v>9</v>
      </c>
      <c r="CI508" s="8" t="s">
        <v>9</v>
      </c>
      <c r="CJ508" s="9" t="s">
        <v>9</v>
      </c>
      <c r="CK508" s="9" t="s">
        <v>9</v>
      </c>
      <c r="CL508" s="9" t="s">
        <v>9</v>
      </c>
      <c r="CM508" s="9" t="s">
        <v>9</v>
      </c>
      <c r="CN508" s="9" t="s">
        <v>9</v>
      </c>
      <c r="CO508" t="s">
        <v>9</v>
      </c>
      <c r="CP508" t="s">
        <v>9</v>
      </c>
      <c r="CQ508" t="s">
        <v>9</v>
      </c>
      <c r="CR508" s="8">
        <v>356.71176854414858</v>
      </c>
      <c r="CS508" s="9">
        <v>33.07556937990627</v>
      </c>
      <c r="CT508">
        <v>0</v>
      </c>
      <c r="CU508">
        <v>0.10784750655293465</v>
      </c>
      <c r="CV508">
        <v>0.14123627059161664</v>
      </c>
      <c r="CW508">
        <v>0.06</v>
      </c>
      <c r="CX508" t="e">
        <v>#DIV/0!</v>
      </c>
      <c r="CY508">
        <v>0</v>
      </c>
      <c r="CZ508">
        <v>0.10784750655293465</v>
      </c>
      <c r="DA508" t="e">
        <v>#DIV/0!</v>
      </c>
      <c r="DB508">
        <v>0</v>
      </c>
      <c r="DC508">
        <v>0.10245513122528792</v>
      </c>
      <c r="DD508" t="e">
        <v>#DIV/0!</v>
      </c>
      <c r="DE508">
        <v>0</v>
      </c>
      <c r="DF508">
        <v>9.4905805766582488E-2</v>
      </c>
      <c r="DG508" t="e">
        <v>#DIV/0!</v>
      </c>
      <c r="DH508">
        <v>0</v>
      </c>
      <c r="DI508">
        <v>8.627800524234773E-2</v>
      </c>
      <c r="DJ508" t="e">
        <v>#DIV/0!</v>
      </c>
      <c r="DK508">
        <v>0</v>
      </c>
      <c r="DL508">
        <v>7.5493254587054248E-2</v>
      </c>
      <c r="DM508">
        <v>0</v>
      </c>
      <c r="DN508">
        <v>0.10784750655293465</v>
      </c>
      <c r="DO508">
        <v>27990031000</v>
      </c>
      <c r="DP508" t="e">
        <v>#VALUE!</v>
      </c>
      <c r="DQ508">
        <v>508</v>
      </c>
      <c r="DR508" t="e">
        <v>#VALUE!</v>
      </c>
      <c r="DS508">
        <v>1.0547637294083834</v>
      </c>
      <c r="DT508" t="e">
        <v>#VALUE!</v>
      </c>
      <c r="DU508" t="e">
        <v>#VALUE!</v>
      </c>
      <c r="DV508" t="e">
        <v>#VALUE!</v>
      </c>
      <c r="DW508">
        <v>-3.0769047619047618</v>
      </c>
      <c r="DX508">
        <v>0.3650753768844216</v>
      </c>
      <c r="DY508">
        <v>-3.0150022254127782</v>
      </c>
      <c r="DZ508">
        <v>0</v>
      </c>
      <c r="EA508">
        <v>-3.0150022254127782</v>
      </c>
      <c r="EB508">
        <v>3</v>
      </c>
      <c r="EC508">
        <v>1.1455978763767093E-2</v>
      </c>
      <c r="ED508">
        <v>5.8725908655065731E-2</v>
      </c>
      <c r="EE508">
        <v>0</v>
      </c>
      <c r="EF508">
        <v>0</v>
      </c>
      <c r="EG508">
        <v>17.195075376884422</v>
      </c>
      <c r="EH508" t="s">
        <v>110</v>
      </c>
      <c r="EI508">
        <v>0</v>
      </c>
      <c r="EJ508">
        <v>0</v>
      </c>
      <c r="EK508">
        <v>0</v>
      </c>
      <c r="EL508">
        <v>0</v>
      </c>
      <c r="EM508">
        <v>0</v>
      </c>
      <c r="EN508">
        <v>0</v>
      </c>
      <c r="EO508">
        <v>0</v>
      </c>
      <c r="EP508">
        <v>0</v>
      </c>
    </row>
    <row r="509" spans="1:146" ht="84" x14ac:dyDescent="0.25">
      <c r="A509"/>
      <c r="B509"/>
      <c r="C509" s="7" t="str">
        <f>""&amp;CHAR(10)&amp;Basic_Fundamental_Information_Constructure(F509)&amp;CHAR(10)&amp;Basic_Fundamental_Information_Concatenate("")</f>
        <v xml:space="preserve">
市值356.10487亿, 利润--; PE; 平均PE388.81; 平均PEG39.38, PB13.95; ROIC0%; ROE0%; 股利率0%; 毛利0%; 净利0%, 利润增7.42%; 过往5年营收增9.87%, 利润增21.21%
Income profile:
</v>
      </c>
      <c r="D509" s="11">
        <v>6990</v>
      </c>
      <c r="E509" t="s">
        <v>12666</v>
      </c>
      <c r="F509">
        <v>159.80000000000001</v>
      </c>
      <c r="G509">
        <v>-4.02E-2</v>
      </c>
      <c r="H509" t="s">
        <v>12667</v>
      </c>
      <c r="I509">
        <v>35610487000</v>
      </c>
      <c r="K509">
        <v>13.95</v>
      </c>
      <c r="L509" t="s">
        <v>6350</v>
      </c>
      <c r="M509" t="s">
        <v>9</v>
      </c>
      <c r="N509" t="s">
        <v>9</v>
      </c>
      <c r="O509" t="s">
        <v>9</v>
      </c>
      <c r="P509" s="5" t="s">
        <v>9</v>
      </c>
      <c r="Q509" t="s">
        <v>9</v>
      </c>
      <c r="R509">
        <v>-572445510</v>
      </c>
      <c r="S509">
        <v>7.4200000000000002E-2</v>
      </c>
      <c r="T509" t="s">
        <v>9</v>
      </c>
      <c r="U509">
        <v>126624405</v>
      </c>
      <c r="V509">
        <v>219195500</v>
      </c>
      <c r="W509" t="s">
        <v>9</v>
      </c>
      <c r="X509" t="s">
        <v>9</v>
      </c>
      <c r="Y509" t="s">
        <v>9</v>
      </c>
      <c r="Z509" t="s">
        <v>9</v>
      </c>
      <c r="AA509" t="s">
        <v>9</v>
      </c>
      <c r="AB509" t="s">
        <v>9</v>
      </c>
      <c r="AC509" t="s">
        <v>9</v>
      </c>
      <c r="AD509" t="s">
        <v>9</v>
      </c>
      <c r="AE509" t="s">
        <v>9</v>
      </c>
      <c r="AF509" t="s">
        <v>9</v>
      </c>
      <c r="AG509" t="s">
        <v>9</v>
      </c>
      <c r="AH509" t="s">
        <v>12668</v>
      </c>
      <c r="AI509" t="s">
        <v>9</v>
      </c>
      <c r="AJ509" t="s">
        <v>9</v>
      </c>
      <c r="AK509" s="5" t="s">
        <v>12669</v>
      </c>
      <c r="AL509" t="s">
        <v>9</v>
      </c>
      <c r="AM509" t="s">
        <v>9</v>
      </c>
      <c r="AN509">
        <v>0.33629999999999999</v>
      </c>
      <c r="AO509" t="s">
        <v>9</v>
      </c>
      <c r="AP509" t="s">
        <v>9</v>
      </c>
      <c r="AQ509" t="s">
        <v>9</v>
      </c>
      <c r="AR509" t="s">
        <v>9</v>
      </c>
      <c r="AS509" t="s">
        <v>9</v>
      </c>
      <c r="AT509" t="s">
        <v>9</v>
      </c>
      <c r="AU509" t="s">
        <v>9</v>
      </c>
      <c r="AV509" t="s">
        <v>9</v>
      </c>
      <c r="AW509" t="s">
        <v>9</v>
      </c>
      <c r="AX509" t="s">
        <v>9</v>
      </c>
      <c r="AY509" t="s">
        <v>9</v>
      </c>
      <c r="AZ509" t="s">
        <v>9</v>
      </c>
      <c r="BA509" t="s">
        <v>9</v>
      </c>
      <c r="BB509" t="s">
        <v>9</v>
      </c>
      <c r="BC509" t="s">
        <v>9</v>
      </c>
      <c r="BD509" t="s">
        <v>9</v>
      </c>
      <c r="BE509" t="s">
        <v>9</v>
      </c>
      <c r="BF509" t="s">
        <v>9</v>
      </c>
      <c r="BG509" t="s">
        <v>9</v>
      </c>
      <c r="BH509" t="s">
        <v>9</v>
      </c>
      <c r="BI509" t="s">
        <v>9</v>
      </c>
      <c r="BJ509" t="s">
        <v>9</v>
      </c>
      <c r="BK509" t="s">
        <v>9</v>
      </c>
      <c r="BL509" t="s">
        <v>9</v>
      </c>
      <c r="BM509" t="s">
        <v>9</v>
      </c>
      <c r="BN509" t="s">
        <v>9</v>
      </c>
      <c r="BO509" t="s">
        <v>9</v>
      </c>
      <c r="BP509" t="s">
        <v>9</v>
      </c>
      <c r="BQ509" t="s">
        <v>9</v>
      </c>
      <c r="BR509" t="s">
        <v>9</v>
      </c>
      <c r="BS509" t="s">
        <v>9</v>
      </c>
      <c r="BT509" t="s">
        <v>9</v>
      </c>
      <c r="BU509" t="s">
        <v>9</v>
      </c>
      <c r="BV509" t="s">
        <v>9</v>
      </c>
      <c r="BW509" t="s">
        <v>9</v>
      </c>
      <c r="BX509" t="s">
        <v>9</v>
      </c>
      <c r="BY509" t="s">
        <v>9</v>
      </c>
      <c r="BZ509" t="s">
        <v>9</v>
      </c>
      <c r="CA509" t="s">
        <v>9</v>
      </c>
      <c r="CB509">
        <v>-8.69</v>
      </c>
      <c r="CC509" s="8">
        <v>-9.0500000000000007</v>
      </c>
      <c r="CD509" s="10" t="s">
        <v>12670</v>
      </c>
      <c r="CE509" s="8" t="s">
        <v>12671</v>
      </c>
      <c r="CF509" s="8" t="s">
        <v>9</v>
      </c>
      <c r="CG509" s="8">
        <v>7.4200000000000002E-2</v>
      </c>
      <c r="CH509" s="8" t="s">
        <v>9</v>
      </c>
      <c r="CI509" s="8" t="s">
        <v>9</v>
      </c>
      <c r="CJ509" s="9" t="s">
        <v>9</v>
      </c>
      <c r="CK509" s="9" t="s">
        <v>9</v>
      </c>
      <c r="CL509" s="9" t="s">
        <v>9</v>
      </c>
      <c r="CM509" s="9" t="s">
        <v>9</v>
      </c>
      <c r="CN509" s="9" t="s">
        <v>9</v>
      </c>
      <c r="CO509" t="s">
        <v>9</v>
      </c>
      <c r="CP509" t="s">
        <v>9</v>
      </c>
      <c r="CQ509" t="s">
        <v>9</v>
      </c>
      <c r="CR509" s="8">
        <v>388.8052585055583</v>
      </c>
      <c r="CS509" s="9">
        <v>39.383672075201169</v>
      </c>
      <c r="CT509">
        <v>0</v>
      </c>
      <c r="CU509">
        <v>9.8722449690103534E-2</v>
      </c>
      <c r="CV509">
        <v>0.21206501843407749</v>
      </c>
      <c r="CW509">
        <v>0.06</v>
      </c>
      <c r="CX509" t="e">
        <v>#DIV/0!</v>
      </c>
      <c r="CY509">
        <v>0</v>
      </c>
      <c r="CZ509">
        <v>9.8722449690103534E-2</v>
      </c>
      <c r="DA509" t="e">
        <v>#DIV/0!</v>
      </c>
      <c r="DB509">
        <v>0</v>
      </c>
      <c r="DC509">
        <v>9.3786327205598347E-2</v>
      </c>
      <c r="DD509" t="e">
        <v>#DIV/0!</v>
      </c>
      <c r="DE509">
        <v>0</v>
      </c>
      <c r="DF509">
        <v>8.6875755727291115E-2</v>
      </c>
      <c r="DG509" t="e">
        <v>#DIV/0!</v>
      </c>
      <c r="DH509">
        <v>0</v>
      </c>
      <c r="DI509">
        <v>7.8977959752082827E-2</v>
      </c>
      <c r="DJ509" t="e">
        <v>#DIV/0!</v>
      </c>
      <c r="DK509">
        <v>0</v>
      </c>
      <c r="DL509">
        <v>6.9105714783072467E-2</v>
      </c>
      <c r="DM509">
        <v>0</v>
      </c>
      <c r="DN509">
        <v>9.8722449690103534E-2</v>
      </c>
      <c r="DO509">
        <v>35610487000</v>
      </c>
      <c r="DP509" t="e">
        <v>#VALUE!</v>
      </c>
      <c r="DQ509">
        <v>509</v>
      </c>
      <c r="DR509" t="e">
        <v>#VALUE!</v>
      </c>
      <c r="DS509">
        <v>-0.1378650184340775</v>
      </c>
      <c r="DT509" t="e">
        <v>#VALUE!</v>
      </c>
      <c r="DU509" t="e">
        <v>#VALUE!</v>
      </c>
      <c r="DV509" t="e">
        <v>#VALUE!</v>
      </c>
      <c r="DW509">
        <v>-9.9602209944751383</v>
      </c>
      <c r="DX509">
        <v>0.43009415177806887</v>
      </c>
      <c r="DY509">
        <v>-9.0481014562377293</v>
      </c>
      <c r="DZ509">
        <v>0</v>
      </c>
      <c r="EA509">
        <v>-9.0481014562377293</v>
      </c>
      <c r="EB509">
        <v>9</v>
      </c>
      <c r="EC509">
        <v>2.5365484236674566E-3</v>
      </c>
      <c r="ED509">
        <v>5.063561980058897E-2</v>
      </c>
      <c r="EE509">
        <v>0</v>
      </c>
      <c r="EF509">
        <v>0</v>
      </c>
      <c r="EG509">
        <v>38.050094151778069</v>
      </c>
      <c r="EH509" t="s">
        <v>110</v>
      </c>
      <c r="EI509">
        <v>0</v>
      </c>
      <c r="EJ509">
        <v>0</v>
      </c>
      <c r="EK509">
        <v>0</v>
      </c>
      <c r="EL509">
        <v>0</v>
      </c>
      <c r="EM509">
        <v>0</v>
      </c>
      <c r="EN509">
        <v>0</v>
      </c>
      <c r="EO509">
        <v>0</v>
      </c>
      <c r="EP509">
        <v>0</v>
      </c>
    </row>
    <row r="510" spans="1:146" ht="96" x14ac:dyDescent="0.25">
      <c r="A510" s="7"/>
      <c r="B510" s="7"/>
      <c r="C510" s="7" t="str">
        <f>""&amp;CHAR(10)&amp;Basic_Fundamental_Information_Constructure(F510)&amp;CHAR(10)&amp;Basic_Fundamental_Information_Concatenate("")</f>
        <v xml:space="preserve">
市值522.61221亿, 利润-52.86亿; PE; 平均PE-62.6; 平均PEG-3.78, PB3.56; ROIC-21.1233%; ROE-37.9967%; 股利率0%; 毛利20.8667%; 净利-30.2567%; 上一年度营收增-.04%, 利润增36.41%, 利润增37.5%; 过往5年营收增16.58%, 利润增15.21%
Income profile:
</v>
      </c>
      <c r="D510" s="11">
        <v>9626</v>
      </c>
      <c r="E510" t="s">
        <v>6146</v>
      </c>
      <c r="F510">
        <v>126.7</v>
      </c>
      <c r="G510" s="5">
        <v>-4.8099999999999997E-2</v>
      </c>
      <c r="H510" t="s">
        <v>12672</v>
      </c>
      <c r="I510">
        <v>52261221000</v>
      </c>
      <c r="K510">
        <v>3.56</v>
      </c>
      <c r="L510" t="s">
        <v>6350</v>
      </c>
      <c r="M510" t="s">
        <v>9</v>
      </c>
      <c r="N510" t="s">
        <v>9</v>
      </c>
      <c r="O510" t="s">
        <v>9</v>
      </c>
      <c r="P510" t="s">
        <v>9</v>
      </c>
      <c r="Q510" t="s">
        <v>12673</v>
      </c>
      <c r="R510">
        <v>-5286228300</v>
      </c>
      <c r="S510" s="5">
        <v>0.375</v>
      </c>
      <c r="T510" t="s">
        <v>12674</v>
      </c>
      <c r="U510">
        <v>412480040</v>
      </c>
      <c r="V510">
        <v>412480040</v>
      </c>
      <c r="W510" t="s">
        <v>9</v>
      </c>
      <c r="X510" t="s">
        <v>9</v>
      </c>
      <c r="Y510" t="s">
        <v>9</v>
      </c>
      <c r="Z510" t="s">
        <v>9</v>
      </c>
      <c r="AA510" t="s">
        <v>9</v>
      </c>
      <c r="AB510" t="s">
        <v>9</v>
      </c>
      <c r="AC510" t="s">
        <v>9</v>
      </c>
      <c r="AD510" t="s">
        <v>12675</v>
      </c>
      <c r="AE510" t="s">
        <v>9</v>
      </c>
      <c r="AF510" t="s">
        <v>9</v>
      </c>
      <c r="AG510" t="s">
        <v>9</v>
      </c>
      <c r="AH510" t="s">
        <v>12676</v>
      </c>
      <c r="AI510" t="s">
        <v>9</v>
      </c>
      <c r="AJ510" t="s">
        <v>9</v>
      </c>
      <c r="AK510" t="s">
        <v>12677</v>
      </c>
      <c r="AL510" t="s">
        <v>9</v>
      </c>
      <c r="AM510" t="s">
        <v>9</v>
      </c>
      <c r="AN510" s="5">
        <v>0.56559999999999999</v>
      </c>
      <c r="AO510" t="s">
        <v>9</v>
      </c>
      <c r="AP510" t="s">
        <v>12678</v>
      </c>
      <c r="AQ510" t="s">
        <v>9</v>
      </c>
      <c r="AR510" t="s">
        <v>12679</v>
      </c>
      <c r="AS510" t="s">
        <v>9</v>
      </c>
      <c r="AT510" t="s">
        <v>9</v>
      </c>
      <c r="AU510" t="s">
        <v>1157</v>
      </c>
      <c r="AV510" t="s">
        <v>4365</v>
      </c>
      <c r="AW510" t="s">
        <v>9</v>
      </c>
      <c r="AX510" t="s">
        <v>6147</v>
      </c>
      <c r="AY510" t="s">
        <v>2613</v>
      </c>
      <c r="AZ510" t="s">
        <v>6149</v>
      </c>
      <c r="BA510" t="s">
        <v>6150</v>
      </c>
      <c r="BB510" t="s">
        <v>9</v>
      </c>
      <c r="BC510" t="s">
        <v>6151</v>
      </c>
      <c r="BD510" t="s">
        <v>6152</v>
      </c>
      <c r="BE510" t="s">
        <v>9</v>
      </c>
      <c r="BF510" t="s">
        <v>9</v>
      </c>
      <c r="BG510" t="s">
        <v>9</v>
      </c>
      <c r="BH510" t="s">
        <v>6147</v>
      </c>
      <c r="BI510" t="s">
        <v>3636</v>
      </c>
      <c r="BJ510" t="s">
        <v>2613</v>
      </c>
      <c r="BK510" t="s">
        <v>6148</v>
      </c>
      <c r="BL510" t="s">
        <v>6153</v>
      </c>
      <c r="BM510" t="s">
        <v>6151</v>
      </c>
      <c r="BN510">
        <v>-18.41</v>
      </c>
      <c r="BO510">
        <v>-21.04</v>
      </c>
      <c r="BP510">
        <v>-23.92</v>
      </c>
      <c r="BQ510">
        <v>-33.51</v>
      </c>
      <c r="BR510">
        <v>-49.2</v>
      </c>
      <c r="BS510">
        <v>-31.28</v>
      </c>
      <c r="BT510" t="s">
        <v>9</v>
      </c>
      <c r="BU510" t="s">
        <v>551</v>
      </c>
      <c r="BV510">
        <v>24.16</v>
      </c>
      <c r="BW510">
        <v>17.579999999999998</v>
      </c>
      <c r="BX510">
        <v>20.86</v>
      </c>
      <c r="BY510">
        <v>-21.36</v>
      </c>
      <c r="BZ510">
        <v>-34.28</v>
      </c>
      <c r="CA510">
        <v>-35.130000000000003</v>
      </c>
      <c r="CB510">
        <v>-8.06</v>
      </c>
      <c r="CC510">
        <v>5.41</v>
      </c>
      <c r="CD510" t="s">
        <v>12680</v>
      </c>
      <c r="CE510" t="s">
        <v>629</v>
      </c>
      <c r="CF510" s="8" t="s">
        <v>9</v>
      </c>
      <c r="CG510" s="9">
        <v>0.375</v>
      </c>
      <c r="CH510" s="8">
        <v>-3.6435233778320253E-4</v>
      </c>
      <c r="CI510" s="8">
        <v>4.0825825184583664E-2</v>
      </c>
      <c r="CJ510" s="8">
        <v>0.6595579981803894</v>
      </c>
      <c r="CK510" s="8">
        <v>2.0423312187194824</v>
      </c>
      <c r="CL510" s="8" t="s">
        <v>9</v>
      </c>
      <c r="CM510" s="9">
        <v>0.36412844061851501</v>
      </c>
      <c r="CN510" s="9">
        <v>-1.315598726272583</v>
      </c>
      <c r="CO510" s="9" t="s">
        <v>9</v>
      </c>
      <c r="CP510" s="9" t="s">
        <v>9</v>
      </c>
      <c r="CQ510" s="9" t="s">
        <v>9</v>
      </c>
      <c r="CR510">
        <v>-62.60123745756033</v>
      </c>
      <c r="CS510">
        <v>-3.7760887569341066</v>
      </c>
      <c r="CT510">
        <v>0</v>
      </c>
      <c r="CU510" s="8">
        <v>0.16578327864408493</v>
      </c>
      <c r="CV510" s="9">
        <v>0.15212675929069519</v>
      </c>
      <c r="CW510">
        <v>0.06</v>
      </c>
      <c r="CX510" t="e">
        <v>#VALUE!</v>
      </c>
      <c r="CY510" t="s">
        <v>109</v>
      </c>
      <c r="CZ510">
        <v>0.16578327864408493</v>
      </c>
      <c r="DA510" t="e">
        <v>#VALUE!</v>
      </c>
      <c r="DB510" t="s">
        <v>108</v>
      </c>
      <c r="DC510">
        <v>0.15749411471188068</v>
      </c>
      <c r="DD510" t="e">
        <v>#VALUE!</v>
      </c>
      <c r="DE510" t="s">
        <v>108</v>
      </c>
      <c r="DF510">
        <v>0.14588928520679473</v>
      </c>
      <c r="DG510" t="e">
        <v>#VALUE!</v>
      </c>
      <c r="DH510" t="s">
        <v>108</v>
      </c>
      <c r="DI510">
        <v>0.13262662291526794</v>
      </c>
      <c r="DJ510" t="e">
        <v>#VALUE!</v>
      </c>
      <c r="DK510" t="s">
        <v>108</v>
      </c>
      <c r="DL510">
        <v>0.11604829505085944</v>
      </c>
      <c r="DM510">
        <v>-5286000000</v>
      </c>
      <c r="DN510">
        <v>0.16578327864408493</v>
      </c>
      <c r="DO510">
        <v>52261221000</v>
      </c>
      <c r="DP510" t="e">
        <v>#VALUE!</v>
      </c>
      <c r="DQ510">
        <v>510</v>
      </c>
      <c r="DR510" t="e">
        <v>#VALUE!</v>
      </c>
      <c r="DS510">
        <v>0.22287324070930481</v>
      </c>
      <c r="DT510" t="e">
        <v>#VALUE!</v>
      </c>
      <c r="DU510">
        <v>-1.1816666666666666</v>
      </c>
      <c r="DV510" t="e">
        <v>#VALUE!</v>
      </c>
      <c r="DW510">
        <v>-5.6712158808933006</v>
      </c>
      <c r="DX510">
        <v>0.34346493506493531</v>
      </c>
      <c r="DY510">
        <v>-5.1030081015758437</v>
      </c>
      <c r="DZ510">
        <v>0</v>
      </c>
      <c r="EA510">
        <v>-5.1030081015758437</v>
      </c>
      <c r="EB510">
        <v>5</v>
      </c>
      <c r="EC510">
        <v>5.729634820632775E-2</v>
      </c>
      <c r="ED510">
        <v>0.37335139901557418</v>
      </c>
      <c r="EE510">
        <v>0</v>
      </c>
      <c r="EF510">
        <v>0</v>
      </c>
      <c r="EG510">
        <v>19.153464935064935</v>
      </c>
      <c r="EH510" t="s">
        <v>110</v>
      </c>
      <c r="EI510">
        <v>0</v>
      </c>
      <c r="EJ510">
        <v>0</v>
      </c>
      <c r="EK510">
        <v>0</v>
      </c>
      <c r="EL510">
        <v>0</v>
      </c>
      <c r="EM510">
        <v>0</v>
      </c>
      <c r="EN510">
        <v>0</v>
      </c>
      <c r="EO510">
        <v>0</v>
      </c>
      <c r="EP510">
        <v>0</v>
      </c>
    </row>
    <row r="511" spans="1:146" ht="96" x14ac:dyDescent="0.25">
      <c r="A511"/>
      <c r="B511"/>
      <c r="C511" s="7" t="str">
        <f>""&amp;CHAR(10)&amp;Basic_Fundamental_Information_Constructure(F511)&amp;CHAR(10)&amp;Basic_Fundamental_Information_Concatenate("")</f>
        <v xml:space="preserve">
市值4172.439亿, 利润132.42亿; PE31.51; 平均PE184.25; 平均PEG6.02, PB13.32; ROIC36.8233%; ROE37.36%; 股利率0%; 毛利58.82%; 净利25.9967%; 上一年度营收增24.74%, 利润增50.99%, 利润增38.17%; 过往5年营收增30.62%, 利润增33.29%
Income profile:
</v>
      </c>
      <c r="D511" s="11">
        <v>9633</v>
      </c>
      <c r="E511" t="s">
        <v>6504</v>
      </c>
      <c r="F511">
        <v>37.1</v>
      </c>
      <c r="G511">
        <v>-7.3700000000000002E-2</v>
      </c>
      <c r="H511" t="s">
        <v>12681</v>
      </c>
      <c r="I511">
        <v>417243900000</v>
      </c>
      <c r="J511">
        <v>31.51</v>
      </c>
      <c r="K511">
        <v>13.32</v>
      </c>
      <c r="L511" t="s">
        <v>6350</v>
      </c>
      <c r="M511" t="s">
        <v>9</v>
      </c>
      <c r="N511" t="s">
        <v>9</v>
      </c>
      <c r="O511" t="s">
        <v>9</v>
      </c>
      <c r="P511" s="5" t="s">
        <v>9</v>
      </c>
      <c r="Q511" t="s">
        <v>1639</v>
      </c>
      <c r="R511">
        <v>13241545700</v>
      </c>
      <c r="S511">
        <v>0.38169999999999998</v>
      </c>
      <c r="T511" t="s">
        <v>12682</v>
      </c>
      <c r="U511">
        <v>5034666400</v>
      </c>
      <c r="V511">
        <v>11246466400</v>
      </c>
      <c r="W511" t="s">
        <v>9</v>
      </c>
      <c r="X511" t="s">
        <v>9</v>
      </c>
      <c r="Y511" t="s">
        <v>9</v>
      </c>
      <c r="Z511" t="s">
        <v>9</v>
      </c>
      <c r="AA511" t="s">
        <v>9</v>
      </c>
      <c r="AB511" t="s">
        <v>9</v>
      </c>
      <c r="AC511" t="s">
        <v>9</v>
      </c>
      <c r="AD511" t="s">
        <v>247</v>
      </c>
      <c r="AE511" t="s">
        <v>9</v>
      </c>
      <c r="AF511" t="s">
        <v>9</v>
      </c>
      <c r="AG511" t="s">
        <v>9</v>
      </c>
      <c r="AH511" t="s">
        <v>12683</v>
      </c>
      <c r="AI511" t="s">
        <v>9</v>
      </c>
      <c r="AJ511" t="s">
        <v>9</v>
      </c>
      <c r="AK511" s="5" t="s">
        <v>12684</v>
      </c>
      <c r="AL511" t="s">
        <v>9</v>
      </c>
      <c r="AM511" t="s">
        <v>9</v>
      </c>
      <c r="AN511">
        <v>0.41849999999999998</v>
      </c>
      <c r="AO511" t="s">
        <v>9</v>
      </c>
      <c r="AP511" t="s">
        <v>8862</v>
      </c>
      <c r="AQ511" t="s">
        <v>9</v>
      </c>
      <c r="AR511" t="s">
        <v>12685</v>
      </c>
      <c r="AS511" t="s">
        <v>9</v>
      </c>
      <c r="AT511" t="s">
        <v>9</v>
      </c>
      <c r="AU511" t="s">
        <v>12686</v>
      </c>
      <c r="AV511" t="s">
        <v>12687</v>
      </c>
      <c r="AW511" t="s">
        <v>9</v>
      </c>
      <c r="AX511" t="s">
        <v>6505</v>
      </c>
      <c r="AY511" t="s">
        <v>6507</v>
      </c>
      <c r="AZ511" t="s">
        <v>6508</v>
      </c>
      <c r="BA511" t="s">
        <v>6509</v>
      </c>
      <c r="BB511" t="s">
        <v>6510</v>
      </c>
      <c r="BC511" t="s">
        <v>6511</v>
      </c>
      <c r="BD511" t="s">
        <v>6154</v>
      </c>
      <c r="BE511" t="s">
        <v>6512</v>
      </c>
      <c r="BF511" t="s">
        <v>6513</v>
      </c>
      <c r="BG511" t="s">
        <v>6155</v>
      </c>
      <c r="BH511" t="s">
        <v>6505</v>
      </c>
      <c r="BI511" t="s">
        <v>9</v>
      </c>
      <c r="BJ511" t="s">
        <v>6507</v>
      </c>
      <c r="BK511" t="s">
        <v>6506</v>
      </c>
      <c r="BL511" t="s">
        <v>9</v>
      </c>
      <c r="BM511" t="s">
        <v>6511</v>
      </c>
      <c r="BN511">
        <v>41.51</v>
      </c>
      <c r="BO511">
        <v>34.15</v>
      </c>
      <c r="BP511">
        <v>34.81</v>
      </c>
      <c r="BQ511">
        <v>42.28</v>
      </c>
      <c r="BR511">
        <v>35.270000000000003</v>
      </c>
      <c r="BS511">
        <v>34.53</v>
      </c>
      <c r="BT511" t="s">
        <v>6514</v>
      </c>
      <c r="BU511" t="s">
        <v>759</v>
      </c>
      <c r="BV511">
        <v>59.55</v>
      </c>
      <c r="BW511">
        <v>57.45</v>
      </c>
      <c r="BX511">
        <v>59.46</v>
      </c>
      <c r="BY511">
        <v>28.31</v>
      </c>
      <c r="BZ511">
        <v>25.56</v>
      </c>
      <c r="CA511">
        <v>24.12</v>
      </c>
      <c r="CB511">
        <v>-9.73</v>
      </c>
      <c r="CC511" s="8">
        <v>-19.440000000000001</v>
      </c>
      <c r="CD511" s="10" t="s">
        <v>12688</v>
      </c>
      <c r="CE511" s="8" t="s">
        <v>219</v>
      </c>
      <c r="CF511" s="8" t="s">
        <v>9</v>
      </c>
      <c r="CG511" s="8">
        <v>0.38169999999999998</v>
      </c>
      <c r="CH511" s="8">
        <v>0.24735309183597565</v>
      </c>
      <c r="CI511" s="8">
        <v>3.1185491010546684E-2</v>
      </c>
      <c r="CJ511" s="9">
        <v>0.33359012007713318</v>
      </c>
      <c r="CK511" s="9">
        <v>0.16960492730140686</v>
      </c>
      <c r="CL511" s="9">
        <v>0.11173104494810104</v>
      </c>
      <c r="CM511" s="9">
        <v>0.50992023944854736</v>
      </c>
      <c r="CN511" s="9">
        <v>0.39427664875984192</v>
      </c>
      <c r="CO511">
        <v>0.13743218779563904</v>
      </c>
      <c r="CP511">
        <v>0.34680956602096558</v>
      </c>
      <c r="CQ511">
        <v>1.3076717965304852E-2</v>
      </c>
      <c r="CR511" s="8">
        <v>184.25325480018765</v>
      </c>
      <c r="CS511" s="9">
        <v>6.0173276169491947</v>
      </c>
      <c r="CT511">
        <v>0</v>
      </c>
      <c r="CU511">
        <v>0.30620445907115934</v>
      </c>
      <c r="CV511">
        <v>0.33288645893335345</v>
      </c>
      <c r="CW511">
        <v>0.06</v>
      </c>
      <c r="CX511">
        <v>25.570022833160884</v>
      </c>
      <c r="CY511">
        <v>16317697591.528574</v>
      </c>
      <c r="CZ511">
        <v>0.30620445907115934</v>
      </c>
      <c r="DA511">
        <v>6.9910385790456697</v>
      </c>
      <c r="DB511">
        <v>59682677370.800171</v>
      </c>
      <c r="DC511">
        <v>0.29089423611760135</v>
      </c>
      <c r="DD511">
        <v>2.6656177948783659</v>
      </c>
      <c r="DE511">
        <v>156528029187.70999</v>
      </c>
      <c r="DF511">
        <v>0.2694599239826202</v>
      </c>
      <c r="DG511">
        <v>1.1718818824323587</v>
      </c>
      <c r="DH511">
        <v>356046036938.43982</v>
      </c>
      <c r="DI511">
        <v>0.24496356725692747</v>
      </c>
      <c r="DJ511">
        <v>0.28281754620069932</v>
      </c>
      <c r="DK511">
        <v>1475311223101.7876</v>
      </c>
      <c r="DL511">
        <v>0.21434312134981154</v>
      </c>
      <c r="DM511">
        <v>13241999999.999998</v>
      </c>
      <c r="DN511">
        <v>0.30620445907115934</v>
      </c>
      <c r="DO511">
        <v>417243900000</v>
      </c>
      <c r="DP511" t="e">
        <v>#VALUE!</v>
      </c>
      <c r="DQ511">
        <v>511</v>
      </c>
      <c r="DR511" t="e">
        <v>#VALUE!</v>
      </c>
      <c r="DS511">
        <v>4.8813541066646537E-2</v>
      </c>
      <c r="DT511" t="e">
        <v>#VALUE!</v>
      </c>
      <c r="DU511" t="e">
        <v>#VALUE!</v>
      </c>
      <c r="DV511" t="e">
        <v>#VALUE!</v>
      </c>
      <c r="DW511">
        <v>-9.5005144032921809</v>
      </c>
      <c r="DX511">
        <v>1.0237399999999974</v>
      </c>
      <c r="DY511">
        <v>-9.1169902366255151</v>
      </c>
      <c r="DZ511">
        <v>0</v>
      </c>
      <c r="EA511">
        <v>-9.1169902366255151</v>
      </c>
      <c r="EB511">
        <v>9</v>
      </c>
      <c r="EC511">
        <v>2.5979271142445239E-3</v>
      </c>
      <c r="ED511">
        <v>1.1114602182957662E-2</v>
      </c>
      <c r="EE511">
        <v>0</v>
      </c>
      <c r="EF511">
        <v>0</v>
      </c>
      <c r="EG511">
        <v>79.233739999999997</v>
      </c>
      <c r="EH511" t="s">
        <v>110</v>
      </c>
      <c r="EI511">
        <v>0</v>
      </c>
      <c r="EJ511">
        <v>0</v>
      </c>
      <c r="EK511">
        <v>0</v>
      </c>
      <c r="EL511">
        <v>0</v>
      </c>
      <c r="EM511">
        <v>0</v>
      </c>
      <c r="EN511">
        <v>0</v>
      </c>
      <c r="EO511">
        <v>0</v>
      </c>
      <c r="EP511">
        <v>0</v>
      </c>
    </row>
    <row r="512" spans="1:146" ht="84" x14ac:dyDescent="0.25">
      <c r="A512"/>
      <c r="B512"/>
      <c r="C512" s="7" t="str">
        <f>""&amp;CHAR(10)&amp;Basic_Fundamental_Information_Constructure(F512)&amp;CHAR(10)&amp;Basic_Fundamental_Information_Concatenate("")</f>
        <v xml:space="preserve">
市值39.814102亿, 利润--; PE19.04; 平均PE37.47; 平均PEG8.17, PB2.4; ROIC0%; ROE0%; 股利率0%; 毛利0%; 净利0%, 利润增-59.76%; 过往5年营收增4.59%, 利润增43.3%
Income profile:
</v>
      </c>
      <c r="D512" s="11">
        <v>9636</v>
      </c>
      <c r="E512" t="s">
        <v>6515</v>
      </c>
      <c r="F512">
        <v>8.8800000000000008</v>
      </c>
      <c r="G512">
        <v>-0.01</v>
      </c>
      <c r="H512" t="s">
        <v>12689</v>
      </c>
      <c r="I512">
        <v>3981410200</v>
      </c>
      <c r="J512">
        <v>19.04</v>
      </c>
      <c r="K512">
        <v>2.4</v>
      </c>
      <c r="L512" t="s">
        <v>6350</v>
      </c>
      <c r="M512" t="s">
        <v>9</v>
      </c>
      <c r="N512" t="s">
        <v>9</v>
      </c>
      <c r="O512" t="s">
        <v>9</v>
      </c>
      <c r="P512" s="5" t="s">
        <v>9</v>
      </c>
      <c r="Q512" t="s">
        <v>9</v>
      </c>
      <c r="R512">
        <v>209066170</v>
      </c>
      <c r="S512">
        <v>-0.59760000000000002</v>
      </c>
      <c r="T512" t="s">
        <v>9</v>
      </c>
      <c r="U512">
        <v>466087000</v>
      </c>
      <c r="V512">
        <v>466087000</v>
      </c>
      <c r="W512" t="s">
        <v>9</v>
      </c>
      <c r="X512" t="s">
        <v>9</v>
      </c>
      <c r="Y512" t="s">
        <v>9</v>
      </c>
      <c r="Z512" t="s">
        <v>9</v>
      </c>
      <c r="AA512" t="s">
        <v>9</v>
      </c>
      <c r="AB512" t="s">
        <v>9</v>
      </c>
      <c r="AC512" t="s">
        <v>9</v>
      </c>
      <c r="AD512" t="s">
        <v>9</v>
      </c>
      <c r="AE512" t="s">
        <v>9</v>
      </c>
      <c r="AF512" t="s">
        <v>9</v>
      </c>
      <c r="AG512" t="s">
        <v>9</v>
      </c>
      <c r="AH512" t="s">
        <v>12690</v>
      </c>
      <c r="AI512" t="s">
        <v>9</v>
      </c>
      <c r="AJ512" t="s">
        <v>9</v>
      </c>
      <c r="AK512" s="5" t="s">
        <v>12691</v>
      </c>
      <c r="AL512" t="s">
        <v>9</v>
      </c>
      <c r="AM512" t="s">
        <v>9</v>
      </c>
      <c r="AN512">
        <v>0.38390000000000002</v>
      </c>
      <c r="AO512" t="s">
        <v>9</v>
      </c>
      <c r="AP512" t="s">
        <v>9</v>
      </c>
      <c r="AQ512" t="s">
        <v>9</v>
      </c>
      <c r="AR512" t="s">
        <v>9</v>
      </c>
      <c r="AS512" t="s">
        <v>9</v>
      </c>
      <c r="AT512" t="s">
        <v>9</v>
      </c>
      <c r="AU512" t="s">
        <v>9</v>
      </c>
      <c r="AV512" t="s">
        <v>9</v>
      </c>
      <c r="AW512" t="s">
        <v>9</v>
      </c>
      <c r="AX512" t="s">
        <v>9</v>
      </c>
      <c r="AY512" t="s">
        <v>9</v>
      </c>
      <c r="AZ512" t="s">
        <v>9</v>
      </c>
      <c r="BA512" t="s">
        <v>9</v>
      </c>
      <c r="BB512" t="s">
        <v>9</v>
      </c>
      <c r="BC512" t="s">
        <v>9</v>
      </c>
      <c r="BD512" t="s">
        <v>9</v>
      </c>
      <c r="BE512" t="s">
        <v>9</v>
      </c>
      <c r="BF512" t="s">
        <v>9</v>
      </c>
      <c r="BG512" t="s">
        <v>9</v>
      </c>
      <c r="BH512" t="s">
        <v>9</v>
      </c>
      <c r="BI512" t="s">
        <v>9</v>
      </c>
      <c r="BJ512" t="s">
        <v>9</v>
      </c>
      <c r="BK512" t="s">
        <v>9</v>
      </c>
      <c r="BL512" t="s">
        <v>9</v>
      </c>
      <c r="BM512" t="s">
        <v>9</v>
      </c>
      <c r="BN512" t="s">
        <v>9</v>
      </c>
      <c r="BO512" t="s">
        <v>9</v>
      </c>
      <c r="BP512" t="s">
        <v>9</v>
      </c>
      <c r="BQ512" t="s">
        <v>9</v>
      </c>
      <c r="BR512" t="s">
        <v>9</v>
      </c>
      <c r="BS512" t="s">
        <v>9</v>
      </c>
      <c r="BT512" t="s">
        <v>9</v>
      </c>
      <c r="BU512" t="s">
        <v>9</v>
      </c>
      <c r="BV512" t="s">
        <v>9</v>
      </c>
      <c r="BW512" t="s">
        <v>9</v>
      </c>
      <c r="BX512" t="s">
        <v>9</v>
      </c>
      <c r="BY512" t="s">
        <v>9</v>
      </c>
      <c r="BZ512" t="s">
        <v>9</v>
      </c>
      <c r="CA512" t="s">
        <v>9</v>
      </c>
      <c r="CB512">
        <v>-0.56000000000000005</v>
      </c>
      <c r="CC512" s="8">
        <v>-25.63</v>
      </c>
      <c r="CD512" s="10" t="s">
        <v>12692</v>
      </c>
      <c r="CE512" s="8" t="s">
        <v>12693</v>
      </c>
      <c r="CF512" s="8" t="s">
        <v>9</v>
      </c>
      <c r="CG512" s="8">
        <v>-0.59760000000000002</v>
      </c>
      <c r="CH512" s="8" t="s">
        <v>9</v>
      </c>
      <c r="CI512" s="8" t="s">
        <v>9</v>
      </c>
      <c r="CJ512" s="9" t="s">
        <v>9</v>
      </c>
      <c r="CK512" s="9" t="s">
        <v>9</v>
      </c>
      <c r="CL512" s="9" t="s">
        <v>9</v>
      </c>
      <c r="CM512" s="9" t="s">
        <v>9</v>
      </c>
      <c r="CN512" s="9" t="s">
        <v>9</v>
      </c>
      <c r="CO512" t="s">
        <v>9</v>
      </c>
      <c r="CP512" t="s">
        <v>9</v>
      </c>
      <c r="CQ512" t="s">
        <v>9</v>
      </c>
      <c r="CR512" s="8">
        <v>37.4726038639959</v>
      </c>
      <c r="CS512" s="9">
        <v>8.1705197602329598</v>
      </c>
      <c r="CT512">
        <v>0</v>
      </c>
      <c r="CU512">
        <v>4.5863182470202449E-2</v>
      </c>
      <c r="CV512">
        <v>0.43304359614849092</v>
      </c>
      <c r="CW512">
        <v>0.06</v>
      </c>
      <c r="CX512" t="e">
        <v>#DIV/0!</v>
      </c>
      <c r="CY512">
        <v>0</v>
      </c>
      <c r="CZ512">
        <v>4.5863182470202449E-2</v>
      </c>
      <c r="DA512" t="e">
        <v>#DIV/0!</v>
      </c>
      <c r="DB512">
        <v>0</v>
      </c>
      <c r="DC512">
        <v>4.3570023346692327E-2</v>
      </c>
      <c r="DD512" t="e">
        <v>#DIV/0!</v>
      </c>
      <c r="DE512">
        <v>0</v>
      </c>
      <c r="DF512">
        <v>4.0359600573778152E-2</v>
      </c>
      <c r="DG512" t="e">
        <v>#DIV/0!</v>
      </c>
      <c r="DH512">
        <v>0</v>
      </c>
      <c r="DI512">
        <v>3.6690545976161962E-2</v>
      </c>
      <c r="DJ512" t="e">
        <v>#DIV/0!</v>
      </c>
      <c r="DK512">
        <v>0</v>
      </c>
      <c r="DL512">
        <v>3.2104227729141711E-2</v>
      </c>
      <c r="DM512">
        <v>0</v>
      </c>
      <c r="DN512">
        <v>4.5863182470202449E-2</v>
      </c>
      <c r="DO512">
        <v>3981410200</v>
      </c>
      <c r="DP512" t="e">
        <v>#VALUE!</v>
      </c>
      <c r="DQ512">
        <v>512</v>
      </c>
      <c r="DR512" t="e">
        <v>#VALUE!</v>
      </c>
      <c r="DS512">
        <v>-1.030643596148491</v>
      </c>
      <c r="DT512" t="e">
        <v>#VALUE!</v>
      </c>
      <c r="DU512" t="e">
        <v>#VALUE!</v>
      </c>
      <c r="DV512" t="e">
        <v>#VALUE!</v>
      </c>
      <c r="DW512">
        <v>-3.1089107142857144</v>
      </c>
      <c r="DX512">
        <v>0.57007062285766263</v>
      </c>
      <c r="DY512">
        <v>-3.0119878701573017</v>
      </c>
      <c r="DZ512">
        <v>0</v>
      </c>
      <c r="EA512">
        <v>-3.0119878701573017</v>
      </c>
      <c r="EB512">
        <v>3</v>
      </c>
      <c r="EC512">
        <v>1.3930875566149668E-2</v>
      </c>
      <c r="ED512">
        <v>0.12656306655195274</v>
      </c>
      <c r="EE512">
        <v>0</v>
      </c>
      <c r="EF512">
        <v>0</v>
      </c>
      <c r="EG512">
        <v>46.110070622857663</v>
      </c>
      <c r="EH512" t="s">
        <v>110</v>
      </c>
      <c r="EI512">
        <v>0</v>
      </c>
      <c r="EJ512">
        <v>0</v>
      </c>
      <c r="EK512">
        <v>0</v>
      </c>
      <c r="EL512">
        <v>0</v>
      </c>
      <c r="EM512">
        <v>0</v>
      </c>
      <c r="EN512">
        <v>0</v>
      </c>
      <c r="EO512">
        <v>0</v>
      </c>
      <c r="EP512">
        <v>0</v>
      </c>
    </row>
    <row r="513" spans="1:146" ht="84" x14ac:dyDescent="0.25">
      <c r="A513"/>
      <c r="B513"/>
      <c r="C513" s="7" t="str">
        <f>""&amp;CHAR(10)&amp;Basic_Fundamental_Information_Constructure(F513)&amp;CHAR(10)&amp;Basic_Fundamental_Information_Concatenate("")</f>
        <v xml:space="preserve">
市值91.692159亿, 利润2.00亿; PE75.53; 平均PE90.21; 平均PEG4.33, PB4.31; ROIC-67.315%; ROE24.28%; 股利率0%; 毛利65.285%; 净利-1.855%; 上一年度营收增22.99%, 利润增117.01%, 利润增162.2%; 过往5年营收增20.83%, 利润增101.39%
Income profile:
</v>
      </c>
      <c r="D513" s="11">
        <v>9658</v>
      </c>
      <c r="E513" t="s">
        <v>6382</v>
      </c>
      <c r="F513">
        <v>14.1</v>
      </c>
      <c r="G513">
        <v>-8.3999999999999995E-3</v>
      </c>
      <c r="H513" t="s">
        <v>12694</v>
      </c>
      <c r="I513">
        <v>9169215900</v>
      </c>
      <c r="J513">
        <v>75.53</v>
      </c>
      <c r="K513">
        <v>4.3099999999999996</v>
      </c>
      <c r="L513" t="s">
        <v>6350</v>
      </c>
      <c r="M513" t="s">
        <v>9</v>
      </c>
      <c r="N513" t="s">
        <v>9</v>
      </c>
      <c r="O513" t="s">
        <v>9</v>
      </c>
      <c r="P513" s="5" t="s">
        <v>9</v>
      </c>
      <c r="Q513" t="s">
        <v>646</v>
      </c>
      <c r="R513">
        <v>200375580</v>
      </c>
      <c r="S513">
        <v>1.6220000000000001</v>
      </c>
      <c r="T513" t="s">
        <v>16</v>
      </c>
      <c r="U513">
        <v>619333000</v>
      </c>
      <c r="V513">
        <v>619333000</v>
      </c>
      <c r="W513" t="s">
        <v>9</v>
      </c>
      <c r="X513" t="s">
        <v>9</v>
      </c>
      <c r="Y513" t="s">
        <v>9</v>
      </c>
      <c r="Z513" t="s">
        <v>9</v>
      </c>
      <c r="AA513" t="s">
        <v>9</v>
      </c>
      <c r="AB513" t="s">
        <v>9</v>
      </c>
      <c r="AC513" t="s">
        <v>9</v>
      </c>
      <c r="AD513" t="s">
        <v>9</v>
      </c>
      <c r="AE513" t="s">
        <v>9</v>
      </c>
      <c r="AF513" t="s">
        <v>9</v>
      </c>
      <c r="AG513" t="s">
        <v>9</v>
      </c>
      <c r="AH513" t="s">
        <v>12695</v>
      </c>
      <c r="AI513" t="s">
        <v>9</v>
      </c>
      <c r="AJ513" t="s">
        <v>9</v>
      </c>
      <c r="AK513" s="5" t="s">
        <v>12696</v>
      </c>
      <c r="AL513" t="s">
        <v>9</v>
      </c>
      <c r="AM513" t="s">
        <v>9</v>
      </c>
      <c r="AN513">
        <v>0.52829999999999999</v>
      </c>
      <c r="AO513" t="s">
        <v>9</v>
      </c>
      <c r="AP513" t="s">
        <v>5336</v>
      </c>
      <c r="AQ513" t="s">
        <v>9</v>
      </c>
      <c r="AR513" t="s">
        <v>7854</v>
      </c>
      <c r="AS513" t="s">
        <v>9</v>
      </c>
      <c r="AT513" t="s">
        <v>9</v>
      </c>
      <c r="AU513" t="s">
        <v>733</v>
      </c>
      <c r="AV513" t="s">
        <v>12697</v>
      </c>
      <c r="AW513" t="s">
        <v>9</v>
      </c>
      <c r="AX513" t="s">
        <v>12698</v>
      </c>
      <c r="AY513" t="s">
        <v>12699</v>
      </c>
      <c r="AZ513" t="s">
        <v>2861</v>
      </c>
      <c r="BA513" t="s">
        <v>9</v>
      </c>
      <c r="BB513" t="s">
        <v>9</v>
      </c>
      <c r="BC513" t="s">
        <v>12700</v>
      </c>
      <c r="BD513" t="s">
        <v>6347</v>
      </c>
      <c r="BE513" t="s">
        <v>9</v>
      </c>
      <c r="BF513" t="s">
        <v>9</v>
      </c>
      <c r="BG513" t="s">
        <v>9</v>
      </c>
      <c r="BH513" t="s">
        <v>12698</v>
      </c>
      <c r="BI513" t="s">
        <v>9</v>
      </c>
      <c r="BJ513" t="s">
        <v>12699</v>
      </c>
      <c r="BK513" t="s">
        <v>12701</v>
      </c>
      <c r="BL513" t="s">
        <v>9</v>
      </c>
      <c r="BM513" t="s">
        <v>12700</v>
      </c>
      <c r="BN513">
        <v>10.050000000000001</v>
      </c>
      <c r="BO513">
        <v>-144.68</v>
      </c>
      <c r="BP513" t="s">
        <v>9</v>
      </c>
      <c r="BQ513">
        <v>9.5</v>
      </c>
      <c r="BR513">
        <v>-17.2</v>
      </c>
      <c r="BS513">
        <v>80.540000000000006</v>
      </c>
      <c r="BT513" t="s">
        <v>9</v>
      </c>
      <c r="BU513" t="s">
        <v>567</v>
      </c>
      <c r="BV513">
        <v>65.8</v>
      </c>
      <c r="BW513">
        <v>64.77</v>
      </c>
      <c r="BX513" t="s">
        <v>9</v>
      </c>
      <c r="BY513">
        <v>3.68</v>
      </c>
      <c r="BZ513">
        <v>-7.39</v>
      </c>
      <c r="CA513" t="s">
        <v>9</v>
      </c>
      <c r="CB513">
        <v>14.26</v>
      </c>
      <c r="CC513" s="8">
        <v>-14.02</v>
      </c>
      <c r="CD513" s="10" t="s">
        <v>12702</v>
      </c>
      <c r="CE513" s="8" t="s">
        <v>12703</v>
      </c>
      <c r="CF513" s="8" t="s">
        <v>9</v>
      </c>
      <c r="CG513" s="8">
        <v>1.6220000000000001</v>
      </c>
      <c r="CH513" s="8">
        <v>0.22986920177936554</v>
      </c>
      <c r="CI513" s="8">
        <v>0.78940892219543457</v>
      </c>
      <c r="CJ513" s="9">
        <v>0.41875359416007996</v>
      </c>
      <c r="CK513" s="9" t="s">
        <v>9</v>
      </c>
      <c r="CL513" s="9" t="s">
        <v>9</v>
      </c>
      <c r="CM513" s="9">
        <v>1.1700680255889893</v>
      </c>
      <c r="CN513" s="9">
        <v>-1.8201439380645752</v>
      </c>
      <c r="CO513" t="s">
        <v>9</v>
      </c>
      <c r="CP513" t="s">
        <v>9</v>
      </c>
      <c r="CQ513" t="s">
        <v>9</v>
      </c>
      <c r="CR513" s="8">
        <v>90.213168234693143</v>
      </c>
      <c r="CS513" s="9">
        <v>4.3312712365290515</v>
      </c>
      <c r="CT513">
        <v>0</v>
      </c>
      <c r="CU513">
        <v>0.20828334987163544</v>
      </c>
      <c r="CV513">
        <v>1.0138764828443527</v>
      </c>
      <c r="CW513">
        <v>0.06</v>
      </c>
      <c r="CX513">
        <v>40.219741731244405</v>
      </c>
      <c r="CY513">
        <v>227977990.54181799</v>
      </c>
      <c r="CZ513">
        <v>0.20828334987163544</v>
      </c>
      <c r="DA513">
        <v>11.907269079040518</v>
      </c>
      <c r="DB513">
        <v>770051960.6246146</v>
      </c>
      <c r="DC513">
        <v>0.19786918237805365</v>
      </c>
      <c r="DD513">
        <v>5.1081542345516882</v>
      </c>
      <c r="DE513">
        <v>1795015475.0573475</v>
      </c>
      <c r="DF513">
        <v>0.18328934788703918</v>
      </c>
      <c r="DG513">
        <v>2.6063137372587861</v>
      </c>
      <c r="DH513">
        <v>3518078337.5848699</v>
      </c>
      <c r="DI513">
        <v>0.16662667989730837</v>
      </c>
      <c r="DJ513">
        <v>0.91719458525778774</v>
      </c>
      <c r="DK513">
        <v>9997023584.0662861</v>
      </c>
      <c r="DL513">
        <v>0.14579834491014479</v>
      </c>
      <c r="DM513">
        <v>200000000</v>
      </c>
      <c r="DN513">
        <v>0.20828334987163544</v>
      </c>
      <c r="DO513">
        <v>9169215900</v>
      </c>
      <c r="DP513" t="e">
        <v>#VALUE!</v>
      </c>
      <c r="DQ513">
        <v>513</v>
      </c>
      <c r="DR513" t="e">
        <v>#VALUE!</v>
      </c>
      <c r="DS513">
        <v>0.60812351715564739</v>
      </c>
      <c r="DT513" t="e">
        <v>#VALUE!</v>
      </c>
      <c r="DU513" t="e">
        <v>#VALUE!</v>
      </c>
      <c r="DV513" t="e">
        <v>#VALUE!</v>
      </c>
      <c r="DW513">
        <v>5.9831697054698454</v>
      </c>
      <c r="DX513">
        <v>0.45351631340507315</v>
      </c>
      <c r="DY513">
        <v>5.2787446503463631</v>
      </c>
      <c r="DZ513">
        <v>0</v>
      </c>
      <c r="EA513">
        <v>5.2787446503463631</v>
      </c>
      <c r="EB513">
        <v>5</v>
      </c>
      <c r="EC513">
        <v>1.8926005880519851E-2</v>
      </c>
      <c r="ED513">
        <v>6.6754556918491345E-2</v>
      </c>
      <c r="EE513">
        <v>0</v>
      </c>
      <c r="EF513">
        <v>0</v>
      </c>
      <c r="EG513">
        <v>17.283516313405073</v>
      </c>
      <c r="EH513" t="s">
        <v>110</v>
      </c>
      <c r="EI513">
        <v>1</v>
      </c>
      <c r="EJ513">
        <v>0</v>
      </c>
      <c r="EK513">
        <v>0</v>
      </c>
      <c r="EL513">
        <v>0</v>
      </c>
      <c r="EM513">
        <v>0</v>
      </c>
      <c r="EN513">
        <v>0</v>
      </c>
      <c r="EO513">
        <v>0</v>
      </c>
      <c r="EP513">
        <v>0</v>
      </c>
    </row>
    <row r="514" spans="1:146" ht="96" x14ac:dyDescent="0.25">
      <c r="A514" s="7"/>
      <c r="B514" s="7"/>
      <c r="C514" s="7" t="str">
        <f>""&amp;CHAR(10)&amp;Basic_Fundamental_Information_Constructure(F514)&amp;CHAR(10)&amp;Basic_Fundamental_Information_Concatenate("")</f>
        <v xml:space="preserve">
市值47.472847亿, 利润-10.43亿; PE; 平均PE-31.62; 平均PEG-1, PB1.06; ROIC-11.3333%; ROE-14.55%; 股利率0%; 毛利22.8067%; 净利-12.81%; 上一年度营收增-3.31%, 利润增-180.54%, 利润增49.18%; 过往5年营收增31.7%, 利润增44.08%
Income profile:
</v>
      </c>
      <c r="D514" s="11">
        <v>9666</v>
      </c>
      <c r="E514" t="s">
        <v>6156</v>
      </c>
      <c r="F514">
        <v>7.61</v>
      </c>
      <c r="G514" s="5">
        <v>-6.8500000000000005E-2</v>
      </c>
      <c r="H514" t="s">
        <v>12704</v>
      </c>
      <c r="I514">
        <v>4747284700</v>
      </c>
      <c r="K514">
        <v>1.06</v>
      </c>
      <c r="L514" t="s">
        <v>6350</v>
      </c>
      <c r="M514" t="s">
        <v>9</v>
      </c>
      <c r="N514" t="s">
        <v>9</v>
      </c>
      <c r="O514" t="s">
        <v>9</v>
      </c>
      <c r="P514" t="s">
        <v>9</v>
      </c>
      <c r="Q514" t="s">
        <v>12705</v>
      </c>
      <c r="R514">
        <v>-1042527860</v>
      </c>
      <c r="S514" s="5">
        <v>0.49180000000000001</v>
      </c>
      <c r="T514" t="s">
        <v>12706</v>
      </c>
      <c r="U514">
        <v>623821900</v>
      </c>
      <c r="V514">
        <v>623821900</v>
      </c>
      <c r="W514" t="s">
        <v>9</v>
      </c>
      <c r="X514" t="s">
        <v>9</v>
      </c>
      <c r="Y514" t="s">
        <v>9</v>
      </c>
      <c r="Z514" t="s">
        <v>9</v>
      </c>
      <c r="AA514" t="s">
        <v>9</v>
      </c>
      <c r="AB514" t="s">
        <v>9</v>
      </c>
      <c r="AC514" t="s">
        <v>9</v>
      </c>
      <c r="AD514" t="s">
        <v>9</v>
      </c>
      <c r="AE514" t="s">
        <v>9</v>
      </c>
      <c r="AF514" t="s">
        <v>9</v>
      </c>
      <c r="AG514" t="s">
        <v>9</v>
      </c>
      <c r="AH514" t="s">
        <v>12707</v>
      </c>
      <c r="AI514" t="s">
        <v>9</v>
      </c>
      <c r="AJ514" t="s">
        <v>9</v>
      </c>
      <c r="AK514" t="s">
        <v>12708</v>
      </c>
      <c r="AL514" t="s">
        <v>9</v>
      </c>
      <c r="AM514" t="s">
        <v>9</v>
      </c>
      <c r="AN514" s="5">
        <v>0.46489999999999998</v>
      </c>
      <c r="AO514" t="s">
        <v>9</v>
      </c>
      <c r="AP514" t="s">
        <v>1756</v>
      </c>
      <c r="AQ514" t="s">
        <v>9</v>
      </c>
      <c r="AR514" t="s">
        <v>12709</v>
      </c>
      <c r="AS514" t="s">
        <v>9</v>
      </c>
      <c r="AT514" t="s">
        <v>9</v>
      </c>
      <c r="AU514" t="s">
        <v>3573</v>
      </c>
      <c r="AV514" t="s">
        <v>2943</v>
      </c>
      <c r="AW514" t="s">
        <v>9</v>
      </c>
      <c r="AX514" t="s">
        <v>3916</v>
      </c>
      <c r="AY514" t="s">
        <v>5201</v>
      </c>
      <c r="AZ514" t="s">
        <v>6158</v>
      </c>
      <c r="BA514" t="s">
        <v>6159</v>
      </c>
      <c r="BB514" t="s">
        <v>162</v>
      </c>
      <c r="BC514" t="s">
        <v>6160</v>
      </c>
      <c r="BD514" t="s">
        <v>5704</v>
      </c>
      <c r="BE514" t="s">
        <v>5478</v>
      </c>
      <c r="BF514" t="s">
        <v>1075</v>
      </c>
      <c r="BG514" t="s">
        <v>64</v>
      </c>
      <c r="BH514" t="s">
        <v>3916</v>
      </c>
      <c r="BI514" t="s">
        <v>9</v>
      </c>
      <c r="BJ514" t="s">
        <v>5201</v>
      </c>
      <c r="BK514" t="s">
        <v>6157</v>
      </c>
      <c r="BL514" t="s">
        <v>9</v>
      </c>
      <c r="BM514" t="s">
        <v>6160</v>
      </c>
      <c r="BN514">
        <v>-20.22</v>
      </c>
      <c r="BO514">
        <v>-28.01</v>
      </c>
      <c r="BP514">
        <v>14.23</v>
      </c>
      <c r="BQ514">
        <v>-23.32</v>
      </c>
      <c r="BR514">
        <v>-34.14</v>
      </c>
      <c r="BS514">
        <v>13.81</v>
      </c>
      <c r="BT514" t="s">
        <v>1608</v>
      </c>
      <c r="BU514" t="s">
        <v>410</v>
      </c>
      <c r="BV514">
        <v>18.64</v>
      </c>
      <c r="BW514">
        <v>18.84</v>
      </c>
      <c r="BX514">
        <v>30.94</v>
      </c>
      <c r="BY514">
        <v>-19.71</v>
      </c>
      <c r="BZ514">
        <v>-36.76</v>
      </c>
      <c r="CA514">
        <v>18.04</v>
      </c>
      <c r="CB514">
        <v>-10.37</v>
      </c>
      <c r="CC514">
        <v>-19.3</v>
      </c>
      <c r="CD514" t="s">
        <v>12710</v>
      </c>
      <c r="CE514" t="s">
        <v>12711</v>
      </c>
      <c r="CF514" s="8" t="s">
        <v>9</v>
      </c>
      <c r="CG514" s="9">
        <v>0.49180000000000001</v>
      </c>
      <c r="CH514" s="8">
        <v>-3.312084823846817E-2</v>
      </c>
      <c r="CI514" s="8">
        <v>-0.22742201387882233</v>
      </c>
      <c r="CJ514" s="8">
        <v>0.81836283206939697</v>
      </c>
      <c r="CK514" s="8">
        <v>1.3164265155792236</v>
      </c>
      <c r="CL514" s="8">
        <v>0.38247010111808777</v>
      </c>
      <c r="CM514" s="9">
        <v>-1.8054053783416748</v>
      </c>
      <c r="CN514" s="9">
        <v>0.76190483570098877</v>
      </c>
      <c r="CO514" s="9">
        <v>0.792682945728302</v>
      </c>
      <c r="CP514" s="9">
        <v>1.22826087474823</v>
      </c>
      <c r="CQ514" s="9">
        <v>0.35294118523597717</v>
      </c>
      <c r="CR514">
        <v>-31.622655171196399</v>
      </c>
      <c r="CS514">
        <v>-0.99743404123754342</v>
      </c>
      <c r="CT514">
        <v>0</v>
      </c>
      <c r="CU514" s="8">
        <v>0.31704006344079971</v>
      </c>
      <c r="CV514" s="9">
        <v>0.44077043980360031</v>
      </c>
      <c r="CW514">
        <v>0.06</v>
      </c>
      <c r="CX514" t="e">
        <v>#VALUE!</v>
      </c>
      <c r="CY514" t="s">
        <v>109</v>
      </c>
      <c r="CZ514">
        <v>0.31704006344079971</v>
      </c>
      <c r="DA514" t="e">
        <v>#VALUE!</v>
      </c>
      <c r="DB514" t="s">
        <v>108</v>
      </c>
      <c r="DC514">
        <v>0.30118806026875972</v>
      </c>
      <c r="DD514" t="e">
        <v>#VALUE!</v>
      </c>
      <c r="DE514" t="s">
        <v>108</v>
      </c>
      <c r="DF514">
        <v>0.27899525582790374</v>
      </c>
      <c r="DG514" t="e">
        <v>#VALUE!</v>
      </c>
      <c r="DH514" t="s">
        <v>108</v>
      </c>
      <c r="DI514">
        <v>0.25363205075263978</v>
      </c>
      <c r="DJ514" t="e">
        <v>#VALUE!</v>
      </c>
      <c r="DK514" t="s">
        <v>108</v>
      </c>
      <c r="DL514">
        <v>0.22192804440855979</v>
      </c>
      <c r="DM514">
        <v>-1043000000</v>
      </c>
      <c r="DN514">
        <v>0.31704006344079971</v>
      </c>
      <c r="DO514">
        <v>4747284700</v>
      </c>
      <c r="DP514" t="e">
        <v>#VALUE!</v>
      </c>
      <c r="DQ514">
        <v>514</v>
      </c>
      <c r="DR514" t="e">
        <v>#VALUE!</v>
      </c>
      <c r="DS514">
        <v>5.1029560196399704E-2</v>
      </c>
      <c r="DT514" t="e">
        <v>#VALUE!</v>
      </c>
      <c r="DU514" t="e">
        <v>#VALUE!</v>
      </c>
      <c r="DV514" t="e">
        <v>#VALUE!</v>
      </c>
      <c r="DW514">
        <v>-9.5373056994818661</v>
      </c>
      <c r="DX514">
        <v>1.4968894533101185</v>
      </c>
      <c r="DY514">
        <v>-9.2078779083329483</v>
      </c>
      <c r="DZ514">
        <v>0</v>
      </c>
      <c r="EA514">
        <v>-9.2078779083329483</v>
      </c>
      <c r="EB514">
        <v>9</v>
      </c>
      <c r="EC514">
        <v>1.1647394873440641E-2</v>
      </c>
      <c r="ED514">
        <v>3.0105227148966716E-2</v>
      </c>
      <c r="EE514">
        <v>0</v>
      </c>
      <c r="EF514">
        <v>0</v>
      </c>
      <c r="EG514">
        <v>111.38688945331012</v>
      </c>
      <c r="EH514" t="s">
        <v>110</v>
      </c>
      <c r="EI514">
        <v>0</v>
      </c>
      <c r="EJ514">
        <v>0</v>
      </c>
      <c r="EK514">
        <v>0</v>
      </c>
      <c r="EL514">
        <v>0</v>
      </c>
      <c r="EM514">
        <v>0</v>
      </c>
      <c r="EN514">
        <v>0</v>
      </c>
      <c r="EO514">
        <v>0</v>
      </c>
      <c r="EP514">
        <v>0</v>
      </c>
    </row>
    <row r="515" spans="1:146" ht="72" x14ac:dyDescent="0.25">
      <c r="C515" s="7" t="str">
        <f>""&amp;CHAR(10)&amp;Basic_Fundamental_Information_Constructure(F515)&amp;CHAR(10)&amp;Basic_Fundamental_Information_Concatenate("")</f>
        <v xml:space="preserve">
市值26.094688亿, 利润--; PE, PB; ROIC0%; ROE0%; 股利率0%; 毛利0%; 净利0%, 利润增-26.19%; 过往5年营收增0%, 利润增0%
Income profile:
</v>
      </c>
      <c r="D515" s="11">
        <v>9669</v>
      </c>
      <c r="E515" t="s">
        <v>6383</v>
      </c>
      <c r="F515">
        <v>3.64</v>
      </c>
      <c r="G515">
        <v>-8.2000000000000007E-3</v>
      </c>
      <c r="H515" t="s">
        <v>9</v>
      </c>
      <c r="I515">
        <v>2609468800</v>
      </c>
      <c r="L515" t="s">
        <v>6350</v>
      </c>
      <c r="M515" t="s">
        <v>9</v>
      </c>
      <c r="N515" t="s">
        <v>9</v>
      </c>
      <c r="O515" t="s">
        <v>9</v>
      </c>
      <c r="P515" s="5" t="s">
        <v>9</v>
      </c>
      <c r="Q515" t="s">
        <v>9</v>
      </c>
      <c r="R515">
        <v>-2970517900</v>
      </c>
      <c r="S515">
        <v>-0.26190000000000002</v>
      </c>
      <c r="T515" t="s">
        <v>9</v>
      </c>
      <c r="U515">
        <v>715297060</v>
      </c>
      <c r="V515">
        <v>715297060</v>
      </c>
      <c r="W515" t="s">
        <v>9</v>
      </c>
      <c r="X515" t="s">
        <v>9</v>
      </c>
      <c r="Y515" t="s">
        <v>9</v>
      </c>
      <c r="Z515" t="s">
        <v>9</v>
      </c>
      <c r="AA515" t="s">
        <v>9</v>
      </c>
      <c r="AB515" t="s">
        <v>9</v>
      </c>
      <c r="AC515" t="s">
        <v>9</v>
      </c>
      <c r="AD515" t="s">
        <v>9</v>
      </c>
      <c r="AE515" t="s">
        <v>9</v>
      </c>
      <c r="AF515" t="s">
        <v>9</v>
      </c>
      <c r="AG515" t="s">
        <v>9</v>
      </c>
      <c r="AH515" t="s">
        <v>6384</v>
      </c>
      <c r="AI515" t="s">
        <v>9</v>
      </c>
      <c r="AJ515" t="s">
        <v>9</v>
      </c>
      <c r="AK515" s="5" t="s">
        <v>6385</v>
      </c>
      <c r="AL515" t="s">
        <v>9</v>
      </c>
      <c r="AM515" t="s">
        <v>9</v>
      </c>
      <c r="AN515">
        <v>5.4668999999999999</v>
      </c>
      <c r="AO515" t="s">
        <v>9</v>
      </c>
      <c r="AP515" t="s">
        <v>9</v>
      </c>
      <c r="AQ515" t="s">
        <v>9</v>
      </c>
      <c r="AR515" t="s">
        <v>9</v>
      </c>
      <c r="AS515" t="s">
        <v>9</v>
      </c>
      <c r="AT515" t="s">
        <v>9</v>
      </c>
      <c r="AU515" t="s">
        <v>9</v>
      </c>
      <c r="AV515" t="s">
        <v>9</v>
      </c>
      <c r="AW515" t="s">
        <v>9</v>
      </c>
      <c r="AX515" t="s">
        <v>9</v>
      </c>
      <c r="AY515" t="s">
        <v>9</v>
      </c>
      <c r="AZ515" t="s">
        <v>9</v>
      </c>
      <c r="BA515" t="s">
        <v>9</v>
      </c>
      <c r="BB515" t="s">
        <v>9</v>
      </c>
      <c r="BC515" t="s">
        <v>9</v>
      </c>
      <c r="BD515" t="s">
        <v>9</v>
      </c>
      <c r="BE515" t="s">
        <v>9</v>
      </c>
      <c r="BF515" t="s">
        <v>9</v>
      </c>
      <c r="BG515" t="s">
        <v>9</v>
      </c>
      <c r="BH515" t="s">
        <v>9</v>
      </c>
      <c r="BI515" t="s">
        <v>9</v>
      </c>
      <c r="BJ515" t="s">
        <v>9</v>
      </c>
      <c r="BK515" t="s">
        <v>9</v>
      </c>
      <c r="BL515" t="s">
        <v>9</v>
      </c>
      <c r="BM515" t="s">
        <v>9</v>
      </c>
      <c r="BN515" t="s">
        <v>9</v>
      </c>
      <c r="BO515" t="s">
        <v>9</v>
      </c>
      <c r="BP515" t="s">
        <v>9</v>
      </c>
      <c r="BQ515" t="s">
        <v>9</v>
      </c>
      <c r="BR515" t="s">
        <v>9</v>
      </c>
      <c r="BS515" t="s">
        <v>9</v>
      </c>
      <c r="BT515" t="s">
        <v>9</v>
      </c>
      <c r="BU515" t="s">
        <v>9</v>
      </c>
      <c r="BV515" t="s">
        <v>9</v>
      </c>
      <c r="BW515" t="s">
        <v>9</v>
      </c>
      <c r="BX515" t="s">
        <v>9</v>
      </c>
      <c r="BY515" t="s">
        <v>9</v>
      </c>
      <c r="BZ515" t="s">
        <v>9</v>
      </c>
      <c r="CA515" t="s">
        <v>9</v>
      </c>
      <c r="CB515" t="s">
        <v>9</v>
      </c>
      <c r="CC515" s="8" t="s">
        <v>9</v>
      </c>
      <c r="CD515" s="10" t="s">
        <v>9</v>
      </c>
      <c r="CE515" s="8" t="s">
        <v>9</v>
      </c>
      <c r="CF515" s="8" t="s">
        <v>9</v>
      </c>
      <c r="CG515" s="8">
        <v>-0.26190000000000002</v>
      </c>
      <c r="CH515" s="8" t="s">
        <v>9</v>
      </c>
      <c r="CI515" s="8" t="s">
        <v>9</v>
      </c>
      <c r="CJ515" s="9" t="s">
        <v>9</v>
      </c>
      <c r="CK515" s="9" t="s">
        <v>9</v>
      </c>
      <c r="CL515" s="9" t="s">
        <v>9</v>
      </c>
      <c r="CM515" s="9" t="s">
        <v>9</v>
      </c>
      <c r="CN515" s="9" t="s">
        <v>9</v>
      </c>
      <c r="CO515" t="s">
        <v>9</v>
      </c>
      <c r="CP515" t="s">
        <v>9</v>
      </c>
      <c r="CQ515" t="s">
        <v>9</v>
      </c>
      <c r="CR515" s="8" t="e">
        <v>#DIV/0!</v>
      </c>
      <c r="CS515" s="9" t="e">
        <v>#DIV/0!</v>
      </c>
      <c r="CT515">
        <v>0</v>
      </c>
      <c r="CU515">
        <v>0</v>
      </c>
      <c r="CV515">
        <v>0</v>
      </c>
      <c r="CW515">
        <v>0.06</v>
      </c>
      <c r="CX515" t="e">
        <v>#DIV/0!</v>
      </c>
      <c r="CY515">
        <v>0</v>
      </c>
      <c r="CZ515">
        <v>0</v>
      </c>
      <c r="DA515" t="e">
        <v>#DIV/0!</v>
      </c>
      <c r="DB515">
        <v>0</v>
      </c>
      <c r="DC515">
        <v>0</v>
      </c>
      <c r="DD515" t="e">
        <v>#DIV/0!</v>
      </c>
      <c r="DE515">
        <v>0</v>
      </c>
      <c r="DF515">
        <v>0</v>
      </c>
      <c r="DG515" t="e">
        <v>#DIV/0!</v>
      </c>
      <c r="DH515">
        <v>0</v>
      </c>
      <c r="DI515">
        <v>0</v>
      </c>
      <c r="DJ515" t="e">
        <v>#DIV/0!</v>
      </c>
      <c r="DK515">
        <v>0</v>
      </c>
      <c r="DL515">
        <v>0</v>
      </c>
      <c r="DM515">
        <v>0</v>
      </c>
      <c r="DN515">
        <v>0</v>
      </c>
      <c r="DO515">
        <v>2609468800</v>
      </c>
      <c r="DP515" t="e">
        <v>#VALUE!</v>
      </c>
      <c r="DQ515">
        <v>522</v>
      </c>
      <c r="DR515" t="e">
        <v>#VALUE!</v>
      </c>
      <c r="DS515">
        <v>-0.26190000000000002</v>
      </c>
      <c r="DT515" t="e">
        <v>#VALUE!</v>
      </c>
      <c r="DU515" t="e">
        <v>#VALUE!</v>
      </c>
      <c r="DV515" t="e">
        <v>#VALUE!</v>
      </c>
      <c r="DW515" t="e">
        <v>#VALUE!</v>
      </c>
      <c r="DX515" t="e">
        <v>#VALUE!</v>
      </c>
      <c r="DY515" t="e">
        <v>#VALUE!</v>
      </c>
      <c r="DZ515">
        <v>0</v>
      </c>
      <c r="EA515" t="e">
        <v>#VALUE!</v>
      </c>
      <c r="EB515" t="e">
        <v>#VALUE!</v>
      </c>
      <c r="EC515">
        <v>0</v>
      </c>
      <c r="ED515">
        <v>0</v>
      </c>
      <c r="EE515">
        <v>0</v>
      </c>
      <c r="EF515">
        <v>0</v>
      </c>
      <c r="EG515" t="e">
        <v>#VALUE!</v>
      </c>
      <c r="EH515" t="s">
        <v>110</v>
      </c>
      <c r="EI515" t="e">
        <v>#VALUE!</v>
      </c>
      <c r="EJ515">
        <v>0</v>
      </c>
      <c r="EK515">
        <v>0</v>
      </c>
      <c r="EL515">
        <v>0</v>
      </c>
      <c r="EM515">
        <v>0</v>
      </c>
      <c r="EN515">
        <v>0</v>
      </c>
      <c r="EO515">
        <v>0</v>
      </c>
      <c r="EP515">
        <v>0</v>
      </c>
    </row>
    <row r="516" spans="1:146" ht="72" x14ac:dyDescent="0.25">
      <c r="A516"/>
      <c r="B516"/>
      <c r="C516" s="7" t="str">
        <f>""&amp;CHAR(10)&amp;Basic_Fundamental_Information_Constructure(F516)&amp;CHAR(10)&amp;Basic_Fundamental_Information_Concatenate("")</f>
        <v xml:space="preserve">
市值37.351425亿, 利润--; PE; 平均PE26.37; 平均PEG1.24, PB3; ROIC0%; ROE0%; 股利率0%; 毛利0%; 净利0%, 利润增-1723%; 过往5年营收增21.25%, 利润增59.48%
Income profile:
</v>
      </c>
      <c r="D516" s="11">
        <v>9669</v>
      </c>
      <c r="E516" t="s">
        <v>6383</v>
      </c>
      <c r="F516">
        <v>5.19</v>
      </c>
      <c r="G516">
        <v>1.17E-2</v>
      </c>
      <c r="H516" t="s">
        <v>12712</v>
      </c>
      <c r="I516">
        <v>3735142500</v>
      </c>
      <c r="K516">
        <v>3</v>
      </c>
      <c r="L516" t="s">
        <v>6350</v>
      </c>
      <c r="M516" t="s">
        <v>9</v>
      </c>
      <c r="N516" t="s">
        <v>9</v>
      </c>
      <c r="O516" t="s">
        <v>9</v>
      </c>
      <c r="P516" s="6" t="s">
        <v>9</v>
      </c>
      <c r="Q516" t="s">
        <v>9</v>
      </c>
      <c r="R516">
        <v>-3284058200</v>
      </c>
      <c r="S516">
        <v>-17.23</v>
      </c>
      <c r="T516" t="s">
        <v>9</v>
      </c>
      <c r="U516">
        <v>718644320</v>
      </c>
      <c r="V516">
        <v>718644320</v>
      </c>
      <c r="W516" t="s">
        <v>9</v>
      </c>
      <c r="X516" t="s">
        <v>9</v>
      </c>
      <c r="Y516" t="s">
        <v>9</v>
      </c>
      <c r="Z516" t="s">
        <v>9</v>
      </c>
      <c r="AA516" t="s">
        <v>9</v>
      </c>
      <c r="AB516" t="s">
        <v>9</v>
      </c>
      <c r="AC516" t="s">
        <v>9</v>
      </c>
      <c r="AD516" t="s">
        <v>9</v>
      </c>
      <c r="AE516" t="s">
        <v>9</v>
      </c>
      <c r="AF516" t="s">
        <v>9</v>
      </c>
      <c r="AG516" t="s">
        <v>9</v>
      </c>
      <c r="AH516" t="s">
        <v>12713</v>
      </c>
      <c r="AI516" t="s">
        <v>9</v>
      </c>
      <c r="AJ516" t="s">
        <v>9</v>
      </c>
      <c r="AK516" s="5" t="s">
        <v>12714</v>
      </c>
      <c r="AL516" t="s">
        <v>9</v>
      </c>
      <c r="AM516" t="s">
        <v>9</v>
      </c>
      <c r="AN516">
        <v>0.36659999999999998</v>
      </c>
      <c r="AO516" t="s">
        <v>9</v>
      </c>
      <c r="AP516" t="s">
        <v>9</v>
      </c>
      <c r="AQ516" t="s">
        <v>9</v>
      </c>
      <c r="AR516" t="s">
        <v>9</v>
      </c>
      <c r="AS516" t="s">
        <v>9</v>
      </c>
      <c r="AT516" t="s">
        <v>9</v>
      </c>
      <c r="AU516" t="s">
        <v>9</v>
      </c>
      <c r="AV516" t="s">
        <v>9</v>
      </c>
      <c r="AW516" t="s">
        <v>9</v>
      </c>
      <c r="AX516" t="s">
        <v>9</v>
      </c>
      <c r="AY516" t="s">
        <v>9</v>
      </c>
      <c r="AZ516" t="s">
        <v>9</v>
      </c>
      <c r="BA516" t="s">
        <v>9</v>
      </c>
      <c r="BB516" t="s">
        <v>9</v>
      </c>
      <c r="BC516" t="s">
        <v>9</v>
      </c>
      <c r="BD516" t="s">
        <v>9</v>
      </c>
      <c r="BE516" t="s">
        <v>9</v>
      </c>
      <c r="BF516" t="s">
        <v>9</v>
      </c>
      <c r="BG516" t="s">
        <v>9</v>
      </c>
      <c r="BH516" t="s">
        <v>9</v>
      </c>
      <c r="BI516" t="s">
        <v>9</v>
      </c>
      <c r="BJ516" t="s">
        <v>9</v>
      </c>
      <c r="BK516" t="s">
        <v>9</v>
      </c>
      <c r="BL516" t="s">
        <v>9</v>
      </c>
      <c r="BM516" t="s">
        <v>9</v>
      </c>
      <c r="BN516" t="s">
        <v>9</v>
      </c>
      <c r="BO516" t="s">
        <v>9</v>
      </c>
      <c r="BP516" t="s">
        <v>9</v>
      </c>
      <c r="BQ516" t="s">
        <v>9</v>
      </c>
      <c r="BR516" t="s">
        <v>9</v>
      </c>
      <c r="BS516" t="s">
        <v>9</v>
      </c>
      <c r="BT516" t="s">
        <v>9</v>
      </c>
      <c r="BU516" t="s">
        <v>9</v>
      </c>
      <c r="BV516" t="s">
        <v>9</v>
      </c>
      <c r="BW516" t="s">
        <v>9</v>
      </c>
      <c r="BX516" t="s">
        <v>9</v>
      </c>
      <c r="BY516" t="s">
        <v>9</v>
      </c>
      <c r="BZ516" t="s">
        <v>9</v>
      </c>
      <c r="CA516" t="s">
        <v>9</v>
      </c>
      <c r="CB516">
        <v>6.57</v>
      </c>
      <c r="CC516" s="8">
        <v>7.45</v>
      </c>
      <c r="CD516" s="10" t="s">
        <v>12715</v>
      </c>
      <c r="CE516" s="8" t="s">
        <v>12716</v>
      </c>
      <c r="CF516" s="8" t="s">
        <v>9</v>
      </c>
      <c r="CG516" s="8">
        <v>-17.23</v>
      </c>
      <c r="CH516" s="8" t="s">
        <v>9</v>
      </c>
      <c r="CI516" s="8" t="s">
        <v>9</v>
      </c>
      <c r="CJ516" s="9" t="s">
        <v>9</v>
      </c>
      <c r="CK516" s="9" t="s">
        <v>9</v>
      </c>
      <c r="CL516" s="9" t="s">
        <v>9</v>
      </c>
      <c r="CM516" s="9" t="s">
        <v>9</v>
      </c>
      <c r="CN516" s="9" t="s">
        <v>9</v>
      </c>
      <c r="CO516" t="s">
        <v>9</v>
      </c>
      <c r="CP516" t="s">
        <v>9</v>
      </c>
      <c r="CQ516" t="s">
        <v>9</v>
      </c>
      <c r="CR516" s="8">
        <v>26.371010786638067</v>
      </c>
      <c r="CS516" s="9">
        <v>1.2409689370113406</v>
      </c>
      <c r="CT516">
        <v>0</v>
      </c>
      <c r="CU516">
        <v>0.21250339150428771</v>
      </c>
      <c r="CV516">
        <v>0.59477773308753967</v>
      </c>
      <c r="CW516">
        <v>0.06</v>
      </c>
      <c r="CX516" t="e">
        <v>#DIV/0!</v>
      </c>
      <c r="CY516">
        <v>0</v>
      </c>
      <c r="CZ516">
        <v>0.21250339150428771</v>
      </c>
      <c r="DA516" t="e">
        <v>#DIV/0!</v>
      </c>
      <c r="DB516">
        <v>0</v>
      </c>
      <c r="DC516">
        <v>0.20187822192907331</v>
      </c>
      <c r="DD516" t="e">
        <v>#DIV/0!</v>
      </c>
      <c r="DE516">
        <v>0</v>
      </c>
      <c r="DF516">
        <v>0.18700298452377317</v>
      </c>
      <c r="DG516" t="e">
        <v>#DIV/0!</v>
      </c>
      <c r="DH516">
        <v>0</v>
      </c>
      <c r="DI516">
        <v>0.17000271320343019</v>
      </c>
      <c r="DJ516" t="e">
        <v>#DIV/0!</v>
      </c>
      <c r="DK516">
        <v>0</v>
      </c>
      <c r="DL516">
        <v>0.14875237405300137</v>
      </c>
      <c r="DM516">
        <v>0</v>
      </c>
      <c r="DN516">
        <v>0.21250339150428771</v>
      </c>
      <c r="DO516">
        <v>3735142500</v>
      </c>
      <c r="DP516" t="e">
        <v>#VALUE!</v>
      </c>
      <c r="DQ516">
        <v>516</v>
      </c>
      <c r="DR516" t="e">
        <v>#VALUE!</v>
      </c>
      <c r="DS516">
        <v>-17.82477773308754</v>
      </c>
      <c r="DT516" t="e">
        <v>#VALUE!</v>
      </c>
      <c r="DU516" t="e">
        <v>#VALUE!</v>
      </c>
      <c r="DV516" t="e">
        <v>#VALUE!</v>
      </c>
      <c r="DW516">
        <v>9.8818791946308728</v>
      </c>
      <c r="DX516">
        <v>1.1509797269752835</v>
      </c>
      <c r="DY516">
        <v>9.3359780947956512</v>
      </c>
      <c r="DZ516">
        <v>0</v>
      </c>
      <c r="EA516">
        <v>9.3359780947956512</v>
      </c>
      <c r="EB516">
        <v>9</v>
      </c>
      <c r="EC516">
        <v>2.991020648434263E-2</v>
      </c>
      <c r="ED516">
        <v>7.850865641016963E-2</v>
      </c>
      <c r="EE516">
        <v>0</v>
      </c>
      <c r="EF516">
        <v>0</v>
      </c>
      <c r="EG516">
        <v>77.380979726975283</v>
      </c>
      <c r="EH516" t="s">
        <v>110</v>
      </c>
      <c r="EI516">
        <v>1</v>
      </c>
      <c r="EJ516">
        <v>0</v>
      </c>
      <c r="EK516">
        <v>0</v>
      </c>
      <c r="EL516">
        <v>0</v>
      </c>
      <c r="EM516">
        <v>0</v>
      </c>
      <c r="EN516">
        <v>0</v>
      </c>
      <c r="EO516">
        <v>0</v>
      </c>
      <c r="EP516">
        <v>0</v>
      </c>
    </row>
    <row r="517" spans="1:146" ht="72" x14ac:dyDescent="0.25">
      <c r="A517"/>
      <c r="B517"/>
      <c r="C517" s="7" t="str">
        <f>""&amp;CHAR(10)&amp;Basic_Fundamental_Information_Constructure(F517)&amp;CHAR(10)&amp;Basic_Fundamental_Information_Concatenate("")</f>
        <v xml:space="preserve">
市值217.90324亿, 利润--; PE; 平均PE48.47; 平均PEG5.99, PB5.88; ROIC0%; ROE0%; 股利率0%; 毛利0%; 净利0%, 利润增83.94%; 过往5年营收增8.09%, 利润增1.56%
Income profile:
</v>
      </c>
      <c r="D517" s="11">
        <v>9676</v>
      </c>
      <c r="E517" t="s">
        <v>12717</v>
      </c>
      <c r="F517">
        <v>20.399999999999999</v>
      </c>
      <c r="G517">
        <v>2.3099999999999999E-2</v>
      </c>
      <c r="H517" t="s">
        <v>12718</v>
      </c>
      <c r="I517">
        <v>21790324000</v>
      </c>
      <c r="K517">
        <v>5.88</v>
      </c>
      <c r="L517" t="s">
        <v>6350</v>
      </c>
      <c r="M517" t="s">
        <v>9</v>
      </c>
      <c r="N517" t="s">
        <v>9</v>
      </c>
      <c r="O517" t="s">
        <v>9</v>
      </c>
      <c r="P517" s="5" t="s">
        <v>9</v>
      </c>
      <c r="Q517" t="s">
        <v>9</v>
      </c>
      <c r="R517">
        <v>-71102821</v>
      </c>
      <c r="S517">
        <v>0.83940000000000003</v>
      </c>
      <c r="T517" t="s">
        <v>9</v>
      </c>
      <c r="U517">
        <v>256300450</v>
      </c>
      <c r="V517">
        <v>1068153150</v>
      </c>
      <c r="W517" t="s">
        <v>9</v>
      </c>
      <c r="X517" t="s">
        <v>9</v>
      </c>
      <c r="Y517" t="s">
        <v>9</v>
      </c>
      <c r="Z517" t="s">
        <v>9</v>
      </c>
      <c r="AA517" t="s">
        <v>9</v>
      </c>
      <c r="AB517" t="s">
        <v>9</v>
      </c>
      <c r="AC517" t="s">
        <v>9</v>
      </c>
      <c r="AD517" t="s">
        <v>9</v>
      </c>
      <c r="AE517" t="s">
        <v>9</v>
      </c>
      <c r="AF517" t="s">
        <v>9</v>
      </c>
      <c r="AG517" t="s">
        <v>9</v>
      </c>
      <c r="AH517" t="s">
        <v>12719</v>
      </c>
      <c r="AI517" t="s">
        <v>9</v>
      </c>
      <c r="AJ517" t="s">
        <v>9</v>
      </c>
      <c r="AK517" s="5" t="s">
        <v>12720</v>
      </c>
      <c r="AL517" t="s">
        <v>9</v>
      </c>
      <c r="AM517" t="s">
        <v>9</v>
      </c>
      <c r="AN517">
        <v>0.28539999999999999</v>
      </c>
      <c r="AO517" t="s">
        <v>9</v>
      </c>
      <c r="AP517" t="s">
        <v>9</v>
      </c>
      <c r="AQ517" t="s">
        <v>9</v>
      </c>
      <c r="AR517" t="s">
        <v>9</v>
      </c>
      <c r="AS517" t="s">
        <v>9</v>
      </c>
      <c r="AT517" t="s">
        <v>9</v>
      </c>
      <c r="AU517" t="s">
        <v>9</v>
      </c>
      <c r="AV517" t="s">
        <v>9</v>
      </c>
      <c r="AW517" t="s">
        <v>9</v>
      </c>
      <c r="AX517" t="s">
        <v>9</v>
      </c>
      <c r="AY517" t="s">
        <v>9</v>
      </c>
      <c r="AZ517" t="s">
        <v>9</v>
      </c>
      <c r="BA517" t="s">
        <v>9</v>
      </c>
      <c r="BB517" t="s">
        <v>9</v>
      </c>
      <c r="BC517" t="s">
        <v>9</v>
      </c>
      <c r="BD517" t="s">
        <v>9</v>
      </c>
      <c r="BE517" t="s">
        <v>9</v>
      </c>
      <c r="BF517" t="s">
        <v>9</v>
      </c>
      <c r="BG517" t="s">
        <v>9</v>
      </c>
      <c r="BH517" t="s">
        <v>9</v>
      </c>
      <c r="BI517" t="s">
        <v>9</v>
      </c>
      <c r="BJ517" t="s">
        <v>9</v>
      </c>
      <c r="BK517" t="s">
        <v>9</v>
      </c>
      <c r="BL517" t="s">
        <v>9</v>
      </c>
      <c r="BM517" t="s">
        <v>9</v>
      </c>
      <c r="BN517" t="s">
        <v>9</v>
      </c>
      <c r="BO517" t="s">
        <v>9</v>
      </c>
      <c r="BP517" t="s">
        <v>9</v>
      </c>
      <c r="BQ517" t="s">
        <v>9</v>
      </c>
      <c r="BR517" t="s">
        <v>9</v>
      </c>
      <c r="BS517" t="s">
        <v>9</v>
      </c>
      <c r="BT517" t="s">
        <v>9</v>
      </c>
      <c r="BU517" t="s">
        <v>9</v>
      </c>
      <c r="BV517" t="s">
        <v>9</v>
      </c>
      <c r="BW517" t="s">
        <v>9</v>
      </c>
      <c r="BX517" t="s">
        <v>9</v>
      </c>
      <c r="BY517" t="s">
        <v>9</v>
      </c>
      <c r="BZ517" t="s">
        <v>9</v>
      </c>
      <c r="CA517" t="s">
        <v>9</v>
      </c>
      <c r="CB517">
        <v>4.1900000000000004</v>
      </c>
      <c r="CC517" s="8">
        <v>-8.3800000000000008</v>
      </c>
      <c r="CD517" s="10" t="s">
        <v>12721</v>
      </c>
      <c r="CE517" s="8" t="s">
        <v>12722</v>
      </c>
      <c r="CF517" s="8" t="s">
        <v>9</v>
      </c>
      <c r="CG517" s="8">
        <v>0.83940000000000003</v>
      </c>
      <c r="CH517" s="8" t="s">
        <v>9</v>
      </c>
      <c r="CI517" s="8" t="s">
        <v>9</v>
      </c>
      <c r="CJ517" s="9" t="s">
        <v>9</v>
      </c>
      <c r="CK517" s="9" t="s">
        <v>9</v>
      </c>
      <c r="CL517" s="9" t="s">
        <v>9</v>
      </c>
      <c r="CM517" s="9" t="s">
        <v>9</v>
      </c>
      <c r="CN517" s="9" t="s">
        <v>9</v>
      </c>
      <c r="CO517" t="s">
        <v>9</v>
      </c>
      <c r="CP517" t="s">
        <v>9</v>
      </c>
      <c r="CQ517" t="s">
        <v>9</v>
      </c>
      <c r="CR517" s="8">
        <v>48.4660231316726</v>
      </c>
      <c r="CS517" s="9">
        <v>5.9898841401965477</v>
      </c>
      <c r="CT517">
        <v>0</v>
      </c>
      <c r="CU517">
        <v>8.091312285396271E-2</v>
      </c>
      <c r="CV517">
        <v>1.5558914840221405E-2</v>
      </c>
      <c r="CW517">
        <v>0.06</v>
      </c>
      <c r="CX517" t="e">
        <v>#DIV/0!</v>
      </c>
      <c r="CY517">
        <v>0</v>
      </c>
      <c r="CZ517">
        <v>8.091312285396271E-2</v>
      </c>
      <c r="DA517" t="e">
        <v>#DIV/0!</v>
      </c>
      <c r="DB517">
        <v>0</v>
      </c>
      <c r="DC517">
        <v>7.686746671126457E-2</v>
      </c>
      <c r="DD517" t="e">
        <v>#DIV/0!</v>
      </c>
      <c r="DE517">
        <v>0</v>
      </c>
      <c r="DF517">
        <v>7.1203548111487186E-2</v>
      </c>
      <c r="DG517" t="e">
        <v>#DIV/0!</v>
      </c>
      <c r="DH517">
        <v>0</v>
      </c>
      <c r="DI517">
        <v>6.4730498283170165E-2</v>
      </c>
      <c r="DJ517" t="e">
        <v>#DIV/0!</v>
      </c>
      <c r="DK517">
        <v>0</v>
      </c>
      <c r="DL517">
        <v>5.6639185997773893E-2</v>
      </c>
      <c r="DM517">
        <v>0</v>
      </c>
      <c r="DN517">
        <v>8.091312285396271E-2</v>
      </c>
      <c r="DO517">
        <v>21790324000</v>
      </c>
      <c r="DP517" t="e">
        <v>#VALUE!</v>
      </c>
      <c r="DQ517">
        <v>517</v>
      </c>
      <c r="DR517" t="e">
        <v>#VALUE!</v>
      </c>
      <c r="DS517">
        <v>0.82384108515977861</v>
      </c>
      <c r="DT517" t="e">
        <v>#VALUE!</v>
      </c>
      <c r="DU517" t="e">
        <v>#VALUE!</v>
      </c>
      <c r="DV517" t="e">
        <v>#VALUE!</v>
      </c>
      <c r="DW517">
        <v>6.333333333333333</v>
      </c>
      <c r="DX517">
        <v>0.54782872476957267</v>
      </c>
      <c r="DY517">
        <v>6.1359429082565242</v>
      </c>
      <c r="DZ517">
        <v>0</v>
      </c>
      <c r="EA517">
        <v>6.1359429082565242</v>
      </c>
      <c r="EB517">
        <v>6</v>
      </c>
      <c r="EC517">
        <v>1.9634824837618087E-3</v>
      </c>
      <c r="ED517">
        <v>4.8144781485688643E-3</v>
      </c>
      <c r="EE517">
        <v>0</v>
      </c>
      <c r="EF517">
        <v>0</v>
      </c>
      <c r="EG517">
        <v>14.407828724769573</v>
      </c>
      <c r="EH517" t="s">
        <v>110</v>
      </c>
      <c r="EI517">
        <v>0</v>
      </c>
      <c r="EJ517">
        <v>0</v>
      </c>
      <c r="EK517">
        <v>0</v>
      </c>
      <c r="EL517">
        <v>0</v>
      </c>
      <c r="EM517">
        <v>0</v>
      </c>
      <c r="EN517">
        <v>0</v>
      </c>
      <c r="EO517">
        <v>0</v>
      </c>
      <c r="EP517">
        <v>0</v>
      </c>
    </row>
    <row r="518" spans="1:146" ht="96" x14ac:dyDescent="0.25">
      <c r="A518" s="7"/>
      <c r="B518" s="7"/>
      <c r="C518" s="7" t="str">
        <f>""&amp;CHAR(10)&amp;Basic_Fundamental_Information_Constructure(F518)&amp;CHAR(10)&amp;Basic_Fundamental_Information_Concatenate("")</f>
        <v xml:space="preserve">
市值133.446793亿, 利润-26.14亿; PE; 平均PE8.45; 平均PEG.79, PB2.24; ROIC-42.72%; ROE-45.16%; 股利率0%; 毛利64.4867%; 净利-273.2533%; 上一年度营收增24.06%, 利润增52.41%, 利润增24.48%; 过往5年营收增10.64%, 利润增39.65%
Income profile:
</v>
      </c>
      <c r="D518" s="11">
        <v>9688</v>
      </c>
      <c r="E518" t="s">
        <v>6161</v>
      </c>
      <c r="F518">
        <v>13.42</v>
      </c>
      <c r="G518" s="5">
        <v>-6.2799999999999995E-2</v>
      </c>
      <c r="H518" t="s">
        <v>12723</v>
      </c>
      <c r="I518">
        <v>13344679300</v>
      </c>
      <c r="K518">
        <v>2.2400000000000002</v>
      </c>
      <c r="L518" t="s">
        <v>6350</v>
      </c>
      <c r="M518" t="s">
        <v>9</v>
      </c>
      <c r="N518" t="s">
        <v>9</v>
      </c>
      <c r="O518" t="s">
        <v>9</v>
      </c>
      <c r="P518" t="s">
        <v>9</v>
      </c>
      <c r="Q518" t="s">
        <v>5588</v>
      </c>
      <c r="R518">
        <v>-2613716800</v>
      </c>
      <c r="S518" s="5">
        <v>0.24479999999999999</v>
      </c>
      <c r="T518" t="s">
        <v>12724</v>
      </c>
      <c r="U518">
        <v>992087430</v>
      </c>
      <c r="V518">
        <v>992087430</v>
      </c>
      <c r="W518" t="s">
        <v>9</v>
      </c>
      <c r="X518" t="s">
        <v>9</v>
      </c>
      <c r="Y518" t="s">
        <v>9</v>
      </c>
      <c r="Z518" t="s">
        <v>9</v>
      </c>
      <c r="AA518" t="s">
        <v>9</v>
      </c>
      <c r="AB518" t="s">
        <v>9</v>
      </c>
      <c r="AC518" t="s">
        <v>9</v>
      </c>
      <c r="AD518" t="s">
        <v>12725</v>
      </c>
      <c r="AE518" t="s">
        <v>9</v>
      </c>
      <c r="AF518" t="s">
        <v>9</v>
      </c>
      <c r="AG518" t="s">
        <v>9</v>
      </c>
      <c r="AH518" t="s">
        <v>12726</v>
      </c>
      <c r="AI518" t="s">
        <v>9</v>
      </c>
      <c r="AJ518" t="s">
        <v>9</v>
      </c>
      <c r="AK518" t="s">
        <v>12727</v>
      </c>
      <c r="AL518" t="s">
        <v>9</v>
      </c>
      <c r="AM518" t="s">
        <v>9</v>
      </c>
      <c r="AN518" s="5">
        <v>0.23180000000000001</v>
      </c>
      <c r="AO518" t="s">
        <v>9</v>
      </c>
      <c r="AP518" t="s">
        <v>6565</v>
      </c>
      <c r="AQ518" t="s">
        <v>9</v>
      </c>
      <c r="AR518" t="s">
        <v>12728</v>
      </c>
      <c r="AS518" t="s">
        <v>9</v>
      </c>
      <c r="AT518" t="s">
        <v>9</v>
      </c>
      <c r="AU518" t="s">
        <v>12729</v>
      </c>
      <c r="AV518" t="s">
        <v>12730</v>
      </c>
      <c r="AW518" t="s">
        <v>9</v>
      </c>
      <c r="AX518" t="s">
        <v>6162</v>
      </c>
      <c r="AY518" t="s">
        <v>6164</v>
      </c>
      <c r="AZ518" t="s">
        <v>3707</v>
      </c>
      <c r="BA518" t="s">
        <v>6165</v>
      </c>
      <c r="BB518" t="s">
        <v>9</v>
      </c>
      <c r="BC518" t="s">
        <v>6166</v>
      </c>
      <c r="BD518" t="s">
        <v>6167</v>
      </c>
      <c r="BE518" t="s">
        <v>5154</v>
      </c>
      <c r="BF518" t="s">
        <v>4627</v>
      </c>
      <c r="BG518" t="s">
        <v>9</v>
      </c>
      <c r="BH518" t="s">
        <v>6162</v>
      </c>
      <c r="BI518" t="s">
        <v>39</v>
      </c>
      <c r="BJ518" t="s">
        <v>6164</v>
      </c>
      <c r="BK518" t="s">
        <v>3765</v>
      </c>
      <c r="BL518" t="s">
        <v>5508</v>
      </c>
      <c r="BM518" t="s">
        <v>6166</v>
      </c>
      <c r="BN518">
        <v>-36.340000000000003</v>
      </c>
      <c r="BO518">
        <v>-36.549999999999997</v>
      </c>
      <c r="BP518">
        <v>-55.27</v>
      </c>
      <c r="BQ518">
        <v>-42.03</v>
      </c>
      <c r="BR518">
        <v>-42.4</v>
      </c>
      <c r="BS518">
        <v>-51.05</v>
      </c>
      <c r="BT518" t="s">
        <v>9</v>
      </c>
      <c r="BU518" t="s">
        <v>489</v>
      </c>
      <c r="BV518">
        <v>64.08</v>
      </c>
      <c r="BW518">
        <v>65.58</v>
      </c>
      <c r="BX518">
        <v>63.8</v>
      </c>
      <c r="BY518">
        <v>-125.46</v>
      </c>
      <c r="BZ518">
        <v>-206.14</v>
      </c>
      <c r="CA518">
        <v>-488.16</v>
      </c>
      <c r="CB518">
        <v>-3.73</v>
      </c>
      <c r="CC518">
        <v>-19.739999999999998</v>
      </c>
      <c r="CD518" t="s">
        <v>12731</v>
      </c>
      <c r="CE518" t="s">
        <v>74</v>
      </c>
      <c r="CF518" s="8" t="s">
        <v>9</v>
      </c>
      <c r="CG518" s="9">
        <v>0.24479999999999999</v>
      </c>
      <c r="CH518" s="8">
        <v>0.24061933159828186</v>
      </c>
      <c r="CI518" s="8">
        <v>0.49244457483291626</v>
      </c>
      <c r="CJ518" s="8">
        <v>1.9605261087417603</v>
      </c>
      <c r="CK518" s="8">
        <v>375.01425170898437</v>
      </c>
      <c r="CL518" s="8" t="s">
        <v>9</v>
      </c>
      <c r="CM518" s="9">
        <v>0.52412158250808716</v>
      </c>
      <c r="CN518" s="9">
        <v>-1.6345323324203491</v>
      </c>
      <c r="CO518" s="9">
        <v>-0.37261354923248291</v>
      </c>
      <c r="CP518" s="9">
        <v>-0.39357805252075195</v>
      </c>
      <c r="CQ518" s="9" t="s">
        <v>9</v>
      </c>
      <c r="CR518">
        <v>8.4522406629367683</v>
      </c>
      <c r="CS518">
        <v>0.79419216923811453</v>
      </c>
      <c r="CT518">
        <v>0</v>
      </c>
      <c r="CU518" s="8">
        <v>0.10642563588917256</v>
      </c>
      <c r="CV518" s="9">
        <v>0.39647145271301271</v>
      </c>
      <c r="CW518">
        <v>0.06</v>
      </c>
      <c r="CX518" t="e">
        <v>#VALUE!</v>
      </c>
      <c r="CY518" t="s">
        <v>109</v>
      </c>
      <c r="CZ518">
        <v>0.10642563588917256</v>
      </c>
      <c r="DA518" t="e">
        <v>#VALUE!</v>
      </c>
      <c r="DB518" t="s">
        <v>108</v>
      </c>
      <c r="DC518">
        <v>0.10110435409471392</v>
      </c>
      <c r="DD518" t="e">
        <v>#VALUE!</v>
      </c>
      <c r="DE518" t="s">
        <v>108</v>
      </c>
      <c r="DF518">
        <v>9.3654559582471847E-2</v>
      </c>
      <c r="DG518" t="e">
        <v>#VALUE!</v>
      </c>
      <c r="DH518" t="s">
        <v>108</v>
      </c>
      <c r="DI518">
        <v>8.5140508711338048E-2</v>
      </c>
      <c r="DJ518" t="e">
        <v>#VALUE!</v>
      </c>
      <c r="DK518" t="s">
        <v>108</v>
      </c>
      <c r="DL518">
        <v>7.4497945122420792E-2</v>
      </c>
      <c r="DM518">
        <v>-2614000000</v>
      </c>
      <c r="DN518">
        <v>0.10642563588917256</v>
      </c>
      <c r="DO518">
        <v>13344679300</v>
      </c>
      <c r="DP518" t="e">
        <v>#VALUE!</v>
      </c>
      <c r="DQ518">
        <v>518</v>
      </c>
      <c r="DR518" t="e">
        <v>#VALUE!</v>
      </c>
      <c r="DS518">
        <v>-0.15167145271301272</v>
      </c>
      <c r="DT518" t="e">
        <v>#VALUE!</v>
      </c>
      <c r="DU518">
        <v>-0.94833333333333325</v>
      </c>
      <c r="DV518" t="e">
        <v>#VALUE!</v>
      </c>
      <c r="DW518">
        <v>-8.1889564336372853</v>
      </c>
      <c r="DX518">
        <v>0.2814257641921401</v>
      </c>
      <c r="DY518">
        <v>-8.0153859220079369</v>
      </c>
      <c r="DZ518">
        <v>0</v>
      </c>
      <c r="EA518">
        <v>-8.0153859220079369</v>
      </c>
      <c r="EB518">
        <v>8</v>
      </c>
      <c r="EC518">
        <v>1.8795218481903353E-2</v>
      </c>
      <c r="ED518">
        <v>0.23082643028749997</v>
      </c>
      <c r="EE518">
        <v>0</v>
      </c>
      <c r="EF518">
        <v>0</v>
      </c>
      <c r="EG518">
        <v>20.08142576419214</v>
      </c>
      <c r="EH518" t="s">
        <v>110</v>
      </c>
      <c r="EI518">
        <v>0</v>
      </c>
      <c r="EJ518">
        <v>0</v>
      </c>
      <c r="EK518">
        <v>0</v>
      </c>
      <c r="EL518">
        <v>0</v>
      </c>
      <c r="EM518">
        <v>0</v>
      </c>
      <c r="EN518">
        <v>0</v>
      </c>
      <c r="EO518">
        <v>0</v>
      </c>
      <c r="EP518">
        <v>0</v>
      </c>
    </row>
    <row r="519" spans="1:146" ht="96" x14ac:dyDescent="0.25">
      <c r="A519"/>
      <c r="B519"/>
      <c r="C519" s="7" t="str">
        <f>""&amp;CHAR(10)&amp;Basic_Fundamental_Information_Constructure(F519)&amp;CHAR(10)&amp;Basic_Fundamental_Information_Concatenate("")</f>
        <v xml:space="preserve">
市值182.57501亿, 利润--; PE2.48; 平均PE-21.66; 平均PEG-2.43, PB3.73; ROIC0%; ROE0%; 股利率0%; 毛利0%; 净利0%, 利润增404.9%; 过往5年营收增8.9%, 利润增14.46%
Income profile:
</v>
      </c>
      <c r="D519" s="11">
        <v>9690</v>
      </c>
      <c r="E519" t="s">
        <v>12732</v>
      </c>
      <c r="F519">
        <v>22.55</v>
      </c>
      <c r="G519">
        <v>-5.0500000000000003E-2</v>
      </c>
      <c r="H519" t="s">
        <v>12733</v>
      </c>
      <c r="I519">
        <v>18257501000</v>
      </c>
      <c r="J519">
        <v>2.48</v>
      </c>
      <c r="K519">
        <v>3.73</v>
      </c>
      <c r="L519" t="s">
        <v>6350</v>
      </c>
      <c r="M519" t="s">
        <v>9</v>
      </c>
      <c r="N519" t="s">
        <v>9</v>
      </c>
      <c r="O519" t="s">
        <v>9</v>
      </c>
      <c r="P519" s="5" t="s">
        <v>9</v>
      </c>
      <c r="Q519" t="s">
        <v>9</v>
      </c>
      <c r="R519">
        <v>7347757300</v>
      </c>
      <c r="S519">
        <v>4.0490000000000004</v>
      </c>
      <c r="T519" t="s">
        <v>9</v>
      </c>
      <c r="U519">
        <v>821823180</v>
      </c>
      <c r="V519">
        <v>821823180</v>
      </c>
      <c r="W519" t="s">
        <v>9</v>
      </c>
      <c r="X519" t="s">
        <v>9</v>
      </c>
      <c r="Y519" t="s">
        <v>9</v>
      </c>
      <c r="Z519" t="s">
        <v>9</v>
      </c>
      <c r="AA519" t="s">
        <v>9</v>
      </c>
      <c r="AB519" t="s">
        <v>9</v>
      </c>
      <c r="AC519" t="s">
        <v>9</v>
      </c>
      <c r="AD519" t="s">
        <v>9</v>
      </c>
      <c r="AE519" t="s">
        <v>9</v>
      </c>
      <c r="AF519" t="s">
        <v>9</v>
      </c>
      <c r="AG519" t="s">
        <v>9</v>
      </c>
      <c r="AH519" t="s">
        <v>12734</v>
      </c>
      <c r="AI519" t="s">
        <v>9</v>
      </c>
      <c r="AJ519" t="s">
        <v>9</v>
      </c>
      <c r="AK519" s="5" t="s">
        <v>12735</v>
      </c>
      <c r="AL519" t="s">
        <v>9</v>
      </c>
      <c r="AM519" t="s">
        <v>9</v>
      </c>
      <c r="AN519">
        <v>0.621</v>
      </c>
      <c r="AO519" t="s">
        <v>9</v>
      </c>
      <c r="AP519" t="s">
        <v>9</v>
      </c>
      <c r="AQ519" t="s">
        <v>9</v>
      </c>
      <c r="AR519" t="s">
        <v>9</v>
      </c>
      <c r="AS519" t="s">
        <v>9</v>
      </c>
      <c r="AT519" t="s">
        <v>9</v>
      </c>
      <c r="AU519" t="s">
        <v>9</v>
      </c>
      <c r="AV519" t="s">
        <v>9</v>
      </c>
      <c r="AW519" t="s">
        <v>9</v>
      </c>
      <c r="AX519" t="s">
        <v>9</v>
      </c>
      <c r="AY519" t="s">
        <v>9</v>
      </c>
      <c r="AZ519" t="s">
        <v>9</v>
      </c>
      <c r="BA519" t="s">
        <v>9</v>
      </c>
      <c r="BB519" t="s">
        <v>9</v>
      </c>
      <c r="BC519" t="s">
        <v>9</v>
      </c>
      <c r="BD519" t="s">
        <v>9</v>
      </c>
      <c r="BE519" t="s">
        <v>9</v>
      </c>
      <c r="BF519" t="s">
        <v>9</v>
      </c>
      <c r="BG519" t="s">
        <v>9</v>
      </c>
      <c r="BH519" t="s">
        <v>9</v>
      </c>
      <c r="BI519" t="s">
        <v>9</v>
      </c>
      <c r="BJ519" t="s">
        <v>9</v>
      </c>
      <c r="BK519" t="s">
        <v>9</v>
      </c>
      <c r="BL519" t="s">
        <v>9</v>
      </c>
      <c r="BM519" t="s">
        <v>9</v>
      </c>
      <c r="BN519" t="s">
        <v>9</v>
      </c>
      <c r="BO519" t="s">
        <v>9</v>
      </c>
      <c r="BP519" t="s">
        <v>9</v>
      </c>
      <c r="BQ519" t="s">
        <v>9</v>
      </c>
      <c r="BR519" t="s">
        <v>9</v>
      </c>
      <c r="BS519" t="s">
        <v>9</v>
      </c>
      <c r="BT519" t="s">
        <v>9</v>
      </c>
      <c r="BU519" t="s">
        <v>9</v>
      </c>
      <c r="BV519" t="s">
        <v>9</v>
      </c>
      <c r="BW519" t="s">
        <v>9</v>
      </c>
      <c r="BX519" t="s">
        <v>9</v>
      </c>
      <c r="BY519" t="s">
        <v>9</v>
      </c>
      <c r="BZ519" t="s">
        <v>9</v>
      </c>
      <c r="CA519" t="s">
        <v>9</v>
      </c>
      <c r="CB519">
        <v>2.27</v>
      </c>
      <c r="CC519" s="8">
        <v>-13.77</v>
      </c>
      <c r="CD519" s="10" t="s">
        <v>12736</v>
      </c>
      <c r="CE519" s="8" t="s">
        <v>12737</v>
      </c>
      <c r="CF519" s="8" t="s">
        <v>9</v>
      </c>
      <c r="CG519" s="8">
        <v>4.0490000000000004</v>
      </c>
      <c r="CH519" s="8" t="s">
        <v>9</v>
      </c>
      <c r="CI519" s="8" t="s">
        <v>9</v>
      </c>
      <c r="CJ519" s="9" t="s">
        <v>9</v>
      </c>
      <c r="CK519" s="9" t="s">
        <v>9</v>
      </c>
      <c r="CL519" s="9" t="s">
        <v>9</v>
      </c>
      <c r="CM519" s="9" t="s">
        <v>9</v>
      </c>
      <c r="CN519" s="9" t="s">
        <v>9</v>
      </c>
      <c r="CO519" t="s">
        <v>9</v>
      </c>
      <c r="CP519" t="s">
        <v>9</v>
      </c>
      <c r="CQ519" t="s">
        <v>9</v>
      </c>
      <c r="CR519" s="8">
        <v>-21.662474099655658</v>
      </c>
      <c r="CS519" s="9">
        <v>-2.4343387692742913</v>
      </c>
      <c r="CT519">
        <v>0</v>
      </c>
      <c r="CU519">
        <v>8.898709733039141E-2</v>
      </c>
      <c r="CV519">
        <v>0.14464827477931977</v>
      </c>
      <c r="CW519">
        <v>0.06</v>
      </c>
      <c r="CX519" t="e">
        <v>#DIV/0!</v>
      </c>
      <c r="CY519">
        <v>0</v>
      </c>
      <c r="CZ519">
        <v>8.898709733039141E-2</v>
      </c>
      <c r="DA519" t="e">
        <v>#DIV/0!</v>
      </c>
      <c r="DB519">
        <v>0</v>
      </c>
      <c r="DC519">
        <v>8.4537742463871829E-2</v>
      </c>
      <c r="DD519" t="e">
        <v>#DIV/0!</v>
      </c>
      <c r="DE519">
        <v>0</v>
      </c>
      <c r="DF519">
        <v>7.8308645650744441E-2</v>
      </c>
      <c r="DG519" t="e">
        <v>#DIV/0!</v>
      </c>
      <c r="DH519">
        <v>0</v>
      </c>
      <c r="DI519">
        <v>7.1189677864313128E-2</v>
      </c>
      <c r="DJ519" t="e">
        <v>#DIV/0!</v>
      </c>
      <c r="DK519">
        <v>0</v>
      </c>
      <c r="DL519">
        <v>6.229096813127398E-2</v>
      </c>
      <c r="DM519">
        <v>0</v>
      </c>
      <c r="DN519">
        <v>8.898709733039141E-2</v>
      </c>
      <c r="DO519">
        <v>18257501000</v>
      </c>
      <c r="DP519" t="e">
        <v>#VALUE!</v>
      </c>
      <c r="DQ519">
        <v>519</v>
      </c>
      <c r="DR519" t="e">
        <v>#VALUE!</v>
      </c>
      <c r="DS519">
        <v>3.9043517252206805</v>
      </c>
      <c r="DT519" t="e">
        <v>#VALUE!</v>
      </c>
      <c r="DU519" t="e">
        <v>#VALUE!</v>
      </c>
      <c r="DV519" t="e">
        <v>#VALUE!</v>
      </c>
      <c r="DW519">
        <v>-2.1377000000000002</v>
      </c>
      <c r="DX519">
        <v>0.62686045856533812</v>
      </c>
      <c r="DY519">
        <v>-2.0133376851444469</v>
      </c>
      <c r="DZ519">
        <v>0</v>
      </c>
      <c r="EA519">
        <v>-2.0133376851444469</v>
      </c>
      <c r="EB519">
        <v>2</v>
      </c>
      <c r="EC519">
        <v>8.4350261329937185E-3</v>
      </c>
      <c r="ED519">
        <v>8.70843044363874E-2</v>
      </c>
      <c r="EE519">
        <v>0</v>
      </c>
      <c r="EF519">
        <v>0</v>
      </c>
      <c r="EG519">
        <v>53.096860458565338</v>
      </c>
      <c r="EH519" t="s">
        <v>110</v>
      </c>
      <c r="EI519">
        <v>0</v>
      </c>
      <c r="EJ519">
        <v>0</v>
      </c>
      <c r="EK519">
        <v>0</v>
      </c>
      <c r="EL519">
        <v>0</v>
      </c>
      <c r="EM519">
        <v>0</v>
      </c>
      <c r="EN519">
        <v>0</v>
      </c>
      <c r="EO519">
        <v>0</v>
      </c>
      <c r="EP519">
        <v>0</v>
      </c>
    </row>
    <row r="520" spans="1:146" ht="108" x14ac:dyDescent="0.25">
      <c r="A520" s="7"/>
      <c r="B520" s="7"/>
      <c r="C520" s="7" t="str">
        <f>""&amp;CHAR(10)&amp;Basic_Fundamental_Information_Constructure(F520)&amp;CHAR(10)&amp;Basic_Fundamental_Information_Concatenate("")</f>
        <v xml:space="preserve">
市值384.04585亿, 利润79.79亿; PE; 平均PE21.6; 平均PEG1.09, PB.745; ROIC31.3%; ROE28.9467%; 股利率0%; 毛利84.975%; 净利70.18%; 上一年度营收增-2.15%, 利润增78.58%; 当季营收增-56.82%, 利润增-175.4%; 过往5年营收增19.81%, 利润增8.65%
Income profile:
</v>
      </c>
      <c r="D520" s="11">
        <v>9696</v>
      </c>
      <c r="E520" t="s">
        <v>6168</v>
      </c>
      <c r="F520">
        <v>23.4</v>
      </c>
      <c r="G520" s="5">
        <v>-6.4000000000000001E-2</v>
      </c>
      <c r="H520" t="s">
        <v>12738</v>
      </c>
      <c r="I520">
        <v>38404585000</v>
      </c>
      <c r="K520">
        <v>0.745</v>
      </c>
      <c r="L520" t="s">
        <v>6350</v>
      </c>
      <c r="M520" t="s">
        <v>12739</v>
      </c>
      <c r="N520" t="s">
        <v>12740</v>
      </c>
      <c r="O520" t="s">
        <v>481</v>
      </c>
      <c r="P520">
        <v>-77.42</v>
      </c>
      <c r="Q520" t="s">
        <v>12741</v>
      </c>
      <c r="R520">
        <v>7978519600</v>
      </c>
      <c r="S520" s="5">
        <v>-1.754</v>
      </c>
      <c r="T520" t="s">
        <v>12742</v>
      </c>
      <c r="U520">
        <v>164122200</v>
      </c>
      <c r="V520">
        <v>1641221600</v>
      </c>
      <c r="W520">
        <v>1.46</v>
      </c>
      <c r="X520">
        <v>0.04</v>
      </c>
      <c r="Y520">
        <v>-19.97</v>
      </c>
      <c r="Z520" t="s">
        <v>8594</v>
      </c>
      <c r="AA520" t="s">
        <v>739</v>
      </c>
      <c r="AB520" t="s">
        <v>12743</v>
      </c>
      <c r="AC520" t="s">
        <v>141</v>
      </c>
      <c r="AD520" t="s">
        <v>12744</v>
      </c>
      <c r="AE520" t="s">
        <v>736</v>
      </c>
      <c r="AF520" t="s">
        <v>9</v>
      </c>
      <c r="AG520" t="s">
        <v>12745</v>
      </c>
      <c r="AH520" t="s">
        <v>12746</v>
      </c>
      <c r="AI520" t="s">
        <v>12747</v>
      </c>
      <c r="AJ520" t="s">
        <v>231</v>
      </c>
      <c r="AK520" t="s">
        <v>12748</v>
      </c>
      <c r="AL520" t="s">
        <v>9</v>
      </c>
      <c r="AM520" t="s">
        <v>12749</v>
      </c>
      <c r="AN520" s="5">
        <v>0.24479999999999999</v>
      </c>
      <c r="AO520" t="s">
        <v>909</v>
      </c>
      <c r="AP520" t="s">
        <v>5811</v>
      </c>
      <c r="AQ520" t="s">
        <v>5329</v>
      </c>
      <c r="AR520" t="s">
        <v>4202</v>
      </c>
      <c r="AS520" t="s">
        <v>10092</v>
      </c>
      <c r="AT520" t="s">
        <v>1762</v>
      </c>
      <c r="AU520" t="s">
        <v>12750</v>
      </c>
      <c r="AV520" t="s">
        <v>12751</v>
      </c>
      <c r="AW520" t="s">
        <v>12752</v>
      </c>
      <c r="AX520" t="s">
        <v>6169</v>
      </c>
      <c r="AY520" t="s">
        <v>6171</v>
      </c>
      <c r="AZ520" t="s">
        <v>6172</v>
      </c>
      <c r="BA520" t="s">
        <v>9</v>
      </c>
      <c r="BB520" t="s">
        <v>6173</v>
      </c>
      <c r="BC520" t="s">
        <v>2606</v>
      </c>
      <c r="BD520" t="s">
        <v>12753</v>
      </c>
      <c r="BE520" t="s">
        <v>9</v>
      </c>
      <c r="BF520" t="s">
        <v>9</v>
      </c>
      <c r="BG520" t="s">
        <v>9</v>
      </c>
      <c r="BH520" t="s">
        <v>6169</v>
      </c>
      <c r="BI520" t="s">
        <v>6174</v>
      </c>
      <c r="BJ520" t="s">
        <v>6171</v>
      </c>
      <c r="BK520" t="s">
        <v>3987</v>
      </c>
      <c r="BL520" t="s">
        <v>12754</v>
      </c>
      <c r="BM520" t="s">
        <v>2606</v>
      </c>
      <c r="BN520">
        <v>11.91</v>
      </c>
      <c r="BO520">
        <v>50.69</v>
      </c>
      <c r="BP520" t="s">
        <v>9</v>
      </c>
      <c r="BQ520">
        <v>13.68</v>
      </c>
      <c r="BR520">
        <v>47.74</v>
      </c>
      <c r="BS520">
        <v>25.42</v>
      </c>
      <c r="BT520" t="s">
        <v>8242</v>
      </c>
      <c r="BU520" t="s">
        <v>1254</v>
      </c>
      <c r="BV520">
        <v>84.92</v>
      </c>
      <c r="BW520">
        <v>85.03</v>
      </c>
      <c r="BX520" t="s">
        <v>9</v>
      </c>
      <c r="BY520">
        <v>63.4</v>
      </c>
      <c r="BZ520">
        <v>76.959999999999994</v>
      </c>
      <c r="CA520" t="s">
        <v>9</v>
      </c>
      <c r="CB520">
        <v>-6.4</v>
      </c>
      <c r="CC520">
        <v>-24.07</v>
      </c>
      <c r="CD520" t="s">
        <v>12755</v>
      </c>
      <c r="CE520" t="s">
        <v>12756</v>
      </c>
      <c r="CF520" s="8">
        <v>-0.56818535220027988</v>
      </c>
      <c r="CG520" s="9">
        <v>-1.754</v>
      </c>
      <c r="CH520" s="8">
        <v>-2.1538101136684418E-2</v>
      </c>
      <c r="CI520" s="8">
        <v>3.8704855442047119</v>
      </c>
      <c r="CJ520" s="8">
        <v>1.427975058555603</v>
      </c>
      <c r="CK520" s="8" t="s">
        <v>9</v>
      </c>
      <c r="CL520" s="8" t="s">
        <v>9</v>
      </c>
      <c r="CM520" s="9">
        <v>0.78581029176712036</v>
      </c>
      <c r="CN520" s="9">
        <v>3.0476624965667725</v>
      </c>
      <c r="CO520" s="9" t="s">
        <v>9</v>
      </c>
      <c r="CP520" s="9" t="s">
        <v>9</v>
      </c>
      <c r="CQ520" s="9" t="s">
        <v>9</v>
      </c>
      <c r="CR520">
        <v>21.603929308081753</v>
      </c>
      <c r="CS520">
        <v>1.0907464341918487</v>
      </c>
      <c r="CT520">
        <v>0</v>
      </c>
      <c r="CU520" s="8">
        <v>0.19806555062532424</v>
      </c>
      <c r="CV520" s="9">
        <v>8.6511871218681341E-2</v>
      </c>
      <c r="CW520">
        <v>0.06</v>
      </c>
      <c r="CX520" t="s">
        <v>6351</v>
      </c>
      <c r="CY520">
        <v>9018268894.7542095</v>
      </c>
      <c r="CZ520">
        <v>0.19806555062532424</v>
      </c>
      <c r="DA520" t="s">
        <v>6351</v>
      </c>
      <c r="DB520">
        <v>30206013588.067646</v>
      </c>
      <c r="DC520">
        <v>0.18816227309405803</v>
      </c>
      <c r="DD520" t="s">
        <v>6351</v>
      </c>
      <c r="DE520">
        <v>69562126233.945587</v>
      </c>
      <c r="DF520">
        <v>0.17429768455028533</v>
      </c>
      <c r="DG520" t="s">
        <v>6351</v>
      </c>
      <c r="DH520">
        <v>134318335031.59181</v>
      </c>
      <c r="DI520">
        <v>0.15845244050025942</v>
      </c>
      <c r="DJ520" t="s">
        <v>6351</v>
      </c>
      <c r="DK520">
        <v>367890980567.87567</v>
      </c>
      <c r="DL520">
        <v>0.13864588543772696</v>
      </c>
      <c r="DM520">
        <v>7979000000.000001</v>
      </c>
      <c r="DN520">
        <v>0.19806555062532424</v>
      </c>
      <c r="DO520">
        <v>-103415000</v>
      </c>
      <c r="DP520" t="e">
        <v>#VALUE!</v>
      </c>
      <c r="DQ520">
        <v>520</v>
      </c>
      <c r="DR520">
        <v>-0.76625090282560415</v>
      </c>
      <c r="DS520">
        <v>-1.8405118712186814</v>
      </c>
      <c r="DT520">
        <v>0.12666666666666662</v>
      </c>
      <c r="DU520">
        <v>0.96666666666666667</v>
      </c>
      <c r="DV520">
        <v>1.0933333333333333</v>
      </c>
      <c r="DW520">
        <v>-9.2658911508101376</v>
      </c>
      <c r="DX520">
        <v>0.53693004336710981</v>
      </c>
      <c r="DY520">
        <v>-9.0869278054652884</v>
      </c>
      <c r="DZ520">
        <v>0</v>
      </c>
      <c r="EA520">
        <v>-9.0869278054652884</v>
      </c>
      <c r="EB520">
        <v>9</v>
      </c>
      <c r="EC520">
        <v>9.6230149542267784E-3</v>
      </c>
      <c r="ED520">
        <v>2.9434477342974281E-2</v>
      </c>
      <c r="EE520">
        <v>0</v>
      </c>
      <c r="EF520">
        <v>0</v>
      </c>
      <c r="EG520">
        <v>21.32693004336711</v>
      </c>
      <c r="EH520" t="s">
        <v>110</v>
      </c>
      <c r="EI520">
        <v>0</v>
      </c>
      <c r="EJ520">
        <v>0</v>
      </c>
      <c r="EK520">
        <v>0</v>
      </c>
      <c r="EL520">
        <v>0</v>
      </c>
      <c r="EM520">
        <v>0</v>
      </c>
      <c r="EN520">
        <v>0</v>
      </c>
      <c r="EO520">
        <v>0</v>
      </c>
      <c r="EP520">
        <v>0</v>
      </c>
    </row>
    <row r="521" spans="1:146" ht="96" x14ac:dyDescent="0.25">
      <c r="A521" s="7"/>
      <c r="B521" s="7"/>
      <c r="C521" s="7" t="str">
        <f>""&amp;CHAR(10)&amp;Basic_Fundamental_Information_Constructure(F521)&amp;CHAR(10)&amp;Basic_Fundamental_Information_Concatenate("")</f>
        <v xml:space="preserve">
市值22.636814亿, 利润2.34亿; PE9.67; 平均PE.66; 平均PEG.08, PB.802; ROIC-64.24%; ROE-8.9767%; 股利率0%; 毛利39.365%; 净利-29.725%; 上一年度营收增24.79%, 利润增213.72%, 利润增128.4%; 过往5年营收增8.69%, 利润增24.6%
Income profile:
</v>
      </c>
      <c r="D521" s="11">
        <v>9857</v>
      </c>
      <c r="E521" t="s">
        <v>6175</v>
      </c>
      <c r="F521">
        <v>6.28</v>
      </c>
      <c r="G521" s="5">
        <v>-6.6900000000000001E-2</v>
      </c>
      <c r="H521" t="s">
        <v>12757</v>
      </c>
      <c r="I521">
        <v>2263681400</v>
      </c>
      <c r="J521">
        <v>9.67</v>
      </c>
      <c r="K521">
        <v>0.80200000000000005</v>
      </c>
      <c r="L521" t="s">
        <v>6350</v>
      </c>
      <c r="M521" t="s">
        <v>9</v>
      </c>
      <c r="N521" t="s">
        <v>9</v>
      </c>
      <c r="O521" t="s">
        <v>9</v>
      </c>
      <c r="P521" t="s">
        <v>9</v>
      </c>
      <c r="Q521" t="s">
        <v>8594</v>
      </c>
      <c r="R521">
        <v>234179010</v>
      </c>
      <c r="S521" s="6">
        <v>1.284</v>
      </c>
      <c r="T521" t="s">
        <v>2263</v>
      </c>
      <c r="U521">
        <v>360458830</v>
      </c>
      <c r="V521">
        <v>360458830</v>
      </c>
      <c r="W521" t="s">
        <v>9</v>
      </c>
      <c r="X521" t="s">
        <v>9</v>
      </c>
      <c r="Y521" t="s">
        <v>9</v>
      </c>
      <c r="Z521" t="s">
        <v>9</v>
      </c>
      <c r="AA521" t="s">
        <v>9</v>
      </c>
      <c r="AB521" t="s">
        <v>9</v>
      </c>
      <c r="AC521" t="s">
        <v>9</v>
      </c>
      <c r="AD521" t="s">
        <v>9</v>
      </c>
      <c r="AE521" t="s">
        <v>9</v>
      </c>
      <c r="AF521" t="s">
        <v>9</v>
      </c>
      <c r="AG521" t="s">
        <v>9</v>
      </c>
      <c r="AH521" t="s">
        <v>12758</v>
      </c>
      <c r="AI521" t="s">
        <v>9</v>
      </c>
      <c r="AJ521" t="s">
        <v>9</v>
      </c>
      <c r="AK521" t="s">
        <v>12759</v>
      </c>
      <c r="AL521" t="s">
        <v>9</v>
      </c>
      <c r="AM521" t="s">
        <v>9</v>
      </c>
      <c r="AN521" s="5">
        <v>0.27829999999999999</v>
      </c>
      <c r="AO521" t="s">
        <v>9</v>
      </c>
      <c r="AP521" t="s">
        <v>12760</v>
      </c>
      <c r="AQ521" t="s">
        <v>9</v>
      </c>
      <c r="AR521" t="s">
        <v>5615</v>
      </c>
      <c r="AS521" t="s">
        <v>9</v>
      </c>
      <c r="AT521" t="s">
        <v>9</v>
      </c>
      <c r="AU521" t="s">
        <v>114</v>
      </c>
      <c r="AV521" t="s">
        <v>12761</v>
      </c>
      <c r="AW521" t="s">
        <v>9</v>
      </c>
      <c r="AX521" t="s">
        <v>5794</v>
      </c>
      <c r="AY521" t="s">
        <v>6177</v>
      </c>
      <c r="AZ521" t="s">
        <v>1259</v>
      </c>
      <c r="BA521" t="s">
        <v>6178</v>
      </c>
      <c r="BB521" t="s">
        <v>9</v>
      </c>
      <c r="BC521" t="s">
        <v>12762</v>
      </c>
      <c r="BD521" t="s">
        <v>12763</v>
      </c>
      <c r="BE521" t="s">
        <v>9</v>
      </c>
      <c r="BF521" t="s">
        <v>9</v>
      </c>
      <c r="BG521" t="s">
        <v>9</v>
      </c>
      <c r="BH521" t="s">
        <v>5794</v>
      </c>
      <c r="BI521" t="s">
        <v>193</v>
      </c>
      <c r="BJ521" t="s">
        <v>6177</v>
      </c>
      <c r="BK521" t="s">
        <v>6176</v>
      </c>
      <c r="BL521" t="s">
        <v>6179</v>
      </c>
      <c r="BM521" t="s">
        <v>12762</v>
      </c>
      <c r="BN521">
        <v>8.61</v>
      </c>
      <c r="BO521">
        <v>-137.09</v>
      </c>
      <c r="BP521" t="s">
        <v>9</v>
      </c>
      <c r="BQ521">
        <v>8.3000000000000007</v>
      </c>
      <c r="BR521">
        <v>-30.62</v>
      </c>
      <c r="BS521">
        <v>-4.6100000000000003</v>
      </c>
      <c r="BT521" t="s">
        <v>9</v>
      </c>
      <c r="BU521" t="s">
        <v>743</v>
      </c>
      <c r="BV521">
        <v>39.42</v>
      </c>
      <c r="BW521">
        <v>39.31</v>
      </c>
      <c r="BX521" t="s">
        <v>9</v>
      </c>
      <c r="BY521">
        <v>17.489999999999998</v>
      </c>
      <c r="BZ521">
        <v>-76.94</v>
      </c>
      <c r="CA521" t="s">
        <v>9</v>
      </c>
      <c r="CB521">
        <v>-7.37</v>
      </c>
      <c r="CC521">
        <v>-31.59</v>
      </c>
      <c r="CD521" t="s">
        <v>12764</v>
      </c>
      <c r="CE521" t="s">
        <v>12765</v>
      </c>
      <c r="CF521" s="8" t="s">
        <v>9</v>
      </c>
      <c r="CG521" s="9">
        <v>1.284</v>
      </c>
      <c r="CH521" s="8">
        <v>0.24790313839912415</v>
      </c>
      <c r="CI521" s="8">
        <v>-0.29823410511016846</v>
      </c>
      <c r="CJ521" s="8">
        <v>-0.10058826953172684</v>
      </c>
      <c r="CK521" s="8">
        <v>-7.0530310273170471E-2</v>
      </c>
      <c r="CL521" s="8" t="s">
        <v>9</v>
      </c>
      <c r="CM521" s="9">
        <v>2.1372339725494385</v>
      </c>
      <c r="CN521" s="9">
        <v>0.24833682179450989</v>
      </c>
      <c r="CO521" s="9" t="s">
        <v>9</v>
      </c>
      <c r="CP521" s="9" t="s">
        <v>9</v>
      </c>
      <c r="CQ521" s="9" t="s">
        <v>9</v>
      </c>
      <c r="CR521">
        <v>0.6609932061514503</v>
      </c>
      <c r="CS521">
        <v>7.6104354903912763E-2</v>
      </c>
      <c r="CT521">
        <v>0</v>
      </c>
      <c r="CU521" s="8">
        <v>8.6853532493114477E-2</v>
      </c>
      <c r="CV521" s="9">
        <v>0.24595952779054642</v>
      </c>
      <c r="CW521">
        <v>0.06</v>
      </c>
      <c r="CX521">
        <v>9.4348345553380533</v>
      </c>
      <c r="CY521">
        <v>239928043.96546111</v>
      </c>
      <c r="CZ521">
        <v>8.6853532493114477E-2</v>
      </c>
      <c r="DA521">
        <v>3.0914446430313278</v>
      </c>
      <c r="DB521">
        <v>732240638.72621655</v>
      </c>
      <c r="DC521">
        <v>8.2510855868458743E-2</v>
      </c>
      <c r="DD521">
        <v>1.527274276042889</v>
      </c>
      <c r="DE521">
        <v>1482170842.2046592</v>
      </c>
      <c r="DF521">
        <v>7.6431108593940741E-2</v>
      </c>
      <c r="DG521">
        <v>0.92083883935909727</v>
      </c>
      <c r="DH521">
        <v>2458281843.949501</v>
      </c>
      <c r="DI521">
        <v>6.9482825994491584E-2</v>
      </c>
      <c r="DJ521">
        <v>0.47988364498501723</v>
      </c>
      <c r="DK521">
        <v>4717146382.5792103</v>
      </c>
      <c r="DL521">
        <v>6.0797472745180131E-2</v>
      </c>
      <c r="DM521">
        <v>234000000</v>
      </c>
      <c r="DN521">
        <v>8.6853532493114477E-2</v>
      </c>
      <c r="DO521">
        <v>2263681400</v>
      </c>
      <c r="DP521" t="e">
        <v>#VALUE!</v>
      </c>
      <c r="DQ521">
        <v>521</v>
      </c>
      <c r="DR521" t="e">
        <v>#VALUE!</v>
      </c>
      <c r="DS521">
        <v>1.0380404722094536</v>
      </c>
      <c r="DT521" t="e">
        <v>#VALUE!</v>
      </c>
      <c r="DU521">
        <v>0.53666666666666674</v>
      </c>
      <c r="DV521" t="e">
        <v>#VALUE!</v>
      </c>
      <c r="DW521">
        <v>-9.2333016777461214</v>
      </c>
      <c r="DX521">
        <v>0.56189507395148919</v>
      </c>
      <c r="DY521">
        <v>-9.0237722917069476</v>
      </c>
      <c r="DZ521">
        <v>0</v>
      </c>
      <c r="EA521">
        <v>-9.0237722917069476</v>
      </c>
      <c r="EB521">
        <v>9</v>
      </c>
      <c r="EC521">
        <v>3.9544044461332795E-3</v>
      </c>
      <c r="ED521">
        <v>3.880859292585509E-2</v>
      </c>
      <c r="EE521">
        <v>0</v>
      </c>
      <c r="EF521">
        <v>0</v>
      </c>
      <c r="EG521">
        <v>46.101895073951489</v>
      </c>
      <c r="EH521" t="s">
        <v>110</v>
      </c>
      <c r="EI521">
        <v>0</v>
      </c>
      <c r="EJ521">
        <v>0</v>
      </c>
      <c r="EK521">
        <v>0</v>
      </c>
      <c r="EL521">
        <v>0</v>
      </c>
      <c r="EM521">
        <v>0</v>
      </c>
      <c r="EN521">
        <v>0</v>
      </c>
      <c r="EO521">
        <v>0</v>
      </c>
      <c r="EP521">
        <v>0</v>
      </c>
    </row>
    <row r="522" spans="1:146" ht="96" x14ac:dyDescent="0.25">
      <c r="A522" s="7"/>
      <c r="B522" s="7"/>
      <c r="C522" s="7" t="str">
        <f>""&amp;CHAR(10)&amp;Basic_Fundamental_Information_Constructure(F522)&amp;CHAR(10)&amp;Basic_Fundamental_Information_Concatenate("")</f>
        <v xml:space="preserve">
市值45.165308亿, 利润-11.51亿; PE; 平均PE.48; 平均PEG.03, PB.348; ROIC1.97%; ROE2.0367%; 毛利6.3467%; 净利2.55%; 上一年度营收增.63%, 利润增-160.32%, 利润增-346%; 过往5年营收增15.37%, 利润增-8.88%
Income profile:
</v>
      </c>
      <c r="D522" s="11">
        <v>9858</v>
      </c>
      <c r="E522" t="s">
        <v>6180</v>
      </c>
      <c r="F522">
        <v>1.19</v>
      </c>
      <c r="G522" s="5">
        <v>-8.3000000000000001E-3</v>
      </c>
      <c r="H522" t="s">
        <v>12766</v>
      </c>
      <c r="I522">
        <v>4516530800</v>
      </c>
      <c r="K522">
        <v>0.34799999999999998</v>
      </c>
      <c r="L522" t="s">
        <v>6350</v>
      </c>
      <c r="M522" t="s">
        <v>9</v>
      </c>
      <c r="N522" t="s">
        <v>9</v>
      </c>
      <c r="O522" t="s">
        <v>9</v>
      </c>
      <c r="P522" t="s">
        <v>9</v>
      </c>
      <c r="Q522" t="s">
        <v>12767</v>
      </c>
      <c r="R522">
        <v>-1150988080</v>
      </c>
      <c r="S522" s="5">
        <v>-3.46</v>
      </c>
      <c r="T522" t="s">
        <v>1909</v>
      </c>
      <c r="U522">
        <v>3795404000</v>
      </c>
      <c r="V522">
        <v>3795404000</v>
      </c>
      <c r="W522" t="s">
        <v>9</v>
      </c>
      <c r="X522" t="s">
        <v>9</v>
      </c>
      <c r="Y522" t="s">
        <v>9</v>
      </c>
      <c r="Z522" t="s">
        <v>9</v>
      </c>
      <c r="AA522" t="s">
        <v>9</v>
      </c>
      <c r="AB522" t="s">
        <v>9</v>
      </c>
      <c r="AC522" t="s">
        <v>9</v>
      </c>
      <c r="AD522" t="s">
        <v>12768</v>
      </c>
      <c r="AE522" t="s">
        <v>9</v>
      </c>
      <c r="AF522" t="s">
        <v>9</v>
      </c>
      <c r="AG522" t="s">
        <v>9</v>
      </c>
      <c r="AH522" t="s">
        <v>12769</v>
      </c>
      <c r="AI522" t="s">
        <v>9</v>
      </c>
      <c r="AJ522" t="s">
        <v>9</v>
      </c>
      <c r="AK522" t="s">
        <v>12770</v>
      </c>
      <c r="AL522" t="s">
        <v>9</v>
      </c>
      <c r="AM522" t="s">
        <v>9</v>
      </c>
      <c r="AN522" s="5">
        <v>0.71650000000000003</v>
      </c>
      <c r="AO522" t="s">
        <v>9</v>
      </c>
      <c r="AP522" t="s">
        <v>480</v>
      </c>
      <c r="AQ522" t="s">
        <v>9</v>
      </c>
      <c r="AR522" t="s">
        <v>12771</v>
      </c>
      <c r="AS522" t="s">
        <v>9</v>
      </c>
      <c r="AT522" t="s">
        <v>9</v>
      </c>
      <c r="AU522" t="s">
        <v>10080</v>
      </c>
      <c r="AV522" t="s">
        <v>12772</v>
      </c>
      <c r="AW522" t="s">
        <v>9</v>
      </c>
      <c r="AX522" t="s">
        <v>6181</v>
      </c>
      <c r="AY522" t="s">
        <v>6182</v>
      </c>
      <c r="AZ522" t="s">
        <v>6183</v>
      </c>
      <c r="BA522" t="s">
        <v>6184</v>
      </c>
      <c r="BB522" t="s">
        <v>4132</v>
      </c>
      <c r="BC522" t="s">
        <v>3165</v>
      </c>
      <c r="BD522" t="s">
        <v>127</v>
      </c>
      <c r="BE522" t="s">
        <v>9</v>
      </c>
      <c r="BF522" t="s">
        <v>9</v>
      </c>
      <c r="BG522" t="s">
        <v>9</v>
      </c>
      <c r="BH522" t="s">
        <v>6181</v>
      </c>
      <c r="BI522" t="s">
        <v>9</v>
      </c>
      <c r="BJ522" t="s">
        <v>6182</v>
      </c>
      <c r="BK522" t="s">
        <v>3169</v>
      </c>
      <c r="BL522" t="s">
        <v>9</v>
      </c>
      <c r="BM522" t="s">
        <v>3165</v>
      </c>
      <c r="BN522">
        <v>-2.88</v>
      </c>
      <c r="BO522">
        <v>1.39</v>
      </c>
      <c r="BP522">
        <v>7.4</v>
      </c>
      <c r="BQ522">
        <v>-8.8800000000000008</v>
      </c>
      <c r="BR522">
        <v>3.17</v>
      </c>
      <c r="BS522">
        <v>11.82</v>
      </c>
      <c r="BT522" t="s">
        <v>6185</v>
      </c>
      <c r="BU522" t="s">
        <v>759</v>
      </c>
      <c r="BV522">
        <v>6.39</v>
      </c>
      <c r="BW522">
        <v>6.05</v>
      </c>
      <c r="BX522">
        <v>6.6</v>
      </c>
      <c r="BY522">
        <v>-7.77</v>
      </c>
      <c r="BZ522">
        <v>2.25</v>
      </c>
      <c r="CA522">
        <v>13.17</v>
      </c>
      <c r="CB522">
        <v>0</v>
      </c>
      <c r="CC522">
        <v>-12.5</v>
      </c>
      <c r="CD522" t="s">
        <v>12773</v>
      </c>
      <c r="CE522" t="s">
        <v>378</v>
      </c>
      <c r="CF522" s="8" t="s">
        <v>9</v>
      </c>
      <c r="CG522" s="9">
        <v>-3.46</v>
      </c>
      <c r="CH522" s="8">
        <v>6.3349911943078041E-3</v>
      </c>
      <c r="CI522" s="8">
        <v>8.3657056093215942E-2</v>
      </c>
      <c r="CJ522" s="8">
        <v>0.33819964528083801</v>
      </c>
      <c r="CK522" s="8">
        <v>0.94703269004821777</v>
      </c>
      <c r="CL522" s="8">
        <v>0.18152035772800446</v>
      </c>
      <c r="CM522" s="9">
        <v>-1.6032495498657227</v>
      </c>
      <c r="CN522" s="9">
        <v>0.1939924955368042</v>
      </c>
      <c r="CO522" s="9" t="s">
        <v>9</v>
      </c>
      <c r="CP522" s="9" t="s">
        <v>9</v>
      </c>
      <c r="CQ522" s="9" t="s">
        <v>9</v>
      </c>
      <c r="CR522">
        <v>0.47533256389117884</v>
      </c>
      <c r="CS522">
        <v>3.0932026275728278E-2</v>
      </c>
      <c r="CT522" t="e">
        <v>#VALUE!</v>
      </c>
      <c r="CU522" s="8">
        <v>0.15367003753781319</v>
      </c>
      <c r="CV522" s="9">
        <v>-8.8838866353034979E-2</v>
      </c>
      <c r="CW522">
        <v>0.06</v>
      </c>
      <c r="CX522" t="e">
        <v>#VALUE!</v>
      </c>
      <c r="CY522" t="s">
        <v>109</v>
      </c>
      <c r="CZ522">
        <v>0.15367003753781319</v>
      </c>
      <c r="DA522" t="e">
        <v>#VALUE!</v>
      </c>
      <c r="DB522" t="s">
        <v>108</v>
      </c>
      <c r="DC522">
        <v>0.14598653566092254</v>
      </c>
      <c r="DD522" t="e">
        <v>#VALUE!</v>
      </c>
      <c r="DE522" t="s">
        <v>108</v>
      </c>
      <c r="DF522">
        <v>0.13522963303327562</v>
      </c>
      <c r="DG522" t="e">
        <v>#VALUE!</v>
      </c>
      <c r="DH522" t="s">
        <v>108</v>
      </c>
      <c r="DI522">
        <v>0.12293603003025055</v>
      </c>
      <c r="DJ522" t="e">
        <v>#VALUE!</v>
      </c>
      <c r="DK522" t="s">
        <v>108</v>
      </c>
      <c r="DL522">
        <v>0.10756902627646923</v>
      </c>
      <c r="DM522">
        <v>-1151000000</v>
      </c>
      <c r="DN522">
        <v>0.15367003753781319</v>
      </c>
      <c r="DO522">
        <v>4516530800</v>
      </c>
      <c r="DP522" t="e">
        <v>#VALUE!</v>
      </c>
      <c r="DQ522">
        <v>522</v>
      </c>
      <c r="DR522" t="e">
        <v>#VALUE!</v>
      </c>
      <c r="DS522">
        <v>-3.3711611336469649</v>
      </c>
      <c r="DT522" t="e">
        <v>#VALUE!</v>
      </c>
      <c r="DU522" t="e">
        <v>#VALUE!</v>
      </c>
      <c r="DV522" t="e">
        <v>#VALUE!</v>
      </c>
      <c r="DW522">
        <v>-2.125</v>
      </c>
      <c r="DX522">
        <v>0.42955303030302872</v>
      </c>
      <c r="DY522">
        <v>-2.0074441287878786</v>
      </c>
      <c r="DZ522">
        <v>0</v>
      </c>
      <c r="EA522">
        <v>-2.0074441287878786</v>
      </c>
      <c r="EB522">
        <v>2</v>
      </c>
      <c r="EC522">
        <v>2.0711892594306165E-3</v>
      </c>
      <c r="ED522">
        <v>3.4778906277171021E-2</v>
      </c>
      <c r="EE522">
        <v>0</v>
      </c>
      <c r="EF522">
        <v>0</v>
      </c>
      <c r="EG522">
        <v>37.059553030303029</v>
      </c>
      <c r="EH522" t="s">
        <v>110</v>
      </c>
      <c r="EI522">
        <v>0</v>
      </c>
      <c r="EJ522">
        <v>0</v>
      </c>
      <c r="EK522">
        <v>0</v>
      </c>
      <c r="EL522">
        <v>0</v>
      </c>
      <c r="EM522">
        <v>0</v>
      </c>
      <c r="EN522">
        <v>0</v>
      </c>
      <c r="EO522">
        <v>0</v>
      </c>
      <c r="EP522">
        <v>0</v>
      </c>
    </row>
    <row r="523" spans="1:146" ht="84" x14ac:dyDescent="0.25">
      <c r="C523" s="7" t="str">
        <f>""&amp;CHAR(10)&amp;Basic_Fundamental_Information_Constructure(F523)&amp;CHAR(10)&amp;Basic_Fundamental_Information_Concatenate("")</f>
        <v xml:space="preserve">
市值72.510942亿, 利润--; PE28.16; 平均PE2.16; 平均PEG.16, PB3.87; ROIC0%; ROE0%; 股利率0%; 毛利0%; 净利0%, 利润增-66.47%; 过往5年营收增13.84%, 利润增2.99%
Income profile:
</v>
      </c>
      <c r="D523" s="11">
        <v>9860</v>
      </c>
      <c r="E523" t="s">
        <v>6386</v>
      </c>
      <c r="F523">
        <v>9.9700000000000006</v>
      </c>
      <c r="G523">
        <v>-8.8999999999999999E-3</v>
      </c>
      <c r="H523" t="s">
        <v>7244</v>
      </c>
      <c r="I523">
        <v>7251094200</v>
      </c>
      <c r="J523">
        <v>28.16</v>
      </c>
      <c r="K523">
        <v>3.87</v>
      </c>
      <c r="L523" t="s">
        <v>6350</v>
      </c>
      <c r="M523" t="s">
        <v>9</v>
      </c>
      <c r="N523" t="s">
        <v>9</v>
      </c>
      <c r="O523" t="s">
        <v>9</v>
      </c>
      <c r="P523" s="5" t="s">
        <v>9</v>
      </c>
      <c r="Q523" t="s">
        <v>9</v>
      </c>
      <c r="R523">
        <v>257480940</v>
      </c>
      <c r="S523">
        <v>-0.66469999999999996</v>
      </c>
      <c r="T523" t="s">
        <v>9</v>
      </c>
      <c r="U523">
        <v>727354790</v>
      </c>
      <c r="V523">
        <v>727354790</v>
      </c>
      <c r="W523" t="s">
        <v>9</v>
      </c>
      <c r="X523" t="s">
        <v>9</v>
      </c>
      <c r="Y523" t="s">
        <v>9</v>
      </c>
      <c r="Z523" t="s">
        <v>9</v>
      </c>
      <c r="AA523" t="s">
        <v>9</v>
      </c>
      <c r="AB523" t="s">
        <v>9</v>
      </c>
      <c r="AC523" t="s">
        <v>9</v>
      </c>
      <c r="AD523" t="s">
        <v>9</v>
      </c>
      <c r="AE523" t="s">
        <v>9</v>
      </c>
      <c r="AF523" t="s">
        <v>9</v>
      </c>
      <c r="AG523" t="s">
        <v>9</v>
      </c>
      <c r="AH523" t="s">
        <v>12774</v>
      </c>
      <c r="AI523" t="s">
        <v>9</v>
      </c>
      <c r="AJ523" t="s">
        <v>9</v>
      </c>
      <c r="AK523" s="5" t="s">
        <v>12775</v>
      </c>
      <c r="AL523" t="s">
        <v>9</v>
      </c>
      <c r="AM523" t="s">
        <v>9</v>
      </c>
      <c r="AN523">
        <v>0.59840000000000004</v>
      </c>
      <c r="AO523" t="s">
        <v>9</v>
      </c>
      <c r="AP523" t="s">
        <v>9</v>
      </c>
      <c r="AQ523" t="s">
        <v>9</v>
      </c>
      <c r="AR523" t="s">
        <v>9</v>
      </c>
      <c r="AS523" t="s">
        <v>9</v>
      </c>
      <c r="AT523" t="s">
        <v>9</v>
      </c>
      <c r="AU523" t="s">
        <v>9</v>
      </c>
      <c r="AV523" t="s">
        <v>9</v>
      </c>
      <c r="AW523" t="s">
        <v>9</v>
      </c>
      <c r="AX523" t="s">
        <v>9</v>
      </c>
      <c r="AY523" t="s">
        <v>9</v>
      </c>
      <c r="AZ523" t="s">
        <v>9</v>
      </c>
      <c r="BA523" t="s">
        <v>9</v>
      </c>
      <c r="BB523" t="s">
        <v>9</v>
      </c>
      <c r="BC523" t="s">
        <v>9</v>
      </c>
      <c r="BD523" t="s">
        <v>9</v>
      </c>
      <c r="BE523" t="s">
        <v>9</v>
      </c>
      <c r="BF523" t="s">
        <v>9</v>
      </c>
      <c r="BG523" t="s">
        <v>9</v>
      </c>
      <c r="BH523" t="s">
        <v>9</v>
      </c>
      <c r="BI523" t="s">
        <v>9</v>
      </c>
      <c r="BJ523" t="s">
        <v>9</v>
      </c>
      <c r="BK523" t="s">
        <v>9</v>
      </c>
      <c r="BL523" t="s">
        <v>9</v>
      </c>
      <c r="BM523" t="s">
        <v>9</v>
      </c>
      <c r="BN523" t="s">
        <v>9</v>
      </c>
      <c r="BO523" t="s">
        <v>9</v>
      </c>
      <c r="BP523" t="s">
        <v>9</v>
      </c>
      <c r="BQ523" t="s">
        <v>9</v>
      </c>
      <c r="BR523" t="s">
        <v>9</v>
      </c>
      <c r="BS523" t="s">
        <v>9</v>
      </c>
      <c r="BT523" t="s">
        <v>9</v>
      </c>
      <c r="BU523" t="s">
        <v>9</v>
      </c>
      <c r="BV523" t="s">
        <v>9</v>
      </c>
      <c r="BW523" t="s">
        <v>9</v>
      </c>
      <c r="BX523" t="s">
        <v>9</v>
      </c>
      <c r="BY523" t="s">
        <v>9</v>
      </c>
      <c r="BZ523" t="s">
        <v>9</v>
      </c>
      <c r="CA523" t="s">
        <v>9</v>
      </c>
      <c r="CB523">
        <v>7.32</v>
      </c>
      <c r="CC523" s="8">
        <v>16.2</v>
      </c>
      <c r="CD523" s="10" t="s">
        <v>12776</v>
      </c>
      <c r="CE523" s="8" t="s">
        <v>12777</v>
      </c>
      <c r="CF523" s="8" t="s">
        <v>9</v>
      </c>
      <c r="CG523" s="8">
        <v>-0.66469999999999996</v>
      </c>
      <c r="CH523" s="8" t="s">
        <v>9</v>
      </c>
      <c r="CI523" s="8" t="s">
        <v>9</v>
      </c>
      <c r="CJ523" s="9" t="s">
        <v>9</v>
      </c>
      <c r="CK523" s="9" t="s">
        <v>9</v>
      </c>
      <c r="CL523" s="9" t="s">
        <v>9</v>
      </c>
      <c r="CM523" s="9" t="s">
        <v>9</v>
      </c>
      <c r="CN523" s="9" t="s">
        <v>9</v>
      </c>
      <c r="CO523" t="s">
        <v>9</v>
      </c>
      <c r="CP523" t="s">
        <v>9</v>
      </c>
      <c r="CQ523" t="s">
        <v>9</v>
      </c>
      <c r="CR523" s="8">
        <v>2.1601210081029554</v>
      </c>
      <c r="CS523" s="9">
        <v>0.15611225298851047</v>
      </c>
      <c r="CT523">
        <v>0</v>
      </c>
      <c r="CU523">
        <v>0.13836972862482072</v>
      </c>
      <c r="CV523">
        <v>2.9912191629409789E-2</v>
      </c>
      <c r="CW523">
        <v>0.06</v>
      </c>
      <c r="CX523" t="e">
        <v>#DIV/0!</v>
      </c>
      <c r="CY523">
        <v>0</v>
      </c>
      <c r="CZ523">
        <v>0.13836972862482072</v>
      </c>
      <c r="DA523" t="e">
        <v>#DIV/0!</v>
      </c>
      <c r="DB523">
        <v>0</v>
      </c>
      <c r="DC523">
        <v>0.13145124219357968</v>
      </c>
      <c r="DD523" t="e">
        <v>#DIV/0!</v>
      </c>
      <c r="DE523">
        <v>0</v>
      </c>
      <c r="DF523">
        <v>0.12176536118984223</v>
      </c>
      <c r="DG523" t="e">
        <v>#DIV/0!</v>
      </c>
      <c r="DH523">
        <v>0</v>
      </c>
      <c r="DI523">
        <v>0.11069578289985658</v>
      </c>
      <c r="DJ523" t="e">
        <v>#DIV/0!</v>
      </c>
      <c r="DK523">
        <v>0</v>
      </c>
      <c r="DL523">
        <v>9.6858810037374496E-2</v>
      </c>
      <c r="DM523">
        <v>0</v>
      </c>
      <c r="DN523">
        <v>0.13836972862482072</v>
      </c>
      <c r="DO523">
        <v>7251094200</v>
      </c>
      <c r="DP523" t="e">
        <v>#VALUE!</v>
      </c>
      <c r="DQ523">
        <v>523</v>
      </c>
      <c r="DR523" t="e">
        <v>#VALUE!</v>
      </c>
      <c r="DS523">
        <v>-0.69461219162940979</v>
      </c>
      <c r="DT523" t="e">
        <v>#VALUE!</v>
      </c>
      <c r="DU523" t="e">
        <v>#VALUE!</v>
      </c>
      <c r="DV523" t="e">
        <v>#VALUE!</v>
      </c>
      <c r="DW523">
        <v>9.4518518518518526</v>
      </c>
      <c r="DX523">
        <v>0.93759068857690608</v>
      </c>
      <c r="DY523">
        <v>9.1932076444680835</v>
      </c>
      <c r="DZ523">
        <v>0</v>
      </c>
      <c r="EA523">
        <v>9.1932076444680835</v>
      </c>
      <c r="EB523">
        <v>9</v>
      </c>
      <c r="EC523">
        <v>9.1368065370133894E-3</v>
      </c>
      <c r="ED523">
        <v>2.1368113902157707E-2</v>
      </c>
      <c r="EE523">
        <v>0</v>
      </c>
      <c r="EF523">
        <v>0</v>
      </c>
      <c r="EG523">
        <v>51.427590688576906</v>
      </c>
      <c r="EH523" t="s">
        <v>110</v>
      </c>
      <c r="EI523">
        <v>1</v>
      </c>
      <c r="EJ523">
        <v>0</v>
      </c>
      <c r="EK523">
        <v>0</v>
      </c>
      <c r="EL523">
        <v>0</v>
      </c>
      <c r="EM523">
        <v>0</v>
      </c>
      <c r="EN523">
        <v>0</v>
      </c>
      <c r="EO523">
        <v>0</v>
      </c>
      <c r="EP523">
        <v>0</v>
      </c>
    </row>
    <row r="524" spans="1:146" ht="96" x14ac:dyDescent="0.25">
      <c r="A524" s="7"/>
      <c r="B524" s="7"/>
      <c r="C524" s="7" t="str">
        <f>""&amp;CHAR(10)&amp;Basic_Fundamental_Information_Constructure(F524)&amp;CHAR(10)&amp;Basic_Fundamental_Information_Concatenate("")</f>
        <v xml:space="preserve">
市值351.62208亿, 利润-46.22亿; PE; 平均PE-78.52; 平均PEG-9.27, PB2.57; ROIC-44.99%; ROE-44.9867%; 股利率0%; 毛利-7.475%; 净利-33.215%; 上一年度营收增31.4%, 利润增-32.63%, 利润增19.81%; 过往5年营收增8.47%, 利润增13.27%
Income profile:
</v>
      </c>
      <c r="D524" s="11">
        <v>9863</v>
      </c>
      <c r="E524" t="s">
        <v>6186</v>
      </c>
      <c r="F524">
        <v>26.3</v>
      </c>
      <c r="G524" s="5">
        <v>-2.5899999999999999E-2</v>
      </c>
      <c r="H524" t="s">
        <v>12778</v>
      </c>
      <c r="I524">
        <v>35162208000</v>
      </c>
      <c r="K524">
        <v>2.57</v>
      </c>
      <c r="L524" t="s">
        <v>6350</v>
      </c>
      <c r="M524" t="s">
        <v>9</v>
      </c>
      <c r="N524" t="s">
        <v>9</v>
      </c>
      <c r="O524" t="s">
        <v>9</v>
      </c>
      <c r="P524" t="s">
        <v>9</v>
      </c>
      <c r="Q524" t="s">
        <v>12779</v>
      </c>
      <c r="R524">
        <v>-4621879600</v>
      </c>
      <c r="S524" s="5">
        <v>0.1981</v>
      </c>
      <c r="T524" t="s">
        <v>12780</v>
      </c>
      <c r="U524">
        <v>1116413920</v>
      </c>
      <c r="V524">
        <v>1336966090</v>
      </c>
      <c r="W524" t="s">
        <v>9</v>
      </c>
      <c r="X524" t="s">
        <v>9</v>
      </c>
      <c r="Y524" t="s">
        <v>9</v>
      </c>
      <c r="Z524" t="s">
        <v>9</v>
      </c>
      <c r="AA524" t="s">
        <v>9</v>
      </c>
      <c r="AB524" t="s">
        <v>9</v>
      </c>
      <c r="AC524" t="s">
        <v>9</v>
      </c>
      <c r="AD524" t="s">
        <v>4542</v>
      </c>
      <c r="AE524" t="s">
        <v>9</v>
      </c>
      <c r="AF524" t="s">
        <v>9</v>
      </c>
      <c r="AG524" t="s">
        <v>9</v>
      </c>
      <c r="AH524" t="s">
        <v>12781</v>
      </c>
      <c r="AI524" t="s">
        <v>9</v>
      </c>
      <c r="AJ524" t="s">
        <v>9</v>
      </c>
      <c r="AK524" t="s">
        <v>12782</v>
      </c>
      <c r="AL524" t="s">
        <v>9</v>
      </c>
      <c r="AM524" t="s">
        <v>9</v>
      </c>
      <c r="AN524" s="5">
        <v>0.56069999999999998</v>
      </c>
      <c r="AO524" t="s">
        <v>9</v>
      </c>
      <c r="AP524" t="s">
        <v>3519</v>
      </c>
      <c r="AQ524" t="s">
        <v>9</v>
      </c>
      <c r="AR524" t="s">
        <v>12783</v>
      </c>
      <c r="AS524" t="s">
        <v>9</v>
      </c>
      <c r="AT524" t="s">
        <v>9</v>
      </c>
      <c r="AU524" t="s">
        <v>4706</v>
      </c>
      <c r="AV524" t="s">
        <v>12784</v>
      </c>
      <c r="AW524" t="s">
        <v>9</v>
      </c>
      <c r="AX524" t="s">
        <v>6187</v>
      </c>
      <c r="AY524" t="s">
        <v>2545</v>
      </c>
      <c r="AZ524" t="s">
        <v>3810</v>
      </c>
      <c r="BA524" t="s">
        <v>9</v>
      </c>
      <c r="BB524" t="s">
        <v>9</v>
      </c>
      <c r="BC524" t="s">
        <v>12785</v>
      </c>
      <c r="BD524" t="s">
        <v>12786</v>
      </c>
      <c r="BE524" t="s">
        <v>9</v>
      </c>
      <c r="BF524" t="s">
        <v>9</v>
      </c>
      <c r="BG524" t="s">
        <v>9</v>
      </c>
      <c r="BH524" t="s">
        <v>6187</v>
      </c>
      <c r="BI524" t="s">
        <v>6027</v>
      </c>
      <c r="BJ524" t="s">
        <v>2545</v>
      </c>
      <c r="BK524" t="s">
        <v>6188</v>
      </c>
      <c r="BL524" t="s">
        <v>6189</v>
      </c>
      <c r="BM524" t="s">
        <v>12785</v>
      </c>
      <c r="BN524">
        <v>-33.700000000000003</v>
      </c>
      <c r="BO524">
        <v>-56.28</v>
      </c>
      <c r="BP524" t="s">
        <v>9</v>
      </c>
      <c r="BQ524">
        <v>-33.74</v>
      </c>
      <c r="BR524">
        <v>-61.86</v>
      </c>
      <c r="BS524">
        <v>-39.36</v>
      </c>
      <c r="BT524" t="s">
        <v>9</v>
      </c>
      <c r="BU524" t="s">
        <v>861</v>
      </c>
      <c r="BV524">
        <v>0.48</v>
      </c>
      <c r="BW524">
        <v>-15.43</v>
      </c>
      <c r="BX524" t="s">
        <v>9</v>
      </c>
      <c r="BY524">
        <v>-25.18</v>
      </c>
      <c r="BZ524">
        <v>-41.25</v>
      </c>
      <c r="CA524" t="s">
        <v>9</v>
      </c>
      <c r="CB524">
        <v>-2.59</v>
      </c>
      <c r="CC524">
        <v>-15.71</v>
      </c>
      <c r="CD524" t="s">
        <v>12787</v>
      </c>
      <c r="CE524" t="s">
        <v>116</v>
      </c>
      <c r="CF524" s="8" t="s">
        <v>9</v>
      </c>
      <c r="CG524" s="9">
        <v>0.1981</v>
      </c>
      <c r="CH524" s="8">
        <v>0.31400752067565918</v>
      </c>
      <c r="CI524" s="8">
        <v>2.6430249214172363</v>
      </c>
      <c r="CJ524" s="8">
        <v>4.0997343063354492</v>
      </c>
      <c r="CK524" s="8" t="s">
        <v>9</v>
      </c>
      <c r="CL524" s="8" t="s">
        <v>9</v>
      </c>
      <c r="CM524" s="9">
        <v>-0.3262554407119751</v>
      </c>
      <c r="CN524" s="9">
        <v>-1.6582759618759155</v>
      </c>
      <c r="CO524" s="9" t="s">
        <v>9</v>
      </c>
      <c r="CP524" s="9" t="s">
        <v>9</v>
      </c>
      <c r="CQ524" s="9" t="s">
        <v>9</v>
      </c>
      <c r="CR524">
        <v>-78.516281354670639</v>
      </c>
      <c r="CS524">
        <v>-9.2700783964152098</v>
      </c>
      <c r="CT524">
        <v>0</v>
      </c>
      <c r="CU524" s="8">
        <v>8.4698616340756414E-2</v>
      </c>
      <c r="CV524" s="9">
        <v>0.13271279036998748</v>
      </c>
      <c r="CW524">
        <v>0.06</v>
      </c>
      <c r="CX524" t="e">
        <v>#VALUE!</v>
      </c>
      <c r="CY524" t="s">
        <v>109</v>
      </c>
      <c r="CZ524">
        <v>8.4698616340756414E-2</v>
      </c>
      <c r="DA524" t="e">
        <v>#VALUE!</v>
      </c>
      <c r="DB524" t="s">
        <v>108</v>
      </c>
      <c r="DC524">
        <v>8.0463685523718589E-2</v>
      </c>
      <c r="DD524" t="e">
        <v>#VALUE!</v>
      </c>
      <c r="DE524" t="s">
        <v>108</v>
      </c>
      <c r="DF524">
        <v>7.4534782379865647E-2</v>
      </c>
      <c r="DG524" t="e">
        <v>#VALUE!</v>
      </c>
      <c r="DH524" t="s">
        <v>108</v>
      </c>
      <c r="DI524">
        <v>6.7758893072605131E-2</v>
      </c>
      <c r="DJ524" t="e">
        <v>#VALUE!</v>
      </c>
      <c r="DK524" t="s">
        <v>108</v>
      </c>
      <c r="DL524">
        <v>5.9289031438529483E-2</v>
      </c>
      <c r="DM524">
        <v>-4622000000</v>
      </c>
      <c r="DN524">
        <v>8.4698616340756414E-2</v>
      </c>
      <c r="DO524">
        <v>35162208000</v>
      </c>
      <c r="DP524" t="e">
        <v>#VALUE!</v>
      </c>
      <c r="DQ524">
        <v>524</v>
      </c>
      <c r="DR524" t="e">
        <v>#VALUE!</v>
      </c>
      <c r="DS524">
        <v>6.5387209630012516E-2</v>
      </c>
      <c r="DT524" t="e">
        <v>#VALUE!</v>
      </c>
      <c r="DU524">
        <v>-1.1983333333333335</v>
      </c>
      <c r="DV524" t="e">
        <v>#VALUE!</v>
      </c>
      <c r="DW524">
        <v>-8.1648631444939532</v>
      </c>
      <c r="DX524">
        <v>0.27781016949152704</v>
      </c>
      <c r="DY524">
        <v>-8.0194225549957387</v>
      </c>
      <c r="DZ524">
        <v>0</v>
      </c>
      <c r="EA524">
        <v>-8.0194225549957387</v>
      </c>
      <c r="EB524">
        <v>8</v>
      </c>
      <c r="EC524">
        <v>1.0397870300510014E-2</v>
      </c>
      <c r="ED524">
        <v>8.8259530950407269E-2</v>
      </c>
      <c r="EE524">
        <v>0</v>
      </c>
      <c r="EF524">
        <v>0</v>
      </c>
      <c r="EG524">
        <v>16.117810169491527</v>
      </c>
      <c r="EH524" t="s">
        <v>110</v>
      </c>
      <c r="EI524">
        <v>0</v>
      </c>
      <c r="EJ524">
        <v>0</v>
      </c>
      <c r="EK524">
        <v>0</v>
      </c>
      <c r="EL524">
        <v>0</v>
      </c>
      <c r="EM524">
        <v>0</v>
      </c>
      <c r="EN524">
        <v>0</v>
      </c>
      <c r="EO524">
        <v>0</v>
      </c>
      <c r="EP524">
        <v>0</v>
      </c>
    </row>
    <row r="525" spans="1:146" ht="96" x14ac:dyDescent="0.25">
      <c r="A525" s="7"/>
      <c r="B525" s="7"/>
      <c r="C525" s="7" t="str">
        <f>""&amp;CHAR(10)&amp;Basic_Fundamental_Information_Constructure(F525)&amp;CHAR(10)&amp;Basic_Fundamental_Information_Concatenate("")</f>
        <v xml:space="preserve">
市值579.96497亿, 利润-113.74亿; PE; 平均PE-40.96; 平均PEG-17.69, PB1.53; ROIC-18.4267%; ROE-21.62%; 股利率0%; 毛利8.49%; 净利-30.34%; 上一年度营收增11%, 利润增-91%, 利润增-10.32%; 过往5年营收增2.32%, 利润增-7.06%
Income profile:
</v>
      </c>
      <c r="D525" s="11">
        <v>9868</v>
      </c>
      <c r="E525" t="s">
        <v>6190</v>
      </c>
      <c r="F525">
        <v>30.65</v>
      </c>
      <c r="G525" s="5">
        <v>-1.1299999999999999E-2</v>
      </c>
      <c r="H525" t="s">
        <v>12788</v>
      </c>
      <c r="I525">
        <v>57996497000</v>
      </c>
      <c r="K525">
        <v>1.53</v>
      </c>
      <c r="L525" t="s">
        <v>6350</v>
      </c>
      <c r="M525" t="s">
        <v>9</v>
      </c>
      <c r="N525" t="s">
        <v>9</v>
      </c>
      <c r="O525" t="s">
        <v>9</v>
      </c>
      <c r="P525" t="s">
        <v>9</v>
      </c>
      <c r="Q525" t="s">
        <v>12789</v>
      </c>
      <c r="R525">
        <v>-11373924600</v>
      </c>
      <c r="S525" s="5">
        <v>-0.1032</v>
      </c>
      <c r="T525" t="s">
        <v>12790</v>
      </c>
      <c r="U525">
        <v>1889572300</v>
      </c>
      <c r="V525">
        <v>1889572300</v>
      </c>
      <c r="W525" t="s">
        <v>9</v>
      </c>
      <c r="X525" t="s">
        <v>9</v>
      </c>
      <c r="Y525" t="s">
        <v>9</v>
      </c>
      <c r="Z525" t="s">
        <v>9</v>
      </c>
      <c r="AA525" t="s">
        <v>9</v>
      </c>
      <c r="AB525" t="s">
        <v>9</v>
      </c>
      <c r="AC525" t="s">
        <v>9</v>
      </c>
      <c r="AD525" t="s">
        <v>12791</v>
      </c>
      <c r="AE525" t="s">
        <v>9</v>
      </c>
      <c r="AF525" t="s">
        <v>9</v>
      </c>
      <c r="AG525" t="s">
        <v>9</v>
      </c>
      <c r="AH525" t="s">
        <v>12792</v>
      </c>
      <c r="AI525" t="s">
        <v>9</v>
      </c>
      <c r="AJ525" t="s">
        <v>9</v>
      </c>
      <c r="AK525" t="s">
        <v>12793</v>
      </c>
      <c r="AL525" t="s">
        <v>9</v>
      </c>
      <c r="AM525" t="s">
        <v>9</v>
      </c>
      <c r="AN525" s="5">
        <v>0.56840000000000002</v>
      </c>
      <c r="AO525" t="s">
        <v>9</v>
      </c>
      <c r="AP525" t="s">
        <v>12794</v>
      </c>
      <c r="AQ525" t="s">
        <v>9</v>
      </c>
      <c r="AR525" t="s">
        <v>12795</v>
      </c>
      <c r="AS525" t="s">
        <v>9</v>
      </c>
      <c r="AT525" t="s">
        <v>9</v>
      </c>
      <c r="AU525" t="s">
        <v>12796</v>
      </c>
      <c r="AV525" t="s">
        <v>6282</v>
      </c>
      <c r="AW525" t="s">
        <v>9</v>
      </c>
      <c r="AX525" t="s">
        <v>6191</v>
      </c>
      <c r="AY525" t="s">
        <v>6195</v>
      </c>
      <c r="AZ525" t="s">
        <v>403</v>
      </c>
      <c r="BA525" t="s">
        <v>6196</v>
      </c>
      <c r="BB525" t="s">
        <v>9</v>
      </c>
      <c r="BC525" t="s">
        <v>6197</v>
      </c>
      <c r="BD525" t="s">
        <v>6198</v>
      </c>
      <c r="BE525" t="s">
        <v>9</v>
      </c>
      <c r="BF525" t="s">
        <v>9</v>
      </c>
      <c r="BG525" t="s">
        <v>9</v>
      </c>
      <c r="BH525" t="s">
        <v>6191</v>
      </c>
      <c r="BI525" t="s">
        <v>6199</v>
      </c>
      <c r="BJ525" t="s">
        <v>6195</v>
      </c>
      <c r="BK525" t="s">
        <v>6192</v>
      </c>
      <c r="BL525" t="s">
        <v>479</v>
      </c>
      <c r="BM525" t="s">
        <v>6197</v>
      </c>
      <c r="BN525">
        <v>-22.48</v>
      </c>
      <c r="BO525">
        <v>-20.65</v>
      </c>
      <c r="BP525">
        <v>-12.15</v>
      </c>
      <c r="BQ525">
        <v>-28.56</v>
      </c>
      <c r="BR525">
        <v>-24.76</v>
      </c>
      <c r="BS525">
        <v>-11.54</v>
      </c>
      <c r="BT525" t="s">
        <v>9</v>
      </c>
      <c r="BU525" t="s">
        <v>861</v>
      </c>
      <c r="BV525">
        <v>1.47</v>
      </c>
      <c r="BW525">
        <v>11.5</v>
      </c>
      <c r="BX525">
        <v>12.5</v>
      </c>
      <c r="BY525">
        <v>-33.82</v>
      </c>
      <c r="BZ525">
        <v>-34.03</v>
      </c>
      <c r="CA525">
        <v>-23.17</v>
      </c>
      <c r="CB525">
        <v>4.25</v>
      </c>
      <c r="CC525">
        <v>-0.65</v>
      </c>
      <c r="CD525" t="s">
        <v>12797</v>
      </c>
      <c r="CE525" t="s">
        <v>1383</v>
      </c>
      <c r="CF525" s="8" t="s">
        <v>9</v>
      </c>
      <c r="CG525" s="9">
        <v>-0.1032</v>
      </c>
      <c r="CH525" s="8">
        <v>0.10998521000146866</v>
      </c>
      <c r="CI525" s="8">
        <v>0.17879374325275421</v>
      </c>
      <c r="CJ525" s="8">
        <v>2.6893482208251953</v>
      </c>
      <c r="CK525" s="8">
        <v>629.33306884765625</v>
      </c>
      <c r="CL525" s="8" t="s">
        <v>9</v>
      </c>
      <c r="CM525" s="9">
        <v>-0.90999168157577515</v>
      </c>
      <c r="CN525" s="9">
        <v>-2.1791363134980202E-2</v>
      </c>
      <c r="CO525" s="9" t="s">
        <v>9</v>
      </c>
      <c r="CP525" s="9" t="s">
        <v>9</v>
      </c>
      <c r="CQ525" s="9" t="s">
        <v>9</v>
      </c>
      <c r="CR525">
        <v>-40.962799529134784</v>
      </c>
      <c r="CS525">
        <v>-17.685379571538835</v>
      </c>
      <c r="CT525">
        <v>0</v>
      </c>
      <c r="CU525" s="8">
        <v>2.3161956667900087E-2</v>
      </c>
      <c r="CV525" s="9">
        <v>-7.0577524602413177E-2</v>
      </c>
      <c r="CW525">
        <v>0.06</v>
      </c>
      <c r="CX525" t="e">
        <v>#VALUE!</v>
      </c>
      <c r="CY525" t="s">
        <v>109</v>
      </c>
      <c r="CZ525">
        <v>2.3161956667900087E-2</v>
      </c>
      <c r="DA525" t="e">
        <v>#VALUE!</v>
      </c>
      <c r="DB525" t="s">
        <v>108</v>
      </c>
      <c r="DC525">
        <v>2.2003858834505081E-2</v>
      </c>
      <c r="DD525" t="e">
        <v>#VALUE!</v>
      </c>
      <c r="DE525" t="s">
        <v>108</v>
      </c>
      <c r="DF525">
        <v>2.0382521867752076E-2</v>
      </c>
      <c r="DG525" t="e">
        <v>#VALUE!</v>
      </c>
      <c r="DH525" t="s">
        <v>108</v>
      </c>
      <c r="DI525">
        <v>1.8529565334320069E-2</v>
      </c>
      <c r="DJ525" t="e">
        <v>#VALUE!</v>
      </c>
      <c r="DK525" t="s">
        <v>108</v>
      </c>
      <c r="DL525">
        <v>1.6213369667530061E-2</v>
      </c>
      <c r="DM525">
        <v>-11374000000</v>
      </c>
      <c r="DN525">
        <v>2.3161956667900087E-2</v>
      </c>
      <c r="DO525">
        <v>57996497000</v>
      </c>
      <c r="DP525" t="e">
        <v>#VALUE!</v>
      </c>
      <c r="DQ525">
        <v>525</v>
      </c>
      <c r="DR525" t="e">
        <v>#VALUE!</v>
      </c>
      <c r="DS525">
        <v>-3.2622475397586823E-2</v>
      </c>
      <c r="DT525" t="e">
        <v>#VALUE!</v>
      </c>
      <c r="DU525">
        <v>-1.5316666666666665</v>
      </c>
      <c r="DV525" t="e">
        <v>#VALUE!</v>
      </c>
      <c r="DW525">
        <v>4.1529411764705886</v>
      </c>
      <c r="DX525">
        <v>0.40247567567567527</v>
      </c>
      <c r="DY525">
        <v>4.0172021621621621</v>
      </c>
      <c r="DZ525">
        <v>0</v>
      </c>
      <c r="EA525">
        <v>4.0172021621621621</v>
      </c>
      <c r="EB525">
        <v>4</v>
      </c>
      <c r="EC525">
        <v>2.6428837890987288E-2</v>
      </c>
      <c r="ED525">
        <v>0.23497380862325304</v>
      </c>
      <c r="EE525">
        <v>0</v>
      </c>
      <c r="EF525">
        <v>0</v>
      </c>
      <c r="EG525">
        <v>29.112475675675675</v>
      </c>
      <c r="EH525" t="s">
        <v>110</v>
      </c>
      <c r="EI525">
        <v>0</v>
      </c>
      <c r="EJ525">
        <v>0</v>
      </c>
      <c r="EK525">
        <v>0</v>
      </c>
      <c r="EL525">
        <v>0</v>
      </c>
      <c r="EM525">
        <v>0</v>
      </c>
      <c r="EN525">
        <v>0</v>
      </c>
      <c r="EO525">
        <v>0</v>
      </c>
      <c r="EP525">
        <v>0</v>
      </c>
    </row>
    <row r="526" spans="1:146" ht="96" x14ac:dyDescent="0.25">
      <c r="A526" s="7"/>
      <c r="B526" s="7"/>
      <c r="C526" s="7" t="str">
        <f>""&amp;CHAR(10)&amp;Basic_Fundamental_Information_Constructure(F526)&amp;CHAR(10)&amp;Basic_Fundamental_Information_Concatenate("")</f>
        <v xml:space="preserve">
市值28.852888亿, 利润1.98亿; PE14.58; 平均PE-3.46; 平均PEG-.13, PB1.45; ROIC-24.4367%; ROE-28.6433%; 股利率0%; 毛利67.59%; 净利-33.4267%; 上一年度营收增-24.67%, 利润增170.21%, 利润增111%; 过往5年营收增-26.79%, 利润增-27.93%
Income profile:
</v>
      </c>
      <c r="D526" s="11">
        <v>9869</v>
      </c>
      <c r="E526" t="s">
        <v>6200</v>
      </c>
      <c r="F526">
        <v>2.2799999999999998</v>
      </c>
      <c r="G526" s="5">
        <v>-0.05</v>
      </c>
      <c r="H526" t="s">
        <v>12798</v>
      </c>
      <c r="I526">
        <v>2885288800</v>
      </c>
      <c r="J526">
        <v>14.58</v>
      </c>
      <c r="K526">
        <v>1.45</v>
      </c>
      <c r="L526" t="s">
        <v>6350</v>
      </c>
      <c r="M526" t="s">
        <v>9</v>
      </c>
      <c r="N526" t="s">
        <v>9</v>
      </c>
      <c r="O526" t="s">
        <v>9</v>
      </c>
      <c r="P526" t="s">
        <v>9</v>
      </c>
      <c r="Q526" t="s">
        <v>912</v>
      </c>
      <c r="R526">
        <v>168997500</v>
      </c>
      <c r="S526" s="5">
        <v>1.1100000000000001</v>
      </c>
      <c r="T526" t="s">
        <v>240</v>
      </c>
      <c r="U526">
        <v>1265477520</v>
      </c>
      <c r="V526">
        <v>1265477520</v>
      </c>
      <c r="W526" t="s">
        <v>9</v>
      </c>
      <c r="X526" t="s">
        <v>9</v>
      </c>
      <c r="Y526" t="s">
        <v>9</v>
      </c>
      <c r="Z526" t="s">
        <v>9</v>
      </c>
      <c r="AA526" t="s">
        <v>9</v>
      </c>
      <c r="AB526" t="s">
        <v>9</v>
      </c>
      <c r="AC526" t="s">
        <v>9</v>
      </c>
      <c r="AD526" t="s">
        <v>9</v>
      </c>
      <c r="AE526" t="s">
        <v>9</v>
      </c>
      <c r="AF526" t="s">
        <v>9</v>
      </c>
      <c r="AG526" t="s">
        <v>9</v>
      </c>
      <c r="AH526" t="s">
        <v>12799</v>
      </c>
      <c r="AI526" t="s">
        <v>9</v>
      </c>
      <c r="AJ526" t="s">
        <v>9</v>
      </c>
      <c r="AK526" t="s">
        <v>12800</v>
      </c>
      <c r="AL526" t="s">
        <v>9</v>
      </c>
      <c r="AM526" t="s">
        <v>9</v>
      </c>
      <c r="AN526" s="5">
        <v>0.15870000000000001</v>
      </c>
      <c r="AO526" t="s">
        <v>9</v>
      </c>
      <c r="AP526" t="s">
        <v>12801</v>
      </c>
      <c r="AQ526" t="s">
        <v>9</v>
      </c>
      <c r="AR526" t="s">
        <v>205</v>
      </c>
      <c r="AS526" t="s">
        <v>9</v>
      </c>
      <c r="AT526" t="s">
        <v>9</v>
      </c>
      <c r="AU526" t="s">
        <v>1962</v>
      </c>
      <c r="AV526" t="s">
        <v>1739</v>
      </c>
      <c r="AW526" t="s">
        <v>9</v>
      </c>
      <c r="AX526" t="s">
        <v>3513</v>
      </c>
      <c r="AY526" t="s">
        <v>6202</v>
      </c>
      <c r="AZ526" t="s">
        <v>3340</v>
      </c>
      <c r="BA526" t="s">
        <v>1969</v>
      </c>
      <c r="BB526" t="s">
        <v>9</v>
      </c>
      <c r="BC526" t="s">
        <v>6203</v>
      </c>
      <c r="BD526" t="s">
        <v>6204</v>
      </c>
      <c r="BE526" t="s">
        <v>9</v>
      </c>
      <c r="BF526" t="s">
        <v>9</v>
      </c>
      <c r="BG526" t="s">
        <v>9</v>
      </c>
      <c r="BH526" t="s">
        <v>3513</v>
      </c>
      <c r="BI526" t="s">
        <v>9</v>
      </c>
      <c r="BJ526" t="s">
        <v>6202</v>
      </c>
      <c r="BK526" t="s">
        <v>6201</v>
      </c>
      <c r="BL526" t="s">
        <v>9</v>
      </c>
      <c r="BM526" t="s">
        <v>6203</v>
      </c>
      <c r="BN526">
        <v>9.91</v>
      </c>
      <c r="BO526">
        <v>-68.14</v>
      </c>
      <c r="BP526">
        <v>-15.08</v>
      </c>
      <c r="BQ526">
        <v>9.91</v>
      </c>
      <c r="BR526">
        <v>-87.84</v>
      </c>
      <c r="BS526">
        <v>-8</v>
      </c>
      <c r="BT526" t="s">
        <v>175</v>
      </c>
      <c r="BU526" t="s">
        <v>567</v>
      </c>
      <c r="BV526">
        <v>70.23</v>
      </c>
      <c r="BW526">
        <v>63.96</v>
      </c>
      <c r="BX526">
        <v>68.58</v>
      </c>
      <c r="BY526">
        <v>14.93</v>
      </c>
      <c r="BZ526">
        <v>-102.68</v>
      </c>
      <c r="CA526">
        <v>-12.53</v>
      </c>
      <c r="CB526">
        <v>-10.94</v>
      </c>
      <c r="CC526">
        <v>-30.55</v>
      </c>
      <c r="CD526" t="s">
        <v>12802</v>
      </c>
      <c r="CE526" t="s">
        <v>12803</v>
      </c>
      <c r="CF526" s="8" t="s">
        <v>9</v>
      </c>
      <c r="CG526" s="9">
        <v>1.1100000000000001</v>
      </c>
      <c r="CH526" s="8">
        <v>-0.24673116207122803</v>
      </c>
      <c r="CI526" s="8">
        <v>-0.21752665936946869</v>
      </c>
      <c r="CJ526" s="8">
        <v>1.3056409358978271</v>
      </c>
      <c r="CK526" s="8">
        <v>6.4427480697631836</v>
      </c>
      <c r="CL526" s="8" t="s">
        <v>9</v>
      </c>
      <c r="CM526" s="9">
        <v>1.7021276950836182</v>
      </c>
      <c r="CN526" s="9">
        <v>-4.3764848709106445</v>
      </c>
      <c r="CO526" s="9" t="s">
        <v>9</v>
      </c>
      <c r="CP526" s="9" t="s">
        <v>9</v>
      </c>
      <c r="CQ526" s="9" t="s">
        <v>9</v>
      </c>
      <c r="CR526">
        <v>-3.4630391678335668</v>
      </c>
      <c r="CS526">
        <v>-0.12927175793077098</v>
      </c>
      <c r="CT526">
        <v>0</v>
      </c>
      <c r="CU526" s="8">
        <v>-0.26788830161094668</v>
      </c>
      <c r="CV526" s="9">
        <v>-0.27934985905885695</v>
      </c>
      <c r="CW526">
        <v>0.06</v>
      </c>
      <c r="CX526">
        <v>14.572165656565657</v>
      </c>
      <c r="CY526" t="s">
        <v>12804</v>
      </c>
      <c r="CZ526">
        <v>-0.26788830161094668</v>
      </c>
      <c r="DA526">
        <v>4.857388552188552</v>
      </c>
      <c r="DB526" t="s">
        <v>12805</v>
      </c>
      <c r="DC526">
        <v>-0.25449388653039934</v>
      </c>
      <c r="DD526">
        <v>2.428694276094276</v>
      </c>
      <c r="DE526" t="s">
        <v>12806</v>
      </c>
      <c r="DF526">
        <v>-0.23574170541763309</v>
      </c>
      <c r="DG526">
        <v>1.4572165656565657</v>
      </c>
      <c r="DH526" t="s">
        <v>12807</v>
      </c>
      <c r="DI526">
        <v>-0.21431064128875735</v>
      </c>
      <c r="DJ526">
        <v>0.72860828282828283</v>
      </c>
      <c r="DK526" t="s">
        <v>12808</v>
      </c>
      <c r="DL526">
        <v>-0.18752181112766267</v>
      </c>
      <c r="DM526">
        <v>198000000</v>
      </c>
      <c r="DN526">
        <v>-0.26788830161094668</v>
      </c>
      <c r="DO526">
        <v>2885288800</v>
      </c>
      <c r="DP526" t="e">
        <v>#VALUE!</v>
      </c>
      <c r="DQ526">
        <v>526</v>
      </c>
      <c r="DR526" t="e">
        <v>#VALUE!</v>
      </c>
      <c r="DS526">
        <v>1.3893498590588571</v>
      </c>
      <c r="DT526" t="e">
        <v>#VALUE!</v>
      </c>
      <c r="DU526" t="e">
        <v>#VALUE!</v>
      </c>
      <c r="DV526" t="e">
        <v>#VALUE!</v>
      </c>
      <c r="DW526">
        <v>-9.3581014729950898</v>
      </c>
      <c r="DX526">
        <v>0.30910964403109031</v>
      </c>
      <c r="DY526">
        <v>-9.031910294785602</v>
      </c>
      <c r="DZ526">
        <v>0</v>
      </c>
      <c r="EA526">
        <v>-9.031910294785602</v>
      </c>
      <c r="EB526">
        <v>9</v>
      </c>
      <c r="EC526">
        <v>5.4813300832084319E-3</v>
      </c>
      <c r="ED526">
        <v>6.1512195017103109E-2</v>
      </c>
      <c r="EE526">
        <v>0</v>
      </c>
      <c r="EF526">
        <v>0</v>
      </c>
      <c r="EG526">
        <v>22.08910964403109</v>
      </c>
      <c r="EH526" t="s">
        <v>110</v>
      </c>
      <c r="EI526">
        <v>0</v>
      </c>
      <c r="EJ526">
        <v>0</v>
      </c>
      <c r="EK526">
        <v>0</v>
      </c>
      <c r="EL526">
        <v>0</v>
      </c>
      <c r="EM526">
        <v>0</v>
      </c>
      <c r="EN526">
        <v>0</v>
      </c>
      <c r="EO526">
        <v>0</v>
      </c>
      <c r="EP526">
        <v>0</v>
      </c>
    </row>
    <row r="527" spans="1:146" ht="84" x14ac:dyDescent="0.25">
      <c r="A527" s="7"/>
      <c r="B527" s="7"/>
      <c r="C527" s="7" t="str">
        <f>""&amp;CHAR(10)&amp;Basic_Fundamental_Information_Constructure(F527)&amp;CHAR(10)&amp;Basic_Fundamental_Information_Concatenate("")</f>
        <v xml:space="preserve">
市值16.519825亿, 利润-4.07亿; PE; 平均PE-106.66; 平均PEG-7.3, PB1.22; ROIC-30.535%; ROE-33.64%; 股利率0%; 毛利0%; 净利0%, 利润增33.61%, 利润增17.77%; 过往5年营收增14.62%, 利润增-334.54%
Income profile:
</v>
      </c>
      <c r="D527" s="11">
        <v>9877</v>
      </c>
      <c r="E527" t="s">
        <v>6205</v>
      </c>
      <c r="F527">
        <v>3.96</v>
      </c>
      <c r="G527" s="5">
        <v>0</v>
      </c>
      <c r="H527" t="s">
        <v>12809</v>
      </c>
      <c r="I527">
        <v>1651982500</v>
      </c>
      <c r="K527">
        <v>1.22</v>
      </c>
      <c r="L527" t="s">
        <v>6350</v>
      </c>
      <c r="M527" t="s">
        <v>9</v>
      </c>
      <c r="N527" t="s">
        <v>9</v>
      </c>
      <c r="O527" t="s">
        <v>9</v>
      </c>
      <c r="P527" t="s">
        <v>9</v>
      </c>
      <c r="Q527" t="s">
        <v>9</v>
      </c>
      <c r="R527">
        <v>-407497000</v>
      </c>
      <c r="S527" s="5">
        <v>0.1777</v>
      </c>
      <c r="T527" t="s">
        <v>7251</v>
      </c>
      <c r="U527">
        <v>310306210</v>
      </c>
      <c r="V527">
        <v>417167290</v>
      </c>
      <c r="W527" t="s">
        <v>9</v>
      </c>
      <c r="X527" t="s">
        <v>9</v>
      </c>
      <c r="Y527" t="s">
        <v>9</v>
      </c>
      <c r="Z527" t="s">
        <v>9</v>
      </c>
      <c r="AA527" t="s">
        <v>9</v>
      </c>
      <c r="AB527" t="s">
        <v>9</v>
      </c>
      <c r="AC527" t="s">
        <v>9</v>
      </c>
      <c r="AD527" t="s">
        <v>19</v>
      </c>
      <c r="AE527" t="s">
        <v>9</v>
      </c>
      <c r="AF527" t="s">
        <v>9</v>
      </c>
      <c r="AG527" t="s">
        <v>9</v>
      </c>
      <c r="AH527" t="s">
        <v>12810</v>
      </c>
      <c r="AI527" t="s">
        <v>9</v>
      </c>
      <c r="AJ527" t="s">
        <v>9</v>
      </c>
      <c r="AK527" t="s">
        <v>12811</v>
      </c>
      <c r="AL527" t="s">
        <v>9</v>
      </c>
      <c r="AM527" t="s">
        <v>9</v>
      </c>
      <c r="AN527" s="5">
        <v>7.5999999999999998E-2</v>
      </c>
      <c r="AO527" t="s">
        <v>9</v>
      </c>
      <c r="AP527" t="s">
        <v>12812</v>
      </c>
      <c r="AQ527" t="s">
        <v>9</v>
      </c>
      <c r="AR527" t="s">
        <v>12813</v>
      </c>
      <c r="AS527" t="s">
        <v>9</v>
      </c>
      <c r="AT527" t="s">
        <v>9</v>
      </c>
      <c r="AU527" t="s">
        <v>12814</v>
      </c>
      <c r="AV527" t="s">
        <v>1132</v>
      </c>
      <c r="AW527" t="s">
        <v>9</v>
      </c>
      <c r="AX527" t="s">
        <v>9</v>
      </c>
      <c r="AY527" t="s">
        <v>9</v>
      </c>
      <c r="AZ527" t="s">
        <v>9</v>
      </c>
      <c r="BA527" t="s">
        <v>9</v>
      </c>
      <c r="BB527" t="s">
        <v>9</v>
      </c>
      <c r="BC527" t="s">
        <v>12815</v>
      </c>
      <c r="BD527" t="s">
        <v>12816</v>
      </c>
      <c r="BE527" t="s">
        <v>9</v>
      </c>
      <c r="BF527" t="s">
        <v>9</v>
      </c>
      <c r="BG527" t="s">
        <v>9</v>
      </c>
      <c r="BH527" t="s">
        <v>9</v>
      </c>
      <c r="BI527" t="s">
        <v>9</v>
      </c>
      <c r="BJ527" t="s">
        <v>9</v>
      </c>
      <c r="BK527" t="s">
        <v>6206</v>
      </c>
      <c r="BL527" t="s">
        <v>9</v>
      </c>
      <c r="BM527" t="s">
        <v>12815</v>
      </c>
      <c r="BN527">
        <v>-28.09</v>
      </c>
      <c r="BO527">
        <v>-32.979999999999997</v>
      </c>
      <c r="BP527" t="s">
        <v>9</v>
      </c>
      <c r="BQ527">
        <v>-30.15</v>
      </c>
      <c r="BR527">
        <v>-31.99</v>
      </c>
      <c r="BS527">
        <v>-38.78</v>
      </c>
      <c r="BT527" t="s">
        <v>9</v>
      </c>
      <c r="BU527" t="s">
        <v>2382</v>
      </c>
      <c r="BV527" t="s">
        <v>9</v>
      </c>
      <c r="BW527" t="s">
        <v>9</v>
      </c>
      <c r="BX527" t="s">
        <v>9</v>
      </c>
      <c r="BY527" t="s">
        <v>9</v>
      </c>
      <c r="BZ527" t="s">
        <v>9</v>
      </c>
      <c r="CA527" t="s">
        <v>9</v>
      </c>
      <c r="CB527">
        <v>-1</v>
      </c>
      <c r="CC527">
        <v>-16.28</v>
      </c>
      <c r="CD527" t="s">
        <v>12817</v>
      </c>
      <c r="CE527" t="s">
        <v>12818</v>
      </c>
      <c r="CF527" s="8" t="s">
        <v>9</v>
      </c>
      <c r="CG527" s="9">
        <v>0.1777</v>
      </c>
      <c r="CH527" s="8" t="s">
        <v>9</v>
      </c>
      <c r="CI527" s="8" t="s">
        <v>9</v>
      </c>
      <c r="CJ527" s="8" t="s">
        <v>9</v>
      </c>
      <c r="CK527" s="8" t="s">
        <v>9</v>
      </c>
      <c r="CL527" s="8" t="s">
        <v>9</v>
      </c>
      <c r="CM527" s="9">
        <v>0.33605220913887024</v>
      </c>
      <c r="CN527" s="9">
        <v>-0.71708685159683228</v>
      </c>
      <c r="CO527" s="9" t="s">
        <v>9</v>
      </c>
      <c r="CP527" s="9" t="s">
        <v>9</v>
      </c>
      <c r="CQ527" s="9" t="s">
        <v>9</v>
      </c>
      <c r="CR527">
        <v>-106.66461843750605</v>
      </c>
      <c r="CS527">
        <v>-7.2970112308902317</v>
      </c>
      <c r="CT527">
        <v>0</v>
      </c>
      <c r="CU527" s="8">
        <v>0.1461757630109787</v>
      </c>
      <c r="CV527" s="9">
        <v>-3.3453675210475922</v>
      </c>
      <c r="CW527">
        <v>0.06</v>
      </c>
      <c r="CX527" t="e">
        <v>#VALUE!</v>
      </c>
      <c r="CY527" t="s">
        <v>109</v>
      </c>
      <c r="CZ527">
        <v>0.1461757630109787</v>
      </c>
      <c r="DA527" t="e">
        <v>#VALUE!</v>
      </c>
      <c r="DB527" t="s">
        <v>108</v>
      </c>
      <c r="DC527">
        <v>0.13886697486042976</v>
      </c>
      <c r="DD527" t="e">
        <v>#VALUE!</v>
      </c>
      <c r="DE527" t="s">
        <v>108</v>
      </c>
      <c r="DF527">
        <v>0.12863467144966126</v>
      </c>
      <c r="DG527" t="e">
        <v>#VALUE!</v>
      </c>
      <c r="DH527" t="s">
        <v>108</v>
      </c>
      <c r="DI527">
        <v>0.11694061040878297</v>
      </c>
      <c r="DJ527" t="e">
        <v>#VALUE!</v>
      </c>
      <c r="DK527" t="s">
        <v>108</v>
      </c>
      <c r="DL527">
        <v>0.10232303410768509</v>
      </c>
      <c r="DM527">
        <v>-407000000</v>
      </c>
      <c r="DN527">
        <v>0.1461757630109787</v>
      </c>
      <c r="DO527">
        <v>1651982500</v>
      </c>
      <c r="DP527" t="e">
        <v>#VALUE!</v>
      </c>
      <c r="DQ527">
        <v>527</v>
      </c>
      <c r="DR527" t="e">
        <v>#VALUE!</v>
      </c>
      <c r="DS527">
        <v>3.5230675210475924</v>
      </c>
      <c r="DT527" t="e">
        <v>#VALUE!</v>
      </c>
      <c r="DU527" t="e">
        <v>#VALUE!</v>
      </c>
      <c r="DV527" t="e">
        <v>#VALUE!</v>
      </c>
      <c r="DW527">
        <v>-3.0031666666666665</v>
      </c>
      <c r="DX527">
        <v>0.32374944825649177</v>
      </c>
      <c r="DY527">
        <v>-3.0003602065861457</v>
      </c>
      <c r="DZ527">
        <v>0</v>
      </c>
      <c r="EA527">
        <v>-3.0003602065861457</v>
      </c>
      <c r="EB527">
        <v>3</v>
      </c>
      <c r="EC527">
        <v>1.9026659544663725E-2</v>
      </c>
      <c r="ED527">
        <v>0.16726814798926348</v>
      </c>
      <c r="EE527">
        <v>0</v>
      </c>
      <c r="EF527">
        <v>0</v>
      </c>
      <c r="EG527">
        <v>21.113749448256492</v>
      </c>
      <c r="EH527" t="s">
        <v>110</v>
      </c>
      <c r="EI527">
        <v>0</v>
      </c>
      <c r="EJ527">
        <v>0</v>
      </c>
      <c r="EK527">
        <v>0</v>
      </c>
      <c r="EL527">
        <v>0</v>
      </c>
      <c r="EM527">
        <v>0</v>
      </c>
      <c r="EN527">
        <v>0</v>
      </c>
      <c r="EO527">
        <v>0</v>
      </c>
      <c r="EP527">
        <v>0</v>
      </c>
    </row>
    <row r="528" spans="1:146" ht="96" x14ac:dyDescent="0.25">
      <c r="A528" s="7"/>
      <c r="B528" s="7"/>
      <c r="C528" s="7" t="str">
        <f>""&amp;CHAR(10)&amp;Basic_Fundamental_Information_Constructure(F528)&amp;CHAR(10)&amp;Basic_Fundamental_Information_Concatenate("")</f>
        <v xml:space="preserve">
市值141.20503亿, 利润4.91亿; PE28.74; 平均PE12.28; 平均PEG1.04, PB1.66; ROIC7.72%; ROE5.5767%; 股利率0%; 毛利3.09%; 净利.4033%; 上一年度营收增-2.44%, 利润增282.53%, 利润增30.77%; 过往5年营收增11.83%, 利润增7.87%
Income profile:
</v>
      </c>
      <c r="D528" s="11">
        <v>9878</v>
      </c>
      <c r="E528" t="s">
        <v>6207</v>
      </c>
      <c r="F528">
        <v>25.1</v>
      </c>
      <c r="G528" s="5">
        <v>2.6599999999999999E-2</v>
      </c>
      <c r="H528" t="s">
        <v>12819</v>
      </c>
      <c r="I528">
        <v>14120503000</v>
      </c>
      <c r="J528">
        <v>28.74</v>
      </c>
      <c r="K528">
        <v>1.66</v>
      </c>
      <c r="L528" t="s">
        <v>6350</v>
      </c>
      <c r="M528" t="s">
        <v>9</v>
      </c>
      <c r="N528" t="s">
        <v>9</v>
      </c>
      <c r="O528" t="s">
        <v>9</v>
      </c>
      <c r="P528" t="s">
        <v>9</v>
      </c>
      <c r="Q528" t="s">
        <v>12820</v>
      </c>
      <c r="R528">
        <v>491399060</v>
      </c>
      <c r="S528" s="5">
        <v>0.30769999999999997</v>
      </c>
      <c r="T528" t="s">
        <v>3723</v>
      </c>
      <c r="U528">
        <v>180266340</v>
      </c>
      <c r="V528">
        <v>562569840</v>
      </c>
      <c r="W528" t="s">
        <v>9</v>
      </c>
      <c r="X528" t="s">
        <v>9</v>
      </c>
      <c r="Y528" t="s">
        <v>9</v>
      </c>
      <c r="Z528" t="s">
        <v>9</v>
      </c>
      <c r="AA528" t="s">
        <v>9</v>
      </c>
      <c r="AB528" t="s">
        <v>9</v>
      </c>
      <c r="AC528" t="s">
        <v>9</v>
      </c>
      <c r="AD528" t="s">
        <v>99</v>
      </c>
      <c r="AE528" t="s">
        <v>9</v>
      </c>
      <c r="AF528" t="s">
        <v>9</v>
      </c>
      <c r="AG528" t="s">
        <v>9</v>
      </c>
      <c r="AH528" t="s">
        <v>12821</v>
      </c>
      <c r="AI528" t="s">
        <v>9</v>
      </c>
      <c r="AJ528" t="s">
        <v>9</v>
      </c>
      <c r="AK528" t="s">
        <v>12822</v>
      </c>
      <c r="AL528" t="s">
        <v>9</v>
      </c>
      <c r="AM528" t="s">
        <v>9</v>
      </c>
      <c r="AN528" s="5">
        <v>0.67379999999999995</v>
      </c>
      <c r="AO528" t="s">
        <v>9</v>
      </c>
      <c r="AP528" t="s">
        <v>12823</v>
      </c>
      <c r="AQ528" t="s">
        <v>9</v>
      </c>
      <c r="AR528" t="s">
        <v>12824</v>
      </c>
      <c r="AS528" t="s">
        <v>9</v>
      </c>
      <c r="AT528" t="s">
        <v>9</v>
      </c>
      <c r="AU528" t="s">
        <v>6365</v>
      </c>
      <c r="AV528" t="s">
        <v>211</v>
      </c>
      <c r="AW528" t="s">
        <v>9</v>
      </c>
      <c r="AX528" t="s">
        <v>12825</v>
      </c>
      <c r="AY528" t="s">
        <v>6208</v>
      </c>
      <c r="AZ528" t="s">
        <v>6209</v>
      </c>
      <c r="BA528" t="s">
        <v>6210</v>
      </c>
      <c r="BB528" t="s">
        <v>9</v>
      </c>
      <c r="BC528" t="s">
        <v>3482</v>
      </c>
      <c r="BD528" t="s">
        <v>3159</v>
      </c>
      <c r="BE528" t="s">
        <v>9</v>
      </c>
      <c r="BF528" t="s">
        <v>9</v>
      </c>
      <c r="BG528" t="s">
        <v>9</v>
      </c>
      <c r="BH528" t="s">
        <v>12825</v>
      </c>
      <c r="BI528" t="s">
        <v>9</v>
      </c>
      <c r="BJ528" t="s">
        <v>6208</v>
      </c>
      <c r="BK528" t="s">
        <v>919</v>
      </c>
      <c r="BL528" t="s">
        <v>9</v>
      </c>
      <c r="BM528" t="s">
        <v>3482</v>
      </c>
      <c r="BN528">
        <v>5.21</v>
      </c>
      <c r="BO528">
        <v>10.6</v>
      </c>
      <c r="BP528">
        <v>7.35</v>
      </c>
      <c r="BQ528">
        <v>5.77</v>
      </c>
      <c r="BR528">
        <v>3.82</v>
      </c>
      <c r="BS528">
        <v>7.14</v>
      </c>
      <c r="BT528" t="s">
        <v>9</v>
      </c>
      <c r="BU528" t="s">
        <v>551</v>
      </c>
      <c r="BV528">
        <v>3.32</v>
      </c>
      <c r="BW528">
        <v>3.11</v>
      </c>
      <c r="BX528">
        <v>2.84</v>
      </c>
      <c r="BY528">
        <v>0.85</v>
      </c>
      <c r="BZ528">
        <v>0.63</v>
      </c>
      <c r="CA528">
        <v>-0.27</v>
      </c>
      <c r="CB528">
        <v>0.6</v>
      </c>
      <c r="CC528">
        <v>-6.86</v>
      </c>
      <c r="CD528" t="s">
        <v>12826</v>
      </c>
      <c r="CE528" t="s">
        <v>12827</v>
      </c>
      <c r="CF528" s="8" t="s">
        <v>9</v>
      </c>
      <c r="CG528" s="9">
        <v>0.30769999999999997</v>
      </c>
      <c r="CH528" s="8">
        <v>-2.4410521611571312E-2</v>
      </c>
      <c r="CI528" s="8">
        <v>0.15022295713424683</v>
      </c>
      <c r="CJ528" s="8">
        <v>0.36133420467376709</v>
      </c>
      <c r="CK528" s="8">
        <v>0.74328064918518066</v>
      </c>
      <c r="CL528" s="8" t="s">
        <v>9</v>
      </c>
      <c r="CM528" s="9">
        <v>2.8252787590026855</v>
      </c>
      <c r="CN528" s="9">
        <v>7.2413794696331024E-2</v>
      </c>
      <c r="CO528" s="9" t="s">
        <v>9</v>
      </c>
      <c r="CP528" s="9" t="s">
        <v>9</v>
      </c>
      <c r="CQ528" s="9" t="s">
        <v>9</v>
      </c>
      <c r="CR528">
        <v>12.27514024920313</v>
      </c>
      <c r="CS528">
        <v>1.037193046545241</v>
      </c>
      <c r="CT528">
        <v>0</v>
      </c>
      <c r="CU528" s="8">
        <v>0.11834961958229542</v>
      </c>
      <c r="CV528" s="9">
        <v>7.872655987739563E-2</v>
      </c>
      <c r="CW528">
        <v>0.06</v>
      </c>
      <c r="CX528">
        <v>27.258185718982737</v>
      </c>
      <c r="CY528">
        <v>518027984.16500664</v>
      </c>
      <c r="CZ528">
        <v>0.11834961958229542</v>
      </c>
      <c r="DA528">
        <v>8.6971052063327576</v>
      </c>
      <c r="DB528">
        <v>1623586545.7529731</v>
      </c>
      <c r="DC528">
        <v>0.11243213860318065</v>
      </c>
      <c r="DD528">
        <v>4.145137096396641</v>
      </c>
      <c r="DE528">
        <v>3406522551.998322</v>
      </c>
      <c r="DF528">
        <v>0.10414766523241997</v>
      </c>
      <c r="DG528">
        <v>2.3989271681739326</v>
      </c>
      <c r="DH528">
        <v>5886174114.55161</v>
      </c>
      <c r="DI528">
        <v>9.4679695665836339E-2</v>
      </c>
      <c r="DJ528">
        <v>1.1408474287513848</v>
      </c>
      <c r="DK528">
        <v>12377205438.81522</v>
      </c>
      <c r="DL528">
        <v>8.2844733707606796E-2</v>
      </c>
      <c r="DM528">
        <v>491000000</v>
      </c>
      <c r="DN528">
        <v>0.11834961958229542</v>
      </c>
      <c r="DO528">
        <v>14120503000</v>
      </c>
      <c r="DP528" t="e">
        <v>#VALUE!</v>
      </c>
      <c r="DQ528">
        <v>528</v>
      </c>
      <c r="DR528" t="e">
        <v>#VALUE!</v>
      </c>
      <c r="DS528">
        <v>0.22897344012260434</v>
      </c>
      <c r="DT528" t="e">
        <v>#VALUE!</v>
      </c>
      <c r="DU528" t="e">
        <v>#VALUE!</v>
      </c>
      <c r="DV528" t="e">
        <v>#VALUE!</v>
      </c>
      <c r="DW528">
        <v>-2.0686</v>
      </c>
      <c r="DX528">
        <v>0.35030679680339771</v>
      </c>
      <c r="DY528">
        <v>-2.0082530462607129</v>
      </c>
      <c r="DZ528">
        <v>0</v>
      </c>
      <c r="EA528">
        <v>-2.0082530462607129</v>
      </c>
      <c r="EB528">
        <v>2</v>
      </c>
      <c r="EC528">
        <v>2.6599364089621297E-3</v>
      </c>
      <c r="ED528">
        <v>2.2109610426325022E-2</v>
      </c>
      <c r="EE528">
        <v>0</v>
      </c>
      <c r="EF528">
        <v>0</v>
      </c>
      <c r="EG528">
        <v>23.120306796803398</v>
      </c>
      <c r="EH528" t="s">
        <v>110</v>
      </c>
      <c r="EI528">
        <v>0</v>
      </c>
      <c r="EJ528">
        <v>0</v>
      </c>
      <c r="EK528">
        <v>0</v>
      </c>
      <c r="EL528">
        <v>0</v>
      </c>
      <c r="EM528">
        <v>0</v>
      </c>
      <c r="EN528">
        <v>0</v>
      </c>
      <c r="EO528">
        <v>0</v>
      </c>
      <c r="EP528">
        <v>0</v>
      </c>
    </row>
    <row r="529" spans="1:146" ht="96" x14ac:dyDescent="0.25">
      <c r="A529"/>
      <c r="B529"/>
      <c r="C529" s="7" t="str">
        <f>""&amp;CHAR(10)&amp;Basic_Fundamental_Information_Constructure(F529)&amp;CHAR(10)&amp;Basic_Fundamental_Information_Concatenate("")</f>
        <v xml:space="preserve">
市值643.10366亿, 利润--; PE; 平均PE49.1; 平均PEG7.19, PB29.93; ROIC0%; ROE0%; 股利率0%; 毛利0%; 净利0%, 利润增-23.01%; 过往5年营收增6.83%, 利润增4.39%
Income profile:
</v>
      </c>
      <c r="D529" s="11">
        <v>9880</v>
      </c>
      <c r="E529" t="s">
        <v>12828</v>
      </c>
      <c r="F529">
        <v>153.80000000000001</v>
      </c>
      <c r="G529">
        <v>-0.04</v>
      </c>
      <c r="H529" t="s">
        <v>12829</v>
      </c>
      <c r="I529">
        <v>64310366000</v>
      </c>
      <c r="K529">
        <v>29.93</v>
      </c>
      <c r="L529" t="s">
        <v>6350</v>
      </c>
      <c r="M529" t="s">
        <v>9</v>
      </c>
      <c r="N529" t="s">
        <v>9</v>
      </c>
      <c r="O529" t="s">
        <v>9</v>
      </c>
      <c r="P529" s="5" t="s">
        <v>9</v>
      </c>
      <c r="Q529" t="s">
        <v>9</v>
      </c>
      <c r="R529">
        <v>-574563970</v>
      </c>
      <c r="S529">
        <v>-0.2301</v>
      </c>
      <c r="T529" t="s">
        <v>9</v>
      </c>
      <c r="U529">
        <v>118175499</v>
      </c>
      <c r="V529">
        <v>418142820</v>
      </c>
      <c r="W529" t="s">
        <v>9</v>
      </c>
      <c r="X529" t="s">
        <v>9</v>
      </c>
      <c r="Y529" t="s">
        <v>9</v>
      </c>
      <c r="Z529" t="s">
        <v>9</v>
      </c>
      <c r="AA529" t="s">
        <v>9</v>
      </c>
      <c r="AB529" t="s">
        <v>9</v>
      </c>
      <c r="AC529" t="s">
        <v>9</v>
      </c>
      <c r="AD529" t="s">
        <v>9</v>
      </c>
      <c r="AE529" t="s">
        <v>9</v>
      </c>
      <c r="AF529" t="s">
        <v>9</v>
      </c>
      <c r="AG529" t="s">
        <v>9</v>
      </c>
      <c r="AH529" t="s">
        <v>12830</v>
      </c>
      <c r="AI529" t="s">
        <v>9</v>
      </c>
      <c r="AJ529" t="s">
        <v>9</v>
      </c>
      <c r="AK529" s="5" t="s">
        <v>12831</v>
      </c>
      <c r="AL529" t="s">
        <v>9</v>
      </c>
      <c r="AM529" t="s">
        <v>9</v>
      </c>
      <c r="AN529">
        <v>0.56169999999999998</v>
      </c>
      <c r="AO529" t="s">
        <v>9</v>
      </c>
      <c r="AP529" t="s">
        <v>9</v>
      </c>
      <c r="AQ529" t="s">
        <v>9</v>
      </c>
      <c r="AR529" t="s">
        <v>9</v>
      </c>
      <c r="AS529" t="s">
        <v>9</v>
      </c>
      <c r="AT529" t="s">
        <v>9</v>
      </c>
      <c r="AU529" t="s">
        <v>9</v>
      </c>
      <c r="AV529" t="s">
        <v>9</v>
      </c>
      <c r="AW529" t="s">
        <v>9</v>
      </c>
      <c r="AX529" t="s">
        <v>9</v>
      </c>
      <c r="AY529" t="s">
        <v>9</v>
      </c>
      <c r="AZ529" t="s">
        <v>9</v>
      </c>
      <c r="BA529" t="s">
        <v>9</v>
      </c>
      <c r="BB529" t="s">
        <v>9</v>
      </c>
      <c r="BC529" t="s">
        <v>9</v>
      </c>
      <c r="BD529" t="s">
        <v>9</v>
      </c>
      <c r="BE529" t="s">
        <v>9</v>
      </c>
      <c r="BF529" t="s">
        <v>9</v>
      </c>
      <c r="BG529" t="s">
        <v>9</v>
      </c>
      <c r="BH529" t="s">
        <v>9</v>
      </c>
      <c r="BI529" t="s">
        <v>9</v>
      </c>
      <c r="BJ529" t="s">
        <v>9</v>
      </c>
      <c r="BK529" t="s">
        <v>9</v>
      </c>
      <c r="BL529" t="s">
        <v>9</v>
      </c>
      <c r="BM529" t="s">
        <v>9</v>
      </c>
      <c r="BN529" t="s">
        <v>9</v>
      </c>
      <c r="BO529" t="s">
        <v>9</v>
      </c>
      <c r="BP529" t="s">
        <v>9</v>
      </c>
      <c r="BQ529" t="s">
        <v>9</v>
      </c>
      <c r="BR529" t="s">
        <v>9</v>
      </c>
      <c r="BS529" t="s">
        <v>9</v>
      </c>
      <c r="BT529" t="s">
        <v>9</v>
      </c>
      <c r="BU529" t="s">
        <v>9</v>
      </c>
      <c r="BV529" t="s">
        <v>9</v>
      </c>
      <c r="BW529" t="s">
        <v>9</v>
      </c>
      <c r="BX529" t="s">
        <v>9</v>
      </c>
      <c r="BY529" t="s">
        <v>9</v>
      </c>
      <c r="BZ529" t="s">
        <v>9</v>
      </c>
      <c r="CA529" t="s">
        <v>9</v>
      </c>
      <c r="CB529">
        <v>-1.91</v>
      </c>
      <c r="CC529" s="8">
        <v>-10.89</v>
      </c>
      <c r="CD529" s="10" t="s">
        <v>12832</v>
      </c>
      <c r="CE529" s="8" t="s">
        <v>12833</v>
      </c>
      <c r="CF529" s="8" t="s">
        <v>9</v>
      </c>
      <c r="CG529" s="8">
        <v>-0.2301</v>
      </c>
      <c r="CH529" s="8" t="s">
        <v>9</v>
      </c>
      <c r="CI529" s="8" t="s">
        <v>9</v>
      </c>
      <c r="CJ529" s="9" t="s">
        <v>9</v>
      </c>
      <c r="CK529" s="9" t="s">
        <v>9</v>
      </c>
      <c r="CL529" s="9" t="s">
        <v>9</v>
      </c>
      <c r="CM529" s="9" t="s">
        <v>9</v>
      </c>
      <c r="CN529" s="9" t="s">
        <v>9</v>
      </c>
      <c r="CO529" t="s">
        <v>9</v>
      </c>
      <c r="CP529" t="s">
        <v>9</v>
      </c>
      <c r="CQ529" t="s">
        <v>9</v>
      </c>
      <c r="CR529" s="8">
        <v>49.099378531073448</v>
      </c>
      <c r="CS529" s="9">
        <v>7.1916812838098352</v>
      </c>
      <c r="CT529">
        <v>0</v>
      </c>
      <c r="CU529">
        <v>6.8272461742162699E-2</v>
      </c>
      <c r="CV529">
        <v>4.3878477811813352E-2</v>
      </c>
      <c r="CW529">
        <v>0.06</v>
      </c>
      <c r="CX529" t="e">
        <v>#DIV/0!</v>
      </c>
      <c r="CY529">
        <v>0</v>
      </c>
      <c r="CZ529">
        <v>6.8272461742162699E-2</v>
      </c>
      <c r="DA529" t="e">
        <v>#DIV/0!</v>
      </c>
      <c r="DB529">
        <v>0</v>
      </c>
      <c r="DC529">
        <v>6.4858838655054554E-2</v>
      </c>
      <c r="DD529" t="e">
        <v>#DIV/0!</v>
      </c>
      <c r="DE529">
        <v>0</v>
      </c>
      <c r="DF529">
        <v>6.0079766333103177E-2</v>
      </c>
      <c r="DG529" t="e">
        <v>#DIV/0!</v>
      </c>
      <c r="DH529">
        <v>0</v>
      </c>
      <c r="DI529">
        <v>5.4617969393730162E-2</v>
      </c>
      <c r="DJ529" t="e">
        <v>#DIV/0!</v>
      </c>
      <c r="DK529">
        <v>0</v>
      </c>
      <c r="DL529">
        <v>4.7790723219513886E-2</v>
      </c>
      <c r="DM529">
        <v>0</v>
      </c>
      <c r="DN529">
        <v>6.8272461742162699E-2</v>
      </c>
      <c r="DO529">
        <v>64310366000</v>
      </c>
      <c r="DP529" t="e">
        <v>#VALUE!</v>
      </c>
      <c r="DQ529">
        <v>529</v>
      </c>
      <c r="DR529" t="e">
        <v>#VALUE!</v>
      </c>
      <c r="DS529">
        <v>-0.27397847781181334</v>
      </c>
      <c r="DT529" t="e">
        <v>#VALUE!</v>
      </c>
      <c r="DU529" t="e">
        <v>#VALUE!</v>
      </c>
      <c r="DV529" t="e">
        <v>#VALUE!</v>
      </c>
      <c r="DW529">
        <v>-2.1089000000000002</v>
      </c>
      <c r="DX529">
        <v>0.32229151189692984</v>
      </c>
      <c r="DY529">
        <v>-2.0089615456455756</v>
      </c>
      <c r="DZ529">
        <v>0</v>
      </c>
      <c r="EA529">
        <v>-2.0089615456455756</v>
      </c>
      <c r="EB529">
        <v>2</v>
      </c>
      <c r="EC529">
        <v>9.2719516264801595E-4</v>
      </c>
      <c r="ED529">
        <v>1.1267202914066538E-2</v>
      </c>
      <c r="EE529">
        <v>0</v>
      </c>
      <c r="EF529">
        <v>0</v>
      </c>
      <c r="EG529">
        <v>24.08229151189693</v>
      </c>
      <c r="EH529" t="s">
        <v>110</v>
      </c>
      <c r="EI529">
        <v>0</v>
      </c>
      <c r="EJ529">
        <v>0</v>
      </c>
      <c r="EK529">
        <v>0</v>
      </c>
      <c r="EL529">
        <v>0</v>
      </c>
      <c r="EM529">
        <v>0</v>
      </c>
      <c r="EN529">
        <v>0</v>
      </c>
      <c r="EO529">
        <v>0</v>
      </c>
      <c r="EP529">
        <v>0</v>
      </c>
    </row>
    <row r="530" spans="1:146" ht="96" x14ac:dyDescent="0.25">
      <c r="C530" s="7" t="str">
        <f>""&amp;CHAR(10)&amp;Basic_Fundamental_Information_Constructure(F530)&amp;CHAR(10)&amp;Basic_Fundamental_Information_Concatenate("")</f>
        <v xml:space="preserve">
市值51.016468亿, 利润--; PE; 平均PE41.14; 平均PEG28.01, PB2.42; ROIC0%; ROE0%; 股利率0%; 毛利0%; 净利0%, 利润增-108.2%; 过往5年营收增1.47%, 利润增-38.83%
Income profile:
</v>
      </c>
      <c r="D530" s="11">
        <v>9885</v>
      </c>
      <c r="E530" t="s">
        <v>6387</v>
      </c>
      <c r="F530">
        <v>7.96</v>
      </c>
      <c r="G530">
        <v>1.14E-2</v>
      </c>
      <c r="H530" t="s">
        <v>12834</v>
      </c>
      <c r="I530">
        <v>5101646800</v>
      </c>
      <c r="K530">
        <v>2.42</v>
      </c>
      <c r="L530" t="s">
        <v>6350</v>
      </c>
      <c r="M530" t="s">
        <v>9</v>
      </c>
      <c r="N530" t="s">
        <v>9</v>
      </c>
      <c r="O530" t="s">
        <v>9</v>
      </c>
      <c r="P530" s="5" t="s">
        <v>9</v>
      </c>
      <c r="Q530" t="s">
        <v>9</v>
      </c>
      <c r="R530">
        <v>-3496014200</v>
      </c>
      <c r="S530">
        <v>-1.0820000000000001</v>
      </c>
      <c r="T530" t="s">
        <v>9</v>
      </c>
      <c r="U530">
        <v>640886410</v>
      </c>
      <c r="V530">
        <v>640886410</v>
      </c>
      <c r="W530" t="s">
        <v>9</v>
      </c>
      <c r="X530" t="s">
        <v>9</v>
      </c>
      <c r="Y530" t="s">
        <v>9</v>
      </c>
      <c r="Z530" t="s">
        <v>9</v>
      </c>
      <c r="AA530" t="s">
        <v>9</v>
      </c>
      <c r="AB530" t="s">
        <v>9</v>
      </c>
      <c r="AC530" t="s">
        <v>9</v>
      </c>
      <c r="AD530" t="s">
        <v>9</v>
      </c>
      <c r="AE530" t="s">
        <v>9</v>
      </c>
      <c r="AF530" t="s">
        <v>9</v>
      </c>
      <c r="AG530" t="s">
        <v>9</v>
      </c>
      <c r="AH530" t="s">
        <v>12835</v>
      </c>
      <c r="AI530" t="s">
        <v>9</v>
      </c>
      <c r="AJ530" t="s">
        <v>9</v>
      </c>
      <c r="AK530" s="5" t="s">
        <v>12836</v>
      </c>
      <c r="AL530" t="s">
        <v>9</v>
      </c>
      <c r="AM530" t="s">
        <v>9</v>
      </c>
      <c r="AN530">
        <v>0.63859999999999995</v>
      </c>
      <c r="AO530" t="s">
        <v>9</v>
      </c>
      <c r="AP530" t="s">
        <v>9</v>
      </c>
      <c r="AQ530" t="s">
        <v>9</v>
      </c>
      <c r="AR530" t="s">
        <v>9</v>
      </c>
      <c r="AS530" t="s">
        <v>9</v>
      </c>
      <c r="AT530" t="s">
        <v>9</v>
      </c>
      <c r="AU530" t="s">
        <v>9</v>
      </c>
      <c r="AV530" t="s">
        <v>9</v>
      </c>
      <c r="AW530" t="s">
        <v>9</v>
      </c>
      <c r="AX530" t="s">
        <v>9</v>
      </c>
      <c r="AY530" t="s">
        <v>9</v>
      </c>
      <c r="AZ530" t="s">
        <v>9</v>
      </c>
      <c r="BA530" t="s">
        <v>9</v>
      </c>
      <c r="BB530" t="s">
        <v>9</v>
      </c>
      <c r="BC530" t="s">
        <v>9</v>
      </c>
      <c r="BD530" t="s">
        <v>9</v>
      </c>
      <c r="BE530" t="s">
        <v>9</v>
      </c>
      <c r="BF530" t="s">
        <v>9</v>
      </c>
      <c r="BG530" t="s">
        <v>9</v>
      </c>
      <c r="BH530" t="s">
        <v>9</v>
      </c>
      <c r="BI530" t="s">
        <v>9</v>
      </c>
      <c r="BJ530" t="s">
        <v>9</v>
      </c>
      <c r="BK530" t="s">
        <v>9</v>
      </c>
      <c r="BL530" t="s">
        <v>9</v>
      </c>
      <c r="BM530" t="s">
        <v>9</v>
      </c>
      <c r="BN530" t="s">
        <v>9</v>
      </c>
      <c r="BO530" t="s">
        <v>9</v>
      </c>
      <c r="BP530" t="s">
        <v>9</v>
      </c>
      <c r="BQ530" t="s">
        <v>9</v>
      </c>
      <c r="BR530" t="s">
        <v>9</v>
      </c>
      <c r="BS530" t="s">
        <v>9</v>
      </c>
      <c r="BT530" t="s">
        <v>9</v>
      </c>
      <c r="BU530" t="s">
        <v>9</v>
      </c>
      <c r="BV530" t="s">
        <v>9</v>
      </c>
      <c r="BW530" t="s">
        <v>9</v>
      </c>
      <c r="BX530" t="s">
        <v>9</v>
      </c>
      <c r="BY530" t="s">
        <v>9</v>
      </c>
      <c r="BZ530" t="s">
        <v>9</v>
      </c>
      <c r="CA530" t="s">
        <v>9</v>
      </c>
      <c r="CB530">
        <v>-2.93</v>
      </c>
      <c r="CC530" s="8">
        <v>-7.12</v>
      </c>
      <c r="CD530" s="10" t="s">
        <v>12837</v>
      </c>
      <c r="CE530" s="8" t="s">
        <v>12838</v>
      </c>
      <c r="CF530" s="8" t="s">
        <v>9</v>
      </c>
      <c r="CG530" s="8">
        <v>-1.0820000000000001</v>
      </c>
      <c r="CH530" s="8" t="s">
        <v>9</v>
      </c>
      <c r="CI530" s="8" t="s">
        <v>9</v>
      </c>
      <c r="CJ530" s="9" t="s">
        <v>9</v>
      </c>
      <c r="CK530" s="9" t="s">
        <v>9</v>
      </c>
      <c r="CL530" s="9" t="s">
        <v>9</v>
      </c>
      <c r="CM530" s="9" t="s">
        <v>9</v>
      </c>
      <c r="CN530" s="9" t="s">
        <v>9</v>
      </c>
      <c r="CO530" t="s">
        <v>9</v>
      </c>
      <c r="CP530" t="s">
        <v>9</v>
      </c>
      <c r="CQ530" t="s">
        <v>9</v>
      </c>
      <c r="CR530" s="8">
        <v>41.139957308896022</v>
      </c>
      <c r="CS530" s="9">
        <v>28.010011489762107</v>
      </c>
      <c r="CT530">
        <v>0</v>
      </c>
      <c r="CU530">
        <v>1.4687590301036835E-2</v>
      </c>
      <c r="CV530">
        <v>-0.38831107318401337</v>
      </c>
      <c r="CW530">
        <v>0.06</v>
      </c>
      <c r="CX530" t="e">
        <v>#DIV/0!</v>
      </c>
      <c r="CY530">
        <v>0</v>
      </c>
      <c r="CZ530">
        <v>1.4687590301036835E-2</v>
      </c>
      <c r="DA530" t="e">
        <v>#DIV/0!</v>
      </c>
      <c r="DB530">
        <v>0</v>
      </c>
      <c r="DC530">
        <v>1.3953210785984993E-2</v>
      </c>
      <c r="DD530" t="e">
        <v>#DIV/0!</v>
      </c>
      <c r="DE530">
        <v>0</v>
      </c>
      <c r="DF530">
        <v>1.2925079464912415E-2</v>
      </c>
      <c r="DG530" t="e">
        <v>#DIV/0!</v>
      </c>
      <c r="DH530">
        <v>0</v>
      </c>
      <c r="DI530">
        <v>1.1750072240829468E-2</v>
      </c>
      <c r="DJ530" t="e">
        <v>#DIV/0!</v>
      </c>
      <c r="DK530">
        <v>0</v>
      </c>
      <c r="DL530">
        <v>1.0281313210725784E-2</v>
      </c>
      <c r="DM530">
        <v>0</v>
      </c>
      <c r="DN530">
        <v>1.4687590301036835E-2</v>
      </c>
      <c r="DO530">
        <v>5101646800</v>
      </c>
      <c r="DP530" t="e">
        <v>#VALUE!</v>
      </c>
      <c r="DQ530">
        <v>530</v>
      </c>
      <c r="DR530" t="e">
        <v>#VALUE!</v>
      </c>
      <c r="DS530">
        <v>-0.69368892681598671</v>
      </c>
      <c r="DT530" t="e">
        <v>#VALUE!</v>
      </c>
      <c r="DU530" t="e">
        <v>#VALUE!</v>
      </c>
      <c r="DV530" t="e">
        <v>#VALUE!</v>
      </c>
      <c r="DW530">
        <v>-8.411516853932584</v>
      </c>
      <c r="DX530">
        <v>0.10066012322822687</v>
      </c>
      <c r="DY530">
        <v>-8.0126171574520662</v>
      </c>
      <c r="DZ530">
        <v>0</v>
      </c>
      <c r="EA530">
        <v>-8.0126171574520662</v>
      </c>
      <c r="EB530">
        <v>8</v>
      </c>
      <c r="EC530">
        <v>1.9535443106056811E-3</v>
      </c>
      <c r="ED530">
        <v>6.3716127168307407E-2</v>
      </c>
      <c r="EE530">
        <v>0</v>
      </c>
      <c r="EF530">
        <v>0</v>
      </c>
      <c r="EG530">
        <v>7.0306601232282269</v>
      </c>
      <c r="EH530" t="s">
        <v>110</v>
      </c>
      <c r="EI530">
        <v>0</v>
      </c>
      <c r="EJ530">
        <v>0</v>
      </c>
      <c r="EK530">
        <v>0</v>
      </c>
      <c r="EL530">
        <v>0</v>
      </c>
      <c r="EM530">
        <v>0</v>
      </c>
      <c r="EN530">
        <v>0</v>
      </c>
      <c r="EO530">
        <v>0</v>
      </c>
      <c r="EP530">
        <v>0</v>
      </c>
    </row>
    <row r="531" spans="1:146" ht="84" x14ac:dyDescent="0.25">
      <c r="A531" s="7"/>
      <c r="B531" s="7"/>
      <c r="C531" s="7" t="str">
        <f>""&amp;CHAR(10)&amp;Basic_Fundamental_Information_Constructure(F531)&amp;CHAR(10)&amp;Basic_Fundamental_Information_Concatenate("")</f>
        <v xml:space="preserve">
市值13.951318亿, 利润-2.48亿; PE; 平均PE1.25; 平均PEG.09, PB.625; ROIC658.855%; ROE-26.77%; 股利率0%; 毛利32.295%; 净利-35.205%; 上一年度营收增9.01%, 利润增87.16%, 利润增92.26%; 过往5年营收增13.32%, 利润增10.17%
Income profile:
</v>
      </c>
      <c r="D531" s="11">
        <v>9886</v>
      </c>
      <c r="E531" t="s">
        <v>6211</v>
      </c>
      <c r="F531">
        <v>1.04</v>
      </c>
      <c r="G531" s="5">
        <v>-6.3100000000000003E-2</v>
      </c>
      <c r="H531" t="s">
        <v>12839</v>
      </c>
      <c r="I531">
        <v>1395131800</v>
      </c>
      <c r="K531">
        <v>0.625</v>
      </c>
      <c r="L531" t="s">
        <v>6350</v>
      </c>
      <c r="M531" t="s">
        <v>9</v>
      </c>
      <c r="N531" t="s">
        <v>9</v>
      </c>
      <c r="O531" t="s">
        <v>9</v>
      </c>
      <c r="P531" t="s">
        <v>9</v>
      </c>
      <c r="Q531" t="s">
        <v>10054</v>
      </c>
      <c r="R531">
        <v>-247531830</v>
      </c>
      <c r="S531" s="5">
        <v>0.92259999999999998</v>
      </c>
      <c r="T531" t="s">
        <v>12840</v>
      </c>
      <c r="U531">
        <v>1341472900</v>
      </c>
      <c r="V531">
        <v>1341472900</v>
      </c>
      <c r="W531" t="s">
        <v>9</v>
      </c>
      <c r="X531" t="s">
        <v>9</v>
      </c>
      <c r="Y531" t="s">
        <v>9</v>
      </c>
      <c r="Z531" t="s">
        <v>9</v>
      </c>
      <c r="AA531" t="s">
        <v>9</v>
      </c>
      <c r="AB531" t="s">
        <v>9</v>
      </c>
      <c r="AC531" t="s">
        <v>9</v>
      </c>
      <c r="AD531" t="s">
        <v>12841</v>
      </c>
      <c r="AE531" t="s">
        <v>9</v>
      </c>
      <c r="AF531" t="s">
        <v>9</v>
      </c>
      <c r="AG531" t="s">
        <v>9</v>
      </c>
      <c r="AH531" t="s">
        <v>12842</v>
      </c>
      <c r="AI531" t="s">
        <v>9</v>
      </c>
      <c r="AJ531" t="s">
        <v>9</v>
      </c>
      <c r="AK531" t="s">
        <v>12843</v>
      </c>
      <c r="AL531" t="s">
        <v>9</v>
      </c>
      <c r="AM531" t="s">
        <v>9</v>
      </c>
      <c r="AN531" s="5">
        <v>0.33539999999999998</v>
      </c>
      <c r="AO531" t="s">
        <v>9</v>
      </c>
      <c r="AP531" t="s">
        <v>5388</v>
      </c>
      <c r="AQ531" t="s">
        <v>9</v>
      </c>
      <c r="AR531" t="s">
        <v>3616</v>
      </c>
      <c r="AS531" t="s">
        <v>9</v>
      </c>
      <c r="AT531" t="s">
        <v>9</v>
      </c>
      <c r="AU531" t="s">
        <v>12844</v>
      </c>
      <c r="AV531" t="s">
        <v>908</v>
      </c>
      <c r="AW531" t="s">
        <v>9</v>
      </c>
      <c r="AX531" t="s">
        <v>6212</v>
      </c>
      <c r="AY531" t="s">
        <v>155</v>
      </c>
      <c r="AZ531" t="s">
        <v>6215</v>
      </c>
      <c r="BA531" t="s">
        <v>1704</v>
      </c>
      <c r="BB531" t="s">
        <v>9</v>
      </c>
      <c r="BC531" t="s">
        <v>8116</v>
      </c>
      <c r="BD531" t="s">
        <v>5313</v>
      </c>
      <c r="BE531" t="s">
        <v>9</v>
      </c>
      <c r="BF531" t="s">
        <v>9</v>
      </c>
      <c r="BG531" t="s">
        <v>9</v>
      </c>
      <c r="BH531" t="s">
        <v>6212</v>
      </c>
      <c r="BI531" t="s">
        <v>2795</v>
      </c>
      <c r="BJ531" t="s">
        <v>155</v>
      </c>
      <c r="BK531" t="s">
        <v>6213</v>
      </c>
      <c r="BL531" t="s">
        <v>6216</v>
      </c>
      <c r="BM531" t="s">
        <v>8116</v>
      </c>
      <c r="BN531">
        <v>-10.69</v>
      </c>
      <c r="BO531">
        <v>1328.4</v>
      </c>
      <c r="BP531" t="s">
        <v>9</v>
      </c>
      <c r="BQ531">
        <v>-11.08</v>
      </c>
      <c r="BR531">
        <v>-129.63999999999999</v>
      </c>
      <c r="BS531">
        <v>60.41</v>
      </c>
      <c r="BT531" t="s">
        <v>9</v>
      </c>
      <c r="BU531" t="s">
        <v>489</v>
      </c>
      <c r="BV531">
        <v>31.1</v>
      </c>
      <c r="BW531">
        <v>33.49</v>
      </c>
      <c r="BX531" t="s">
        <v>9</v>
      </c>
      <c r="BY531">
        <v>-4.75</v>
      </c>
      <c r="BZ531">
        <v>-65.66</v>
      </c>
      <c r="CA531" t="s">
        <v>9</v>
      </c>
      <c r="CB531">
        <v>-22.96</v>
      </c>
      <c r="CC531">
        <v>-53.36</v>
      </c>
      <c r="CD531" t="s">
        <v>12845</v>
      </c>
      <c r="CE531" t="s">
        <v>2727</v>
      </c>
      <c r="CF531" s="8" t="s">
        <v>9</v>
      </c>
      <c r="CG531" s="9">
        <v>0.92259999999999998</v>
      </c>
      <c r="CH531" s="8">
        <v>9.0090200304985046E-2</v>
      </c>
      <c r="CI531" s="8">
        <v>8.4128707647323608E-2</v>
      </c>
      <c r="CJ531" s="8">
        <v>0.69615960121154785</v>
      </c>
      <c r="CK531" s="8">
        <v>2.9879879951477051</v>
      </c>
      <c r="CL531" s="8" t="s">
        <v>9</v>
      </c>
      <c r="CM531" s="9">
        <v>0.87163561582565308</v>
      </c>
      <c r="CN531" s="9">
        <v>-0.75317603349685669</v>
      </c>
      <c r="CO531" s="9" t="s">
        <v>9</v>
      </c>
      <c r="CP531" s="9" t="s">
        <v>9</v>
      </c>
      <c r="CQ531" s="9" t="s">
        <v>9</v>
      </c>
      <c r="CR531">
        <v>1.251613456937799</v>
      </c>
      <c r="CS531">
        <v>9.3975492487520212E-2</v>
      </c>
      <c r="CT531">
        <v>0</v>
      </c>
      <c r="CU531" s="8">
        <v>0.13318509153905325</v>
      </c>
      <c r="CV531" s="9">
        <v>0.10173230320215225</v>
      </c>
      <c r="CW531">
        <v>0.06</v>
      </c>
      <c r="CX531" t="e">
        <v>#VALUE!</v>
      </c>
      <c r="CY531" t="s">
        <v>109</v>
      </c>
      <c r="CZ531">
        <v>0.13318509153905325</v>
      </c>
      <c r="DA531" t="e">
        <v>#VALUE!</v>
      </c>
      <c r="DB531" t="s">
        <v>108</v>
      </c>
      <c r="DC531">
        <v>0.1265258369621006</v>
      </c>
      <c r="DD531" t="e">
        <v>#VALUE!</v>
      </c>
      <c r="DE531" t="s">
        <v>108</v>
      </c>
      <c r="DF531">
        <v>0.11720288055436687</v>
      </c>
      <c r="DG531" t="e">
        <v>#VALUE!</v>
      </c>
      <c r="DH531" t="s">
        <v>108</v>
      </c>
      <c r="DI531">
        <v>0.1065480732312426</v>
      </c>
      <c r="DJ531" t="e">
        <v>#VALUE!</v>
      </c>
      <c r="DK531" t="s">
        <v>108</v>
      </c>
      <c r="DL531">
        <v>9.3229564077337276E-2</v>
      </c>
      <c r="DM531">
        <v>-248000000</v>
      </c>
      <c r="DN531">
        <v>0.13318509153905325</v>
      </c>
      <c r="DO531">
        <v>1395131800</v>
      </c>
      <c r="DP531" t="e">
        <v>#VALUE!</v>
      </c>
      <c r="DQ531">
        <v>531</v>
      </c>
      <c r="DR531" t="e">
        <v>#VALUE!</v>
      </c>
      <c r="DS531">
        <v>0.82086769679784777</v>
      </c>
      <c r="DT531" t="e">
        <v>#VALUE!</v>
      </c>
      <c r="DU531">
        <v>-1.0083333333333333</v>
      </c>
      <c r="DV531" t="e">
        <v>#VALUE!</v>
      </c>
      <c r="DW531">
        <v>-9.4302848575712144</v>
      </c>
      <c r="DX531">
        <v>0.20350239693192707</v>
      </c>
      <c r="DY531">
        <v>-9.0273241198192853</v>
      </c>
      <c r="DZ531">
        <v>0</v>
      </c>
      <c r="EA531">
        <v>-9.0273241198192853</v>
      </c>
      <c r="EB531">
        <v>9</v>
      </c>
      <c r="EC531">
        <v>4.9373341794679566E-2</v>
      </c>
      <c r="ED531">
        <v>0.77750359325186513</v>
      </c>
      <c r="EE531">
        <v>0</v>
      </c>
      <c r="EF531">
        <v>0</v>
      </c>
      <c r="EG531">
        <v>14.063502396931927</v>
      </c>
      <c r="EH531" t="s">
        <v>110</v>
      </c>
      <c r="EI531">
        <v>0</v>
      </c>
      <c r="EJ531">
        <v>0</v>
      </c>
      <c r="EK531">
        <v>0</v>
      </c>
      <c r="EL531">
        <v>0</v>
      </c>
      <c r="EM531">
        <v>0</v>
      </c>
      <c r="EN531">
        <v>0</v>
      </c>
      <c r="EO531">
        <v>0</v>
      </c>
      <c r="EP531">
        <v>0</v>
      </c>
    </row>
    <row r="532" spans="1:146" ht="96" x14ac:dyDescent="0.25">
      <c r="A532"/>
      <c r="B532"/>
      <c r="C532" s="7" t="str">
        <f>""&amp;CHAR(10)&amp;Basic_Fundamental_Information_Constructure(F532)&amp;CHAR(10)&amp;Basic_Fundamental_Information_Concatenate("")</f>
        <v xml:space="preserve">
市值85.510387亿, 利润--; PE33.13; 平均PE-23.79; 平均PEG-4.5, PB3.41; ROIC0%; ROE0%; 股利率0%; 毛利0%; 净利0%, 利润增-55.49%; 过往5年营收增5.29%, 利润增-104.48%
Income profile:
</v>
      </c>
      <c r="D532" s="11">
        <v>9890</v>
      </c>
      <c r="E532" t="s">
        <v>12846</v>
      </c>
      <c r="F532">
        <v>16</v>
      </c>
      <c r="G532">
        <v>-5.0000000000000001E-3</v>
      </c>
      <c r="H532" t="s">
        <v>12847</v>
      </c>
      <c r="I532">
        <v>8551038700</v>
      </c>
      <c r="J532">
        <v>33.130000000000003</v>
      </c>
      <c r="K532">
        <v>3.41</v>
      </c>
      <c r="L532" t="s">
        <v>6350</v>
      </c>
      <c r="M532" t="s">
        <v>9</v>
      </c>
      <c r="N532" t="s">
        <v>9</v>
      </c>
      <c r="O532" t="s">
        <v>9</v>
      </c>
      <c r="P532" s="5" t="s">
        <v>9</v>
      </c>
      <c r="Q532" t="s">
        <v>9</v>
      </c>
      <c r="R532">
        <v>258140850</v>
      </c>
      <c r="S532">
        <v>-0.55489999999999995</v>
      </c>
      <c r="T532" t="s">
        <v>9</v>
      </c>
      <c r="U532">
        <v>534439920</v>
      </c>
      <c r="V532">
        <v>534439920</v>
      </c>
      <c r="W532" t="s">
        <v>9</v>
      </c>
      <c r="X532" t="s">
        <v>9</v>
      </c>
      <c r="Y532" t="s">
        <v>9</v>
      </c>
      <c r="Z532" t="s">
        <v>9</v>
      </c>
      <c r="AA532" t="s">
        <v>9</v>
      </c>
      <c r="AB532" t="s">
        <v>9</v>
      </c>
      <c r="AC532" t="s">
        <v>9</v>
      </c>
      <c r="AD532" t="s">
        <v>9</v>
      </c>
      <c r="AE532" t="s">
        <v>9</v>
      </c>
      <c r="AF532" t="s">
        <v>9</v>
      </c>
      <c r="AG532" t="s">
        <v>9</v>
      </c>
      <c r="AH532" t="s">
        <v>12848</v>
      </c>
      <c r="AI532" t="s">
        <v>9</v>
      </c>
      <c r="AJ532" t="s">
        <v>9</v>
      </c>
      <c r="AK532" s="5" t="s">
        <v>12849</v>
      </c>
      <c r="AL532" t="s">
        <v>9</v>
      </c>
      <c r="AM532" t="s">
        <v>9</v>
      </c>
      <c r="AN532">
        <v>0.68689999999999996</v>
      </c>
      <c r="AO532" t="s">
        <v>9</v>
      </c>
      <c r="AP532" t="s">
        <v>9</v>
      </c>
      <c r="AQ532" t="s">
        <v>9</v>
      </c>
      <c r="AR532" t="s">
        <v>9</v>
      </c>
      <c r="AS532" t="s">
        <v>9</v>
      </c>
      <c r="AT532" t="s">
        <v>9</v>
      </c>
      <c r="AU532" t="s">
        <v>9</v>
      </c>
      <c r="AV532" t="s">
        <v>9</v>
      </c>
      <c r="AW532" t="s">
        <v>9</v>
      </c>
      <c r="AX532" t="s">
        <v>9</v>
      </c>
      <c r="AY532" t="s">
        <v>9</v>
      </c>
      <c r="AZ532" t="s">
        <v>9</v>
      </c>
      <c r="BA532" t="s">
        <v>9</v>
      </c>
      <c r="BB532" t="s">
        <v>9</v>
      </c>
      <c r="BC532" t="s">
        <v>9</v>
      </c>
      <c r="BD532" t="s">
        <v>9</v>
      </c>
      <c r="BE532" t="s">
        <v>9</v>
      </c>
      <c r="BF532" t="s">
        <v>9</v>
      </c>
      <c r="BG532" t="s">
        <v>9</v>
      </c>
      <c r="BH532" t="s">
        <v>9</v>
      </c>
      <c r="BI532" t="s">
        <v>9</v>
      </c>
      <c r="BJ532" t="s">
        <v>9</v>
      </c>
      <c r="BK532" t="s">
        <v>9</v>
      </c>
      <c r="BL532" t="s">
        <v>9</v>
      </c>
      <c r="BM532" t="s">
        <v>9</v>
      </c>
      <c r="BN532" t="s">
        <v>9</v>
      </c>
      <c r="BO532" t="s">
        <v>9</v>
      </c>
      <c r="BP532" t="s">
        <v>9</v>
      </c>
      <c r="BQ532" t="s">
        <v>9</v>
      </c>
      <c r="BR532" t="s">
        <v>9</v>
      </c>
      <c r="BS532" t="s">
        <v>9</v>
      </c>
      <c r="BT532" t="s">
        <v>9</v>
      </c>
      <c r="BU532" t="s">
        <v>9</v>
      </c>
      <c r="BV532" t="s">
        <v>9</v>
      </c>
      <c r="BW532" t="s">
        <v>9</v>
      </c>
      <c r="BX532" t="s">
        <v>9</v>
      </c>
      <c r="BY532" t="s">
        <v>9</v>
      </c>
      <c r="BZ532" t="s">
        <v>9</v>
      </c>
      <c r="CA532" t="s">
        <v>9</v>
      </c>
      <c r="CB532">
        <v>-11.8</v>
      </c>
      <c r="CC532" s="8">
        <v>-41.71</v>
      </c>
      <c r="CD532" s="10" t="s">
        <v>12850</v>
      </c>
      <c r="CE532" s="8" t="s">
        <v>12851</v>
      </c>
      <c r="CF532" s="8" t="s">
        <v>9</v>
      </c>
      <c r="CG532" s="8">
        <v>-0.55489999999999995</v>
      </c>
      <c r="CH532" s="8" t="s">
        <v>9</v>
      </c>
      <c r="CI532" s="8" t="s">
        <v>9</v>
      </c>
      <c r="CJ532" s="9" t="s">
        <v>9</v>
      </c>
      <c r="CK532" s="9" t="s">
        <v>9</v>
      </c>
      <c r="CL532" s="9" t="s">
        <v>9</v>
      </c>
      <c r="CM532" s="9" t="s">
        <v>9</v>
      </c>
      <c r="CN532" s="9" t="s">
        <v>9</v>
      </c>
      <c r="CO532" t="s">
        <v>9</v>
      </c>
      <c r="CP532" t="s">
        <v>9</v>
      </c>
      <c r="CQ532" t="s">
        <v>9</v>
      </c>
      <c r="CR532" s="8">
        <v>-23.792539510294937</v>
      </c>
      <c r="CS532" s="9">
        <v>-4.495751910166998</v>
      </c>
      <c r="CT532">
        <v>0</v>
      </c>
      <c r="CU532">
        <v>5.2922269701957701E-2</v>
      </c>
      <c r="CV532">
        <v>-1.0447968527674676</v>
      </c>
      <c r="CW532">
        <v>0.06</v>
      </c>
      <c r="CX532" t="e">
        <v>#DIV/0!</v>
      </c>
      <c r="CY532">
        <v>0</v>
      </c>
      <c r="CZ532">
        <v>5.2922269701957701E-2</v>
      </c>
      <c r="DA532" t="e">
        <v>#DIV/0!</v>
      </c>
      <c r="DB532">
        <v>0</v>
      </c>
      <c r="DC532">
        <v>5.0276156216859817E-2</v>
      </c>
      <c r="DD532" t="e">
        <v>#DIV/0!</v>
      </c>
      <c r="DE532">
        <v>0</v>
      </c>
      <c r="DF532">
        <v>4.657159733772278E-2</v>
      </c>
      <c r="DG532" t="e">
        <v>#DIV/0!</v>
      </c>
      <c r="DH532">
        <v>0</v>
      </c>
      <c r="DI532">
        <v>4.2337815761566165E-2</v>
      </c>
      <c r="DJ532" t="e">
        <v>#DIV/0!</v>
      </c>
      <c r="DK532">
        <v>0</v>
      </c>
      <c r="DL532">
        <v>3.704558879137039E-2</v>
      </c>
      <c r="DM532">
        <v>0</v>
      </c>
      <c r="DN532">
        <v>5.2922269701957701E-2</v>
      </c>
      <c r="DO532">
        <v>8551038700</v>
      </c>
      <c r="DP532" t="e">
        <v>#VALUE!</v>
      </c>
      <c r="DQ532">
        <v>532</v>
      </c>
      <c r="DR532" t="e">
        <v>#VALUE!</v>
      </c>
      <c r="DS532">
        <v>0.48989685276746764</v>
      </c>
      <c r="DT532" t="e">
        <v>#VALUE!</v>
      </c>
      <c r="DU532" t="e">
        <v>#VALUE!</v>
      </c>
      <c r="DV532" t="e">
        <v>#VALUE!</v>
      </c>
      <c r="DW532">
        <v>-9.282905777990889</v>
      </c>
      <c r="DX532">
        <v>0.24636419378934335</v>
      </c>
      <c r="DY532">
        <v>-9.0244329294345302</v>
      </c>
      <c r="DZ532">
        <v>0</v>
      </c>
      <c r="EA532">
        <v>-9.0244329294345302</v>
      </c>
      <c r="EB532">
        <v>9</v>
      </c>
      <c r="EC532">
        <v>1.5053703323658907E-2</v>
      </c>
      <c r="ED532">
        <v>0.17430490596585674</v>
      </c>
      <c r="EE532">
        <v>0</v>
      </c>
      <c r="EF532">
        <v>0</v>
      </c>
      <c r="EG532">
        <v>16.086364193789343</v>
      </c>
      <c r="EH532" t="s">
        <v>110</v>
      </c>
      <c r="EI532">
        <v>0</v>
      </c>
      <c r="EJ532">
        <v>0</v>
      </c>
      <c r="EK532">
        <v>0</v>
      </c>
      <c r="EL532">
        <v>0</v>
      </c>
      <c r="EM532">
        <v>0</v>
      </c>
      <c r="EN532">
        <v>0</v>
      </c>
      <c r="EO532">
        <v>0</v>
      </c>
      <c r="EP532">
        <v>0</v>
      </c>
    </row>
    <row r="533" spans="1:146" ht="96" x14ac:dyDescent="0.25">
      <c r="A533" s="7"/>
      <c r="B533" s="7"/>
      <c r="C533" s="7" t="str">
        <f>""&amp;CHAR(10)&amp;Basic_Fundamental_Information_Constructure(F533)&amp;CHAR(10)&amp;Basic_Fundamental_Information_Concatenate("")</f>
        <v xml:space="preserve">
市值470.34204亿, 利润19.07亿; PE23.48; 平均PE127.22; 平均PEG64.55, PB4.81; ROIC15.74%; ROE2.5567%; 股利率0%; 毛利34.585%; 净利10.935%; 上一年度营收增4.73%, 利润增212.04%; 当季营收增27.38%, 利润增58.76%; 过往5年营收增-1.97%, 利润增26.76%
Income profile:
</v>
      </c>
      <c r="D533" s="11">
        <v>9896</v>
      </c>
      <c r="E533" t="s">
        <v>6217</v>
      </c>
      <c r="F533">
        <v>37.35</v>
      </c>
      <c r="G533" s="5">
        <v>-2.4799999999999999E-2</v>
      </c>
      <c r="H533" t="s">
        <v>12852</v>
      </c>
      <c r="I533">
        <v>47034204000</v>
      </c>
      <c r="J533">
        <v>23.48</v>
      </c>
      <c r="K533">
        <v>4.8099999999999996</v>
      </c>
      <c r="L533" t="s">
        <v>6350</v>
      </c>
      <c r="M533" t="s">
        <v>10138</v>
      </c>
      <c r="N533" t="s">
        <v>12853</v>
      </c>
      <c r="O533" t="s">
        <v>6007</v>
      </c>
      <c r="P533">
        <v>36.74</v>
      </c>
      <c r="Q533" t="s">
        <v>12854</v>
      </c>
      <c r="R533">
        <v>1368501600</v>
      </c>
      <c r="S533" s="5">
        <v>0.58760000000000001</v>
      </c>
      <c r="T533" t="s">
        <v>3252</v>
      </c>
      <c r="U533">
        <v>1263689690</v>
      </c>
      <c r="V533">
        <v>1263689690</v>
      </c>
      <c r="W533">
        <v>1.59</v>
      </c>
      <c r="X533">
        <v>0.28000000000000003</v>
      </c>
      <c r="Y533">
        <v>22.32</v>
      </c>
      <c r="Z533" t="s">
        <v>12855</v>
      </c>
      <c r="AA533" t="s">
        <v>12856</v>
      </c>
      <c r="AB533" t="s">
        <v>1142</v>
      </c>
      <c r="AC533" t="s">
        <v>1710</v>
      </c>
      <c r="AD533" t="s">
        <v>9</v>
      </c>
      <c r="AE533" t="s">
        <v>12857</v>
      </c>
      <c r="AF533" t="s">
        <v>9</v>
      </c>
      <c r="AG533" t="s">
        <v>12858</v>
      </c>
      <c r="AH533" t="s">
        <v>12859</v>
      </c>
      <c r="AI533" t="s">
        <v>1247</v>
      </c>
      <c r="AJ533" t="s">
        <v>9</v>
      </c>
      <c r="AK533" t="s">
        <v>12860</v>
      </c>
      <c r="AL533" t="s">
        <v>9</v>
      </c>
      <c r="AM533" t="s">
        <v>4137</v>
      </c>
      <c r="AN533" s="5">
        <v>0.36549999999999999</v>
      </c>
      <c r="AO533" t="s">
        <v>12861</v>
      </c>
      <c r="AP533" t="s">
        <v>3827</v>
      </c>
      <c r="AQ533" t="s">
        <v>9</v>
      </c>
      <c r="AR533" t="s">
        <v>12862</v>
      </c>
      <c r="AS533" t="s">
        <v>12863</v>
      </c>
      <c r="AT533" t="s">
        <v>12864</v>
      </c>
      <c r="AU533" t="s">
        <v>8438</v>
      </c>
      <c r="AV533" t="s">
        <v>2847</v>
      </c>
      <c r="AW533" t="s">
        <v>9</v>
      </c>
      <c r="AX533" t="s">
        <v>6220</v>
      </c>
      <c r="AY533" t="s">
        <v>6222</v>
      </c>
      <c r="AZ533" t="s">
        <v>6223</v>
      </c>
      <c r="BA533" t="s">
        <v>9</v>
      </c>
      <c r="BB533" t="s">
        <v>9</v>
      </c>
      <c r="BC533" t="s">
        <v>6224</v>
      </c>
      <c r="BD533" t="s">
        <v>12865</v>
      </c>
      <c r="BE533" t="s">
        <v>9</v>
      </c>
      <c r="BF533" t="s">
        <v>9</v>
      </c>
      <c r="BG533" t="s">
        <v>9</v>
      </c>
      <c r="BH533" t="s">
        <v>6220</v>
      </c>
      <c r="BI533" t="s">
        <v>6225</v>
      </c>
      <c r="BJ533" t="s">
        <v>6222</v>
      </c>
      <c r="BK533" t="s">
        <v>12866</v>
      </c>
      <c r="BL533" t="s">
        <v>1710</v>
      </c>
      <c r="BM533" t="s">
        <v>6224</v>
      </c>
      <c r="BN533">
        <v>22.18</v>
      </c>
      <c r="BO533">
        <v>9.3000000000000007</v>
      </c>
      <c r="BP533" t="s">
        <v>9</v>
      </c>
      <c r="BQ533">
        <v>19.87</v>
      </c>
      <c r="BR533">
        <v>9.0500000000000007</v>
      </c>
      <c r="BS533">
        <v>-21.25</v>
      </c>
      <c r="BT533" t="s">
        <v>1433</v>
      </c>
      <c r="BU533" t="s">
        <v>1541</v>
      </c>
      <c r="BV533">
        <v>38.729999999999997</v>
      </c>
      <c r="BW533">
        <v>30.44</v>
      </c>
      <c r="BX533" t="s">
        <v>9</v>
      </c>
      <c r="BY533">
        <v>15.53</v>
      </c>
      <c r="BZ533">
        <v>6.34</v>
      </c>
      <c r="CA533" t="s">
        <v>9</v>
      </c>
      <c r="CB533">
        <v>-6.62</v>
      </c>
      <c r="CC533">
        <v>-24.32</v>
      </c>
      <c r="CD533" t="s">
        <v>12867</v>
      </c>
      <c r="CE533" t="s">
        <v>12868</v>
      </c>
      <c r="CF533" s="8">
        <v>0.27377972465581979</v>
      </c>
      <c r="CG533" s="9">
        <v>0.58760000000000001</v>
      </c>
      <c r="CH533" s="8">
        <v>4.7316793352365494E-2</v>
      </c>
      <c r="CI533" s="8">
        <v>8.2561999559402466E-2</v>
      </c>
      <c r="CJ533" s="8">
        <v>7.4219994246959686E-2</v>
      </c>
      <c r="CK533" s="8" t="s">
        <v>9</v>
      </c>
      <c r="CL533" s="8" t="s">
        <v>9</v>
      </c>
      <c r="CM533" s="9">
        <v>2.1204464435577393</v>
      </c>
      <c r="CN533" s="9">
        <v>-4.9303135871887207</v>
      </c>
      <c r="CO533" s="9" t="s">
        <v>9</v>
      </c>
      <c r="CP533" s="9" t="s">
        <v>9</v>
      </c>
      <c r="CQ533" s="9" t="s">
        <v>9</v>
      </c>
      <c r="CR533">
        <v>127.21931450976142</v>
      </c>
      <c r="CS533">
        <v>64.548443987736775</v>
      </c>
      <c r="CT533">
        <v>0</v>
      </c>
      <c r="CU533" s="8">
        <v>-1.9709121808409689E-2</v>
      </c>
      <c r="CV533" s="9">
        <v>0.26763341352343561</v>
      </c>
      <c r="CW533">
        <v>0.06</v>
      </c>
      <c r="CX533">
        <v>22.641428421604616</v>
      </c>
      <c r="CY533" t="s">
        <v>12869</v>
      </c>
      <c r="CZ533">
        <v>-1.9709121808409689E-2</v>
      </c>
      <c r="DA533">
        <v>7.5471428072015385</v>
      </c>
      <c r="DB533" t="s">
        <v>12870</v>
      </c>
      <c r="DC533">
        <v>-1.8723665717989203E-2</v>
      </c>
      <c r="DD533">
        <v>3.7735714036007693</v>
      </c>
      <c r="DE533" t="s">
        <v>12871</v>
      </c>
      <c r="DF533">
        <v>-1.7344027191400525E-2</v>
      </c>
      <c r="DG533">
        <v>2.2641428421604615</v>
      </c>
      <c r="DH533" t="s">
        <v>12872</v>
      </c>
      <c r="DI533">
        <v>-1.5767297446727752E-2</v>
      </c>
      <c r="DJ533">
        <v>1.1320714210802307</v>
      </c>
      <c r="DK533" t="s">
        <v>12873</v>
      </c>
      <c r="DL533">
        <v>-1.3796385265886781E-2</v>
      </c>
      <c r="DM533">
        <v>1907000000</v>
      </c>
      <c r="DN533">
        <v>-1.9709121808409689E-2</v>
      </c>
      <c r="DO533">
        <v>43177204000</v>
      </c>
      <c r="DP533" t="e">
        <v>#VALUE!</v>
      </c>
      <c r="DQ533">
        <v>533</v>
      </c>
      <c r="DR533">
        <v>0.29348884646422946</v>
      </c>
      <c r="DS533">
        <v>0.3199665864765644</v>
      </c>
      <c r="DT533">
        <v>-0.50666666666666671</v>
      </c>
      <c r="DU533">
        <v>0.8833333333333333</v>
      </c>
      <c r="DV533">
        <v>0.37666666666666659</v>
      </c>
      <c r="DW533">
        <v>-9.2722039473684212</v>
      </c>
      <c r="DX533">
        <v>0.42772069632339327</v>
      </c>
      <c r="DY533">
        <v>-9.0402101566472393</v>
      </c>
      <c r="DZ533">
        <v>0</v>
      </c>
      <c r="EA533">
        <v>-9.0402101566472393</v>
      </c>
      <c r="EB533">
        <v>9</v>
      </c>
      <c r="EC533">
        <v>1.1594222945666352E-2</v>
      </c>
      <c r="ED533">
        <v>7.8487464750938957E-2</v>
      </c>
      <c r="EE533">
        <v>0</v>
      </c>
      <c r="EF533">
        <v>0</v>
      </c>
      <c r="EG533">
        <v>28.147720696323393</v>
      </c>
      <c r="EH533" t="s">
        <v>110</v>
      </c>
      <c r="EI533">
        <v>0</v>
      </c>
      <c r="EJ533">
        <v>0</v>
      </c>
      <c r="EK533">
        <v>0</v>
      </c>
      <c r="EL533">
        <v>0</v>
      </c>
      <c r="EM533">
        <v>0</v>
      </c>
      <c r="EN533">
        <v>0</v>
      </c>
      <c r="EO533">
        <v>0</v>
      </c>
      <c r="EP533">
        <v>0</v>
      </c>
    </row>
    <row r="534" spans="1:146" ht="96" x14ac:dyDescent="0.25">
      <c r="A534" s="7"/>
      <c r="B534" s="7"/>
      <c r="C534" s="7" t="str">
        <f>""&amp;CHAR(10)&amp;Basic_Fundamental_Information_Constructure(F534)&amp;CHAR(10)&amp;Basic_Fundamental_Information_Concatenate("")</f>
        <v xml:space="preserve">
市值57.581825亿, 利润4.97亿; PE11.58; 平均PE17.51; 平均PEG2.26, PB1.57; ROIC8.6633%; ROE8.7233%; 股利率0%; 毛利63.7667%; 净利6.1033%; 上一年度营收增45.21%, 利润增19.47%, 利润增794.2%; 过往5年营收增7.76%, 利润增12.75%
Income profile:
</v>
      </c>
      <c r="D534" s="11">
        <v>9922</v>
      </c>
      <c r="E534" t="s">
        <v>6226</v>
      </c>
      <c r="F534">
        <v>4.0199999999999996</v>
      </c>
      <c r="G534" s="5">
        <v>0</v>
      </c>
      <c r="H534" t="s">
        <v>12874</v>
      </c>
      <c r="I534">
        <v>5758182500</v>
      </c>
      <c r="J534">
        <v>11.58</v>
      </c>
      <c r="K534">
        <v>1.57</v>
      </c>
      <c r="L534" t="s">
        <v>6350</v>
      </c>
      <c r="M534" t="s">
        <v>9</v>
      </c>
      <c r="N534" t="s">
        <v>9</v>
      </c>
      <c r="O534" t="s">
        <v>9</v>
      </c>
      <c r="P534" t="s">
        <v>9</v>
      </c>
      <c r="Q534" t="s">
        <v>12875</v>
      </c>
      <c r="R534">
        <v>497085040</v>
      </c>
      <c r="S534" s="5">
        <v>7.9420000000000002</v>
      </c>
      <c r="T534" t="s">
        <v>2572</v>
      </c>
      <c r="U534">
        <v>1436567700</v>
      </c>
      <c r="V534">
        <v>1436567700</v>
      </c>
      <c r="W534" t="s">
        <v>9</v>
      </c>
      <c r="X534" t="s">
        <v>9</v>
      </c>
      <c r="Y534" t="s">
        <v>9</v>
      </c>
      <c r="Z534" t="s">
        <v>9</v>
      </c>
      <c r="AA534" t="s">
        <v>9</v>
      </c>
      <c r="AB534" t="s">
        <v>9</v>
      </c>
      <c r="AC534" t="s">
        <v>9</v>
      </c>
      <c r="AD534" t="s">
        <v>12876</v>
      </c>
      <c r="AE534" t="s">
        <v>9</v>
      </c>
      <c r="AF534" t="s">
        <v>9</v>
      </c>
      <c r="AG534" t="s">
        <v>9</v>
      </c>
      <c r="AH534" t="s">
        <v>12877</v>
      </c>
      <c r="AI534" t="s">
        <v>9</v>
      </c>
      <c r="AJ534" t="s">
        <v>9</v>
      </c>
      <c r="AK534" t="s">
        <v>12878</v>
      </c>
      <c r="AL534" t="s">
        <v>9</v>
      </c>
      <c r="AM534" t="s">
        <v>9</v>
      </c>
      <c r="AN534" s="5">
        <v>0.48520000000000002</v>
      </c>
      <c r="AO534" t="s">
        <v>9</v>
      </c>
      <c r="AP534" t="s">
        <v>74</v>
      </c>
      <c r="AQ534" t="s">
        <v>9</v>
      </c>
      <c r="AR534" t="s">
        <v>6424</v>
      </c>
      <c r="AS534" t="s">
        <v>9</v>
      </c>
      <c r="AT534" t="s">
        <v>9</v>
      </c>
      <c r="AU534" t="s">
        <v>2919</v>
      </c>
      <c r="AV534" t="s">
        <v>2253</v>
      </c>
      <c r="AW534" t="s">
        <v>9</v>
      </c>
      <c r="AX534" t="s">
        <v>4055</v>
      </c>
      <c r="AY534" t="s">
        <v>5473</v>
      </c>
      <c r="AZ534" t="s">
        <v>4807</v>
      </c>
      <c r="BA534" t="s">
        <v>6228</v>
      </c>
      <c r="BB534" t="s">
        <v>1923</v>
      </c>
      <c r="BC534" t="s">
        <v>1041</v>
      </c>
      <c r="BD534" t="s">
        <v>1255</v>
      </c>
      <c r="BE534" t="s">
        <v>1075</v>
      </c>
      <c r="BF534" t="s">
        <v>6229</v>
      </c>
      <c r="BG534" t="s">
        <v>6230</v>
      </c>
      <c r="BH534" t="s">
        <v>4055</v>
      </c>
      <c r="BI534" t="s">
        <v>9</v>
      </c>
      <c r="BJ534" t="s">
        <v>5473</v>
      </c>
      <c r="BK534" t="s">
        <v>6227</v>
      </c>
      <c r="BL534" t="s">
        <v>9</v>
      </c>
      <c r="BM534" t="s">
        <v>1041</v>
      </c>
      <c r="BN534">
        <v>13.35</v>
      </c>
      <c r="BO534">
        <v>1.57</v>
      </c>
      <c r="BP534">
        <v>11.07</v>
      </c>
      <c r="BQ534">
        <v>13.59</v>
      </c>
      <c r="BR534">
        <v>1.55</v>
      </c>
      <c r="BS534">
        <v>11.03</v>
      </c>
      <c r="BT534" t="s">
        <v>2579</v>
      </c>
      <c r="BU534" t="s">
        <v>567</v>
      </c>
      <c r="BV534">
        <v>64.209999999999994</v>
      </c>
      <c r="BW534">
        <v>63.87</v>
      </c>
      <c r="BX534">
        <v>63.22</v>
      </c>
      <c r="BY534">
        <v>8.02</v>
      </c>
      <c r="BZ534">
        <v>1.39</v>
      </c>
      <c r="CA534">
        <v>8.9</v>
      </c>
      <c r="CB534">
        <v>-2.4300000000000002</v>
      </c>
      <c r="CC534">
        <v>-24.86</v>
      </c>
      <c r="CD534" t="s">
        <v>12879</v>
      </c>
      <c r="CE534" t="s">
        <v>3488</v>
      </c>
      <c r="CF534" s="8" t="s">
        <v>9</v>
      </c>
      <c r="CG534" s="9">
        <v>7.9420000000000002</v>
      </c>
      <c r="CH534" s="8">
        <v>0.45209112763404846</v>
      </c>
      <c r="CI534" s="8">
        <v>-0.11703791469335556</v>
      </c>
      <c r="CJ534" s="8">
        <v>0.58158224821090698</v>
      </c>
      <c r="CK534" s="8">
        <v>0.50162410736083984</v>
      </c>
      <c r="CL534" s="8">
        <v>0.22373659908771515</v>
      </c>
      <c r="CM534" s="9">
        <v>0.19471153616905212</v>
      </c>
      <c r="CN534" s="9">
        <v>1.8108108043670654</v>
      </c>
      <c r="CO534" s="9">
        <v>-0.19565217196941376</v>
      </c>
      <c r="CP534" s="9">
        <v>1.3202675580978394</v>
      </c>
      <c r="CQ534" s="9">
        <v>-1.0709821246564388E-2</v>
      </c>
      <c r="CR534">
        <v>17.510945261023824</v>
      </c>
      <c r="CS534">
        <v>2.2579220570954912</v>
      </c>
      <c r="CT534">
        <v>0</v>
      </c>
      <c r="CU534" s="8">
        <v>7.7553364634513858E-2</v>
      </c>
      <c r="CV534" s="9">
        <v>0.12751100286841394</v>
      </c>
      <c r="CW534">
        <v>0.06</v>
      </c>
      <c r="CX534">
        <v>11.397146073370621</v>
      </c>
      <c r="CY534">
        <v>505230209.64467299</v>
      </c>
      <c r="CZ534">
        <v>7.7553364634513858E-2</v>
      </c>
      <c r="DA534">
        <v>3.7639988190374174</v>
      </c>
      <c r="DB534">
        <v>1529804544.8039124</v>
      </c>
      <c r="DC534">
        <v>7.3675696402788163E-2</v>
      </c>
      <c r="DD534">
        <v>1.8791413265051524</v>
      </c>
      <c r="DE534">
        <v>3064262606.9584298</v>
      </c>
      <c r="DF534">
        <v>6.824696087837219E-2</v>
      </c>
      <c r="DG534">
        <v>1.146367313439302</v>
      </c>
      <c r="DH534">
        <v>5022982103.9858923</v>
      </c>
      <c r="DI534">
        <v>6.2042691707611092E-2</v>
      </c>
      <c r="DJ534">
        <v>0.6128163297266187</v>
      </c>
      <c r="DK534">
        <v>9396261523.528204</v>
      </c>
      <c r="DL534">
        <v>5.4287355244159695E-2</v>
      </c>
      <c r="DM534">
        <v>497000000</v>
      </c>
      <c r="DN534">
        <v>7.7553364634513858E-2</v>
      </c>
      <c r="DO534">
        <v>5758182500</v>
      </c>
      <c r="DP534" t="e">
        <v>#VALUE!</v>
      </c>
      <c r="DQ534">
        <v>534</v>
      </c>
      <c r="DR534" t="e">
        <v>#VALUE!</v>
      </c>
      <c r="DS534">
        <v>7.8144889971315861</v>
      </c>
      <c r="DT534" t="e">
        <v>#VALUE!</v>
      </c>
      <c r="DU534" t="e">
        <v>#VALUE!</v>
      </c>
      <c r="DV534" t="e">
        <v>#VALUE!</v>
      </c>
      <c r="DW534">
        <v>-3.1002023809523811</v>
      </c>
      <c r="DX534">
        <v>0.29778990107526881</v>
      </c>
      <c r="DY534">
        <v>-3.0158109237779827</v>
      </c>
      <c r="DZ534">
        <v>0</v>
      </c>
      <c r="EA534">
        <v>-3.0158109237779827</v>
      </c>
      <c r="EB534">
        <v>3</v>
      </c>
      <c r="EC534">
        <v>5.1074724845894835E-2</v>
      </c>
      <c r="ED534">
        <v>0.32368819095682022</v>
      </c>
      <c r="EE534">
        <v>0</v>
      </c>
      <c r="EF534">
        <v>0</v>
      </c>
      <c r="EG534">
        <v>14.157789901075269</v>
      </c>
      <c r="EH534" t="s">
        <v>110</v>
      </c>
      <c r="EI534">
        <v>0</v>
      </c>
      <c r="EJ534">
        <v>0</v>
      </c>
      <c r="EK534">
        <v>0</v>
      </c>
      <c r="EL534">
        <v>0</v>
      </c>
      <c r="EM534">
        <v>0</v>
      </c>
      <c r="EN534">
        <v>0</v>
      </c>
      <c r="EO534">
        <v>0</v>
      </c>
      <c r="EP534">
        <v>0</v>
      </c>
    </row>
    <row r="535" spans="1:146" ht="96" x14ac:dyDescent="0.25">
      <c r="A535" s="7"/>
      <c r="B535" s="7"/>
      <c r="C535" s="7" t="str">
        <f>""&amp;CHAR(10)&amp;Basic_Fundamental_Information_Constructure(F535)&amp;CHAR(10)&amp;Basic_Fundamental_Information_Concatenate("")</f>
        <v xml:space="preserve">
市值44.212642亿, 利润1274.55万; PE346.9; 平均PE7.76; 平均PEG1.45, PB1.49; ROIC5.4033%; ROE6.3033%; 股利率0%; 毛利25.1567%; 净利5.2033%; 上一年度营收增12.32%, 利润增-97.53%, 利润增-92.66%; 过往5年营收增5.36%, 利润增27.79%
Income profile:
</v>
      </c>
      <c r="D535" s="11">
        <v>9923</v>
      </c>
      <c r="E535" t="s">
        <v>6231</v>
      </c>
      <c r="F535">
        <v>9.98</v>
      </c>
      <c r="G535" s="5">
        <v>-2.92E-2</v>
      </c>
      <c r="H535" t="s">
        <v>12880</v>
      </c>
      <c r="I535">
        <v>4421264200</v>
      </c>
      <c r="J535">
        <v>346.9</v>
      </c>
      <c r="K535">
        <v>1.49</v>
      </c>
      <c r="L535" t="s">
        <v>6350</v>
      </c>
      <c r="M535" t="s">
        <v>9</v>
      </c>
      <c r="N535" t="s">
        <v>9</v>
      </c>
      <c r="O535" t="s">
        <v>9</v>
      </c>
      <c r="P535" t="s">
        <v>9</v>
      </c>
      <c r="Q535" t="s">
        <v>12881</v>
      </c>
      <c r="R535">
        <v>12745517</v>
      </c>
      <c r="S535" s="5">
        <v>-0.92659999999999998</v>
      </c>
      <c r="T535" t="s">
        <v>12882</v>
      </c>
      <c r="U535">
        <v>443012440</v>
      </c>
      <c r="V535">
        <v>443012440</v>
      </c>
      <c r="W535" t="s">
        <v>9</v>
      </c>
      <c r="X535" t="s">
        <v>9</v>
      </c>
      <c r="Y535" t="s">
        <v>9</v>
      </c>
      <c r="Z535" t="s">
        <v>9</v>
      </c>
      <c r="AA535" t="s">
        <v>9</v>
      </c>
      <c r="AB535" t="s">
        <v>9</v>
      </c>
      <c r="AC535" t="s">
        <v>9</v>
      </c>
      <c r="AD535" t="s">
        <v>2112</v>
      </c>
      <c r="AE535" t="s">
        <v>9</v>
      </c>
      <c r="AF535" t="s">
        <v>9</v>
      </c>
      <c r="AG535" t="s">
        <v>9</v>
      </c>
      <c r="AH535" t="s">
        <v>12883</v>
      </c>
      <c r="AI535" t="s">
        <v>9</v>
      </c>
      <c r="AJ535" t="s">
        <v>9</v>
      </c>
      <c r="AK535" t="s">
        <v>12884</v>
      </c>
      <c r="AL535" t="s">
        <v>9</v>
      </c>
      <c r="AM535" t="s">
        <v>9</v>
      </c>
      <c r="AN535" s="5">
        <v>0.68920000000000003</v>
      </c>
      <c r="AO535" t="s">
        <v>9</v>
      </c>
      <c r="AP535" t="s">
        <v>1962</v>
      </c>
      <c r="AQ535" t="s">
        <v>9</v>
      </c>
      <c r="AR535" t="s">
        <v>12885</v>
      </c>
      <c r="AS535" t="s">
        <v>9</v>
      </c>
      <c r="AT535" t="s">
        <v>9</v>
      </c>
      <c r="AU535" t="s">
        <v>4637</v>
      </c>
      <c r="AV535" t="s">
        <v>12886</v>
      </c>
      <c r="AW535" t="s">
        <v>9</v>
      </c>
      <c r="AX535" t="s">
        <v>6232</v>
      </c>
      <c r="AY535" t="s">
        <v>6234</v>
      </c>
      <c r="AZ535" t="s">
        <v>6030</v>
      </c>
      <c r="BA535" t="s">
        <v>4413</v>
      </c>
      <c r="BB535" t="s">
        <v>1543</v>
      </c>
      <c r="BC535" t="s">
        <v>6073</v>
      </c>
      <c r="BD535" t="s">
        <v>950</v>
      </c>
      <c r="BE535" t="s">
        <v>6236</v>
      </c>
      <c r="BF535" t="s">
        <v>6237</v>
      </c>
      <c r="BG535" t="s">
        <v>4582</v>
      </c>
      <c r="BH535" t="s">
        <v>6232</v>
      </c>
      <c r="BI535" t="s">
        <v>9</v>
      </c>
      <c r="BJ535" t="s">
        <v>6234</v>
      </c>
      <c r="BK535" t="s">
        <v>35</v>
      </c>
      <c r="BL535" t="s">
        <v>9</v>
      </c>
      <c r="BM535" t="s">
        <v>6073</v>
      </c>
      <c r="BN535">
        <v>0.3</v>
      </c>
      <c r="BO535">
        <v>4.05</v>
      </c>
      <c r="BP535">
        <v>11.86</v>
      </c>
      <c r="BQ535">
        <v>0.43</v>
      </c>
      <c r="BR535">
        <v>5.56</v>
      </c>
      <c r="BS535">
        <v>12.92</v>
      </c>
      <c r="BT535" t="s">
        <v>9</v>
      </c>
      <c r="BU535" t="s">
        <v>551</v>
      </c>
      <c r="BV535">
        <v>18.68</v>
      </c>
      <c r="BW535">
        <v>30.16</v>
      </c>
      <c r="BX535">
        <v>26.63</v>
      </c>
      <c r="BY535">
        <v>0.26</v>
      </c>
      <c r="BZ535">
        <v>2.81</v>
      </c>
      <c r="CA535">
        <v>12.54</v>
      </c>
      <c r="CB535">
        <v>-11.99</v>
      </c>
      <c r="CC535">
        <v>-11.05</v>
      </c>
      <c r="CD535" t="s">
        <v>12887</v>
      </c>
      <c r="CE535" t="s">
        <v>12888</v>
      </c>
      <c r="CF535" s="8" t="s">
        <v>9</v>
      </c>
      <c r="CG535" s="9">
        <v>-0.92659999999999998</v>
      </c>
      <c r="CH535" s="8">
        <v>0.12318459898233414</v>
      </c>
      <c r="CI535" s="8">
        <v>2.9639536514878273E-2</v>
      </c>
      <c r="CJ535" s="8">
        <v>0.37028905749320984</v>
      </c>
      <c r="CK535" s="8">
        <v>1.4164453744888306</v>
      </c>
      <c r="CL535" s="8">
        <v>2.098630428314209</v>
      </c>
      <c r="CM535" s="9">
        <v>-0.97525143623352051</v>
      </c>
      <c r="CN535" s="9">
        <v>-1.529636699706316E-2</v>
      </c>
      <c r="CO535" s="9">
        <v>4.5279045104980469</v>
      </c>
      <c r="CP535" s="9">
        <v>1.4548599720001221</v>
      </c>
      <c r="CQ535" s="9">
        <v>0.49268293380737305</v>
      </c>
      <c r="CR535">
        <v>7.757181111869289</v>
      </c>
      <c r="CS535">
        <v>1.4481665958371623</v>
      </c>
      <c r="CT535">
        <v>0</v>
      </c>
      <c r="CU535" s="8">
        <v>5.3565529920160768E-2</v>
      </c>
      <c r="CV535" s="9">
        <v>0.27791554331779478</v>
      </c>
      <c r="CW535">
        <v>0.06</v>
      </c>
      <c r="CX535">
        <v>349.00681102232249</v>
      </c>
      <c r="CY535">
        <v>12668131.567544725</v>
      </c>
      <c r="CZ535">
        <v>5.3565529920160768E-2</v>
      </c>
      <c r="DA535">
        <v>117.64054440964863</v>
      </c>
      <c r="DB535">
        <v>37582826.755750522</v>
      </c>
      <c r="DC535">
        <v>5.0887253424152727E-2</v>
      </c>
      <c r="DD535">
        <v>60.325542746558106</v>
      </c>
      <c r="DE535">
        <v>73290085.736563995</v>
      </c>
      <c r="DF535">
        <v>4.7137666329741479E-2</v>
      </c>
      <c r="DG535">
        <v>37.90266440323159</v>
      </c>
      <c r="DH535">
        <v>116647847.04747674</v>
      </c>
      <c r="DI535">
        <v>4.285242393612862E-2</v>
      </c>
      <c r="DJ535">
        <v>21.562273677902262</v>
      </c>
      <c r="DK535">
        <v>205046288.99739173</v>
      </c>
      <c r="DL535">
        <v>3.7495870944112532E-2</v>
      </c>
      <c r="DM535">
        <v>12745500</v>
      </c>
      <c r="DN535">
        <v>5.3565529920160768E-2</v>
      </c>
      <c r="DO535">
        <v>4421264200</v>
      </c>
      <c r="DP535" t="e">
        <v>#VALUE!</v>
      </c>
      <c r="DQ535">
        <v>535</v>
      </c>
      <c r="DR535" t="e">
        <v>#VALUE!</v>
      </c>
      <c r="DS535">
        <v>-1.2045155433177948</v>
      </c>
      <c r="DT535" t="e">
        <v>#VALUE!</v>
      </c>
      <c r="DU535" t="e">
        <v>#VALUE!</v>
      </c>
      <c r="DV535" t="e">
        <v>#VALUE!</v>
      </c>
      <c r="DW535">
        <v>-5.9216013344453708</v>
      </c>
      <c r="DX535">
        <v>0.36511530856640517</v>
      </c>
      <c r="DY535">
        <v>-5.1245224486787961</v>
      </c>
      <c r="DZ535">
        <v>0</v>
      </c>
      <c r="EA535">
        <v>-5.1245224486787961</v>
      </c>
      <c r="EB535">
        <v>5</v>
      </c>
      <c r="EC535">
        <v>6.2779275453303295E-3</v>
      </c>
      <c r="ED535">
        <v>4.6463480799771674E-2</v>
      </c>
      <c r="EE535">
        <v>0</v>
      </c>
      <c r="EF535">
        <v>0</v>
      </c>
      <c r="EG535">
        <v>23.135115308566405</v>
      </c>
      <c r="EH535" t="s">
        <v>110</v>
      </c>
      <c r="EI535">
        <v>0</v>
      </c>
      <c r="EJ535">
        <v>0</v>
      </c>
      <c r="EK535">
        <v>0</v>
      </c>
      <c r="EL535">
        <v>0</v>
      </c>
      <c r="EM535">
        <v>0</v>
      </c>
      <c r="EN535">
        <v>0</v>
      </c>
      <c r="EO535">
        <v>0</v>
      </c>
      <c r="EP535">
        <v>0</v>
      </c>
    </row>
    <row r="536" spans="1:146" ht="96" x14ac:dyDescent="0.25">
      <c r="A536" s="7"/>
      <c r="B536" s="7"/>
      <c r="C536" s="7" t="str">
        <f>""&amp;CHAR(10)&amp;Basic_Fundamental_Information_Constructure(F536)&amp;CHAR(10)&amp;Basic_Fundamental_Information_Concatenate("")</f>
        <v xml:space="preserve">
市值334.6538亿, 利润22.23亿; PE15.05; 平均PE35.95; 平均PEG6.91, PB6.51; ROIC-7.7267%; ROE-11.69%; 股利率0%; 毛利90.6567%; 净利-228.1667%; 上一年度营收增425.08%, 利润增268.92%, 利润增268.7%; 过往5年营收增5.2%, 利润增-9.35%
Income profile:
</v>
      </c>
      <c r="D536" s="11">
        <v>9926</v>
      </c>
      <c r="E536" t="s">
        <v>6238</v>
      </c>
      <c r="F536">
        <v>38.65</v>
      </c>
      <c r="G536" s="5">
        <v>-4.0899999999999999E-2</v>
      </c>
      <c r="H536" t="s">
        <v>12889</v>
      </c>
      <c r="I536">
        <v>33465380000</v>
      </c>
      <c r="J536">
        <v>15.05</v>
      </c>
      <c r="K536">
        <v>6.51</v>
      </c>
      <c r="L536" t="s">
        <v>6350</v>
      </c>
      <c r="M536" t="s">
        <v>9</v>
      </c>
      <c r="N536" t="s">
        <v>9</v>
      </c>
      <c r="O536" t="s">
        <v>9</v>
      </c>
      <c r="P536" t="s">
        <v>9</v>
      </c>
      <c r="Q536" t="s">
        <v>12890</v>
      </c>
      <c r="R536">
        <v>2223422500</v>
      </c>
      <c r="S536" s="5">
        <v>2.6869999999999998</v>
      </c>
      <c r="T536" t="s">
        <v>11657</v>
      </c>
      <c r="U536">
        <v>865857180</v>
      </c>
      <c r="V536">
        <v>865857180</v>
      </c>
      <c r="W536" t="s">
        <v>9</v>
      </c>
      <c r="X536" t="s">
        <v>9</v>
      </c>
      <c r="Y536" t="s">
        <v>9</v>
      </c>
      <c r="Z536" t="s">
        <v>9</v>
      </c>
      <c r="AA536" t="s">
        <v>9</v>
      </c>
      <c r="AB536" t="s">
        <v>9</v>
      </c>
      <c r="AC536" t="s">
        <v>9</v>
      </c>
      <c r="AD536" t="s">
        <v>868</v>
      </c>
      <c r="AE536" t="s">
        <v>9</v>
      </c>
      <c r="AF536" t="s">
        <v>9</v>
      </c>
      <c r="AG536" t="s">
        <v>9</v>
      </c>
      <c r="AH536" t="s">
        <v>12891</v>
      </c>
      <c r="AI536" t="s">
        <v>9</v>
      </c>
      <c r="AJ536" t="s">
        <v>9</v>
      </c>
      <c r="AK536" t="s">
        <v>12892</v>
      </c>
      <c r="AL536" t="s">
        <v>9</v>
      </c>
      <c r="AM536" t="s">
        <v>9</v>
      </c>
      <c r="AN536" s="5">
        <v>0.50780000000000003</v>
      </c>
      <c r="AO536" t="s">
        <v>9</v>
      </c>
      <c r="AP536" t="s">
        <v>4244</v>
      </c>
      <c r="AQ536" t="s">
        <v>9</v>
      </c>
      <c r="AR536" t="s">
        <v>4719</v>
      </c>
      <c r="AS536" t="s">
        <v>9</v>
      </c>
      <c r="AT536" t="s">
        <v>9</v>
      </c>
      <c r="AU536" t="s">
        <v>3256</v>
      </c>
      <c r="AV536" t="s">
        <v>4625</v>
      </c>
      <c r="AW536" t="s">
        <v>9</v>
      </c>
      <c r="AX536" t="s">
        <v>118</v>
      </c>
      <c r="AY536" t="s">
        <v>242</v>
      </c>
      <c r="AZ536" t="s">
        <v>9</v>
      </c>
      <c r="BA536" t="s">
        <v>6240</v>
      </c>
      <c r="BB536" t="s">
        <v>6241</v>
      </c>
      <c r="BC536" t="s">
        <v>6242</v>
      </c>
      <c r="BD536" t="s">
        <v>6243</v>
      </c>
      <c r="BE536" t="s">
        <v>3825</v>
      </c>
      <c r="BF536" t="s">
        <v>4634</v>
      </c>
      <c r="BG536" t="s">
        <v>6244</v>
      </c>
      <c r="BH536" t="s">
        <v>118</v>
      </c>
      <c r="BI536" t="s">
        <v>9</v>
      </c>
      <c r="BJ536" t="s">
        <v>242</v>
      </c>
      <c r="BK536" t="s">
        <v>5444</v>
      </c>
      <c r="BL536" t="s">
        <v>9</v>
      </c>
      <c r="BM536" t="s">
        <v>6242</v>
      </c>
      <c r="BN536">
        <v>33.35</v>
      </c>
      <c r="BO536">
        <v>-27.44</v>
      </c>
      <c r="BP536">
        <v>-29.09</v>
      </c>
      <c r="BQ536">
        <v>43.23</v>
      </c>
      <c r="BR536">
        <v>-44.33</v>
      </c>
      <c r="BS536">
        <v>-33.97</v>
      </c>
      <c r="BT536" t="s">
        <v>9</v>
      </c>
      <c r="BU536" t="s">
        <v>489</v>
      </c>
      <c r="BV536">
        <v>97.06</v>
      </c>
      <c r="BW536">
        <v>88.76</v>
      </c>
      <c r="BX536">
        <v>86.15</v>
      </c>
      <c r="BY536">
        <v>42.91</v>
      </c>
      <c r="BZ536">
        <v>-169.79</v>
      </c>
      <c r="CA536">
        <v>-557.62</v>
      </c>
      <c r="CB536">
        <v>8.8699999999999992</v>
      </c>
      <c r="CC536">
        <v>-21.44</v>
      </c>
      <c r="CD536" t="s">
        <v>12893</v>
      </c>
      <c r="CE536" t="s">
        <v>3488</v>
      </c>
      <c r="CF536" s="8" t="s">
        <v>9</v>
      </c>
      <c r="CG536" s="9">
        <v>2.6869999999999998</v>
      </c>
      <c r="CH536" s="8">
        <v>4.25079345703125</v>
      </c>
      <c r="CI536" s="8">
        <v>2.4239130020141602</v>
      </c>
      <c r="CJ536" s="8" t="s">
        <v>9</v>
      </c>
      <c r="CK536" s="8" t="s">
        <v>9</v>
      </c>
      <c r="CL536" s="8">
        <v>-0.93310713768005371</v>
      </c>
      <c r="CM536" s="9">
        <v>2.6892096996307373</v>
      </c>
      <c r="CN536" s="9">
        <v>6.2010020017623901E-2</v>
      </c>
      <c r="CO536" s="9">
        <v>-2.7413334846496582</v>
      </c>
      <c r="CP536" s="9">
        <v>-1.3148148059844971</v>
      </c>
      <c r="CQ536" s="9">
        <v>-34.605960845947266</v>
      </c>
      <c r="CR536">
        <v>35.952064458370636</v>
      </c>
      <c r="CS536">
        <v>6.9103987135048142</v>
      </c>
      <c r="CT536">
        <v>0</v>
      </c>
      <c r="CU536" s="8">
        <v>5.2026034891605379E-2</v>
      </c>
      <c r="CV536" s="9">
        <v>-9.3463650345802313E-2</v>
      </c>
      <c r="CW536">
        <v>0.06</v>
      </c>
      <c r="CX536">
        <v>15.168256906526846</v>
      </c>
      <c r="CY536">
        <v>2206277241.0981493</v>
      </c>
      <c r="CZ536">
        <v>5.2026034891605379E-2</v>
      </c>
      <c r="DA536">
        <v>5.1195245367106166</v>
      </c>
      <c r="DB536">
        <v>6536814065.4526653</v>
      </c>
      <c r="DC536">
        <v>4.9424733147025106E-2</v>
      </c>
      <c r="DD536">
        <v>2.6297514896169289</v>
      </c>
      <c r="DE536">
        <v>12725681545.245495</v>
      </c>
      <c r="DF536">
        <v>4.5782910704612732E-2</v>
      </c>
      <c r="DG536">
        <v>1.6553412096983799</v>
      </c>
      <c r="DH536">
        <v>20216605376.542118</v>
      </c>
      <c r="DI536">
        <v>4.1620827913284308E-2</v>
      </c>
      <c r="DJ536">
        <v>0.94530405200801249</v>
      </c>
      <c r="DK536">
        <v>35401710094.136299</v>
      </c>
      <c r="DL536">
        <v>3.6418224424123763E-2</v>
      </c>
      <c r="DM536">
        <v>2223000000</v>
      </c>
      <c r="DN536">
        <v>5.2026034891605379E-2</v>
      </c>
      <c r="DO536">
        <v>33465380000</v>
      </c>
      <c r="DP536" t="e">
        <v>#VALUE!</v>
      </c>
      <c r="DQ536">
        <v>536</v>
      </c>
      <c r="DR536" t="e">
        <v>#VALUE!</v>
      </c>
      <c r="DS536">
        <v>2.7804636503458022</v>
      </c>
      <c r="DT536" t="e">
        <v>#VALUE!</v>
      </c>
      <c r="DU536" t="e">
        <v>#VALUE!</v>
      </c>
      <c r="DV536" t="e">
        <v>#VALUE!</v>
      </c>
      <c r="DW536">
        <v>7.2926426921807987</v>
      </c>
      <c r="DX536">
        <v>0.19996086021505455</v>
      </c>
      <c r="DY536">
        <v>7.0233999614024256</v>
      </c>
      <c r="DZ536">
        <v>0</v>
      </c>
      <c r="EA536">
        <v>7.0233999614024256</v>
      </c>
      <c r="EB536">
        <v>7</v>
      </c>
      <c r="EC536">
        <v>4.2942185915695701E-2</v>
      </c>
      <c r="ED536">
        <v>0.53704006935647297</v>
      </c>
      <c r="EE536">
        <v>0</v>
      </c>
      <c r="EF536">
        <v>0</v>
      </c>
      <c r="EG536">
        <v>12.079960860215055</v>
      </c>
      <c r="EH536" t="s">
        <v>110</v>
      </c>
      <c r="EI536">
        <v>1</v>
      </c>
      <c r="EJ536">
        <v>0</v>
      </c>
      <c r="EK536">
        <v>0</v>
      </c>
      <c r="EL536">
        <v>0</v>
      </c>
      <c r="EM536">
        <v>0</v>
      </c>
      <c r="EN536">
        <v>0</v>
      </c>
      <c r="EO536">
        <v>0</v>
      </c>
      <c r="EP536">
        <v>0</v>
      </c>
    </row>
    <row r="537" spans="1:146" ht="84" x14ac:dyDescent="0.25">
      <c r="A537" s="7"/>
      <c r="B537" s="7"/>
      <c r="C537" s="7" t="str">
        <f>""&amp;CHAR(10)&amp;Basic_Fundamental_Information_Constructure(F537)&amp;CHAR(10)&amp;Basic_Fundamental_Information_Concatenate("")</f>
        <v xml:space="preserve">
市值5.8622448亿, 利润--; PE; 平均PE1.21; 平均PEG.1, PB.41; ROIC0%; ROE-57.355%; 股利率0%; 毛利100%; 净利-2460.04%, 利润增62.33%; 过往5年营收增12.27%, 利润增21.63%
Income profile:
</v>
      </c>
      <c r="D537" s="11">
        <v>9939</v>
      </c>
      <c r="E537" t="s">
        <v>6245</v>
      </c>
      <c r="F537">
        <v>1.31</v>
      </c>
      <c r="G537" s="5">
        <v>3.15E-2</v>
      </c>
      <c r="H537" t="s">
        <v>6517</v>
      </c>
      <c r="I537">
        <v>586224480</v>
      </c>
      <c r="K537">
        <v>0.41</v>
      </c>
      <c r="L537" t="s">
        <v>6350</v>
      </c>
      <c r="M537" t="s">
        <v>9</v>
      </c>
      <c r="N537" t="s">
        <v>9</v>
      </c>
      <c r="O537" t="s">
        <v>9</v>
      </c>
      <c r="P537" t="s">
        <v>9</v>
      </c>
      <c r="Q537" t="s">
        <v>9</v>
      </c>
      <c r="R537">
        <v>-228740500</v>
      </c>
      <c r="S537" s="5">
        <v>0.62329999999999997</v>
      </c>
      <c r="T537" t="s">
        <v>9</v>
      </c>
      <c r="U537">
        <v>447499600</v>
      </c>
      <c r="V537">
        <v>447499600</v>
      </c>
      <c r="W537" t="s">
        <v>9</v>
      </c>
      <c r="X537" t="s">
        <v>9</v>
      </c>
      <c r="Y537" t="s">
        <v>9</v>
      </c>
      <c r="Z537" t="s">
        <v>9</v>
      </c>
      <c r="AA537" t="s">
        <v>9</v>
      </c>
      <c r="AB537" t="s">
        <v>9</v>
      </c>
      <c r="AC537" t="s">
        <v>9</v>
      </c>
      <c r="AD537" t="s">
        <v>9</v>
      </c>
      <c r="AE537" t="s">
        <v>9</v>
      </c>
      <c r="AF537" t="s">
        <v>9</v>
      </c>
      <c r="AG537" t="s">
        <v>9</v>
      </c>
      <c r="AH537" t="s">
        <v>6518</v>
      </c>
      <c r="AI537" t="s">
        <v>9</v>
      </c>
      <c r="AJ537" t="s">
        <v>9</v>
      </c>
      <c r="AK537" t="s">
        <v>6519</v>
      </c>
      <c r="AL537" t="s">
        <v>9</v>
      </c>
      <c r="AM537" t="s">
        <v>9</v>
      </c>
      <c r="AN537" s="5">
        <v>0.29270000000000002</v>
      </c>
      <c r="AO537" t="s">
        <v>9</v>
      </c>
      <c r="AP537" t="s">
        <v>9</v>
      </c>
      <c r="AQ537" t="s">
        <v>9</v>
      </c>
      <c r="AR537" t="s">
        <v>9</v>
      </c>
      <c r="AS537" t="s">
        <v>9</v>
      </c>
      <c r="AT537" t="s">
        <v>9</v>
      </c>
      <c r="AU537" t="s">
        <v>9</v>
      </c>
      <c r="AV537" t="s">
        <v>9</v>
      </c>
      <c r="AW537" t="s">
        <v>9</v>
      </c>
      <c r="AX537" t="s">
        <v>9</v>
      </c>
      <c r="AY537" t="s">
        <v>9</v>
      </c>
      <c r="AZ537" t="s">
        <v>9</v>
      </c>
      <c r="BA537" t="s">
        <v>9</v>
      </c>
      <c r="BB537" t="s">
        <v>9</v>
      </c>
      <c r="BC537" t="s">
        <v>9</v>
      </c>
      <c r="BD537" t="s">
        <v>9</v>
      </c>
      <c r="BE537" t="s">
        <v>9</v>
      </c>
      <c r="BF537" t="s">
        <v>9</v>
      </c>
      <c r="BG537" t="s">
        <v>9</v>
      </c>
      <c r="BH537" t="s">
        <v>9</v>
      </c>
      <c r="BI537" t="s">
        <v>9</v>
      </c>
      <c r="BJ537" t="s">
        <v>9</v>
      </c>
      <c r="BK537" t="s">
        <v>9</v>
      </c>
      <c r="BL537" t="s">
        <v>9</v>
      </c>
      <c r="BM537" t="s">
        <v>9</v>
      </c>
      <c r="BN537" t="s">
        <v>9</v>
      </c>
      <c r="BO537" t="s">
        <v>9</v>
      </c>
      <c r="BP537" t="s">
        <v>9</v>
      </c>
      <c r="BQ537" t="s">
        <v>9</v>
      </c>
      <c r="BR537">
        <v>-63.83</v>
      </c>
      <c r="BS537">
        <v>-50.88</v>
      </c>
      <c r="BT537" t="s">
        <v>9</v>
      </c>
      <c r="BU537" t="s">
        <v>489</v>
      </c>
      <c r="BV537" t="s">
        <v>9</v>
      </c>
      <c r="BW537" t="s">
        <v>9</v>
      </c>
      <c r="BX537">
        <v>100</v>
      </c>
      <c r="BY537" t="s">
        <v>9</v>
      </c>
      <c r="BZ537" t="s">
        <v>9</v>
      </c>
      <c r="CA537">
        <v>-2460.04</v>
      </c>
      <c r="CB537">
        <v>-12.08</v>
      </c>
      <c r="CC537">
        <v>-8.39</v>
      </c>
      <c r="CD537" t="s">
        <v>6520</v>
      </c>
      <c r="CE537" t="s">
        <v>1161</v>
      </c>
      <c r="CF537" s="8" t="s">
        <v>9</v>
      </c>
      <c r="CG537" s="9">
        <v>0.62329999999999997</v>
      </c>
      <c r="CH537" s="8" t="s">
        <v>9</v>
      </c>
      <c r="CI537" s="8" t="s">
        <v>9</v>
      </c>
      <c r="CJ537" s="8" t="s">
        <v>9</v>
      </c>
      <c r="CK537" s="8" t="s">
        <v>9</v>
      </c>
      <c r="CL537" s="8" t="s">
        <v>9</v>
      </c>
      <c r="CM537" s="9" t="s">
        <v>9</v>
      </c>
      <c r="CN537" s="9" t="s">
        <v>9</v>
      </c>
      <c r="CO537" s="9" t="s">
        <v>9</v>
      </c>
      <c r="CP537" s="9" t="s">
        <v>9</v>
      </c>
      <c r="CQ537" s="9" t="s">
        <v>9</v>
      </c>
      <c r="CR537">
        <v>1.2117083092186853</v>
      </c>
      <c r="CS537">
        <v>9.8788990098569382E-2</v>
      </c>
      <c r="CT537">
        <v>0</v>
      </c>
      <c r="CU537" s="8">
        <v>0.12265620976686478</v>
      </c>
      <c r="CV537" s="9">
        <v>0.21627791747450828</v>
      </c>
      <c r="CW537">
        <v>0.06</v>
      </c>
      <c r="CX537" t="e">
        <v>#DIV/0!</v>
      </c>
      <c r="CY537">
        <v>0</v>
      </c>
      <c r="CZ537">
        <v>0.12265620976686478</v>
      </c>
      <c r="DA537" t="e">
        <v>#DIV/0!</v>
      </c>
      <c r="DB537">
        <v>0</v>
      </c>
      <c r="DC537">
        <v>0.11652339927852154</v>
      </c>
      <c r="DD537" t="e">
        <v>#DIV/0!</v>
      </c>
      <c r="DE537">
        <v>0</v>
      </c>
      <c r="DF537">
        <v>0.10793746459484101</v>
      </c>
      <c r="DG537" t="e">
        <v>#DIV/0!</v>
      </c>
      <c r="DH537">
        <v>0</v>
      </c>
      <c r="DI537">
        <v>9.8124967813491837E-2</v>
      </c>
      <c r="DJ537" t="e">
        <v>#DIV/0!</v>
      </c>
      <c r="DK537">
        <v>0</v>
      </c>
      <c r="DL537">
        <v>8.5859346836805336E-2</v>
      </c>
      <c r="DM537">
        <v>0</v>
      </c>
      <c r="DN537">
        <v>0.12265620976686478</v>
      </c>
      <c r="DO537">
        <v>586224480</v>
      </c>
      <c r="DP537" t="e">
        <v>#VALUE!</v>
      </c>
      <c r="DQ537">
        <v>541</v>
      </c>
      <c r="DR537" t="e">
        <v>#VALUE!</v>
      </c>
      <c r="DS537">
        <v>0.40702208252549166</v>
      </c>
      <c r="DT537" t="e">
        <v>#VALUE!</v>
      </c>
      <c r="DU537" t="e">
        <v>#VALUE!</v>
      </c>
      <c r="DV537" t="e">
        <v>#VALUE!</v>
      </c>
      <c r="DW537">
        <v>-5.6945364238410594</v>
      </c>
      <c r="DX537">
        <v>0.29025833333333306</v>
      </c>
      <c r="DY537">
        <v>-5.0557423358167775</v>
      </c>
      <c r="DZ537">
        <v>0</v>
      </c>
      <c r="EA537">
        <v>-5.0557423358167775</v>
      </c>
      <c r="EB537">
        <v>5</v>
      </c>
      <c r="EC537">
        <v>0.11836993820776599</v>
      </c>
      <c r="ED537">
        <v>1.4748616535076233</v>
      </c>
      <c r="EE537">
        <v>0</v>
      </c>
      <c r="EF537">
        <v>0</v>
      </c>
      <c r="EG537">
        <v>21.080258333333333</v>
      </c>
      <c r="EH537" t="s">
        <v>110</v>
      </c>
      <c r="EI537">
        <v>0</v>
      </c>
      <c r="EJ537">
        <v>0</v>
      </c>
      <c r="EK537">
        <v>0</v>
      </c>
      <c r="EL537">
        <v>0</v>
      </c>
      <c r="EM537">
        <v>0</v>
      </c>
    </row>
    <row r="538" spans="1:146" ht="96" x14ac:dyDescent="0.25">
      <c r="A538" s="7"/>
      <c r="B538" s="7"/>
      <c r="C538" s="7" t="str">
        <f>""&amp;CHAR(10)&amp;Basic_Fundamental_Information_Constructure(F538)&amp;CHAR(10)&amp;Basic_Fundamental_Information_Concatenate("")</f>
        <v xml:space="preserve">
市值47.783085亿, 利润-4.61亿; PE; 平均PE16.94; 平均PEG.47, PB2; ROIC175.825%; ROE-56.315%; 股利率0%; 毛利9.435%; 净利-7.37%; 上一年度营收增-10.84%, 利润增81.31%, 利润增81.32%; 过往5年营收增35.74%, 利润增53.37%
Income profile:
</v>
      </c>
      <c r="D538" s="11">
        <v>9956</v>
      </c>
      <c r="E538" t="s">
        <v>6246</v>
      </c>
      <c r="F538">
        <v>4.1100000000000003</v>
      </c>
      <c r="G538" s="5">
        <v>7.3099999999999998E-2</v>
      </c>
      <c r="H538" t="s">
        <v>6521</v>
      </c>
      <c r="I538">
        <v>4778308500</v>
      </c>
      <c r="K538">
        <v>2</v>
      </c>
      <c r="L538" t="s">
        <v>6350</v>
      </c>
      <c r="M538" t="s">
        <v>9</v>
      </c>
      <c r="N538" t="s">
        <v>9</v>
      </c>
      <c r="O538" t="s">
        <v>9</v>
      </c>
      <c r="P538" t="s">
        <v>9</v>
      </c>
      <c r="Q538" t="s">
        <v>6247</v>
      </c>
      <c r="R538">
        <v>-460745370</v>
      </c>
      <c r="S538" s="5">
        <v>0.81320000000000003</v>
      </c>
      <c r="T538" t="s">
        <v>4163</v>
      </c>
      <c r="U538">
        <v>1162605490</v>
      </c>
      <c r="V538">
        <v>1162605490</v>
      </c>
      <c r="W538" t="s">
        <v>9</v>
      </c>
      <c r="X538" t="s">
        <v>9</v>
      </c>
      <c r="Y538" t="s">
        <v>9</v>
      </c>
      <c r="Z538" t="s">
        <v>9</v>
      </c>
      <c r="AA538" t="s">
        <v>9</v>
      </c>
      <c r="AB538" t="s">
        <v>9</v>
      </c>
      <c r="AC538" t="s">
        <v>9</v>
      </c>
      <c r="AD538" t="s">
        <v>9</v>
      </c>
      <c r="AE538" t="s">
        <v>9</v>
      </c>
      <c r="AF538" t="s">
        <v>9</v>
      </c>
      <c r="AG538" t="s">
        <v>9</v>
      </c>
      <c r="AH538" t="s">
        <v>6248</v>
      </c>
      <c r="AI538" t="s">
        <v>9</v>
      </c>
      <c r="AJ538" t="s">
        <v>9</v>
      </c>
      <c r="AK538" t="s">
        <v>6249</v>
      </c>
      <c r="AL538" t="s">
        <v>9</v>
      </c>
      <c r="AM538" t="s">
        <v>9</v>
      </c>
      <c r="AN538" s="5">
        <v>0.57120000000000004</v>
      </c>
      <c r="AO538" t="s">
        <v>9</v>
      </c>
      <c r="AP538" t="s">
        <v>1359</v>
      </c>
      <c r="AQ538" t="s">
        <v>9</v>
      </c>
      <c r="AR538" t="s">
        <v>224</v>
      </c>
      <c r="AS538" t="s">
        <v>9</v>
      </c>
      <c r="AT538" t="s">
        <v>9</v>
      </c>
      <c r="AU538" t="s">
        <v>6250</v>
      </c>
      <c r="AV538" t="s">
        <v>6251</v>
      </c>
      <c r="AW538" t="s">
        <v>9</v>
      </c>
      <c r="AX538" t="s">
        <v>6252</v>
      </c>
      <c r="AY538" t="s">
        <v>6253</v>
      </c>
      <c r="AZ538" t="s">
        <v>6254</v>
      </c>
      <c r="BA538" t="s">
        <v>6255</v>
      </c>
      <c r="BB538" t="s">
        <v>9</v>
      </c>
      <c r="BC538" t="s">
        <v>6081</v>
      </c>
      <c r="BD538" t="s">
        <v>24</v>
      </c>
      <c r="BE538" t="s">
        <v>9</v>
      </c>
      <c r="BF538" t="s">
        <v>9</v>
      </c>
      <c r="BG538" t="s">
        <v>9</v>
      </c>
      <c r="BH538" t="s">
        <v>6247</v>
      </c>
      <c r="BI538" t="s">
        <v>9</v>
      </c>
      <c r="BJ538" t="s">
        <v>6252</v>
      </c>
      <c r="BK538" t="s">
        <v>4163</v>
      </c>
      <c r="BL538" t="s">
        <v>9</v>
      </c>
      <c r="BM538" t="s">
        <v>6081</v>
      </c>
      <c r="BN538">
        <v>-13.09</v>
      </c>
      <c r="BO538">
        <v>364.74</v>
      </c>
      <c r="BP538" t="s">
        <v>9</v>
      </c>
      <c r="BQ538">
        <v>-20.27</v>
      </c>
      <c r="BR538">
        <v>-92.36</v>
      </c>
      <c r="BS538" t="s">
        <v>9</v>
      </c>
      <c r="BT538" t="s">
        <v>9</v>
      </c>
      <c r="BU538" t="s">
        <v>687</v>
      </c>
      <c r="BV538">
        <v>7.82</v>
      </c>
      <c r="BW538">
        <v>11.05</v>
      </c>
      <c r="BX538" t="s">
        <v>9</v>
      </c>
      <c r="BY538">
        <v>-4.38</v>
      </c>
      <c r="BZ538">
        <v>-20.81</v>
      </c>
      <c r="CA538">
        <v>3.08</v>
      </c>
      <c r="CB538">
        <v>10.78</v>
      </c>
      <c r="CC538">
        <v>-18.45</v>
      </c>
      <c r="CD538" t="s">
        <v>6522</v>
      </c>
      <c r="CE538" t="s">
        <v>6523</v>
      </c>
      <c r="CF538" s="8" t="s">
        <v>9</v>
      </c>
      <c r="CG538" s="9">
        <v>0.81320000000000003</v>
      </c>
      <c r="CH538" s="8">
        <v>-0.10837354511022568</v>
      </c>
      <c r="CI538" s="8">
        <v>0.39924183487892151</v>
      </c>
      <c r="CJ538" s="8">
        <v>0.41508796811103821</v>
      </c>
      <c r="CK538" s="8">
        <v>-1.7460035160183907E-2</v>
      </c>
      <c r="CL538" s="8" t="s">
        <v>9</v>
      </c>
      <c r="CM538" s="9">
        <v>0.81313341856002808</v>
      </c>
      <c r="CN538" s="9">
        <v>-10.488461494445801</v>
      </c>
      <c r="CO538" s="9" t="s">
        <v>9</v>
      </c>
      <c r="CP538" s="9" t="s">
        <v>9</v>
      </c>
      <c r="CQ538" s="9" t="s">
        <v>9</v>
      </c>
      <c r="CR538">
        <v>16.944356382978725</v>
      </c>
      <c r="CS538">
        <v>0.47413600738247574</v>
      </c>
      <c r="CT538">
        <v>0</v>
      </c>
      <c r="CU538" s="8">
        <v>0.35737332999706267</v>
      </c>
      <c r="CV538" s="9">
        <v>0.53369573689997196</v>
      </c>
      <c r="CW538">
        <v>0.06</v>
      </c>
      <c r="CX538" t="e">
        <v>#VALUE!</v>
      </c>
      <c r="CY538" t="s">
        <v>109</v>
      </c>
      <c r="CZ538">
        <v>0.35737332999706267</v>
      </c>
      <c r="DA538" t="e">
        <v>#VALUE!</v>
      </c>
      <c r="DB538" t="s">
        <v>108</v>
      </c>
      <c r="DC538">
        <v>0.33950466349720954</v>
      </c>
      <c r="DD538" t="e">
        <v>#VALUE!</v>
      </c>
      <c r="DE538" t="s">
        <v>108</v>
      </c>
      <c r="DF538">
        <v>0.31448853039741514</v>
      </c>
      <c r="DG538" t="e">
        <v>#VALUE!</v>
      </c>
      <c r="DH538" t="s">
        <v>108</v>
      </c>
      <c r="DI538">
        <v>0.28589866399765013</v>
      </c>
      <c r="DJ538" t="e">
        <v>#VALUE!</v>
      </c>
      <c r="DK538" t="s">
        <v>108</v>
      </c>
      <c r="DL538">
        <v>0.25016133099794385</v>
      </c>
      <c r="DM538">
        <v>-461000000.00000006</v>
      </c>
      <c r="DN538">
        <v>0.35737332999706267</v>
      </c>
      <c r="DO538">
        <v>4778308500</v>
      </c>
      <c r="DP538" t="e">
        <v>#VALUE!</v>
      </c>
      <c r="DQ538">
        <v>543</v>
      </c>
      <c r="DR538" t="e">
        <v>#VALUE!</v>
      </c>
      <c r="DS538">
        <v>0.27950426310002807</v>
      </c>
      <c r="DT538" t="e">
        <v>#VALUE!</v>
      </c>
      <c r="DU538" t="e">
        <v>#VALUE!</v>
      </c>
      <c r="DV538" t="e">
        <v>#VALUE!</v>
      </c>
      <c r="DW538">
        <v>7.3687991789257614</v>
      </c>
      <c r="DX538">
        <v>0.80274368167004184</v>
      </c>
      <c r="DY538">
        <v>7.0637077279645233</v>
      </c>
      <c r="DZ538">
        <v>0</v>
      </c>
      <c r="EA538">
        <v>7.0637077279645233</v>
      </c>
      <c r="EB538">
        <v>7</v>
      </c>
      <c r="EC538">
        <v>1.139088032347069E-2</v>
      </c>
      <c r="ED538">
        <v>6.59409409807621E-2</v>
      </c>
      <c r="EE538">
        <v>0</v>
      </c>
      <c r="EF538">
        <v>0</v>
      </c>
      <c r="EG538">
        <v>63.172743681670042</v>
      </c>
      <c r="EH538" t="s">
        <v>110</v>
      </c>
      <c r="EI538">
        <v>1</v>
      </c>
      <c r="EJ538">
        <v>0</v>
      </c>
      <c r="EK538">
        <v>0</v>
      </c>
      <c r="EL538">
        <v>0</v>
      </c>
      <c r="EM538">
        <v>0</v>
      </c>
    </row>
    <row r="539" spans="1:146" ht="96" x14ac:dyDescent="0.25">
      <c r="A539" s="7"/>
      <c r="B539" s="7"/>
      <c r="C539" s="7" t="str">
        <f>""&amp;CHAR(10)&amp;Basic_Fundamental_Information_Constructure(F539)&amp;CHAR(10)&amp;Basic_Fundamental_Information_Concatenate("")</f>
        <v xml:space="preserve">
市值47.984663亿, 利润-4.84亿; PE; 平均PE12.34; 平均PEG1.79, PB.48; ROIC-85.7967%; ROE-46.2367%; 股利率0%; 毛利73.96%; 净利-379.2667%; 上一年度营收增-8.82%, 利润增96.96%, 利润增-3086%; 过往5年营收增6.89%, 利润增12.37%
Income profile:
</v>
      </c>
      <c r="D539" s="11">
        <v>9959</v>
      </c>
      <c r="E539" t="s">
        <v>6256</v>
      </c>
      <c r="F539">
        <v>2.1</v>
      </c>
      <c r="G539" s="5">
        <v>-4.7000000000000002E-3</v>
      </c>
      <c r="H539" t="s">
        <v>12894</v>
      </c>
      <c r="I539">
        <v>4798466300</v>
      </c>
      <c r="K539">
        <v>0.48</v>
      </c>
      <c r="L539" t="s">
        <v>6350</v>
      </c>
      <c r="M539" t="s">
        <v>9</v>
      </c>
      <c r="N539" t="s">
        <v>9</v>
      </c>
      <c r="O539" t="s">
        <v>9</v>
      </c>
      <c r="P539" t="s">
        <v>9</v>
      </c>
      <c r="Q539" t="s">
        <v>4227</v>
      </c>
      <c r="R539">
        <v>-483687290</v>
      </c>
      <c r="S539" s="5">
        <v>-30.86</v>
      </c>
      <c r="T539" t="s">
        <v>12322</v>
      </c>
      <c r="U539">
        <v>2284983900</v>
      </c>
      <c r="V539">
        <v>2284983900</v>
      </c>
      <c r="W539" t="s">
        <v>9</v>
      </c>
      <c r="X539" t="s">
        <v>9</v>
      </c>
      <c r="Y539" t="s">
        <v>9</v>
      </c>
      <c r="Z539" t="s">
        <v>9</v>
      </c>
      <c r="AA539" t="s">
        <v>9</v>
      </c>
      <c r="AB539" t="s">
        <v>9</v>
      </c>
      <c r="AC539" t="s">
        <v>9</v>
      </c>
      <c r="AD539" t="s">
        <v>3144</v>
      </c>
      <c r="AE539" t="s">
        <v>9</v>
      </c>
      <c r="AF539" t="s">
        <v>9</v>
      </c>
      <c r="AG539" t="s">
        <v>9</v>
      </c>
      <c r="AH539" t="s">
        <v>12895</v>
      </c>
      <c r="AI539" t="s">
        <v>9</v>
      </c>
      <c r="AJ539" t="s">
        <v>9</v>
      </c>
      <c r="AK539" t="s">
        <v>12896</v>
      </c>
      <c r="AL539" t="s">
        <v>9</v>
      </c>
      <c r="AM539" t="s">
        <v>9</v>
      </c>
      <c r="AN539" s="5">
        <v>6.3500000000000001E-2</v>
      </c>
      <c r="AO539" t="s">
        <v>9</v>
      </c>
      <c r="AP539" t="s">
        <v>2049</v>
      </c>
      <c r="AQ539" t="s">
        <v>9</v>
      </c>
      <c r="AR539" t="s">
        <v>12897</v>
      </c>
      <c r="AS539" t="s">
        <v>9</v>
      </c>
      <c r="AT539" t="s">
        <v>9</v>
      </c>
      <c r="AU539" t="s">
        <v>4201</v>
      </c>
      <c r="AV539" t="s">
        <v>3212</v>
      </c>
      <c r="AW539" t="s">
        <v>9</v>
      </c>
      <c r="AX539" t="s">
        <v>2727</v>
      </c>
      <c r="AY539" t="s">
        <v>6259</v>
      </c>
      <c r="AZ539" t="s">
        <v>6260</v>
      </c>
      <c r="BA539" t="s">
        <v>4131</v>
      </c>
      <c r="BB539" t="s">
        <v>9</v>
      </c>
      <c r="BC539" t="s">
        <v>6261</v>
      </c>
      <c r="BD539" t="s">
        <v>6262</v>
      </c>
      <c r="BE539" t="s">
        <v>9</v>
      </c>
      <c r="BF539" t="s">
        <v>9</v>
      </c>
      <c r="BG539" t="s">
        <v>9</v>
      </c>
      <c r="BH539" t="s">
        <v>2727</v>
      </c>
      <c r="BI539" t="s">
        <v>9</v>
      </c>
      <c r="BJ539" t="s">
        <v>6259</v>
      </c>
      <c r="BK539" t="s">
        <v>6257</v>
      </c>
      <c r="BL539" t="s">
        <v>9</v>
      </c>
      <c r="BM539" t="s">
        <v>6261</v>
      </c>
      <c r="BN539">
        <v>-4.62</v>
      </c>
      <c r="BO539">
        <v>-0.13</v>
      </c>
      <c r="BP539">
        <v>-252.64</v>
      </c>
      <c r="BQ539">
        <v>-4.84</v>
      </c>
      <c r="BR539">
        <v>-0.14000000000000001</v>
      </c>
      <c r="BS539">
        <v>-133.72999999999999</v>
      </c>
      <c r="BT539" t="s">
        <v>2419</v>
      </c>
      <c r="BU539" t="s">
        <v>551</v>
      </c>
      <c r="BV539">
        <v>60.67</v>
      </c>
      <c r="BW539">
        <v>83.81</v>
      </c>
      <c r="BX539">
        <v>77.400000000000006</v>
      </c>
      <c r="BY539">
        <v>-51.09</v>
      </c>
      <c r="BZ539">
        <v>-2.36</v>
      </c>
      <c r="CA539">
        <v>-1084.3499999999999</v>
      </c>
      <c r="CB539">
        <v>0.96</v>
      </c>
      <c r="CC539">
        <v>16.670000000000002</v>
      </c>
      <c r="CD539" t="s">
        <v>12898</v>
      </c>
      <c r="CE539" t="s">
        <v>1092</v>
      </c>
      <c r="CF539" s="8" t="s">
        <v>9</v>
      </c>
      <c r="CG539" s="9">
        <v>-30.86</v>
      </c>
      <c r="CH539" s="8">
        <v>-8.8207095861434937E-2</v>
      </c>
      <c r="CI539" s="8">
        <v>-0.28902524709701538</v>
      </c>
      <c r="CJ539" s="8">
        <v>0.19657427072525024</v>
      </c>
      <c r="CK539" s="8">
        <v>1.8119266033172607</v>
      </c>
      <c r="CL539" s="8" t="s">
        <v>9</v>
      </c>
      <c r="CM539" s="9">
        <v>0.96957504749298096</v>
      </c>
      <c r="CN539" s="9">
        <v>-17.60584831237793</v>
      </c>
      <c r="CO539" s="9" t="s">
        <v>9</v>
      </c>
      <c r="CP539" s="9" t="s">
        <v>9</v>
      </c>
      <c r="CQ539" s="9" t="s">
        <v>9</v>
      </c>
      <c r="CR539">
        <v>12.340676296613802</v>
      </c>
      <c r="CS539">
        <v>1.791131596672862</v>
      </c>
      <c r="CT539">
        <v>0</v>
      </c>
      <c r="CU539" s="8">
        <v>6.8898769468069082E-2</v>
      </c>
      <c r="CV539" s="9">
        <v>0.12374152466654778</v>
      </c>
      <c r="CW539">
        <v>0.06</v>
      </c>
      <c r="CX539" t="e">
        <v>#VALUE!</v>
      </c>
      <c r="CY539" t="s">
        <v>109</v>
      </c>
      <c r="CZ539">
        <v>6.8898769468069082E-2</v>
      </c>
      <c r="DA539" t="e">
        <v>#VALUE!</v>
      </c>
      <c r="DB539" t="s">
        <v>108</v>
      </c>
      <c r="DC539">
        <v>6.5453830994665618E-2</v>
      </c>
      <c r="DD539" t="e">
        <v>#VALUE!</v>
      </c>
      <c r="DE539" t="s">
        <v>108</v>
      </c>
      <c r="DF539">
        <v>6.0630917131900795E-2</v>
      </c>
      <c r="DG539" t="e">
        <v>#VALUE!</v>
      </c>
      <c r="DH539" t="s">
        <v>108</v>
      </c>
      <c r="DI539">
        <v>5.5119015574455268E-2</v>
      </c>
      <c r="DJ539" t="e">
        <v>#VALUE!</v>
      </c>
      <c r="DK539" t="s">
        <v>108</v>
      </c>
      <c r="DL539">
        <v>4.8229138627648355E-2</v>
      </c>
      <c r="DM539">
        <v>-484000000</v>
      </c>
      <c r="DN539">
        <v>6.8898769468069082E-2</v>
      </c>
      <c r="DO539">
        <v>4798466300</v>
      </c>
      <c r="DP539" t="e">
        <v>#VALUE!</v>
      </c>
      <c r="DQ539">
        <v>539</v>
      </c>
      <c r="DR539" t="e">
        <v>#VALUE!</v>
      </c>
      <c r="DS539">
        <v>-30.983741524666549</v>
      </c>
      <c r="DT539" t="e">
        <v>#VALUE!</v>
      </c>
      <c r="DU539" t="e">
        <v>#VALUE!</v>
      </c>
      <c r="DV539" t="e">
        <v>#VALUE!</v>
      </c>
      <c r="DW539">
        <v>3.0075773809523811</v>
      </c>
      <c r="DX539">
        <v>0.72615765765765894</v>
      </c>
      <c r="DY539">
        <v>3.0022440993940367</v>
      </c>
      <c r="DZ539">
        <v>0</v>
      </c>
      <c r="EA539">
        <v>3.0022440993940367</v>
      </c>
      <c r="EB539">
        <v>3</v>
      </c>
      <c r="EC539">
        <v>2.8773506894293654E-2</v>
      </c>
      <c r="ED539">
        <v>9.7156045607148495E-2</v>
      </c>
      <c r="EE539">
        <v>0</v>
      </c>
      <c r="EF539">
        <v>0</v>
      </c>
      <c r="EG539">
        <v>43.296157657657659</v>
      </c>
      <c r="EH539" t="s">
        <v>110</v>
      </c>
      <c r="EI539">
        <v>0</v>
      </c>
      <c r="EJ539">
        <v>0</v>
      </c>
      <c r="EK539">
        <v>0</v>
      </c>
      <c r="EL539">
        <v>0</v>
      </c>
      <c r="EM539">
        <v>0</v>
      </c>
      <c r="EN539">
        <v>0</v>
      </c>
      <c r="EO539">
        <v>0</v>
      </c>
      <c r="EP539">
        <v>0</v>
      </c>
    </row>
    <row r="540" spans="1:146" ht="96" x14ac:dyDescent="0.25">
      <c r="A540" s="7"/>
      <c r="B540" s="7"/>
      <c r="C540" s="7" t="str">
        <f>""&amp;CHAR(10)&amp;Basic_Fundamental_Information_Constructure(F540)&amp;CHAR(10)&amp;Basic_Fundamental_Information_Concatenate("")</f>
        <v xml:space="preserve">
市值23.254664亿, 利润-2.31亿; PE; 平均PE-9.54; 平均PEG-5.93, PB1.27; ROIC-14.22%; ROE-18.5167%; 股利率0%; 毛利82.06%; 净利-191.3067%; 上一年度营收增27.66%, 利润增54.26%, 利润增37.17%; 过往5年营收增-1.61%, 利润增-210.66%
Income profile:
</v>
      </c>
      <c r="D540" s="11">
        <v>9966</v>
      </c>
      <c r="E540" t="s">
        <v>6263</v>
      </c>
      <c r="F540">
        <v>2.41</v>
      </c>
      <c r="G540" s="5">
        <v>-3.2099999999999997E-2</v>
      </c>
      <c r="H540" t="s">
        <v>12899</v>
      </c>
      <c r="I540">
        <v>2325466400</v>
      </c>
      <c r="K540">
        <v>1.27</v>
      </c>
      <c r="L540" t="s">
        <v>6350</v>
      </c>
      <c r="M540" t="s">
        <v>9</v>
      </c>
      <c r="N540" t="s">
        <v>9</v>
      </c>
      <c r="O540" t="s">
        <v>9</v>
      </c>
      <c r="P540" t="s">
        <v>9</v>
      </c>
      <c r="Q540" t="s">
        <v>3884</v>
      </c>
      <c r="R540">
        <v>-230852050</v>
      </c>
      <c r="S540" s="5">
        <v>0.37169999999999997</v>
      </c>
      <c r="T540" t="s">
        <v>1147</v>
      </c>
      <c r="U540">
        <v>964843810</v>
      </c>
      <c r="V540">
        <v>964843810</v>
      </c>
      <c r="W540" t="s">
        <v>9</v>
      </c>
      <c r="X540" t="s">
        <v>9</v>
      </c>
      <c r="Y540" t="s">
        <v>9</v>
      </c>
      <c r="Z540" t="s">
        <v>9</v>
      </c>
      <c r="AA540" t="s">
        <v>9</v>
      </c>
      <c r="AB540" t="s">
        <v>9</v>
      </c>
      <c r="AC540" t="s">
        <v>9</v>
      </c>
      <c r="AD540" t="s">
        <v>2538</v>
      </c>
      <c r="AE540" t="s">
        <v>9</v>
      </c>
      <c r="AF540" t="s">
        <v>9</v>
      </c>
      <c r="AG540" t="s">
        <v>9</v>
      </c>
      <c r="AH540" t="s">
        <v>12900</v>
      </c>
      <c r="AI540" t="s">
        <v>9</v>
      </c>
      <c r="AJ540" t="s">
        <v>9</v>
      </c>
      <c r="AK540" t="s">
        <v>12901</v>
      </c>
      <c r="AL540" t="s">
        <v>9</v>
      </c>
      <c r="AM540" t="s">
        <v>9</v>
      </c>
      <c r="AN540" s="5">
        <v>0.21759999999999999</v>
      </c>
      <c r="AO540" t="s">
        <v>9</v>
      </c>
      <c r="AP540" t="s">
        <v>12902</v>
      </c>
      <c r="AQ540" t="s">
        <v>9</v>
      </c>
      <c r="AR540" t="s">
        <v>2072</v>
      </c>
      <c r="AS540" t="s">
        <v>9</v>
      </c>
      <c r="AT540" t="s">
        <v>9</v>
      </c>
      <c r="AU540" t="s">
        <v>12903</v>
      </c>
      <c r="AV540" t="s">
        <v>12904</v>
      </c>
      <c r="AW540" t="s">
        <v>9</v>
      </c>
      <c r="AX540" t="s">
        <v>15</v>
      </c>
      <c r="AY540" t="s">
        <v>140</v>
      </c>
      <c r="AZ540" t="s">
        <v>9</v>
      </c>
      <c r="BA540" t="s">
        <v>9</v>
      </c>
      <c r="BB540" t="s">
        <v>9</v>
      </c>
      <c r="BC540" t="s">
        <v>2765</v>
      </c>
      <c r="BD540" t="s">
        <v>6265</v>
      </c>
      <c r="BE540" t="s">
        <v>6266</v>
      </c>
      <c r="BF540" t="s">
        <v>6267</v>
      </c>
      <c r="BG540" t="s">
        <v>6268</v>
      </c>
      <c r="BH540" t="s">
        <v>15</v>
      </c>
      <c r="BI540" t="s">
        <v>9</v>
      </c>
      <c r="BJ540" t="s">
        <v>140</v>
      </c>
      <c r="BK540" t="s">
        <v>6264</v>
      </c>
      <c r="BL540" t="s">
        <v>9</v>
      </c>
      <c r="BM540" t="s">
        <v>2765</v>
      </c>
      <c r="BN540">
        <v>-11.07</v>
      </c>
      <c r="BO540">
        <v>-14.95</v>
      </c>
      <c r="BP540">
        <v>-16.64</v>
      </c>
      <c r="BQ540">
        <v>-12.59</v>
      </c>
      <c r="BR540">
        <v>-20.91</v>
      </c>
      <c r="BS540">
        <v>-22.05</v>
      </c>
      <c r="BT540" t="s">
        <v>9</v>
      </c>
      <c r="BU540" t="s">
        <v>489</v>
      </c>
      <c r="BV540">
        <v>74.75</v>
      </c>
      <c r="BW540">
        <v>73.5</v>
      </c>
      <c r="BX540">
        <v>97.93</v>
      </c>
      <c r="BY540">
        <v>-96.26</v>
      </c>
      <c r="BZ540">
        <v>-195.22</v>
      </c>
      <c r="CA540">
        <v>-282.44</v>
      </c>
      <c r="CB540">
        <v>-8.7100000000000009</v>
      </c>
      <c r="CC540">
        <v>-53.83</v>
      </c>
      <c r="CD540" t="s">
        <v>12905</v>
      </c>
      <c r="CE540" t="s">
        <v>1584</v>
      </c>
      <c r="CF540" s="8" t="s">
        <v>9</v>
      </c>
      <c r="CG540" s="9">
        <v>0.37169999999999997</v>
      </c>
      <c r="CH540" s="8">
        <v>0.27659574151039124</v>
      </c>
      <c r="CI540" s="8">
        <v>5.0279330462217331E-2</v>
      </c>
      <c r="CJ540" s="8" t="s">
        <v>9</v>
      </c>
      <c r="CK540" s="8" t="s">
        <v>9</v>
      </c>
      <c r="CL540" s="8" t="s">
        <v>9</v>
      </c>
      <c r="CM540" s="9">
        <v>0.54257428646087646</v>
      </c>
      <c r="CN540" s="9">
        <v>9.8039219155907631E-3</v>
      </c>
      <c r="CO540" s="9">
        <v>0.45220193266868591</v>
      </c>
      <c r="CP540" s="9">
        <v>-4.4444446563720703</v>
      </c>
      <c r="CQ540" s="9">
        <v>-3.3141727447509766</v>
      </c>
      <c r="CR540">
        <v>-9.5352054260633672</v>
      </c>
      <c r="CS540">
        <v>-5.9290521219909129</v>
      </c>
      <c r="CT540">
        <v>0</v>
      </c>
      <c r="CU540" s="8">
        <v>-1.6082175076007843E-2</v>
      </c>
      <c r="CV540" s="9">
        <v>-2.1065991848707197</v>
      </c>
      <c r="CW540">
        <v>0.06</v>
      </c>
      <c r="CX540" t="e">
        <v>#VALUE!</v>
      </c>
      <c r="CY540" t="s">
        <v>109</v>
      </c>
      <c r="CZ540">
        <v>-1.6082175076007843E-2</v>
      </c>
      <c r="DA540" t="e">
        <v>#VALUE!</v>
      </c>
      <c r="DB540" t="s">
        <v>108</v>
      </c>
      <c r="DC540">
        <v>-1.527806632220745E-2</v>
      </c>
      <c r="DD540" t="e">
        <v>#VALUE!</v>
      </c>
      <c r="DE540" t="s">
        <v>108</v>
      </c>
      <c r="DF540">
        <v>-1.4152314066886901E-2</v>
      </c>
      <c r="DG540" t="e">
        <v>#VALUE!</v>
      </c>
      <c r="DH540" t="s">
        <v>108</v>
      </c>
      <c r="DI540">
        <v>-1.2865740060806275E-2</v>
      </c>
      <c r="DJ540" t="e">
        <v>#VALUE!</v>
      </c>
      <c r="DK540" t="s">
        <v>108</v>
      </c>
      <c r="DL540">
        <v>-1.1257522553205489E-2</v>
      </c>
      <c r="DM540">
        <v>-231000000</v>
      </c>
      <c r="DN540">
        <v>-1.6082175076007843E-2</v>
      </c>
      <c r="DO540">
        <v>2325466400</v>
      </c>
      <c r="DP540" t="e">
        <v>#VALUE!</v>
      </c>
      <c r="DQ540">
        <v>540</v>
      </c>
      <c r="DR540" t="e">
        <v>#VALUE!</v>
      </c>
      <c r="DS540">
        <v>2.4782991848707199</v>
      </c>
      <c r="DT540" t="e">
        <v>#VALUE!</v>
      </c>
      <c r="DU540" t="e">
        <v>#VALUE!</v>
      </c>
      <c r="DV540" t="e">
        <v>#VALUE!</v>
      </c>
      <c r="DW540">
        <v>-9.1618056845625109</v>
      </c>
      <c r="DX540">
        <v>0.14716666666666725</v>
      </c>
      <c r="DY540">
        <v>-9.0092498916341572</v>
      </c>
      <c r="DZ540">
        <v>0</v>
      </c>
      <c r="EA540">
        <v>-9.0092498916341572</v>
      </c>
      <c r="EB540">
        <v>9</v>
      </c>
      <c r="EC540">
        <v>2.3107366984092482E-2</v>
      </c>
      <c r="ED540">
        <v>0.40421050117946034</v>
      </c>
      <c r="EE540">
        <v>0</v>
      </c>
      <c r="EF540">
        <v>0</v>
      </c>
      <c r="EG540">
        <v>9.0571666666666673</v>
      </c>
      <c r="EH540" t="s">
        <v>110</v>
      </c>
      <c r="EI540">
        <v>0</v>
      </c>
      <c r="EJ540">
        <v>0</v>
      </c>
      <c r="EK540">
        <v>0</v>
      </c>
      <c r="EL540">
        <v>0</v>
      </c>
      <c r="EM540">
        <v>0</v>
      </c>
      <c r="EN540">
        <v>0</v>
      </c>
      <c r="EO540">
        <v>0</v>
      </c>
      <c r="EP540">
        <v>0</v>
      </c>
    </row>
    <row r="541" spans="1:146" ht="96" x14ac:dyDescent="0.25">
      <c r="A541" s="7"/>
      <c r="B541" s="7"/>
      <c r="C541" s="7" t="str">
        <f>""&amp;CHAR(10)&amp;Basic_Fundamental_Information_Constructure(F541)&amp;CHAR(10)&amp;Basic_Fundamental_Information_Concatenate("")</f>
        <v xml:space="preserve">
市值81.960084亿, 利润-6.92亿; PE; 平均PE22.2; 平均PEG1.25, PB1.08; ROIC-6.6233%; ROE-7.2167%; 股利率0%; 毛利84.46%; 净利-78.9033%; 上一年度营收增14.73%, 利润增-775.56%, 利润增30.81%; 过往5年营收增17.74%, 利润增29.5%
Income profile:
</v>
      </c>
      <c r="D541" s="11">
        <v>9969</v>
      </c>
      <c r="E541" t="s">
        <v>6269</v>
      </c>
      <c r="F541">
        <v>4.6500000000000004</v>
      </c>
      <c r="G541" s="5">
        <v>-1.06E-2</v>
      </c>
      <c r="H541" t="s">
        <v>12906</v>
      </c>
      <c r="I541">
        <v>8196008400</v>
      </c>
      <c r="K541">
        <v>1.08</v>
      </c>
      <c r="L541" t="s">
        <v>6350</v>
      </c>
      <c r="M541" t="s">
        <v>9</v>
      </c>
      <c r="N541" t="s">
        <v>9</v>
      </c>
      <c r="O541" t="s">
        <v>9</v>
      </c>
      <c r="P541" t="s">
        <v>9</v>
      </c>
      <c r="Q541" t="s">
        <v>2401</v>
      </c>
      <c r="R541">
        <v>-691990500</v>
      </c>
      <c r="S541" s="5">
        <v>0.30809999999999998</v>
      </c>
      <c r="T541" t="s">
        <v>12907</v>
      </c>
      <c r="U541">
        <v>1497934200</v>
      </c>
      <c r="V541">
        <v>1762582500</v>
      </c>
      <c r="W541" t="s">
        <v>9</v>
      </c>
      <c r="X541" t="s">
        <v>9</v>
      </c>
      <c r="Y541" t="s">
        <v>9</v>
      </c>
      <c r="Z541" t="s">
        <v>9</v>
      </c>
      <c r="AA541" t="s">
        <v>9</v>
      </c>
      <c r="AB541" t="s">
        <v>9</v>
      </c>
      <c r="AC541" t="s">
        <v>9</v>
      </c>
      <c r="AD541" t="s">
        <v>5141</v>
      </c>
      <c r="AE541" t="s">
        <v>9</v>
      </c>
      <c r="AF541" t="s">
        <v>9</v>
      </c>
      <c r="AG541" t="s">
        <v>9</v>
      </c>
      <c r="AH541" t="s">
        <v>12908</v>
      </c>
      <c r="AI541" t="s">
        <v>9</v>
      </c>
      <c r="AJ541" t="s">
        <v>9</v>
      </c>
      <c r="AK541" t="s">
        <v>12909</v>
      </c>
      <c r="AL541" t="s">
        <v>9</v>
      </c>
      <c r="AM541" t="s">
        <v>9</v>
      </c>
      <c r="AN541" s="5">
        <v>0.27610000000000001</v>
      </c>
      <c r="AO541" t="s">
        <v>9</v>
      </c>
      <c r="AP541" t="s">
        <v>1255</v>
      </c>
      <c r="AQ541" t="s">
        <v>9</v>
      </c>
      <c r="AR541" t="s">
        <v>12910</v>
      </c>
      <c r="AS541" t="s">
        <v>9</v>
      </c>
      <c r="AT541" t="s">
        <v>9</v>
      </c>
      <c r="AU541" t="s">
        <v>12911</v>
      </c>
      <c r="AV541" t="s">
        <v>10410</v>
      </c>
      <c r="AW541" t="s">
        <v>9</v>
      </c>
      <c r="AX541" t="s">
        <v>195</v>
      </c>
      <c r="AY541" t="s">
        <v>111</v>
      </c>
      <c r="AZ541" t="s">
        <v>6274</v>
      </c>
      <c r="BA541" t="s">
        <v>6275</v>
      </c>
      <c r="BB541" t="s">
        <v>6276</v>
      </c>
      <c r="BC541" t="s">
        <v>6277</v>
      </c>
      <c r="BD541" t="s">
        <v>4204</v>
      </c>
      <c r="BE541" t="s">
        <v>6278</v>
      </c>
      <c r="BF541" t="s">
        <v>5340</v>
      </c>
      <c r="BG541" t="s">
        <v>4582</v>
      </c>
      <c r="BH541" t="s">
        <v>195</v>
      </c>
      <c r="BI541" t="s">
        <v>814</v>
      </c>
      <c r="BJ541" t="s">
        <v>111</v>
      </c>
      <c r="BK541" t="s">
        <v>6271</v>
      </c>
      <c r="BL541" t="s">
        <v>5157</v>
      </c>
      <c r="BM541" t="s">
        <v>6277</v>
      </c>
      <c r="BN541">
        <v>-7.33</v>
      </c>
      <c r="BO541">
        <v>-11.37</v>
      </c>
      <c r="BP541">
        <v>-1.17</v>
      </c>
      <c r="BQ541">
        <v>-8.83</v>
      </c>
      <c r="BR541">
        <v>-11.67</v>
      </c>
      <c r="BS541">
        <v>-1.1499999999999999</v>
      </c>
      <c r="BT541" t="s">
        <v>9</v>
      </c>
      <c r="BU541" t="s">
        <v>489</v>
      </c>
      <c r="BV541">
        <v>82.61</v>
      </c>
      <c r="BW541">
        <v>77.069999999999993</v>
      </c>
      <c r="BX541">
        <v>93.7</v>
      </c>
      <c r="BY541">
        <v>-87.42</v>
      </c>
      <c r="BZ541">
        <v>-142.9</v>
      </c>
      <c r="CA541">
        <v>-6.39</v>
      </c>
      <c r="CB541">
        <v>2.2000000000000002</v>
      </c>
      <c r="CC541">
        <v>-9.36</v>
      </c>
      <c r="CD541" t="s">
        <v>12912</v>
      </c>
      <c r="CE541" t="s">
        <v>12913</v>
      </c>
      <c r="CF541" s="8" t="s">
        <v>9</v>
      </c>
      <c r="CG541" s="9">
        <v>0.30809999999999998</v>
      </c>
      <c r="CH541" s="8">
        <v>0.14730878174304962</v>
      </c>
      <c r="CI541" s="8">
        <v>-0.44714170694351196</v>
      </c>
      <c r="CJ541" s="8">
        <v>784.45941162109375</v>
      </c>
      <c r="CK541" s="8">
        <v>-0.11694096028804779</v>
      </c>
      <c r="CL541" s="8">
        <v>14.05396556854248</v>
      </c>
      <c r="CM541" s="9">
        <v>-7.7555704116821289</v>
      </c>
      <c r="CN541" s="9">
        <v>0.83075934648513794</v>
      </c>
      <c r="CO541" s="9">
        <v>0.80484741926193237</v>
      </c>
      <c r="CP541" s="9">
        <v>-2.822683572769165</v>
      </c>
      <c r="CQ541" s="9">
        <v>-0.52682924270629883</v>
      </c>
      <c r="CR541">
        <v>22.201377155756205</v>
      </c>
      <c r="CS541">
        <v>1.2517901902014932</v>
      </c>
      <c r="CT541">
        <v>0</v>
      </c>
      <c r="CU541" s="8">
        <v>0.17735701501369477</v>
      </c>
      <c r="CV541" s="9">
        <v>0.29495718888938427</v>
      </c>
      <c r="CW541">
        <v>0.06</v>
      </c>
      <c r="CX541" t="e">
        <v>#VALUE!</v>
      </c>
      <c r="CY541" t="s">
        <v>109</v>
      </c>
      <c r="CZ541">
        <v>0.17735701501369477</v>
      </c>
      <c r="DA541" t="e">
        <v>#VALUE!</v>
      </c>
      <c r="DB541" t="s">
        <v>108</v>
      </c>
      <c r="DC541">
        <v>0.16848916426301003</v>
      </c>
      <c r="DD541" t="e">
        <v>#VALUE!</v>
      </c>
      <c r="DE541" t="s">
        <v>108</v>
      </c>
      <c r="DF541">
        <v>0.15607417321205141</v>
      </c>
      <c r="DG541" t="e">
        <v>#VALUE!</v>
      </c>
      <c r="DH541" t="s">
        <v>108</v>
      </c>
      <c r="DI541">
        <v>0.14188561201095581</v>
      </c>
      <c r="DJ541" t="e">
        <v>#VALUE!</v>
      </c>
      <c r="DK541" t="s">
        <v>108</v>
      </c>
      <c r="DL541">
        <v>0.12414991050958633</v>
      </c>
      <c r="DM541">
        <v>-692000000</v>
      </c>
      <c r="DN541">
        <v>0.17735701501369477</v>
      </c>
      <c r="DO541">
        <v>8196008400</v>
      </c>
      <c r="DP541" t="e">
        <v>#VALUE!</v>
      </c>
      <c r="DQ541">
        <v>541</v>
      </c>
      <c r="DR541" t="e">
        <v>#VALUE!</v>
      </c>
      <c r="DS541">
        <v>1.3142811110615715E-2</v>
      </c>
      <c r="DT541" t="e">
        <v>#VALUE!</v>
      </c>
      <c r="DU541">
        <v>-1.1266666666666667</v>
      </c>
      <c r="DV541" t="e">
        <v>#VALUE!</v>
      </c>
      <c r="DW541">
        <v>-2.0935999999999999</v>
      </c>
      <c r="DX541">
        <v>0.30006249717305467</v>
      </c>
      <c r="DY541">
        <v>-2.0149818497353977</v>
      </c>
      <c r="DZ541">
        <v>0</v>
      </c>
      <c r="EA541">
        <v>-2.0149818497353977</v>
      </c>
      <c r="EB541">
        <v>2</v>
      </c>
      <c r="EC541">
        <v>8.5448482553298916E-3</v>
      </c>
      <c r="ED541">
        <v>5.3384451507943596E-2</v>
      </c>
      <c r="EE541">
        <v>0</v>
      </c>
      <c r="EF541">
        <v>0</v>
      </c>
      <c r="EG541">
        <v>14.160062497173055</v>
      </c>
      <c r="EH541" t="s">
        <v>110</v>
      </c>
      <c r="EI541">
        <v>0</v>
      </c>
      <c r="EJ541">
        <v>0</v>
      </c>
      <c r="EK541">
        <v>0</v>
      </c>
      <c r="EL541">
        <v>0</v>
      </c>
      <c r="EM541">
        <v>0</v>
      </c>
      <c r="EN541">
        <v>0</v>
      </c>
      <c r="EO541">
        <v>0</v>
      </c>
      <c r="EP541">
        <v>0</v>
      </c>
    </row>
    <row r="542" spans="1:146" ht="96" x14ac:dyDescent="0.25">
      <c r="A542" s="7"/>
      <c r="B542" s="7"/>
      <c r="C542" s="7" t="str">
        <f>""&amp;CHAR(10)&amp;Basic_Fundamental_Information_Constructure(F542)&amp;CHAR(10)&amp;Basic_Fundamental_Information_Concatenate("")</f>
        <v xml:space="preserve">
市值107.736亿, 利润10.67亿; PE10.09; 平均PE32.5; 平均PEG1.87, PB2.46; ROIC21.2733%; ROE20.4%; 股利率0%; 毛利50.2733%; 净利27.61%; 上一年度营收增20.83%, 利润增54.19%, 利润增27.07%; 过往5年营收增17.38%, 利润增470.06%
Income profile:
</v>
      </c>
      <c r="D542" s="11">
        <v>9979</v>
      </c>
      <c r="E542" t="s">
        <v>6279</v>
      </c>
      <c r="F542">
        <v>5.36</v>
      </c>
      <c r="G542" s="5">
        <v>-1.6500000000000001E-2</v>
      </c>
      <c r="H542" t="s">
        <v>12914</v>
      </c>
      <c r="I542">
        <v>10773600000</v>
      </c>
      <c r="J542">
        <v>10.09</v>
      </c>
      <c r="K542">
        <v>2.46</v>
      </c>
      <c r="L542" t="s">
        <v>6350</v>
      </c>
      <c r="M542" t="s">
        <v>9</v>
      </c>
      <c r="N542" t="s">
        <v>9</v>
      </c>
      <c r="O542" t="s">
        <v>9</v>
      </c>
      <c r="P542" t="s">
        <v>9</v>
      </c>
      <c r="Q542" t="s">
        <v>2780</v>
      </c>
      <c r="R542">
        <v>1067267990</v>
      </c>
      <c r="S542" s="5">
        <v>0.2707</v>
      </c>
      <c r="T542" t="s">
        <v>216</v>
      </c>
      <c r="U542">
        <v>2010000000</v>
      </c>
      <c r="V542">
        <v>2010000000</v>
      </c>
      <c r="W542" t="s">
        <v>9</v>
      </c>
      <c r="X542" t="s">
        <v>9</v>
      </c>
      <c r="Y542" t="s">
        <v>9</v>
      </c>
      <c r="Z542" t="s">
        <v>9</v>
      </c>
      <c r="AA542" t="s">
        <v>9</v>
      </c>
      <c r="AB542" t="s">
        <v>9</v>
      </c>
      <c r="AC542" t="s">
        <v>9</v>
      </c>
      <c r="AD542" t="s">
        <v>12915</v>
      </c>
      <c r="AE542" t="s">
        <v>9</v>
      </c>
      <c r="AF542" t="s">
        <v>9</v>
      </c>
      <c r="AG542" t="s">
        <v>9</v>
      </c>
      <c r="AH542" t="s">
        <v>12916</v>
      </c>
      <c r="AI542" t="s">
        <v>9</v>
      </c>
      <c r="AJ542" t="s">
        <v>9</v>
      </c>
      <c r="AK542" t="s">
        <v>12917</v>
      </c>
      <c r="AL542" t="s">
        <v>9</v>
      </c>
      <c r="AM542" t="s">
        <v>9</v>
      </c>
      <c r="AN542" s="5">
        <v>0.38600000000000001</v>
      </c>
      <c r="AO542" t="s">
        <v>9</v>
      </c>
      <c r="AP542" t="s">
        <v>12918</v>
      </c>
      <c r="AQ542" t="s">
        <v>9</v>
      </c>
      <c r="AR542" t="s">
        <v>5174</v>
      </c>
      <c r="AS542" t="s">
        <v>9</v>
      </c>
      <c r="AT542" t="s">
        <v>9</v>
      </c>
      <c r="AU542" t="s">
        <v>12919</v>
      </c>
      <c r="AV542" t="s">
        <v>12920</v>
      </c>
      <c r="AW542" t="s">
        <v>9</v>
      </c>
      <c r="AX542" t="s">
        <v>6280</v>
      </c>
      <c r="AY542" t="s">
        <v>238</v>
      </c>
      <c r="AZ542" t="s">
        <v>2297</v>
      </c>
      <c r="BA542" t="s">
        <v>1193</v>
      </c>
      <c r="BB542" t="s">
        <v>2795</v>
      </c>
      <c r="BC542" t="s">
        <v>6282</v>
      </c>
      <c r="BD542" t="s">
        <v>1143</v>
      </c>
      <c r="BE542" t="s">
        <v>186</v>
      </c>
      <c r="BF542" t="s">
        <v>3125</v>
      </c>
      <c r="BG542" t="s">
        <v>2279</v>
      </c>
      <c r="BH542" t="s">
        <v>6280</v>
      </c>
      <c r="BI542" t="s">
        <v>9</v>
      </c>
      <c r="BJ542" t="s">
        <v>238</v>
      </c>
      <c r="BK542" t="s">
        <v>1941</v>
      </c>
      <c r="BL542" t="s">
        <v>9</v>
      </c>
      <c r="BM542" t="s">
        <v>6282</v>
      </c>
      <c r="BN542">
        <v>25.17</v>
      </c>
      <c r="BO542">
        <v>21.03</v>
      </c>
      <c r="BP542">
        <v>17.62</v>
      </c>
      <c r="BQ542">
        <v>24.37</v>
      </c>
      <c r="BR542">
        <v>19.91</v>
      </c>
      <c r="BS542">
        <v>16.920000000000002</v>
      </c>
      <c r="BT542" t="s">
        <v>12855</v>
      </c>
      <c r="BU542" t="s">
        <v>410</v>
      </c>
      <c r="BV542">
        <v>52.15</v>
      </c>
      <c r="BW542">
        <v>52.28</v>
      </c>
      <c r="BX542">
        <v>46.39</v>
      </c>
      <c r="BY542">
        <v>29.7</v>
      </c>
      <c r="BZ542">
        <v>27.69</v>
      </c>
      <c r="CA542">
        <v>25.44</v>
      </c>
      <c r="CB542">
        <v>-10.07</v>
      </c>
      <c r="CC542">
        <v>-28.34</v>
      </c>
      <c r="CD542" t="s">
        <v>12921</v>
      </c>
      <c r="CE542" t="s">
        <v>1003</v>
      </c>
      <c r="CF542" s="8" t="s">
        <v>9</v>
      </c>
      <c r="CG542" s="9">
        <v>0.2707</v>
      </c>
      <c r="CH542" s="8">
        <v>0.20827770233154297</v>
      </c>
      <c r="CI542" s="8">
        <v>9.0644314885139465E-2</v>
      </c>
      <c r="CJ542" s="8">
        <v>0.20271456241607666</v>
      </c>
      <c r="CK542" s="8">
        <v>0.35468563437461853</v>
      </c>
      <c r="CL542" s="8">
        <v>0.38423645496368408</v>
      </c>
      <c r="CM542" s="9">
        <v>0.54190748929977417</v>
      </c>
      <c r="CN542" s="9">
        <v>0.32061067223548889</v>
      </c>
      <c r="CO542" s="9">
        <v>0.44352617859840393</v>
      </c>
      <c r="CP542" s="9">
        <v>-4.724409431219101E-2</v>
      </c>
      <c r="CQ542" s="9">
        <v>0.28716215491294861</v>
      </c>
      <c r="CR542">
        <v>32.500258301275068</v>
      </c>
      <c r="CS542">
        <v>1.8697340072238475</v>
      </c>
      <c r="CT542">
        <v>0</v>
      </c>
      <c r="CU542" s="8">
        <v>0.17382289767265319</v>
      </c>
      <c r="CV542" s="9">
        <v>4.7005663156509403</v>
      </c>
      <c r="CW542">
        <v>0.06</v>
      </c>
      <c r="CX542">
        <v>9.1180026890047206</v>
      </c>
      <c r="CY542">
        <v>1181574558.3176613</v>
      </c>
      <c r="CZ542">
        <v>0.17382289767265319</v>
      </c>
      <c r="DA542">
        <v>2.7774306161261495</v>
      </c>
      <c r="DB542">
        <v>3878980788.0157208</v>
      </c>
      <c r="DC542">
        <v>0.16513175278902051</v>
      </c>
      <c r="DD542">
        <v>1.2410636623981144</v>
      </c>
      <c r="DE542">
        <v>8680940653.1024456</v>
      </c>
      <c r="DF542">
        <v>0.1529641499519348</v>
      </c>
      <c r="DG542">
        <v>0.66549726944954313</v>
      </c>
      <c r="DH542">
        <v>16188796700.715593</v>
      </c>
      <c r="DI542">
        <v>0.13905831813812256</v>
      </c>
      <c r="DJ542">
        <v>0.26449553748420945</v>
      </c>
      <c r="DK542">
        <v>40732634291.204971</v>
      </c>
      <c r="DL542">
        <v>0.12167602837085723</v>
      </c>
      <c r="DM542">
        <v>1067000000</v>
      </c>
      <c r="DN542">
        <v>0.17382289767265319</v>
      </c>
      <c r="DO542">
        <v>10773600000</v>
      </c>
      <c r="DP542" t="e">
        <v>#VALUE!</v>
      </c>
      <c r="DQ542">
        <v>542</v>
      </c>
      <c r="DR542" t="e">
        <v>#VALUE!</v>
      </c>
      <c r="DS542">
        <v>-4.4298663156509406</v>
      </c>
      <c r="DT542" t="e">
        <v>#VALUE!</v>
      </c>
      <c r="DU542" t="e">
        <v>#VALUE!</v>
      </c>
      <c r="DV542" t="e">
        <v>#VALUE!</v>
      </c>
      <c r="DW542">
        <v>-9.3553281580804519</v>
      </c>
      <c r="DX542">
        <v>0.39547165775401055</v>
      </c>
      <c r="DY542">
        <v>-9.0730098656874691</v>
      </c>
      <c r="DZ542">
        <v>0</v>
      </c>
      <c r="EA542">
        <v>-9.0730098656874691</v>
      </c>
      <c r="EB542">
        <v>9</v>
      </c>
      <c r="EC542">
        <v>1.9116019900497511E-2</v>
      </c>
      <c r="ED542">
        <v>9.3034825870646765E-2</v>
      </c>
      <c r="EE542">
        <v>0</v>
      </c>
      <c r="EF542">
        <v>0</v>
      </c>
      <c r="EG542">
        <v>19.205471657754011</v>
      </c>
      <c r="EH542" t="s">
        <v>110</v>
      </c>
      <c r="EI542">
        <v>0</v>
      </c>
      <c r="EJ542">
        <v>0</v>
      </c>
      <c r="EK542">
        <v>0</v>
      </c>
      <c r="EL542">
        <v>0</v>
      </c>
      <c r="EM542">
        <v>0</v>
      </c>
      <c r="EN542">
        <v>0</v>
      </c>
      <c r="EO542">
        <v>0</v>
      </c>
      <c r="EP542">
        <v>0</v>
      </c>
    </row>
    <row r="543" spans="1:146" ht="96" x14ac:dyDescent="0.25">
      <c r="A543" s="7"/>
      <c r="B543" s="7"/>
      <c r="C543" s="7" t="str">
        <f>""&amp;CHAR(10)&amp;Basic_Fundamental_Information_Constructure(F543)&amp;CHAR(10)&amp;Basic_Fundamental_Information_Concatenate("")</f>
        <v xml:space="preserve">
市值1372.7936亿, 利润34.51亿; PE21.25; 平均PE123.23; 平均PEG6.53, PB2.74; ROIC12.7833%; ROE11.16%; 股利率0%; 毛利70.91%; 净利8.4767%; 上一年度营收增-2.93%, 利润增-55.3%; 当季营收增9.39%, 利润增189.8%; 过往5年营收增18.87%, 利润增41.01%
Income profile:
</v>
      </c>
      <c r="D543" s="11">
        <v>9987</v>
      </c>
      <c r="E543" t="s">
        <v>6285</v>
      </c>
      <c r="F543">
        <v>342</v>
      </c>
      <c r="G543" s="5">
        <v>1.8499999999999999E-2</v>
      </c>
      <c r="H543" t="s">
        <v>6525</v>
      </c>
      <c r="I543">
        <v>137279360000</v>
      </c>
      <c r="J543">
        <v>21.25</v>
      </c>
      <c r="K543">
        <v>2.74</v>
      </c>
      <c r="L543" t="s">
        <v>6350</v>
      </c>
      <c r="M543" t="s">
        <v>6286</v>
      </c>
      <c r="N543" t="s">
        <v>6287</v>
      </c>
      <c r="O543" t="s">
        <v>6288</v>
      </c>
      <c r="P543">
        <v>9.1</v>
      </c>
      <c r="Q543" t="s">
        <v>6289</v>
      </c>
      <c r="R543">
        <v>2269228000</v>
      </c>
      <c r="S543" s="5">
        <v>1.8979999999999999</v>
      </c>
      <c r="T543" t="s">
        <v>1743</v>
      </c>
      <c r="U543">
        <v>417581530</v>
      </c>
      <c r="V543">
        <v>417581530</v>
      </c>
      <c r="W543">
        <v>1.79</v>
      </c>
      <c r="X543">
        <v>0.24</v>
      </c>
      <c r="Y543">
        <v>15.71</v>
      </c>
      <c r="Z543" t="s">
        <v>6290</v>
      </c>
      <c r="AA543" t="s">
        <v>6173</v>
      </c>
      <c r="AB543" t="s">
        <v>9</v>
      </c>
      <c r="AC543" t="s">
        <v>6291</v>
      </c>
      <c r="AD543" t="s">
        <v>6292</v>
      </c>
      <c r="AE543" t="s">
        <v>3062</v>
      </c>
      <c r="AF543" t="s">
        <v>9</v>
      </c>
      <c r="AG543" t="s">
        <v>134</v>
      </c>
      <c r="AH543" t="s">
        <v>6293</v>
      </c>
      <c r="AI543" t="s">
        <v>677</v>
      </c>
      <c r="AJ543" t="s">
        <v>190</v>
      </c>
      <c r="AK543" t="s">
        <v>6294</v>
      </c>
      <c r="AL543" t="s">
        <v>9</v>
      </c>
      <c r="AM543" t="s">
        <v>6295</v>
      </c>
      <c r="AN543" s="5">
        <v>0.38009999999999999</v>
      </c>
      <c r="AO543" t="s">
        <v>9</v>
      </c>
      <c r="AP543" t="s">
        <v>9</v>
      </c>
      <c r="AQ543" t="s">
        <v>9</v>
      </c>
      <c r="AR543" t="s">
        <v>6296</v>
      </c>
      <c r="AS543" t="s">
        <v>6297</v>
      </c>
      <c r="AT543" t="s">
        <v>9</v>
      </c>
      <c r="AU543" t="s">
        <v>6298</v>
      </c>
      <c r="AV543" t="s">
        <v>6299</v>
      </c>
      <c r="AW543" t="s">
        <v>6300</v>
      </c>
      <c r="AX543" t="s">
        <v>6301</v>
      </c>
      <c r="AY543" t="s">
        <v>6302</v>
      </c>
      <c r="AZ543" t="s">
        <v>6303</v>
      </c>
      <c r="BA543" t="s">
        <v>6304</v>
      </c>
      <c r="BB543" t="s">
        <v>6305</v>
      </c>
      <c r="BC543" t="s">
        <v>6306</v>
      </c>
      <c r="BD543" t="s">
        <v>6307</v>
      </c>
      <c r="BE543" t="s">
        <v>3376</v>
      </c>
      <c r="BF543" t="s">
        <v>6308</v>
      </c>
      <c r="BG543" t="s">
        <v>6309</v>
      </c>
      <c r="BH543" t="s">
        <v>6289</v>
      </c>
      <c r="BI543" t="s">
        <v>6310</v>
      </c>
      <c r="BJ543" t="s">
        <v>6301</v>
      </c>
      <c r="BK543" t="s">
        <v>1743</v>
      </c>
      <c r="BL543" t="s">
        <v>3871</v>
      </c>
      <c r="BM543" t="s">
        <v>6306</v>
      </c>
      <c r="BN543">
        <v>6.53</v>
      </c>
      <c r="BO543">
        <v>14.93</v>
      </c>
      <c r="BP543">
        <v>16.89</v>
      </c>
      <c r="BQ543">
        <v>6.82</v>
      </c>
      <c r="BR543">
        <v>14.03</v>
      </c>
      <c r="BS543">
        <v>12.63</v>
      </c>
      <c r="BT543" t="s">
        <v>5527</v>
      </c>
      <c r="BU543" t="s">
        <v>567</v>
      </c>
      <c r="BV543">
        <v>70.08</v>
      </c>
      <c r="BW543">
        <v>71.239999999999995</v>
      </c>
      <c r="BX543">
        <v>71.41</v>
      </c>
      <c r="BY543">
        <v>5.04</v>
      </c>
      <c r="BZ543">
        <v>10.46</v>
      </c>
      <c r="CA543">
        <v>9.93</v>
      </c>
      <c r="CB543">
        <v>4.1399999999999997</v>
      </c>
      <c r="CC543">
        <v>20.25</v>
      </c>
      <c r="CD543" t="s">
        <v>6526</v>
      </c>
      <c r="CE543" t="s">
        <v>6527</v>
      </c>
      <c r="CF543" s="8">
        <v>9.3906671808715772E-2</v>
      </c>
      <c r="CG543" s="9">
        <v>1.8979999999999999</v>
      </c>
      <c r="CH543" s="8">
        <v>-2.9341243207454681E-2</v>
      </c>
      <c r="CI543" s="8">
        <v>0.20055121183395386</v>
      </c>
      <c r="CJ543" s="8">
        <v>-6.5512016415596008E-2</v>
      </c>
      <c r="CK543" s="8">
        <v>3.5535179078578949E-2</v>
      </c>
      <c r="CL543" s="8">
        <v>8.6039185523986816E-2</v>
      </c>
      <c r="CM543" s="9">
        <v>-0.55297929048538208</v>
      </c>
      <c r="CN543" s="9">
        <v>0.27015462517738342</v>
      </c>
      <c r="CO543" s="9">
        <v>9.474065899848938E-2</v>
      </c>
      <c r="CP543" s="9">
        <v>1.0818839073181152E-3</v>
      </c>
      <c r="CQ543" s="9">
        <v>0.7832796573638916</v>
      </c>
      <c r="CR543">
        <v>123.23102333931777</v>
      </c>
      <c r="CS543">
        <v>6.5309899571349144</v>
      </c>
      <c r="CT543">
        <v>0</v>
      </c>
      <c r="CU543" s="8">
        <v>0.18868659138679506</v>
      </c>
      <c r="CV543" s="9">
        <v>0.4101402763277292</v>
      </c>
      <c r="CW543">
        <v>0.06</v>
      </c>
      <c r="CX543">
        <v>29.652080342669386</v>
      </c>
      <c r="CY543">
        <v>3869959836.6753106</v>
      </c>
      <c r="CZ543">
        <v>0.18868659138679506</v>
      </c>
      <c r="DA543">
        <v>8.9217460894823493</v>
      </c>
      <c r="DB543">
        <v>12862096595.113712</v>
      </c>
      <c r="DC543">
        <v>0.17925226181745529</v>
      </c>
      <c r="DD543">
        <v>3.9173424837101027</v>
      </c>
      <c r="DE543">
        <v>29293420342.282249</v>
      </c>
      <c r="DF543">
        <v>0.16604420042037965</v>
      </c>
      <c r="DG543">
        <v>2.056453800794646</v>
      </c>
      <c r="DH543">
        <v>55801088240.182144</v>
      </c>
      <c r="DI543">
        <v>0.15094927310943607</v>
      </c>
      <c r="DJ543">
        <v>0.77620507516854109</v>
      </c>
      <c r="DK543">
        <v>147837683198.71301</v>
      </c>
      <c r="DL543">
        <v>0.13208061397075652</v>
      </c>
      <c r="DM543">
        <v>3451000000</v>
      </c>
      <c r="DN543">
        <v>0.18868659138679506</v>
      </c>
      <c r="DO543">
        <v>114752360000</v>
      </c>
      <c r="DP543" t="e">
        <v>#VALUE!</v>
      </c>
      <c r="DQ543">
        <v>549</v>
      </c>
      <c r="DR543">
        <v>-9.4779919578079283E-2</v>
      </c>
      <c r="DS543">
        <v>1.4878597236722708</v>
      </c>
      <c r="DT543">
        <v>0.12666666666666662</v>
      </c>
      <c r="DU543">
        <v>1.19</v>
      </c>
      <c r="DV543">
        <v>1.3166666666666667</v>
      </c>
      <c r="DW543">
        <v>8.2044444444444444</v>
      </c>
      <c r="DX543">
        <v>0.51458565010453017</v>
      </c>
      <c r="DY543">
        <v>8.0234263995769268</v>
      </c>
      <c r="DZ543">
        <v>0</v>
      </c>
      <c r="EA543">
        <v>8.0234263995769268</v>
      </c>
      <c r="EB543">
        <v>8</v>
      </c>
      <c r="EC543">
        <v>4.9350841738618088E-3</v>
      </c>
      <c r="ED543">
        <v>4.306895470209135E-2</v>
      </c>
      <c r="EE543">
        <v>0</v>
      </c>
      <c r="EF543">
        <v>0</v>
      </c>
      <c r="EG543">
        <v>40.11458565010453</v>
      </c>
      <c r="EH543" t="s">
        <v>110</v>
      </c>
      <c r="EI543">
        <v>0</v>
      </c>
      <c r="EJ543">
        <v>0</v>
      </c>
      <c r="EK543">
        <v>0</v>
      </c>
      <c r="EL543">
        <v>0</v>
      </c>
      <c r="EM543">
        <v>0</v>
      </c>
    </row>
    <row r="544" spans="1:146" ht="96" x14ac:dyDescent="0.25">
      <c r="A544" s="7"/>
      <c r="B544" s="7"/>
      <c r="C544" s="7" t="str">
        <f>""&amp;CHAR(10)&amp;Basic_Fundamental_Information_Constructure(F544)&amp;CHAR(10)&amp;Basic_Fundamental_Information_Concatenate("")</f>
        <v xml:space="preserve">
市值46.660019亿, 利润-8.59亿; PE; 平均PE20.29; 平均PEG1.18, PB.359; ROIC.3833%; ROE.4833%; 股利率0%; 毛利26.9%; 净利-.37%; 上一年度营收增-26.21%, 利润增-391.19%; 当季营收增-37.27%, 利润增119.9%; 过往5年营收增17.24%, 利润增16.25%
Income profile:
</v>
      </c>
      <c r="D544" s="11">
        <v>9989</v>
      </c>
      <c r="E544" t="s">
        <v>6311</v>
      </c>
      <c r="F544">
        <v>3.18</v>
      </c>
      <c r="G544" s="5">
        <v>-3.0499999999999999E-2</v>
      </c>
      <c r="H544" t="s">
        <v>12922</v>
      </c>
      <c r="I544">
        <v>4666001900</v>
      </c>
      <c r="K544">
        <v>0.35899999999999999</v>
      </c>
      <c r="L544" t="s">
        <v>6350</v>
      </c>
      <c r="M544" t="s">
        <v>3570</v>
      </c>
      <c r="N544" t="s">
        <v>3199</v>
      </c>
      <c r="O544" t="s">
        <v>3899</v>
      </c>
      <c r="P544">
        <v>5.55</v>
      </c>
      <c r="Q544" t="s">
        <v>12923</v>
      </c>
      <c r="R544">
        <v>-858607420</v>
      </c>
      <c r="S544" s="5">
        <v>1.1990000000000001</v>
      </c>
      <c r="T544" t="s">
        <v>12924</v>
      </c>
      <c r="U544">
        <v>220094500</v>
      </c>
      <c r="V544">
        <v>1467296200</v>
      </c>
      <c r="W544">
        <v>1.56</v>
      </c>
      <c r="X544">
        <v>7.0000000000000007E-2</v>
      </c>
      <c r="Y544">
        <v>14.39</v>
      </c>
      <c r="Z544" t="s">
        <v>6421</v>
      </c>
      <c r="AA544" t="s">
        <v>1883</v>
      </c>
      <c r="AB544" t="s">
        <v>12925</v>
      </c>
      <c r="AC544" t="s">
        <v>239</v>
      </c>
      <c r="AD544" t="s">
        <v>122</v>
      </c>
      <c r="AE544" t="s">
        <v>12926</v>
      </c>
      <c r="AF544" t="s">
        <v>9</v>
      </c>
      <c r="AG544" t="s">
        <v>12927</v>
      </c>
      <c r="AH544" t="s">
        <v>12928</v>
      </c>
      <c r="AI544" t="s">
        <v>12929</v>
      </c>
      <c r="AJ544" t="s">
        <v>5335</v>
      </c>
      <c r="AK544" t="s">
        <v>12930</v>
      </c>
      <c r="AL544" t="s">
        <v>9</v>
      </c>
      <c r="AM544" t="s">
        <v>12931</v>
      </c>
      <c r="AN544" s="5">
        <v>0.3569</v>
      </c>
      <c r="AO544" t="s">
        <v>3789</v>
      </c>
      <c r="AP544" t="s">
        <v>906</v>
      </c>
      <c r="AQ544" t="s">
        <v>1183</v>
      </c>
      <c r="AR544" t="s">
        <v>5101</v>
      </c>
      <c r="AS544" t="s">
        <v>12932</v>
      </c>
      <c r="AT544" t="s">
        <v>9312</v>
      </c>
      <c r="AU544" t="s">
        <v>2762</v>
      </c>
      <c r="AV544" t="s">
        <v>8594</v>
      </c>
      <c r="AW544" t="s">
        <v>2432</v>
      </c>
      <c r="AX544" t="s">
        <v>6312</v>
      </c>
      <c r="AY544" t="s">
        <v>6315</v>
      </c>
      <c r="AZ544" t="s">
        <v>3377</v>
      </c>
      <c r="BA544" t="s">
        <v>6316</v>
      </c>
      <c r="BB544" t="s">
        <v>6317</v>
      </c>
      <c r="BC544" t="s">
        <v>167</v>
      </c>
      <c r="BD544" t="s">
        <v>952</v>
      </c>
      <c r="BE544" t="s">
        <v>191</v>
      </c>
      <c r="BF544" t="s">
        <v>5928</v>
      </c>
      <c r="BG544" t="s">
        <v>214</v>
      </c>
      <c r="BH544" t="s">
        <v>6312</v>
      </c>
      <c r="BI544" t="s">
        <v>1466</v>
      </c>
      <c r="BJ544" t="s">
        <v>6315</v>
      </c>
      <c r="BK544" t="s">
        <v>6313</v>
      </c>
      <c r="BL544" t="s">
        <v>2137</v>
      </c>
      <c r="BM544" t="s">
        <v>167</v>
      </c>
      <c r="BN544">
        <v>-4.3499999999999996</v>
      </c>
      <c r="BO544">
        <v>4.09</v>
      </c>
      <c r="BP544">
        <v>1.41</v>
      </c>
      <c r="BQ544">
        <v>-6.57</v>
      </c>
      <c r="BR544">
        <v>5.91</v>
      </c>
      <c r="BS544">
        <v>2.11</v>
      </c>
      <c r="BT544" t="s">
        <v>899</v>
      </c>
      <c r="BU544" t="s">
        <v>489</v>
      </c>
      <c r="BV544">
        <v>17.32</v>
      </c>
      <c r="BW544">
        <v>32.03</v>
      </c>
      <c r="BX544">
        <v>31.35</v>
      </c>
      <c r="BY544">
        <v>-14.77</v>
      </c>
      <c r="BZ544">
        <v>9.99</v>
      </c>
      <c r="CA544">
        <v>3.67</v>
      </c>
      <c r="CB544">
        <v>-5.64</v>
      </c>
      <c r="CC544">
        <v>-11.17</v>
      </c>
      <c r="CD544" t="s">
        <v>12933</v>
      </c>
      <c r="CE544" t="s">
        <v>12934</v>
      </c>
      <c r="CF544" s="8">
        <v>-0.37271568210794731</v>
      </c>
      <c r="CG544" s="9">
        <v>1.1990000000000001</v>
      </c>
      <c r="CH544" s="8">
        <v>-0.26205527782440186</v>
      </c>
      <c r="CI544" s="8">
        <v>3.5824287682771683E-2</v>
      </c>
      <c r="CJ544" s="8">
        <v>0.22916670143604279</v>
      </c>
      <c r="CK544" s="8">
        <v>0.15937787294387817</v>
      </c>
      <c r="CL544" s="8">
        <v>0.61161893606185913</v>
      </c>
      <c r="CM544" s="9">
        <v>-3.9118645191192627</v>
      </c>
      <c r="CN544" s="9">
        <v>-0.75839471817016602</v>
      </c>
      <c r="CO544" s="9">
        <v>3.1249945983290672E-2</v>
      </c>
      <c r="CP544" s="9">
        <v>0.62414264678955078</v>
      </c>
      <c r="CQ544" s="9">
        <v>1.5489510297775269</v>
      </c>
      <c r="CR544">
        <v>20.286964782608695</v>
      </c>
      <c r="CS544">
        <v>1.1767783447370745</v>
      </c>
      <c r="CT544">
        <v>0</v>
      </c>
      <c r="CU544" s="8">
        <v>0.1723941035568714</v>
      </c>
      <c r="CV544" s="9">
        <v>0.1624855875968933</v>
      </c>
      <c r="CW544">
        <v>0.06</v>
      </c>
      <c r="CX544" t="s">
        <v>6351</v>
      </c>
      <c r="CY544" t="s">
        <v>109</v>
      </c>
      <c r="CZ544">
        <v>0.1723941035568714</v>
      </c>
      <c r="DA544" t="s">
        <v>6351</v>
      </c>
      <c r="DB544" t="s">
        <v>108</v>
      </c>
      <c r="DC544">
        <v>0.16377439837902782</v>
      </c>
      <c r="DD544" t="s">
        <v>6351</v>
      </c>
      <c r="DE544" t="s">
        <v>108</v>
      </c>
      <c r="DF544">
        <v>0.15170681113004683</v>
      </c>
      <c r="DG544" t="s">
        <v>6351</v>
      </c>
      <c r="DH544" t="s">
        <v>108</v>
      </c>
      <c r="DI544">
        <v>0.13791528284549712</v>
      </c>
      <c r="DJ544" t="s">
        <v>6351</v>
      </c>
      <c r="DK544" t="s">
        <v>108</v>
      </c>
      <c r="DL544">
        <v>0.12067587248980997</v>
      </c>
      <c r="DM544">
        <v>-859000000</v>
      </c>
      <c r="DN544">
        <v>0.1723941035568714</v>
      </c>
      <c r="DO544">
        <v>-1160998100</v>
      </c>
      <c r="DP544" t="e">
        <v>#VALUE!</v>
      </c>
      <c r="DQ544">
        <v>544</v>
      </c>
      <c r="DR544">
        <v>-0.54510978566481871</v>
      </c>
      <c r="DS544">
        <v>1.0365144124031067</v>
      </c>
      <c r="DT544">
        <v>5.9999999999999908E-2</v>
      </c>
      <c r="DU544">
        <v>-1.1483333333333332</v>
      </c>
      <c r="DV544">
        <v>-1.0883333333333334</v>
      </c>
      <c r="DW544">
        <v>-8.5049239033124433</v>
      </c>
      <c r="DX544">
        <v>0.27373644563051103</v>
      </c>
      <c r="DY544">
        <v>-8.0675267281428891</v>
      </c>
      <c r="DZ544">
        <v>0</v>
      </c>
      <c r="EA544">
        <v>-8.0675267281428891</v>
      </c>
      <c r="EB544">
        <v>8</v>
      </c>
      <c r="EC544">
        <v>1.3490800289675663E-3</v>
      </c>
      <c r="ED544">
        <v>1.0087601944310904E-2</v>
      </c>
      <c r="EE544">
        <v>0</v>
      </c>
      <c r="EF544">
        <v>0</v>
      </c>
      <c r="EG544">
        <v>14.133736445630511</v>
      </c>
      <c r="EH544" t="s">
        <v>110</v>
      </c>
      <c r="EI544">
        <v>0</v>
      </c>
      <c r="EJ544">
        <v>0</v>
      </c>
      <c r="EK544">
        <v>0</v>
      </c>
      <c r="EL544">
        <v>0</v>
      </c>
      <c r="EM544">
        <v>0</v>
      </c>
      <c r="EN544">
        <v>0</v>
      </c>
      <c r="EO544">
        <v>0</v>
      </c>
      <c r="EP544">
        <v>0</v>
      </c>
    </row>
    <row r="545" spans="1:146" ht="96" x14ac:dyDescent="0.25">
      <c r="A545" s="7"/>
      <c r="B545" s="7"/>
      <c r="C545" s="7" t="str">
        <f>""&amp;CHAR(10)&amp;Basic_Fundamental_Information_Constructure(F545)&amp;CHAR(10)&amp;Basic_Fundamental_Information_Concatenate("")</f>
        <v xml:space="preserve">
市值492.18866亿, 利润11.86亿; PE41.48; 平均PE143.43; 平均PEG12.9, PB5.78; ROIC11.5933%; ROE11.0967%; 股利率0%; 毛利60.08%; 净利15.5367%; 上一年度营收增32.6%, 利润增13.38%, 利润增121.1%; 过往5年营收增11.12%, 利润增24.51%
Income profile:
</v>
      </c>
      <c r="D545" s="11">
        <v>9992</v>
      </c>
      <c r="E545" t="s">
        <v>6318</v>
      </c>
      <c r="F545">
        <v>36.65</v>
      </c>
      <c r="G545" s="5">
        <v>-1.35E-2</v>
      </c>
      <c r="H545" t="s">
        <v>12935</v>
      </c>
      <c r="I545">
        <v>49218866000</v>
      </c>
      <c r="J545">
        <v>41.48</v>
      </c>
      <c r="K545">
        <v>5.78</v>
      </c>
      <c r="L545" t="s">
        <v>6350</v>
      </c>
      <c r="M545" t="s">
        <v>9</v>
      </c>
      <c r="N545" t="s">
        <v>9</v>
      </c>
      <c r="O545" t="s">
        <v>9</v>
      </c>
      <c r="P545" t="s">
        <v>9</v>
      </c>
      <c r="Q545" t="s">
        <v>12936</v>
      </c>
      <c r="R545">
        <v>1186465490</v>
      </c>
      <c r="S545" s="5">
        <v>1.2110000000000001</v>
      </c>
      <c r="T545" t="s">
        <v>4706</v>
      </c>
      <c r="U545">
        <v>1342943200</v>
      </c>
      <c r="V545">
        <v>1342943200</v>
      </c>
      <c r="W545" t="s">
        <v>9</v>
      </c>
      <c r="X545" t="s">
        <v>9</v>
      </c>
      <c r="Y545" t="s">
        <v>9</v>
      </c>
      <c r="Z545" t="s">
        <v>9</v>
      </c>
      <c r="AA545" t="s">
        <v>9</v>
      </c>
      <c r="AB545" t="s">
        <v>9</v>
      </c>
      <c r="AC545" t="s">
        <v>9</v>
      </c>
      <c r="AD545" t="s">
        <v>9</v>
      </c>
      <c r="AE545" t="s">
        <v>9</v>
      </c>
      <c r="AF545" t="s">
        <v>9</v>
      </c>
      <c r="AG545" t="s">
        <v>9</v>
      </c>
      <c r="AH545" t="s">
        <v>12937</v>
      </c>
      <c r="AI545" t="s">
        <v>9</v>
      </c>
      <c r="AJ545" t="s">
        <v>9</v>
      </c>
      <c r="AK545" t="s">
        <v>12938</v>
      </c>
      <c r="AL545" t="s">
        <v>9</v>
      </c>
      <c r="AM545" t="s">
        <v>9</v>
      </c>
      <c r="AN545" s="5">
        <v>0.2195</v>
      </c>
      <c r="AO545" t="s">
        <v>9</v>
      </c>
      <c r="AP545" t="s">
        <v>2667</v>
      </c>
      <c r="AQ545" t="s">
        <v>9</v>
      </c>
      <c r="AR545" t="s">
        <v>12939</v>
      </c>
      <c r="AS545" t="s">
        <v>9</v>
      </c>
      <c r="AT545" t="s">
        <v>9</v>
      </c>
      <c r="AU545" t="s">
        <v>12940</v>
      </c>
      <c r="AV545" t="s">
        <v>131</v>
      </c>
      <c r="AW545" t="s">
        <v>9</v>
      </c>
      <c r="AX545" t="s">
        <v>6319</v>
      </c>
      <c r="AY545" t="s">
        <v>1491</v>
      </c>
      <c r="AZ545" t="s">
        <v>6280</v>
      </c>
      <c r="BA545" t="s">
        <v>1312</v>
      </c>
      <c r="BB545" t="s">
        <v>249</v>
      </c>
      <c r="BC545" t="s">
        <v>3980</v>
      </c>
      <c r="BD545" t="s">
        <v>1267</v>
      </c>
      <c r="BE545" t="s">
        <v>1578</v>
      </c>
      <c r="BF545" t="s">
        <v>2049</v>
      </c>
      <c r="BG545" t="s">
        <v>6322</v>
      </c>
      <c r="BH545" t="s">
        <v>6319</v>
      </c>
      <c r="BI545" t="s">
        <v>9</v>
      </c>
      <c r="BJ545" t="s">
        <v>1491</v>
      </c>
      <c r="BK545" t="s">
        <v>582</v>
      </c>
      <c r="BL545" t="s">
        <v>9</v>
      </c>
      <c r="BM545" t="s">
        <v>3980</v>
      </c>
      <c r="BN545">
        <v>14.68</v>
      </c>
      <c r="BO545">
        <v>6.9</v>
      </c>
      <c r="BP545">
        <v>13.2</v>
      </c>
      <c r="BQ545">
        <v>13.93</v>
      </c>
      <c r="BR545">
        <v>6.83</v>
      </c>
      <c r="BS545">
        <v>12.53</v>
      </c>
      <c r="BT545" t="s">
        <v>2345</v>
      </c>
      <c r="BU545" t="s">
        <v>1987</v>
      </c>
      <c r="BV545">
        <v>61.32</v>
      </c>
      <c r="BW545">
        <v>57.49</v>
      </c>
      <c r="BX545">
        <v>61.43</v>
      </c>
      <c r="BY545">
        <v>17.28</v>
      </c>
      <c r="BZ545">
        <v>10.3</v>
      </c>
      <c r="CA545">
        <v>19.03</v>
      </c>
      <c r="CB545">
        <v>-8.3800000000000008</v>
      </c>
      <c r="CC545">
        <v>-0.81</v>
      </c>
      <c r="CD545" t="s">
        <v>12941</v>
      </c>
      <c r="CE545" t="s">
        <v>2923</v>
      </c>
      <c r="CF545" s="8" t="s">
        <v>9</v>
      </c>
      <c r="CG545" s="9">
        <v>1.2110000000000001</v>
      </c>
      <c r="CH545" s="8">
        <v>0.32597425580024719</v>
      </c>
      <c r="CI545" s="8">
        <v>-5.2736841142177582E-2</v>
      </c>
      <c r="CJ545" s="8">
        <v>0.83544719219207764</v>
      </c>
      <c r="CK545" s="8">
        <v>4.1126279830932617</v>
      </c>
      <c r="CL545" s="8">
        <v>2.0842106342315674</v>
      </c>
      <c r="CM545" s="9">
        <v>0.13384321331977844</v>
      </c>
      <c r="CN545" s="9">
        <v>0.67628204822540283</v>
      </c>
      <c r="CO545" s="9">
        <v>0.2380952388048172</v>
      </c>
      <c r="CP545" s="9">
        <v>3.460176944732666</v>
      </c>
      <c r="CQ545" s="9">
        <v>59.071231842041016</v>
      </c>
      <c r="CR545">
        <v>143.42554443904808</v>
      </c>
      <c r="CS545">
        <v>12.900134744523173</v>
      </c>
      <c r="CT545">
        <v>0</v>
      </c>
      <c r="CU545" s="8">
        <v>0.11118143126368522</v>
      </c>
      <c r="CV545" s="9">
        <v>0.24505291879177094</v>
      </c>
      <c r="CW545">
        <v>0.06</v>
      </c>
      <c r="CX545">
        <v>39.588386737222955</v>
      </c>
      <c r="CY545">
        <v>1243265261.7723873</v>
      </c>
      <c r="CZ545">
        <v>0.11118143126368522</v>
      </c>
      <c r="DA545">
        <v>12.707693683853861</v>
      </c>
      <c r="DB545">
        <v>3873154895.3321481</v>
      </c>
      <c r="DC545">
        <v>0.10562235970050096</v>
      </c>
      <c r="DD545">
        <v>6.1066227010133955</v>
      </c>
      <c r="DE545">
        <v>8059915997.7301559</v>
      </c>
      <c r="DF545">
        <v>9.7839659512043001E-2</v>
      </c>
      <c r="DG545">
        <v>3.5677689053294031</v>
      </c>
      <c r="DH545">
        <v>13795418735.355492</v>
      </c>
      <c r="DI545">
        <v>8.894514501094819E-2</v>
      </c>
      <c r="DJ545">
        <v>1.7336319491577898</v>
      </c>
      <c r="DK545">
        <v>28390608527.900551</v>
      </c>
      <c r="DL545">
        <v>7.7827001884579652E-2</v>
      </c>
      <c r="DM545">
        <v>1186000000</v>
      </c>
      <c r="DN545">
        <v>0.11118143126368522</v>
      </c>
      <c r="DO545">
        <v>49218866000</v>
      </c>
      <c r="DP545" t="e">
        <v>#VALUE!</v>
      </c>
      <c r="DQ545">
        <v>545</v>
      </c>
      <c r="DR545" t="e">
        <v>#VALUE!</v>
      </c>
      <c r="DS545">
        <v>0.96594708120822914</v>
      </c>
      <c r="DT545" t="e">
        <v>#VALUE!</v>
      </c>
      <c r="DU545" t="e">
        <v>#VALUE!</v>
      </c>
      <c r="DV545" t="e">
        <v>#VALUE!</v>
      </c>
      <c r="DW545">
        <v>-5.0966587112171835</v>
      </c>
      <c r="DX545">
        <v>0.31962571428571496</v>
      </c>
      <c r="DY545">
        <v>-5.0163958029321511</v>
      </c>
      <c r="DZ545">
        <v>0</v>
      </c>
      <c r="EA545">
        <v>-5.0163958029321511</v>
      </c>
      <c r="EB545">
        <v>5</v>
      </c>
      <c r="EC545">
        <v>2.210406218222781E-2</v>
      </c>
      <c r="ED545">
        <v>0.13031079795482042</v>
      </c>
      <c r="EE545">
        <v>0</v>
      </c>
      <c r="EF545">
        <v>0</v>
      </c>
      <c r="EG545">
        <v>15.169625714285715</v>
      </c>
      <c r="EH545" t="s">
        <v>110</v>
      </c>
      <c r="EI545">
        <v>0</v>
      </c>
      <c r="EJ545">
        <v>0</v>
      </c>
      <c r="EK545">
        <v>0</v>
      </c>
      <c r="EL545">
        <v>0</v>
      </c>
      <c r="EM545">
        <v>0</v>
      </c>
      <c r="EN545">
        <v>0</v>
      </c>
      <c r="EO545">
        <v>0</v>
      </c>
      <c r="EP545">
        <v>0</v>
      </c>
    </row>
    <row r="546" spans="1:146" ht="96" x14ac:dyDescent="0.25">
      <c r="A546" s="7"/>
      <c r="B546" s="7"/>
      <c r="C546" s="7" t="str">
        <f>""&amp;CHAR(10)&amp;Basic_Fundamental_Information_Constructure(F546)&amp;CHAR(10)&amp;Basic_Fundamental_Information_Concatenate("")</f>
        <v xml:space="preserve">
市值110.434697亿, 利润-6.37亿; PE; 平均PE3.33; 平均PEG3.74, PB.421; ROIC2.0567%; ROE6.1233%; 股利率0%; 毛利13.8033%; 净利4.62%; 上一年度营收增-5.77%, 利润增-115.89%, 利润增-133.1%; 过往5年营收增-.89%, 利润增23.24%
Income profile:
</v>
      </c>
      <c r="D546" s="11">
        <v>9993</v>
      </c>
      <c r="E546" t="s">
        <v>6323</v>
      </c>
      <c r="F546">
        <v>2.73</v>
      </c>
      <c r="G546" s="5">
        <v>1.11E-2</v>
      </c>
      <c r="H546" t="s">
        <v>12942</v>
      </c>
      <c r="I546">
        <v>11043469700</v>
      </c>
      <c r="K546">
        <v>0.42099999999999999</v>
      </c>
      <c r="L546" t="s">
        <v>6350</v>
      </c>
      <c r="M546" t="s">
        <v>9</v>
      </c>
      <c r="N546" t="s">
        <v>9</v>
      </c>
      <c r="O546" t="s">
        <v>9</v>
      </c>
      <c r="P546" t="s">
        <v>9</v>
      </c>
      <c r="Q546" t="s">
        <v>12943</v>
      </c>
      <c r="R546">
        <v>-502425000</v>
      </c>
      <c r="S546" s="5">
        <v>-1.331</v>
      </c>
      <c r="T546" t="s">
        <v>12944</v>
      </c>
      <c r="U546">
        <v>4045227000</v>
      </c>
      <c r="V546">
        <v>4045227000</v>
      </c>
      <c r="W546" t="s">
        <v>9</v>
      </c>
      <c r="X546" t="s">
        <v>9</v>
      </c>
      <c r="Y546" t="s">
        <v>9</v>
      </c>
      <c r="Z546" t="s">
        <v>9</v>
      </c>
      <c r="AA546" t="s">
        <v>9</v>
      </c>
      <c r="AB546" t="s">
        <v>9</v>
      </c>
      <c r="AC546" t="s">
        <v>9</v>
      </c>
      <c r="AD546" t="s">
        <v>9</v>
      </c>
      <c r="AE546" t="s">
        <v>9</v>
      </c>
      <c r="AF546" t="s">
        <v>9</v>
      </c>
      <c r="AG546" t="s">
        <v>9</v>
      </c>
      <c r="AH546" t="s">
        <v>12945</v>
      </c>
      <c r="AI546" t="s">
        <v>9</v>
      </c>
      <c r="AJ546" t="s">
        <v>9</v>
      </c>
      <c r="AK546" t="s">
        <v>12946</v>
      </c>
      <c r="AL546" t="s">
        <v>9</v>
      </c>
      <c r="AM546" t="s">
        <v>9</v>
      </c>
      <c r="AN546" s="5">
        <v>0.72299999999999998</v>
      </c>
      <c r="AO546" t="s">
        <v>9</v>
      </c>
      <c r="AP546" t="s">
        <v>12947</v>
      </c>
      <c r="AQ546" t="s">
        <v>9</v>
      </c>
      <c r="AR546" t="s">
        <v>12948</v>
      </c>
      <c r="AS546" t="s">
        <v>9</v>
      </c>
      <c r="AT546" t="s">
        <v>9</v>
      </c>
      <c r="AU546" t="s">
        <v>12949</v>
      </c>
      <c r="AV546" t="s">
        <v>12950</v>
      </c>
      <c r="AW546" t="s">
        <v>9</v>
      </c>
      <c r="AX546" t="s">
        <v>6324</v>
      </c>
      <c r="AY546" t="s">
        <v>6326</v>
      </c>
      <c r="AZ546" t="s">
        <v>6327</v>
      </c>
      <c r="BA546" t="s">
        <v>3019</v>
      </c>
      <c r="BB546" t="s">
        <v>6328</v>
      </c>
      <c r="BC546" t="s">
        <v>3914</v>
      </c>
      <c r="BD546" t="s">
        <v>1368</v>
      </c>
      <c r="BE546" t="s">
        <v>3000</v>
      </c>
      <c r="BF546" t="s">
        <v>5200</v>
      </c>
      <c r="BG546" t="s">
        <v>6329</v>
      </c>
      <c r="BH546" t="s">
        <v>6324</v>
      </c>
      <c r="BI546" t="s">
        <v>9</v>
      </c>
      <c r="BJ546" t="s">
        <v>6326</v>
      </c>
      <c r="BK546" t="s">
        <v>5963</v>
      </c>
      <c r="BL546" t="s">
        <v>9</v>
      </c>
      <c r="BM546" t="s">
        <v>3914</v>
      </c>
      <c r="BN546">
        <v>-1.07</v>
      </c>
      <c r="BO546">
        <v>2.66</v>
      </c>
      <c r="BP546">
        <v>4.58</v>
      </c>
      <c r="BQ546">
        <v>-2.4300000000000002</v>
      </c>
      <c r="BR546">
        <v>6.95</v>
      </c>
      <c r="BS546">
        <v>13.85</v>
      </c>
      <c r="BT546" t="s">
        <v>2960</v>
      </c>
      <c r="BU546" t="s">
        <v>410</v>
      </c>
      <c r="BV546">
        <v>7.38</v>
      </c>
      <c r="BW546">
        <v>14.67</v>
      </c>
      <c r="BX546">
        <v>19.36</v>
      </c>
      <c r="BY546">
        <v>-1.27</v>
      </c>
      <c r="BZ546">
        <v>5.9</v>
      </c>
      <c r="CA546">
        <v>9.23</v>
      </c>
      <c r="CB546">
        <v>-1.0900000000000001</v>
      </c>
      <c r="CC546">
        <v>30</v>
      </c>
      <c r="CD546" t="s">
        <v>12951</v>
      </c>
      <c r="CE546" t="s">
        <v>2057</v>
      </c>
      <c r="CF546" s="8" t="s">
        <v>9</v>
      </c>
      <c r="CG546" s="9">
        <v>-1.331</v>
      </c>
      <c r="CH546" s="8">
        <v>-5.7702995836734772E-2</v>
      </c>
      <c r="CI546" s="8">
        <v>-0.18709699809551239</v>
      </c>
      <c r="CJ546" s="8">
        <v>0.17907997965812683</v>
      </c>
      <c r="CK546" s="8">
        <v>1.2858399152755737</v>
      </c>
      <c r="CL546" s="8">
        <v>0.28798079490661621</v>
      </c>
      <c r="CM546" s="9">
        <v>-1.1588529348373413</v>
      </c>
      <c r="CN546" s="9">
        <v>7.5643740594387054E-2</v>
      </c>
      <c r="CO546" s="9">
        <v>0.3300035297870636</v>
      </c>
      <c r="CP546" s="9">
        <v>0.22615918517112732</v>
      </c>
      <c r="CQ546" s="9">
        <v>-6.1190936714410782E-2</v>
      </c>
      <c r="CR546">
        <v>3.3266802992268301</v>
      </c>
      <c r="CS546">
        <v>3.7412983718537123</v>
      </c>
      <c r="CT546">
        <v>0</v>
      </c>
      <c r="CU546" s="8">
        <v>-8.8917802553623911E-3</v>
      </c>
      <c r="CV546" s="9">
        <v>0.23239538669586182</v>
      </c>
      <c r="CW546">
        <v>0.06</v>
      </c>
      <c r="CX546" t="e">
        <v>#VALUE!</v>
      </c>
      <c r="CY546" t="s">
        <v>109</v>
      </c>
      <c r="CZ546">
        <v>-8.8917802553623911E-3</v>
      </c>
      <c r="DA546" t="e">
        <v>#VALUE!</v>
      </c>
      <c r="DB546" t="s">
        <v>108</v>
      </c>
      <c r="DC546">
        <v>-8.4471912425942708E-3</v>
      </c>
      <c r="DD546" t="e">
        <v>#VALUE!</v>
      </c>
      <c r="DE546" t="s">
        <v>108</v>
      </c>
      <c r="DF546">
        <v>-7.8247666247189037E-3</v>
      </c>
      <c r="DG546" t="e">
        <v>#VALUE!</v>
      </c>
      <c r="DH546" t="s">
        <v>108</v>
      </c>
      <c r="DI546">
        <v>-7.1134242042899132E-3</v>
      </c>
      <c r="DJ546" t="e">
        <v>#VALUE!</v>
      </c>
      <c r="DK546" t="s">
        <v>108</v>
      </c>
      <c r="DL546">
        <v>-6.2242461787536734E-3</v>
      </c>
      <c r="DM546">
        <v>-637000000</v>
      </c>
      <c r="DN546">
        <v>-8.8917802553623911E-3</v>
      </c>
      <c r="DO546">
        <v>11043469700</v>
      </c>
      <c r="DP546" t="e">
        <v>#VALUE!</v>
      </c>
      <c r="DQ546">
        <v>546</v>
      </c>
      <c r="DR546" t="e">
        <v>#VALUE!</v>
      </c>
      <c r="DS546">
        <v>-1.5633953866958619</v>
      </c>
      <c r="DT546" t="e">
        <v>#VALUE!</v>
      </c>
      <c r="DU546" t="e">
        <v>#VALUE!</v>
      </c>
      <c r="DV546" t="e">
        <v>#VALUE!</v>
      </c>
      <c r="DW546">
        <v>3.1583333333333332</v>
      </c>
      <c r="DX546">
        <v>0.25866203703703833</v>
      </c>
      <c r="DY546">
        <v>3.0092881558641977</v>
      </c>
      <c r="DZ546">
        <v>0</v>
      </c>
      <c r="EA546">
        <v>3.0092881558641977</v>
      </c>
      <c r="EB546">
        <v>3</v>
      </c>
      <c r="EC546">
        <v>6.2646669766616312E-3</v>
      </c>
      <c r="ED546">
        <v>0.10679252363340797</v>
      </c>
      <c r="EE546">
        <v>0</v>
      </c>
      <c r="EF546">
        <v>0</v>
      </c>
      <c r="EG546">
        <v>20.058662037037038</v>
      </c>
      <c r="EH546" t="s">
        <v>110</v>
      </c>
      <c r="EI546">
        <v>0</v>
      </c>
      <c r="EJ546">
        <v>0</v>
      </c>
      <c r="EK546">
        <v>0</v>
      </c>
      <c r="EL546">
        <v>0</v>
      </c>
      <c r="EM546">
        <v>0</v>
      </c>
      <c r="EN546">
        <v>0</v>
      </c>
      <c r="EO546">
        <v>0</v>
      </c>
      <c r="EP546">
        <v>0</v>
      </c>
    </row>
    <row r="547" spans="1:146" ht="96" x14ac:dyDescent="0.25">
      <c r="A547" s="7"/>
      <c r="B547" s="7"/>
      <c r="C547" s="7" t="str">
        <f>""&amp;CHAR(10)&amp;Basic_Fundamental_Information_Constructure(F547)&amp;CHAR(10)&amp;Basic_Fundamental_Information_Concatenate("")</f>
        <v xml:space="preserve">
市值139.89335亿, 利润-16.57亿; PE; 平均PE32.94; 平均PEG1.56, PB4.21; ROIC-15.8833%; ROE-18.67%; 股利率0%; 毛利68.6467%; 净利-1805.21%; 上一年度营收增36.26%, 利润增-590.24%; 当季营收增92.35%, 利润增-1.7%; 过往5年营收增21.13%, 利润增42.87%
Income profile:
</v>
      </c>
      <c r="D547" s="11">
        <v>9995</v>
      </c>
      <c r="E547" t="s">
        <v>6388</v>
      </c>
      <c r="F547">
        <v>25.7</v>
      </c>
      <c r="G547" s="5">
        <v>-3.0200000000000001E-2</v>
      </c>
      <c r="H547" t="s">
        <v>12952</v>
      </c>
      <c r="I547">
        <v>13989335000</v>
      </c>
      <c r="K547">
        <v>4.21</v>
      </c>
      <c r="L547" t="s">
        <v>6350</v>
      </c>
      <c r="M547" t="s">
        <v>12953</v>
      </c>
      <c r="N547" t="s">
        <v>6170</v>
      </c>
      <c r="O547" t="s">
        <v>6445</v>
      </c>
      <c r="P547">
        <v>96.41</v>
      </c>
      <c r="Q547" t="s">
        <v>12954</v>
      </c>
      <c r="R547">
        <v>-1656609200</v>
      </c>
      <c r="S547" s="5">
        <v>-1.7000000000000001E-2</v>
      </c>
      <c r="T547" t="s">
        <v>10546</v>
      </c>
      <c r="U547">
        <v>189581240</v>
      </c>
      <c r="V547">
        <v>544332080</v>
      </c>
      <c r="W547">
        <v>1.78</v>
      </c>
      <c r="X547">
        <v>0.06</v>
      </c>
      <c r="Y547">
        <v>-105.81</v>
      </c>
      <c r="Z547" t="s">
        <v>691</v>
      </c>
      <c r="AA547" t="s">
        <v>12955</v>
      </c>
      <c r="AB547" t="s">
        <v>2064</v>
      </c>
      <c r="AC547" t="s">
        <v>2762</v>
      </c>
      <c r="AD547" t="s">
        <v>5987</v>
      </c>
      <c r="AE547" t="s">
        <v>12956</v>
      </c>
      <c r="AF547" t="s">
        <v>9</v>
      </c>
      <c r="AG547" t="s">
        <v>12957</v>
      </c>
      <c r="AH547" t="s">
        <v>12958</v>
      </c>
      <c r="AI547" t="s">
        <v>3529</v>
      </c>
      <c r="AJ547" t="s">
        <v>6421</v>
      </c>
      <c r="AK547" t="s">
        <v>12959</v>
      </c>
      <c r="AL547" t="s">
        <v>9</v>
      </c>
      <c r="AM547" t="s">
        <v>12960</v>
      </c>
      <c r="AN547" s="5">
        <v>0.43809999999999999</v>
      </c>
      <c r="AO547" t="s">
        <v>112</v>
      </c>
      <c r="AP547" t="s">
        <v>2146</v>
      </c>
      <c r="AQ547" t="s">
        <v>239</v>
      </c>
      <c r="AR547" t="s">
        <v>12961</v>
      </c>
      <c r="AS547" t="s">
        <v>498</v>
      </c>
      <c r="AT547" t="s">
        <v>3821</v>
      </c>
      <c r="AU547" t="s">
        <v>12962</v>
      </c>
      <c r="AV547" t="s">
        <v>12963</v>
      </c>
      <c r="AW547" t="s">
        <v>12964</v>
      </c>
      <c r="AX547" t="s">
        <v>1851</v>
      </c>
      <c r="AY547" t="s">
        <v>4494</v>
      </c>
      <c r="AZ547" t="s">
        <v>9</v>
      </c>
      <c r="BA547" t="s">
        <v>6334</v>
      </c>
      <c r="BB547" t="s">
        <v>9</v>
      </c>
      <c r="BC547" t="s">
        <v>3731</v>
      </c>
      <c r="BD547" t="s">
        <v>6335</v>
      </c>
      <c r="BE547" t="s">
        <v>6336</v>
      </c>
      <c r="BF547" t="s">
        <v>6337</v>
      </c>
      <c r="BG547" t="s">
        <v>9</v>
      </c>
      <c r="BH547" t="s">
        <v>1851</v>
      </c>
      <c r="BI547" t="s">
        <v>1710</v>
      </c>
      <c r="BJ547" t="s">
        <v>4494</v>
      </c>
      <c r="BK547" t="s">
        <v>6330</v>
      </c>
      <c r="BL547" t="s">
        <v>6338</v>
      </c>
      <c r="BM547" t="s">
        <v>3731</v>
      </c>
      <c r="BN547">
        <v>-31.67</v>
      </c>
      <c r="BO547">
        <v>-23.71</v>
      </c>
      <c r="BP547">
        <v>7.73</v>
      </c>
      <c r="BQ547">
        <v>-43.97</v>
      </c>
      <c r="BR547">
        <v>-20.059999999999999</v>
      </c>
      <c r="BS547">
        <v>8.02</v>
      </c>
      <c r="BT547" t="s">
        <v>9</v>
      </c>
      <c r="BU547" t="s">
        <v>489</v>
      </c>
      <c r="BV547">
        <v>76.48</v>
      </c>
      <c r="BW547">
        <v>64.84</v>
      </c>
      <c r="BX547">
        <v>64.62</v>
      </c>
      <c r="BY547">
        <v>-140.43</v>
      </c>
      <c r="BZ547">
        <v>-130.09</v>
      </c>
      <c r="CA547">
        <v>-5145.1099999999997</v>
      </c>
      <c r="CB547">
        <v>-3.02</v>
      </c>
      <c r="CC547">
        <v>-15.04</v>
      </c>
      <c r="CD547" t="s">
        <v>12965</v>
      </c>
      <c r="CE547" t="s">
        <v>12966</v>
      </c>
      <c r="CF547" s="8">
        <v>0.92349726775956287</v>
      </c>
      <c r="CG547" s="9">
        <v>-1.7000000000000001E-2</v>
      </c>
      <c r="CH547" s="8">
        <v>0.3625866174697876</v>
      </c>
      <c r="CI547" s="8">
        <v>-0.50344038009643555</v>
      </c>
      <c r="CJ547" s="8" t="s">
        <v>9</v>
      </c>
      <c r="CK547" s="8" t="s">
        <v>9</v>
      </c>
      <c r="CL547" s="8" t="s">
        <v>9</v>
      </c>
      <c r="CM547" s="9">
        <v>-5.9023666381835938</v>
      </c>
      <c r="CN547" s="9">
        <v>1.40625</v>
      </c>
      <c r="CO547" s="9">
        <v>-0.72972971200942993</v>
      </c>
      <c r="CP547" s="9">
        <v>-0.56677526235580444</v>
      </c>
      <c r="CQ547" s="9" t="s">
        <v>9</v>
      </c>
      <c r="CR547">
        <v>32.941919152276292</v>
      </c>
      <c r="CS547">
        <v>1.5589788929182171</v>
      </c>
      <c r="CT547">
        <v>0</v>
      </c>
      <c r="CU547" s="8">
        <v>0.21130445897579192</v>
      </c>
      <c r="CV547" s="9">
        <v>0.42872389853000642</v>
      </c>
      <c r="CW547">
        <v>0.06</v>
      </c>
      <c r="CX547" t="e">
        <v>#VALUE!</v>
      </c>
      <c r="CY547" t="s">
        <v>109</v>
      </c>
      <c r="CZ547">
        <v>0.21130445897579192</v>
      </c>
      <c r="DA547" t="e">
        <v>#VALUE!</v>
      </c>
      <c r="DB547" t="s">
        <v>108</v>
      </c>
      <c r="DC547">
        <v>0.2007392360270023</v>
      </c>
      <c r="DD547" t="e">
        <v>#VALUE!</v>
      </c>
      <c r="DE547" t="s">
        <v>108</v>
      </c>
      <c r="DF547">
        <v>0.18594792389869688</v>
      </c>
      <c r="DG547" t="e">
        <v>#VALUE!</v>
      </c>
      <c r="DH547" t="s">
        <v>108</v>
      </c>
      <c r="DI547">
        <v>0.16904356718063354</v>
      </c>
      <c r="DJ547" t="e">
        <v>#VALUE!</v>
      </c>
      <c r="DK547" t="s">
        <v>108</v>
      </c>
      <c r="DL547">
        <v>0.14791312128305434</v>
      </c>
      <c r="DM547">
        <v>-1657000000</v>
      </c>
      <c r="DN547">
        <v>0.21130445897579192</v>
      </c>
      <c r="DO547">
        <v>13257335000</v>
      </c>
      <c r="DP547" t="e">
        <v>#VALUE!</v>
      </c>
      <c r="DQ547">
        <v>547</v>
      </c>
      <c r="DR547">
        <v>0.712192808783771</v>
      </c>
      <c r="DS547">
        <v>-0.44572389853000643</v>
      </c>
      <c r="DT547">
        <v>0.22666666666666657</v>
      </c>
      <c r="DU547">
        <v>-0.58166666666666678</v>
      </c>
      <c r="DV547">
        <v>-0.3550000000000002</v>
      </c>
      <c r="DW547">
        <v>-8.2007978723404253</v>
      </c>
      <c r="DX547">
        <v>0.14107846157826223</v>
      </c>
      <c r="DY547">
        <v>-8.0102564464073378</v>
      </c>
      <c r="DZ547">
        <v>0</v>
      </c>
      <c r="EA547">
        <v>-8.0102564464073378</v>
      </c>
      <c r="EB547">
        <v>8</v>
      </c>
      <c r="EC547">
        <v>3.989843846792936E-3</v>
      </c>
      <c r="ED547">
        <v>7.811205982936005E-2</v>
      </c>
      <c r="EE547">
        <v>0</v>
      </c>
      <c r="EF547">
        <v>0</v>
      </c>
      <c r="EG547">
        <v>9.0510784615782622</v>
      </c>
      <c r="EH547" t="s">
        <v>110</v>
      </c>
      <c r="EI547">
        <v>0</v>
      </c>
      <c r="EJ547">
        <v>0</v>
      </c>
      <c r="EK547">
        <v>0</v>
      </c>
      <c r="EL547">
        <v>0</v>
      </c>
      <c r="EM547">
        <v>0</v>
      </c>
      <c r="EN547">
        <v>0</v>
      </c>
      <c r="EO547">
        <v>0</v>
      </c>
      <c r="EP547">
        <v>0</v>
      </c>
    </row>
    <row r="548" spans="1:146" ht="96" x14ac:dyDescent="0.25">
      <c r="A548" s="7"/>
      <c r="B548" s="7"/>
      <c r="C548" s="7" t="str">
        <f>""&amp;CHAR(10)&amp;Basic_Fundamental_Information_Constructure(F548)&amp;CHAR(10)&amp;Basic_Fundamental_Information_Concatenate("")</f>
        <v xml:space="preserve">
市值16.303843亿, 利润-4.30亿; PE; 平均PE11.45; 平均PEG59.4, PB.654; ROIC-16.2433%; ROE-17.2467%; 股利率0%; 毛利71.3567%; 净利-224.0467%; 上一年度营收增71.02%, 利润增38.83%, 利润增6.47%; 过往5年营收增-.19%, 利润增3.04%
Income profile:
</v>
      </c>
      <c r="D548" s="11">
        <v>9996</v>
      </c>
      <c r="E548" t="s">
        <v>6339</v>
      </c>
      <c r="F548">
        <v>2.4</v>
      </c>
      <c r="G548" s="5">
        <v>-7.3400000000000007E-2</v>
      </c>
      <c r="H548" t="s">
        <v>12967</v>
      </c>
      <c r="I548">
        <v>1630384300</v>
      </c>
      <c r="K548">
        <v>0.65400000000000003</v>
      </c>
      <c r="L548" t="s">
        <v>6350</v>
      </c>
      <c r="M548" t="s">
        <v>9</v>
      </c>
      <c r="N548" t="s">
        <v>9</v>
      </c>
      <c r="O548" t="s">
        <v>9</v>
      </c>
      <c r="P548" t="s">
        <v>9</v>
      </c>
      <c r="Q548" t="s">
        <v>2786</v>
      </c>
      <c r="R548">
        <v>-430285910</v>
      </c>
      <c r="S548" s="5">
        <v>6.4699999999999994E-2</v>
      </c>
      <c r="T548" t="s">
        <v>4585</v>
      </c>
      <c r="U548">
        <v>679326810</v>
      </c>
      <c r="V548">
        <v>679326810</v>
      </c>
      <c r="W548" t="s">
        <v>9</v>
      </c>
      <c r="X548" t="s">
        <v>9</v>
      </c>
      <c r="Y548" t="s">
        <v>9</v>
      </c>
      <c r="Z548" t="s">
        <v>9</v>
      </c>
      <c r="AA548" t="s">
        <v>9</v>
      </c>
      <c r="AB548" t="s">
        <v>9</v>
      </c>
      <c r="AC548" t="s">
        <v>9</v>
      </c>
      <c r="AD548" t="s">
        <v>9</v>
      </c>
      <c r="AE548" t="s">
        <v>9</v>
      </c>
      <c r="AF548" t="s">
        <v>9</v>
      </c>
      <c r="AG548" t="s">
        <v>9</v>
      </c>
      <c r="AH548" t="s">
        <v>12968</v>
      </c>
      <c r="AI548" t="s">
        <v>9</v>
      </c>
      <c r="AJ548" t="s">
        <v>9</v>
      </c>
      <c r="AK548" t="s">
        <v>12969</v>
      </c>
      <c r="AL548" t="s">
        <v>9</v>
      </c>
      <c r="AM548" t="s">
        <v>9</v>
      </c>
      <c r="AN548" s="5">
        <v>0.1489</v>
      </c>
      <c r="AO548" t="s">
        <v>9</v>
      </c>
      <c r="AP548" t="s">
        <v>12970</v>
      </c>
      <c r="AQ548" t="s">
        <v>9</v>
      </c>
      <c r="AR548" t="s">
        <v>6493</v>
      </c>
      <c r="AS548" t="s">
        <v>9</v>
      </c>
      <c r="AT548" t="s">
        <v>9</v>
      </c>
      <c r="AU548" t="s">
        <v>9</v>
      </c>
      <c r="AV548" t="s">
        <v>9</v>
      </c>
      <c r="AW548" t="s">
        <v>9</v>
      </c>
      <c r="AX548" t="s">
        <v>4630</v>
      </c>
      <c r="AY548" t="s">
        <v>205</v>
      </c>
      <c r="AZ548" t="s">
        <v>6341</v>
      </c>
      <c r="BA548" t="s">
        <v>9</v>
      </c>
      <c r="BB548" t="s">
        <v>9</v>
      </c>
      <c r="BC548" t="s">
        <v>6342</v>
      </c>
      <c r="BD548" t="s">
        <v>6343</v>
      </c>
      <c r="BE548" t="s">
        <v>6344</v>
      </c>
      <c r="BF548" t="s">
        <v>6345</v>
      </c>
      <c r="BG548" t="s">
        <v>9</v>
      </c>
      <c r="BH548" t="s">
        <v>4630</v>
      </c>
      <c r="BI548" t="s">
        <v>9</v>
      </c>
      <c r="BJ548" t="s">
        <v>205</v>
      </c>
      <c r="BK548" t="s">
        <v>6340</v>
      </c>
      <c r="BL548" t="s">
        <v>9</v>
      </c>
      <c r="BM548" t="s">
        <v>6342</v>
      </c>
      <c r="BN548">
        <v>-14.94</v>
      </c>
      <c r="BO548">
        <v>-14.1</v>
      </c>
      <c r="BP548">
        <v>-19.690000000000001</v>
      </c>
      <c r="BQ548">
        <v>-17.260000000000002</v>
      </c>
      <c r="BR548">
        <v>-15.46</v>
      </c>
      <c r="BS548">
        <v>-19.02</v>
      </c>
      <c r="BT548" t="s">
        <v>9</v>
      </c>
      <c r="BU548" t="s">
        <v>2382</v>
      </c>
      <c r="BV548">
        <v>73.760000000000005</v>
      </c>
      <c r="BW548">
        <v>70.25</v>
      </c>
      <c r="BX548">
        <v>70.06</v>
      </c>
      <c r="BY548">
        <v>-88.99</v>
      </c>
      <c r="BZ548">
        <v>-162.58000000000001</v>
      </c>
      <c r="CA548">
        <v>-420.57</v>
      </c>
      <c r="CB548">
        <v>-16.38</v>
      </c>
      <c r="CC548" t="s">
        <v>9</v>
      </c>
      <c r="CD548" t="s">
        <v>12971</v>
      </c>
      <c r="CE548" t="s">
        <v>219</v>
      </c>
      <c r="CF548" s="8" t="s">
        <v>9</v>
      </c>
      <c r="CG548" s="9">
        <v>6.4699999999999994E-2</v>
      </c>
      <c r="CH548" s="8">
        <v>0.71024733781814575</v>
      </c>
      <c r="CI548" s="8">
        <v>0.69461077451705933</v>
      </c>
      <c r="CJ548" s="8">
        <v>2.6246905326843262</v>
      </c>
      <c r="CK548" s="8" t="s">
        <v>9</v>
      </c>
      <c r="CL548" s="8" t="s">
        <v>9</v>
      </c>
      <c r="CM548" s="9">
        <v>0.3883357048034668</v>
      </c>
      <c r="CN548" s="9">
        <v>0.71492290496826172</v>
      </c>
      <c r="CO548" s="9">
        <v>-3.151515007019043</v>
      </c>
      <c r="CP548" s="9">
        <v>-5.3139901161193848</v>
      </c>
      <c r="CQ548" s="9" t="s">
        <v>9</v>
      </c>
      <c r="CR548">
        <v>11.454690632318501</v>
      </c>
      <c r="CS548">
        <v>59.399505524438965</v>
      </c>
      <c r="CT548">
        <v>0</v>
      </c>
      <c r="CU548" s="8">
        <v>-1.9284151494503021E-3</v>
      </c>
      <c r="CV548" s="9">
        <v>3.0443576723337175E-2</v>
      </c>
      <c r="CW548">
        <v>0.06</v>
      </c>
      <c r="CX548" t="e">
        <v>#VALUE!</v>
      </c>
      <c r="CY548" t="s">
        <v>109</v>
      </c>
      <c r="CZ548">
        <v>-1.9284151494503021E-3</v>
      </c>
      <c r="DA548" t="e">
        <v>#VALUE!</v>
      </c>
      <c r="DB548" t="s">
        <v>108</v>
      </c>
      <c r="DC548">
        <v>-1.831994391977787E-3</v>
      </c>
      <c r="DD548" t="e">
        <v>#VALUE!</v>
      </c>
      <c r="DE548" t="s">
        <v>108</v>
      </c>
      <c r="DF548">
        <v>-1.697005331516266E-3</v>
      </c>
      <c r="DG548" t="e">
        <v>#VALUE!</v>
      </c>
      <c r="DH548" t="s">
        <v>108</v>
      </c>
      <c r="DI548">
        <v>-1.5427321195602417E-3</v>
      </c>
      <c r="DJ548" t="e">
        <v>#VALUE!</v>
      </c>
      <c r="DK548" t="s">
        <v>108</v>
      </c>
      <c r="DL548">
        <v>-1.3498906046152115E-3</v>
      </c>
      <c r="DM548">
        <v>-430000000</v>
      </c>
      <c r="DN548">
        <v>-1.9284151494503021E-3</v>
      </c>
      <c r="DO548">
        <v>1630384300</v>
      </c>
      <c r="DP548" t="e">
        <v>#VALUE!</v>
      </c>
      <c r="DQ548">
        <v>548</v>
      </c>
      <c r="DR548" t="e">
        <v>#VALUE!</v>
      </c>
      <c r="DS548">
        <v>3.4256423276662819E-2</v>
      </c>
      <c r="DT548" t="e">
        <v>#VALUE!</v>
      </c>
      <c r="DU548" t="e">
        <v>#VALUE!</v>
      </c>
      <c r="DV548" t="e">
        <v>#VALUE!</v>
      </c>
      <c r="DW548" t="e">
        <v>#VALUE!</v>
      </c>
      <c r="DX548">
        <v>0.80840800000000079</v>
      </c>
      <c r="DY548" t="e">
        <v>#VALUE!</v>
      </c>
      <c r="DZ548">
        <v>0</v>
      </c>
      <c r="EA548" t="e">
        <v>#VALUE!</v>
      </c>
      <c r="EB548" t="e">
        <v>#VALUE!</v>
      </c>
      <c r="EC548">
        <v>0.12667099065323212</v>
      </c>
      <c r="ED548">
        <v>0.18400569234121644</v>
      </c>
      <c r="EE548">
        <v>0</v>
      </c>
      <c r="EF548">
        <v>0</v>
      </c>
      <c r="EG548">
        <v>12.688408000000001</v>
      </c>
      <c r="EH548" t="s">
        <v>110</v>
      </c>
      <c r="EI548" t="e">
        <v>#VALUE!</v>
      </c>
      <c r="EJ548">
        <v>0</v>
      </c>
      <c r="EK548">
        <v>0</v>
      </c>
      <c r="EL548">
        <v>0</v>
      </c>
      <c r="EM548">
        <v>0</v>
      </c>
      <c r="EN548">
        <v>0</v>
      </c>
      <c r="EO548">
        <v>0</v>
      </c>
      <c r="EP548">
        <v>0</v>
      </c>
    </row>
    <row r="549" spans="1:146" ht="96" x14ac:dyDescent="0.25">
      <c r="A549" s="7"/>
      <c r="B549" s="7"/>
      <c r="C549" s="7" t="str">
        <f>""&amp;CHAR(10)&amp;Basic_Fundamental_Information_Constructure(F549)&amp;CHAR(10)&amp;Basic_Fundamental_Information_Concatenate("")</f>
        <v xml:space="preserve">
市值67.908494亿, 利润5.53亿; PE12.29; 平均PE3.33; 平均PEG.04, PB1.7; ROIC14.5067%; ROE14.0033%; 股利率0%; 毛利80.79%; 净利57.89%; 上一年度营收增14.43%, 利润增-1.07%, 利润增2.3%; 过往5年营收增74.23%, 利润增509.27%
Income profile:
</v>
      </c>
      <c r="D549" s="11">
        <v>9997</v>
      </c>
      <c r="E549" t="s">
        <v>6346</v>
      </c>
      <c r="F549">
        <v>5.59</v>
      </c>
      <c r="G549" s="5">
        <v>-7.1000000000000004E-3</v>
      </c>
      <c r="H549" t="s">
        <v>12972</v>
      </c>
      <c r="I549">
        <v>6790849400</v>
      </c>
      <c r="J549">
        <v>12.29</v>
      </c>
      <c r="K549">
        <v>1.7</v>
      </c>
      <c r="L549" t="s">
        <v>6350</v>
      </c>
      <c r="M549" t="s">
        <v>9</v>
      </c>
      <c r="N549" t="s">
        <v>9</v>
      </c>
      <c r="O549" t="s">
        <v>9</v>
      </c>
      <c r="P549" t="s">
        <v>9</v>
      </c>
      <c r="Q549" t="s">
        <v>3531</v>
      </c>
      <c r="R549">
        <v>552507820</v>
      </c>
      <c r="S549" s="5">
        <v>2.3E-2</v>
      </c>
      <c r="T549" t="s">
        <v>3445</v>
      </c>
      <c r="U549">
        <v>1214821000</v>
      </c>
      <c r="V549">
        <v>1214821000</v>
      </c>
      <c r="W549" t="s">
        <v>9</v>
      </c>
      <c r="X549" t="s">
        <v>9</v>
      </c>
      <c r="Y549" t="s">
        <v>9</v>
      </c>
      <c r="Z549" t="s">
        <v>9</v>
      </c>
      <c r="AA549" t="s">
        <v>9</v>
      </c>
      <c r="AB549" t="s">
        <v>9</v>
      </c>
      <c r="AC549" t="s">
        <v>9</v>
      </c>
      <c r="AD549" t="s">
        <v>98</v>
      </c>
      <c r="AE549" t="s">
        <v>9</v>
      </c>
      <c r="AF549" t="s">
        <v>9</v>
      </c>
      <c r="AG549" t="s">
        <v>9</v>
      </c>
      <c r="AH549" t="s">
        <v>12973</v>
      </c>
      <c r="AI549" t="s">
        <v>9</v>
      </c>
      <c r="AJ549" t="s">
        <v>9</v>
      </c>
      <c r="AK549" t="s">
        <v>12974</v>
      </c>
      <c r="AL549" t="s">
        <v>9</v>
      </c>
      <c r="AM549" t="s">
        <v>9</v>
      </c>
      <c r="AN549" s="5">
        <v>7.4999999999999997E-2</v>
      </c>
      <c r="AO549" t="s">
        <v>9</v>
      </c>
      <c r="AP549" t="s">
        <v>12975</v>
      </c>
      <c r="AQ549" t="s">
        <v>9</v>
      </c>
      <c r="AR549" t="s">
        <v>1303</v>
      </c>
      <c r="AS549" t="s">
        <v>9</v>
      </c>
      <c r="AT549" t="s">
        <v>9</v>
      </c>
      <c r="AU549" t="s">
        <v>245</v>
      </c>
      <c r="AV549" t="s">
        <v>12976</v>
      </c>
      <c r="AW549" t="s">
        <v>9</v>
      </c>
      <c r="AX549" t="s">
        <v>2444</v>
      </c>
      <c r="AY549" t="s">
        <v>209</v>
      </c>
      <c r="AZ549" t="s">
        <v>6348</v>
      </c>
      <c r="BA549" t="s">
        <v>2104</v>
      </c>
      <c r="BB549" t="s">
        <v>1645</v>
      </c>
      <c r="BC549" t="s">
        <v>1810</v>
      </c>
      <c r="BD549" t="s">
        <v>3965</v>
      </c>
      <c r="BE549" t="s">
        <v>2115</v>
      </c>
      <c r="BF549" t="s">
        <v>205</v>
      </c>
      <c r="BG549" t="s">
        <v>2432</v>
      </c>
      <c r="BH549" t="s">
        <v>2444</v>
      </c>
      <c r="BI549" t="s">
        <v>9</v>
      </c>
      <c r="BJ549" t="s">
        <v>209</v>
      </c>
      <c r="BK549" t="s">
        <v>1345</v>
      </c>
      <c r="BL549" t="s">
        <v>9</v>
      </c>
      <c r="BM549" t="s">
        <v>1810</v>
      </c>
      <c r="BN549">
        <v>14.35</v>
      </c>
      <c r="BO549">
        <v>14.43</v>
      </c>
      <c r="BP549">
        <v>14.74</v>
      </c>
      <c r="BQ549">
        <v>13.81</v>
      </c>
      <c r="BR549">
        <v>14.19</v>
      </c>
      <c r="BS549">
        <v>14.01</v>
      </c>
      <c r="BT549" t="s">
        <v>189</v>
      </c>
      <c r="BU549" t="s">
        <v>2382</v>
      </c>
      <c r="BV549">
        <v>80.040000000000006</v>
      </c>
      <c r="BW549">
        <v>80.78</v>
      </c>
      <c r="BX549">
        <v>81.55</v>
      </c>
      <c r="BY549">
        <v>48.84</v>
      </c>
      <c r="BZ549">
        <v>58.65</v>
      </c>
      <c r="CA549">
        <v>66.180000000000007</v>
      </c>
      <c r="CB549">
        <v>-3.62</v>
      </c>
      <c r="CC549">
        <v>-8.3800000000000008</v>
      </c>
      <c r="CD549" t="s">
        <v>12977</v>
      </c>
      <c r="CE549" t="s">
        <v>12978</v>
      </c>
      <c r="CF549" s="8" t="s">
        <v>9</v>
      </c>
      <c r="CG549" s="9">
        <v>2.3E-2</v>
      </c>
      <c r="CH549" s="8">
        <v>0.14430664479732513</v>
      </c>
      <c r="CI549" s="8">
        <v>4.9704141914844513E-2</v>
      </c>
      <c r="CJ549" s="8">
        <v>0.38524588942527771</v>
      </c>
      <c r="CK549" s="8">
        <v>0.51364761590957642</v>
      </c>
      <c r="CL549" s="8">
        <v>0.3569023609161377</v>
      </c>
      <c r="CM549" s="9">
        <v>-1.0733452625572681E-2</v>
      </c>
      <c r="CN549" s="9">
        <v>0.87583893537521362</v>
      </c>
      <c r="CO549" s="9">
        <v>0.29004329442977905</v>
      </c>
      <c r="CP549" s="9">
        <v>0.38323354721069336</v>
      </c>
      <c r="CQ549" s="9">
        <v>0.18439716100692749</v>
      </c>
      <c r="CR549">
        <v>3.3326100549232796</v>
      </c>
      <c r="CS549">
        <v>4.489652023214994E-2</v>
      </c>
      <c r="CT549">
        <v>0</v>
      </c>
      <c r="CU549" s="8">
        <v>0.74228693842887883</v>
      </c>
      <c r="CV549" s="9">
        <v>5.0926804766058922</v>
      </c>
      <c r="CW549">
        <v>0.06</v>
      </c>
      <c r="CX549">
        <v>7.4711103727961152</v>
      </c>
      <c r="CY549">
        <v>908947808.44449997</v>
      </c>
      <c r="CZ549">
        <v>0.74228693842887883</v>
      </c>
      <c r="DA549">
        <v>1.4690355936735733</v>
      </c>
      <c r="DB549">
        <v>4622658177.4089804</v>
      </c>
      <c r="DC549">
        <v>0.70517259150743483</v>
      </c>
      <c r="DD549">
        <v>0.3290169091603275</v>
      </c>
      <c r="DE549">
        <v>20639818838.887913</v>
      </c>
      <c r="DF549">
        <v>0.65321250581741341</v>
      </c>
      <c r="DG549">
        <v>7.0829613699920399E-2</v>
      </c>
      <c r="DH549">
        <v>95875849736.670685</v>
      </c>
      <c r="DI549">
        <v>0.59382955074310306</v>
      </c>
      <c r="DJ549">
        <v>2.7650321065302314E-3</v>
      </c>
      <c r="DK549">
        <v>2455974881435.1616</v>
      </c>
      <c r="DL549">
        <v>0.51960085690021518</v>
      </c>
      <c r="DM549">
        <v>553000000</v>
      </c>
      <c r="DN549">
        <v>0.74228693842887883</v>
      </c>
      <c r="DO549">
        <v>6790849400</v>
      </c>
      <c r="DP549" t="e">
        <v>#VALUE!</v>
      </c>
      <c r="DQ549">
        <v>549</v>
      </c>
      <c r="DR549" t="e">
        <v>#VALUE!</v>
      </c>
      <c r="DS549">
        <v>-5.0696804766058925</v>
      </c>
      <c r="DT549" t="e">
        <v>#VALUE!</v>
      </c>
      <c r="DU549" t="e">
        <v>#VALUE!</v>
      </c>
      <c r="DV549" t="e">
        <v>#VALUE!</v>
      </c>
      <c r="DW549">
        <v>-8.4319809069212415</v>
      </c>
      <c r="DX549">
        <v>0.31850969309772181</v>
      </c>
      <c r="DY549">
        <v>-8.0339146884264618</v>
      </c>
      <c r="DZ549">
        <v>0</v>
      </c>
      <c r="EA549">
        <v>-8.0339146884264618</v>
      </c>
      <c r="EB549">
        <v>8</v>
      </c>
      <c r="EC549">
        <v>2.350881323256677E-3</v>
      </c>
      <c r="ED549">
        <v>2.9943835346935885E-2</v>
      </c>
      <c r="EE549">
        <v>0</v>
      </c>
      <c r="EF549">
        <v>0</v>
      </c>
      <c r="EG549">
        <v>24.078509693097722</v>
      </c>
      <c r="EH549" t="s">
        <v>110</v>
      </c>
      <c r="EI549">
        <v>0</v>
      </c>
      <c r="EJ549">
        <v>0</v>
      </c>
      <c r="EK549">
        <v>0</v>
      </c>
      <c r="EL549">
        <v>0</v>
      </c>
      <c r="EM549">
        <v>0</v>
      </c>
      <c r="EN549">
        <v>0</v>
      </c>
      <c r="EO549">
        <v>0</v>
      </c>
      <c r="EP549">
        <v>0</v>
      </c>
    </row>
  </sheetData>
  <phoneticPr fontId="1"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50" r:id="rId4" name="Button 2">
              <controlPr defaultSize="0" print="0" autoFill="0" autoPict="0" macro="[0]!'Basic_Fundamental_Tabel_Update_Buttom &quot;港股&quot;,&quot;&quot;'" altText="更新基本面按钮_x000a_">
                <anchor moveWithCells="1" sizeWithCells="1">
                  <from>
                    <xdr:col>147</xdr:col>
                    <xdr:colOff>368300</xdr:colOff>
                    <xdr:row>0</xdr:row>
                    <xdr:rowOff>139700</xdr:rowOff>
                  </from>
                  <to>
                    <xdr:col>147</xdr:col>
                    <xdr:colOff>1663700</xdr:colOff>
                    <xdr:row>0</xdr:row>
                    <xdr:rowOff>444500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AD6"/>
  <sheetViews>
    <sheetView workbookViewId="0">
      <selection activeCell="A3" sqref="A3"/>
    </sheetView>
  </sheetViews>
  <sheetFormatPr defaultRowHeight="14" x14ac:dyDescent="0.25"/>
  <sheetData>
    <row r="1" spans="1:30" x14ac:dyDescent="0.25">
      <c r="A1">
        <v>1</v>
      </c>
      <c r="B1">
        <f>A1+A1*$A$2</f>
        <v>1.1499999999999999</v>
      </c>
      <c r="C1">
        <f t="shared" ref="C1:AD1" si="0">B1+B1*$A$2</f>
        <v>1.3224999999999998</v>
      </c>
      <c r="D1">
        <f t="shared" si="0"/>
        <v>1.5208749999999998</v>
      </c>
      <c r="E1">
        <f t="shared" si="0"/>
        <v>1.7490062499999997</v>
      </c>
      <c r="F1">
        <f t="shared" si="0"/>
        <v>2.0113571874999998</v>
      </c>
      <c r="G1">
        <f t="shared" si="0"/>
        <v>2.313060765625</v>
      </c>
      <c r="H1">
        <f t="shared" si="0"/>
        <v>2.66001988046875</v>
      </c>
      <c r="I1">
        <f t="shared" si="0"/>
        <v>3.0590228625390625</v>
      </c>
      <c r="J1">
        <f t="shared" si="0"/>
        <v>3.5178762919199218</v>
      </c>
      <c r="K1">
        <f t="shared" si="0"/>
        <v>4.0455577357079102</v>
      </c>
      <c r="L1">
        <f t="shared" si="0"/>
        <v>4.6523913960640968</v>
      </c>
      <c r="M1">
        <f t="shared" si="0"/>
        <v>5.3502501054737115</v>
      </c>
      <c r="N1">
        <f t="shared" si="0"/>
        <v>6.1527876212947685</v>
      </c>
      <c r="O1">
        <f t="shared" si="0"/>
        <v>7.0757057644889834</v>
      </c>
      <c r="P1">
        <f t="shared" si="0"/>
        <v>8.1370616291623303</v>
      </c>
      <c r="Q1">
        <f t="shared" si="0"/>
        <v>9.3576208735366802</v>
      </c>
      <c r="R1">
        <f t="shared" si="0"/>
        <v>10.761264004567183</v>
      </c>
      <c r="S1">
        <f t="shared" si="0"/>
        <v>12.375453605252261</v>
      </c>
      <c r="T1">
        <f t="shared" si="0"/>
        <v>14.2317716460401</v>
      </c>
      <c r="U1">
        <f t="shared" si="0"/>
        <v>16.366537392946114</v>
      </c>
      <c r="V1">
        <f t="shared" si="0"/>
        <v>18.82151800188803</v>
      </c>
      <c r="W1">
        <f t="shared" si="0"/>
        <v>21.644745702171235</v>
      </c>
      <c r="X1">
        <f t="shared" si="0"/>
        <v>24.891457557496921</v>
      </c>
      <c r="Y1">
        <f t="shared" si="0"/>
        <v>28.625176191121458</v>
      </c>
      <c r="Z1">
        <f t="shared" si="0"/>
        <v>32.918952619789678</v>
      </c>
      <c r="AA1">
        <f t="shared" si="0"/>
        <v>37.856795512758133</v>
      </c>
      <c r="AB1">
        <f t="shared" si="0"/>
        <v>43.535314839671855</v>
      </c>
      <c r="AC1">
        <f t="shared" si="0"/>
        <v>50.065612065622631</v>
      </c>
      <c r="AD1">
        <f t="shared" si="0"/>
        <v>57.575453875466025</v>
      </c>
    </row>
    <row r="2" spans="1:30" x14ac:dyDescent="0.25">
      <c r="A2">
        <v>0.15</v>
      </c>
      <c r="B2" t="s">
        <v>2</v>
      </c>
    </row>
    <row r="3" spans="1:30" s="2" customFormat="1" x14ac:dyDescent="0.25">
      <c r="A3" s="2">
        <v>1</v>
      </c>
      <c r="B3" s="2">
        <v>2</v>
      </c>
      <c r="C3" s="2">
        <v>3</v>
      </c>
      <c r="D3" s="2">
        <v>4</v>
      </c>
      <c r="E3" s="2">
        <v>5</v>
      </c>
      <c r="F3" s="2">
        <v>6</v>
      </c>
      <c r="G3" s="2">
        <v>7</v>
      </c>
      <c r="H3" s="2">
        <v>8</v>
      </c>
      <c r="I3" s="2">
        <v>9</v>
      </c>
      <c r="J3" s="2">
        <v>10</v>
      </c>
      <c r="K3" s="2">
        <v>11</v>
      </c>
      <c r="L3" s="2">
        <v>12</v>
      </c>
      <c r="M3" s="2">
        <v>13</v>
      </c>
      <c r="N3" s="2">
        <v>14</v>
      </c>
      <c r="O3" s="2">
        <v>15</v>
      </c>
      <c r="P3" s="2">
        <v>16</v>
      </c>
      <c r="Q3" s="2">
        <v>17</v>
      </c>
      <c r="R3" s="2">
        <v>18</v>
      </c>
      <c r="S3" s="2">
        <v>19</v>
      </c>
      <c r="T3" s="2">
        <v>20</v>
      </c>
      <c r="U3" s="2">
        <v>21</v>
      </c>
      <c r="V3" s="2">
        <v>22</v>
      </c>
      <c r="W3" s="2">
        <v>23</v>
      </c>
      <c r="X3" s="2">
        <v>24</v>
      </c>
      <c r="Y3" s="2">
        <v>25</v>
      </c>
      <c r="Z3" s="2">
        <v>26</v>
      </c>
      <c r="AA3" s="2">
        <v>27</v>
      </c>
      <c r="AB3" s="2">
        <v>28</v>
      </c>
      <c r="AC3" s="2">
        <v>29</v>
      </c>
      <c r="AD3" s="2">
        <v>30</v>
      </c>
    </row>
    <row r="4" spans="1:30" x14ac:dyDescent="0.25">
      <c r="A4">
        <v>0.5</v>
      </c>
      <c r="B4" t="s">
        <v>0</v>
      </c>
    </row>
    <row r="5" spans="1:30" x14ac:dyDescent="0.25">
      <c r="A5" s="1">
        <v>1</v>
      </c>
      <c r="B5" s="1">
        <f>A5*$A$4+A5</f>
        <v>1.5</v>
      </c>
      <c r="C5" s="1">
        <f t="shared" ref="C5:AD5" si="1">B5*$A$4+B5</f>
        <v>2.25</v>
      </c>
      <c r="D5" s="1">
        <f t="shared" si="1"/>
        <v>3.375</v>
      </c>
      <c r="E5" s="1">
        <f t="shared" si="1"/>
        <v>5.0625</v>
      </c>
      <c r="F5" s="1">
        <f t="shared" si="1"/>
        <v>7.59375</v>
      </c>
      <c r="G5" s="1">
        <f t="shared" si="1"/>
        <v>11.390625</v>
      </c>
      <c r="H5" s="1">
        <f t="shared" si="1"/>
        <v>17.0859375</v>
      </c>
      <c r="I5" s="1">
        <f t="shared" si="1"/>
        <v>25.62890625</v>
      </c>
      <c r="J5" s="1">
        <f t="shared" si="1"/>
        <v>38.443359375</v>
      </c>
      <c r="K5" s="1">
        <f t="shared" si="1"/>
        <v>57.6650390625</v>
      </c>
      <c r="L5" s="1">
        <f t="shared" si="1"/>
        <v>86.49755859375</v>
      </c>
      <c r="M5" s="1">
        <f t="shared" si="1"/>
        <v>129.746337890625</v>
      </c>
      <c r="N5" s="1">
        <f t="shared" si="1"/>
        <v>194.6195068359375</v>
      </c>
      <c r="O5" s="1">
        <f t="shared" si="1"/>
        <v>291.92926025390625</v>
      </c>
      <c r="P5">
        <f t="shared" si="1"/>
        <v>437.89389038085937</v>
      </c>
      <c r="Q5">
        <f t="shared" si="1"/>
        <v>656.84083557128906</v>
      </c>
      <c r="R5">
        <f t="shared" si="1"/>
        <v>985.26125335693359</v>
      </c>
      <c r="S5" s="1">
        <f t="shared" si="1"/>
        <v>1477.8918800354004</v>
      </c>
      <c r="T5">
        <f t="shared" si="1"/>
        <v>2216.8378200531006</v>
      </c>
      <c r="U5">
        <f t="shared" si="1"/>
        <v>3325.2567300796509</v>
      </c>
      <c r="V5">
        <f t="shared" si="1"/>
        <v>4987.8850951194763</v>
      </c>
      <c r="W5">
        <f t="shared" si="1"/>
        <v>7481.8276426792145</v>
      </c>
      <c r="X5">
        <f t="shared" si="1"/>
        <v>11222.741464018822</v>
      </c>
      <c r="Y5">
        <f t="shared" si="1"/>
        <v>16834.112196028233</v>
      </c>
      <c r="Z5">
        <f t="shared" si="1"/>
        <v>25251.168294042349</v>
      </c>
      <c r="AA5">
        <f t="shared" si="1"/>
        <v>37876.752441063523</v>
      </c>
      <c r="AB5">
        <f t="shared" si="1"/>
        <v>56815.128661595285</v>
      </c>
      <c r="AC5">
        <f t="shared" si="1"/>
        <v>85222.692992392927</v>
      </c>
      <c r="AD5">
        <f t="shared" si="1"/>
        <v>127834.03948858939</v>
      </c>
    </row>
    <row r="6" spans="1:30" x14ac:dyDescent="0.25">
      <c r="A6">
        <v>15</v>
      </c>
      <c r="B6" t="s">
        <v>1</v>
      </c>
    </row>
  </sheetData>
  <phoneticPr fontId="1"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2</vt:i4>
      </vt:variant>
    </vt:vector>
  </HeadingPairs>
  <TitlesOfParts>
    <vt:vector size="2" baseType="lpstr">
      <vt:lpstr>港股</vt:lpstr>
      <vt:lpstr>估值-增速与年化收益</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dc:creator>
  <cp:keywords>CTPClassification=CTP_NT</cp:keywords>
  <cp:lastModifiedBy>Admin</cp:lastModifiedBy>
  <dcterms:created xsi:type="dcterms:W3CDTF">2018-08-09T11:49:58Z</dcterms:created>
  <dcterms:modified xsi:type="dcterms:W3CDTF">2024-07-09T17:24:14Z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88baec69-fb1e-4d63-9f3d-bd3ecbe7e71b</vt:lpwstr>
  </property>
  <property fmtid="{D5CDD505-2E9C-101B-9397-08002B2CF9AE}" pid="3" name="CTP_TimeStamp">
    <vt:lpwstr>2019-01-09 01:33:49Z</vt:lpwstr>
  </property>
  <property fmtid="{D5CDD505-2E9C-101B-9397-08002B2CF9AE}" pid="4" name="CTP_BU">
    <vt:lpwstr>NA</vt:lpwstr>
  </property>
  <property fmtid="{D5CDD505-2E9C-101B-9397-08002B2CF9AE}" pid="5" name="CTP_IDSID">
    <vt:lpwstr>NA</vt:lpwstr>
  </property>
  <property fmtid="{D5CDD505-2E9C-101B-9397-08002B2CF9AE}" pid="6" name="CTP_WWID">
    <vt:lpwstr>NA</vt:lpwstr>
  </property>
  <property fmtid="{D5CDD505-2E9C-101B-9397-08002B2CF9AE}" pid="7" name="CTPClassification">
    <vt:lpwstr>CTP_NT</vt:lpwstr>
  </property>
</Properties>
</file>