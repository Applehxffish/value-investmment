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建筑装饰\"/>
    </mc:Choice>
  </mc:AlternateContent>
  <bookViews>
    <workbookView xWindow="-110" yWindow="-110" windowWidth="23260" windowHeight="12790"/>
  </bookViews>
  <sheets>
    <sheet name="建筑装饰" sheetId="15" r:id="rId1"/>
    <sheet name="估值-增速与年化收益" sheetId="14" r:id="rId2"/>
  </sheets>
  <functionGroups builtInGroupCount="18"/>
  <definedNames>
    <definedName name="_xlnm._FilterDatabase" localSheetId="0" hidden="1">建筑装饰!$BU$1:$BU$149</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0" i="14" l="1"/>
  <c r="B7" i="14"/>
  <c r="A7" i="14"/>
  <c r="B5" i="14"/>
  <c r="C5" i="14" s="1"/>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88" i="15"/>
  <c r="C87" i="15"/>
  <c r="C104" i="15"/>
  <c r="C110" i="15"/>
  <c r="C13" i="15"/>
  <c r="C28" i="15"/>
  <c r="C89" i="15"/>
  <c r="C97" i="15"/>
  <c r="C58" i="15"/>
  <c r="C106" i="15"/>
  <c r="C37" i="15"/>
  <c r="C117" i="15"/>
  <c r="A9" i="14" l="1"/>
  <c r="D5" i="14"/>
  <c r="B9" i="14"/>
  <c r="C7" i="14"/>
  <c r="C9" i="14" s="1"/>
  <c r="E5" i="14" l="1"/>
  <c r="D7" i="14"/>
  <c r="D9" i="14" s="1"/>
  <c r="F5" i="14" l="1"/>
  <c r="E7" i="14"/>
  <c r="E9" i="14" s="1"/>
  <c r="G5" i="14" l="1"/>
  <c r="F7" i="14"/>
  <c r="F9" i="14" s="1"/>
  <c r="H5" i="14" l="1"/>
  <c r="G7" i="14"/>
  <c r="G9" i="14" s="1"/>
  <c r="I5" i="14" l="1"/>
  <c r="H7" i="14"/>
  <c r="H9" i="14" s="1"/>
  <c r="J5" i="14" l="1"/>
  <c r="I7" i="14"/>
  <c r="I9" i="14" s="1"/>
  <c r="K5" i="14" l="1"/>
  <c r="J7" i="14"/>
  <c r="J9" i="14" s="1"/>
  <c r="L5" i="14" l="1"/>
  <c r="M5" i="14" s="1"/>
  <c r="N5" i="14" s="1"/>
  <c r="K7" i="14"/>
  <c r="K9" i="14" s="1"/>
  <c r="L7" i="14" l="1"/>
  <c r="L9" i="14" s="1"/>
  <c r="M7" i="14"/>
  <c r="M9" i="14" s="1"/>
  <c r="O5" i="14"/>
  <c r="N7" i="14"/>
  <c r="N9" i="14" s="1"/>
  <c r="P5" i="14" l="1"/>
  <c r="O7" i="14"/>
  <c r="O9" i="14" s="1"/>
  <c r="Q5" i="14" l="1"/>
  <c r="P7" i="14"/>
  <c r="P9" i="14" s="1"/>
  <c r="R5" i="14" l="1"/>
  <c r="Q7" i="14"/>
  <c r="Q9" i="14" s="1"/>
  <c r="S5" i="14" l="1"/>
  <c r="R7" i="14"/>
  <c r="R9" i="14" s="1"/>
  <c r="T5" i="14" l="1"/>
  <c r="S7" i="14"/>
  <c r="S9" i="14" s="1"/>
  <c r="U5" i="14" l="1"/>
  <c r="T7" i="14"/>
  <c r="T9" i="14" s="1"/>
  <c r="V5" i="14" l="1"/>
  <c r="U7" i="14"/>
  <c r="U9" i="14" s="1"/>
  <c r="W5" i="14" l="1"/>
  <c r="V7" i="14"/>
  <c r="V9" i="14" s="1"/>
  <c r="X5" i="14" l="1"/>
  <c r="W7" i="14"/>
  <c r="W9" i="14" s="1"/>
  <c r="Y5" i="14" l="1"/>
  <c r="X7" i="14"/>
  <c r="X9" i="14" s="1"/>
  <c r="Z5" i="14" l="1"/>
  <c r="Y7" i="14"/>
  <c r="Y9" i="14" s="1"/>
  <c r="AA5" i="14" l="1"/>
  <c r="Z7" i="14"/>
  <c r="Z9" i="14" s="1"/>
  <c r="AB5" i="14" l="1"/>
  <c r="AA7" i="14"/>
  <c r="AA9" i="14" s="1"/>
  <c r="AC5" i="14" l="1"/>
  <c r="AB7" i="14"/>
  <c r="AB9" i="14" s="1"/>
  <c r="AD5" i="14" l="1"/>
  <c r="AD7" i="14" s="1"/>
  <c r="AD9" i="14" s="1"/>
  <c r="AC7" i="14"/>
  <c r="AC9" i="14" s="1"/>
  <c r="C64" i="15"/>
  <c r="C25" i="15"/>
  <c r="C141" i="15"/>
  <c r="C92" i="15"/>
  <c r="C140" i="15"/>
  <c r="C145" i="15"/>
  <c r="C59" i="15"/>
  <c r="C57" i="15"/>
  <c r="C21" i="15"/>
  <c r="C66" i="15"/>
  <c r="C79" i="15"/>
  <c r="C114" i="15"/>
  <c r="C103" i="15"/>
  <c r="C26" i="15"/>
  <c r="C9" i="15"/>
  <c r="C8" i="15"/>
  <c r="C31" i="15"/>
  <c r="C16" i="15"/>
  <c r="C102" i="15"/>
  <c r="C90" i="15"/>
  <c r="C137" i="15"/>
  <c r="C22" i="15"/>
  <c r="C85" i="15"/>
  <c r="C60" i="15"/>
  <c r="C108" i="15"/>
  <c r="C70" i="15"/>
  <c r="C6" i="15"/>
  <c r="C111" i="15"/>
  <c r="C61" i="15"/>
  <c r="C95" i="15"/>
  <c r="C126" i="15"/>
  <c r="C53" i="15"/>
  <c r="C30" i="15"/>
  <c r="C107" i="15"/>
  <c r="C132" i="15"/>
  <c r="C147" i="15"/>
  <c r="C128" i="15"/>
  <c r="C56" i="15"/>
  <c r="C2" i="15"/>
  <c r="C45" i="15"/>
  <c r="C81" i="15"/>
  <c r="C139" i="15"/>
  <c r="C51" i="15"/>
  <c r="C65" i="15"/>
  <c r="C35" i="15"/>
  <c r="C39" i="15"/>
  <c r="C52" i="15"/>
  <c r="C96" i="15"/>
  <c r="C101" i="15"/>
  <c r="C134" i="15"/>
  <c r="C74" i="15"/>
  <c r="C11" i="15"/>
  <c r="C127" i="15"/>
  <c r="C93" i="15"/>
  <c r="C72" i="15"/>
  <c r="C120" i="15"/>
  <c r="C24" i="15"/>
  <c r="C133" i="15"/>
  <c r="C86" i="15"/>
  <c r="C109" i="15"/>
  <c r="C78" i="15"/>
  <c r="C73" i="15"/>
  <c r="C113" i="15"/>
  <c r="C20" i="15"/>
  <c r="C48" i="15"/>
  <c r="C41" i="15"/>
  <c r="C123" i="15"/>
  <c r="C63" i="15"/>
  <c r="C42" i="15"/>
  <c r="C84" i="15"/>
  <c r="C116" i="15"/>
  <c r="C149" i="15"/>
  <c r="C55" i="15"/>
  <c r="C47" i="15"/>
  <c r="C38" i="15"/>
  <c r="C4" i="15"/>
  <c r="C77" i="15"/>
  <c r="C15" i="15"/>
  <c r="C131" i="15"/>
  <c r="C118" i="15"/>
  <c r="C19" i="15"/>
  <c r="C50" i="15"/>
  <c r="C17" i="15"/>
  <c r="C7" i="15"/>
  <c r="C121" i="15"/>
  <c r="C119" i="15"/>
  <c r="C105" i="15"/>
  <c r="C27" i="15"/>
  <c r="C54" i="15"/>
  <c r="C68" i="15"/>
  <c r="C115" i="15"/>
  <c r="C80" i="15"/>
  <c r="C76" i="15"/>
  <c r="C43" i="15"/>
  <c r="C148" i="15"/>
  <c r="C82" i="15"/>
  <c r="C34" i="15"/>
  <c r="C135" i="15"/>
  <c r="C98" i="15"/>
  <c r="C23" i="15"/>
  <c r="C12" i="15"/>
  <c r="C49" i="15"/>
  <c r="C33" i="15"/>
  <c r="C100" i="15"/>
  <c r="C71" i="15"/>
  <c r="C46" i="15"/>
  <c r="C122" i="15"/>
  <c r="C40" i="15"/>
  <c r="C112" i="15"/>
  <c r="C143" i="15"/>
  <c r="C136" i="15"/>
  <c r="C32" i="15"/>
  <c r="C62" i="15"/>
  <c r="C124" i="15"/>
  <c r="C75" i="15"/>
  <c r="C69" i="15"/>
  <c r="C3" i="15"/>
  <c r="C10" i="15"/>
  <c r="C138" i="15"/>
  <c r="C125" i="15"/>
  <c r="C44" i="15"/>
  <c r="C29" i="15"/>
  <c r="C91" i="15"/>
  <c r="C146" i="15"/>
  <c r="C5" i="15"/>
  <c r="C142" i="15"/>
  <c r="C129" i="15"/>
  <c r="C94" i="15"/>
  <c r="C144" i="15"/>
  <c r="C83" i="15"/>
  <c r="C130" i="15"/>
</calcChain>
</file>

<file path=xl/sharedStrings.xml><?xml version="1.0" encoding="utf-8"?>
<sst xmlns="http://schemas.openxmlformats.org/spreadsheetml/2006/main" count="8382" uniqueCount="5474">
  <si>
    <t>&lt;-估值</t>
    <phoneticPr fontId="1" type="noConversion"/>
  </si>
  <si>
    <t>现价</t>
  </si>
  <si>
    <t>市净率</t>
  </si>
  <si>
    <t>代码</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</si>
  <si>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</si>
  <si>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</si>
  <si>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</si>
  <si>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</si>
  <si>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</si>
  <si>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</si>
  <si>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</si>
  <si>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</si>
  <si>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</si>
  <si>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</si>
  <si>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</si>
  <si>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</si>
  <si>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</si>
  <si>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</si>
  <si>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1.45亿</t>
  </si>
  <si>
    <t>--</t>
  </si>
  <si>
    <t>0亿</t>
  </si>
  <si>
    <t>2.30亿</t>
  </si>
  <si>
    <t>2.25亿</t>
  </si>
  <si>
    <t>1.25亿</t>
  </si>
  <si>
    <t>4.14亿</t>
  </si>
  <si>
    <t>1.65亿</t>
  </si>
  <si>
    <t>2.08亿</t>
  </si>
  <si>
    <t>1.42亿</t>
  </si>
  <si>
    <t>1.20亿</t>
  </si>
  <si>
    <t>3.40亿</t>
  </si>
  <si>
    <t>3.06亿</t>
  </si>
  <si>
    <t>1.30亿</t>
  </si>
  <si>
    <t>1.78亿</t>
  </si>
  <si>
    <t>6.68亿</t>
  </si>
  <si>
    <t>1.58亿</t>
  </si>
  <si>
    <t>1.50亿</t>
  </si>
  <si>
    <t>3.29亿</t>
  </si>
  <si>
    <t>1.36亿</t>
  </si>
  <si>
    <t>1.33亿</t>
  </si>
  <si>
    <t>1.05亿</t>
  </si>
  <si>
    <t>1.71亿</t>
  </si>
  <si>
    <t>13.69亿</t>
  </si>
  <si>
    <t>1.28亿</t>
  </si>
  <si>
    <t>2.01亿</t>
  </si>
  <si>
    <t>3.30亿</t>
  </si>
  <si>
    <t>3.02亿</t>
  </si>
  <si>
    <t>1.10亿</t>
  </si>
  <si>
    <t>2.60亿</t>
  </si>
  <si>
    <t>7.29亿</t>
  </si>
  <si>
    <t>1.61亿</t>
  </si>
  <si>
    <t>4.34亿</t>
  </si>
  <si>
    <t>1.26亿</t>
  </si>
  <si>
    <t>1.21亿</t>
  </si>
  <si>
    <t>1.19亿</t>
  </si>
  <si>
    <t>7.69亿</t>
  </si>
  <si>
    <t>1.12亿</t>
  </si>
  <si>
    <t>5.35亿</t>
  </si>
  <si>
    <t>3.10亿</t>
  </si>
  <si>
    <t>1.00亿</t>
  </si>
  <si>
    <t>1.64亿</t>
  </si>
  <si>
    <t>1.40亿</t>
  </si>
  <si>
    <t>3.68亿</t>
  </si>
  <si>
    <t>2.34亿</t>
  </si>
  <si>
    <t>1.08亿</t>
  </si>
  <si>
    <t>1.86亿</t>
  </si>
  <si>
    <t>3.72亿</t>
  </si>
  <si>
    <t>4.67亿</t>
  </si>
  <si>
    <t>2.73亿</t>
  </si>
  <si>
    <t>1.39亿</t>
  </si>
  <si>
    <t>1.29亿</t>
  </si>
  <si>
    <t>36.14亿</t>
  </si>
  <si>
    <t>1.52亿</t>
  </si>
  <si>
    <t>1.35亿</t>
  </si>
  <si>
    <t>3.94亿</t>
  </si>
  <si>
    <t>1.14亿</t>
  </si>
  <si>
    <t>3.00亿</t>
  </si>
  <si>
    <t>8.35亿</t>
  </si>
  <si>
    <t>1.83亿</t>
  </si>
  <si>
    <t>3.51亿</t>
  </si>
  <si>
    <t>1.15亿</t>
  </si>
  <si>
    <t>4.26亿</t>
  </si>
  <si>
    <t>1.38亿</t>
  </si>
  <si>
    <t>1.18亿</t>
  </si>
  <si>
    <t>1.74亿</t>
  </si>
  <si>
    <t>18.25亿</t>
  </si>
  <si>
    <t>1.07亿</t>
  </si>
  <si>
    <t>4.39亿</t>
  </si>
  <si>
    <t>1.24亿</t>
  </si>
  <si>
    <t>4.57亿</t>
  </si>
  <si>
    <t>2.46亿</t>
  </si>
  <si>
    <t>1.04亿</t>
  </si>
  <si>
    <t>1.11亿</t>
  </si>
  <si>
    <t>2.03亿</t>
  </si>
  <si>
    <t>3.39亿</t>
  </si>
  <si>
    <t>3.25亿</t>
  </si>
  <si>
    <t>3.53亿</t>
  </si>
  <si>
    <t>6.85亿</t>
  </si>
  <si>
    <t>1.79亿</t>
  </si>
  <si>
    <t>2.00亿</t>
  </si>
  <si>
    <t>1.03亿</t>
  </si>
  <si>
    <t>3.63亿</t>
  </si>
  <si>
    <t>2.69亿</t>
  </si>
  <si>
    <t>3.20亿</t>
  </si>
  <si>
    <t>3.12亿</t>
  </si>
  <si>
    <t>2.67亿</t>
  </si>
  <si>
    <t>1.16亿</t>
  </si>
  <si>
    <t>1.06亿</t>
  </si>
  <si>
    <t>1.23亿</t>
  </si>
  <si>
    <t>1.91亿</t>
  </si>
  <si>
    <t>5.08亿</t>
  </si>
  <si>
    <t>1.70亿</t>
  </si>
  <si>
    <t>2.09亿</t>
  </si>
  <si>
    <t>1.49亿</t>
  </si>
  <si>
    <t>2.52亿</t>
  </si>
  <si>
    <t>4.12亿</t>
  </si>
  <si>
    <t>4.16亿</t>
  </si>
  <si>
    <t>2.18亿</t>
  </si>
  <si>
    <t>2.79亿</t>
  </si>
  <si>
    <t>3.79亿</t>
  </si>
  <si>
    <t>1.57亿</t>
  </si>
  <si>
    <t>2.64亿</t>
  </si>
  <si>
    <t>5.14亿</t>
  </si>
  <si>
    <t>1.46亿</t>
  </si>
  <si>
    <t>2.53亿</t>
  </si>
  <si>
    <t>3.38亿</t>
  </si>
  <si>
    <t>1.80亿</t>
  </si>
  <si>
    <t>4.32亿</t>
  </si>
  <si>
    <t>2.37亿</t>
  </si>
  <si>
    <t>3.24亿</t>
  </si>
  <si>
    <t>4.90亿</t>
  </si>
  <si>
    <t>3.16亿</t>
  </si>
  <si>
    <t>1.44亿</t>
  </si>
  <si>
    <t>1.55亿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</si>
  <si>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</si>
  <si>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</si>
  <si>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</si>
  <si>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</si>
  <si>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</si>
  <si>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</si>
  <si>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</si>
  <si>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</si>
  <si>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</si>
  <si>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</si>
  <si>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</si>
  <si>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</si>
  <si>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</si>
  <si>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1.77亿</t>
  </si>
  <si>
    <t>5.73亿</t>
  </si>
  <si>
    <t>2.07亿</t>
  </si>
  <si>
    <t>4.53亿</t>
  </si>
  <si>
    <t>3.49亿</t>
  </si>
  <si>
    <t>1.09亿</t>
  </si>
  <si>
    <t>2.31亿</t>
  </si>
  <si>
    <t>2.45亿</t>
  </si>
  <si>
    <t>5.04亿</t>
  </si>
  <si>
    <t>5.13亿</t>
  </si>
  <si>
    <t>1.34亿</t>
  </si>
  <si>
    <t>2.14亿</t>
  </si>
  <si>
    <t>1.31亿</t>
  </si>
  <si>
    <t>2.28亿</t>
  </si>
  <si>
    <t>7.92亿</t>
  </si>
  <si>
    <t>5.17亿</t>
  </si>
  <si>
    <t>1.22亿</t>
  </si>
  <si>
    <t>1.41亿</t>
  </si>
  <si>
    <t>11.38亿</t>
  </si>
  <si>
    <t>4.63亿</t>
  </si>
  <si>
    <t>2.29亿</t>
  </si>
  <si>
    <t>2.49亿</t>
  </si>
  <si>
    <t>1.54亿</t>
  </si>
  <si>
    <t>2.65亿</t>
  </si>
  <si>
    <t>4.03亿</t>
  </si>
  <si>
    <t>1.02亿</t>
  </si>
  <si>
    <t>3.65亿</t>
  </si>
  <si>
    <t>4.75亿</t>
  </si>
  <si>
    <t>1.37亿</t>
  </si>
  <si>
    <t>1.27亿</t>
  </si>
  <si>
    <t>1.89亿</t>
  </si>
  <si>
    <t>2.82亿</t>
  </si>
  <si>
    <t>3.07亿</t>
  </si>
  <si>
    <t>2.40亿</t>
  </si>
  <si>
    <t>6.93亿</t>
  </si>
  <si>
    <t>8.64亿</t>
  </si>
  <si>
    <t>3.03亿</t>
  </si>
  <si>
    <t>2.17亿</t>
  </si>
  <si>
    <t>2.22亿</t>
  </si>
  <si>
    <t>3.81亿</t>
  </si>
  <si>
    <t>1.66亿</t>
  </si>
  <si>
    <t>7.30亿</t>
  </si>
  <si>
    <t>6.12亿</t>
  </si>
  <si>
    <t>2.56亿</t>
  </si>
  <si>
    <t>13.77亿</t>
  </si>
  <si>
    <t>2.41亿</t>
  </si>
  <si>
    <t>2.96亿</t>
  </si>
  <si>
    <t>1.56亿</t>
  </si>
  <si>
    <t>6.71亿</t>
  </si>
  <si>
    <t>5.64亿</t>
  </si>
  <si>
    <t>1.92亿</t>
  </si>
  <si>
    <t>1.48亿</t>
  </si>
  <si>
    <t>8.20亿</t>
  </si>
  <si>
    <t>2.32亿</t>
  </si>
  <si>
    <t>14.40亿</t>
  </si>
  <si>
    <t>8.16亿</t>
  </si>
  <si>
    <t>1.01亿</t>
  </si>
  <si>
    <t>3.60亿</t>
  </si>
  <si>
    <t>3.19亿</t>
  </si>
  <si>
    <t>53.54亿</t>
  </si>
  <si>
    <t>2.42亿</t>
  </si>
  <si>
    <t>1.73亿</t>
  </si>
  <si>
    <t>-2.49亿</t>
  </si>
  <si>
    <t>4.69亿</t>
  </si>
  <si>
    <t>5.97亿</t>
  </si>
  <si>
    <t>1.59亿</t>
  </si>
  <si>
    <t>4.93亿</t>
  </si>
  <si>
    <t>1.72亿</t>
  </si>
  <si>
    <t>8.00亿</t>
  </si>
  <si>
    <t>6.98亿</t>
  </si>
  <si>
    <t>9.35亿</t>
  </si>
  <si>
    <t>9.90亿</t>
  </si>
  <si>
    <t>1.68亿</t>
  </si>
  <si>
    <t>6.01亿</t>
  </si>
  <si>
    <t>3.52亿</t>
  </si>
  <si>
    <t>20.79亿</t>
  </si>
  <si>
    <t>2.90亿</t>
  </si>
  <si>
    <t>2.10亿</t>
  </si>
  <si>
    <t>7.71亿</t>
  </si>
  <si>
    <t>2.13亿</t>
  </si>
  <si>
    <t>4.20亿</t>
  </si>
  <si>
    <t>11.57亿</t>
  </si>
  <si>
    <t>2.20亿</t>
  </si>
  <si>
    <t>3.27亿</t>
  </si>
  <si>
    <t>6.19亿</t>
  </si>
  <si>
    <t>4.37亿</t>
  </si>
  <si>
    <t>1.85亿</t>
  </si>
  <si>
    <t>8.09亿</t>
  </si>
  <si>
    <t>1.32亿</t>
  </si>
  <si>
    <t>4.50亿</t>
  </si>
  <si>
    <t>6.47亿</t>
  </si>
  <si>
    <t>5.89亿</t>
  </si>
  <si>
    <t>3.48亿</t>
  </si>
  <si>
    <t>2.85亿</t>
  </si>
  <si>
    <t>5.76亿</t>
  </si>
  <si>
    <t>5.93亿</t>
  </si>
  <si>
    <t>23.40亿</t>
  </si>
  <si>
    <t>2.88亿</t>
  </si>
  <si>
    <t>2.26亿</t>
  </si>
  <si>
    <t>6.07亿</t>
  </si>
  <si>
    <t>4.04亿</t>
  </si>
  <si>
    <t>4.30亿</t>
  </si>
  <si>
    <t>7.15亿</t>
  </si>
  <si>
    <t>5.62亿</t>
  </si>
  <si>
    <t>1.90亿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</si>
  <si>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</si>
  <si>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</si>
  <si>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</si>
  <si>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</si>
  <si>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</si>
  <si>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</si>
  <si>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</si>
  <si>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</si>
  <si>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</si>
  <si>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</si>
  <si>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</si>
  <si>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</si>
  <si>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</si>
  <si>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2.47亿</t>
  </si>
  <si>
    <t>2.24亿</t>
  </si>
  <si>
    <t>3.46亿</t>
  </si>
  <si>
    <t>销售毛利率%[20201231]</t>
  </si>
  <si>
    <t>销售净利率%[20201231]</t>
  </si>
  <si>
    <t>16.49亿</t>
  </si>
  <si>
    <t>1.17亿</t>
  </si>
  <si>
    <t>4.01亿</t>
  </si>
  <si>
    <t>6.30亿</t>
  </si>
  <si>
    <t>14.47亿</t>
  </si>
  <si>
    <t>7.26亿</t>
  </si>
  <si>
    <t>4.06亿</t>
  </si>
  <si>
    <t>5.88亿</t>
  </si>
  <si>
    <t>4.08亿</t>
  </si>
  <si>
    <t>2.71亿</t>
  </si>
  <si>
    <t>2.98亿</t>
  </si>
  <si>
    <t>2.89亿</t>
  </si>
  <si>
    <t>3.96亿</t>
  </si>
  <si>
    <t>23.74亿</t>
  </si>
  <si>
    <t>7.62亿</t>
  </si>
  <si>
    <t>3.56亿</t>
  </si>
  <si>
    <t>18.91亿</t>
  </si>
  <si>
    <t>25.65亿</t>
  </si>
  <si>
    <t>6.81亿</t>
  </si>
  <si>
    <t>33.57亿</t>
  </si>
  <si>
    <t>3.04亿</t>
  </si>
  <si>
    <t>5.06亿</t>
  </si>
  <si>
    <t>14.77亿</t>
  </si>
  <si>
    <t>2.48亿</t>
  </si>
  <si>
    <t>5.96亿</t>
  </si>
  <si>
    <t>12.52亿</t>
  </si>
  <si>
    <t>10.54亿</t>
  </si>
  <si>
    <t>2.84亿</t>
  </si>
  <si>
    <t>8.98亿</t>
  </si>
  <si>
    <t>6.20亿</t>
  </si>
  <si>
    <t>2.19亿</t>
  </si>
  <si>
    <t>9.26亿</t>
  </si>
  <si>
    <t>-2.55亿</t>
  </si>
  <si>
    <t>1.98亿</t>
  </si>
  <si>
    <t>3.82亿</t>
  </si>
  <si>
    <t>3.84亿</t>
  </si>
  <si>
    <t>9.19亿</t>
  </si>
  <si>
    <t>1.82亿</t>
  </si>
  <si>
    <t>1.99亿</t>
  </si>
  <si>
    <t>12.35亿</t>
  </si>
  <si>
    <t>3.01亿</t>
  </si>
  <si>
    <t>5.56亿</t>
  </si>
  <si>
    <t>29.64亿</t>
  </si>
  <si>
    <t>4.49亿</t>
  </si>
  <si>
    <t>2.23亿</t>
  </si>
  <si>
    <t>19.47亿</t>
  </si>
  <si>
    <t>3.69亿</t>
  </si>
  <si>
    <t>3.26亿</t>
  </si>
  <si>
    <t>6.00亿</t>
  </si>
  <si>
    <t>7.22亿</t>
  </si>
  <si>
    <t>6.34亿</t>
  </si>
  <si>
    <t>2.97亿</t>
  </si>
  <si>
    <t>2.27亿</t>
  </si>
  <si>
    <t>27.22亿</t>
  </si>
  <si>
    <t>2.12亿</t>
  </si>
  <si>
    <t>-2.16亿</t>
  </si>
  <si>
    <t>30.06亿</t>
  </si>
  <si>
    <t>2.86亿</t>
  </si>
  <si>
    <t>10.06亿</t>
  </si>
  <si>
    <t>5.29亿</t>
  </si>
  <si>
    <t>9.53亿</t>
  </si>
  <si>
    <t>9.48亿</t>
  </si>
  <si>
    <t>3.44亿</t>
  </si>
  <si>
    <t>5.23亿</t>
  </si>
  <si>
    <t>2.70亿</t>
  </si>
  <si>
    <t>2.50亿</t>
  </si>
  <si>
    <t>8.75亿</t>
  </si>
  <si>
    <t>1.75亿</t>
  </si>
  <si>
    <t>8.67亿</t>
  </si>
  <si>
    <t>3.34亿</t>
  </si>
  <si>
    <t>1.47亿</t>
  </si>
  <si>
    <t>3.57亿</t>
  </si>
  <si>
    <t>2.80亿</t>
  </si>
  <si>
    <t>4.76亿</t>
  </si>
  <si>
    <t>3.88亿</t>
  </si>
  <si>
    <t>4.45亿</t>
  </si>
  <si>
    <t>5.98亿</t>
  </si>
  <si>
    <t>5.43亿</t>
  </si>
  <si>
    <t>3.18亿</t>
  </si>
  <si>
    <t>6.02亿</t>
  </si>
  <si>
    <t>8.41亿</t>
  </si>
  <si>
    <t>8.87亿</t>
  </si>
  <si>
    <t>9.63亿</t>
  </si>
  <si>
    <t>4.31亿</t>
  </si>
  <si>
    <t>8.96亿</t>
  </si>
  <si>
    <t>1.13亿</t>
  </si>
  <si>
    <t>1.60亿</t>
  </si>
  <si>
    <t>6.31亿</t>
  </si>
  <si>
    <t>4.72亿</t>
  </si>
  <si>
    <t>1.96亿</t>
  </si>
  <si>
    <t>SZ000010</t>
  </si>
  <si>
    <t>美丽生态</t>
  </si>
  <si>
    <t>建筑装饰</t>
  </si>
  <si>
    <t>14.09亿</t>
  </si>
  <si>
    <t>3983.96万</t>
  </si>
  <si>
    <t>11.47亿</t>
  </si>
  <si>
    <t>18.93亿</t>
  </si>
  <si>
    <t>3.45亿</t>
  </si>
  <si>
    <t>9.57亿</t>
  </si>
  <si>
    <t>4647.48万</t>
  </si>
  <si>
    <t>-7.32亿</t>
  </si>
  <si>
    <t>5.53亿</t>
  </si>
  <si>
    <t>SZ000065</t>
  </si>
  <si>
    <t>北方国际</t>
  </si>
  <si>
    <t>128.51亿</t>
  </si>
  <si>
    <t>7.51亿</t>
  </si>
  <si>
    <t>110.60亿</t>
  </si>
  <si>
    <t>99.81亿</t>
  </si>
  <si>
    <t>7.06亿</t>
  </si>
  <si>
    <t>4.61亿</t>
  </si>
  <si>
    <t>SZ000498</t>
  </si>
  <si>
    <t>山东路桥</t>
  </si>
  <si>
    <t>344.37亿</t>
  </si>
  <si>
    <t>13.39亿</t>
  </si>
  <si>
    <t>245.91亿</t>
  </si>
  <si>
    <t>152.72亿</t>
  </si>
  <si>
    <t>SZ000628</t>
  </si>
  <si>
    <t>高新发展</t>
  </si>
  <si>
    <t>55.33亿</t>
  </si>
  <si>
    <t>33.11亿</t>
  </si>
  <si>
    <t>5474.47万</t>
  </si>
  <si>
    <t>19.27亿</t>
  </si>
  <si>
    <t>SZ000779</t>
  </si>
  <si>
    <t>甘咨询</t>
  </si>
  <si>
    <t>24.81亿</t>
  </si>
  <si>
    <t>21.38亿</t>
  </si>
  <si>
    <t>21.15亿</t>
  </si>
  <si>
    <t>2.75亿</t>
  </si>
  <si>
    <t>SZ000928</t>
  </si>
  <si>
    <t>中钢国际</t>
  </si>
  <si>
    <t>148.27亿</t>
  </si>
  <si>
    <t>9.45亿</t>
  </si>
  <si>
    <t>134.14亿</t>
  </si>
  <si>
    <t>83.67亿</t>
  </si>
  <si>
    <t>20.41亿</t>
  </si>
  <si>
    <t>SZ002047</t>
  </si>
  <si>
    <t>宝鹰股份</t>
  </si>
  <si>
    <t>59.55亿</t>
  </si>
  <si>
    <t>66.77亿</t>
  </si>
  <si>
    <t>68.56亿</t>
  </si>
  <si>
    <t>3.67亿</t>
  </si>
  <si>
    <t>SZ002051</t>
  </si>
  <si>
    <t>中工国际</t>
  </si>
  <si>
    <t>79.66亿</t>
  </si>
  <si>
    <t>-8382.67万</t>
  </si>
  <si>
    <t>106.57亿</t>
  </si>
  <si>
    <t>135.15亿</t>
  </si>
  <si>
    <t>13.51亿</t>
  </si>
  <si>
    <t>8.14亿</t>
  </si>
  <si>
    <t>SZ002061</t>
  </si>
  <si>
    <t>浙江交科</t>
  </si>
  <si>
    <t>288.97亿</t>
  </si>
  <si>
    <t>263.77亿</t>
  </si>
  <si>
    <t>12.13亿</t>
  </si>
  <si>
    <t>11.08亿</t>
  </si>
  <si>
    <t>SZ002062</t>
  </si>
  <si>
    <t>宏润建设</t>
  </si>
  <si>
    <t>113.17亿</t>
  </si>
  <si>
    <t>119.43亿</t>
  </si>
  <si>
    <t>98.88亿</t>
  </si>
  <si>
    <t>2.72亿</t>
  </si>
  <si>
    <t>SZ002081</t>
  </si>
  <si>
    <t>金 螳 螂</t>
  </si>
  <si>
    <t>312.43亿</t>
  </si>
  <si>
    <t>308.35亿</t>
  </si>
  <si>
    <t>250.89亿</t>
  </si>
  <si>
    <t>23.49亿</t>
  </si>
  <si>
    <t>21.23亿</t>
  </si>
  <si>
    <t>4.73亿</t>
  </si>
  <si>
    <t>SZ002116</t>
  </si>
  <si>
    <t>中国海诚</t>
  </si>
  <si>
    <t>50.97亿</t>
  </si>
  <si>
    <t>6384.96万</t>
  </si>
  <si>
    <t>55.81亿</t>
  </si>
  <si>
    <t>52.25亿</t>
  </si>
  <si>
    <t>5860.92万</t>
  </si>
  <si>
    <t>9.32亿</t>
  </si>
  <si>
    <t>SZ002135</t>
  </si>
  <si>
    <t>东南网架</t>
  </si>
  <si>
    <t>94.23亿</t>
  </si>
  <si>
    <t>92.56亿</t>
  </si>
  <si>
    <t>89.76亿</t>
  </si>
  <si>
    <t>86.95亿</t>
  </si>
  <si>
    <t>SZ002140</t>
  </si>
  <si>
    <t>东华科技</t>
  </si>
  <si>
    <t>52.10亿</t>
  </si>
  <si>
    <t>19.79亿</t>
  </si>
  <si>
    <t>5.60亿</t>
  </si>
  <si>
    <t>2.05亿</t>
  </si>
  <si>
    <t>45.18亿</t>
  </si>
  <si>
    <t>40.34亿</t>
  </si>
  <si>
    <t>SZ002200</t>
  </si>
  <si>
    <t>3.41亿</t>
  </si>
  <si>
    <t>2.68亿</t>
  </si>
  <si>
    <t>-9434.13万</t>
  </si>
  <si>
    <t>6.82亿</t>
  </si>
  <si>
    <t>7.60亿</t>
  </si>
  <si>
    <t>6.75亿</t>
  </si>
  <si>
    <t>3588.15万</t>
  </si>
  <si>
    <t>SZ002307</t>
  </si>
  <si>
    <t>北新路桥</t>
  </si>
  <si>
    <t>118.86亿</t>
  </si>
  <si>
    <t>5508.67万</t>
  </si>
  <si>
    <t>10.08亿</t>
  </si>
  <si>
    <t>111.26亿</t>
  </si>
  <si>
    <t>102.53亿</t>
  </si>
  <si>
    <t>5349.37万</t>
  </si>
  <si>
    <t>5313.17万</t>
  </si>
  <si>
    <t>9.12亿</t>
  </si>
  <si>
    <t>SZ002325</t>
  </si>
  <si>
    <t>35.69亿</t>
  </si>
  <si>
    <t>-3.50亿</t>
  </si>
  <si>
    <t>40.31亿</t>
  </si>
  <si>
    <t>39.26亿</t>
  </si>
  <si>
    <t>3651.78万</t>
  </si>
  <si>
    <t>-4.22亿</t>
  </si>
  <si>
    <t>SZ002375</t>
  </si>
  <si>
    <t>亚厦股份</t>
  </si>
  <si>
    <t>107.87亿</t>
  </si>
  <si>
    <t>3.17亿</t>
  </si>
  <si>
    <t>1.51亿</t>
  </si>
  <si>
    <t>107.86亿</t>
  </si>
  <si>
    <t>91.99亿</t>
  </si>
  <si>
    <t>5.72亿</t>
  </si>
  <si>
    <t>SZ002431</t>
  </si>
  <si>
    <t>棕榈股份</t>
  </si>
  <si>
    <t>48.21亿</t>
  </si>
  <si>
    <t>4424.21万</t>
  </si>
  <si>
    <t>27.09亿</t>
  </si>
  <si>
    <t>53.29亿</t>
  </si>
  <si>
    <t>-9.81亿</t>
  </si>
  <si>
    <t>5019.93万</t>
  </si>
  <si>
    <t>-1.43亿</t>
  </si>
  <si>
    <t>SZ002482</t>
  </si>
  <si>
    <t>122.46亿</t>
  </si>
  <si>
    <t>-7.84亿</t>
  </si>
  <si>
    <t>7.41亿</t>
  </si>
  <si>
    <t>130.46亿</t>
  </si>
  <si>
    <t>143.98亿</t>
  </si>
  <si>
    <t>4.25亿</t>
  </si>
  <si>
    <t>SZ002541</t>
  </si>
  <si>
    <t>鸿路钢构</t>
  </si>
  <si>
    <t>134.51亿</t>
  </si>
  <si>
    <t>7.99亿</t>
  </si>
  <si>
    <t>1.95亿</t>
  </si>
  <si>
    <t>107.55亿</t>
  </si>
  <si>
    <t>78.74亿</t>
  </si>
  <si>
    <t>5.59亿</t>
  </si>
  <si>
    <t>SZ002542</t>
  </si>
  <si>
    <t>中化岩土</t>
  </si>
  <si>
    <t>56.63亿</t>
  </si>
  <si>
    <t>41.00亿</t>
  </si>
  <si>
    <t>35.64亿</t>
  </si>
  <si>
    <t>11.95亿</t>
  </si>
  <si>
    <t>4.00亿</t>
  </si>
  <si>
    <t>SZ002586</t>
  </si>
  <si>
    <t>SZ002593</t>
  </si>
  <si>
    <t>日上集团</t>
  </si>
  <si>
    <t>9.16亿</t>
  </si>
  <si>
    <t>26.36亿</t>
  </si>
  <si>
    <t>29.02亿</t>
  </si>
  <si>
    <t>8239.40万</t>
  </si>
  <si>
    <t>8161.38万</t>
  </si>
  <si>
    <t>SZ002620</t>
  </si>
  <si>
    <t>瑞和股份</t>
  </si>
  <si>
    <t>28.52亿</t>
  </si>
  <si>
    <t>37.64亿</t>
  </si>
  <si>
    <t>38.18亿</t>
  </si>
  <si>
    <t>4.46亿</t>
  </si>
  <si>
    <t>SZ002628</t>
  </si>
  <si>
    <t>成都路桥</t>
  </si>
  <si>
    <t>21.75亿</t>
  </si>
  <si>
    <t>8168.92万</t>
  </si>
  <si>
    <t>27.95亿</t>
  </si>
  <si>
    <t>27.26亿</t>
  </si>
  <si>
    <t>4325.86万</t>
  </si>
  <si>
    <t>2132.52万</t>
  </si>
  <si>
    <t>SZ002663</t>
  </si>
  <si>
    <t>普邦股份</t>
  </si>
  <si>
    <t>25.41亿</t>
  </si>
  <si>
    <t>11.72亿</t>
  </si>
  <si>
    <t>30.91亿</t>
  </si>
  <si>
    <t>38.06亿</t>
  </si>
  <si>
    <t>-10.46亿</t>
  </si>
  <si>
    <t>4277.22万</t>
  </si>
  <si>
    <t>4.68亿</t>
  </si>
  <si>
    <t>6.05亿</t>
  </si>
  <si>
    <t>SZ002713</t>
  </si>
  <si>
    <t>东易日盛</t>
  </si>
  <si>
    <t>34.47亿</t>
  </si>
  <si>
    <t>5.18亿</t>
  </si>
  <si>
    <t>37.99亿</t>
  </si>
  <si>
    <t>42.03亿</t>
  </si>
  <si>
    <t>-2.20亿</t>
  </si>
  <si>
    <t>SZ002743</t>
  </si>
  <si>
    <t>富煌钢构</t>
  </si>
  <si>
    <t>40.74亿</t>
  </si>
  <si>
    <t>15.05亿</t>
  </si>
  <si>
    <t>37.40亿</t>
  </si>
  <si>
    <t>35.32亿</t>
  </si>
  <si>
    <t>9027.99万</t>
  </si>
  <si>
    <t>8244.87万</t>
  </si>
  <si>
    <t>SZ002761</t>
  </si>
  <si>
    <t>浙江建投</t>
  </si>
  <si>
    <t>795.50亿</t>
  </si>
  <si>
    <t>10.75亿</t>
  </si>
  <si>
    <t>756.49亿</t>
  </si>
  <si>
    <t>656.75亿</t>
  </si>
  <si>
    <t>SZ002775</t>
  </si>
  <si>
    <t>25.20亿</t>
  </si>
  <si>
    <t>28.99亿</t>
  </si>
  <si>
    <t>28.49亿</t>
  </si>
  <si>
    <t>10.46亿</t>
  </si>
  <si>
    <t>4.07亿</t>
  </si>
  <si>
    <t>SZ002789</t>
  </si>
  <si>
    <t>建艺集团</t>
  </si>
  <si>
    <t>22.69亿</t>
  </si>
  <si>
    <t>-2459.87万</t>
  </si>
  <si>
    <t>30.15亿</t>
  </si>
  <si>
    <t>2195.53万</t>
  </si>
  <si>
    <t>9222.78万</t>
  </si>
  <si>
    <t>SZ002811</t>
  </si>
  <si>
    <t>郑中设计</t>
  </si>
  <si>
    <t>2742.64万</t>
  </si>
  <si>
    <t>25.11亿</t>
  </si>
  <si>
    <t>23.01亿</t>
  </si>
  <si>
    <t>3.85亿</t>
  </si>
  <si>
    <t>SZ002822</t>
  </si>
  <si>
    <t>48.59亿</t>
  </si>
  <si>
    <t>41.46亿</t>
  </si>
  <si>
    <t>SZ002830</t>
  </si>
  <si>
    <t>名雕股份</t>
  </si>
  <si>
    <t>2239.44万</t>
  </si>
  <si>
    <t>7.64亿</t>
  </si>
  <si>
    <t>2423.23万</t>
  </si>
  <si>
    <t>4593.81万</t>
  </si>
  <si>
    <t>SZ002856</t>
  </si>
  <si>
    <t>美芝股份</t>
  </si>
  <si>
    <t>8.71亿</t>
  </si>
  <si>
    <t>12.49亿</t>
  </si>
  <si>
    <t>1540.63万</t>
  </si>
  <si>
    <t>9.11亿</t>
  </si>
  <si>
    <t>9.44亿</t>
  </si>
  <si>
    <t>-1783.37万</t>
  </si>
  <si>
    <t>2652.27万</t>
  </si>
  <si>
    <t>SZ002883</t>
  </si>
  <si>
    <t>中设股份</t>
  </si>
  <si>
    <t>7371.52万</t>
  </si>
  <si>
    <t>6524.02万</t>
  </si>
  <si>
    <t>5683.28万</t>
  </si>
  <si>
    <t>SZ002941</t>
  </si>
  <si>
    <t>新疆交建</t>
  </si>
  <si>
    <t>71.39亿</t>
  </si>
  <si>
    <t>8.11亿</t>
  </si>
  <si>
    <t>59.51亿</t>
  </si>
  <si>
    <t>53.51亿</t>
  </si>
  <si>
    <t>SZ002949</t>
  </si>
  <si>
    <t>华阳国际</t>
  </si>
  <si>
    <t>18.94亿</t>
  </si>
  <si>
    <t>8.28亿</t>
  </si>
  <si>
    <t>SZ002963</t>
  </si>
  <si>
    <t>豪尔赛</t>
  </si>
  <si>
    <t>4275.06万</t>
  </si>
  <si>
    <t>9.22亿</t>
  </si>
  <si>
    <t>2.81亿</t>
  </si>
  <si>
    <t>2.16亿</t>
  </si>
  <si>
    <t>SZ002989</t>
  </si>
  <si>
    <t>中天精装</t>
  </si>
  <si>
    <t>8.54亿</t>
  </si>
  <si>
    <t>13.63亿</t>
  </si>
  <si>
    <t>9955.49万</t>
  </si>
  <si>
    <t>3.42亿</t>
  </si>
  <si>
    <t>SZ003001</t>
  </si>
  <si>
    <t>中岩大地</t>
  </si>
  <si>
    <t>11.29亿</t>
  </si>
  <si>
    <t>10.24亿</t>
  </si>
  <si>
    <t>7.59亿</t>
  </si>
  <si>
    <t>3.92亿</t>
  </si>
  <si>
    <t>9188.05万</t>
  </si>
  <si>
    <t>SZ003013</t>
  </si>
  <si>
    <t>地铁设计</t>
  </si>
  <si>
    <t>18.70亿</t>
  </si>
  <si>
    <t>16.44亿</t>
  </si>
  <si>
    <t>12.50亿</t>
  </si>
  <si>
    <t>1.43亿</t>
  </si>
  <si>
    <t>3.97亿</t>
  </si>
  <si>
    <t>SZ300117</t>
  </si>
  <si>
    <t>8081.67万</t>
  </si>
  <si>
    <t>34.37亿</t>
  </si>
  <si>
    <t>42.55亿</t>
  </si>
  <si>
    <t>21.52亿</t>
  </si>
  <si>
    <t>2552.52万</t>
  </si>
  <si>
    <t>5872.73万</t>
  </si>
  <si>
    <t>6.09亿</t>
  </si>
  <si>
    <t>SZ300284</t>
  </si>
  <si>
    <t>苏交科</t>
  </si>
  <si>
    <t>54.99亿</t>
  </si>
  <si>
    <t>59.67亿</t>
  </si>
  <si>
    <t>70.30亿</t>
  </si>
  <si>
    <t>25.63亿</t>
  </si>
  <si>
    <t>7.24亿</t>
  </si>
  <si>
    <t>6.23亿</t>
  </si>
  <si>
    <t>4.64亿</t>
  </si>
  <si>
    <t>8.57亿</t>
  </si>
  <si>
    <t>SZ300384</t>
  </si>
  <si>
    <t>三联虹普</t>
  </si>
  <si>
    <t>1.84亿</t>
  </si>
  <si>
    <t>SZ300492</t>
  </si>
  <si>
    <t>华图山鼎</t>
  </si>
  <si>
    <t>1416.37万</t>
  </si>
  <si>
    <t>2109.40万</t>
  </si>
  <si>
    <t>2674.48万</t>
  </si>
  <si>
    <t>SZ300500</t>
  </si>
  <si>
    <t>启迪设计</t>
  </si>
  <si>
    <t>18.50亿</t>
  </si>
  <si>
    <t>3721.96万</t>
  </si>
  <si>
    <t>7.81亿</t>
  </si>
  <si>
    <t>6.37亿</t>
  </si>
  <si>
    <t>12.54亿</t>
  </si>
  <si>
    <t>10.94亿</t>
  </si>
  <si>
    <t>SZ300506</t>
  </si>
  <si>
    <t>6.24亿</t>
  </si>
  <si>
    <t>13.07亿</t>
  </si>
  <si>
    <t>SZ300517</t>
  </si>
  <si>
    <t>海波重科</t>
  </si>
  <si>
    <t>5190.28万</t>
  </si>
  <si>
    <t>2555.69万</t>
  </si>
  <si>
    <t>2424.29万</t>
  </si>
  <si>
    <t>SZ300536</t>
  </si>
  <si>
    <t>5.26亿</t>
  </si>
  <si>
    <t>715.20万</t>
  </si>
  <si>
    <t>4.60亿</t>
  </si>
  <si>
    <t>5252.66万</t>
  </si>
  <si>
    <t>5224.68万</t>
  </si>
  <si>
    <t>SZ300564</t>
  </si>
  <si>
    <t>筑博设计</t>
  </si>
  <si>
    <t>11.59亿</t>
  </si>
  <si>
    <t>9.60亿</t>
  </si>
  <si>
    <t>2.87亿</t>
  </si>
  <si>
    <t>9.24亿</t>
  </si>
  <si>
    <t>8.42亿</t>
  </si>
  <si>
    <t>6.97亿</t>
  </si>
  <si>
    <t>2.51亿</t>
  </si>
  <si>
    <t>SZ300621</t>
  </si>
  <si>
    <t>维业股份</t>
  </si>
  <si>
    <t>11.50亿</t>
  </si>
  <si>
    <t>24.86亿</t>
  </si>
  <si>
    <t>23.95亿</t>
  </si>
  <si>
    <t>8778.24万</t>
  </si>
  <si>
    <t>6878.42万</t>
  </si>
  <si>
    <t>SZ300635</t>
  </si>
  <si>
    <t>中达安</t>
  </si>
  <si>
    <t>5.49亿</t>
  </si>
  <si>
    <t>5.47亿</t>
  </si>
  <si>
    <t>2984.51万</t>
  </si>
  <si>
    <t>4.96亿</t>
  </si>
  <si>
    <t>6114.55万</t>
  </si>
  <si>
    <t>5493.43万</t>
  </si>
  <si>
    <t>SZ300649</t>
  </si>
  <si>
    <t>杭州园林</t>
  </si>
  <si>
    <t>8.06亿</t>
  </si>
  <si>
    <t>5030.38万</t>
  </si>
  <si>
    <t>6670.59万</t>
  </si>
  <si>
    <t>5232.14万</t>
  </si>
  <si>
    <t>SZ300668</t>
  </si>
  <si>
    <t>杰恩设计</t>
  </si>
  <si>
    <t>2032.12万</t>
  </si>
  <si>
    <t>3.90亿</t>
  </si>
  <si>
    <t>8404.90万</t>
  </si>
  <si>
    <t>8360.65万</t>
  </si>
  <si>
    <t>SZ300675</t>
  </si>
  <si>
    <t>建科院</t>
  </si>
  <si>
    <t>4386.66万</t>
  </si>
  <si>
    <t>3662.09万</t>
  </si>
  <si>
    <t>3463.08万</t>
  </si>
  <si>
    <t>SZ300712</t>
  </si>
  <si>
    <t>永福股份</t>
  </si>
  <si>
    <t>9.80亿</t>
  </si>
  <si>
    <t>5091.89万</t>
  </si>
  <si>
    <t>6.86亿</t>
  </si>
  <si>
    <t>7314.21万</t>
  </si>
  <si>
    <t>7353.33万</t>
  </si>
  <si>
    <t>SZ300732</t>
  </si>
  <si>
    <t>设研院</t>
  </si>
  <si>
    <t>18.86亿</t>
  </si>
  <si>
    <t>18.66亿</t>
  </si>
  <si>
    <t>15.79亿</t>
  </si>
  <si>
    <t>5.91亿</t>
  </si>
  <si>
    <t>SZ300746</t>
  </si>
  <si>
    <t>汉嘉设计</t>
  </si>
  <si>
    <t>22.74亿</t>
  </si>
  <si>
    <t>7011.00万</t>
  </si>
  <si>
    <t>11.81亿</t>
  </si>
  <si>
    <t>9220.64万</t>
  </si>
  <si>
    <t>7565.41万</t>
  </si>
  <si>
    <t>SZ300778</t>
  </si>
  <si>
    <t>新城市</t>
  </si>
  <si>
    <t>4.42亿</t>
  </si>
  <si>
    <t>SZ300826</t>
  </si>
  <si>
    <t>测绘股份</t>
  </si>
  <si>
    <t>7261.62万</t>
  </si>
  <si>
    <t>8636.25万</t>
  </si>
  <si>
    <t>8046.18万</t>
  </si>
  <si>
    <t>SZ300844</t>
  </si>
  <si>
    <t>山水比德</t>
  </si>
  <si>
    <t>7569.15万</t>
  </si>
  <si>
    <t>4144.25万</t>
  </si>
  <si>
    <t>SZ300949</t>
  </si>
  <si>
    <t>4.91亿</t>
  </si>
  <si>
    <t>8988.08万</t>
  </si>
  <si>
    <t>SZ300977</t>
  </si>
  <si>
    <t>深圳瑞捷</t>
  </si>
  <si>
    <t>6485.32万</t>
  </si>
  <si>
    <t>SZ300982</t>
  </si>
  <si>
    <t>苏文电能</t>
  </si>
  <si>
    <t>8.26亿</t>
  </si>
  <si>
    <t>6668.20万</t>
  </si>
  <si>
    <t>SZ300983</t>
  </si>
  <si>
    <t>尤安设计</t>
  </si>
  <si>
    <t>2.92亿</t>
  </si>
  <si>
    <t>SZ300989</t>
  </si>
  <si>
    <t>蕾奥规划</t>
  </si>
  <si>
    <t>9432.79万</t>
  </si>
  <si>
    <t>6697.96万</t>
  </si>
  <si>
    <t>4649.74万</t>
  </si>
  <si>
    <t>SZ301024</t>
  </si>
  <si>
    <t>霍普股份</t>
  </si>
  <si>
    <t>7291.84万</t>
  </si>
  <si>
    <t>6366.53万</t>
  </si>
  <si>
    <t>5728.04万</t>
  </si>
  <si>
    <t>SZ301027</t>
  </si>
  <si>
    <t>华蓝集团</t>
  </si>
  <si>
    <t>10.92亿</t>
  </si>
  <si>
    <t>8.81亿</t>
  </si>
  <si>
    <t>9414.16万</t>
  </si>
  <si>
    <t>7373.99万</t>
  </si>
  <si>
    <t>SZ301038</t>
  </si>
  <si>
    <t>深水规院</t>
  </si>
  <si>
    <t>9346.11万</t>
  </si>
  <si>
    <t>4.59亿</t>
  </si>
  <si>
    <t>7057.59万</t>
  </si>
  <si>
    <t>5161.39万</t>
  </si>
  <si>
    <t>SZ301046</t>
  </si>
  <si>
    <t>能辉科技</t>
  </si>
  <si>
    <t>9019.35万</t>
  </si>
  <si>
    <t>6782.07万</t>
  </si>
  <si>
    <t>2796.85万</t>
  </si>
  <si>
    <t>SZ301058</t>
  </si>
  <si>
    <t>16.57亿</t>
  </si>
  <si>
    <t>8735.01万</t>
  </si>
  <si>
    <t>5400.57万</t>
  </si>
  <si>
    <t>SZ301091</t>
  </si>
  <si>
    <t>深城交</t>
  </si>
  <si>
    <t>10.89亿</t>
  </si>
  <si>
    <t>3.28亿</t>
  </si>
  <si>
    <t>5.83亿</t>
  </si>
  <si>
    <t>7012.97万</t>
  </si>
  <si>
    <t>SH600039</t>
  </si>
  <si>
    <t>四川路桥</t>
  </si>
  <si>
    <t>527.25亿</t>
  </si>
  <si>
    <t>400.19亿</t>
  </si>
  <si>
    <t>17.02亿</t>
  </si>
  <si>
    <t>SH600133</t>
  </si>
  <si>
    <t>东湖高新</t>
  </si>
  <si>
    <t>105.94亿</t>
  </si>
  <si>
    <t>86.93亿</t>
  </si>
  <si>
    <t>3.74亿</t>
  </si>
  <si>
    <t>SH600170</t>
  </si>
  <si>
    <t>上海建工</t>
  </si>
  <si>
    <t>2313.27亿</t>
  </si>
  <si>
    <t>33.70亿</t>
  </si>
  <si>
    <t>2054.97亿</t>
  </si>
  <si>
    <t>1705.46亿</t>
  </si>
  <si>
    <t>SH600193</t>
  </si>
  <si>
    <t>创兴资源</t>
  </si>
  <si>
    <t>9.29亿</t>
  </si>
  <si>
    <t>10.96亿</t>
  </si>
  <si>
    <t>SH600248</t>
  </si>
  <si>
    <t>1277.23亿</t>
  </si>
  <si>
    <t>28.29亿</t>
  </si>
  <si>
    <t>1045.35亿</t>
  </si>
  <si>
    <t>75.72亿</t>
  </si>
  <si>
    <t>SH600284</t>
  </si>
  <si>
    <t>浦东建设</t>
  </si>
  <si>
    <t>83.76亿</t>
  </si>
  <si>
    <t>62.20亿</t>
  </si>
  <si>
    <t>36.72亿</t>
  </si>
  <si>
    <t>5.68亿</t>
  </si>
  <si>
    <t>SH600491</t>
  </si>
  <si>
    <t>龙元建设</t>
  </si>
  <si>
    <t>177.87亿</t>
  </si>
  <si>
    <t>214.27亿</t>
  </si>
  <si>
    <t>202.13亿</t>
  </si>
  <si>
    <t>10.21亿</t>
  </si>
  <si>
    <t>SH600496</t>
  </si>
  <si>
    <t>精工钢构</t>
  </si>
  <si>
    <t>114.84亿</t>
  </si>
  <si>
    <t>102.35亿</t>
  </si>
  <si>
    <t>86.31亿</t>
  </si>
  <si>
    <t>65.33亿</t>
  </si>
  <si>
    <t>SH600502</t>
  </si>
  <si>
    <t>安徽建工</t>
  </si>
  <si>
    <t>569.72亿</t>
  </si>
  <si>
    <t>472.66亿</t>
  </si>
  <si>
    <t>388.28亿</t>
  </si>
  <si>
    <t>SH600512</t>
  </si>
  <si>
    <t>腾达建设</t>
  </si>
  <si>
    <t>59.03亿</t>
  </si>
  <si>
    <t>43.68亿</t>
  </si>
  <si>
    <t>35.13亿</t>
  </si>
  <si>
    <t>2561.00万</t>
  </si>
  <si>
    <t>SH600629</t>
  </si>
  <si>
    <t>华建集团</t>
  </si>
  <si>
    <t>86.14亿</t>
  </si>
  <si>
    <t>72.09亿</t>
  </si>
  <si>
    <t>59.59亿</t>
  </si>
  <si>
    <t>52.90亿</t>
  </si>
  <si>
    <t>19.42亿</t>
  </si>
  <si>
    <t>SH600820</t>
  </si>
  <si>
    <t>隧道股份</t>
  </si>
  <si>
    <t>465.68亿</t>
  </si>
  <si>
    <t>372.66亿</t>
  </si>
  <si>
    <t>22.18亿</t>
  </si>
  <si>
    <t>SH600853</t>
  </si>
  <si>
    <t>龙建股份</t>
  </si>
  <si>
    <t>118.37亿</t>
  </si>
  <si>
    <t>58.35亿</t>
  </si>
  <si>
    <t>111.06亿</t>
  </si>
  <si>
    <t>105.05亿</t>
  </si>
  <si>
    <t>SH600939</t>
  </si>
  <si>
    <t>重庆建工</t>
  </si>
  <si>
    <t>521.09亿</t>
  </si>
  <si>
    <t>466.20亿</t>
  </si>
  <si>
    <t>SH600970</t>
  </si>
  <si>
    <t>中材国际</t>
  </si>
  <si>
    <t>243.74亿</t>
  </si>
  <si>
    <t>215.01亿</t>
  </si>
  <si>
    <t>15.92亿</t>
  </si>
  <si>
    <t>13.68亿</t>
  </si>
  <si>
    <t>SH601068</t>
  </si>
  <si>
    <t>中铝国际</t>
  </si>
  <si>
    <t>230.26亿</t>
  </si>
  <si>
    <t>-19.76亿</t>
  </si>
  <si>
    <t>310.60亿</t>
  </si>
  <si>
    <t>336.35亿</t>
  </si>
  <si>
    <t>3485.26万</t>
  </si>
  <si>
    <t>SH601117</t>
  </si>
  <si>
    <t>中国化学</t>
  </si>
  <si>
    <t>36.59亿</t>
  </si>
  <si>
    <t>1036.22亿</t>
  </si>
  <si>
    <t>814.45亿</t>
  </si>
  <si>
    <t>30.61亿</t>
  </si>
  <si>
    <t>19.32亿</t>
  </si>
  <si>
    <t>15.57亿</t>
  </si>
  <si>
    <t>SH601186</t>
  </si>
  <si>
    <t>中国铁建</t>
  </si>
  <si>
    <t>9103.25亿</t>
  </si>
  <si>
    <t>223.93亿</t>
  </si>
  <si>
    <t>8304.52亿</t>
  </si>
  <si>
    <t>7301.23亿</t>
  </si>
  <si>
    <t>201.97亿</t>
  </si>
  <si>
    <t>179.35亿</t>
  </si>
  <si>
    <t>SH601226</t>
  </si>
  <si>
    <t>华电重工</t>
  </si>
  <si>
    <t>89.06亿</t>
  </si>
  <si>
    <t>9670.46万</t>
  </si>
  <si>
    <t>29.31亿</t>
  </si>
  <si>
    <t>71.76亿</t>
  </si>
  <si>
    <t>8223.17万</t>
  </si>
  <si>
    <t>5704.27万</t>
  </si>
  <si>
    <t>SH601390</t>
  </si>
  <si>
    <t>中国中铁</t>
  </si>
  <si>
    <t>251.88亿</t>
  </si>
  <si>
    <t>8484.40亿</t>
  </si>
  <si>
    <t>7377.14亿</t>
  </si>
  <si>
    <t>236.78亿</t>
  </si>
  <si>
    <t>171.98亿</t>
  </si>
  <si>
    <t>SH601611</t>
  </si>
  <si>
    <t>中国核建</t>
  </si>
  <si>
    <t>13.60亿</t>
  </si>
  <si>
    <t>635.93亿</t>
  </si>
  <si>
    <t>513.55亿</t>
  </si>
  <si>
    <t>12.07亿</t>
  </si>
  <si>
    <t>9.61亿</t>
  </si>
  <si>
    <t>SH601618</t>
  </si>
  <si>
    <t>中国中冶</t>
  </si>
  <si>
    <t>4001.15亿</t>
  </si>
  <si>
    <t>78.62亿</t>
  </si>
  <si>
    <t>3386.38亿</t>
  </si>
  <si>
    <t>2895.35亿</t>
  </si>
  <si>
    <t>66.00亿</t>
  </si>
  <si>
    <t>63.72亿</t>
  </si>
  <si>
    <t>SH601668</t>
  </si>
  <si>
    <t>中国建筑</t>
  </si>
  <si>
    <t>14198.37亿</t>
  </si>
  <si>
    <t>11993.25亿</t>
  </si>
  <si>
    <t>418.81亿</t>
  </si>
  <si>
    <t>382.41亿</t>
  </si>
  <si>
    <t>SH601669</t>
  </si>
  <si>
    <t>中国电建</t>
  </si>
  <si>
    <t>79.87亿</t>
  </si>
  <si>
    <t>3480.28亿</t>
  </si>
  <si>
    <t>2946.78亿</t>
  </si>
  <si>
    <t>72.40亿</t>
  </si>
  <si>
    <t>76.95亿</t>
  </si>
  <si>
    <t>SH601789</t>
  </si>
  <si>
    <t>宁波建工</t>
  </si>
  <si>
    <t>197.97亿</t>
  </si>
  <si>
    <t>185.55亿</t>
  </si>
  <si>
    <t>155.42亿</t>
  </si>
  <si>
    <t>SH601800</t>
  </si>
  <si>
    <t>中国交建</t>
  </si>
  <si>
    <t>6275.86亿</t>
  </si>
  <si>
    <t>162.06亿</t>
  </si>
  <si>
    <t>5554.46亿</t>
  </si>
  <si>
    <t>4908.72亿</t>
  </si>
  <si>
    <t>200.13亿</t>
  </si>
  <si>
    <t>196.80亿</t>
  </si>
  <si>
    <t>SH601868</t>
  </si>
  <si>
    <t>中国能建</t>
  </si>
  <si>
    <t>2703.28亿</t>
  </si>
  <si>
    <t>46.71亿</t>
  </si>
  <si>
    <t>2469.17亿</t>
  </si>
  <si>
    <t>2237.81亿</t>
  </si>
  <si>
    <t>51.12亿</t>
  </si>
  <si>
    <t>47.03亿</t>
  </si>
  <si>
    <t>SH601886</t>
  </si>
  <si>
    <t>江河集团</t>
  </si>
  <si>
    <t>180.50亿</t>
  </si>
  <si>
    <t>188.05亿</t>
  </si>
  <si>
    <t>160.37亿</t>
  </si>
  <si>
    <t>SH603007</t>
  </si>
  <si>
    <t>ST花王</t>
  </si>
  <si>
    <t>SH603017</t>
  </si>
  <si>
    <t>中衡设计</t>
  </si>
  <si>
    <t>18.35亿</t>
  </si>
  <si>
    <t>SH603018</t>
  </si>
  <si>
    <t>46.88亿</t>
  </si>
  <si>
    <t>41.98亿</t>
  </si>
  <si>
    <t>27.76亿</t>
  </si>
  <si>
    <t>SH603030</t>
  </si>
  <si>
    <t>54.24亿</t>
  </si>
  <si>
    <t>69.36亿</t>
  </si>
  <si>
    <t>65.21亿</t>
  </si>
  <si>
    <t>SH603098</t>
  </si>
  <si>
    <t>森特股份</t>
  </si>
  <si>
    <t>31.53亿</t>
  </si>
  <si>
    <t>SH603316</t>
  </si>
  <si>
    <t>诚邦股份</t>
  </si>
  <si>
    <t>4141.99万</t>
  </si>
  <si>
    <t>9.07亿</t>
  </si>
  <si>
    <t>3153.33万</t>
  </si>
  <si>
    <t>5610.39万</t>
  </si>
  <si>
    <t>SH603357</t>
  </si>
  <si>
    <t>19.10亿</t>
  </si>
  <si>
    <t>16.19亿</t>
  </si>
  <si>
    <t>SH603388</t>
  </si>
  <si>
    <t>12.44亿</t>
  </si>
  <si>
    <t>SH603458</t>
  </si>
  <si>
    <t>勘设股份</t>
  </si>
  <si>
    <t>27.98亿</t>
  </si>
  <si>
    <t>SH603637</t>
  </si>
  <si>
    <t>镇海股份</t>
  </si>
  <si>
    <t>6512.41万</t>
  </si>
  <si>
    <t>10.33亿</t>
  </si>
  <si>
    <t>5750.21万</t>
  </si>
  <si>
    <t>5367.43万</t>
  </si>
  <si>
    <t>SH603815</t>
  </si>
  <si>
    <t>交建股份</t>
  </si>
  <si>
    <t>25.00亿</t>
  </si>
  <si>
    <t>SH603828</t>
  </si>
  <si>
    <t>26.57亿</t>
  </si>
  <si>
    <t>1910.69万</t>
  </si>
  <si>
    <t>22.87亿</t>
  </si>
  <si>
    <t>23.85亿</t>
  </si>
  <si>
    <t>3728.37万</t>
  </si>
  <si>
    <t>5837.37万</t>
  </si>
  <si>
    <t>SH603843</t>
  </si>
  <si>
    <t>正平股份</t>
  </si>
  <si>
    <t>37.29亿</t>
  </si>
  <si>
    <t>28.12亿</t>
  </si>
  <si>
    <t>7140.94万</t>
  </si>
  <si>
    <t>6977.69万</t>
  </si>
  <si>
    <t>SH603860</t>
  </si>
  <si>
    <t>中公高科</t>
  </si>
  <si>
    <t>3504.03万</t>
  </si>
  <si>
    <t>5502.60万</t>
  </si>
  <si>
    <t>4784.09万</t>
  </si>
  <si>
    <t>SH603909</t>
  </si>
  <si>
    <t>7.97亿</t>
  </si>
  <si>
    <t>4719.66万</t>
  </si>
  <si>
    <t>7417.32万</t>
  </si>
  <si>
    <t>6789.58万</t>
  </si>
  <si>
    <t>SH603929</t>
  </si>
  <si>
    <t>亚翔集成</t>
  </si>
  <si>
    <t>-3293.54万</t>
  </si>
  <si>
    <t>22.56亿</t>
  </si>
  <si>
    <t>SH603955</t>
  </si>
  <si>
    <t>大千生态</t>
  </si>
  <si>
    <t>8.02亿</t>
  </si>
  <si>
    <t>9414.55万</t>
  </si>
  <si>
    <t>9012.22万</t>
  </si>
  <si>
    <t>SH605167</t>
  </si>
  <si>
    <t>利柏特</t>
  </si>
  <si>
    <t>14.16亿</t>
  </si>
  <si>
    <t>14.33亿</t>
  </si>
  <si>
    <t>10.60亿</t>
  </si>
  <si>
    <t>9982.71万</t>
  </si>
  <si>
    <t>8422.39万</t>
  </si>
  <si>
    <t>SH605178</t>
  </si>
  <si>
    <t>时空科技</t>
  </si>
  <si>
    <t>10.44亿</t>
  </si>
  <si>
    <t>SH605287</t>
  </si>
  <si>
    <t>德才股份</t>
  </si>
  <si>
    <t>46.35亿</t>
  </si>
  <si>
    <t>47.74亿</t>
  </si>
  <si>
    <t>9029.76万</t>
  </si>
  <si>
    <t>SH605289</t>
  </si>
  <si>
    <t>罗曼股份</t>
  </si>
  <si>
    <t>SH605303</t>
  </si>
  <si>
    <t>园林股份</t>
  </si>
  <si>
    <t>14.25亿</t>
  </si>
  <si>
    <t>14.89亿</t>
  </si>
  <si>
    <t>6.87亿</t>
  </si>
  <si>
    <t>SH605598</t>
  </si>
  <si>
    <t>上海港湾</t>
  </si>
  <si>
    <t>9903.87万</t>
  </si>
  <si>
    <t>主要承担浙江省内交通工程施工业务；
路桥工程及养护施工 333.64亿 90.82% 毛利7.92%
化工产品 30.85亿 8.40% 毛利9.04%
其他 2.89亿 0.79% 毛利29.92%</t>
    <phoneticPr fontId="1" type="noConversion"/>
  </si>
  <si>
    <t>1.，切入光伏的BIVP概念，公司拟以现金方式收购福斯特持有的“浙江福斯特新能源开发有限公司51%的股权；2.钢结构相较于传统钢筋混凝土结构，具有抗震性能强、绿色环保可持续发展、自重轻承载力高、质量优良、建设周期短等优势，符合我国可持续发展政策，不仅能减少建筑原材料的使用，还能使我国建筑实现工业化、绿色化、标准化</t>
    <phoneticPr fontId="1" type="noConversion"/>
  </si>
  <si>
    <r>
      <t>1.公司2020年化纤收入占比22.06%，较上年同期下降了34.84%。2021年公司将继续深耕钢结构主业，未来钢结构业务及总承包业务将加速增长，化纤业务收入比重还将不断下降（</t>
    </r>
    <r>
      <rPr>
        <sz val="9"/>
        <color rgb="FFFF0000"/>
        <rFont val="宋体"/>
        <family val="3"/>
        <charset val="134"/>
        <scheme val="minor"/>
      </rPr>
      <t>2021H1，化纤居然还增速很高</t>
    </r>
    <r>
      <rPr>
        <sz val="9"/>
        <color theme="1"/>
        <rFont val="宋体"/>
        <family val="2"/>
        <charset val="134"/>
        <scheme val="minor"/>
      </rPr>
      <t>）</t>
    </r>
    <phoneticPr fontId="1" type="noConversion"/>
  </si>
  <si>
    <r>
      <t>装配式建筑是建筑领域践行绿色发展理念的重要着力点，相对于传统现浇建筑，装配式建筑其碳排放优势主要体现在建材生产阶段与建筑施工阶段；相比混凝土结构，BIPV更适用于钢结构，装配式钢结构的墙面和屋顶均能够较为容易的替代；主营业务为钢结构建筑及围护系统的设计、制造、安装以及装配式钢结构建筑总承包业务及涤纶长丝的生产和销售；公司的主要产品为空间钢结构、高层重钢结构、轻钢结构、POY；
空间钢结构 28.07亿 30.32%（毛利17.22%）重钢结构 24.96亿 26.97%（毛利14.19%）</t>
    </r>
    <r>
      <rPr>
        <sz val="9"/>
        <color rgb="FFFF0000"/>
        <rFont val="宋体"/>
        <family val="3"/>
        <charset val="134"/>
        <scheme val="minor"/>
      </rPr>
      <t>POY化纤 20.42亿 22.06%（毛利-2.65%）</t>
    </r>
    <r>
      <rPr>
        <sz val="9"/>
        <color theme="1"/>
        <rFont val="宋体"/>
        <family val="2"/>
        <charset val="134"/>
        <scheme val="minor"/>
      </rPr>
      <t>轻钢结构 7.35亿 7.94%（毛利13.15%）总承包 6.71亿 7.25%（毛利13.17%）其他业务收入 4.77亿 5.15%（毛利21.24%）
半年报增速：
工程总承包 743,355,575.96 13.86%（增速319.37%）
钢结构分包 2,954,805,113.60 55.09%（增速7.25%）
化纤 1,564,369,111.55 29.16%（增速69.01%）
其他 101,426,723.51 1.89%（增速-51.91%）</t>
    </r>
    <phoneticPr fontId="1" type="noConversion"/>
  </si>
  <si>
    <t>1.公司2022年年底产能将达到500万吨；</t>
    <phoneticPr fontId="1" type="noConversion"/>
  </si>
  <si>
    <t>1.问：公司在光伏建筑一体化领域有什么业务开展？答：公司前期与其他相关方合作成立了一家中顺元通新能源集团有限公司，公司持有其5%的股权，鉴于公司规模及持股比例较小，对公司经营及业绩暂不构成重大影响，属于公司在相关业务领域的布局探索。包括和国家电网及国家振兴乡村局探索合作，围绕美丽乡村探讨合作开发农村BIPV发电、储能并网项目等落地实施的可能性。</t>
    <phoneticPr fontId="1" type="noConversion"/>
  </si>
  <si>
    <t>公司是行业内拥有高等级、资质全的少数优势企业之一；
建造工程 24.95亿 61.24%（毛利18.11%，增速0.96%）
钢结构销售 9.61亿 23.58%（毛利10.21%，增速11.29%）
门窗产品 3.92亿 9.63%（毛利9.07%，增速14.17%）
其他产品 2.15亿 5.28%（毛利12.09%，增速401.31%）
其他业务产品 1133.15万 0.28%（毛利32.96%，增速-39.43%）</t>
    <phoneticPr fontId="1" type="noConversion"/>
  </si>
  <si>
    <t>1.公司的业务区域已突破本省局限，向全国拓展。2021年上半年，公司经营区域已经覆盖国内20个省份及2个直辖市，省内6大区域17个地市，基本辐射了省内及全国各重要区域及城市</t>
    <phoneticPr fontId="1" type="noConversion"/>
  </si>
  <si>
    <r>
      <t>1.问：如果切入屋面光伏市场，公司竞争优势如何？答：优势主要在三方面。首先，客户资源优势。公司的钢结构业务每年会接触上千万平方的屋面资源，客户资源丰富。
　　第二，技术及技术带来的一定成本优势。屋面光伏涉及到建筑的荷载承重等，相比于传统地面光伏团队，公司基于对建筑结构的技术掌握，有能力提供既满足荷载要求又保证性价比的全套建筑解决方案。
　　第三，业务经验优势。相比于新入局者，公司早在2013年便开始涉猎有关业务，经验丰富；2.有装配式建筑的指标，即</t>
    </r>
    <r>
      <rPr>
        <b/>
        <sz val="9"/>
        <color rgb="FFFF0000"/>
        <rFont val="宋体"/>
        <family val="3"/>
        <charset val="134"/>
        <scheme val="minor"/>
      </rPr>
      <t>要求新建建面中装配式的占比要达到一定的百分比，如，到 2025 年全国装配式建筑占新建建筑的比例达到 30%</t>
    </r>
    <r>
      <rPr>
        <sz val="9"/>
        <color theme="1"/>
        <rFont val="宋体"/>
        <family val="2"/>
        <charset val="134"/>
        <scheme val="minor"/>
      </rPr>
      <t xml:space="preserve">，这个全国性的指标会拆解到各个省市，如，对于浙江省，到 2025 年上述指标要达到 35%、高于全国水平。
</t>
    </r>
    <phoneticPr fontId="1" type="noConversion"/>
  </si>
  <si>
    <r>
      <t>钢结构市场驱动力：首先，环保要求。混凝土建筑由于难以回收、对石灰石等矿产资源消耗巨大，而钢结构建筑在建筑废弃后，钢材仍能回收、减少对铁矿的新开采的需求、并在全生命周期内可做到减碳减排，因此未来环保趋严的形势利好钢结构。第二，劳动力。在人工成本高昂的发达国家，钢结构建筑相比于现浇由于更节省人工因此总体成本更有优势。国内建筑产业劳工短缺的局面已经显露，建筑工人工资不断攀升，未来随着人工成本进一步上升，钢结构与现浇的成本差距会进一步缩小甚至逆转。第三，政策引导。基于上述 2 个社会性的原因，国家已经推出了不少政策来鼓励钢结构，包括在去年发布的《绿色建筑创建行动方案》要求“新建公建原则上采用钢结构”。钢结构的新增市场赛道来自于对混凝土的替代，具体替代场景在于学校、医院、酒店办公以及住宅。上述场景中，目前钢结构的</t>
    </r>
    <r>
      <rPr>
        <b/>
        <sz val="9"/>
        <color rgb="FFFF0000"/>
        <rFont val="宋体"/>
        <family val="3"/>
        <charset val="134"/>
        <scheme val="minor"/>
      </rPr>
      <t>渗透率不足 5%</t>
    </r>
    <r>
      <rPr>
        <sz val="9"/>
        <color theme="1"/>
        <rFont val="宋体"/>
        <family val="2"/>
        <charset val="134"/>
        <scheme val="minor"/>
      </rPr>
      <t>；我们认为在上述场景中，由政府投资的项目如学校、医院等项目会最先释放订单机遇，以作对全社会的示范。
钢结构行业 88.34亿 76.93%（毛利13.63%）
集成及EPC 23.83亿 20.75%（毛利19.68%）
其他业务 1.50亿 1.31%（毛利59.31%）
其他 1.16亿 1.01%（毛利33.43%）</t>
    </r>
    <phoneticPr fontId="1" type="noConversion"/>
  </si>
  <si>
    <t>1.根据国家十四五规划和大力推进交通强国建设、大力发展绿色、装配式建筑以及双碳目标的政策导向，我们预测桥梁钢结构市场规模将进一步扩大；2.预测桥梁钢结构市场在未来5-8年将持续增长，一方面国家大力推广装配式建筑，我国钢结构加工量占粗钢产量占比约为8%，相比发达国家的20%—30%，仍有很大的发展空间，二随着国家建设区域中心城市的战略规划，原来以一个城市为交通骨干网线的建设，正以城市群的形式在呈现，因此市政这一类的桥梁还会有比较大的增长，城际间的高铁和区间铁路也会有所增长。在国家双碳目标下，跟我们行业非常近的风电、光伏的基础组件，比如风电塔筒和太阳能光伏板支架，这一类产品对公司现有的产能和技术来说都不形成壁垒。3.公司竞争优势为主要产品为桥梁钢结构，在行业内我们以综合性价比高、服务优为自己的企业和品牌定位；</t>
    <phoneticPr fontId="1" type="noConversion"/>
  </si>
  <si>
    <t>流通股本</t>
  </si>
  <si>
    <t>净利润[20201231]</t>
  </si>
  <si>
    <t>投入资本回报率roic%[20201231]</t>
  </si>
  <si>
    <t>净资产收益率%[20201231]</t>
  </si>
  <si>
    <t>2345.87万</t>
  </si>
  <si>
    <t>21.35亿</t>
  </si>
  <si>
    <t>1.63亿</t>
  </si>
  <si>
    <t>6.49亿</t>
  </si>
  <si>
    <t>SZ001267</t>
  </si>
  <si>
    <t>汇绿生态</t>
  </si>
  <si>
    <t>7.75亿</t>
  </si>
  <si>
    <t>8009.47万</t>
  </si>
  <si>
    <t>8990.23万</t>
  </si>
  <si>
    <t>8849.73万</t>
  </si>
  <si>
    <t>8991.52万</t>
  </si>
  <si>
    <t>-16.52亿</t>
  </si>
  <si>
    <t>-49.50亿</t>
  </si>
  <si>
    <t>6.06亿</t>
  </si>
  <si>
    <t>3.21亿</t>
  </si>
  <si>
    <t>-7346.63万</t>
  </si>
  <si>
    <t>5678.01万</t>
  </si>
  <si>
    <t>5.54亿</t>
  </si>
  <si>
    <t>-8.88亿</t>
  </si>
  <si>
    <t>-55.88亿</t>
  </si>
  <si>
    <t>8.32亿</t>
  </si>
  <si>
    <t>-3.15亿</t>
  </si>
  <si>
    <t>2.43亿</t>
  </si>
  <si>
    <t>21.51亿</t>
  </si>
  <si>
    <t>29.88亿</t>
  </si>
  <si>
    <t>7748.53万</t>
  </si>
  <si>
    <t>-18.43亿</t>
  </si>
  <si>
    <t>7902.00万</t>
  </si>
  <si>
    <t>-6.35亿</t>
  </si>
  <si>
    <t>-16.61亿</t>
  </si>
  <si>
    <t>-9.82亿</t>
  </si>
  <si>
    <t>1765.94万</t>
  </si>
  <si>
    <t>2914.24万</t>
  </si>
  <si>
    <t>-1.61亿</t>
  </si>
  <si>
    <t>6047.43万</t>
  </si>
  <si>
    <t>1328.99万</t>
  </si>
  <si>
    <t>-13.48亿</t>
  </si>
  <si>
    <t>6.67亿</t>
  </si>
  <si>
    <t>1277.78万</t>
  </si>
  <si>
    <t>9106.23万</t>
  </si>
  <si>
    <t>-44.82万</t>
  </si>
  <si>
    <t>3681.67万</t>
  </si>
  <si>
    <t>46.57亿</t>
  </si>
  <si>
    <t>6695.90万</t>
  </si>
  <si>
    <t>3342.00万</t>
  </si>
  <si>
    <t>4.18亿</t>
  </si>
  <si>
    <t>3266.49万</t>
  </si>
  <si>
    <t>1711.36万</t>
  </si>
  <si>
    <t>4450.68万</t>
  </si>
  <si>
    <t>4076.59万</t>
  </si>
  <si>
    <t>8185.64万</t>
  </si>
  <si>
    <t>8191.71万</t>
  </si>
  <si>
    <t>5185.48万</t>
  </si>
  <si>
    <t>7542.01万</t>
  </si>
  <si>
    <t>15.33亿</t>
  </si>
  <si>
    <t>4689.02万</t>
  </si>
  <si>
    <t>SZ301098</t>
  </si>
  <si>
    <t>金埔园林</t>
  </si>
  <si>
    <t>9.58亿</t>
  </si>
  <si>
    <t>8487.20万</t>
  </si>
  <si>
    <t>7594.59万</t>
  </si>
  <si>
    <t>8714.34万</t>
  </si>
  <si>
    <t>7858.69万</t>
  </si>
  <si>
    <t>SZ301136</t>
  </si>
  <si>
    <t>招标股份</t>
  </si>
  <si>
    <t>7716.58万</t>
  </si>
  <si>
    <t>3.99亿</t>
  </si>
  <si>
    <t>8322.35万</t>
  </si>
  <si>
    <t>9036.81万</t>
  </si>
  <si>
    <t>9363.72万</t>
  </si>
  <si>
    <t>SZ301167</t>
  </si>
  <si>
    <t>建研设计</t>
  </si>
  <si>
    <t>6721.57万</t>
  </si>
  <si>
    <t>2.99亿</t>
  </si>
  <si>
    <t>7775.69万</t>
  </si>
  <si>
    <t>6454.35万</t>
  </si>
  <si>
    <t>5398.32万</t>
  </si>
  <si>
    <t>645.65亿</t>
  </si>
  <si>
    <t>SH600234</t>
  </si>
  <si>
    <t>1689.00万</t>
  </si>
  <si>
    <t>-1695.88万</t>
  </si>
  <si>
    <t>23.93亿</t>
  </si>
  <si>
    <t>540.14亿</t>
  </si>
  <si>
    <t>22.60亿</t>
  </si>
  <si>
    <t>5.79亿</t>
  </si>
  <si>
    <t>305.38亿</t>
  </si>
  <si>
    <t>15.21亿</t>
  </si>
  <si>
    <t>46.33亿</t>
  </si>
  <si>
    <t>246.91亿</t>
  </si>
  <si>
    <t>276.18亿</t>
  </si>
  <si>
    <t>83.75亿</t>
  </si>
  <si>
    <t>16150.51亿</t>
  </si>
  <si>
    <t>449.25亿</t>
  </si>
  <si>
    <t>65.04亿</t>
  </si>
  <si>
    <t>-10.07亿</t>
  </si>
  <si>
    <t>-5.93亿</t>
  </si>
  <si>
    <t>-4.19亿</t>
  </si>
  <si>
    <t>6.18亿</t>
  </si>
  <si>
    <t>-12.93亿</t>
  </si>
  <si>
    <t>3281.41万</t>
  </si>
  <si>
    <t>7.35亿</t>
  </si>
  <si>
    <t>SH603176</t>
  </si>
  <si>
    <t>汇通集团</t>
  </si>
  <si>
    <t>8376.17万</t>
  </si>
  <si>
    <t>23.98亿</t>
  </si>
  <si>
    <t>24.07亿</t>
  </si>
  <si>
    <t>16.20亿</t>
  </si>
  <si>
    <t>9633.19万</t>
  </si>
  <si>
    <t>9073.78万</t>
  </si>
  <si>
    <t>2603.98万</t>
  </si>
  <si>
    <t>2193.13万</t>
  </si>
  <si>
    <t>2.36亿</t>
  </si>
  <si>
    <t>7488.97万</t>
  </si>
  <si>
    <t>40.15亿</t>
  </si>
  <si>
    <t>-3.72亿</t>
  </si>
  <si>
    <t>48.93亿</t>
  </si>
  <si>
    <t>3778.33万</t>
  </si>
  <si>
    <t>4042.69万</t>
  </si>
  <si>
    <t>2493.65万</t>
  </si>
  <si>
    <t>5861.77万</t>
  </si>
  <si>
    <t>-1771.40万</t>
  </si>
  <si>
    <t>6173.81万</t>
  </si>
  <si>
    <t>6133.92万</t>
  </si>
  <si>
    <t>工程咨询服务</t>
  </si>
  <si>
    <t xml:space="preserve">    名称</t>
  </si>
  <si>
    <t>净利润?</t>
  </si>
  <si>
    <t>研发费用总额[20220630]</t>
  </si>
  <si>
    <t>扣非净利润</t>
  </si>
  <si>
    <t>营业总收入[20201231]</t>
  </si>
  <si>
    <t>单季营收增速</t>
  </si>
  <si>
    <t>单季利润增速</t>
  </si>
  <si>
    <t>1-1</t>
  </si>
  <si>
    <t>SZ000032</t>
  </si>
  <si>
    <t>深桑达Ａ</t>
  </si>
  <si>
    <t>320.58亿</t>
  </si>
  <si>
    <t>15.01亿</t>
  </si>
  <si>
    <t>16.01亿</t>
  </si>
  <si>
    <t>亏损</t>
  </si>
  <si>
    <t>扭亏</t>
  </si>
  <si>
    <t>-1-0</t>
  </si>
  <si>
    <t>SZ000159</t>
  </si>
  <si>
    <t>国际实业</t>
  </si>
  <si>
    <t>1.94亿</t>
  </si>
  <si>
    <t>5.51亿</t>
  </si>
  <si>
    <t>8871.48万</t>
  </si>
  <si>
    <t>3041.60万</t>
  </si>
  <si>
    <t>5992.01万</t>
  </si>
  <si>
    <t>2766.27万</t>
  </si>
  <si>
    <t>2-0</t>
  </si>
  <si>
    <t>4-1</t>
  </si>
  <si>
    <t/>
  </si>
  <si>
    <t>1-0</t>
  </si>
  <si>
    <t>3.64亿</t>
  </si>
  <si>
    <t>2-1</t>
  </si>
  <si>
    <t>-1-1</t>
  </si>
  <si>
    <t>7.38亿</t>
  </si>
  <si>
    <t>SZ002163</t>
  </si>
  <si>
    <t>海南发展</t>
  </si>
  <si>
    <t>44.21亿</t>
  </si>
  <si>
    <t>47.04亿</t>
  </si>
  <si>
    <t>47.77亿</t>
  </si>
  <si>
    <t>5122.05万</t>
  </si>
  <si>
    <t>3264.80万</t>
  </si>
  <si>
    <t>ST交投</t>
  </si>
  <si>
    <t>SZ002323</t>
  </si>
  <si>
    <t>雅博股份</t>
  </si>
  <si>
    <t>-3404.29万</t>
  </si>
  <si>
    <t>-3.18亿</t>
  </si>
  <si>
    <t>-4.60亿</t>
  </si>
  <si>
    <t>2.39亿</t>
  </si>
  <si>
    <t>-9.85亿</t>
  </si>
  <si>
    <t>-3-0</t>
  </si>
  <si>
    <t>8.79亿</t>
  </si>
  <si>
    <t>开始亏损</t>
  </si>
  <si>
    <t>3.77亿</t>
  </si>
  <si>
    <t>SZ300029</t>
  </si>
  <si>
    <t>ST天龙</t>
  </si>
  <si>
    <t>1718.68万</t>
  </si>
  <si>
    <t>957.66万</t>
  </si>
  <si>
    <t>-3200.73万</t>
  </si>
  <si>
    <t>-7521.89万</t>
  </si>
  <si>
    <t>-1.35亿</t>
  </si>
  <si>
    <t>-459.05万</t>
  </si>
  <si>
    <t>8.73亿</t>
  </si>
  <si>
    <t>-2-1</t>
  </si>
  <si>
    <t>3-0</t>
  </si>
  <si>
    <t>奥雅股份</t>
  </si>
  <si>
    <t>SZ300986</t>
  </si>
  <si>
    <t>志特新材</t>
  </si>
  <si>
    <t>11.20亿</t>
  </si>
  <si>
    <t>8.62亿</t>
  </si>
  <si>
    <t>6565.67万</t>
  </si>
  <si>
    <t>3-1</t>
  </si>
  <si>
    <t>7.70亿</t>
  </si>
  <si>
    <t>13.99亿</t>
  </si>
  <si>
    <t>SH600667</t>
  </si>
  <si>
    <t>太极实业</t>
  </si>
  <si>
    <t>178.46亿</t>
  </si>
  <si>
    <t>169.17亿</t>
  </si>
  <si>
    <t>156.52亿</t>
  </si>
  <si>
    <t>8.33亿</t>
  </si>
  <si>
    <t>6.22亿</t>
  </si>
  <si>
    <t>9.09亿</t>
  </si>
  <si>
    <t>6.33亿</t>
  </si>
  <si>
    <t>5.00亿</t>
  </si>
  <si>
    <t>6.63亿</t>
  </si>
  <si>
    <t>8.86亿</t>
  </si>
  <si>
    <t>4.62亿</t>
  </si>
  <si>
    <t>建发合诚</t>
  </si>
  <si>
    <t>LY营业总收入[20211231]</t>
  </si>
  <si>
    <t>权益乘数[20220630]</t>
  </si>
  <si>
    <t>总资产周转率[20220630]</t>
  </si>
  <si>
    <t>净利润／营业总收入%[20220630]</t>
  </si>
  <si>
    <t>营业总成本[20220630]</t>
  </si>
  <si>
    <t>营业成本[20220630]</t>
  </si>
  <si>
    <t>管理费用[20220630]</t>
  </si>
  <si>
    <t>投入资本回报率roic%[20211231]</t>
  </si>
  <si>
    <t>净资产收益率%[20211231]</t>
  </si>
  <si>
    <t>细分行业</t>
  </si>
  <si>
    <t>30日成交换手率</t>
    <phoneticPr fontId="1" type="noConversion"/>
  </si>
  <si>
    <t>成交量异动策略</t>
    <phoneticPr fontId="1" type="noConversion"/>
  </si>
  <si>
    <t>N日期</t>
    <phoneticPr fontId="1" type="noConversion"/>
  </si>
  <si>
    <t>17.57亿</t>
  </si>
  <si>
    <t>装饰园林</t>
  </si>
  <si>
    <t>9.33亿</t>
  </si>
  <si>
    <t>专业工程</t>
  </si>
  <si>
    <t>130.50亿</t>
  </si>
  <si>
    <t>11.19亿</t>
  </si>
  <si>
    <t>575.22亿</t>
  </si>
  <si>
    <t>6.42亿</t>
  </si>
  <si>
    <t>5.09亿</t>
  </si>
  <si>
    <t>基础建设</t>
  </si>
  <si>
    <t>66.12亿</t>
  </si>
  <si>
    <t>房屋建设</t>
  </si>
  <si>
    <t>25.82亿</t>
  </si>
  <si>
    <t>158.62亿</t>
  </si>
  <si>
    <t>5.44亿</t>
  </si>
  <si>
    <t>3.31亿</t>
  </si>
  <si>
    <t>46.69亿</t>
  </si>
  <si>
    <t>86.40亿</t>
  </si>
  <si>
    <t>8.84亿</t>
  </si>
  <si>
    <t>103.22亿</t>
  </si>
  <si>
    <t>253.74亿</t>
  </si>
  <si>
    <t>52.65亿</t>
  </si>
  <si>
    <t>112.87亿</t>
  </si>
  <si>
    <t>60.03亿</t>
  </si>
  <si>
    <t>43.65亿</t>
  </si>
  <si>
    <t>123.20亿</t>
  </si>
  <si>
    <t>2.55亿</t>
  </si>
  <si>
    <t>25.91亿</t>
  </si>
  <si>
    <t>97.09万</t>
  </si>
  <si>
    <t>120.76亿</t>
  </si>
  <si>
    <t>40.46亿</t>
  </si>
  <si>
    <t>3.08亿</t>
  </si>
  <si>
    <t>19.48亿</t>
  </si>
  <si>
    <t>80.36亿</t>
  </si>
  <si>
    <t>195.15亿</t>
  </si>
  <si>
    <t>51.74亿</t>
  </si>
  <si>
    <t>37.78亿</t>
  </si>
  <si>
    <t>1.53亿</t>
  </si>
  <si>
    <t>35.17亿</t>
  </si>
  <si>
    <t>17.90亿</t>
  </si>
  <si>
    <t>27.97亿</t>
  </si>
  <si>
    <t>11.55亿</t>
  </si>
  <si>
    <t>57.37亿</t>
  </si>
  <si>
    <t>953.35亿</t>
  </si>
  <si>
    <t>19.26亿</t>
  </si>
  <si>
    <t>19.05亿</t>
  </si>
  <si>
    <t>62.78亿</t>
  </si>
  <si>
    <t>5.90亿</t>
  </si>
  <si>
    <t>116.18亿</t>
  </si>
  <si>
    <t>28.76亿</t>
  </si>
  <si>
    <t>7.88亿</t>
  </si>
  <si>
    <t>25.67亿</t>
  </si>
  <si>
    <t>2.54亿</t>
  </si>
  <si>
    <t>23.81亿</t>
  </si>
  <si>
    <t>14.30亿</t>
  </si>
  <si>
    <t>51.19亿</t>
  </si>
  <si>
    <t>8.40亿</t>
  </si>
  <si>
    <t>2.76亿</t>
  </si>
  <si>
    <t>17.94亿</t>
  </si>
  <si>
    <t>-1.22亿</t>
  </si>
  <si>
    <t>3.87亿</t>
  </si>
  <si>
    <t>11.18亿</t>
  </si>
  <si>
    <t>10.26亿</t>
  </si>
  <si>
    <t>100.21亿</t>
  </si>
  <si>
    <t>7.49亿</t>
  </si>
  <si>
    <t>5.03亿</t>
  </si>
  <si>
    <t>15.68亿</t>
  </si>
  <si>
    <t>20.52亿</t>
  </si>
  <si>
    <t>28.01亿</t>
  </si>
  <si>
    <t>7.78亿</t>
  </si>
  <si>
    <t>18.56亿</t>
  </si>
  <si>
    <t>9.55亿</t>
  </si>
  <si>
    <t>14.81亿</t>
  </si>
  <si>
    <t>21.70亿</t>
  </si>
  <si>
    <t>19.83亿</t>
  </si>
  <si>
    <t>6.13亿</t>
  </si>
  <si>
    <t>3.93亿</t>
  </si>
  <si>
    <t>113.95亿</t>
  </si>
  <si>
    <t>4.24亿</t>
  </si>
  <si>
    <t>195.48亿</t>
  </si>
  <si>
    <t>151.41亿</t>
  </si>
  <si>
    <t>713.40亿</t>
  </si>
  <si>
    <t>69.25亿</t>
  </si>
  <si>
    <t>5.95亿</t>
  </si>
  <si>
    <t>90.55亿</t>
  </si>
  <si>
    <t>242.89亿</t>
  </si>
  <si>
    <t>622.26亿</t>
  </si>
  <si>
    <t>151.98亿</t>
  </si>
  <si>
    <t>5.52亿</t>
  </si>
  <si>
    <t>10200.10亿</t>
  </si>
  <si>
    <t>103.29亿</t>
  </si>
  <si>
    <t>837.20亿</t>
  </si>
  <si>
    <t>6.84亿</t>
  </si>
  <si>
    <t>5005.72亿</t>
  </si>
  <si>
    <t>213.20亿</t>
  </si>
  <si>
    <t>3223.19亿</t>
  </si>
  <si>
    <t>207.89亿</t>
  </si>
  <si>
    <t>58.22亿</t>
  </si>
  <si>
    <t>40.42亿</t>
  </si>
  <si>
    <t>31.40亿</t>
  </si>
  <si>
    <t>7.17亿</t>
  </si>
  <si>
    <t>SH603163</t>
  </si>
  <si>
    <t>圣晖集成</t>
  </si>
  <si>
    <t>9.34亿</t>
  </si>
  <si>
    <t>8173.47万</t>
  </si>
  <si>
    <t>7334.72万</t>
  </si>
  <si>
    <t>3457.00万</t>
  </si>
  <si>
    <t>23.68亿</t>
  </si>
  <si>
    <t>-2.48亿</t>
  </si>
  <si>
    <t>13.14亿</t>
  </si>
  <si>
    <t>23.57亿</t>
  </si>
  <si>
    <t>30.39亿</t>
  </si>
  <si>
    <t>11.00亿</t>
  </si>
  <si>
    <t>51.27亿</t>
  </si>
  <si>
    <t>25.78亿</t>
  </si>
  <si>
    <t>8.45亿</t>
  </si>
  <si>
    <t>22.12亿</t>
  </si>
  <si>
    <t>3.89亿</t>
  </si>
  <si>
    <t>6.36亿</t>
  </si>
  <si>
    <t>7.46亿</t>
  </si>
  <si>
    <t>50.40亿</t>
  </si>
  <si>
    <t>7.36亿</t>
  </si>
  <si>
    <t>12.24亿</t>
  </si>
  <si>
    <t>2.38亿</t>
  </si>
  <si>
    <t>4.11亿</t>
  </si>
  <si>
    <t>河南省交通事业处于龙头地位；
工程设计、咨询及管理 16.79亿 89.02% 毛利41.82%
工程总承包 1.06亿 5.61% 毛利14.17%
运营业务及其他 5971.29万 3.17% 毛利53.58%
其他业务收入 4149.30万 2.20% 毛利69.78%</t>
    <phoneticPr fontId="1" type="noConversion"/>
  </si>
  <si>
    <t>5.85亿</t>
  </si>
  <si>
    <t>-1.78亿</t>
  </si>
  <si>
    <t>8.03亿</t>
  </si>
  <si>
    <t>7.83亿</t>
  </si>
  <si>
    <t>-1.17亿</t>
  </si>
  <si>
    <t>11.64亿</t>
  </si>
  <si>
    <t>42.45亿</t>
  </si>
  <si>
    <t>1.62亿</t>
  </si>
  <si>
    <t>12.61亿</t>
  </si>
  <si>
    <t>42.91亿</t>
  </si>
  <si>
    <t>3.95亿</t>
  </si>
  <si>
    <t>6.11亿</t>
  </si>
  <si>
    <t>6.72亿</t>
  </si>
  <si>
    <t>11.27亿</t>
  </si>
  <si>
    <t>16.28亿</t>
  </si>
  <si>
    <t>8.51亿</t>
  </si>
  <si>
    <t>7.33亿</t>
  </si>
  <si>
    <t>8.69万</t>
  </si>
  <si>
    <t>2.66亿</t>
  </si>
  <si>
    <t>-1.44亿</t>
  </si>
  <si>
    <t>-1.49亿</t>
  </si>
  <si>
    <t>10.62亿</t>
  </si>
  <si>
    <t>-2.28亿</t>
  </si>
  <si>
    <t>23.10亿</t>
  </si>
  <si>
    <t>7.89亿</t>
  </si>
  <si>
    <t>中粮科工</t>
  </si>
  <si>
    <t>5.84亿</t>
  </si>
  <si>
    <t>5.30亿</t>
  </si>
  <si>
    <t>2.57亿</t>
  </si>
  <si>
    <t>SZ301365</t>
  </si>
  <si>
    <t>矩阵股份</t>
  </si>
  <si>
    <t>-1.38亿</t>
  </si>
  <si>
    <t>8.68亿</t>
  </si>
  <si>
    <t>19.93亿</t>
  </si>
  <si>
    <t>8.76亿</t>
  </si>
  <si>
    <t>-1.56亿</t>
  </si>
  <si>
    <t>9.59亿</t>
  </si>
  <si>
    <t>4.22亿</t>
  </si>
  <si>
    <t>7.20亿</t>
  </si>
  <si>
    <r>
      <t>1.前10大股东占比</t>
    </r>
    <r>
      <rPr>
        <sz val="9"/>
        <color rgb="FFFF0000"/>
        <rFont val="宋体"/>
        <family val="3"/>
        <charset val="134"/>
        <scheme val="minor"/>
      </rPr>
      <t>接近90%</t>
    </r>
    <r>
      <rPr>
        <sz val="9"/>
        <color theme="1"/>
        <rFont val="宋体"/>
        <family val="2"/>
        <charset val="134"/>
        <scheme val="minor"/>
      </rPr>
      <t>。2.公司主要参与海上风电的安装环节，占据</t>
    </r>
    <r>
      <rPr>
        <sz val="9"/>
        <color rgb="FFFF0000"/>
        <rFont val="宋体"/>
        <family val="3"/>
        <charset val="134"/>
        <scheme val="minor"/>
      </rPr>
      <t>接近市场50%的份额</t>
    </r>
    <r>
      <rPr>
        <sz val="9"/>
        <color theme="1"/>
        <rFont val="宋体"/>
        <family val="2"/>
        <charset val="134"/>
        <scheme val="minor"/>
      </rPr>
      <t>。目前正在规划向产业链的前后端延伸，包括整机制造、风电投资、风电运维等，构建公司在风电领域全方位发展的产业链优势。</t>
    </r>
    <r>
      <rPr>
        <sz val="9"/>
        <color theme="1"/>
        <rFont val="宋体"/>
        <family val="3"/>
        <charset val="134"/>
        <scheme val="minor"/>
      </rPr>
      <t>3.本集团是世界最大的港口、公路与桥梁的设计与建设公司、世界规模最大的疏浚公司；中国最大的国际工程承包公司、中国最大的高速公路投资商；拥有世界上最大的工程船船队。</t>
    </r>
    <phoneticPr fontId="1" type="noConversion"/>
  </si>
  <si>
    <r>
      <t>1.上半年，公司批复</t>
    </r>
    <r>
      <rPr>
        <sz val="9"/>
        <color rgb="FFFF0000"/>
        <rFont val="宋体"/>
        <family val="3"/>
        <charset val="134"/>
        <scheme val="minor"/>
      </rPr>
      <t>境内</t>
    </r>
    <r>
      <rPr>
        <sz val="9"/>
        <color theme="1"/>
        <rFont val="宋体"/>
        <family val="2"/>
        <charset val="134"/>
        <scheme val="minor"/>
      </rPr>
      <t>基础设施等投资类项目投资额为 443.1亿元，</t>
    </r>
    <r>
      <rPr>
        <sz val="9"/>
        <color rgb="FFFF0000"/>
        <rFont val="宋体"/>
        <family val="3"/>
        <charset val="134"/>
        <scheme val="minor"/>
      </rPr>
      <t>占年度计划的 16%</t>
    </r>
    <r>
      <rPr>
        <sz val="9"/>
        <color theme="1"/>
        <rFont val="宋体"/>
        <family val="2"/>
        <charset val="134"/>
        <scheme val="minor"/>
      </rPr>
      <t>。</t>
    </r>
    <r>
      <rPr>
        <sz val="9"/>
        <color theme="1"/>
        <rFont val="宋体"/>
        <family val="3"/>
        <charset val="134"/>
        <scheme val="minor"/>
      </rPr>
      <t>2.中国国内业务</t>
    </r>
    <r>
      <rPr>
        <b/>
        <sz val="9"/>
        <color rgb="FFFF0000"/>
        <rFont val="宋体"/>
        <family val="3"/>
        <charset val="134"/>
        <scheme val="minor"/>
      </rPr>
      <t>占比86%</t>
    </r>
    <r>
      <rPr>
        <sz val="9"/>
        <color theme="1"/>
        <rFont val="宋体"/>
        <family val="3"/>
        <charset val="134"/>
        <scheme val="minor"/>
      </rPr>
      <t>。</t>
    </r>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</si>
  <si>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</si>
  <si>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</si>
  <si>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</si>
  <si>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</si>
  <si>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</si>
  <si>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</si>
  <si>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</si>
  <si>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</si>
  <si>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</si>
  <si>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</si>
  <si>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</si>
  <si>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</si>
  <si>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</si>
  <si>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</si>
  <si>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</si>
  <si>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</si>
  <si>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</si>
  <si>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</si>
  <si>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</si>
  <si>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</si>
  <si>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</si>
  <si>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</si>
  <si>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</si>
  <si>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</si>
  <si>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</si>
  <si>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</si>
  <si>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</si>
  <si>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</si>
  <si>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</si>
  <si>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</si>
  <si>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</si>
  <si>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</si>
  <si>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</si>
  <si>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</si>
  <si>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</si>
  <si>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</si>
  <si>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</si>
  <si>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</si>
  <si>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</si>
  <si>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</si>
  <si>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</si>
  <si>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</si>
  <si>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</si>
  <si>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</si>
  <si>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</si>
  <si>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</si>
  <si>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</si>
  <si>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</si>
  <si>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</si>
  <si>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</si>
  <si>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</si>
  <si>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</si>
  <si>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</si>
  <si>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</si>
  <si>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</si>
  <si>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</si>
  <si>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</si>
  <si>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</si>
  <si>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</si>
  <si>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</si>
  <si>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</si>
  <si>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</si>
  <si>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昨日价格累计指数</t>
    <phoneticPr fontId="1" type="noConversion"/>
  </si>
  <si>
    <t>今日价格累积指数</t>
    <phoneticPr fontId="1" type="noConversion"/>
  </si>
  <si>
    <t>价格箱体形态过滤</t>
    <phoneticPr fontId="1" type="noConversion"/>
  </si>
  <si>
    <t>价格右侧初期策略</t>
    <phoneticPr fontId="1" type="noConversion"/>
  </si>
  <si>
    <t>N-4</t>
    <phoneticPr fontId="1" type="noConversion"/>
  </si>
  <si>
    <t>N-3</t>
    <phoneticPr fontId="1" type="noConversion"/>
  </si>
  <si>
    <t>N-2</t>
    <phoneticPr fontId="1" type="noConversion"/>
  </si>
  <si>
    <t>N-1</t>
    <phoneticPr fontId="1" type="noConversion"/>
  </si>
  <si>
    <t>N</t>
    <phoneticPr fontId="1" type="noConversion"/>
  </si>
  <si>
    <t>不分配不转增</t>
  </si>
  <si>
    <t>10派1元(含税)</t>
  </si>
  <si>
    <t>10派1.5元(含税)</t>
  </si>
  <si>
    <t>5.74亿</t>
  </si>
  <si>
    <t>9.18亿</t>
  </si>
  <si>
    <t>10派0.5元(含税)</t>
  </si>
  <si>
    <t>2.63亿</t>
  </si>
  <si>
    <t>10派2元(含税)</t>
  </si>
  <si>
    <t>10派0.2元(含税)</t>
  </si>
  <si>
    <t>10派3元(含税)</t>
  </si>
  <si>
    <t>10派1.6元(含税)</t>
  </si>
  <si>
    <t>10派1.1元(含税)</t>
  </si>
  <si>
    <t>10派0.6元(含税)</t>
  </si>
  <si>
    <t>10派2.1元(含税)</t>
  </si>
  <si>
    <t>10派2.5元(含税)</t>
  </si>
  <si>
    <t>10派0.35元(含税)</t>
  </si>
  <si>
    <t>12.64亿</t>
  </si>
  <si>
    <t>-5193.41万</t>
  </si>
  <si>
    <t>9739.30万</t>
  </si>
  <si>
    <t>9993.07万</t>
  </si>
  <si>
    <t>10派1.2元(含税)</t>
  </si>
  <si>
    <t>-5.36亿</t>
  </si>
  <si>
    <t>510.52亿</t>
  </si>
  <si>
    <t>-1.62亿</t>
  </si>
  <si>
    <t>441.34亿</t>
  </si>
  <si>
    <t>10派0.8元(含税)</t>
  </si>
  <si>
    <t>134.33亿</t>
  </si>
  <si>
    <t>16.11亿</t>
  </si>
  <si>
    <t>6.32亿</t>
  </si>
  <si>
    <t>2.62亿</t>
  </si>
  <si>
    <t>65.71亿</t>
  </si>
  <si>
    <t>7.74亿</t>
  </si>
  <si>
    <t>13.56亿</t>
  </si>
  <si>
    <t>187.18亿</t>
  </si>
  <si>
    <t>37.27亿</t>
  </si>
  <si>
    <t>-21.88亿</t>
  </si>
  <si>
    <t>97.17亿</t>
  </si>
  <si>
    <t>-4.75亿</t>
  </si>
  <si>
    <t>86.99亿</t>
  </si>
  <si>
    <t>218.13亿</t>
  </si>
  <si>
    <t>3.09亿</t>
  </si>
  <si>
    <t>57.20亿</t>
  </si>
  <si>
    <t>120.64亿</t>
  </si>
  <si>
    <t>2.91亿</t>
  </si>
  <si>
    <t>62.34亿</t>
  </si>
  <si>
    <t>36.16亿</t>
  </si>
  <si>
    <t>-1.45亿</t>
  </si>
  <si>
    <t>5.28亿</t>
  </si>
  <si>
    <t>3.11亿</t>
  </si>
  <si>
    <t>116.58亿</t>
  </si>
  <si>
    <t>4631.80万</t>
  </si>
  <si>
    <t>7.00亿</t>
  </si>
  <si>
    <t>3162.57万</t>
  </si>
  <si>
    <t>13.31亿</t>
  </si>
  <si>
    <t>-7.10亿</t>
  </si>
  <si>
    <t>121.16亿</t>
  </si>
  <si>
    <t>24.56亿</t>
  </si>
  <si>
    <t>-6.91亿</t>
  </si>
  <si>
    <t>9.52亿</t>
  </si>
  <si>
    <t>-7.52亿</t>
  </si>
  <si>
    <t>198.48亿</t>
  </si>
  <si>
    <t>11.63亿</t>
  </si>
  <si>
    <t>21.77亿</t>
  </si>
  <si>
    <t>-7.07亿</t>
  </si>
  <si>
    <t>13.41亿</t>
  </si>
  <si>
    <t>40.86亿</t>
  </si>
  <si>
    <t>25.73亿</t>
  </si>
  <si>
    <t>33.78亿</t>
  </si>
  <si>
    <t>2896.26万</t>
  </si>
  <si>
    <t>8.17亿</t>
  </si>
  <si>
    <t>21.50亿</t>
  </si>
  <si>
    <t>24.71亿</t>
  </si>
  <si>
    <t>3.91亿</t>
  </si>
  <si>
    <t>25.24亿</t>
  </si>
  <si>
    <t>1.69亿</t>
  </si>
  <si>
    <t>7908.92万</t>
  </si>
  <si>
    <t>47.58亿</t>
  </si>
  <si>
    <t>12.48亿</t>
  </si>
  <si>
    <t>985.35亿</t>
  </si>
  <si>
    <t>5.27亿</t>
  </si>
  <si>
    <t>6.52亿</t>
  </si>
  <si>
    <t>5.21亿</t>
  </si>
  <si>
    <t>-1.75亿</t>
  </si>
  <si>
    <t>52.12亿</t>
  </si>
  <si>
    <t>1894.87万</t>
  </si>
  <si>
    <t>10.03万</t>
  </si>
  <si>
    <t>7.32亿</t>
  </si>
  <si>
    <t>16.67亿</t>
  </si>
  <si>
    <t>79.05亿</t>
  </si>
  <si>
    <t>16.45亿</t>
  </si>
  <si>
    <t>-1.24亿</t>
  </si>
  <si>
    <t>6734.97万</t>
  </si>
  <si>
    <t>8.97亿</t>
  </si>
  <si>
    <t>-1.20亿</t>
  </si>
  <si>
    <t>24.76亿</t>
  </si>
  <si>
    <t>19.54亿</t>
  </si>
  <si>
    <t>-7470.71万</t>
  </si>
  <si>
    <t>4.48亿</t>
  </si>
  <si>
    <t>13.92亿</t>
  </si>
  <si>
    <t>52.27亿</t>
  </si>
  <si>
    <t>10派1.4元(含税)</t>
  </si>
  <si>
    <t>18.55亿</t>
  </si>
  <si>
    <t>1411.40万</t>
  </si>
  <si>
    <t>16.98亿</t>
  </si>
  <si>
    <t>-5.38亿</t>
  </si>
  <si>
    <t>5197.59万</t>
  </si>
  <si>
    <t>2000.00万</t>
  </si>
  <si>
    <t>10派0.26元(含税)</t>
  </si>
  <si>
    <t>2346.82万</t>
  </si>
  <si>
    <t>9.25亿</t>
  </si>
  <si>
    <t>4.80亿</t>
  </si>
  <si>
    <t>-1.80亿</t>
  </si>
  <si>
    <t>5.50亿</t>
  </si>
  <si>
    <t>6.57亿</t>
  </si>
  <si>
    <t>1130.69万</t>
  </si>
  <si>
    <t>5.15亿</t>
  </si>
  <si>
    <t>4.74亿</t>
  </si>
  <si>
    <t>7313.90万</t>
  </si>
  <si>
    <t>21.92亿</t>
  </si>
  <si>
    <t>3.36亿</t>
  </si>
  <si>
    <t>4.43亿</t>
  </si>
  <si>
    <t>5.19亿</t>
  </si>
  <si>
    <t>10派2.2元(含税)</t>
  </si>
  <si>
    <t>4.65亿</t>
  </si>
  <si>
    <t>6100.03万</t>
  </si>
  <si>
    <t>7127.24万</t>
  </si>
  <si>
    <t>1567.85万</t>
  </si>
  <si>
    <t>2.11亿</t>
  </si>
  <si>
    <t>2080.79万</t>
  </si>
  <si>
    <t>19.30亿</t>
  </si>
  <si>
    <t>5.61亿</t>
  </si>
  <si>
    <t>3068.27万</t>
  </si>
  <si>
    <t>7.47亿</t>
  </si>
  <si>
    <t>-2930.77万</t>
  </si>
  <si>
    <t>2614.27万</t>
  </si>
  <si>
    <t>26.98亿</t>
  </si>
  <si>
    <t>12.26亿</t>
  </si>
  <si>
    <t>9.76亿</t>
  </si>
  <si>
    <t>7519.76万</t>
  </si>
  <si>
    <t>14.17亿</t>
  </si>
  <si>
    <t>7.94亿</t>
  </si>
  <si>
    <t>SZ301390</t>
  </si>
  <si>
    <t>经纬股份</t>
  </si>
  <si>
    <t>4.33亿</t>
  </si>
  <si>
    <t>6714.22万</t>
  </si>
  <si>
    <t>6436.50万</t>
  </si>
  <si>
    <t>3808.41万</t>
  </si>
  <si>
    <t>2355.04万</t>
  </si>
  <si>
    <t>SZ301505</t>
  </si>
  <si>
    <t>苏州规划</t>
  </si>
  <si>
    <t>7307.70万</t>
  </si>
  <si>
    <t>1351.51亿</t>
  </si>
  <si>
    <t>11.07亿</t>
  </si>
  <si>
    <t>139.86亿</t>
  </si>
  <si>
    <t>2860.37亿</t>
  </si>
  <si>
    <t>622.48万</t>
  </si>
  <si>
    <t>2.61亿</t>
  </si>
  <si>
    <t>-1949.76万</t>
  </si>
  <si>
    <t>1535.20万</t>
  </si>
  <si>
    <t>1893.66亿</t>
  </si>
  <si>
    <t>801.20亿</t>
  </si>
  <si>
    <t>13.80亿</t>
  </si>
  <si>
    <t>58.41亿</t>
  </si>
  <si>
    <t>1651.17万</t>
  </si>
  <si>
    <t>80.40亿</t>
  </si>
  <si>
    <t>351.95亿</t>
  </si>
  <si>
    <t>-7.43亿</t>
  </si>
  <si>
    <t>169.59亿</t>
  </si>
  <si>
    <t>17.98亿</t>
  </si>
  <si>
    <t>578.09亿</t>
  </si>
  <si>
    <t>552.94亿</t>
  </si>
  <si>
    <t>5.82亿</t>
  </si>
  <si>
    <t>365.35亿</t>
  </si>
  <si>
    <t>18.12亿</t>
  </si>
  <si>
    <t>236.97亿</t>
  </si>
  <si>
    <t>238.99亿</t>
  </si>
  <si>
    <t>-10.70亿</t>
  </si>
  <si>
    <t>0339000000</t>
  </si>
  <si>
    <t>54.15亿</t>
  </si>
  <si>
    <t>1372.89亿</t>
  </si>
  <si>
    <t>1094.57亿</t>
  </si>
  <si>
    <t>SH601133</t>
  </si>
  <si>
    <t>柏诚股份</t>
  </si>
  <si>
    <t>27.51亿</t>
  </si>
  <si>
    <t>27.42亿</t>
  </si>
  <si>
    <t>18.57亿</t>
  </si>
  <si>
    <t>10963.13亿</t>
  </si>
  <si>
    <t>82.06亿</t>
  </si>
  <si>
    <t>10704.17亿</t>
  </si>
  <si>
    <t>9714.05亿</t>
  </si>
  <si>
    <t>991.38亿</t>
  </si>
  <si>
    <t>728.00亿</t>
  </si>
  <si>
    <t>5926.69亿</t>
  </si>
  <si>
    <t>20550.52亿</t>
  </si>
  <si>
    <t>509.50亿</t>
  </si>
  <si>
    <t>18927.06亿</t>
  </si>
  <si>
    <t>515.49亿</t>
  </si>
  <si>
    <t>114.35亿</t>
  </si>
  <si>
    <t>5650.70亿</t>
  </si>
  <si>
    <t>4011.81亿</t>
  </si>
  <si>
    <t>98.64亿</t>
  </si>
  <si>
    <t>218.67亿</t>
  </si>
  <si>
    <t>6858.31亿</t>
  </si>
  <si>
    <t>179.95亿</t>
  </si>
  <si>
    <t>180.56亿</t>
  </si>
  <si>
    <t>5.25亿</t>
  </si>
  <si>
    <t>20.86亿</t>
  </si>
  <si>
    <t>17.60亿</t>
  </si>
  <si>
    <t>58.39亿</t>
  </si>
  <si>
    <t>16.17亿</t>
  </si>
  <si>
    <t>20.09亿</t>
  </si>
  <si>
    <t>-11.97亿</t>
  </si>
  <si>
    <t>4.95亿</t>
  </si>
  <si>
    <t>42.34亿</t>
  </si>
  <si>
    <t>SH603137</t>
  </si>
  <si>
    <t>恒尚节能</t>
  </si>
  <si>
    <t>19.44亿</t>
  </si>
  <si>
    <t>20.67亿</t>
  </si>
  <si>
    <t>16.74亿</t>
  </si>
  <si>
    <t>13.03亿</t>
  </si>
  <si>
    <t>8898.31万</t>
  </si>
  <si>
    <t>7735.65万</t>
  </si>
  <si>
    <t>5271.29万</t>
  </si>
  <si>
    <t>5555.84万</t>
  </si>
  <si>
    <t>SH603153</t>
  </si>
  <si>
    <t>上海建科</t>
  </si>
  <si>
    <t>35.58亿</t>
  </si>
  <si>
    <t>15.65亿</t>
  </si>
  <si>
    <t>34.35亿</t>
  </si>
  <si>
    <t>27.75亿</t>
  </si>
  <si>
    <t>25.48亿</t>
  </si>
  <si>
    <t>20.37亿</t>
  </si>
  <si>
    <t>26.62亿</t>
  </si>
  <si>
    <t>11.32亿</t>
  </si>
  <si>
    <t>-5539.19万</t>
  </si>
  <si>
    <t>21.56亿</t>
  </si>
  <si>
    <t>10派1.3元(含税)</t>
  </si>
  <si>
    <t>64.99亿</t>
  </si>
  <si>
    <t>40.04亿</t>
  </si>
  <si>
    <t>-3.43亿</t>
  </si>
  <si>
    <t>22.22亿</t>
  </si>
  <si>
    <t>-2.14亿</t>
  </si>
  <si>
    <t>50.35亿</t>
  </si>
  <si>
    <t>9338.90万</t>
  </si>
  <si>
    <t>3844.76万</t>
  </si>
  <si>
    <t>15.52亿</t>
  </si>
  <si>
    <t>1074.79万</t>
  </si>
  <si>
    <t>-2.09亿</t>
  </si>
  <si>
    <t>56.38亿</t>
  </si>
  <si>
    <t>-1510.78万</t>
  </si>
  <si>
    <t>-2.62亿</t>
  </si>
  <si>
    <t>8.85亿</t>
  </si>
  <si>
    <t>2.33亿</t>
  </si>
  <si>
    <t>4.10亿</t>
  </si>
  <si>
    <t>*ST围海</t>
  </si>
  <si>
    <t>12.28亿</t>
  </si>
  <si>
    <t>21.66亿</t>
  </si>
  <si>
    <t>3.35亿</t>
  </si>
  <si>
    <t>3.23亿</t>
  </si>
  <si>
    <t>4-0</t>
  </si>
  <si>
    <t>1.87亿</t>
  </si>
  <si>
    <t>2.95亿</t>
  </si>
  <si>
    <t>陕建股份</t>
  </si>
  <si>
    <t>142.46亿</t>
  </si>
  <si>
    <t>2.83亿</t>
  </si>
  <si>
    <t>17.58亿</t>
  </si>
  <si>
    <t>2.94亿</t>
  </si>
  <si>
    <t>17.21亿</t>
  </si>
  <si>
    <t>-1.01亿</t>
  </si>
  <si>
    <t>SH600477</t>
  </si>
  <si>
    <t>杭萧钢构</t>
  </si>
  <si>
    <t>99.35亿</t>
  </si>
  <si>
    <t>7.56亿</t>
  </si>
  <si>
    <t>95.78亿</t>
  </si>
  <si>
    <t>81.39亿</t>
  </si>
  <si>
    <t>66.33亿</t>
  </si>
  <si>
    <t>61.84亿</t>
  </si>
  <si>
    <t>46.28亿</t>
  </si>
  <si>
    <t>7.68亿</t>
  </si>
  <si>
    <t>6.35亿</t>
  </si>
  <si>
    <t>9.71亿</t>
  </si>
  <si>
    <t>-1.15亿</t>
  </si>
  <si>
    <t>7.05亿</t>
  </si>
  <si>
    <t>3.22亿</t>
  </si>
  <si>
    <t>11.16亿</t>
  </si>
  <si>
    <t>-6-1</t>
  </si>
  <si>
    <t>15.07亿</t>
  </si>
  <si>
    <t>6.51亿</t>
  </si>
  <si>
    <t>3.70亿</t>
  </si>
  <si>
    <t>16.77亿</t>
  </si>
  <si>
    <t>14.24亿</t>
  </si>
  <si>
    <t>9.31亿</t>
  </si>
  <si>
    <t>17.76亿</t>
  </si>
  <si>
    <t>85.47亿</t>
  </si>
  <si>
    <t>-9.68亿</t>
  </si>
  <si>
    <t>8.29亿</t>
  </si>
  <si>
    <t>16.42亿</t>
  </si>
  <si>
    <t>6.17亿</t>
  </si>
  <si>
    <t>SZ002060</t>
  </si>
  <si>
    <t>广东建工</t>
  </si>
  <si>
    <t>143.61亿</t>
  </si>
  <si>
    <t>125.83亿</t>
  </si>
  <si>
    <t>111.43亿</t>
  </si>
  <si>
    <t>83.08亿</t>
  </si>
  <si>
    <t>6.79亿</t>
  </si>
  <si>
    <t>465.84亿</t>
  </si>
  <si>
    <t>15.54亿</t>
  </si>
  <si>
    <t>62.00亿</t>
  </si>
  <si>
    <t>460.22亿</t>
  </si>
  <si>
    <t>367.62亿</t>
  </si>
  <si>
    <t>9.99亿</t>
  </si>
  <si>
    <t>2.35亿</t>
  </si>
  <si>
    <t>9.86亿</t>
  </si>
  <si>
    <t>4.36亿</t>
  </si>
  <si>
    <t>4.47亿</t>
  </si>
  <si>
    <t>36.28亿</t>
  </si>
  <si>
    <t>16.59亿</t>
  </si>
  <si>
    <t>9.15亿</t>
  </si>
  <si>
    <t>-1.66亿</t>
  </si>
  <si>
    <t>87.26亿</t>
  </si>
  <si>
    <t>26.64亿</t>
  </si>
  <si>
    <t>-4.99亿</t>
  </si>
  <si>
    <t>17.30亿</t>
  </si>
  <si>
    <t>6.03亿</t>
  </si>
  <si>
    <t>2.06亿</t>
  </si>
  <si>
    <t>16.69亿</t>
  </si>
  <si>
    <t>-3-1</t>
  </si>
  <si>
    <t>490.00万</t>
  </si>
  <si>
    <t>1.88亿</t>
  </si>
  <si>
    <t>16.06亿</t>
  </si>
  <si>
    <t>-1.83亿</t>
  </si>
  <si>
    <t>2.04亿</t>
  </si>
  <si>
    <t>3.61亿</t>
  </si>
  <si>
    <t>11.92亿</t>
  </si>
  <si>
    <t>-2-0</t>
  </si>
  <si>
    <t>18.31亿</t>
  </si>
  <si>
    <t>14.58亿</t>
  </si>
  <si>
    <t>-1.93亿</t>
  </si>
  <si>
    <t>-1.84亿</t>
  </si>
  <si>
    <t>8.21亿</t>
  </si>
  <si>
    <t>10.20亿</t>
  </si>
  <si>
    <t>21.72亿</t>
  </si>
  <si>
    <t>-1.37亿</t>
  </si>
  <si>
    <t>9.28亿</t>
  </si>
  <si>
    <t>17.43亿</t>
  </si>
  <si>
    <t>9.64亿</t>
  </si>
  <si>
    <t>33.79亿</t>
  </si>
  <si>
    <t>文科股份</t>
  </si>
  <si>
    <t>34.88亿</t>
  </si>
  <si>
    <t>7.86亿</t>
  </si>
  <si>
    <t>ST中装</t>
  </si>
  <si>
    <t>-1.65亿</t>
  </si>
  <si>
    <t>21.62亿</t>
  </si>
  <si>
    <t>6.74亿</t>
  </si>
  <si>
    <t>3.58亿</t>
  </si>
  <si>
    <t>-4-1</t>
  </si>
  <si>
    <t>5.07亿</t>
  </si>
  <si>
    <t>54.30亿</t>
  </si>
  <si>
    <t>11.35亿</t>
  </si>
  <si>
    <t>15.24亿</t>
  </si>
  <si>
    <t>6.54亿</t>
  </si>
  <si>
    <t>9.56亿</t>
  </si>
  <si>
    <t>6.73亿</t>
  </si>
  <si>
    <t>5.71亿</t>
  </si>
  <si>
    <t>11.83亿</t>
  </si>
  <si>
    <t>16.99亿</t>
  </si>
  <si>
    <t>11.39亿</t>
  </si>
  <si>
    <t>6000.00万</t>
  </si>
  <si>
    <t>-5-1</t>
  </si>
  <si>
    <t>10.00万</t>
  </si>
  <si>
    <t>20.06亿</t>
  </si>
  <si>
    <t>6.28亿</t>
  </si>
  <si>
    <t>-148.36万</t>
  </si>
  <si>
    <t>3.33亿</t>
  </si>
  <si>
    <t>10.78亿</t>
  </si>
  <si>
    <t>6.41亿</t>
  </si>
  <si>
    <t>6.40亿</t>
  </si>
  <si>
    <t>-1.00亿</t>
  </si>
  <si>
    <t>4.54亿</t>
  </si>
  <si>
    <t>-1.06亿</t>
  </si>
  <si>
    <t>3.66亿</t>
  </si>
  <si>
    <t>235.41万</t>
  </si>
  <si>
    <t>3.13亿</t>
  </si>
  <si>
    <t>238.18万</t>
  </si>
  <si>
    <t>-4-0</t>
  </si>
  <si>
    <t>9.67亿</t>
  </si>
  <si>
    <t>8.27亿</t>
  </si>
  <si>
    <t>11.12亿</t>
  </si>
  <si>
    <t>12.34亿</t>
  </si>
  <si>
    <t>3.73亿</t>
  </si>
  <si>
    <t>1.97亿</t>
  </si>
  <si>
    <t>5-0</t>
  </si>
  <si>
    <t>2.44亿</t>
  </si>
  <si>
    <t>4.44亿</t>
  </si>
  <si>
    <t>5.40亿</t>
  </si>
  <si>
    <t>15.02亿</t>
  </si>
  <si>
    <t>14.37亿</t>
  </si>
  <si>
    <t>22.38亿</t>
  </si>
  <si>
    <t>-1.41亿</t>
  </si>
  <si>
    <t>7.82亿</t>
  </si>
  <si>
    <t>4.29亿</t>
  </si>
  <si>
    <t>15.00万</t>
  </si>
  <si>
    <t>3.78亿</t>
  </si>
  <si>
    <t>8.34亿</t>
  </si>
  <si>
    <t>1.00万</t>
  </si>
  <si>
    <t>8000.00万</t>
  </si>
  <si>
    <t>22.20亿</t>
  </si>
  <si>
    <t>8.78亿</t>
  </si>
  <si>
    <t>8.63亿</t>
  </si>
  <si>
    <t>-1.57亿</t>
  </si>
  <si>
    <t>17.52亿</t>
  </si>
  <si>
    <t>30.00万</t>
  </si>
  <si>
    <t>-4.15亿</t>
  </si>
  <si>
    <t>2.21亿</t>
  </si>
  <si>
    <t>6765.56万</t>
  </si>
  <si>
    <t>5106.03万</t>
  </si>
  <si>
    <t>7434.72万</t>
  </si>
  <si>
    <t>73.81亿</t>
  </si>
  <si>
    <t>43.98亿</t>
  </si>
  <si>
    <t>12.11亿</t>
  </si>
  <si>
    <t>11.15亿</t>
  </si>
  <si>
    <t>5671.98万</t>
  </si>
  <si>
    <t>38.83亿</t>
  </si>
  <si>
    <t>6.43亿</t>
  </si>
  <si>
    <t>3.32亿</t>
  </si>
  <si>
    <t>7.31亿</t>
  </si>
  <si>
    <t>-1.08亿</t>
  </si>
  <si>
    <t>1528.88万</t>
  </si>
  <si>
    <t>99.11亿</t>
  </si>
  <si>
    <t>56.31亿</t>
  </si>
  <si>
    <t>76.89亿</t>
  </si>
  <si>
    <t>64.51亿</t>
  </si>
  <si>
    <t>8777.45万</t>
  </si>
  <si>
    <t>6221103亿</t>
  </si>
  <si>
    <t>110.34万</t>
  </si>
  <si>
    <t>229273600亿</t>
  </si>
  <si>
    <t>2615991600亿</t>
  </si>
  <si>
    <t>6092.14万</t>
  </si>
  <si>
    <t>10531849700亿</t>
  </si>
  <si>
    <t>32.70亿</t>
  </si>
  <si>
    <t>34.80亿</t>
  </si>
  <si>
    <t>39.79万</t>
  </si>
  <si>
    <t>85.16亿</t>
  </si>
  <si>
    <t>11.24亿</t>
  </si>
  <si>
    <t>-6.76亿</t>
  </si>
  <si>
    <t>-9.71亿</t>
  </si>
  <si>
    <t>48.89亿</t>
  </si>
  <si>
    <t>73.32亿</t>
  </si>
  <si>
    <t>45.95亿</t>
  </si>
  <si>
    <t>8132.75万</t>
  </si>
  <si>
    <t>3.83亿</t>
  </si>
  <si>
    <t>336.89亿</t>
  </si>
  <si>
    <t>21.67亿</t>
  </si>
  <si>
    <t>SH600720</t>
  </si>
  <si>
    <t>中交设计</t>
  </si>
  <si>
    <t>76.73亿</t>
  </si>
  <si>
    <t>78.12亿</t>
  </si>
  <si>
    <t>69.31亿</t>
  </si>
  <si>
    <t>57.75亿</t>
  </si>
  <si>
    <t>6.55亿</t>
  </si>
  <si>
    <t>39.51亿</t>
  </si>
  <si>
    <t>35.21亿</t>
  </si>
  <si>
    <t>-7.44亿</t>
  </si>
  <si>
    <t>74.16亿</t>
  </si>
  <si>
    <t>49.61亿</t>
  </si>
  <si>
    <t>15.66亿</t>
  </si>
  <si>
    <t>9.49亿</t>
  </si>
  <si>
    <t>-3.73亿</t>
  </si>
  <si>
    <t>34.14亿</t>
  </si>
  <si>
    <t>8.94亿</t>
  </si>
  <si>
    <t>67.11亿</t>
  </si>
  <si>
    <t>34.39亿</t>
  </si>
  <si>
    <t>16.30亿</t>
  </si>
  <si>
    <t>4.09亿</t>
  </si>
  <si>
    <t>10.58亿</t>
  </si>
  <si>
    <t>3.50亿</t>
  </si>
  <si>
    <t>39.42亿</t>
  </si>
  <si>
    <t>27.43亿</t>
  </si>
  <si>
    <t>10.19亿</t>
  </si>
  <si>
    <t>12.06亿</t>
  </si>
  <si>
    <t>21.18亿</t>
  </si>
  <si>
    <t>20.36亿</t>
  </si>
  <si>
    <t>14.22亿</t>
  </si>
  <si>
    <t>7.96亿</t>
  </si>
  <si>
    <t>12.88亿</t>
  </si>
  <si>
    <t>11.71亿</t>
  </si>
  <si>
    <t>14.35亿</t>
  </si>
  <si>
    <t>426.05万</t>
  </si>
  <si>
    <t>7.61亿</t>
  </si>
  <si>
    <t>7.34亿</t>
  </si>
  <si>
    <t>15.32亿</t>
  </si>
  <si>
    <t>-4.07亿</t>
  </si>
  <si>
    <t>13.47亿</t>
  </si>
  <si>
    <t>5-1</t>
  </si>
  <si>
    <t>13.10亿</t>
  </si>
  <si>
    <t>4.05亿</t>
  </si>
  <si>
    <t>3.54亿</t>
  </si>
  <si>
    <t>4.79亿</t>
  </si>
  <si>
    <t>-1.05亿</t>
  </si>
  <si>
    <t>7.39亿</t>
  </si>
  <si>
    <t>-1.74亿</t>
  </si>
  <si>
    <t>&lt;-折合年化收益</t>
    <phoneticPr fontId="1" type="noConversion"/>
  </si>
  <si>
    <t>&lt;-增速</t>
    <phoneticPr fontId="1" type="noConversion"/>
  </si>
  <si>
    <t>&lt;-PEG</t>
    <phoneticPr fontId="1" type="noConversion"/>
  </si>
  <si>
    <r>
      <t>0.国资委实控人（前身为原国家重工业设计院和建设公司）；0-1.与尼龙 6 相比，尼龙66熔点和软化点更高，耐热性和耐低温性更好，更适合制造户外、运动、防寒服。另外，尼龙66凭借更高的强度和更好的耐磨性广泛运用于军用装备，在军用被装领域，欧美尼龙66渗透率达40%，而国内仅12%，有广阔的替代空间。1.</t>
    </r>
    <r>
      <rPr>
        <sz val="9"/>
        <color rgb="FFFF0000"/>
        <rFont val="宋体"/>
        <family val="3"/>
        <charset val="134"/>
        <scheme val="minor"/>
      </rPr>
      <t>“一带一路”</t>
    </r>
    <r>
      <rPr>
        <sz val="9"/>
        <color theme="1"/>
        <rFont val="宋体"/>
        <family val="2"/>
        <charset val="134"/>
        <scheme val="minor"/>
      </rPr>
      <t>沿线国家</t>
    </r>
    <r>
      <rPr>
        <b/>
        <sz val="9"/>
        <color rgb="FFFF0000"/>
        <rFont val="宋体"/>
        <family val="3"/>
        <charset val="134"/>
        <scheme val="minor"/>
      </rPr>
      <t>新签</t>
    </r>
    <r>
      <rPr>
        <sz val="9"/>
        <color theme="1"/>
        <rFont val="宋体"/>
        <family val="2"/>
        <charset val="134"/>
        <scheme val="minor"/>
      </rPr>
      <t>合同额和完成营业额分别</t>
    </r>
    <r>
      <rPr>
        <b/>
        <sz val="9"/>
        <color rgb="FFFF0000"/>
        <rFont val="宋体"/>
        <family val="3"/>
        <charset val="134"/>
        <scheme val="minor"/>
      </rPr>
      <t>占总额的 51%和 55%</t>
    </r>
    <r>
      <rPr>
        <sz val="9"/>
        <color theme="1"/>
        <rFont val="宋体"/>
        <family val="2"/>
        <charset val="134"/>
        <scheme val="minor"/>
      </rPr>
      <t>，是国际工程的重要组成。</t>
    </r>
    <r>
      <rPr>
        <sz val="9"/>
        <color theme="1"/>
        <rFont val="宋体"/>
        <family val="3"/>
        <charset val="134"/>
        <scheme val="minor"/>
      </rPr>
      <t>2.中国化学并无母公司支撑，化工业务建设过程复杂，技术性较强，近些年公司不断积极签订化工订单，提升化工建设市占率，拓宽业务领域，因此新签订单总额大幅增加。3.按照中国化学十四五规划的目标， 随着“两商”目标的持续推进，化学工程将保持 60%及以上的占比。基础设施业务占比提升至约 18%，实业业务占比提升至约 15%，</t>
    </r>
    <r>
      <rPr>
        <b/>
        <sz val="9"/>
        <color rgb="FFFF0000"/>
        <rFont val="宋体"/>
        <family val="3"/>
        <charset val="134"/>
        <scheme val="minor"/>
      </rPr>
      <t>实业收入的大幅增长是未来的看点</t>
    </r>
    <r>
      <rPr>
        <sz val="9"/>
        <color theme="1"/>
        <rFont val="宋体"/>
        <family val="3"/>
        <charset val="134"/>
        <scheme val="minor"/>
      </rPr>
      <t>.4.国内</t>
    </r>
    <r>
      <rPr>
        <sz val="9"/>
        <color rgb="FFFF0000"/>
        <rFont val="宋体"/>
        <family val="3"/>
        <charset val="134"/>
        <scheme val="minor"/>
      </rPr>
      <t>90%以上的多晶硅工厂的设计建造</t>
    </r>
    <r>
      <rPr>
        <sz val="9"/>
        <color theme="1"/>
        <rFont val="宋体"/>
        <family val="3"/>
        <charset val="134"/>
        <scheme val="minor"/>
      </rPr>
      <t>由中国化学完成;4.期待爆发业务：</t>
    </r>
    <r>
      <rPr>
        <b/>
        <sz val="9"/>
        <color rgb="FFFF0000"/>
        <rFont val="宋体"/>
        <family val="3"/>
        <charset val="134"/>
        <scheme val="minor"/>
      </rPr>
      <t>己二腈-己二胺-尼龙66， 气凝胶</t>
    </r>
    <r>
      <rPr>
        <sz val="9"/>
        <color theme="1"/>
        <rFont val="宋体"/>
        <family val="3"/>
        <charset val="134"/>
        <scheme val="minor"/>
      </rPr>
      <t>；</t>
    </r>
    <phoneticPr fontId="1" type="noConversion"/>
  </si>
  <si>
    <r>
      <t>1.公司层面解售条件为 2023-2025 年扣非加权 ROE不 低于9.05/9.15/9.25%，</t>
    </r>
    <r>
      <rPr>
        <sz val="9"/>
        <color rgb="FFFF0000"/>
        <rFont val="宋体"/>
        <family val="3"/>
        <charset val="134"/>
        <scheme val="minor"/>
      </rPr>
      <t>扣非净利复合增速(以2021年为基数)</t>
    </r>
    <r>
      <rPr>
        <b/>
        <sz val="9"/>
        <color rgb="FFFF0000"/>
        <rFont val="宋体"/>
        <family val="3"/>
        <charset val="134"/>
        <scheme val="minor"/>
      </rPr>
      <t>不低于15%</t>
    </r>
    <r>
      <rPr>
        <sz val="9"/>
        <color theme="1"/>
        <rFont val="宋体"/>
        <family val="2"/>
        <charset val="134"/>
        <scheme val="minor"/>
      </rPr>
      <t>；</t>
    </r>
    <r>
      <rPr>
        <sz val="9"/>
        <color theme="1"/>
        <rFont val="宋体"/>
        <family val="3"/>
        <charset val="134"/>
        <scheme val="minor"/>
      </rPr>
      <t>2.化学工程还可以细分为</t>
    </r>
    <r>
      <rPr>
        <sz val="9"/>
        <color rgb="FFFF0000"/>
        <rFont val="宋体"/>
        <family val="3"/>
        <charset val="134"/>
        <scheme val="minor"/>
      </rPr>
      <t>化工、石油化工和煤化工</t>
    </r>
    <r>
      <rPr>
        <sz val="9"/>
        <color theme="1"/>
        <rFont val="宋体"/>
        <family val="3"/>
        <charset val="134"/>
        <scheme val="minor"/>
      </rPr>
      <t>三项业务。化工业务呈现逐年增长趋势，而石油化工和煤化工业务在近两年呈现下降趋势.3.订单增速转化为营收增速</t>
    </r>
    <r>
      <rPr>
        <b/>
        <sz val="9"/>
        <color rgb="FFFF0000"/>
        <rFont val="宋体"/>
        <family val="3"/>
        <charset val="134"/>
        <scheme val="minor"/>
      </rPr>
      <t>需五个季度</t>
    </r>
    <r>
      <rPr>
        <sz val="9"/>
        <color theme="1"/>
        <rFont val="宋体"/>
        <family val="3"/>
        <charset val="134"/>
        <scheme val="minor"/>
      </rPr>
      <t>，与项目周期有关.</t>
    </r>
    <phoneticPr fontId="1" type="noConversion"/>
  </si>
  <si>
    <t>2419.37万</t>
  </si>
  <si>
    <t>28.89亿</t>
  </si>
  <si>
    <t>5306.15万</t>
  </si>
  <si>
    <t>7721.35万</t>
  </si>
  <si>
    <t>4679.37万</t>
  </si>
  <si>
    <t>900.99万</t>
  </si>
  <si>
    <t>-24189226亿</t>
  </si>
  <si>
    <t>1089.16万</t>
  </si>
  <si>
    <t>1495168300亿</t>
  </si>
  <si>
    <t>855.00万</t>
  </si>
  <si>
    <t>2255455600亿</t>
  </si>
  <si>
    <t>28.51亿</t>
  </si>
  <si>
    <t>3650.00万</t>
  </si>
  <si>
    <t>-1433.81万</t>
  </si>
  <si>
    <t>-66.69万</t>
  </si>
  <si>
    <t>-74.03万</t>
  </si>
  <si>
    <t>-2746.94万</t>
  </si>
  <si>
    <t>978.45万</t>
  </si>
  <si>
    <t>446.43亿</t>
  </si>
  <si>
    <t>119.95亿</t>
  </si>
  <si>
    <t>153.76亿</t>
  </si>
  <si>
    <t>562.84亿</t>
  </si>
  <si>
    <t>150.58亿</t>
  </si>
  <si>
    <t>138.05亿</t>
  </si>
  <si>
    <t>-21150211亿</t>
  </si>
  <si>
    <t>68.20万</t>
  </si>
  <si>
    <t>5292783亿</t>
  </si>
  <si>
    <t>95.04亿</t>
  </si>
  <si>
    <t>10097811400亿</t>
  </si>
  <si>
    <t>47453991000亿</t>
  </si>
  <si>
    <t>19.51亿</t>
  </si>
  <si>
    <t>212.85亿</t>
  </si>
  <si>
    <t>34.63万</t>
  </si>
  <si>
    <t>383.68亿</t>
  </si>
  <si>
    <t>66.59亿</t>
  </si>
  <si>
    <t>-19.12亿</t>
  </si>
  <si>
    <t>-1.58亿</t>
  </si>
  <si>
    <t>129.26亿</t>
  </si>
  <si>
    <t>-5657.09万</t>
  </si>
  <si>
    <t>6284.95万</t>
  </si>
  <si>
    <t>-8-0</t>
  </si>
  <si>
    <t>455.12万</t>
  </si>
  <si>
    <t>144.65亿</t>
  </si>
  <si>
    <t>95.50亿</t>
  </si>
  <si>
    <t>50.14亿</t>
  </si>
  <si>
    <t>214.88亿</t>
  </si>
  <si>
    <t>47.01亿</t>
  </si>
  <si>
    <t>45.32亿</t>
  </si>
  <si>
    <t>9296.24万</t>
  </si>
  <si>
    <t>-2262130亿</t>
  </si>
  <si>
    <t>73.26万</t>
  </si>
  <si>
    <t>259269490亿</t>
  </si>
  <si>
    <t>4025899500亿</t>
  </si>
  <si>
    <t>3041.80万</t>
  </si>
  <si>
    <t>14626737000亿</t>
  </si>
  <si>
    <t>1299.52万</t>
  </si>
  <si>
    <t>17.09亿</t>
  </si>
  <si>
    <t>53.64亿</t>
  </si>
  <si>
    <t>97.80亿</t>
  </si>
  <si>
    <t>42.68亿</t>
  </si>
  <si>
    <t>-1.47亿</t>
  </si>
  <si>
    <t>47.92亿</t>
  </si>
  <si>
    <t>10派0.919768元(含税)</t>
  </si>
  <si>
    <t>2519.94万</t>
  </si>
  <si>
    <t>353.64万</t>
  </si>
  <si>
    <t>12.72亿</t>
  </si>
  <si>
    <t>24.51亿</t>
  </si>
  <si>
    <t>45.14亿</t>
  </si>
  <si>
    <t>8080.52万</t>
  </si>
  <si>
    <t>6.95亿</t>
  </si>
  <si>
    <t>6.60亿</t>
  </si>
  <si>
    <t>278.41万</t>
  </si>
  <si>
    <t>2050.93万</t>
  </si>
  <si>
    <t>8433948亿</t>
  </si>
  <si>
    <t>494721990亿</t>
  </si>
  <si>
    <t>5809.35万</t>
  </si>
  <si>
    <t>1874472300亿</t>
  </si>
  <si>
    <t>596.20万</t>
  </si>
  <si>
    <t>3119.20万</t>
  </si>
  <si>
    <t>8257.79万</t>
  </si>
  <si>
    <t>-2.82亿</t>
  </si>
  <si>
    <t>7987.01万</t>
  </si>
  <si>
    <t>21.24亿</t>
  </si>
  <si>
    <t>479.16万</t>
  </si>
  <si>
    <t>2207.83万</t>
  </si>
  <si>
    <t>650.26万</t>
  </si>
  <si>
    <t>1068.66亿</t>
  </si>
  <si>
    <t>327.70亿</t>
  </si>
  <si>
    <t>95.66亿</t>
  </si>
  <si>
    <t>730.24亿</t>
  </si>
  <si>
    <t>22.89亿</t>
  </si>
  <si>
    <t>92.22亿</t>
  </si>
  <si>
    <t>84.10亿</t>
  </si>
  <si>
    <t>147.82万</t>
  </si>
  <si>
    <t>12700594亿</t>
  </si>
  <si>
    <t>180.87万</t>
  </si>
  <si>
    <t>234546450亿</t>
  </si>
  <si>
    <t>77.71亿</t>
  </si>
  <si>
    <t>15297918000亿</t>
  </si>
  <si>
    <t>96546240000亿</t>
  </si>
  <si>
    <t>87.53亿</t>
  </si>
  <si>
    <t>494.43亿</t>
  </si>
  <si>
    <t>451.63万</t>
  </si>
  <si>
    <t>827.52亿</t>
  </si>
  <si>
    <t>120.57亿</t>
  </si>
  <si>
    <t>-27.61亿</t>
  </si>
  <si>
    <t>-7.79亿</t>
  </si>
  <si>
    <t>706.99亿</t>
  </si>
  <si>
    <t>26.97亿</t>
  </si>
  <si>
    <t>112.45亿</t>
  </si>
  <si>
    <t>10派1.8元(含税)</t>
  </si>
  <si>
    <t>3716.85万</t>
  </si>
  <si>
    <t>1534.54万</t>
  </si>
  <si>
    <t>114.33亿</t>
  </si>
  <si>
    <t>22.00亿</t>
  </si>
  <si>
    <t>80.08亿</t>
  </si>
  <si>
    <t>10.35亿</t>
  </si>
  <si>
    <t>878.31万</t>
  </si>
  <si>
    <t>4130.04万</t>
  </si>
  <si>
    <t>1723698亿</t>
  </si>
  <si>
    <t>7.86万</t>
  </si>
  <si>
    <t>15479489亿</t>
  </si>
  <si>
    <t>5.12亿</t>
  </si>
  <si>
    <t>458669780亿</t>
  </si>
  <si>
    <t>1921.60万</t>
  </si>
  <si>
    <t>10429477300亿</t>
  </si>
  <si>
    <t>1461.81万</t>
  </si>
  <si>
    <t>60.20亿</t>
  </si>
  <si>
    <t>267.71万</t>
  </si>
  <si>
    <t>81.89亿</t>
  </si>
  <si>
    <t>19.40亿</t>
  </si>
  <si>
    <t>-12.98亿</t>
  </si>
  <si>
    <t>-4184.07万</t>
  </si>
  <si>
    <t>3145.19万</t>
  </si>
  <si>
    <t>10派1.52元(含税)</t>
  </si>
  <si>
    <t>8889.52万</t>
  </si>
  <si>
    <t>353.88万</t>
  </si>
  <si>
    <t>17.03亿</t>
  </si>
  <si>
    <t>37.01亿</t>
  </si>
  <si>
    <t>23.89亿</t>
  </si>
  <si>
    <t>7469.38万</t>
  </si>
  <si>
    <t>2204231亿</t>
  </si>
  <si>
    <t>116.41万</t>
  </si>
  <si>
    <t>52022570亿</t>
  </si>
  <si>
    <t>16.51亿</t>
  </si>
  <si>
    <t>1466104600亿</t>
  </si>
  <si>
    <t>306.77万</t>
  </si>
  <si>
    <t>3376460200亿</t>
  </si>
  <si>
    <t>1939.43万</t>
  </si>
  <si>
    <t>5.41亿</t>
  </si>
  <si>
    <t>68.99万</t>
  </si>
  <si>
    <t>4410.27万</t>
  </si>
  <si>
    <t>-3.08亿</t>
  </si>
  <si>
    <t>-438.33万</t>
  </si>
  <si>
    <t>4602.21万</t>
  </si>
  <si>
    <t>2157.24万</t>
  </si>
  <si>
    <t>894.69万</t>
  </si>
  <si>
    <t>218.29亿</t>
  </si>
  <si>
    <t>84.26亿</t>
  </si>
  <si>
    <t>49.01亿</t>
  </si>
  <si>
    <t>46.06亿</t>
  </si>
  <si>
    <t>43.82亿</t>
  </si>
  <si>
    <t>854.49万</t>
  </si>
  <si>
    <t>211510420亿</t>
  </si>
  <si>
    <t>71.04亿</t>
  </si>
  <si>
    <t>5339013700亿</t>
  </si>
  <si>
    <t>19406952000亿</t>
  </si>
  <si>
    <t>7588.11万</t>
  </si>
  <si>
    <t>53.39亿</t>
  </si>
  <si>
    <t>90.64亿</t>
  </si>
  <si>
    <t>816.89万</t>
  </si>
  <si>
    <t>190.76亿</t>
  </si>
  <si>
    <t>-27.92亿</t>
  </si>
  <si>
    <t>-166.75万</t>
  </si>
  <si>
    <t>-9560.66万</t>
  </si>
  <si>
    <t>51.09亿</t>
  </si>
  <si>
    <t>10派2.66元(含税)</t>
  </si>
  <si>
    <t>5449.26万</t>
  </si>
  <si>
    <t>5.24亿</t>
  </si>
  <si>
    <t>1557.60万</t>
  </si>
  <si>
    <t>9948.76万</t>
  </si>
  <si>
    <t>5735.89万</t>
  </si>
  <si>
    <t>9408.52万</t>
  </si>
  <si>
    <t>7592.08万</t>
  </si>
  <si>
    <t>53.61万</t>
  </si>
  <si>
    <t>1477.09万</t>
  </si>
  <si>
    <t>99968亿</t>
  </si>
  <si>
    <t>14.60万</t>
  </si>
  <si>
    <t>7132357亿</t>
  </si>
  <si>
    <t>541281450亿</t>
  </si>
  <si>
    <t>2135183700亿</t>
  </si>
  <si>
    <t>5655.21万</t>
  </si>
  <si>
    <t>3.00万</t>
  </si>
  <si>
    <t>-3513.06万</t>
  </si>
  <si>
    <t>-8.66万</t>
  </si>
  <si>
    <t>4458.10万</t>
  </si>
  <si>
    <t>5845.55万</t>
  </si>
  <si>
    <t>520.04万</t>
  </si>
  <si>
    <t>10派0.4元(含税)</t>
  </si>
  <si>
    <t>9593.22万</t>
  </si>
  <si>
    <t>057358900</t>
  </si>
  <si>
    <t>0172076700</t>
  </si>
  <si>
    <t>0344153400</t>
  </si>
  <si>
    <t>0573589000</t>
  </si>
  <si>
    <t>01147178000</t>
  </si>
  <si>
    <t>1235.55万</t>
  </si>
  <si>
    <t>93.46亿</t>
  </si>
  <si>
    <t>4263.57万</t>
  </si>
  <si>
    <t>7.76亿</t>
  </si>
  <si>
    <t>41.11亿</t>
  </si>
  <si>
    <t>7.18亿</t>
  </si>
  <si>
    <t>488.74万</t>
  </si>
  <si>
    <t>2743.62万</t>
  </si>
  <si>
    <t>-2909亿</t>
  </si>
  <si>
    <t>20.45万</t>
  </si>
  <si>
    <t>-72726315亿</t>
  </si>
  <si>
    <t>9.40亿</t>
  </si>
  <si>
    <t>1824159100亿</t>
  </si>
  <si>
    <t>3175.76万</t>
  </si>
  <si>
    <t>7229175900亿</t>
  </si>
  <si>
    <t>23.61亿</t>
  </si>
  <si>
    <t>9.46亿</t>
  </si>
  <si>
    <t>31.00亿</t>
  </si>
  <si>
    <t>92.61亿</t>
  </si>
  <si>
    <t>-2.42亿</t>
  </si>
  <si>
    <t>-1716.98万</t>
  </si>
  <si>
    <t>6.70亿</t>
  </si>
  <si>
    <t>-8638.83万</t>
  </si>
  <si>
    <t>7759.83万</t>
  </si>
  <si>
    <t>461.38万</t>
  </si>
  <si>
    <t>112.81亿</t>
  </si>
  <si>
    <t>114.28亿</t>
  </si>
  <si>
    <t>23.63亿</t>
  </si>
  <si>
    <t>123.65亿</t>
  </si>
  <si>
    <t>22.05亿</t>
  </si>
  <si>
    <t>18.84亿</t>
  </si>
  <si>
    <t>5930.19万</t>
  </si>
  <si>
    <t>1379081亿</t>
  </si>
  <si>
    <t>174.62万</t>
  </si>
  <si>
    <t>137013060亿</t>
  </si>
  <si>
    <t>61.36亿</t>
  </si>
  <si>
    <t>5778139900亿</t>
  </si>
  <si>
    <t>2791.61万</t>
  </si>
  <si>
    <t>18177076000亿</t>
  </si>
  <si>
    <t>2400.59万</t>
  </si>
  <si>
    <t>5.67亿</t>
  </si>
  <si>
    <t>2364.50万</t>
  </si>
  <si>
    <t>51.33亿</t>
  </si>
  <si>
    <t>102.46亿</t>
  </si>
  <si>
    <t>-6.95亿</t>
  </si>
  <si>
    <t>11.07万</t>
  </si>
  <si>
    <t>-1.02亿</t>
  </si>
  <si>
    <t>27.89亿</t>
  </si>
  <si>
    <t>10派1.25元(含税)</t>
  </si>
  <si>
    <t>2690.82万</t>
  </si>
  <si>
    <t>1199.53万</t>
  </si>
  <si>
    <t>1192.40亿</t>
  </si>
  <si>
    <t>142.76亿</t>
  </si>
  <si>
    <t>135.73亿</t>
  </si>
  <si>
    <t>808.63亿</t>
  </si>
  <si>
    <t>15.34亿</t>
  </si>
  <si>
    <t>133.80亿</t>
  </si>
  <si>
    <t>123.50亿</t>
  </si>
  <si>
    <t>176.16万</t>
  </si>
  <si>
    <t>4.51亿</t>
  </si>
  <si>
    <t>4192409亿</t>
  </si>
  <si>
    <t>241.97万</t>
  </si>
  <si>
    <t>169444870亿</t>
  </si>
  <si>
    <t>180.26亿</t>
  </si>
  <si>
    <t>35389268000亿</t>
  </si>
  <si>
    <t>5080.42万</t>
  </si>
  <si>
    <t>94112225000亿</t>
  </si>
  <si>
    <t>76.16亿</t>
  </si>
  <si>
    <t>15.98亿</t>
  </si>
  <si>
    <t>531.77亿</t>
  </si>
  <si>
    <t>945.38万</t>
  </si>
  <si>
    <t>937.74亿</t>
  </si>
  <si>
    <t>215.77亿</t>
  </si>
  <si>
    <t>-26.37亿</t>
  </si>
  <si>
    <t>-5.54亿</t>
  </si>
  <si>
    <t>825.75亿</t>
  </si>
  <si>
    <t>158.49亿</t>
  </si>
  <si>
    <t>10派1.55元(含税)</t>
  </si>
  <si>
    <t>6230.44万</t>
  </si>
  <si>
    <t>1480.80万</t>
  </si>
  <si>
    <t>543.22亿</t>
  </si>
  <si>
    <t>151.99亿</t>
  </si>
  <si>
    <t>77.28亿</t>
  </si>
  <si>
    <t>460.46亿</t>
  </si>
  <si>
    <t>13.48亿</t>
  </si>
  <si>
    <t>75.24亿</t>
  </si>
  <si>
    <t>71.66亿</t>
  </si>
  <si>
    <t>426.76万</t>
  </si>
  <si>
    <t>2311672亿</t>
  </si>
  <si>
    <t>131.73万</t>
  </si>
  <si>
    <t>176303070亿</t>
  </si>
  <si>
    <t>93.86亿</t>
  </si>
  <si>
    <t>5892802400亿</t>
  </si>
  <si>
    <t>226.94万</t>
  </si>
  <si>
    <t>48683576000亿</t>
  </si>
  <si>
    <t>66.66亿</t>
  </si>
  <si>
    <t>244.69亿</t>
  </si>
  <si>
    <t>423.67亿</t>
  </si>
  <si>
    <t>69.18亿</t>
  </si>
  <si>
    <t>-23.77亿</t>
  </si>
  <si>
    <t>-2.26亿</t>
  </si>
  <si>
    <t>71.31亿</t>
  </si>
  <si>
    <t>8379.50万</t>
  </si>
  <si>
    <t>354.97万</t>
  </si>
  <si>
    <t>110.55亿</t>
  </si>
  <si>
    <t>46.85亿</t>
  </si>
  <si>
    <t>64.26亿</t>
  </si>
  <si>
    <t>14.79亿</t>
  </si>
  <si>
    <t>773.76万</t>
  </si>
  <si>
    <t>3542.67万</t>
  </si>
  <si>
    <t>-2346842亿</t>
  </si>
  <si>
    <t>2.17万</t>
  </si>
  <si>
    <t>118247982亿</t>
  </si>
  <si>
    <t>27.41亿</t>
  </si>
  <si>
    <t>1420234100亿</t>
  </si>
  <si>
    <t>10863319500亿</t>
  </si>
  <si>
    <t>600.00万</t>
  </si>
  <si>
    <t>60.17亿</t>
  </si>
  <si>
    <t>227.69万</t>
  </si>
  <si>
    <t>86.48亿</t>
  </si>
  <si>
    <t>12.30亿</t>
  </si>
  <si>
    <t>-2835.83万</t>
  </si>
  <si>
    <t>2893.08万</t>
  </si>
  <si>
    <t>15.58亿</t>
  </si>
  <si>
    <t>2610.24万</t>
  </si>
  <si>
    <t>01017000000</t>
  </si>
  <si>
    <t>02034000000</t>
  </si>
  <si>
    <t>03390000000</t>
  </si>
  <si>
    <t>06780000000</t>
  </si>
  <si>
    <t>912.96万</t>
  </si>
  <si>
    <t>234.60亿</t>
  </si>
  <si>
    <t>138.31亿</t>
  </si>
  <si>
    <t>45.44亿</t>
  </si>
  <si>
    <t>201.87亿</t>
  </si>
  <si>
    <t>43.28亿</t>
  </si>
  <si>
    <t>7898.90万</t>
  </si>
  <si>
    <t>4920674亿</t>
  </si>
  <si>
    <t>17.80万</t>
  </si>
  <si>
    <t>165372060亿</t>
  </si>
  <si>
    <t>47.27亿</t>
  </si>
  <si>
    <t>12618042200亿</t>
  </si>
  <si>
    <t>4.40亿</t>
  </si>
  <si>
    <t>29310860000亿</t>
  </si>
  <si>
    <t>1056.17万</t>
  </si>
  <si>
    <t>6536.28万</t>
  </si>
  <si>
    <t>42.08亿</t>
  </si>
  <si>
    <t>109.15亿</t>
  </si>
  <si>
    <t>194.72亿</t>
  </si>
  <si>
    <t>5.87亿</t>
  </si>
  <si>
    <t>-15.85亿</t>
  </si>
  <si>
    <t>-1.16亿</t>
  </si>
  <si>
    <t>12.74亿</t>
  </si>
  <si>
    <t>50.93亿</t>
  </si>
  <si>
    <t>5415.64万</t>
  </si>
  <si>
    <t>01024000000</t>
  </si>
  <si>
    <t>03072000000</t>
  </si>
  <si>
    <t>06144000000</t>
  </si>
  <si>
    <t>010240000000</t>
  </si>
  <si>
    <t>020480000000</t>
  </si>
  <si>
    <t>282.36万</t>
  </si>
  <si>
    <t>34.18亿</t>
  </si>
  <si>
    <t>12.39亿</t>
  </si>
  <si>
    <t>66.52亿</t>
  </si>
  <si>
    <t>11.77亿</t>
  </si>
  <si>
    <t>692.16万</t>
  </si>
  <si>
    <t>6787.24万</t>
  </si>
  <si>
    <t>372384亿</t>
  </si>
  <si>
    <t>17.81万</t>
  </si>
  <si>
    <t>54724452亿</t>
  </si>
  <si>
    <t>506590350亿</t>
  </si>
  <si>
    <t>2895.10万</t>
  </si>
  <si>
    <t>5328534200亿</t>
  </si>
  <si>
    <t>7750.28万</t>
  </si>
  <si>
    <t>1297.28万</t>
  </si>
  <si>
    <t>-5009.34万</t>
  </si>
  <si>
    <t>-536.80万</t>
  </si>
  <si>
    <t>5183.49万</t>
  </si>
  <si>
    <t>10派2.6165元(含税)</t>
  </si>
  <si>
    <t>1871.21万</t>
  </si>
  <si>
    <t>1.81亿</t>
  </si>
  <si>
    <t>485.79万</t>
  </si>
  <si>
    <t>119.49亿</t>
  </si>
  <si>
    <t>66.58亿</t>
  </si>
  <si>
    <t>30.04亿</t>
  </si>
  <si>
    <t>129.96亿</t>
  </si>
  <si>
    <t>1144.27万</t>
  </si>
  <si>
    <t>8039.50万</t>
  </si>
  <si>
    <t>-8302915亿</t>
  </si>
  <si>
    <t>117.72万</t>
  </si>
  <si>
    <t>71844572亿</t>
  </si>
  <si>
    <t>26.74亿</t>
  </si>
  <si>
    <t>4191767100亿</t>
  </si>
  <si>
    <t>5117.77万</t>
  </si>
  <si>
    <t>16297996000亿</t>
  </si>
  <si>
    <t>3312.50万</t>
  </si>
  <si>
    <t>39.02亿</t>
  </si>
  <si>
    <t>13.05亿</t>
  </si>
  <si>
    <t>30.68万</t>
  </si>
  <si>
    <t>105.82亿</t>
  </si>
  <si>
    <t>-4444.01万</t>
  </si>
  <si>
    <t>31.89亿</t>
  </si>
  <si>
    <t>2620.65万</t>
  </si>
  <si>
    <t>298.81万</t>
  </si>
  <si>
    <t>99.49亿</t>
  </si>
  <si>
    <t>46.49亿</t>
  </si>
  <si>
    <t>75.58亿</t>
  </si>
  <si>
    <t>17.68亿</t>
  </si>
  <si>
    <t>16.58亿</t>
  </si>
  <si>
    <t>1128.05万</t>
  </si>
  <si>
    <t>3149.36万</t>
  </si>
  <si>
    <t>7306765亿</t>
  </si>
  <si>
    <t>298.53万</t>
  </si>
  <si>
    <t>87974583亿</t>
  </si>
  <si>
    <t>33.64亿</t>
  </si>
  <si>
    <t>716827700亿</t>
  </si>
  <si>
    <t>9414970500亿</t>
  </si>
  <si>
    <t>31.86亿</t>
  </si>
  <si>
    <t>46.17亿</t>
  </si>
  <si>
    <t>99.82亿</t>
  </si>
  <si>
    <t>-6837.92万</t>
  </si>
  <si>
    <t>8.69亿</t>
  </si>
  <si>
    <t>7165.08万</t>
  </si>
  <si>
    <t>1490.43万</t>
  </si>
  <si>
    <t>555.01万</t>
  </si>
  <si>
    <t>48.15亿</t>
  </si>
  <si>
    <t>15.56亿</t>
  </si>
  <si>
    <t>41.83亿</t>
  </si>
  <si>
    <t>9157.26万</t>
  </si>
  <si>
    <t>1289.79万</t>
  </si>
  <si>
    <t>4507.62万</t>
  </si>
  <si>
    <t>623294亿</t>
  </si>
  <si>
    <t>7.92万</t>
  </si>
  <si>
    <t>-30828692亿</t>
  </si>
  <si>
    <t>596228480亿</t>
  </si>
  <si>
    <t>3515205800亿</t>
  </si>
  <si>
    <t>252.16万</t>
  </si>
  <si>
    <t>5.36亿</t>
  </si>
  <si>
    <t>8.30亿</t>
  </si>
  <si>
    <t>19.17亿</t>
  </si>
  <si>
    <t>5.50万</t>
  </si>
  <si>
    <t>36.09亿</t>
  </si>
  <si>
    <t>5356.16万</t>
  </si>
  <si>
    <t>-3.51亿</t>
  </si>
  <si>
    <t>-407.07万</t>
  </si>
  <si>
    <t>7190.44万</t>
  </si>
  <si>
    <t>-3406.22万</t>
  </si>
  <si>
    <t>4040.35万</t>
  </si>
  <si>
    <t>0274717800</t>
  </si>
  <si>
    <t>0549435600</t>
  </si>
  <si>
    <t>0915726000</t>
  </si>
  <si>
    <t>01831452000</t>
  </si>
  <si>
    <t>94.65万</t>
  </si>
  <si>
    <t>29.38亿</t>
  </si>
  <si>
    <t>907.13万</t>
  </si>
  <si>
    <t>8885.76万</t>
  </si>
  <si>
    <t>208.36万</t>
  </si>
  <si>
    <t>1152.50万</t>
  </si>
  <si>
    <t>-253240亿</t>
  </si>
  <si>
    <t>3955599亿</t>
  </si>
  <si>
    <t>271834890亿</t>
  </si>
  <si>
    <t>1406179200亿</t>
  </si>
  <si>
    <t>4830.04万</t>
  </si>
  <si>
    <t>16.53万</t>
  </si>
  <si>
    <t>16.14亿</t>
  </si>
  <si>
    <t>3911.89万</t>
  </si>
  <si>
    <t>-13.64万</t>
  </si>
  <si>
    <t>-2190.31万</t>
  </si>
  <si>
    <t>1103.75万</t>
  </si>
  <si>
    <t>150.29万</t>
  </si>
  <si>
    <t>401.47万</t>
  </si>
  <si>
    <t>2472.64万</t>
  </si>
  <si>
    <t>583.25万</t>
  </si>
  <si>
    <t>486.23亿</t>
  </si>
  <si>
    <t>56.10亿</t>
  </si>
  <si>
    <t>15.60亿</t>
  </si>
  <si>
    <t>84.87亿</t>
  </si>
  <si>
    <t>3222.71万</t>
  </si>
  <si>
    <t>15.55亿</t>
  </si>
  <si>
    <t>12.51亿</t>
  </si>
  <si>
    <t>215.21万</t>
  </si>
  <si>
    <t>509.48万</t>
  </si>
  <si>
    <t>2094479亿</t>
  </si>
  <si>
    <t>36.84亿</t>
  </si>
  <si>
    <t>1941987100亿</t>
  </si>
  <si>
    <t>1008.00万</t>
  </si>
  <si>
    <t>14091069000亿</t>
  </si>
  <si>
    <t>177.02亿</t>
  </si>
  <si>
    <t>47.93亿</t>
  </si>
  <si>
    <t>5001.22万</t>
  </si>
  <si>
    <t>140.01亿</t>
  </si>
  <si>
    <t>321.10亿</t>
  </si>
  <si>
    <t>-9.38亿</t>
  </si>
  <si>
    <t>-5.41亿</t>
  </si>
  <si>
    <t>17.25亿</t>
  </si>
  <si>
    <t>729.24万</t>
  </si>
  <si>
    <t>4507.56万</t>
  </si>
  <si>
    <t>032227100</t>
  </si>
  <si>
    <t>096681300</t>
  </si>
  <si>
    <t>0193362600</t>
  </si>
  <si>
    <t>0322271000</t>
  </si>
  <si>
    <t>0644542000</t>
  </si>
  <si>
    <t>5694.94万</t>
  </si>
  <si>
    <t>5406.75万</t>
  </si>
  <si>
    <t>7.73亿</t>
  </si>
  <si>
    <t>-3431.79万</t>
  </si>
  <si>
    <t>7867.63万</t>
  </si>
  <si>
    <t>4550.30万</t>
  </si>
  <si>
    <t>724.63万</t>
  </si>
  <si>
    <t>1926.82万</t>
  </si>
  <si>
    <t>-1362932亿</t>
  </si>
  <si>
    <t>7.47万</t>
  </si>
  <si>
    <t>-19987039亿</t>
  </si>
  <si>
    <t>7705.47万</t>
  </si>
  <si>
    <t>233789370亿</t>
  </si>
  <si>
    <t>949387370亿</t>
  </si>
  <si>
    <t>9997.76万</t>
  </si>
  <si>
    <t>8500.00万</t>
  </si>
  <si>
    <t>-5088.42万</t>
  </si>
  <si>
    <t>-92.94万</t>
  </si>
  <si>
    <t>1202.60万</t>
  </si>
  <si>
    <t>537.34万</t>
  </si>
  <si>
    <t>*ST洪涛</t>
  </si>
  <si>
    <t>52.51亿</t>
  </si>
  <si>
    <t>9159.18万</t>
  </si>
  <si>
    <t>-14.04亿</t>
  </si>
  <si>
    <t>7933.71万</t>
  </si>
  <si>
    <t>144.55万</t>
  </si>
  <si>
    <t>2448.23万</t>
  </si>
  <si>
    <t>-98012845亿</t>
  </si>
  <si>
    <t>4612.85万</t>
  </si>
  <si>
    <t>2439330200亿</t>
  </si>
  <si>
    <t>190.00万</t>
  </si>
  <si>
    <t>5171165500亿</t>
  </si>
  <si>
    <t>16.39亿</t>
  </si>
  <si>
    <t>14.52亿</t>
  </si>
  <si>
    <t>7.05万</t>
  </si>
  <si>
    <t>53.13亿</t>
  </si>
  <si>
    <t>391.02万</t>
  </si>
  <si>
    <t>-342.21万</t>
  </si>
  <si>
    <t>15.12亿</t>
  </si>
  <si>
    <t>370.44万</t>
  </si>
  <si>
    <t>148.17亿</t>
  </si>
  <si>
    <t>81.60亿</t>
  </si>
  <si>
    <t>128.69亿</t>
  </si>
  <si>
    <t>21.78亿</t>
  </si>
  <si>
    <t>19.20亿</t>
  </si>
  <si>
    <t>6908.30万</t>
  </si>
  <si>
    <t>9200.44万</t>
  </si>
  <si>
    <t>485535亿</t>
  </si>
  <si>
    <t>7.97万</t>
  </si>
  <si>
    <t>56470584亿</t>
  </si>
  <si>
    <t>3346160400亿</t>
  </si>
  <si>
    <t>16993303000亿</t>
  </si>
  <si>
    <t>6489.39万</t>
  </si>
  <si>
    <t>15.16亿</t>
  </si>
  <si>
    <t>21.19亿</t>
  </si>
  <si>
    <t>71.21亿</t>
  </si>
  <si>
    <t>137.87万</t>
  </si>
  <si>
    <t>128.15亿</t>
  </si>
  <si>
    <t>-10.03亿</t>
  </si>
  <si>
    <t>-856.37万</t>
  </si>
  <si>
    <t>-2.76亿</t>
  </si>
  <si>
    <t>20.90亿</t>
  </si>
  <si>
    <t>6211.34万</t>
  </si>
  <si>
    <t>2521.02万</t>
  </si>
  <si>
    <t>2935.60万</t>
  </si>
  <si>
    <t>153.98亿</t>
  </si>
  <si>
    <t>33.84亿</t>
  </si>
  <si>
    <t>40.51亿</t>
  </si>
  <si>
    <t>-9.40亿</t>
  </si>
  <si>
    <t>10.52亿</t>
  </si>
  <si>
    <t>8.80亿</t>
  </si>
  <si>
    <t>970.91万</t>
  </si>
  <si>
    <t>2650.93万</t>
  </si>
  <si>
    <t>36468286亿</t>
  </si>
  <si>
    <t>2.33万</t>
  </si>
  <si>
    <t>-155881050亿</t>
  </si>
  <si>
    <t>1907430300亿</t>
  </si>
  <si>
    <t>469.77万</t>
  </si>
  <si>
    <t>12129404300亿</t>
  </si>
  <si>
    <t>1075.61万</t>
  </si>
  <si>
    <t>16.61亿</t>
  </si>
  <si>
    <t>81.48亿</t>
  </si>
  <si>
    <t>179.82万</t>
  </si>
  <si>
    <t>144.50亿</t>
  </si>
  <si>
    <t>9267.55万</t>
  </si>
  <si>
    <t>-3725.78万</t>
  </si>
  <si>
    <t>2153.40万</t>
  </si>
  <si>
    <t>-8844.85万</t>
  </si>
  <si>
    <t>广田集团</t>
  </si>
  <si>
    <t>1163.15万</t>
  </si>
  <si>
    <t>16.23亿</t>
  </si>
  <si>
    <t>7.16亿</t>
  </si>
  <si>
    <t>7342.99万</t>
  </si>
  <si>
    <t>10.02亿</t>
  </si>
  <si>
    <t>21.27亿</t>
  </si>
  <si>
    <t>6993.33万</t>
  </si>
  <si>
    <t>1201.22万</t>
  </si>
  <si>
    <t>3843.51万</t>
  </si>
  <si>
    <t>41.73亿</t>
  </si>
  <si>
    <t>5.42万</t>
  </si>
  <si>
    <t>-58932821亿</t>
  </si>
  <si>
    <t>4.83亿</t>
  </si>
  <si>
    <t>117539643亿</t>
  </si>
  <si>
    <t>696.51万</t>
  </si>
  <si>
    <t>863099370亿</t>
  </si>
  <si>
    <t>350.91万</t>
  </si>
  <si>
    <t>-155.93万</t>
  </si>
  <si>
    <t>-53.08亿</t>
  </si>
  <si>
    <t>-1.42亿</t>
  </si>
  <si>
    <t>7269.89万</t>
  </si>
  <si>
    <t>06381000000</t>
  </si>
  <si>
    <t>012762000000</t>
  </si>
  <si>
    <t>021270000000</t>
  </si>
  <si>
    <t>042540000000</t>
  </si>
  <si>
    <t>471.48万</t>
  </si>
  <si>
    <t>140.90亿</t>
  </si>
  <si>
    <t>93.97亿</t>
  </si>
  <si>
    <t>44.27亿</t>
  </si>
  <si>
    <t>235.39亿</t>
  </si>
  <si>
    <t>11.79亿</t>
  </si>
  <si>
    <t>43.24亿</t>
  </si>
  <si>
    <t>39.58亿</t>
  </si>
  <si>
    <t>2251.67万</t>
  </si>
  <si>
    <t>6353.25万</t>
  </si>
  <si>
    <t>-3164347亿</t>
  </si>
  <si>
    <t>209.79万</t>
  </si>
  <si>
    <t>87466266亿</t>
  </si>
  <si>
    <t>2771751800亿</t>
  </si>
  <si>
    <t>826.71万</t>
  </si>
  <si>
    <t>14297640000亿</t>
  </si>
  <si>
    <t>8306.29万</t>
  </si>
  <si>
    <t>41.69亿</t>
  </si>
  <si>
    <t>83.02亿</t>
  </si>
  <si>
    <t>37.98亿</t>
  </si>
  <si>
    <t>8421.14万</t>
  </si>
  <si>
    <t>-3.07亿</t>
  </si>
  <si>
    <t>50.18亿</t>
  </si>
  <si>
    <t>10派5.20元(含税)</t>
  </si>
  <si>
    <t>2150.61万</t>
  </si>
  <si>
    <t>2425.31万</t>
  </si>
  <si>
    <t>60.89亿</t>
  </si>
  <si>
    <t>25.27亿</t>
  </si>
  <si>
    <t>-7.39亿</t>
  </si>
  <si>
    <t>275.34万</t>
  </si>
  <si>
    <t>7324.70万</t>
  </si>
  <si>
    <t>5651296亿</t>
  </si>
  <si>
    <t>40.05万</t>
  </si>
  <si>
    <t>-49837585亿</t>
  </si>
  <si>
    <t>2928820300亿</t>
  </si>
  <si>
    <t>1039.49万</t>
  </si>
  <si>
    <t>5527043400亿</t>
  </si>
  <si>
    <t>51.77万</t>
  </si>
  <si>
    <t>13.01亿</t>
  </si>
  <si>
    <t>120.72万</t>
  </si>
  <si>
    <t>37.47亿</t>
  </si>
  <si>
    <t>-1272.17万</t>
  </si>
  <si>
    <t>-3676.92万</t>
  </si>
  <si>
    <t>5.32亿</t>
  </si>
  <si>
    <t>669.10万</t>
  </si>
  <si>
    <t>45.66亿</t>
  </si>
  <si>
    <t>30.52亿</t>
  </si>
  <si>
    <t>21.33亿</t>
  </si>
  <si>
    <t>60.97万</t>
  </si>
  <si>
    <t>3603.39万</t>
  </si>
  <si>
    <t>732381亿</t>
  </si>
  <si>
    <t>47.64万</t>
  </si>
  <si>
    <t>-63632903亿</t>
  </si>
  <si>
    <t>7.66亿</t>
  </si>
  <si>
    <t>1524105000亿</t>
  </si>
  <si>
    <t>198.94万</t>
  </si>
  <si>
    <t>3580377300亿</t>
  </si>
  <si>
    <t>9.31万</t>
  </si>
  <si>
    <t>38.54亿</t>
  </si>
  <si>
    <t>-1.72亿</t>
  </si>
  <si>
    <t>3535.62万</t>
  </si>
  <si>
    <t>25.60亿</t>
  </si>
  <si>
    <t>25.80亿</t>
  </si>
  <si>
    <t>33.34亿</t>
  </si>
  <si>
    <t>35.00亿</t>
  </si>
  <si>
    <t>-4.97亿</t>
  </si>
  <si>
    <t>2219.63万</t>
  </si>
  <si>
    <t>-2.75亿</t>
  </si>
  <si>
    <t>-10.27亿</t>
  </si>
  <si>
    <t>-5.34亿</t>
  </si>
  <si>
    <t>-1199.10万</t>
  </si>
  <si>
    <t>2287.42万</t>
  </si>
  <si>
    <t>n/a</t>
  </si>
  <si>
    <t>2018.98万</t>
  </si>
  <si>
    <t>26.37亿</t>
  </si>
  <si>
    <t>24.26亿</t>
  </si>
  <si>
    <t>6008.98万</t>
  </si>
  <si>
    <t>1808.77万</t>
  </si>
  <si>
    <t>2049.58万</t>
  </si>
  <si>
    <t>841475亿</t>
  </si>
  <si>
    <t>49.61万</t>
  </si>
  <si>
    <t>10182267亿</t>
  </si>
  <si>
    <t>674375000亿</t>
  </si>
  <si>
    <t>1602.50万</t>
  </si>
  <si>
    <t>3328823100亿</t>
  </si>
  <si>
    <t>6141.30万</t>
  </si>
  <si>
    <t>-4294.00万</t>
  </si>
  <si>
    <t>-503.61万</t>
  </si>
  <si>
    <t>1624.95万</t>
  </si>
  <si>
    <t>713.37万</t>
  </si>
  <si>
    <t>4.94亿</t>
  </si>
  <si>
    <t>315.62万</t>
  </si>
  <si>
    <t>1298.96万</t>
  </si>
  <si>
    <t>-16603457亿</t>
  </si>
  <si>
    <t>867692320亿</t>
  </si>
  <si>
    <t>328.99万</t>
  </si>
  <si>
    <t>2996697100亿</t>
  </si>
  <si>
    <t>407.91万</t>
  </si>
  <si>
    <t>26.75亿</t>
  </si>
  <si>
    <t>6.91亿</t>
  </si>
  <si>
    <t>-2128.37万</t>
  </si>
  <si>
    <t>-2108.46万</t>
  </si>
  <si>
    <t>954.55万</t>
  </si>
  <si>
    <t>111.21万</t>
  </si>
  <si>
    <t>3440.61万</t>
  </si>
  <si>
    <t>789.64万</t>
  </si>
  <si>
    <t>42.61亿</t>
  </si>
  <si>
    <t>30.66亿</t>
  </si>
  <si>
    <t>11.67亿</t>
  </si>
  <si>
    <t>449.30万</t>
  </si>
  <si>
    <t>1959.09万</t>
  </si>
  <si>
    <t>40298040亿</t>
  </si>
  <si>
    <t>63.77万</t>
  </si>
  <si>
    <t>2323976亿</t>
  </si>
  <si>
    <t>5145.58万</t>
  </si>
  <si>
    <t>962415140亿</t>
  </si>
  <si>
    <t>3080597700亿</t>
  </si>
  <si>
    <t>3107.64万</t>
  </si>
  <si>
    <t>1003.54万</t>
  </si>
  <si>
    <t>51.43万</t>
  </si>
  <si>
    <t>-3973.66万</t>
  </si>
  <si>
    <t>3105.11万</t>
  </si>
  <si>
    <t>-2373.66万</t>
  </si>
  <si>
    <t>911.07万</t>
  </si>
  <si>
    <t>415.72万</t>
  </si>
  <si>
    <t>4417.36万</t>
  </si>
  <si>
    <t>013479000</t>
  </si>
  <si>
    <t>026958000</t>
  </si>
  <si>
    <t>044930000</t>
  </si>
  <si>
    <t>089860000</t>
  </si>
  <si>
    <t>730.26万</t>
  </si>
  <si>
    <t>24.38亿</t>
  </si>
  <si>
    <t>1382.85万</t>
  </si>
  <si>
    <t>42.29万</t>
  </si>
  <si>
    <t>1748.58万</t>
  </si>
  <si>
    <t>-6816982亿</t>
  </si>
  <si>
    <t>8.62万</t>
  </si>
  <si>
    <t>-17953017亿</t>
  </si>
  <si>
    <t>816186910亿</t>
  </si>
  <si>
    <t>393.74万</t>
  </si>
  <si>
    <t>3199481800亿</t>
  </si>
  <si>
    <t>2805.88万</t>
  </si>
  <si>
    <t>1517.86万</t>
  </si>
  <si>
    <t>18.34亿</t>
  </si>
  <si>
    <t>-1.82亿</t>
  </si>
  <si>
    <t>9953.56万</t>
  </si>
  <si>
    <t>-1053.19万</t>
  </si>
  <si>
    <t>-1482.19万</t>
  </si>
  <si>
    <t>6919.38万</t>
  </si>
  <si>
    <t>041485500</t>
  </si>
  <si>
    <t>082971000</t>
  </si>
  <si>
    <t>0138285000</t>
  </si>
  <si>
    <t>0276570000</t>
  </si>
  <si>
    <t>1071.52万</t>
  </si>
  <si>
    <t>7868.79万</t>
  </si>
  <si>
    <t>29.34亿</t>
  </si>
  <si>
    <t>-2.08亿</t>
  </si>
  <si>
    <t>7634.42万</t>
  </si>
  <si>
    <t>1046492亿</t>
  </si>
  <si>
    <t>417.93万</t>
  </si>
  <si>
    <t>-120600158亿</t>
  </si>
  <si>
    <t>264454840亿</t>
  </si>
  <si>
    <t>378.26万</t>
  </si>
  <si>
    <t>1008821260亿</t>
  </si>
  <si>
    <t>78.26万</t>
  </si>
  <si>
    <t>1274.49万</t>
  </si>
  <si>
    <t>23.58亿</t>
  </si>
  <si>
    <t>1000.00万</t>
  </si>
  <si>
    <t>-3571.75万</t>
  </si>
  <si>
    <t>-37.24万</t>
  </si>
  <si>
    <t>-9029.37万</t>
  </si>
  <si>
    <t>6331.25万</t>
  </si>
  <si>
    <t>350.99万</t>
  </si>
  <si>
    <t>72.68亿</t>
  </si>
  <si>
    <t>32.67亿</t>
  </si>
  <si>
    <t>9605.06万</t>
  </si>
  <si>
    <t>9.13亿</t>
  </si>
  <si>
    <t>7.91亿</t>
  </si>
  <si>
    <t>1238.63万</t>
  </si>
  <si>
    <t>4037.11万</t>
  </si>
  <si>
    <t>-966400亿</t>
  </si>
  <si>
    <t>17.19万</t>
  </si>
  <si>
    <t>10990212亿</t>
  </si>
  <si>
    <t>7.13亿</t>
  </si>
  <si>
    <t>3352531700亿</t>
  </si>
  <si>
    <t>1899.23万</t>
  </si>
  <si>
    <t>8372071600亿</t>
  </si>
  <si>
    <t>23.52亿</t>
  </si>
  <si>
    <t>14.36亿</t>
  </si>
  <si>
    <t>65.40亿</t>
  </si>
  <si>
    <t>-6735.51万</t>
  </si>
  <si>
    <t>-141.30万</t>
  </si>
  <si>
    <t>-1.36亿</t>
  </si>
  <si>
    <t>9749.36万</t>
  </si>
  <si>
    <t>12.62亿</t>
  </si>
  <si>
    <t>1903.71万</t>
  </si>
  <si>
    <t>10派0.67元(含税)</t>
  </si>
  <si>
    <t>2093.15万</t>
  </si>
  <si>
    <t>1020.67万</t>
  </si>
  <si>
    <t>1114.79亿</t>
  </si>
  <si>
    <t>103.97亿</t>
  </si>
  <si>
    <t>191.61亿</t>
  </si>
  <si>
    <t>926.06亿</t>
  </si>
  <si>
    <t>189.05亿</t>
  </si>
  <si>
    <t>182.73亿</t>
  </si>
  <si>
    <t>554.18万</t>
  </si>
  <si>
    <t>-7571962亿</t>
  </si>
  <si>
    <t>1459.95万</t>
  </si>
  <si>
    <t>174898150亿</t>
  </si>
  <si>
    <t>69.04亿</t>
  </si>
  <si>
    <t>23720970000亿</t>
  </si>
  <si>
    <t>9919.44万</t>
  </si>
  <si>
    <t>87218208000亿</t>
  </si>
  <si>
    <t>83.72亿</t>
  </si>
  <si>
    <t>604.37亿</t>
  </si>
  <si>
    <t>1329.79万</t>
  </si>
  <si>
    <t>931.12亿</t>
  </si>
  <si>
    <t>96.53亿</t>
  </si>
  <si>
    <t>-38.12亿</t>
  </si>
  <si>
    <t>-2961.80万</t>
  </si>
  <si>
    <t>16.26亿</t>
  </si>
  <si>
    <t>219.72亿</t>
  </si>
  <si>
    <t>3.37亿</t>
  </si>
  <si>
    <t>9241.19万</t>
  </si>
  <si>
    <t>11.05亿</t>
  </si>
  <si>
    <t>494.95万</t>
  </si>
  <si>
    <t>55.38亿</t>
  </si>
  <si>
    <t>10.25亿</t>
  </si>
  <si>
    <t>8975.51万</t>
  </si>
  <si>
    <t>159.10万</t>
  </si>
  <si>
    <t>3647.03万</t>
  </si>
  <si>
    <t>7006亿</t>
  </si>
  <si>
    <t>107.34万</t>
  </si>
  <si>
    <t>-25649592亿</t>
  </si>
  <si>
    <t>1060015710亿</t>
  </si>
  <si>
    <t>116.85万</t>
  </si>
  <si>
    <t>3029927700亿</t>
  </si>
  <si>
    <t>9.10亿</t>
  </si>
  <si>
    <t>1374.43万</t>
  </si>
  <si>
    <t>22.45亿</t>
  </si>
  <si>
    <t>39.76亿</t>
  </si>
  <si>
    <t>-1.33亿</t>
  </si>
  <si>
    <t>-1748.96万</t>
  </si>
  <si>
    <t>-3.68亿</t>
  </si>
  <si>
    <t>462.58万</t>
  </si>
  <si>
    <t>2854.34万</t>
  </si>
  <si>
    <t>418.87万</t>
  </si>
  <si>
    <t>98.51亿</t>
  </si>
  <si>
    <t>-5.63亿</t>
  </si>
  <si>
    <t>8.58亿</t>
  </si>
  <si>
    <t>7.08亿</t>
  </si>
  <si>
    <t>1821.20万</t>
  </si>
  <si>
    <t>5281.46万</t>
  </si>
  <si>
    <t>-5796亿</t>
  </si>
  <si>
    <t>47.24万</t>
  </si>
  <si>
    <t>-2275865亿</t>
  </si>
  <si>
    <t>3542535900亿</t>
  </si>
  <si>
    <t>9896.00万</t>
  </si>
  <si>
    <t>6420372600亿</t>
  </si>
  <si>
    <t>5216.95万</t>
  </si>
  <si>
    <t>11.41亿</t>
  </si>
  <si>
    <t>39.17亿</t>
  </si>
  <si>
    <t>111.53万</t>
  </si>
  <si>
    <t>82.39亿</t>
  </si>
  <si>
    <t>-3585.20万</t>
  </si>
  <si>
    <t>1117.02万</t>
  </si>
  <si>
    <t>1043.29万</t>
  </si>
  <si>
    <t>1023.28万</t>
  </si>
  <si>
    <t>7628.34万</t>
  </si>
  <si>
    <t>-5-0</t>
  </si>
  <si>
    <t>284.58万</t>
  </si>
  <si>
    <t>14.34亿</t>
  </si>
  <si>
    <t>-4846.33万</t>
  </si>
  <si>
    <t>554.65万</t>
  </si>
  <si>
    <t>2800.96万</t>
  </si>
  <si>
    <t>3841196亿</t>
  </si>
  <si>
    <t>75.22万</t>
  </si>
  <si>
    <t>35322540亿</t>
  </si>
  <si>
    <t>387188110亿</t>
  </si>
  <si>
    <t>1291.14万</t>
  </si>
  <si>
    <t>1911516300亿</t>
  </si>
  <si>
    <t>1172.74万</t>
  </si>
  <si>
    <t>142.64万</t>
  </si>
  <si>
    <t>1000.26万</t>
  </si>
  <si>
    <t>-589.61万</t>
  </si>
  <si>
    <t>-8694.96万</t>
  </si>
  <si>
    <t>-5118.49万</t>
  </si>
  <si>
    <t>625.28万</t>
  </si>
  <si>
    <t>1894.42万</t>
  </si>
  <si>
    <t>3968.29万</t>
  </si>
  <si>
    <t>52.61亿</t>
  </si>
  <si>
    <t>27.45亿</t>
  </si>
  <si>
    <t>38.57亿</t>
  </si>
  <si>
    <t>-7.02亿</t>
  </si>
  <si>
    <t>470.80万</t>
  </si>
  <si>
    <t>4840.50万</t>
  </si>
  <si>
    <t>648825亿</t>
  </si>
  <si>
    <t>5.55万</t>
  </si>
  <si>
    <t>-88002026亿</t>
  </si>
  <si>
    <t>2097069600亿</t>
  </si>
  <si>
    <t>2563.93万</t>
  </si>
  <si>
    <t>5748450800亿</t>
  </si>
  <si>
    <t>5.01亿</t>
  </si>
  <si>
    <t>613.09万</t>
  </si>
  <si>
    <t>10.09亿</t>
  </si>
  <si>
    <t>57.64万</t>
  </si>
  <si>
    <t>32.78亿</t>
  </si>
  <si>
    <t>-2.27亿</t>
  </si>
  <si>
    <t>-1261.11万</t>
  </si>
  <si>
    <t>-6437.55万</t>
  </si>
  <si>
    <t>1117.80万</t>
  </si>
  <si>
    <t>9029.59万</t>
  </si>
  <si>
    <t>-1542.91万</t>
  </si>
  <si>
    <t>141.36万</t>
  </si>
  <si>
    <t>7.54亿</t>
  </si>
  <si>
    <t>7.84亿</t>
  </si>
  <si>
    <t>3908.81万</t>
  </si>
  <si>
    <t>9260.41万</t>
  </si>
  <si>
    <t>1956.35万</t>
  </si>
  <si>
    <t>1610.26万</t>
  </si>
  <si>
    <t>2664835亿</t>
  </si>
  <si>
    <t>8.79万</t>
  </si>
  <si>
    <t>3556023亿</t>
  </si>
  <si>
    <t>874508亿</t>
  </si>
  <si>
    <t>939510720亿</t>
  </si>
  <si>
    <t>2037.92万</t>
  </si>
  <si>
    <t>-6720.02万</t>
  </si>
  <si>
    <t>9043.73万</t>
  </si>
  <si>
    <t>-517.79万</t>
  </si>
  <si>
    <t>10派2.4元(含税)</t>
  </si>
  <si>
    <t>677.54万</t>
  </si>
  <si>
    <t>7300.87万</t>
  </si>
  <si>
    <t>-6-0</t>
  </si>
  <si>
    <t>480.50万</t>
  </si>
  <si>
    <t>17.93亿</t>
  </si>
  <si>
    <t>236.88万</t>
  </si>
  <si>
    <t>1372.76万</t>
  </si>
  <si>
    <t>-73782亿</t>
  </si>
  <si>
    <t>4444407亿</t>
  </si>
  <si>
    <t>7281.97万</t>
  </si>
  <si>
    <t>887846700亿</t>
  </si>
  <si>
    <t>9.50万</t>
  </si>
  <si>
    <t>1486321400亿</t>
  </si>
  <si>
    <t>3829.29万</t>
  </si>
  <si>
    <t>16.00亿</t>
  </si>
  <si>
    <t>4865.00万</t>
  </si>
  <si>
    <t>-4713.18万</t>
  </si>
  <si>
    <t>-26.79万</t>
  </si>
  <si>
    <t>868.92万</t>
  </si>
  <si>
    <t>-525.51万</t>
  </si>
  <si>
    <t>2236.27万</t>
  </si>
  <si>
    <t>192.65万</t>
  </si>
  <si>
    <t>4277.89万</t>
  </si>
  <si>
    <t>9057.23万</t>
  </si>
  <si>
    <t>188.76万</t>
  </si>
  <si>
    <t>2798.55万</t>
  </si>
  <si>
    <t>347603亿</t>
  </si>
  <si>
    <t>20.20万</t>
  </si>
  <si>
    <t>9452378亿</t>
  </si>
  <si>
    <t>292978470亿</t>
  </si>
  <si>
    <t>376.54万</t>
  </si>
  <si>
    <t>1039477760亿</t>
  </si>
  <si>
    <t>9179.50万</t>
  </si>
  <si>
    <t>-2117.95万</t>
  </si>
  <si>
    <t>-1042.64万</t>
  </si>
  <si>
    <t>-80.06万</t>
  </si>
  <si>
    <t>5174.56万</t>
  </si>
  <si>
    <t>1104.90万</t>
  </si>
  <si>
    <t>10派0.65元(含税)</t>
  </si>
  <si>
    <t>1427.48万</t>
  </si>
  <si>
    <t>500.01万</t>
  </si>
  <si>
    <t>146.06亿</t>
  </si>
  <si>
    <t>47.33亿</t>
  </si>
  <si>
    <t>3.98亿</t>
  </si>
  <si>
    <t>80.92亿</t>
  </si>
  <si>
    <t>300.17万</t>
  </si>
  <si>
    <t>5227.74万</t>
  </si>
  <si>
    <t>3992120亿</t>
  </si>
  <si>
    <t>16.27万</t>
  </si>
  <si>
    <t>-17226851亿</t>
  </si>
  <si>
    <t>26.52亿</t>
  </si>
  <si>
    <t>2110453800亿</t>
  </si>
  <si>
    <t>302.96万</t>
  </si>
  <si>
    <t>8946843700亿</t>
  </si>
  <si>
    <t>217.62万</t>
  </si>
  <si>
    <t>30.12亿</t>
  </si>
  <si>
    <t>151.83万</t>
  </si>
  <si>
    <t>74.75亿</t>
  </si>
  <si>
    <t>47.42亿</t>
  </si>
  <si>
    <t>236.59万</t>
  </si>
  <si>
    <t>5798.82万</t>
  </si>
  <si>
    <t>692.66万</t>
  </si>
  <si>
    <t>3814.85万</t>
  </si>
  <si>
    <t>121.72万</t>
  </si>
  <si>
    <t>15.97亿</t>
  </si>
  <si>
    <t>754.27万</t>
  </si>
  <si>
    <t>2848.66万</t>
  </si>
  <si>
    <t>-75306亿</t>
  </si>
  <si>
    <t>32.69万</t>
  </si>
  <si>
    <t>1741847亿</t>
  </si>
  <si>
    <t>449650600亿</t>
  </si>
  <si>
    <t>301.30万</t>
  </si>
  <si>
    <t>1822675400亿</t>
  </si>
  <si>
    <t>429.62万</t>
  </si>
  <si>
    <t>-9483.36万</t>
  </si>
  <si>
    <t>-8768.58万</t>
  </si>
  <si>
    <t>-588.00万</t>
  </si>
  <si>
    <t>414.48万</t>
  </si>
  <si>
    <t>10派8.0元(含税)</t>
  </si>
  <si>
    <t>835.90万</t>
  </si>
  <si>
    <t>9203.53万</t>
  </si>
  <si>
    <t>207.24万</t>
  </si>
  <si>
    <t>15.35亿</t>
  </si>
  <si>
    <t>5.38亿</t>
  </si>
  <si>
    <t>1780.73万</t>
  </si>
  <si>
    <t>9730.62万</t>
  </si>
  <si>
    <t>947.63万</t>
  </si>
  <si>
    <t>1783.51万</t>
  </si>
  <si>
    <t>1375903亿</t>
  </si>
  <si>
    <t>7166157亿</t>
  </si>
  <si>
    <t>5085.95万</t>
  </si>
  <si>
    <t>437632580亿</t>
  </si>
  <si>
    <t>2726.41万</t>
  </si>
  <si>
    <t>1505859400亿</t>
  </si>
  <si>
    <t>735.80万</t>
  </si>
  <si>
    <t>-393.15万</t>
  </si>
  <si>
    <t>179.94万</t>
  </si>
  <si>
    <t>1233.54万</t>
  </si>
  <si>
    <t>017807300</t>
  </si>
  <si>
    <t>053421900</t>
  </si>
  <si>
    <t>0106843800</t>
  </si>
  <si>
    <t>0178073000</t>
  </si>
  <si>
    <t>0356146000</t>
  </si>
  <si>
    <t>126.05万</t>
  </si>
  <si>
    <t>16.60亿</t>
  </si>
  <si>
    <t>8858.05万</t>
  </si>
  <si>
    <t>8.23亿</t>
  </si>
  <si>
    <t>833.53万</t>
  </si>
  <si>
    <t>7747.79万</t>
  </si>
  <si>
    <t>118.66万</t>
  </si>
  <si>
    <t>1442.59万</t>
  </si>
  <si>
    <t>938136亿</t>
  </si>
  <si>
    <t>-12004107亿</t>
  </si>
  <si>
    <t>2115323000亿</t>
  </si>
  <si>
    <t>-6058.27万</t>
  </si>
  <si>
    <t>4153.54万</t>
  </si>
  <si>
    <t>4966.29万</t>
  </si>
  <si>
    <t>3149.10万</t>
  </si>
  <si>
    <t>1051.25万</t>
  </si>
  <si>
    <t>8189.43万</t>
  </si>
  <si>
    <t>250.90万</t>
  </si>
  <si>
    <t>1890.86万</t>
  </si>
  <si>
    <t>277.60万</t>
  </si>
  <si>
    <t>1612.71万</t>
  </si>
  <si>
    <t>601365亿</t>
  </si>
  <si>
    <t>2.50万</t>
  </si>
  <si>
    <t>2836982亿</t>
  </si>
  <si>
    <t>650834640亿</t>
  </si>
  <si>
    <t>7442.71万</t>
  </si>
  <si>
    <t>1606516700亿</t>
  </si>
  <si>
    <t>326.27万</t>
  </si>
  <si>
    <t>2341.34万</t>
  </si>
  <si>
    <t>8861.14万</t>
  </si>
  <si>
    <t>-6725.57万</t>
  </si>
  <si>
    <t>-4667.76万</t>
  </si>
  <si>
    <t>-2519.21万</t>
  </si>
  <si>
    <t>-965.21万</t>
  </si>
  <si>
    <t>10派1.206046元(含税)</t>
  </si>
  <si>
    <t>1383.34万</t>
  </si>
  <si>
    <t>138.28万</t>
  </si>
  <si>
    <t>33.12亿</t>
  </si>
  <si>
    <t>26.26亿</t>
  </si>
  <si>
    <t>4.81亿</t>
  </si>
  <si>
    <t>1481.73万</t>
  </si>
  <si>
    <t>4088.01万</t>
  </si>
  <si>
    <t>3127363亿</t>
  </si>
  <si>
    <t>102966582亿</t>
  </si>
  <si>
    <t>323422140亿</t>
  </si>
  <si>
    <t>3189.18万</t>
  </si>
  <si>
    <t>3541119300亿</t>
  </si>
  <si>
    <t>2295.55万</t>
  </si>
  <si>
    <t>7.28亿</t>
  </si>
  <si>
    <t>27.13亿</t>
  </si>
  <si>
    <t>-5.11亿</t>
  </si>
  <si>
    <t>-8654.99万</t>
  </si>
  <si>
    <t>5719.58万</t>
  </si>
  <si>
    <t>10派4.9元(含税)</t>
  </si>
  <si>
    <t>938.29万</t>
  </si>
  <si>
    <t>8843.67万</t>
  </si>
  <si>
    <t>143.62万</t>
  </si>
  <si>
    <t>2602.02万</t>
  </si>
  <si>
    <t>5460.88万</t>
  </si>
  <si>
    <t>-858.23万</t>
  </si>
  <si>
    <t>5103.17万</t>
  </si>
  <si>
    <t>4519.83万</t>
  </si>
  <si>
    <t>551.57万</t>
  </si>
  <si>
    <t>2764039亿</t>
  </si>
  <si>
    <t>2762.52万</t>
  </si>
  <si>
    <t>224058470亿</t>
  </si>
  <si>
    <t>3171.66万</t>
  </si>
  <si>
    <t>356553280亿</t>
  </si>
  <si>
    <t>332.50万</t>
  </si>
  <si>
    <t>-1953.80万</t>
  </si>
  <si>
    <t>-15.76万</t>
  </si>
  <si>
    <t>1261.29万</t>
  </si>
  <si>
    <t>2331.01万</t>
  </si>
  <si>
    <t>-900.26万</t>
  </si>
  <si>
    <t>876.76万</t>
  </si>
  <si>
    <t>6919.49万</t>
  </si>
  <si>
    <t>*ST嘉寓</t>
  </si>
  <si>
    <t>6703.92万</t>
  </si>
  <si>
    <t>39.91亿</t>
  </si>
  <si>
    <t>-15.00亿</t>
  </si>
  <si>
    <t>12.04亿</t>
  </si>
  <si>
    <t>-15.02亿</t>
  </si>
  <si>
    <t>9881.73万</t>
  </si>
  <si>
    <t>1552.24万</t>
  </si>
  <si>
    <t>119.51万</t>
  </si>
  <si>
    <t>-7416722亿</t>
  </si>
  <si>
    <t>3419.98万</t>
  </si>
  <si>
    <t>544037570亿</t>
  </si>
  <si>
    <t>99.95万</t>
  </si>
  <si>
    <t>1390286700亿</t>
  </si>
  <si>
    <t>4014.65万</t>
  </si>
  <si>
    <t>14.62亿</t>
  </si>
  <si>
    <t>36.79亿</t>
  </si>
  <si>
    <t>-1156.00万</t>
  </si>
  <si>
    <t>-78.38万</t>
  </si>
  <si>
    <t>1222.58万</t>
  </si>
  <si>
    <t>532.58万</t>
  </si>
  <si>
    <t>-10-1</t>
  </si>
  <si>
    <t>3828.75万</t>
  </si>
  <si>
    <t>71.92亿</t>
  </si>
  <si>
    <t>87.63亿</t>
  </si>
  <si>
    <t>8.89亿</t>
  </si>
  <si>
    <t>52.78亿</t>
  </si>
  <si>
    <t>6.65亿</t>
  </si>
  <si>
    <t>2103.19万</t>
  </si>
  <si>
    <t>-1060694亿</t>
  </si>
  <si>
    <t>179.44万</t>
  </si>
  <si>
    <t>49685621亿</t>
  </si>
  <si>
    <t>39.25亿</t>
  </si>
  <si>
    <t>4616391600亿</t>
  </si>
  <si>
    <t>3629.08万</t>
  </si>
  <si>
    <t>13149769800亿</t>
  </si>
  <si>
    <t>3526.13万</t>
  </si>
  <si>
    <t>29.92亿</t>
  </si>
  <si>
    <t>7642.74万</t>
  </si>
  <si>
    <t>26.59亿</t>
  </si>
  <si>
    <t>203.06万</t>
  </si>
  <si>
    <t>74.58亿</t>
  </si>
  <si>
    <t>-5.18亿</t>
  </si>
  <si>
    <t>-2.33亿</t>
  </si>
  <si>
    <t>11.37亿</t>
  </si>
  <si>
    <t>5039.84万</t>
  </si>
  <si>
    <t>10派1.15元(含税)</t>
  </si>
  <si>
    <t>21.88亿</t>
  </si>
  <si>
    <t>0330000000</t>
  </si>
  <si>
    <t>0990000000</t>
  </si>
  <si>
    <t>01980000000</t>
  </si>
  <si>
    <t>03300000000</t>
  </si>
  <si>
    <t>06600000000</t>
  </si>
  <si>
    <t>6-1</t>
  </si>
  <si>
    <t>230.21万</t>
  </si>
  <si>
    <t>13.04亿</t>
  </si>
  <si>
    <t>26.66亿</t>
  </si>
  <si>
    <t>485.64万</t>
  </si>
  <si>
    <t>1776.52万</t>
  </si>
  <si>
    <t>6826075亿</t>
  </si>
  <si>
    <t>79177492亿</t>
  </si>
  <si>
    <t>6294698亿</t>
  </si>
  <si>
    <t>2555695800亿</t>
  </si>
  <si>
    <t>5825.44万</t>
  </si>
  <si>
    <t>7.39万</t>
  </si>
  <si>
    <t>5400.00万</t>
  </si>
  <si>
    <t>2290.89万</t>
  </si>
  <si>
    <t>847.35万</t>
  </si>
  <si>
    <t>-50.05万</t>
  </si>
  <si>
    <t>6813.77万</t>
  </si>
  <si>
    <t>10派4.8元(含税)</t>
  </si>
  <si>
    <t>1297.14万</t>
  </si>
  <si>
    <t>7193.67万</t>
  </si>
  <si>
    <t>60.73万</t>
  </si>
  <si>
    <t>-9196.87万</t>
  </si>
  <si>
    <t>1897572亿</t>
  </si>
  <si>
    <t>17.44万</t>
  </si>
  <si>
    <t>56834192亿</t>
  </si>
  <si>
    <t>249505140亿</t>
  </si>
  <si>
    <t>940872840亿</t>
  </si>
  <si>
    <t>4873.52万</t>
  </si>
  <si>
    <t>11.20万</t>
  </si>
  <si>
    <t>-3.85亿</t>
  </si>
  <si>
    <t>-4231.37万</t>
  </si>
  <si>
    <t>1096.16万</t>
  </si>
  <si>
    <t>1513.78万</t>
  </si>
  <si>
    <t>-257.60万</t>
  </si>
  <si>
    <t>274.01万</t>
  </si>
  <si>
    <t>1587.95万</t>
  </si>
  <si>
    <t>447.18万</t>
  </si>
  <si>
    <t>21.79亿</t>
  </si>
  <si>
    <t>12.66亿</t>
  </si>
  <si>
    <t>-3.31亿</t>
  </si>
  <si>
    <t>705.22万</t>
  </si>
  <si>
    <t>3128.95万</t>
  </si>
  <si>
    <t>1655909亿</t>
  </si>
  <si>
    <t>4560956亿</t>
  </si>
  <si>
    <t>963055650亿</t>
  </si>
  <si>
    <t>3267.57万</t>
  </si>
  <si>
    <t>2391837500亿</t>
  </si>
  <si>
    <t>1805.00万</t>
  </si>
  <si>
    <t>18.68亿</t>
  </si>
  <si>
    <t>-4815.65万</t>
  </si>
  <si>
    <t>276.78万</t>
  </si>
  <si>
    <t>5781.96万</t>
  </si>
  <si>
    <t>2090.63万</t>
  </si>
  <si>
    <t>4418.68万</t>
  </si>
  <si>
    <t>*ST名家</t>
  </si>
  <si>
    <t>3353.05万</t>
  </si>
  <si>
    <t>2478.90万</t>
  </si>
  <si>
    <t>8112.64万</t>
  </si>
  <si>
    <t>-3.76亿</t>
  </si>
  <si>
    <t>4503.53万</t>
  </si>
  <si>
    <t>2027.62万</t>
  </si>
  <si>
    <t>680.33万</t>
  </si>
  <si>
    <t>1254.99万</t>
  </si>
  <si>
    <t>701636亿</t>
  </si>
  <si>
    <t>16.76万</t>
  </si>
  <si>
    <t>10341592亿</t>
  </si>
  <si>
    <t>1182.24万</t>
  </si>
  <si>
    <t>398028700亿</t>
  </si>
  <si>
    <t>2.41万</t>
  </si>
  <si>
    <t>643136850亿</t>
  </si>
  <si>
    <t>4906.74万</t>
  </si>
  <si>
    <t>4.15亿</t>
  </si>
  <si>
    <t>2.75万</t>
  </si>
  <si>
    <t>2239.62万</t>
  </si>
  <si>
    <t>-44.80万</t>
  </si>
  <si>
    <t>-20.44万</t>
  </si>
  <si>
    <t>-496.05万</t>
  </si>
  <si>
    <t>2838.98万</t>
  </si>
  <si>
    <t>1586.05万</t>
  </si>
  <si>
    <t>565.29万</t>
  </si>
  <si>
    <t>5.78亿</t>
  </si>
  <si>
    <t>10.72亿</t>
  </si>
  <si>
    <t>604.76万</t>
  </si>
  <si>
    <t>8593.99万</t>
  </si>
  <si>
    <t>87.40万</t>
  </si>
  <si>
    <t>938.37万</t>
  </si>
  <si>
    <t>31660亿</t>
  </si>
  <si>
    <t>649.02万</t>
  </si>
  <si>
    <t>7249743亿</t>
  </si>
  <si>
    <t>595463530亿</t>
  </si>
  <si>
    <t>3380.82万</t>
  </si>
  <si>
    <t>1359398400亿</t>
  </si>
  <si>
    <t>516.84万</t>
  </si>
  <si>
    <t>3020.00万</t>
  </si>
  <si>
    <t>4.41亿</t>
  </si>
  <si>
    <t>8030.64万</t>
  </si>
  <si>
    <t>-4070.46万</t>
  </si>
  <si>
    <t>-1709.93万</t>
  </si>
  <si>
    <t>8574.63万</t>
  </si>
  <si>
    <t>664.80万</t>
  </si>
  <si>
    <t>2435.62万</t>
  </si>
  <si>
    <t>*ST农尚</t>
  </si>
  <si>
    <t>308.30万</t>
  </si>
  <si>
    <t>6172.33万</t>
  </si>
  <si>
    <t>7142.74万</t>
  </si>
  <si>
    <t>-2976.66万</t>
  </si>
  <si>
    <t>4546.14万</t>
  </si>
  <si>
    <t>3626.84万</t>
  </si>
  <si>
    <t>7.55万</t>
  </si>
  <si>
    <t>684.28万</t>
  </si>
  <si>
    <t>98.50万</t>
  </si>
  <si>
    <t>12477208亿</t>
  </si>
  <si>
    <t>6924.05万</t>
  </si>
  <si>
    <t>504841930亿</t>
  </si>
  <si>
    <t>750743120亿</t>
  </si>
  <si>
    <t>3000.00万</t>
  </si>
  <si>
    <t>38.23万</t>
  </si>
  <si>
    <t>505.33万</t>
  </si>
  <si>
    <t>518.66万</t>
  </si>
  <si>
    <t>-62.17万</t>
  </si>
  <si>
    <t>231.20万</t>
  </si>
  <si>
    <t>5923.49万</t>
  </si>
  <si>
    <t>2419.22万</t>
  </si>
  <si>
    <t>114.48万</t>
  </si>
  <si>
    <t>13.06亿</t>
  </si>
  <si>
    <t>6686.86万</t>
  </si>
  <si>
    <t>8299.97万</t>
  </si>
  <si>
    <t>8757.16万</t>
  </si>
  <si>
    <t>315.26万</t>
  </si>
  <si>
    <t>1613.35万</t>
  </si>
  <si>
    <t>3334410亿</t>
  </si>
  <si>
    <t>-60688585亿</t>
  </si>
  <si>
    <t>124985565亿</t>
  </si>
  <si>
    <t>106.40万</t>
  </si>
  <si>
    <t>1435237400亿</t>
  </si>
  <si>
    <t>7560.66万</t>
  </si>
  <si>
    <t>79.51万</t>
  </si>
  <si>
    <t>-7090.01万</t>
  </si>
  <si>
    <t>-7209.84万</t>
  </si>
  <si>
    <t>-319.24万</t>
  </si>
  <si>
    <t>-1474.63万</t>
  </si>
  <si>
    <t>10派5元(含税)</t>
  </si>
  <si>
    <t>756.54万</t>
  </si>
  <si>
    <t>5874.50万</t>
  </si>
  <si>
    <t>0248999100</t>
  </si>
  <si>
    <t>0497998200</t>
  </si>
  <si>
    <t>0829997000</t>
  </si>
  <si>
    <t>01659994000</t>
  </si>
  <si>
    <t>246.45万</t>
  </si>
  <si>
    <t>123.05亿</t>
  </si>
  <si>
    <t>155.29亿</t>
  </si>
  <si>
    <t>796.21万</t>
  </si>
  <si>
    <t>38.46亿</t>
  </si>
  <si>
    <t>581.60万</t>
  </si>
  <si>
    <t>5240.39万</t>
  </si>
  <si>
    <t>10.23万</t>
  </si>
  <si>
    <t>4192124亿</t>
  </si>
  <si>
    <t>10.88亿</t>
  </si>
  <si>
    <t>2254615900亿</t>
  </si>
  <si>
    <t>252.49万</t>
  </si>
  <si>
    <t>12491283700亿</t>
  </si>
  <si>
    <t>1152.88万</t>
  </si>
  <si>
    <t>6543.22万</t>
  </si>
  <si>
    <t>96.41亿</t>
  </si>
  <si>
    <t>-4.57亿</t>
  </si>
  <si>
    <t>-11.52万</t>
  </si>
  <si>
    <t>2085.97万</t>
  </si>
  <si>
    <t>147.94亿</t>
  </si>
  <si>
    <t>555.52万</t>
  </si>
  <si>
    <t>35.11亿</t>
  </si>
  <si>
    <t>-978.55万</t>
  </si>
  <si>
    <t>10派0.1元(含税)</t>
  </si>
  <si>
    <t>1972.39万</t>
  </si>
  <si>
    <t>278.76万</t>
  </si>
  <si>
    <t>415.64万</t>
  </si>
  <si>
    <t>322.09万</t>
  </si>
  <si>
    <t>2240.90万</t>
  </si>
  <si>
    <t>258965亿</t>
  </si>
  <si>
    <t>544028亿</t>
  </si>
  <si>
    <t>152466200亿</t>
  </si>
  <si>
    <t>423.83万</t>
  </si>
  <si>
    <t>878121370亿</t>
  </si>
  <si>
    <t>218.93万</t>
  </si>
  <si>
    <t>8070.60万</t>
  </si>
  <si>
    <t>-2823.20万</t>
  </si>
  <si>
    <t>-861.99万</t>
  </si>
  <si>
    <t>1890.95万</t>
  </si>
  <si>
    <t>1051.71万</t>
  </si>
  <si>
    <t>1396.31万</t>
  </si>
  <si>
    <t>192.11万</t>
  </si>
  <si>
    <t>6563.59万</t>
  </si>
  <si>
    <t>934.23万</t>
  </si>
  <si>
    <t>5724.48万</t>
  </si>
  <si>
    <t>4456.67万</t>
  </si>
  <si>
    <t>80.20万</t>
  </si>
  <si>
    <t>830.80万</t>
  </si>
  <si>
    <t>2594826亿</t>
  </si>
  <si>
    <t>5358036亿</t>
  </si>
  <si>
    <t>168309890亿</t>
  </si>
  <si>
    <t>310.20万</t>
  </si>
  <si>
    <t>727362750亿</t>
  </si>
  <si>
    <t>4.84亿</t>
  </si>
  <si>
    <t>-1592.24万</t>
  </si>
  <si>
    <t>-32.34万</t>
  </si>
  <si>
    <t>-18.94万</t>
  </si>
  <si>
    <t>7114.49万</t>
  </si>
  <si>
    <t>1053.32万</t>
  </si>
  <si>
    <t>1558.28万</t>
  </si>
  <si>
    <t>09342300</t>
  </si>
  <si>
    <t>028026900</t>
  </si>
  <si>
    <t>056053800</t>
  </si>
  <si>
    <t>093423000</t>
  </si>
  <si>
    <t>0186846000</t>
  </si>
  <si>
    <t>55.42万</t>
  </si>
  <si>
    <t>7.80亿</t>
  </si>
  <si>
    <t>9880.47万</t>
  </si>
  <si>
    <t>5737.41万</t>
  </si>
  <si>
    <t>8473.45万</t>
  </si>
  <si>
    <t>217.48万</t>
  </si>
  <si>
    <t>1474.10万</t>
  </si>
  <si>
    <t>727265亿</t>
  </si>
  <si>
    <t>-10412783亿</t>
  </si>
  <si>
    <t>558382890亿</t>
  </si>
  <si>
    <t>96.32万</t>
  </si>
  <si>
    <t>973935120亿</t>
  </si>
  <si>
    <t>-4450.80万</t>
  </si>
  <si>
    <t>-574.69万</t>
  </si>
  <si>
    <t>2788.31万</t>
  </si>
  <si>
    <t>2287.80万</t>
  </si>
  <si>
    <t>587.21万</t>
  </si>
  <si>
    <t>458.31万</t>
  </si>
  <si>
    <t>3325.60万</t>
  </si>
  <si>
    <t>463.74万</t>
  </si>
  <si>
    <t>6.14亿</t>
  </si>
  <si>
    <t>5793.22万</t>
  </si>
  <si>
    <t>2362.64万</t>
  </si>
  <si>
    <t>7676.93万</t>
  </si>
  <si>
    <t>5110.57万</t>
  </si>
  <si>
    <t>438.58万</t>
  </si>
  <si>
    <t>1093.26万</t>
  </si>
  <si>
    <t>-113700亿</t>
  </si>
  <si>
    <t>135.21万</t>
  </si>
  <si>
    <t>-23078366亿</t>
  </si>
  <si>
    <t>347087920亿</t>
  </si>
  <si>
    <t>64.21万</t>
  </si>
  <si>
    <t>629181470亿</t>
  </si>
  <si>
    <t>500.16万</t>
  </si>
  <si>
    <t>-4483.61万</t>
  </si>
  <si>
    <t>-294.44万</t>
  </si>
  <si>
    <t>1045.79万</t>
  </si>
  <si>
    <t>5931.70万</t>
  </si>
  <si>
    <t>-3851.65万</t>
  </si>
  <si>
    <t>10派0.40元(含税)</t>
  </si>
  <si>
    <t>5251.08万</t>
  </si>
  <si>
    <t>1.76亿</t>
  </si>
  <si>
    <t>96.23万</t>
  </si>
  <si>
    <t>28.85亿</t>
  </si>
  <si>
    <t>20.34亿</t>
  </si>
  <si>
    <t>5432.92万</t>
  </si>
  <si>
    <t>1560.80万</t>
  </si>
  <si>
    <t>3355.16万</t>
  </si>
  <si>
    <t>-697283亿</t>
  </si>
  <si>
    <t>19.25万</t>
  </si>
  <si>
    <t>16150428亿</t>
  </si>
  <si>
    <t>1256146530亿</t>
  </si>
  <si>
    <t>1291.39万</t>
  </si>
  <si>
    <t>2854422400亿</t>
  </si>
  <si>
    <t>-1.26亿</t>
  </si>
  <si>
    <t>-3411.41万</t>
  </si>
  <si>
    <t>8390.73万</t>
  </si>
  <si>
    <t>1745.39万</t>
  </si>
  <si>
    <t>459.24万</t>
  </si>
  <si>
    <t>4084.43万</t>
  </si>
  <si>
    <t>1162.89万</t>
  </si>
  <si>
    <t>38.20亿</t>
  </si>
  <si>
    <t>29.57亿</t>
  </si>
  <si>
    <t>23.27亿</t>
  </si>
  <si>
    <t>1186.64万</t>
  </si>
  <si>
    <t>3267.71万</t>
  </si>
  <si>
    <t>-77722亿</t>
  </si>
  <si>
    <t>2.03万</t>
  </si>
  <si>
    <t>-34257685亿</t>
  </si>
  <si>
    <t>8.65亿</t>
  </si>
  <si>
    <t>2005980100亿</t>
  </si>
  <si>
    <t>4783.10万</t>
  </si>
  <si>
    <t>5318761700亿</t>
  </si>
  <si>
    <t>910.47万</t>
  </si>
  <si>
    <t>1129.82万</t>
  </si>
  <si>
    <t>1167.85万</t>
  </si>
  <si>
    <t>1058.58万</t>
  </si>
  <si>
    <t>25.71亿</t>
  </si>
  <si>
    <t>-8278.94万</t>
  </si>
  <si>
    <t>4157.46万</t>
  </si>
  <si>
    <t>9018.87万</t>
  </si>
  <si>
    <t>251.33万</t>
  </si>
  <si>
    <t>13.86亿</t>
  </si>
  <si>
    <t>12.81亿</t>
  </si>
  <si>
    <t>1092.20万</t>
  </si>
  <si>
    <t>882.74万</t>
  </si>
  <si>
    <t>2546.56万</t>
  </si>
  <si>
    <t>1025783亿</t>
  </si>
  <si>
    <t>2088016亿</t>
  </si>
  <si>
    <t>377038990亿</t>
  </si>
  <si>
    <t>262.03万</t>
  </si>
  <si>
    <t>1618687500亿</t>
  </si>
  <si>
    <t>41.28万</t>
  </si>
  <si>
    <t>8.95亿</t>
  </si>
  <si>
    <t>10.73亿</t>
  </si>
  <si>
    <t>-16.09万</t>
  </si>
  <si>
    <t>-42.09万</t>
  </si>
  <si>
    <t>1641.77万</t>
  </si>
  <si>
    <t>935.14万</t>
  </si>
  <si>
    <t>2053.95万</t>
  </si>
  <si>
    <t>609.45万</t>
  </si>
  <si>
    <t>5920.10万</t>
  </si>
  <si>
    <t>-5236.21万</t>
  </si>
  <si>
    <t>5989.06万</t>
  </si>
  <si>
    <t>4492.93万</t>
  </si>
  <si>
    <t>285.54万</t>
  </si>
  <si>
    <t>1357.31万</t>
  </si>
  <si>
    <t>-19013142亿</t>
  </si>
  <si>
    <t>-14953745亿</t>
  </si>
  <si>
    <t>233906140亿</t>
  </si>
  <si>
    <t>20.67万</t>
  </si>
  <si>
    <t>1376634500亿</t>
  </si>
  <si>
    <t>9287.68万</t>
  </si>
  <si>
    <t>-1792.82万</t>
  </si>
  <si>
    <t>-1099.45万</t>
  </si>
  <si>
    <t>-42.59万</t>
  </si>
  <si>
    <t>6028.92万</t>
  </si>
  <si>
    <t>-1140.13万</t>
  </si>
  <si>
    <t>5243.57万</t>
  </si>
  <si>
    <t>989.24万</t>
  </si>
  <si>
    <t>12.16亿</t>
  </si>
  <si>
    <t>9898.12万</t>
  </si>
  <si>
    <t>49.33亿</t>
  </si>
  <si>
    <t>7017.65万</t>
  </si>
  <si>
    <t>658.51万</t>
  </si>
  <si>
    <t>1564.63万</t>
  </si>
  <si>
    <t>23682亿</t>
  </si>
  <si>
    <t>3933510亿</t>
  </si>
  <si>
    <t>478843560亿</t>
  </si>
  <si>
    <t>1609.73万</t>
  </si>
  <si>
    <t>2062036300亿</t>
  </si>
  <si>
    <t>2.42万</t>
  </si>
  <si>
    <t>1271.19万</t>
  </si>
  <si>
    <t>174.07万</t>
  </si>
  <si>
    <t>-1404.06万</t>
  </si>
  <si>
    <t>-1273.86万</t>
  </si>
  <si>
    <t>4494.67万</t>
  </si>
  <si>
    <t>3651.66万</t>
  </si>
  <si>
    <t>6948.39万</t>
  </si>
  <si>
    <t>160.14万</t>
  </si>
  <si>
    <t>7.45亿</t>
  </si>
  <si>
    <t>8437.84万</t>
  </si>
  <si>
    <t>5033.95万</t>
  </si>
  <si>
    <t>7339.74万</t>
  </si>
  <si>
    <t>4222.21万</t>
  </si>
  <si>
    <t>744.46万</t>
  </si>
  <si>
    <t>1415.86万</t>
  </si>
  <si>
    <t>2654306亿</t>
  </si>
  <si>
    <t>5.63万</t>
  </si>
  <si>
    <t>5652202亿</t>
  </si>
  <si>
    <t>234404130亿</t>
  </si>
  <si>
    <t>62.73万</t>
  </si>
  <si>
    <t>741260580亿</t>
  </si>
  <si>
    <t>3196.68万</t>
  </si>
  <si>
    <t>1694.90万</t>
  </si>
  <si>
    <t>-1766.93万</t>
  </si>
  <si>
    <t>-1.28亿</t>
  </si>
  <si>
    <t>2754.47万</t>
  </si>
  <si>
    <t>2307.90万</t>
  </si>
  <si>
    <t>-622.57万</t>
  </si>
  <si>
    <t>1302.51万</t>
  </si>
  <si>
    <t>6951.78万</t>
  </si>
  <si>
    <t>111.67万</t>
  </si>
  <si>
    <t>9.43亿</t>
  </si>
  <si>
    <t>3866.23万</t>
  </si>
  <si>
    <t>9440.19万</t>
  </si>
  <si>
    <t>1465.53万</t>
  </si>
  <si>
    <t>1882.03万</t>
  </si>
  <si>
    <t>479307亿</t>
  </si>
  <si>
    <t>8.46万</t>
  </si>
  <si>
    <t>11609604亿</t>
  </si>
  <si>
    <t>420868510亿</t>
  </si>
  <si>
    <t>630.22万</t>
  </si>
  <si>
    <t>1027035350亿</t>
  </si>
  <si>
    <t>1949.12万</t>
  </si>
  <si>
    <t>139.78万</t>
  </si>
  <si>
    <t>9379.79万</t>
  </si>
  <si>
    <t>-2773.78万</t>
  </si>
  <si>
    <t>4046.07万</t>
  </si>
  <si>
    <t>-4469.55万</t>
  </si>
  <si>
    <t>-5163.29万</t>
  </si>
  <si>
    <t>9145.15万</t>
  </si>
  <si>
    <t>-1.77亿</t>
  </si>
  <si>
    <t>2043.83万</t>
  </si>
  <si>
    <t>553.30万</t>
  </si>
  <si>
    <t>2981.50万</t>
  </si>
  <si>
    <t>0115986900</t>
  </si>
  <si>
    <t>0231973800</t>
  </si>
  <si>
    <t>0386623000</t>
  </si>
  <si>
    <t>0773246000</t>
  </si>
  <si>
    <t>1173.53万</t>
  </si>
  <si>
    <t>7706.36万</t>
  </si>
  <si>
    <t>20.45亿</t>
  </si>
  <si>
    <t>8244.04万</t>
  </si>
  <si>
    <t>5608.16万</t>
  </si>
  <si>
    <t>789.83万</t>
  </si>
  <si>
    <t>1221.41万</t>
  </si>
  <si>
    <t>9241634亿</t>
  </si>
  <si>
    <t>-2787418亿</t>
  </si>
  <si>
    <t>242740680亿</t>
  </si>
  <si>
    <t>103.19万</t>
  </si>
  <si>
    <t>1115541730亿</t>
  </si>
  <si>
    <t>14.23万</t>
  </si>
  <si>
    <t>1359.59万</t>
  </si>
  <si>
    <t>7596.02万</t>
  </si>
  <si>
    <t>-4439.96万</t>
  </si>
  <si>
    <t>7653.99万</t>
  </si>
  <si>
    <t>-114.91万</t>
  </si>
  <si>
    <t>4086.64万</t>
  </si>
  <si>
    <t>3501.46万</t>
  </si>
  <si>
    <t>9366.11万</t>
  </si>
  <si>
    <t>367.15万</t>
  </si>
  <si>
    <t>31.49亿</t>
  </si>
  <si>
    <t>4.97亿</t>
  </si>
  <si>
    <t>786.85万</t>
  </si>
  <si>
    <t>1790.28万</t>
  </si>
  <si>
    <t>1415.24万</t>
  </si>
  <si>
    <t>905157亿</t>
  </si>
  <si>
    <t>67.26万</t>
  </si>
  <si>
    <t>47215398亿</t>
  </si>
  <si>
    <t>6.26亿</t>
  </si>
  <si>
    <t>1558870300亿</t>
  </si>
  <si>
    <t>3877524300亿</t>
  </si>
  <si>
    <t>-7709.65万</t>
  </si>
  <si>
    <t>-3895.36万</t>
  </si>
  <si>
    <t>1255.58万</t>
  </si>
  <si>
    <t>26.94亿</t>
  </si>
  <si>
    <t>6308.16万</t>
  </si>
  <si>
    <t>7840.33万</t>
  </si>
  <si>
    <t>-855.26万</t>
  </si>
  <si>
    <t>1714.47万</t>
  </si>
  <si>
    <t>19.09万</t>
  </si>
  <si>
    <t>30.68亿</t>
  </si>
  <si>
    <t>4011.66万</t>
  </si>
  <si>
    <t>9.88亿</t>
  </si>
  <si>
    <t>3770.78万</t>
  </si>
  <si>
    <t>4665.32万</t>
  </si>
  <si>
    <t>3992.23万</t>
  </si>
  <si>
    <t>102.63万</t>
  </si>
  <si>
    <t>1178.75万</t>
  </si>
  <si>
    <t>1450726亿</t>
  </si>
  <si>
    <t>-14616366亿</t>
  </si>
  <si>
    <t>13.96亿</t>
  </si>
  <si>
    <t>416919250亿</t>
  </si>
  <si>
    <t>344.39万</t>
  </si>
  <si>
    <t>2115113300亿</t>
  </si>
  <si>
    <t>2712.41万</t>
  </si>
  <si>
    <t>33.53万</t>
  </si>
  <si>
    <t>-776.18万</t>
  </si>
  <si>
    <t>-2.60亿</t>
  </si>
  <si>
    <t>-168.85万</t>
  </si>
  <si>
    <t>1941.65万</t>
  </si>
  <si>
    <t>10转3.5股派0.6元(含税)</t>
  </si>
  <si>
    <t>185.46万</t>
  </si>
  <si>
    <t>1729.04万</t>
  </si>
  <si>
    <t>账面净赚</t>
  </si>
  <si>
    <t>186.44万</t>
  </si>
  <si>
    <t>34.30亿</t>
  </si>
  <si>
    <t>3132.40万</t>
  </si>
  <si>
    <t>3742.82万</t>
  </si>
  <si>
    <t>3013.94万</t>
  </si>
  <si>
    <t>230824亿</t>
  </si>
  <si>
    <t>7.37万</t>
  </si>
  <si>
    <t>-31831609亿</t>
  </si>
  <si>
    <t>1254592890亿</t>
  </si>
  <si>
    <t>2496467400亿</t>
  </si>
  <si>
    <t>24.16亿</t>
  </si>
  <si>
    <t>-2.67亿</t>
  </si>
  <si>
    <t>4403.44万</t>
  </si>
  <si>
    <t>-4529.72万</t>
  </si>
  <si>
    <t>625.89万</t>
  </si>
  <si>
    <t>972.36万</t>
  </si>
  <si>
    <t>8437.56万</t>
  </si>
  <si>
    <t>310.29万</t>
  </si>
  <si>
    <t>10.51亿</t>
  </si>
  <si>
    <t>8622.71万</t>
  </si>
  <si>
    <t>18.45亿</t>
  </si>
  <si>
    <t>8264.44万</t>
  </si>
  <si>
    <t>4608.00万</t>
  </si>
  <si>
    <t>257.95万</t>
  </si>
  <si>
    <t>2485.91万</t>
  </si>
  <si>
    <t>873254亿</t>
  </si>
  <si>
    <t>711385亿</t>
  </si>
  <si>
    <t>240205260亿</t>
  </si>
  <si>
    <t>22.00万</t>
  </si>
  <si>
    <t>957960670亿</t>
  </si>
  <si>
    <t>3162.81万</t>
  </si>
  <si>
    <t>-9558.31万</t>
  </si>
  <si>
    <t>-9643.42万</t>
  </si>
  <si>
    <t>-404.21万</t>
  </si>
  <si>
    <t>4405.76万</t>
  </si>
  <si>
    <t>2835.61万</t>
  </si>
  <si>
    <t>10转3股派0.5元(含税)</t>
  </si>
  <si>
    <t>2297.86万</t>
  </si>
  <si>
    <t>72.94万</t>
  </si>
  <si>
    <t>2601.43万</t>
  </si>
  <si>
    <t>-328.25万</t>
  </si>
  <si>
    <t>3339.50万</t>
  </si>
  <si>
    <t>1868.43万</t>
  </si>
  <si>
    <t>363.21万</t>
  </si>
  <si>
    <t>648.80万</t>
  </si>
  <si>
    <t>30302亿</t>
  </si>
  <si>
    <t>25.00万</t>
  </si>
  <si>
    <t>3038002亿</t>
  </si>
  <si>
    <t>169439500亿</t>
  </si>
  <si>
    <t>38.52万</t>
  </si>
  <si>
    <t>512159670亿</t>
  </si>
  <si>
    <t>5582.80万</t>
  </si>
  <si>
    <t>334.77万</t>
  </si>
  <si>
    <t>1853.45万</t>
  </si>
  <si>
    <t>-1714.05万</t>
  </si>
  <si>
    <t>-78.43万</t>
  </si>
  <si>
    <t>-193.83万</t>
  </si>
  <si>
    <t>604.72万</t>
  </si>
  <si>
    <t>465.65万</t>
  </si>
  <si>
    <t>3731.16万</t>
  </si>
  <si>
    <t>865.26万</t>
  </si>
  <si>
    <t>9.70亿</t>
  </si>
  <si>
    <t>9956.47万</t>
  </si>
  <si>
    <t>9796.44万</t>
  </si>
  <si>
    <t>6726.42万</t>
  </si>
  <si>
    <t>375.79万</t>
  </si>
  <si>
    <t>2140.92万</t>
  </si>
  <si>
    <t>-744829亿</t>
  </si>
  <si>
    <t>-15027827亿</t>
  </si>
  <si>
    <t>746448040亿</t>
  </si>
  <si>
    <t>11.02万</t>
  </si>
  <si>
    <t>1511397200亿</t>
  </si>
  <si>
    <t>2817.25万</t>
  </si>
  <si>
    <t>9691.49万</t>
  </si>
  <si>
    <t>8.99亿</t>
  </si>
  <si>
    <t>8556.18万</t>
  </si>
  <si>
    <t>-2575.68万</t>
  </si>
  <si>
    <t>-5420.32万</t>
  </si>
  <si>
    <t>6857.06万</t>
  </si>
  <si>
    <t>5472.47万</t>
  </si>
  <si>
    <t>7.01亿</t>
  </si>
  <si>
    <t>1976.58万</t>
  </si>
  <si>
    <t>3846.61万</t>
  </si>
  <si>
    <t>10派0.13元(含税)</t>
  </si>
  <si>
    <t>6862.74万</t>
  </si>
  <si>
    <t>188.50万</t>
  </si>
  <si>
    <t>9.97亿</t>
  </si>
  <si>
    <t>8.31亿</t>
  </si>
  <si>
    <t>250.87亿</t>
  </si>
  <si>
    <t>367.82万</t>
  </si>
  <si>
    <t>2261.89万</t>
  </si>
  <si>
    <t>-4086994亿</t>
  </si>
  <si>
    <t>18.09万</t>
  </si>
  <si>
    <t>-13229110亿</t>
  </si>
  <si>
    <t>28000990亿</t>
  </si>
  <si>
    <t>1361715400亿</t>
  </si>
  <si>
    <t>206.63万</t>
  </si>
  <si>
    <t>688.00万</t>
  </si>
  <si>
    <t>730.38万</t>
  </si>
  <si>
    <t>-2189.66万</t>
  </si>
  <si>
    <t>-7307.84万</t>
  </si>
  <si>
    <t>-202.81万</t>
  </si>
  <si>
    <t>65.84亿</t>
  </si>
  <si>
    <t>-2966.48万</t>
  </si>
  <si>
    <t>1726.38万</t>
  </si>
  <si>
    <t>61.15万</t>
  </si>
  <si>
    <t>9.02亿</t>
  </si>
  <si>
    <t>8.50亿</t>
  </si>
  <si>
    <t>6.46亿</t>
  </si>
  <si>
    <t>754.17万</t>
  </si>
  <si>
    <t>863.99万</t>
  </si>
  <si>
    <t>1359324亿</t>
  </si>
  <si>
    <t>9350812亿</t>
  </si>
  <si>
    <t>412472500亿</t>
  </si>
  <si>
    <t>1061.39万</t>
  </si>
  <si>
    <t>1511686500亿</t>
  </si>
  <si>
    <t>2058.84万</t>
  </si>
  <si>
    <t>5.05亿</t>
  </si>
  <si>
    <t>-2.17亿</t>
  </si>
  <si>
    <t>6864.31万</t>
  </si>
  <si>
    <t>3896.92万</t>
  </si>
  <si>
    <t>5819.39万</t>
  </si>
  <si>
    <t>8369.53万</t>
  </si>
  <si>
    <t>10派2.999995元(含税)</t>
  </si>
  <si>
    <t>484.81万</t>
  </si>
  <si>
    <t>8187.04万</t>
  </si>
  <si>
    <t>442.52万</t>
  </si>
  <si>
    <t>20.65亿</t>
  </si>
  <si>
    <t>3499.26万</t>
  </si>
  <si>
    <t>680.77万</t>
  </si>
  <si>
    <t>3539.52万</t>
  </si>
  <si>
    <t>1723469亿</t>
  </si>
  <si>
    <t>174.36万</t>
  </si>
  <si>
    <t>30769494亿</t>
  </si>
  <si>
    <t>14.53亿</t>
  </si>
  <si>
    <t>645219200亿</t>
  </si>
  <si>
    <t>604.98万</t>
  </si>
  <si>
    <t>3333162500亿</t>
  </si>
  <si>
    <t>152.69万</t>
  </si>
  <si>
    <t>3984.35万</t>
  </si>
  <si>
    <t>225.95万</t>
  </si>
  <si>
    <t>7.04亿</t>
  </si>
  <si>
    <t>101.70万</t>
  </si>
  <si>
    <t>17.37亿</t>
  </si>
  <si>
    <t>-2.41亿</t>
  </si>
  <si>
    <t>8517.13万</t>
  </si>
  <si>
    <t>-294.43万</t>
  </si>
  <si>
    <t>24.14亿</t>
  </si>
  <si>
    <t>8243.00万</t>
  </si>
  <si>
    <t>1474.15万</t>
  </si>
  <si>
    <t>3440.47万</t>
  </si>
  <si>
    <t>034992600</t>
  </si>
  <si>
    <t>0104977800</t>
  </si>
  <si>
    <t>0209955600</t>
  </si>
  <si>
    <t>0349926000</t>
  </si>
  <si>
    <t>0699852000</t>
  </si>
  <si>
    <t>809.82万</t>
  </si>
  <si>
    <t>23.04亿</t>
  </si>
  <si>
    <t>672.55万</t>
  </si>
  <si>
    <t>3496.49万</t>
  </si>
  <si>
    <t>3571745亿</t>
  </si>
  <si>
    <t>5.35万</t>
  </si>
  <si>
    <t>-37931786亿</t>
  </si>
  <si>
    <t>1086660840亿</t>
  </si>
  <si>
    <t>578.53万</t>
  </si>
  <si>
    <t>2344117000亿</t>
  </si>
  <si>
    <t>1194.72万</t>
  </si>
  <si>
    <t>3576.50万</t>
  </si>
  <si>
    <t>3354.97万</t>
  </si>
  <si>
    <t>-737.14万</t>
  </si>
  <si>
    <t>14.19亿</t>
  </si>
  <si>
    <t>2064.29万</t>
  </si>
  <si>
    <t>10转3股派0.31元(含税)</t>
  </si>
  <si>
    <t>5795.77万</t>
  </si>
  <si>
    <t>248.34万</t>
  </si>
  <si>
    <t>21.68亿</t>
  </si>
  <si>
    <t>24.70亿</t>
  </si>
  <si>
    <t>5326.25万</t>
  </si>
  <si>
    <t>9988.75万</t>
  </si>
  <si>
    <t>1804.38万</t>
  </si>
  <si>
    <t>-791612亿</t>
  </si>
  <si>
    <t>14673132亿</t>
  </si>
  <si>
    <t>1108212280亿</t>
  </si>
  <si>
    <t>170.00万</t>
  </si>
  <si>
    <t>3066213400亿</t>
  </si>
  <si>
    <t>867.24万</t>
  </si>
  <si>
    <t>9163.52万</t>
  </si>
  <si>
    <t>8.60亿</t>
  </si>
  <si>
    <t>16.35亿</t>
  </si>
  <si>
    <t>450.39万</t>
  </si>
  <si>
    <t>-378.11万</t>
  </si>
  <si>
    <t>5918.33万</t>
  </si>
  <si>
    <t>2121.81万</t>
  </si>
  <si>
    <t>1066.73万</t>
  </si>
  <si>
    <t>1344.79万</t>
  </si>
  <si>
    <t>7074.72万</t>
  </si>
  <si>
    <t>766.68万</t>
  </si>
  <si>
    <t>15.28亿</t>
  </si>
  <si>
    <t>5799.08万</t>
  </si>
  <si>
    <t>6291.75万</t>
  </si>
  <si>
    <t>250.57万</t>
  </si>
  <si>
    <t>2815.89万</t>
  </si>
  <si>
    <t>1267902亿</t>
  </si>
  <si>
    <t>4.43万</t>
  </si>
  <si>
    <t>4891274亿</t>
  </si>
  <si>
    <t>265264870亿</t>
  </si>
  <si>
    <t>1856850100亿</t>
  </si>
  <si>
    <t>37.49万</t>
  </si>
  <si>
    <t>6989.23万</t>
  </si>
  <si>
    <t>946.68万</t>
  </si>
  <si>
    <t>-3106.35万</t>
  </si>
  <si>
    <t>-8368.11万</t>
  </si>
  <si>
    <t>105.36万</t>
  </si>
  <si>
    <t>7.57亿</t>
  </si>
  <si>
    <t>5437.95万</t>
  </si>
  <si>
    <t>2294.17万</t>
  </si>
  <si>
    <t>570.91万</t>
  </si>
  <si>
    <t>10派0.20元(含税)</t>
  </si>
  <si>
    <t>6462.75万</t>
  </si>
  <si>
    <t>154.37万</t>
  </si>
  <si>
    <t>6911.49万</t>
  </si>
  <si>
    <t>15.40亿</t>
  </si>
  <si>
    <t>7040.54万</t>
  </si>
  <si>
    <t>5564.13万</t>
  </si>
  <si>
    <t>129.27万</t>
  </si>
  <si>
    <t>849.17万</t>
  </si>
  <si>
    <t>2761788亿</t>
  </si>
  <si>
    <t>-3232301亿</t>
  </si>
  <si>
    <t>348464400亿</t>
  </si>
  <si>
    <t>580.33万</t>
  </si>
  <si>
    <t>1094360980亿</t>
  </si>
  <si>
    <t>298.30万</t>
  </si>
  <si>
    <t>2892.01万</t>
  </si>
  <si>
    <t>144.43万</t>
  </si>
  <si>
    <t>200.79万</t>
  </si>
  <si>
    <t>-1785.57万</t>
  </si>
  <si>
    <t>-2.56亿</t>
  </si>
  <si>
    <t>1966.99万</t>
  </si>
  <si>
    <t>8230.47万</t>
  </si>
  <si>
    <t>5965.19万</t>
  </si>
  <si>
    <t>3717.71万</t>
  </si>
  <si>
    <t>10派2.16元(含税)</t>
  </si>
  <si>
    <t>1320.18万</t>
  </si>
  <si>
    <t>8426.65万</t>
  </si>
  <si>
    <t>201.81万</t>
  </si>
  <si>
    <t>9884.10万</t>
  </si>
  <si>
    <t>7945.68万</t>
  </si>
  <si>
    <t>636.95万</t>
  </si>
  <si>
    <t>2302.82万</t>
  </si>
  <si>
    <t>1245938亿</t>
  </si>
  <si>
    <t>1.29万</t>
  </si>
  <si>
    <t>1262505亿</t>
  </si>
  <si>
    <t>279356620亿</t>
  </si>
  <si>
    <t>89.40万</t>
  </si>
  <si>
    <t>1808307900亿</t>
  </si>
  <si>
    <t>2662.52万</t>
  </si>
  <si>
    <t>-775.65万</t>
  </si>
  <si>
    <t>-4.16亿</t>
  </si>
  <si>
    <t>-199.08万</t>
  </si>
  <si>
    <t>3395.43万</t>
  </si>
  <si>
    <t>2244.30万</t>
  </si>
  <si>
    <t>10派1.7元(含税)</t>
  </si>
  <si>
    <t>1417.51万</t>
  </si>
  <si>
    <t>5470.98万</t>
  </si>
  <si>
    <t>72.65万</t>
  </si>
  <si>
    <t>4860.86万</t>
  </si>
  <si>
    <t>5091.62万</t>
  </si>
  <si>
    <t>3148.28万</t>
  </si>
  <si>
    <t>1061.38万</t>
  </si>
  <si>
    <t>542.81万</t>
  </si>
  <si>
    <t>-896634亿</t>
  </si>
  <si>
    <t>1280200亿</t>
  </si>
  <si>
    <t>341441950亿</t>
  </si>
  <si>
    <t>181.59万</t>
  </si>
  <si>
    <t>960979980亿</t>
  </si>
  <si>
    <t>8227.28万</t>
  </si>
  <si>
    <t>-136.53万</t>
  </si>
  <si>
    <t>7476.28万</t>
  </si>
  <si>
    <t>5619.54万</t>
  </si>
  <si>
    <t>2923.28万</t>
  </si>
  <si>
    <t>10派4元(含税)</t>
  </si>
  <si>
    <t>733.45万</t>
  </si>
  <si>
    <t>4244.21万</t>
  </si>
  <si>
    <t>228.39万</t>
  </si>
  <si>
    <t>5669.02万</t>
  </si>
  <si>
    <t>8563.38万</t>
  </si>
  <si>
    <t>5948.60万</t>
  </si>
  <si>
    <t>4317.11万</t>
  </si>
  <si>
    <t>227.72万</t>
  </si>
  <si>
    <t>1096.91万</t>
  </si>
  <si>
    <t>2065791亿</t>
  </si>
  <si>
    <t>2.00万</t>
  </si>
  <si>
    <t>2096738亿</t>
  </si>
  <si>
    <t>252859210亿</t>
  </si>
  <si>
    <t>883.72万</t>
  </si>
  <si>
    <t>985128330亿</t>
  </si>
  <si>
    <t>7.56万</t>
  </si>
  <si>
    <t>5294.52万</t>
  </si>
  <si>
    <t>364.21万</t>
  </si>
  <si>
    <t>-2855.03万</t>
  </si>
  <si>
    <t>5596.02万</t>
  </si>
  <si>
    <t>7954.66万</t>
  </si>
  <si>
    <t>7805.33万</t>
  </si>
  <si>
    <t>5527.33万</t>
  </si>
  <si>
    <t>1895.68万</t>
  </si>
  <si>
    <t>9313.49万</t>
  </si>
  <si>
    <t>1392.20万</t>
  </si>
  <si>
    <t>1901.65亿</t>
  </si>
  <si>
    <t>525.97亿</t>
  </si>
  <si>
    <t>221.06亿</t>
  </si>
  <si>
    <t>3468.28亿</t>
  </si>
  <si>
    <t>120.67亿</t>
  </si>
  <si>
    <t>8225672亿</t>
  </si>
  <si>
    <t>2997.60万</t>
  </si>
  <si>
    <t>1740571500亿</t>
  </si>
  <si>
    <t>213.07亿</t>
  </si>
  <si>
    <t>20596949000亿</t>
  </si>
  <si>
    <t>141514150000亿</t>
  </si>
  <si>
    <t>56.58亿</t>
  </si>
  <si>
    <t>676.14亿</t>
  </si>
  <si>
    <t>-29.78亿</t>
  </si>
  <si>
    <t>112.12亿</t>
  </si>
  <si>
    <t>1150.42亿</t>
  </si>
  <si>
    <t>399.56亿</t>
  </si>
  <si>
    <t>90.04亿</t>
  </si>
  <si>
    <t>27.21亿</t>
  </si>
  <si>
    <t>10派5.17元(含税)</t>
  </si>
  <si>
    <t>7825.14万</t>
  </si>
  <si>
    <t>1883.45万</t>
  </si>
  <si>
    <t>92.58亿</t>
  </si>
  <si>
    <t>98.60亿</t>
  </si>
  <si>
    <t>3.75亿</t>
  </si>
  <si>
    <t>-4666.13万</t>
  </si>
  <si>
    <t>-6190483亿</t>
  </si>
  <si>
    <t>53.29万</t>
  </si>
  <si>
    <t>22419732亿</t>
  </si>
  <si>
    <t>28.56亿</t>
  </si>
  <si>
    <t>1460719700亿</t>
  </si>
  <si>
    <t>10105437000亿</t>
  </si>
  <si>
    <t>3847.93万</t>
  </si>
  <si>
    <t>14.66亿</t>
  </si>
  <si>
    <t>5079.26万</t>
  </si>
  <si>
    <t>-6.40亿</t>
  </si>
  <si>
    <t>146.73亿</t>
  </si>
  <si>
    <t>10.79亿</t>
  </si>
  <si>
    <t>556.03万</t>
  </si>
  <si>
    <t>3070.73万</t>
  </si>
  <si>
    <t>3308.68亿</t>
  </si>
  <si>
    <t>553.87亿</t>
  </si>
  <si>
    <t>747.37亿</t>
  </si>
  <si>
    <t>21.37亿</t>
  </si>
  <si>
    <t>-6021.98万</t>
  </si>
  <si>
    <t>6773278亿</t>
  </si>
  <si>
    <t>1326.58万</t>
  </si>
  <si>
    <t>150035790亿</t>
  </si>
  <si>
    <t>749.94亿</t>
  </si>
  <si>
    <t>52679145000亿</t>
  </si>
  <si>
    <t>255296480000亿</t>
  </si>
  <si>
    <t>58.84亿</t>
  </si>
  <si>
    <t>1352.27亿</t>
  </si>
  <si>
    <t>-253.16亿</t>
  </si>
  <si>
    <t>-9.07亿</t>
  </si>
  <si>
    <t>51.35亿</t>
  </si>
  <si>
    <t>3046.28亿</t>
  </si>
  <si>
    <t>3282.63万</t>
  </si>
  <si>
    <t>398.07万</t>
  </si>
  <si>
    <t>1140.94万</t>
  </si>
  <si>
    <t>54.06亿</t>
  </si>
  <si>
    <t>-157431亿</t>
  </si>
  <si>
    <t>2497687亿</t>
  </si>
  <si>
    <t>475.12万</t>
  </si>
  <si>
    <t>417887110亿</t>
  </si>
  <si>
    <t>468696620亿</t>
  </si>
  <si>
    <t>805.66万</t>
  </si>
  <si>
    <t>-1930.39万</t>
  </si>
  <si>
    <t>-104.43万</t>
  </si>
  <si>
    <t>-2113.52万</t>
  </si>
  <si>
    <t>5432.00万</t>
  </si>
  <si>
    <t>*ST科新</t>
  </si>
  <si>
    <t>102.64万</t>
  </si>
  <si>
    <t>376.05万</t>
  </si>
  <si>
    <t>16.18亿</t>
  </si>
  <si>
    <t>4672.53万</t>
  </si>
  <si>
    <t>1122.22万</t>
  </si>
  <si>
    <t>367.07万</t>
  </si>
  <si>
    <t>36.27万</t>
  </si>
  <si>
    <t>599.55万</t>
  </si>
  <si>
    <t>-7375328亿</t>
  </si>
  <si>
    <t>5989.97万</t>
  </si>
  <si>
    <t>228327590亿</t>
  </si>
  <si>
    <t>7195.99万</t>
  </si>
  <si>
    <t>-1166.19万</t>
  </si>
  <si>
    <t>-1.83万</t>
  </si>
  <si>
    <t>-64.12万</t>
  </si>
  <si>
    <t>7010.24万</t>
  </si>
  <si>
    <t>-1.71亿</t>
  </si>
  <si>
    <t>337.37万</t>
  </si>
  <si>
    <t>1028.29万</t>
  </si>
  <si>
    <t>1249.51万</t>
  </si>
  <si>
    <t>3092.01亿</t>
  </si>
  <si>
    <t>382.84亿</t>
  </si>
  <si>
    <t>277.69亿</t>
  </si>
  <si>
    <t>9.95亿</t>
  </si>
  <si>
    <t>2280.67万</t>
  </si>
  <si>
    <t>27894554亿</t>
  </si>
  <si>
    <t>3393.55万</t>
  </si>
  <si>
    <t>525056200亿</t>
  </si>
  <si>
    <t>233.75亿</t>
  </si>
  <si>
    <t>154242490000亿</t>
  </si>
  <si>
    <t>291211980000亿</t>
  </si>
  <si>
    <t>124.61亿</t>
  </si>
  <si>
    <t>1716.98亿</t>
  </si>
  <si>
    <t>289.81万</t>
  </si>
  <si>
    <t>-87.15亿</t>
  </si>
  <si>
    <t>-3.89亿</t>
  </si>
  <si>
    <t>35.89亿</t>
  </si>
  <si>
    <t>1805.55亿</t>
  </si>
  <si>
    <t>39.62亿</t>
  </si>
  <si>
    <t>458.76万</t>
  </si>
  <si>
    <t>6042.01万</t>
  </si>
  <si>
    <t>659.15万</t>
  </si>
  <si>
    <t>220.84亿</t>
  </si>
  <si>
    <t>77.62亿</t>
  </si>
  <si>
    <t>60.11亿</t>
  </si>
  <si>
    <t>59.06亿</t>
  </si>
  <si>
    <t>56.39亿</t>
  </si>
  <si>
    <t>135.17万</t>
  </si>
  <si>
    <t>4524.79万</t>
  </si>
  <si>
    <t>47851184亿</t>
  </si>
  <si>
    <t>64.39万</t>
  </si>
  <si>
    <t>117313331亿</t>
  </si>
  <si>
    <t>2396900900亿</t>
  </si>
  <si>
    <t>90.11万</t>
  </si>
  <si>
    <t>19572862000亿</t>
  </si>
  <si>
    <t>180.01万</t>
  </si>
  <si>
    <t>5003.02万</t>
  </si>
  <si>
    <t>9150.65万</t>
  </si>
  <si>
    <t>159.92亿</t>
  </si>
  <si>
    <t>148.54万</t>
  </si>
  <si>
    <t>180.36亿</t>
  </si>
  <si>
    <t>-9.95亿</t>
  </si>
  <si>
    <t>16.08亿</t>
  </si>
  <si>
    <t>-2977.03万</t>
  </si>
  <si>
    <t>148.88亿</t>
  </si>
  <si>
    <t>177.26亿</t>
  </si>
  <si>
    <t>5.77亿</t>
  </si>
  <si>
    <t>10派2.15元(含税)</t>
  </si>
  <si>
    <t>3710.26万</t>
  </si>
  <si>
    <t>1578.21万</t>
  </si>
  <si>
    <t>459.13亿</t>
  </si>
  <si>
    <t>119.35亿</t>
  </si>
  <si>
    <t>27.52亿</t>
  </si>
  <si>
    <t>22.65亿</t>
  </si>
  <si>
    <t>190.32万</t>
  </si>
  <si>
    <t>8582.71万</t>
  </si>
  <si>
    <t>24393619亿</t>
  </si>
  <si>
    <t>-12076013亿</t>
  </si>
  <si>
    <t>13.71亿</t>
  </si>
  <si>
    <t>4730547800亿</t>
  </si>
  <si>
    <t>9041.41万</t>
  </si>
  <si>
    <t>30382475000亿</t>
  </si>
  <si>
    <t>7611.32万</t>
  </si>
  <si>
    <t>36.35亿</t>
  </si>
  <si>
    <t>107.15亿</t>
  </si>
  <si>
    <t>277.37亿</t>
  </si>
  <si>
    <t>174.87亿</t>
  </si>
  <si>
    <t>-2109.29万</t>
  </si>
  <si>
    <t>-3.05亿</t>
  </si>
  <si>
    <t>-13.11亿</t>
  </si>
  <si>
    <t>-592.83万</t>
  </si>
  <si>
    <t>9.36亿</t>
  </si>
  <si>
    <t>0813000000</t>
  </si>
  <si>
    <t>01626000000</t>
  </si>
  <si>
    <t>02710000000</t>
  </si>
  <si>
    <t>05420000000</t>
  </si>
  <si>
    <t>1301.73万</t>
  </si>
  <si>
    <t>147.82亿</t>
  </si>
  <si>
    <t>86.33亿</t>
  </si>
  <si>
    <t>219.54亿</t>
  </si>
  <si>
    <t>34.11亿</t>
  </si>
  <si>
    <t>30.26亿</t>
  </si>
  <si>
    <t>4722.45万</t>
  </si>
  <si>
    <t>92500亿</t>
  </si>
  <si>
    <t>203.50万</t>
  </si>
  <si>
    <t>87484507亿</t>
  </si>
  <si>
    <t>48.79亿</t>
  </si>
  <si>
    <t>2618794200亿</t>
  </si>
  <si>
    <t>18329912000亿</t>
  </si>
  <si>
    <t>1556.01万</t>
  </si>
  <si>
    <t>38.09亿</t>
  </si>
  <si>
    <t>46.05亿</t>
  </si>
  <si>
    <t>120.02亿</t>
  </si>
  <si>
    <t>-2591.67万</t>
  </si>
  <si>
    <t>-1.97亿</t>
  </si>
  <si>
    <t>157.15亿</t>
  </si>
  <si>
    <t>6.99亿</t>
  </si>
  <si>
    <t>165.06亿</t>
  </si>
  <si>
    <t>58.11亿</t>
  </si>
  <si>
    <t>5.48亿</t>
  </si>
  <si>
    <t>5244.44万</t>
  </si>
  <si>
    <t>1197.27万</t>
  </si>
  <si>
    <t>1470.51亿</t>
  </si>
  <si>
    <t>239.28亿</t>
  </si>
  <si>
    <t>135.38亿</t>
  </si>
  <si>
    <t>5797.34万</t>
  </si>
  <si>
    <t>131.47亿</t>
  </si>
  <si>
    <t>117.81亿</t>
  </si>
  <si>
    <t>7258.40万</t>
  </si>
  <si>
    <t>3350515亿</t>
  </si>
  <si>
    <t>2382.40万</t>
  </si>
  <si>
    <t>284406390亿</t>
  </si>
  <si>
    <t>131.48亿</t>
  </si>
  <si>
    <t>42317272000亿</t>
  </si>
  <si>
    <t>109920555000亿</t>
  </si>
  <si>
    <t>140.43亿</t>
  </si>
  <si>
    <t>54.39亿</t>
  </si>
  <si>
    <t>427.00亿</t>
  </si>
  <si>
    <t>528.82万</t>
  </si>
  <si>
    <t>1017.02亿</t>
  </si>
  <si>
    <t>384.24亿</t>
  </si>
  <si>
    <t>-32.01亿</t>
  </si>
  <si>
    <t>-11.84亿</t>
  </si>
  <si>
    <t>17.32亿</t>
  </si>
  <si>
    <t>912.44亿</t>
  </si>
  <si>
    <t>1045.68万</t>
  </si>
  <si>
    <t>15.53亿</t>
  </si>
  <si>
    <t>-1246.75万</t>
  </si>
  <si>
    <t>10派2.6元(含税)</t>
  </si>
  <si>
    <t>7452.15万</t>
  </si>
  <si>
    <t>5.86亿</t>
  </si>
  <si>
    <t>057973400</t>
  </si>
  <si>
    <t>0173920200</t>
  </si>
  <si>
    <t>0347840400</t>
  </si>
  <si>
    <t>0579734000</t>
  </si>
  <si>
    <t>01159468000</t>
  </si>
  <si>
    <t>404.60万</t>
  </si>
  <si>
    <t>50.12亿</t>
  </si>
  <si>
    <t>62.39亿</t>
  </si>
  <si>
    <t>21.74亿</t>
  </si>
  <si>
    <t>176.83万</t>
  </si>
  <si>
    <t>3904.29万</t>
  </si>
  <si>
    <t>51231023亿</t>
  </si>
  <si>
    <t>131190922亿</t>
  </si>
  <si>
    <t>26.12亿</t>
  </si>
  <si>
    <t>486760920亿</t>
  </si>
  <si>
    <t>7236519400亿</t>
  </si>
  <si>
    <t>1130.35万</t>
  </si>
  <si>
    <t>400.00万</t>
  </si>
  <si>
    <t>26.02亿</t>
  </si>
  <si>
    <t>8899.93万</t>
  </si>
  <si>
    <t>42.21亿</t>
  </si>
  <si>
    <t>609.38万</t>
  </si>
  <si>
    <t>-4.50亿</t>
  </si>
  <si>
    <t>40.64亿</t>
  </si>
  <si>
    <t>4.52亿</t>
  </si>
  <si>
    <t>4707.23万</t>
  </si>
  <si>
    <t>3111.99万</t>
  </si>
  <si>
    <t>3148.57万</t>
  </si>
  <si>
    <t>0135000000</t>
  </si>
  <si>
    <t>0405000000</t>
  </si>
  <si>
    <t>0810000000</t>
  </si>
  <si>
    <t>01350000000</t>
  </si>
  <si>
    <t>02700000000</t>
  </si>
  <si>
    <t>617.72万</t>
  </si>
  <si>
    <t>105.10亿</t>
  </si>
  <si>
    <t>16.75亿</t>
  </si>
  <si>
    <t>17.78亿</t>
  </si>
  <si>
    <t>1594.80万</t>
  </si>
  <si>
    <t>12.71亿</t>
  </si>
  <si>
    <t>2037.51万</t>
  </si>
  <si>
    <t>11998636亿</t>
  </si>
  <si>
    <t>265.43万</t>
  </si>
  <si>
    <t>78483701亿</t>
  </si>
  <si>
    <t>30.73亿</t>
  </si>
  <si>
    <t>2825118800亿</t>
  </si>
  <si>
    <t>4116.96万</t>
  </si>
  <si>
    <t>11567267000亿</t>
  </si>
  <si>
    <t>4746.34万</t>
  </si>
  <si>
    <t>9093.14万</t>
  </si>
  <si>
    <t>58.76亿</t>
  </si>
  <si>
    <t>86.50亿</t>
  </si>
  <si>
    <t>-7.00亿</t>
  </si>
  <si>
    <t>-1229.15万</t>
  </si>
  <si>
    <t>-2727.72万</t>
  </si>
  <si>
    <t>90.59亿</t>
  </si>
  <si>
    <t>1257.77万</t>
  </si>
  <si>
    <t>4037.53万</t>
  </si>
  <si>
    <t>015948000</t>
  </si>
  <si>
    <t>047844000</t>
  </si>
  <si>
    <t>095688000</t>
  </si>
  <si>
    <t>0159480000</t>
  </si>
  <si>
    <t>0318960000</t>
  </si>
  <si>
    <t>1494.72万</t>
  </si>
  <si>
    <t>239.19亿</t>
  </si>
  <si>
    <t>89.39亿</t>
  </si>
  <si>
    <t>67.26亿</t>
  </si>
  <si>
    <t>28.93亿</t>
  </si>
  <si>
    <t>9375.62万</t>
  </si>
  <si>
    <t>65.69亿</t>
  </si>
  <si>
    <t>61.69亿</t>
  </si>
  <si>
    <t>1525.75万</t>
  </si>
  <si>
    <t>38598858亿</t>
  </si>
  <si>
    <t>100.24万</t>
  </si>
  <si>
    <t>144405900亿</t>
  </si>
  <si>
    <t>5579359000亿</t>
  </si>
  <si>
    <t>22837803000亿</t>
  </si>
  <si>
    <t>7173.39万</t>
  </si>
  <si>
    <t>25.93亿</t>
  </si>
  <si>
    <t>25.19亿</t>
  </si>
  <si>
    <t>106.98亿</t>
  </si>
  <si>
    <t>2186.77万</t>
  </si>
  <si>
    <t>204.04亿</t>
  </si>
  <si>
    <t>-5.27亿</t>
  </si>
  <si>
    <t>-5202.55万</t>
  </si>
  <si>
    <t>-2.91亿</t>
  </si>
  <si>
    <t>393.77亿</t>
  </si>
  <si>
    <t>2315.42万</t>
  </si>
  <si>
    <t>10派1.05元(含税)</t>
  </si>
  <si>
    <t>9586.27万</t>
  </si>
  <si>
    <t>407.76万</t>
  </si>
  <si>
    <t>146.95亿</t>
  </si>
  <si>
    <t>128.94亿</t>
  </si>
  <si>
    <t>21.40亿</t>
  </si>
  <si>
    <t>1297.23万</t>
  </si>
  <si>
    <t>20.39亿</t>
  </si>
  <si>
    <t>4704.04万</t>
  </si>
  <si>
    <t>-5010070亿</t>
  </si>
  <si>
    <t>7.74万</t>
  </si>
  <si>
    <t>86730045亿</t>
  </si>
  <si>
    <t>53.26亿</t>
  </si>
  <si>
    <t>7944791300亿</t>
  </si>
  <si>
    <t>2612.53万</t>
  </si>
  <si>
    <t>17177070000亿</t>
  </si>
  <si>
    <t>1196.90万</t>
  </si>
  <si>
    <t>384.26万</t>
  </si>
  <si>
    <t>63.21亿</t>
  </si>
  <si>
    <t>108.70亿</t>
  </si>
  <si>
    <t>-9.96亿</t>
  </si>
  <si>
    <t>-5263.63万</t>
  </si>
  <si>
    <t>-318.33万</t>
  </si>
  <si>
    <t>132.26亿</t>
  </si>
  <si>
    <t>16.95亿</t>
  </si>
  <si>
    <t>135.11亿</t>
  </si>
  <si>
    <t>7571.04万</t>
  </si>
  <si>
    <t>17.66亿</t>
  </si>
  <si>
    <t>668.69万</t>
  </si>
  <si>
    <t>10派2.57元(含税)</t>
  </si>
  <si>
    <t>2454.35万</t>
  </si>
  <si>
    <t>2281.51万</t>
  </si>
  <si>
    <t>1262.62亿</t>
  </si>
  <si>
    <t>361.07亿</t>
  </si>
  <si>
    <t>141.25亿</t>
  </si>
  <si>
    <t>33.28亿</t>
  </si>
  <si>
    <t>138.50亿</t>
  </si>
  <si>
    <t>123.54亿</t>
  </si>
  <si>
    <t>205.22万</t>
  </si>
  <si>
    <t>5.10亿</t>
  </si>
  <si>
    <t>357314080亿</t>
  </si>
  <si>
    <t>646.26万</t>
  </si>
  <si>
    <t>426289300亿</t>
  </si>
  <si>
    <t>197.12亿</t>
  </si>
  <si>
    <t>18626592000亿</t>
  </si>
  <si>
    <t>3286.00万</t>
  </si>
  <si>
    <t>84117468000亿</t>
  </si>
  <si>
    <t>38.17亿</t>
  </si>
  <si>
    <t>61.00亿</t>
  </si>
  <si>
    <t>691.63亿</t>
  </si>
  <si>
    <t>919.80亿</t>
  </si>
  <si>
    <t>223.92亿</t>
  </si>
  <si>
    <t>-39.08亿</t>
  </si>
  <si>
    <t>-1798.64万</t>
  </si>
  <si>
    <t>24.97亿</t>
  </si>
  <si>
    <t>722.97亿</t>
  </si>
  <si>
    <t>28.55亿</t>
  </si>
  <si>
    <t>741.93亿</t>
  </si>
  <si>
    <t>7.77亿</t>
  </si>
  <si>
    <t>29.39亿</t>
  </si>
  <si>
    <t>10派2.3元(含税)</t>
  </si>
  <si>
    <t>9767.69万</t>
  </si>
  <si>
    <t>0802000000</t>
  </si>
  <si>
    <t>02406000000</t>
  </si>
  <si>
    <t>04812000000</t>
  </si>
  <si>
    <t>08020000000</t>
  </si>
  <si>
    <t>016040000000</t>
  </si>
  <si>
    <t>546.47万</t>
  </si>
  <si>
    <t>306.55亿</t>
  </si>
  <si>
    <t>55.19亿</t>
  </si>
  <si>
    <t>18.96亿</t>
  </si>
  <si>
    <t>1842.71万</t>
  </si>
  <si>
    <t>9163.55万</t>
  </si>
  <si>
    <t>1680400亿</t>
  </si>
  <si>
    <t>58.57万</t>
  </si>
  <si>
    <t>2880663亿</t>
  </si>
  <si>
    <t>34.91亿</t>
  </si>
  <si>
    <t>7768373900亿</t>
  </si>
  <si>
    <t>594.30万</t>
  </si>
  <si>
    <t>18822183000亿</t>
  </si>
  <si>
    <t>1463.99万</t>
  </si>
  <si>
    <t>36.95亿</t>
  </si>
  <si>
    <t>75.48亿</t>
  </si>
  <si>
    <t>205.74亿</t>
  </si>
  <si>
    <t>85.54亿</t>
  </si>
  <si>
    <t>-7.74亿</t>
  </si>
  <si>
    <t>-5.16亿</t>
  </si>
  <si>
    <t>6.15亿</t>
  </si>
  <si>
    <t>174.28亿</t>
  </si>
  <si>
    <t>9078.32万</t>
  </si>
  <si>
    <t>2353.57万</t>
  </si>
  <si>
    <t>3416.45万</t>
  </si>
  <si>
    <t>0148000000</t>
  </si>
  <si>
    <t>0444000000</t>
  </si>
  <si>
    <t>0888000000</t>
  </si>
  <si>
    <t>01480000000</t>
  </si>
  <si>
    <t>02960000000</t>
  </si>
  <si>
    <t>955.08万</t>
  </si>
  <si>
    <t>782.29亿</t>
  </si>
  <si>
    <t>10093.09亿</t>
  </si>
  <si>
    <t>1317.66亿</t>
  </si>
  <si>
    <t>73.84亿</t>
  </si>
  <si>
    <t>68.80亿</t>
  </si>
  <si>
    <t>469.42万</t>
  </si>
  <si>
    <t>-14726016亿</t>
  </si>
  <si>
    <t>349.76万</t>
  </si>
  <si>
    <t>22278177亿</t>
  </si>
  <si>
    <t>19076963000亿</t>
  </si>
  <si>
    <t>65313240000亿</t>
  </si>
  <si>
    <t>107.77亿</t>
  </si>
  <si>
    <t>19.95亿</t>
  </si>
  <si>
    <t>347.47亿</t>
  </si>
  <si>
    <t>673.40亿</t>
  </si>
  <si>
    <t>42.42亿</t>
  </si>
  <si>
    <t>-15.47亿</t>
  </si>
  <si>
    <t>-1.51亿</t>
  </si>
  <si>
    <t>493.14亿</t>
  </si>
  <si>
    <t>446.98亿</t>
  </si>
  <si>
    <t>2507.46亿</t>
  </si>
  <si>
    <t>3759.41万</t>
  </si>
  <si>
    <t>280.67亿</t>
  </si>
  <si>
    <t>6665.97万</t>
  </si>
  <si>
    <t>1053.43万</t>
  </si>
  <si>
    <t>338.08亿</t>
  </si>
  <si>
    <t>212.21亿</t>
  </si>
  <si>
    <t>102.88亿</t>
  </si>
  <si>
    <t>77.86亿</t>
  </si>
  <si>
    <t>94.84亿</t>
  </si>
  <si>
    <t>82.83亿</t>
  </si>
  <si>
    <t>780023亿</t>
  </si>
  <si>
    <t>1599.10万</t>
  </si>
  <si>
    <t>653767200亿</t>
  </si>
  <si>
    <t>81.21亿</t>
  </si>
  <si>
    <t>10850448400亿</t>
  </si>
  <si>
    <t>3389.91万</t>
  </si>
  <si>
    <t>40645148000亿</t>
  </si>
  <si>
    <t>7.07亿</t>
  </si>
  <si>
    <t>24.19亿</t>
  </si>
  <si>
    <t>22.34亿</t>
  </si>
  <si>
    <t>136.81亿</t>
  </si>
  <si>
    <t>458.28万</t>
  </si>
  <si>
    <t>315.30亿</t>
  </si>
  <si>
    <t>20.33亿</t>
  </si>
  <si>
    <t>-11.88亿</t>
  </si>
  <si>
    <t>-9.73亿</t>
  </si>
  <si>
    <t>10.48亿</t>
  </si>
  <si>
    <t>428.26亿</t>
  </si>
  <si>
    <t>457.99亿</t>
  </si>
  <si>
    <t>29.16亿</t>
  </si>
  <si>
    <t>6.08亿</t>
  </si>
  <si>
    <t>5505.79万</t>
  </si>
  <si>
    <t>02036000000</t>
  </si>
  <si>
    <t>06108000000</t>
  </si>
  <si>
    <t>012216000000</t>
  </si>
  <si>
    <t>020360000000</t>
  </si>
  <si>
    <t>040720000000</t>
  </si>
  <si>
    <t>502.62万</t>
  </si>
  <si>
    <t>73.54亿</t>
  </si>
  <si>
    <t>49.85亿</t>
  </si>
  <si>
    <t>44.68亿</t>
  </si>
  <si>
    <t>-2.74亿</t>
  </si>
  <si>
    <t>49.53亿</t>
  </si>
  <si>
    <t>2842.60万</t>
  </si>
  <si>
    <t>13121000亿</t>
  </si>
  <si>
    <t>759.00万</t>
  </si>
  <si>
    <t>73157000亿</t>
  </si>
  <si>
    <t>41.37亿</t>
  </si>
  <si>
    <t>15058432000亿</t>
  </si>
  <si>
    <t>32063000000亿</t>
  </si>
  <si>
    <t>7720.00万</t>
  </si>
  <si>
    <t>40.63亿</t>
  </si>
  <si>
    <t>117.54亿</t>
  </si>
  <si>
    <t>26.50万</t>
  </si>
  <si>
    <t>272.29亿</t>
  </si>
  <si>
    <t>55.55亿</t>
  </si>
  <si>
    <t>-8.52亿</t>
  </si>
  <si>
    <t>223.37亿</t>
  </si>
  <si>
    <t>-26.58亿</t>
  </si>
  <si>
    <t>-5736.17万</t>
  </si>
  <si>
    <t>3740.52万</t>
  </si>
  <si>
    <t>4506.13万</t>
  </si>
  <si>
    <t>1550.43亿</t>
  </si>
  <si>
    <t>657.85亿</t>
  </si>
  <si>
    <t>449.39亿</t>
  </si>
  <si>
    <t>376.87亿</t>
  </si>
  <si>
    <t>436.49亿</t>
  </si>
  <si>
    <t>413.39亿</t>
  </si>
  <si>
    <t>8406.85万</t>
  </si>
  <si>
    <t>-6120301亿</t>
  </si>
  <si>
    <t>843.60万</t>
  </si>
  <si>
    <t>1151284670亿</t>
  </si>
  <si>
    <t>400.09亿</t>
  </si>
  <si>
    <t>27024421000亿</t>
  </si>
  <si>
    <t>79.44亿</t>
  </si>
  <si>
    <t>170098750000亿</t>
  </si>
  <si>
    <t>82.92亿</t>
  </si>
  <si>
    <t>93.26亿</t>
  </si>
  <si>
    <t>746.54亿</t>
  </si>
  <si>
    <t>1442.14亿</t>
  </si>
  <si>
    <t>53.06亿</t>
  </si>
  <si>
    <t>-67.70亿</t>
  </si>
  <si>
    <t>-12.48亿</t>
  </si>
  <si>
    <t>1577.16亿</t>
  </si>
  <si>
    <t>1783.58亿</t>
  </si>
  <si>
    <t>58.56亿</t>
  </si>
  <si>
    <t>54.26亿</t>
  </si>
  <si>
    <t>-5435.57万</t>
  </si>
  <si>
    <t>10派1.78元(含税)</t>
  </si>
  <si>
    <t>21.08亿</t>
  </si>
  <si>
    <t>0297000000</t>
  </si>
  <si>
    <t>0891000000</t>
  </si>
  <si>
    <t>01782000000</t>
  </si>
  <si>
    <t>02970000000</t>
  </si>
  <si>
    <t>05940000000</t>
  </si>
  <si>
    <t>359.28万</t>
  </si>
  <si>
    <t>23.07亿</t>
  </si>
  <si>
    <t>11.45亿</t>
  </si>
  <si>
    <t>10.67亿</t>
  </si>
  <si>
    <t>786.41万</t>
  </si>
  <si>
    <t>2666.80万</t>
  </si>
  <si>
    <t>5.36万</t>
  </si>
  <si>
    <t>53565122亿</t>
  </si>
  <si>
    <t>14.76亿</t>
  </si>
  <si>
    <t>391948510亿</t>
  </si>
  <si>
    <t>2578.74万</t>
  </si>
  <si>
    <t>4524791500亿</t>
  </si>
  <si>
    <t>65.67万</t>
  </si>
  <si>
    <t>12.98亿</t>
  </si>
  <si>
    <t>-5.37亿</t>
  </si>
  <si>
    <t>-5105.45万</t>
  </si>
  <si>
    <t>39.80亿</t>
  </si>
  <si>
    <t>2681.99万</t>
  </si>
  <si>
    <t>4075.76万</t>
  </si>
  <si>
    <t>12459.00亿</t>
  </si>
  <si>
    <t>4174.62亿</t>
  </si>
  <si>
    <t>2749.49亿</t>
  </si>
  <si>
    <t>56.03亿</t>
  </si>
  <si>
    <t>2659.43亿</t>
  </si>
  <si>
    <t>2535.35亿</t>
  </si>
  <si>
    <t>15.36亿</t>
  </si>
  <si>
    <t>-176237000亿</t>
  </si>
  <si>
    <t>5776606000亿</t>
  </si>
  <si>
    <t>1492.08亿</t>
  </si>
  <si>
    <t>178091340000亿</t>
  </si>
  <si>
    <t>26.92亿</t>
  </si>
  <si>
    <t>1104650490000亿</t>
  </si>
  <si>
    <t>53.87亿</t>
  </si>
  <si>
    <t>1204.70亿</t>
  </si>
  <si>
    <t>533.96亿</t>
  </si>
  <si>
    <t>4753.79亿</t>
  </si>
  <si>
    <t>10336.73亿</t>
  </si>
  <si>
    <t>1754.73亿</t>
  </si>
  <si>
    <t>-465.94亿</t>
  </si>
  <si>
    <t>-136.71亿</t>
  </si>
  <si>
    <t>434.97亿</t>
  </si>
  <si>
    <t>266.81亿</t>
  </si>
  <si>
    <t>11379.93亿</t>
  </si>
  <si>
    <t>260.97亿</t>
  </si>
  <si>
    <t>7.21亿</t>
  </si>
  <si>
    <t>10派3.5元(含税)</t>
  </si>
  <si>
    <t>13.09亿</t>
  </si>
  <si>
    <t>02664000000</t>
  </si>
  <si>
    <t>07992000000</t>
  </si>
  <si>
    <t>015984000000</t>
  </si>
  <si>
    <t>026640000000</t>
  </si>
  <si>
    <t>053280000000</t>
  </si>
  <si>
    <t>332.00万</t>
  </si>
  <si>
    <t>71.54亿</t>
  </si>
  <si>
    <t>42.73亿</t>
  </si>
  <si>
    <t>12.75亿</t>
  </si>
  <si>
    <t>131.94亿</t>
  </si>
  <si>
    <t>2090.62万</t>
  </si>
  <si>
    <t>24.47万</t>
  </si>
  <si>
    <t>-100707090亿</t>
  </si>
  <si>
    <t>13.94亿</t>
  </si>
  <si>
    <t>2207510700亿</t>
  </si>
  <si>
    <t>2769.96万</t>
  </si>
  <si>
    <t>6933213300亿</t>
  </si>
  <si>
    <t>9496.77万</t>
  </si>
  <si>
    <t>39.94亿</t>
  </si>
  <si>
    <t>60.58亿</t>
  </si>
  <si>
    <t>1500.00万</t>
  </si>
  <si>
    <t>-10.77亿</t>
  </si>
  <si>
    <t>-554.05万</t>
  </si>
  <si>
    <t>-579.75万</t>
  </si>
  <si>
    <t>71.74亿</t>
  </si>
  <si>
    <t>29.74亿</t>
  </si>
  <si>
    <t>9751.77万</t>
  </si>
  <si>
    <t>1778.08万</t>
  </si>
  <si>
    <t>7964.15万</t>
  </si>
  <si>
    <t>13695.37亿</t>
  </si>
  <si>
    <t>4709.45亿</t>
  </si>
  <si>
    <t>2650.11亿</t>
  </si>
  <si>
    <t>8430.70亿</t>
  </si>
  <si>
    <t>3639.93亿</t>
  </si>
  <si>
    <t>2560.80亿</t>
  </si>
  <si>
    <t>2422.61亿</t>
  </si>
  <si>
    <t>580411000亿</t>
  </si>
  <si>
    <t>7168617000亿</t>
  </si>
  <si>
    <t>1724.70亿</t>
  </si>
  <si>
    <t>184919530000亿</t>
  </si>
  <si>
    <t>1014447060000亿</t>
  </si>
  <si>
    <t>640.08亿</t>
  </si>
  <si>
    <t>982.75亿</t>
  </si>
  <si>
    <t>612.27亿</t>
  </si>
  <si>
    <t>5145.90亿</t>
  </si>
  <si>
    <t>15.75亿</t>
  </si>
  <si>
    <t>10228.77亿</t>
  </si>
  <si>
    <t>2889.70亿</t>
  </si>
  <si>
    <t>-680.65亿</t>
  </si>
  <si>
    <t>-126.10亿</t>
  </si>
  <si>
    <t>360.72亿</t>
  </si>
  <si>
    <t>11515.01亿</t>
  </si>
  <si>
    <t>312.73亿</t>
  </si>
  <si>
    <t>12608.41亿</t>
  </si>
  <si>
    <t>2275.96亿</t>
  </si>
  <si>
    <t>334.83亿</t>
  </si>
  <si>
    <t>901.64亿</t>
  </si>
  <si>
    <t>21.21亿</t>
  </si>
  <si>
    <t>3371.22万</t>
  </si>
  <si>
    <t>1768.57亿</t>
  </si>
  <si>
    <t>387.98亿</t>
  </si>
  <si>
    <t>290.36亿</t>
  </si>
  <si>
    <t>278.59亿</t>
  </si>
  <si>
    <t>283.19亿</t>
  </si>
  <si>
    <t>265.59亿</t>
  </si>
  <si>
    <t>913.89万</t>
  </si>
  <si>
    <t>68433017亿</t>
  </si>
  <si>
    <t>1744.50万</t>
  </si>
  <si>
    <t>539532850亿</t>
  </si>
  <si>
    <t>148.24亿</t>
  </si>
  <si>
    <t>43542878000亿</t>
  </si>
  <si>
    <t>6.44亿</t>
  </si>
  <si>
    <t>149320880000亿</t>
  </si>
  <si>
    <t>228.35亿</t>
  </si>
  <si>
    <t>23.72亿</t>
  </si>
  <si>
    <t>523.41亿</t>
  </si>
  <si>
    <t>1340.98亿</t>
  </si>
  <si>
    <t>401.51亿</t>
  </si>
  <si>
    <t>-105.71亿</t>
  </si>
  <si>
    <t>-4.27亿</t>
  </si>
  <si>
    <t>60.40亿</t>
  </si>
  <si>
    <t>17.77亿</t>
  </si>
  <si>
    <t>1093.85亿</t>
  </si>
  <si>
    <t>27.49亿</t>
  </si>
  <si>
    <t>20.63亿</t>
  </si>
  <si>
    <t>10派0.87元(含税)</t>
  </si>
  <si>
    <t>0372000000</t>
  </si>
  <si>
    <t>01116000000</t>
  </si>
  <si>
    <t>02232000000</t>
  </si>
  <si>
    <t>03720000000</t>
  </si>
  <si>
    <t>07440000000</t>
  </si>
  <si>
    <t>6473.92万</t>
  </si>
  <si>
    <t>4936.11亿</t>
  </si>
  <si>
    <t>1750.46亿</t>
  </si>
  <si>
    <t>1499.49亿</t>
  </si>
  <si>
    <t>24.03亿</t>
  </si>
  <si>
    <t>1449.71亿</t>
  </si>
  <si>
    <t>1376.75亿</t>
  </si>
  <si>
    <t>31.88亿</t>
  </si>
  <si>
    <t>-215078000亿</t>
  </si>
  <si>
    <t>6564.80万</t>
  </si>
  <si>
    <t>2668559000亿</t>
  </si>
  <si>
    <t>503.21亿</t>
  </si>
  <si>
    <t>139864490000亿</t>
  </si>
  <si>
    <t>58.59亿</t>
  </si>
  <si>
    <t>525115460000亿</t>
  </si>
  <si>
    <t>41.42亿</t>
  </si>
  <si>
    <t>578.66亿</t>
  </si>
  <si>
    <t>321.27亿</t>
  </si>
  <si>
    <t>2433.47亿</t>
  </si>
  <si>
    <t>4784.18亿</t>
  </si>
  <si>
    <t>370.43亿</t>
  </si>
  <si>
    <t>-307.47亿</t>
  </si>
  <si>
    <t>366.70亿</t>
  </si>
  <si>
    <t>102.76亿</t>
  </si>
  <si>
    <t>6338.70亿</t>
  </si>
  <si>
    <t>86.70亿</t>
  </si>
  <si>
    <t>10派0.72元(含税)</t>
  </si>
  <si>
    <t>22.96亿</t>
  </si>
  <si>
    <t>0803000000</t>
  </si>
  <si>
    <t>02409000000</t>
  </si>
  <si>
    <t>04818000000</t>
  </si>
  <si>
    <t>08030000000</t>
  </si>
  <si>
    <t>016060000000</t>
  </si>
  <si>
    <t>21722.52亿</t>
  </si>
  <si>
    <t>7486.04亿</t>
  </si>
  <si>
    <t>5493.19亿</t>
  </si>
  <si>
    <t>6084.39亿</t>
  </si>
  <si>
    <t>129.88亿</t>
  </si>
  <si>
    <t>5274.73亿</t>
  </si>
  <si>
    <t>5048.99亿</t>
  </si>
  <si>
    <t>16.41亿</t>
  </si>
  <si>
    <t>80.75亿</t>
  </si>
  <si>
    <t>678526000亿</t>
  </si>
  <si>
    <t>14739216000亿</t>
  </si>
  <si>
    <t>3391.61亿</t>
  </si>
  <si>
    <t>263040260000亿</t>
  </si>
  <si>
    <t>44.93亿</t>
  </si>
  <si>
    <t>2093735700000亿</t>
  </si>
  <si>
    <t>47.02亿</t>
  </si>
  <si>
    <t>1344.53亿</t>
  </si>
  <si>
    <t>101.90亿</t>
  </si>
  <si>
    <t>6710.75亿</t>
  </si>
  <si>
    <t>15664.50亿</t>
  </si>
  <si>
    <t>5217.65亿</t>
  </si>
  <si>
    <t>-965.95亿</t>
  </si>
  <si>
    <t>-68.45亿</t>
  </si>
  <si>
    <t>903.26亿</t>
  </si>
  <si>
    <t>22655.29亿</t>
  </si>
  <si>
    <t>1332.87亿</t>
  </si>
  <si>
    <t>542.64亿</t>
  </si>
  <si>
    <t>30.21亿</t>
  </si>
  <si>
    <t>10派2.7145元(含税)</t>
  </si>
  <si>
    <t>44.58亿</t>
  </si>
  <si>
    <t>012988000000</t>
  </si>
  <si>
    <t>038964000000</t>
  </si>
  <si>
    <t>077928000000</t>
  </si>
  <si>
    <t>0129880000000</t>
  </si>
  <si>
    <t>0259760000000</t>
  </si>
  <si>
    <t>8941.25亿</t>
  </si>
  <si>
    <t>2646.32亿</t>
  </si>
  <si>
    <t>1401.54亿</t>
  </si>
  <si>
    <t>264.42亿</t>
  </si>
  <si>
    <t>1340.06亿</t>
  </si>
  <si>
    <t>1236.25亿</t>
  </si>
  <si>
    <t>42.24亿</t>
  </si>
  <si>
    <t>285372250亿</t>
  </si>
  <si>
    <t>5040.71万</t>
  </si>
  <si>
    <t>3020649900亿</t>
  </si>
  <si>
    <t>1123.34亿</t>
  </si>
  <si>
    <t>120277493000亿</t>
  </si>
  <si>
    <t>507416570000亿</t>
  </si>
  <si>
    <t>633.62亿</t>
  </si>
  <si>
    <t>717.47亿</t>
  </si>
  <si>
    <t>202.56亿</t>
  </si>
  <si>
    <t>2214.57亿</t>
  </si>
  <si>
    <t>5684.55亿</t>
  </si>
  <si>
    <t>3381.13亿</t>
  </si>
  <si>
    <t>-390.03亿</t>
  </si>
  <si>
    <t>-154.16亿</t>
  </si>
  <si>
    <t>707.79亿</t>
  </si>
  <si>
    <t>5716.49亿</t>
  </si>
  <si>
    <t>60.93亿</t>
  </si>
  <si>
    <t>10派1.3649元(含税)</t>
  </si>
  <si>
    <t>43.38亿</t>
  </si>
  <si>
    <t>01347000000</t>
  </si>
  <si>
    <t>04041000000</t>
  </si>
  <si>
    <t>08082000000</t>
  </si>
  <si>
    <t>013470000000</t>
  </si>
  <si>
    <t>026940000000</t>
  </si>
  <si>
    <t>494.25万</t>
  </si>
  <si>
    <t>232.51亿</t>
  </si>
  <si>
    <t>53.49亿</t>
  </si>
  <si>
    <t>56.72亿</t>
  </si>
  <si>
    <t>-1.40亿</t>
  </si>
  <si>
    <t>55.92亿</t>
  </si>
  <si>
    <t>52.67亿</t>
  </si>
  <si>
    <t>154.78万</t>
  </si>
  <si>
    <t>3344137亿</t>
  </si>
  <si>
    <t>1455.73万</t>
  </si>
  <si>
    <t>70585887亿</t>
  </si>
  <si>
    <t>39.93亿</t>
  </si>
  <si>
    <t>4389990900亿</t>
  </si>
  <si>
    <t>5989.87万</t>
  </si>
  <si>
    <t>20610031000亿</t>
  </si>
  <si>
    <t>880.43万</t>
  </si>
  <si>
    <t>32.37亿</t>
  </si>
  <si>
    <t>200.55亿</t>
  </si>
  <si>
    <t>18.81亿</t>
  </si>
  <si>
    <t>-21.52亿</t>
  </si>
  <si>
    <t>-1.70亿</t>
  </si>
  <si>
    <t>11.02亿</t>
  </si>
  <si>
    <t>226.73亿</t>
  </si>
  <si>
    <t>-1647.16万</t>
  </si>
  <si>
    <t>3636.86万</t>
  </si>
  <si>
    <t>4107.34万</t>
  </si>
  <si>
    <t>12251.38亿</t>
  </si>
  <si>
    <t>4700.11亿</t>
  </si>
  <si>
    <t>1769.04亿</t>
  </si>
  <si>
    <t>112.44亿</t>
  </si>
  <si>
    <t>1677.01亿</t>
  </si>
  <si>
    <t>1558.59亿</t>
  </si>
  <si>
    <t>44.04亿</t>
  </si>
  <si>
    <t>-101098697亿</t>
  </si>
  <si>
    <t>3201.69万</t>
  </si>
  <si>
    <t>6101693900亿</t>
  </si>
  <si>
    <t>1431.17亿</t>
  </si>
  <si>
    <t>117986929000亿</t>
  </si>
  <si>
    <t>18.75亿</t>
  </si>
  <si>
    <t>768088400000亿</t>
  </si>
  <si>
    <t>132.90亿</t>
  </si>
  <si>
    <t>913.29亿</t>
  </si>
  <si>
    <t>360.57亿</t>
  </si>
  <si>
    <t>3632.55亿</t>
  </si>
  <si>
    <t>8239.76亿</t>
  </si>
  <si>
    <t>4177.37亿</t>
  </si>
  <si>
    <t>-396.35亿</t>
  </si>
  <si>
    <t>-219.51亿</t>
  </si>
  <si>
    <t>895.54亿</t>
  </si>
  <si>
    <t>7218.87亿</t>
  </si>
  <si>
    <t>192.63亿</t>
  </si>
  <si>
    <t>7586.76亿</t>
  </si>
  <si>
    <t>30.97亿</t>
  </si>
  <si>
    <t>238.12亿</t>
  </si>
  <si>
    <t>10派2.9256元(含税)</t>
  </si>
  <si>
    <t>0936000000</t>
  </si>
  <si>
    <t>02808000000</t>
  </si>
  <si>
    <t>05616000000</t>
  </si>
  <si>
    <t>09360000000</t>
  </si>
  <si>
    <t>018720000000</t>
  </si>
  <si>
    <t>5949.03亿</t>
  </si>
  <si>
    <t>1909.63亿</t>
  </si>
  <si>
    <t>974.04亿</t>
  </si>
  <si>
    <t>133.53亿</t>
  </si>
  <si>
    <t>12.97亿</t>
  </si>
  <si>
    <t>944.09亿</t>
  </si>
  <si>
    <t>869.72亿</t>
  </si>
  <si>
    <t>4.77亿</t>
  </si>
  <si>
    <t>36.64亿</t>
  </si>
  <si>
    <t>227810000亿</t>
  </si>
  <si>
    <t>1117223000亿</t>
  </si>
  <si>
    <t>640.56亿</t>
  </si>
  <si>
    <t>88937990000亿</t>
  </si>
  <si>
    <t>47.65亿</t>
  </si>
  <si>
    <t>454508250000亿</t>
  </si>
  <si>
    <t>255.52亿</t>
  </si>
  <si>
    <t>501.53亿</t>
  </si>
  <si>
    <t>131.74亿</t>
  </si>
  <si>
    <t>2016.26亿</t>
  </si>
  <si>
    <t>1982.40万</t>
  </si>
  <si>
    <t>4277.99亿</t>
  </si>
  <si>
    <t>1707.21亿</t>
  </si>
  <si>
    <t>-161.93亿</t>
  </si>
  <si>
    <t>-207.75亿</t>
  </si>
  <si>
    <t>250.50亿</t>
  </si>
  <si>
    <t>3663.96亿</t>
  </si>
  <si>
    <t>78.24亿</t>
  </si>
  <si>
    <t>4060.32亿</t>
  </si>
  <si>
    <t>31.95亿</t>
  </si>
  <si>
    <t>79.86亿</t>
  </si>
  <si>
    <t>41.14亿</t>
  </si>
  <si>
    <t>01297000000</t>
  </si>
  <si>
    <t>03891000000</t>
  </si>
  <si>
    <t>07782000000</t>
  </si>
  <si>
    <t>012970000000</t>
  </si>
  <si>
    <t>025940000000</t>
  </si>
  <si>
    <t>845.06万</t>
  </si>
  <si>
    <t>203.69亿</t>
  </si>
  <si>
    <t>675.40亿</t>
  </si>
  <si>
    <t>67.14亿</t>
  </si>
  <si>
    <t>39.32亿</t>
  </si>
  <si>
    <t>6367.53万</t>
  </si>
  <si>
    <t>2406693亿</t>
  </si>
  <si>
    <t>25.98万</t>
  </si>
  <si>
    <t>176571770亿</t>
  </si>
  <si>
    <t>11437813400亿</t>
  </si>
  <si>
    <t>21448249000亿</t>
  </si>
  <si>
    <t>14.28亿</t>
  </si>
  <si>
    <t>73.72亿</t>
  </si>
  <si>
    <t>170.57亿</t>
  </si>
  <si>
    <t>209.54亿</t>
  </si>
  <si>
    <t>207.69亿</t>
  </si>
  <si>
    <t>4576.42万</t>
  </si>
  <si>
    <t>234.78万</t>
  </si>
  <si>
    <t>19.99亿</t>
  </si>
  <si>
    <t>2989.83万</t>
  </si>
  <si>
    <t>86.78亿</t>
  </si>
  <si>
    <t>6004.22万</t>
  </si>
  <si>
    <t>3757.31万</t>
  </si>
  <si>
    <t>18.25万</t>
  </si>
  <si>
    <t>1341.41万</t>
  </si>
  <si>
    <t>378371亿</t>
  </si>
  <si>
    <t>6.25万</t>
  </si>
  <si>
    <t>-20735052亿</t>
  </si>
  <si>
    <t>1217.46万</t>
  </si>
  <si>
    <t>1159110490亿</t>
  </si>
  <si>
    <t>5125.73万</t>
  </si>
  <si>
    <t>18.22亿</t>
  </si>
  <si>
    <t>6497.79万</t>
  </si>
  <si>
    <t>-192.63万</t>
  </si>
  <si>
    <t>-906.42万</t>
  </si>
  <si>
    <t>453.47万</t>
  </si>
  <si>
    <t>14.67亿</t>
  </si>
  <si>
    <t>6163.15万</t>
  </si>
  <si>
    <t>2060.03万</t>
  </si>
  <si>
    <t>364.47万</t>
  </si>
  <si>
    <t>19.08亿</t>
  </si>
  <si>
    <t>53.53亿</t>
  </si>
  <si>
    <t>3243.31万</t>
  </si>
  <si>
    <t>3872432亿</t>
  </si>
  <si>
    <t>3.13万</t>
  </si>
  <si>
    <t>24799453亿</t>
  </si>
  <si>
    <t>664138460亿</t>
  </si>
  <si>
    <t>3383.04万</t>
  </si>
  <si>
    <t>1923527100亿</t>
  </si>
  <si>
    <t>205.82万</t>
  </si>
  <si>
    <t>17.51亿</t>
  </si>
  <si>
    <t>-1623.31万</t>
  </si>
  <si>
    <t>-1.54亿</t>
  </si>
  <si>
    <t>8691.30万</t>
  </si>
  <si>
    <t>9505.47万</t>
  </si>
  <si>
    <t>2255.97万</t>
  </si>
  <si>
    <t>XD华设集</t>
  </si>
  <si>
    <t>1428.10万</t>
  </si>
  <si>
    <t>81.50亿</t>
  </si>
  <si>
    <t>51.34亿</t>
  </si>
  <si>
    <t>7.90亿</t>
  </si>
  <si>
    <t>143.53亿</t>
  </si>
  <si>
    <t>18.36亿</t>
  </si>
  <si>
    <t>4984.02万</t>
  </si>
  <si>
    <t>7262.61万</t>
  </si>
  <si>
    <t>-4665251亿</t>
  </si>
  <si>
    <t>25.71万</t>
  </si>
  <si>
    <t>90061590亿</t>
  </si>
  <si>
    <t>4230377900亿</t>
  </si>
  <si>
    <t>2925.41万</t>
  </si>
  <si>
    <t>10859758100亿</t>
  </si>
  <si>
    <t>2507.36万</t>
  </si>
  <si>
    <t>35.67亿</t>
  </si>
  <si>
    <t>499.29万</t>
  </si>
  <si>
    <t>69.34亿</t>
  </si>
  <si>
    <t>-2.32亿</t>
  </si>
  <si>
    <t>-7921.71万</t>
  </si>
  <si>
    <t>22.98亿</t>
  </si>
  <si>
    <t>10派3.1元(含税)</t>
  </si>
  <si>
    <t>9157.18万</t>
  </si>
  <si>
    <t>ST全筑</t>
  </si>
  <si>
    <t>1820.18万</t>
  </si>
  <si>
    <t>17.39亿</t>
  </si>
  <si>
    <t>43.18亿</t>
  </si>
  <si>
    <t>579.57万</t>
  </si>
  <si>
    <t>3014.12万</t>
  </si>
  <si>
    <t>136139亿</t>
  </si>
  <si>
    <t>128.30万</t>
  </si>
  <si>
    <t>-26513186亿</t>
  </si>
  <si>
    <t>252.68万</t>
  </si>
  <si>
    <t>1720985100亿</t>
  </si>
  <si>
    <t>2127.23万</t>
  </si>
  <si>
    <t>3.38万</t>
  </si>
  <si>
    <t>10.82亿</t>
  </si>
  <si>
    <t>-8282.53万</t>
  </si>
  <si>
    <t>1017.06万</t>
  </si>
  <si>
    <t>10.40亿</t>
  </si>
  <si>
    <t>9488.57万</t>
  </si>
  <si>
    <t>4483.65万</t>
  </si>
  <si>
    <t>6772.64万</t>
  </si>
  <si>
    <t>720.66万</t>
  </si>
  <si>
    <t>37.02亿</t>
  </si>
  <si>
    <t>2770.42万</t>
  </si>
  <si>
    <t>3170.78万</t>
  </si>
  <si>
    <t>56042亿</t>
  </si>
  <si>
    <t>7.82万</t>
  </si>
  <si>
    <t>19578772亿</t>
  </si>
  <si>
    <t>10.61亿</t>
  </si>
  <si>
    <t>1560268500亿</t>
  </si>
  <si>
    <t>2818.24万</t>
  </si>
  <si>
    <t>5270251800亿</t>
  </si>
  <si>
    <t>11.95万</t>
  </si>
  <si>
    <t>4815.44万</t>
  </si>
  <si>
    <t>30.48亿</t>
  </si>
  <si>
    <t>-579.16万</t>
  </si>
  <si>
    <t>-184.86万</t>
  </si>
  <si>
    <t>-8582.45万</t>
  </si>
  <si>
    <t>5344.33万</t>
  </si>
  <si>
    <t>35.15亿</t>
  </si>
  <si>
    <t>6960.90万</t>
  </si>
  <si>
    <t>5780.12万</t>
  </si>
  <si>
    <t>-413.63万</t>
  </si>
  <si>
    <t>2435.96万</t>
  </si>
  <si>
    <t>0138000000</t>
  </si>
  <si>
    <t>0414000000</t>
  </si>
  <si>
    <t>0828000000</t>
  </si>
  <si>
    <t>01380000000</t>
  </si>
  <si>
    <t>02760000000</t>
  </si>
  <si>
    <t>82.50万</t>
  </si>
  <si>
    <t>11.93亿</t>
  </si>
  <si>
    <t>-8118.27万</t>
  </si>
  <si>
    <t>508.85万</t>
  </si>
  <si>
    <t>1125.37万</t>
  </si>
  <si>
    <t>-236658亿</t>
  </si>
  <si>
    <t>48962244亿</t>
  </si>
  <si>
    <t>497670690亿</t>
  </si>
  <si>
    <t>2820077000亿</t>
  </si>
  <si>
    <t>465.35万</t>
  </si>
  <si>
    <t>17.79亿</t>
  </si>
  <si>
    <t>5961.00万</t>
  </si>
  <si>
    <t>-4077.69万</t>
  </si>
  <si>
    <t>9291.23万</t>
  </si>
  <si>
    <t>-6856.57万</t>
  </si>
  <si>
    <t>22.10亿</t>
  </si>
  <si>
    <t>5604.37万</t>
  </si>
  <si>
    <t>-2940.88万</t>
  </si>
  <si>
    <t>10转4股派2.0元(含税)</t>
  </si>
  <si>
    <t>399.75万</t>
  </si>
  <si>
    <t>2869.38万</t>
  </si>
  <si>
    <t>78.72万</t>
  </si>
  <si>
    <t>13.27亿</t>
  </si>
  <si>
    <t>37.00亿</t>
  </si>
  <si>
    <t>2652.43万</t>
  </si>
  <si>
    <t>54625亿</t>
  </si>
  <si>
    <t>18.83万</t>
  </si>
  <si>
    <t>16035172亿</t>
  </si>
  <si>
    <t>1276496720亿</t>
  </si>
  <si>
    <t>1289.90万</t>
  </si>
  <si>
    <t>3065593800亿</t>
  </si>
  <si>
    <t>9042.13万</t>
  </si>
  <si>
    <t>-8.36亿</t>
  </si>
  <si>
    <t>-388.34万</t>
  </si>
  <si>
    <t>40.09亿</t>
  </si>
  <si>
    <t>5489.92万</t>
  </si>
  <si>
    <t>532.60万</t>
  </si>
  <si>
    <t>5985.82万</t>
  </si>
  <si>
    <t>0123000000</t>
  </si>
  <si>
    <t>0369000000</t>
  </si>
  <si>
    <t>0738000000</t>
  </si>
  <si>
    <t>01230000000</t>
  </si>
  <si>
    <t>02460000000</t>
  </si>
  <si>
    <t>20.05万</t>
  </si>
  <si>
    <t>22.91亿</t>
  </si>
  <si>
    <t>1476.97万</t>
  </si>
  <si>
    <t>116793亿</t>
  </si>
  <si>
    <t>17655540亿</t>
  </si>
  <si>
    <t>361570980亿</t>
  </si>
  <si>
    <t>2273.76万</t>
  </si>
  <si>
    <t>1724146600亿</t>
  </si>
  <si>
    <t>525.46万</t>
  </si>
  <si>
    <t>-3649.21万</t>
  </si>
  <si>
    <t>-2050.68万</t>
  </si>
  <si>
    <t>101.99万</t>
  </si>
  <si>
    <t>8152.89万</t>
  </si>
  <si>
    <t>10派8元(含税)</t>
  </si>
  <si>
    <t>110.18万</t>
  </si>
  <si>
    <t>1958.56万</t>
  </si>
  <si>
    <t>193.53万</t>
  </si>
  <si>
    <t>42.82亿</t>
  </si>
  <si>
    <t>-4842.48万</t>
  </si>
  <si>
    <t>2214.86万</t>
  </si>
  <si>
    <t>-15042202亿</t>
  </si>
  <si>
    <t>-40095200亿</t>
  </si>
  <si>
    <t>1601829100亿</t>
  </si>
  <si>
    <t>3760059000亿</t>
  </si>
  <si>
    <t>26.34亿</t>
  </si>
  <si>
    <t>-8122.13万</t>
  </si>
  <si>
    <t>-2.05亿</t>
  </si>
  <si>
    <t>7388.38万</t>
  </si>
  <si>
    <t>5980.78万</t>
  </si>
  <si>
    <t>116.11万</t>
  </si>
  <si>
    <t>1161.70万</t>
  </si>
  <si>
    <t>8084.55万</t>
  </si>
  <si>
    <t>268.30万</t>
  </si>
  <si>
    <t>20.95亿</t>
  </si>
  <si>
    <t>5078.48万</t>
  </si>
  <si>
    <t>5340.68万</t>
  </si>
  <si>
    <t>5042.22万</t>
  </si>
  <si>
    <t>835.36万</t>
  </si>
  <si>
    <t>63927亿</t>
  </si>
  <si>
    <t>-3330111亿</t>
  </si>
  <si>
    <t>7488.85万</t>
  </si>
  <si>
    <t>611468360亿</t>
  </si>
  <si>
    <t>56.00万</t>
  </si>
  <si>
    <t>1236863110亿</t>
  </si>
  <si>
    <t>5.31亿</t>
  </si>
  <si>
    <t>-653.54万</t>
  </si>
  <si>
    <t>75.01万</t>
  </si>
  <si>
    <t>-2628.13万</t>
  </si>
  <si>
    <t>1975.77万</t>
  </si>
  <si>
    <t>XD设计总</t>
  </si>
  <si>
    <t>807.00万</t>
  </si>
  <si>
    <t>35.95亿</t>
  </si>
  <si>
    <t>8.13亿</t>
  </si>
  <si>
    <t>53.69亿</t>
  </si>
  <si>
    <t>6.62亿</t>
  </si>
  <si>
    <t>1692.45万</t>
  </si>
  <si>
    <t>3478.04万</t>
  </si>
  <si>
    <t>5638432亿</t>
  </si>
  <si>
    <t>3.07万</t>
  </si>
  <si>
    <t>88896646亿</t>
  </si>
  <si>
    <t>1208653320亿</t>
  </si>
  <si>
    <t>965.64万</t>
  </si>
  <si>
    <t>4818426100亿</t>
  </si>
  <si>
    <t>14.74亿</t>
  </si>
  <si>
    <t>-5.44亿</t>
  </si>
  <si>
    <t>-1456.13万</t>
  </si>
  <si>
    <t>-436.48万</t>
  </si>
  <si>
    <t>33.88亿</t>
  </si>
  <si>
    <t>10.71亿</t>
  </si>
  <si>
    <t>4.88亿</t>
  </si>
  <si>
    <t>4286.49万</t>
  </si>
  <si>
    <t>ST元成</t>
  </si>
  <si>
    <t>554.29万</t>
  </si>
  <si>
    <t>2873.16万</t>
  </si>
  <si>
    <t>-1.29亿</t>
  </si>
  <si>
    <t>5080.82万</t>
  </si>
  <si>
    <t>3050.02万</t>
  </si>
  <si>
    <t>93.86万</t>
  </si>
  <si>
    <t>971.69万</t>
  </si>
  <si>
    <t>1245730亿</t>
  </si>
  <si>
    <t>1.11万</t>
  </si>
  <si>
    <t>-26848092亿</t>
  </si>
  <si>
    <t>3782.21万</t>
  </si>
  <si>
    <t>520.28万</t>
  </si>
  <si>
    <t>1464551800亿</t>
  </si>
  <si>
    <t>7.12亿</t>
  </si>
  <si>
    <t>79.19万</t>
  </si>
  <si>
    <t>5210.36万</t>
  </si>
  <si>
    <t>-5427.37万</t>
  </si>
  <si>
    <t>-873.35万</t>
  </si>
  <si>
    <t>4164.85万</t>
  </si>
  <si>
    <t>-6547.83万</t>
  </si>
  <si>
    <t>4686.14万</t>
  </si>
  <si>
    <t>9253.06万</t>
  </si>
  <si>
    <t>2.74亿</t>
  </si>
  <si>
    <t>4629.69万</t>
  </si>
  <si>
    <t>-2681.48万</t>
  </si>
  <si>
    <t>4236.41万</t>
  </si>
  <si>
    <t>858.65万</t>
  </si>
  <si>
    <t>34.06亿</t>
  </si>
  <si>
    <t>33.93亿</t>
  </si>
  <si>
    <t>23.50亿</t>
  </si>
  <si>
    <t>1505.21万</t>
  </si>
  <si>
    <t>4478.21万</t>
  </si>
  <si>
    <t>3057691亿</t>
  </si>
  <si>
    <t>-30752830亿</t>
  </si>
  <si>
    <t>2558376400亿</t>
  </si>
  <si>
    <t>5270.82万</t>
  </si>
  <si>
    <t>5009047600亿</t>
  </si>
  <si>
    <t>546.15万</t>
  </si>
  <si>
    <t>13.21亿</t>
  </si>
  <si>
    <t>9.37亿</t>
  </si>
  <si>
    <t>92.57万</t>
  </si>
  <si>
    <t>30.79亿</t>
  </si>
  <si>
    <t>5990.00万</t>
  </si>
  <si>
    <t>-4283.92万</t>
  </si>
  <si>
    <t>20.21亿</t>
  </si>
  <si>
    <t>5658.88万</t>
  </si>
  <si>
    <t>4411.69万</t>
  </si>
  <si>
    <t>10派0.55元(含税)</t>
  </si>
  <si>
    <t>7545.08万</t>
  </si>
  <si>
    <t>105.83万</t>
  </si>
  <si>
    <t>22.35亿</t>
  </si>
  <si>
    <t>9412.16万</t>
  </si>
  <si>
    <t>9026.13万</t>
  </si>
  <si>
    <t>87.48万</t>
  </si>
  <si>
    <t>560.49万</t>
  </si>
  <si>
    <t>254128亿</t>
  </si>
  <si>
    <t>7185774亿</t>
  </si>
  <si>
    <t>7.50亿</t>
  </si>
  <si>
    <t>200759040亿</t>
  </si>
  <si>
    <t>1298659280亿</t>
  </si>
  <si>
    <t>-8107.95万</t>
  </si>
  <si>
    <t>7758.84万</t>
  </si>
  <si>
    <t>624.37万</t>
  </si>
  <si>
    <t>4998.56万</t>
  </si>
  <si>
    <t>214.79万</t>
  </si>
  <si>
    <t>84.50亿</t>
  </si>
  <si>
    <t>24.42亿</t>
  </si>
  <si>
    <t>192.12亿</t>
  </si>
  <si>
    <t>574.06万</t>
  </si>
  <si>
    <t>2347.23万</t>
  </si>
  <si>
    <t>19.48万</t>
  </si>
  <si>
    <t>33237412亿</t>
  </si>
  <si>
    <t>3462895400亿</t>
  </si>
  <si>
    <t>7721.15万</t>
  </si>
  <si>
    <t>6850813200亿</t>
  </si>
  <si>
    <t>194.00万</t>
  </si>
  <si>
    <t>46.86亿</t>
  </si>
  <si>
    <t>64.11亿</t>
  </si>
  <si>
    <t>-3.17亿</t>
  </si>
  <si>
    <t>-805.81万</t>
  </si>
  <si>
    <t>4986.59万</t>
  </si>
  <si>
    <t>48.13亿</t>
  </si>
  <si>
    <t>39.54亿</t>
  </si>
  <si>
    <t>10派0.85元(含税)</t>
  </si>
  <si>
    <t>1258.49万</t>
  </si>
  <si>
    <t>9546.19万</t>
  </si>
  <si>
    <t>ST柯利达</t>
  </si>
  <si>
    <t>900.13万</t>
  </si>
  <si>
    <t>44.66亿</t>
  </si>
  <si>
    <t>19.64亿</t>
  </si>
  <si>
    <t>257.89万</t>
  </si>
  <si>
    <t>2676.15万</t>
  </si>
  <si>
    <t>-6050672亿</t>
  </si>
  <si>
    <t>11832428亿</t>
  </si>
  <si>
    <t>6.10亿</t>
  </si>
  <si>
    <t>3430123600亿</t>
  </si>
  <si>
    <t>10.70亿</t>
  </si>
  <si>
    <t>17.28亿</t>
  </si>
  <si>
    <t>329.51万</t>
  </si>
  <si>
    <t>2583.49万</t>
  </si>
  <si>
    <t>-1974.04万</t>
  </si>
  <si>
    <t>25.40亿</t>
  </si>
  <si>
    <t>1763.70万</t>
  </si>
  <si>
    <t>3522.88万</t>
  </si>
  <si>
    <t>0109000000</t>
  </si>
  <si>
    <t>0327000000</t>
  </si>
  <si>
    <t>0654000000</t>
  </si>
  <si>
    <t>01090000000</t>
  </si>
  <si>
    <t>02180000000</t>
  </si>
  <si>
    <t>2318.80万</t>
  </si>
  <si>
    <t>12.76亿</t>
  </si>
  <si>
    <t>16.88亿</t>
  </si>
  <si>
    <t>84.26万</t>
  </si>
  <si>
    <t>2618.22万</t>
  </si>
  <si>
    <t>3670803亿</t>
  </si>
  <si>
    <t>2.72万</t>
  </si>
  <si>
    <t>-19196813亿</t>
  </si>
  <si>
    <t>1526554500亿</t>
  </si>
  <si>
    <t>174.90万</t>
  </si>
  <si>
    <t>5032451300亿</t>
  </si>
  <si>
    <t>10.36亿</t>
  </si>
  <si>
    <t>24.17亿</t>
  </si>
  <si>
    <t>2128.28万</t>
  </si>
  <si>
    <t>64.23亿</t>
  </si>
  <si>
    <t>4741.55万</t>
  </si>
  <si>
    <t>-330.08万</t>
  </si>
  <si>
    <t>19.06亿</t>
  </si>
  <si>
    <t>-5.32亿</t>
  </si>
  <si>
    <t>4827.28万</t>
  </si>
  <si>
    <t>0981000000</t>
  </si>
  <si>
    <t>01962000000</t>
  </si>
  <si>
    <t>03270000000</t>
  </si>
  <si>
    <t>06540000000</t>
  </si>
  <si>
    <t>597.12万</t>
  </si>
  <si>
    <t>2406.26万</t>
  </si>
  <si>
    <t>43.30亿</t>
  </si>
  <si>
    <t>2953.17万</t>
  </si>
  <si>
    <t>1363.27万</t>
  </si>
  <si>
    <t>120.52万</t>
  </si>
  <si>
    <t>1153.47万</t>
  </si>
  <si>
    <t>-5075152亿</t>
  </si>
  <si>
    <t>122146245亿</t>
  </si>
  <si>
    <t>401360210亿</t>
  </si>
  <si>
    <t>1079.16万</t>
  </si>
  <si>
    <t>2818.96万</t>
  </si>
  <si>
    <t>6954.18万</t>
  </si>
  <si>
    <t>-4918.93万</t>
  </si>
  <si>
    <t>-501.77万</t>
  </si>
  <si>
    <t>5157.38万</t>
  </si>
  <si>
    <t>3496.74万</t>
  </si>
  <si>
    <t>10派1.547元(含税)</t>
  </si>
  <si>
    <t>2819.17万</t>
  </si>
  <si>
    <t>119.25万</t>
  </si>
  <si>
    <t>18.78亿</t>
  </si>
  <si>
    <t>3536.84万</t>
  </si>
  <si>
    <t>15.93亿</t>
  </si>
  <si>
    <t>383.59万</t>
  </si>
  <si>
    <t>2533.41万</t>
  </si>
  <si>
    <t>1479731亿</t>
  </si>
  <si>
    <t>11.52万</t>
  </si>
  <si>
    <t>20416769亿</t>
  </si>
  <si>
    <t>781331770亿</t>
  </si>
  <si>
    <t>76.77万</t>
  </si>
  <si>
    <t>2695819400亿</t>
  </si>
  <si>
    <t>171.31万</t>
  </si>
  <si>
    <t>27.38万</t>
  </si>
  <si>
    <t>19.57亿</t>
  </si>
  <si>
    <t>-6213.52万</t>
  </si>
  <si>
    <t>-1356.59万</t>
  </si>
  <si>
    <t>-231.58万</t>
  </si>
  <si>
    <t>5666.05万</t>
  </si>
  <si>
    <t>39.46亿</t>
  </si>
  <si>
    <t>6592.40万</t>
  </si>
  <si>
    <t>429.06万</t>
  </si>
  <si>
    <t>642.14万</t>
  </si>
  <si>
    <t>4375.82万</t>
  </si>
  <si>
    <t>173.80万</t>
  </si>
  <si>
    <t>20.94亿</t>
  </si>
  <si>
    <t>15.67亿</t>
  </si>
  <si>
    <t>69.89万</t>
  </si>
  <si>
    <t>2002.53万</t>
  </si>
  <si>
    <t>1095875亿</t>
  </si>
  <si>
    <t>116582274亿</t>
  </si>
  <si>
    <t>742880640亿</t>
  </si>
  <si>
    <t>780.31万</t>
  </si>
  <si>
    <t>3646029100亿</t>
  </si>
  <si>
    <t>13.34亿</t>
  </si>
  <si>
    <t>18.63万</t>
  </si>
  <si>
    <t>-4928.49万</t>
  </si>
  <si>
    <t>-602.89万</t>
  </si>
  <si>
    <t>32.01亿</t>
  </si>
  <si>
    <t>2787.84万</t>
  </si>
  <si>
    <t>10派10元(含税)</t>
  </si>
  <si>
    <t>935.34万</t>
  </si>
  <si>
    <t>9279.12万</t>
  </si>
  <si>
    <t>190.69万</t>
  </si>
  <si>
    <t>2503.53万</t>
  </si>
  <si>
    <t>2333.76万</t>
  </si>
  <si>
    <t>1726.03万</t>
  </si>
  <si>
    <t>1632.41万</t>
  </si>
  <si>
    <t>85.60万</t>
  </si>
  <si>
    <t>1310.47万</t>
  </si>
  <si>
    <t>3531545亿</t>
  </si>
  <si>
    <t>2.37万</t>
  </si>
  <si>
    <t>8949472亿</t>
  </si>
  <si>
    <t>481071860亿</t>
  </si>
  <si>
    <t>327.49万</t>
  </si>
  <si>
    <t>1325414460亿</t>
  </si>
  <si>
    <t>9996.77万</t>
  </si>
  <si>
    <t>2391.91万</t>
  </si>
  <si>
    <t>-649.72万</t>
  </si>
  <si>
    <t>-3132.61万</t>
  </si>
  <si>
    <t>-8338.90万</t>
  </si>
  <si>
    <t>-4441.94万</t>
  </si>
  <si>
    <t>1026.45万</t>
  </si>
  <si>
    <t>6256.75万</t>
  </si>
  <si>
    <t>142.06万</t>
  </si>
  <si>
    <t>6.58亿</t>
  </si>
  <si>
    <t>52.84亿</t>
  </si>
  <si>
    <t>496.33万</t>
  </si>
  <si>
    <t>3309.98万</t>
  </si>
  <si>
    <t>868394亿</t>
  </si>
  <si>
    <t>31436025亿</t>
  </si>
  <si>
    <t>222673690亿</t>
  </si>
  <si>
    <t>1581.62万</t>
  </si>
  <si>
    <t>1446686000亿</t>
  </si>
  <si>
    <t>23.73万</t>
  </si>
  <si>
    <t>-2.04亿</t>
  </si>
  <si>
    <t>4010.85万</t>
  </si>
  <si>
    <t>-3829.71万</t>
  </si>
  <si>
    <t>32.42亿</t>
  </si>
  <si>
    <t>10派0.43元(含税)</t>
  </si>
  <si>
    <t>968.72万</t>
  </si>
  <si>
    <t>9832.18万</t>
  </si>
  <si>
    <t>619.22万</t>
  </si>
  <si>
    <t>6009.15万</t>
  </si>
  <si>
    <t>26.43亿</t>
  </si>
  <si>
    <t>2223.72万</t>
  </si>
  <si>
    <t>9182.55万</t>
  </si>
  <si>
    <t>5791.73万</t>
  </si>
  <si>
    <t>1221.59万</t>
  </si>
  <si>
    <t>2106.07万</t>
  </si>
  <si>
    <t>281234亿</t>
  </si>
  <si>
    <t>-35901140亿</t>
  </si>
  <si>
    <t>617755240亿</t>
  </si>
  <si>
    <t>451.75万</t>
  </si>
  <si>
    <t>1598313200亿</t>
  </si>
  <si>
    <t>1120.69万</t>
  </si>
  <si>
    <t>8284.60万</t>
  </si>
  <si>
    <t>697.41万</t>
  </si>
  <si>
    <t>-2116.56万</t>
  </si>
  <si>
    <t>-159.32万</t>
  </si>
  <si>
    <t>-2005.45万</t>
  </si>
  <si>
    <t>-2.07亿</t>
  </si>
  <si>
    <t>457.78万</t>
  </si>
  <si>
    <t>5691.42万</t>
  </si>
  <si>
    <t>136.80万</t>
  </si>
  <si>
    <t>97.38亿</t>
  </si>
  <si>
    <t>660.79万</t>
  </si>
  <si>
    <t>4055.58万</t>
  </si>
  <si>
    <t>216.53万</t>
  </si>
  <si>
    <t>35806785亿</t>
  </si>
  <si>
    <t>17.31亿</t>
  </si>
  <si>
    <t>4050685000亿</t>
  </si>
  <si>
    <t>9824846900亿</t>
  </si>
  <si>
    <t>2537.13万</t>
  </si>
  <si>
    <t>23.77亿</t>
  </si>
  <si>
    <t>11.96亿</t>
  </si>
  <si>
    <t>38.21亿</t>
  </si>
  <si>
    <t>89.78亿</t>
  </si>
  <si>
    <t>-5287.56万</t>
  </si>
  <si>
    <t>-4308.04万</t>
  </si>
  <si>
    <t>-4.20亿</t>
  </si>
  <si>
    <t>61.03亿</t>
  </si>
  <si>
    <t>1953.57万</t>
  </si>
  <si>
    <t>732.04万</t>
  </si>
  <si>
    <t>6163.03万</t>
  </si>
  <si>
    <t>0108000000</t>
  </si>
  <si>
    <t>0324000000</t>
  </si>
  <si>
    <t>0648000000</t>
  </si>
  <si>
    <t>01080000000</t>
  </si>
  <si>
    <t>02160000000</t>
  </si>
  <si>
    <t>177.34万</t>
  </si>
  <si>
    <t>13.46亿</t>
  </si>
  <si>
    <t>38.91亿</t>
  </si>
  <si>
    <t>-4.01亿</t>
  </si>
  <si>
    <t>8430.61万</t>
  </si>
  <si>
    <t>384.97万</t>
  </si>
  <si>
    <t>1775.75万</t>
  </si>
  <si>
    <t>-1147357亿</t>
  </si>
  <si>
    <t>17.97万</t>
  </si>
  <si>
    <t>18553343亿</t>
  </si>
  <si>
    <t>497763300亿</t>
  </si>
  <si>
    <t>598.55万</t>
  </si>
  <si>
    <t>1532566400亿</t>
  </si>
  <si>
    <t>153.83万</t>
  </si>
  <si>
    <t>-409.73万</t>
  </si>
  <si>
    <t>-1197.67万</t>
  </si>
  <si>
    <t>8053.93万</t>
  </si>
  <si>
    <t>538.84万</t>
  </si>
  <si>
    <t>3327.29万</t>
  </si>
  <si>
    <t>181.26万</t>
  </si>
  <si>
    <t>12.08亿</t>
  </si>
  <si>
    <t>344.01万</t>
  </si>
  <si>
    <t>2103.98万</t>
  </si>
  <si>
    <t>1015471亿</t>
  </si>
  <si>
    <t>2.71万</t>
  </si>
  <si>
    <t>-18864565亿</t>
  </si>
  <si>
    <t>1092104950亿</t>
  </si>
  <si>
    <t>1836.59万</t>
  </si>
  <si>
    <t>2046319500亿</t>
  </si>
  <si>
    <t>556.39万</t>
  </si>
  <si>
    <t>1265.98万</t>
  </si>
  <si>
    <t>6.61亿</t>
  </si>
  <si>
    <t>-6242.50万</t>
  </si>
  <si>
    <t>-45.10万</t>
  </si>
  <si>
    <t>-3875.08万</t>
  </si>
  <si>
    <t>1513.01万</t>
  </si>
  <si>
    <t>858.54万</t>
  </si>
  <si>
    <t>83.76万</t>
  </si>
  <si>
    <t>4.19亿</t>
  </si>
  <si>
    <t>17.91亿</t>
  </si>
  <si>
    <t>165.52亿</t>
  </si>
  <si>
    <t>5361.44万</t>
  </si>
  <si>
    <t>667178亿</t>
  </si>
  <si>
    <t>38.40万</t>
  </si>
  <si>
    <t>28967923亿</t>
  </si>
  <si>
    <t>394408220亿</t>
  </si>
  <si>
    <t>1189.02万</t>
  </si>
  <si>
    <t>1843504700亿</t>
  </si>
  <si>
    <t>1760.95万</t>
  </si>
  <si>
    <t>53.76万</t>
  </si>
  <si>
    <t>-235.63万</t>
  </si>
  <si>
    <t>6484.96万</t>
  </si>
  <si>
    <t>-332.18万</t>
  </si>
  <si>
    <t>12.77亿</t>
  </si>
  <si>
    <t>50.52亿</t>
  </si>
  <si>
    <t>10派2.13元(含税)</t>
  </si>
  <si>
    <t>572.00万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</si>
</sst>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9" fontId="0" fillId="0" borderId="0" xfId="0" applyNumberFormat="1">
      <alignment vertical="center"/>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393700</xdr:colOff>
          <xdr:row>0</xdr:row>
          <xdr:rowOff>69850</xdr:rowOff>
        </xdr:from>
        <xdr:to>
          <xdr:col>147</xdr:col>
          <xdr:colOff>1403350</xdr:colOff>
          <xdr:row>0</xdr:row>
          <xdr:rowOff>381000</xdr:rowOff>
        </xdr:to>
        <xdr:sp macro="" textlink="">
          <xdr:nvSpPr>
            <xdr:cNvPr id="1025" name="Button 1" descr="更新基本面按钮&#10;"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49"/>
  <sheetViews>
    <sheetView tabSelected="1" zoomScaleNormal="100" workbookViewId="0">
      <pane xSplit="5" ySplit="1" topLeftCell="F145" activePane="bottomRight" state="frozen"/>
      <selection pane="topRight" activeCell="F1" sqref="F1"/>
      <selection pane="bottomLeft" activeCell="A2" sqref="A2"/>
      <selection pane="bottomRight" activeCell="D149" sqref="D149:EP149"/>
    </sheetView>
  </sheetViews>
  <sheetFormatPr defaultRowHeight="14"/>
  <cols>
    <col min="1" max="1" width="28.54296875" customWidth="1"/>
    <col min="2" max="2" width="34.81640625" customWidth="1"/>
    <col min="3" max="3" width="37.1796875" customWidth="1"/>
    <col min="7" max="7" width="10.1796875" customWidth="1"/>
    <col min="148" max="148" width="21.6328125" customWidth="1"/>
  </cols>
  <sheetData>
    <row r="1" spans="1:146" ht="37.5" customHeight="1">
      <c r="A1" s="3" t="s">
        <v>7</v>
      </c>
      <c r="B1" s="4" t="s">
        <v>8</v>
      </c>
      <c r="C1" s="3" t="s">
        <v>9</v>
      </c>
      <c r="D1" t="s">
        <v>3</v>
      </c>
      <c r="E1" t="s">
        <v>1235</v>
      </c>
      <c r="F1" t="s">
        <v>1</v>
      </c>
      <c r="G1" t="s">
        <v>1500</v>
      </c>
      <c r="H1" t="s">
        <v>1501</v>
      </c>
      <c r="I1" t="s">
        <v>4</v>
      </c>
      <c r="J1" t="s">
        <v>5</v>
      </c>
      <c r="K1" t="s">
        <v>2</v>
      </c>
      <c r="L1" t="s">
        <v>6</v>
      </c>
      <c r="M1" t="s">
        <v>10</v>
      </c>
      <c r="N1" t="s">
        <v>11</v>
      </c>
      <c r="O1" t="s">
        <v>12</v>
      </c>
      <c r="P1" t="s">
        <v>1502</v>
      </c>
      <c r="Q1" t="s">
        <v>1320</v>
      </c>
      <c r="R1" t="s">
        <v>1236</v>
      </c>
      <c r="S1" t="s">
        <v>13</v>
      </c>
      <c r="T1" t="s">
        <v>1503</v>
      </c>
      <c r="U1" t="s">
        <v>1107</v>
      </c>
      <c r="V1" t="s">
        <v>14</v>
      </c>
      <c r="W1" t="s">
        <v>1321</v>
      </c>
      <c r="X1" t="s">
        <v>1322</v>
      </c>
      <c r="Y1" t="s">
        <v>1323</v>
      </c>
      <c r="Z1" t="s">
        <v>1324</v>
      </c>
      <c r="AA1" t="s">
        <v>1325</v>
      </c>
      <c r="AB1" t="s">
        <v>1504</v>
      </c>
      <c r="AC1" t="s">
        <v>1326</v>
      </c>
      <c r="AD1" t="s">
        <v>1237</v>
      </c>
      <c r="AE1" t="s">
        <v>15</v>
      </c>
      <c r="AF1" t="s">
        <v>16</v>
      </c>
      <c r="AG1" t="s">
        <v>1505</v>
      </c>
      <c r="AH1" t="s">
        <v>1238</v>
      </c>
      <c r="AI1" t="s">
        <v>1506</v>
      </c>
      <c r="AJ1" t="s">
        <v>17</v>
      </c>
      <c r="AK1" t="s">
        <v>1507</v>
      </c>
      <c r="AL1" t="s">
        <v>133</v>
      </c>
      <c r="AM1" t="s">
        <v>1508</v>
      </c>
      <c r="AN1" t="s">
        <v>1509</v>
      </c>
      <c r="AO1" t="s">
        <v>1510</v>
      </c>
      <c r="AP1" t="s">
        <v>1511</v>
      </c>
      <c r="AQ1" t="s">
        <v>1512</v>
      </c>
      <c r="AR1" t="s">
        <v>1513</v>
      </c>
      <c r="AS1" t="s">
        <v>1514</v>
      </c>
      <c r="AT1" t="s">
        <v>1515</v>
      </c>
      <c r="AU1" t="s">
        <v>1516</v>
      </c>
      <c r="AV1" t="s">
        <v>1517</v>
      </c>
      <c r="AW1" t="s">
        <v>1518</v>
      </c>
      <c r="AX1" t="s">
        <v>1239</v>
      </c>
      <c r="AY1" t="s">
        <v>134</v>
      </c>
      <c r="AZ1" t="s">
        <v>135</v>
      </c>
      <c r="BA1" t="s">
        <v>136</v>
      </c>
      <c r="BB1" t="s">
        <v>137</v>
      </c>
      <c r="BC1" t="s">
        <v>1108</v>
      </c>
      <c r="BD1" t="s">
        <v>138</v>
      </c>
      <c r="BE1" t="s">
        <v>139</v>
      </c>
      <c r="BF1" t="s">
        <v>140</v>
      </c>
      <c r="BG1" t="s">
        <v>141</v>
      </c>
      <c r="BH1" t="s">
        <v>1519</v>
      </c>
      <c r="BI1" t="s">
        <v>1520</v>
      </c>
      <c r="BJ1" t="s">
        <v>1521</v>
      </c>
      <c r="BK1" t="s">
        <v>1522</v>
      </c>
      <c r="BL1" t="s">
        <v>1523</v>
      </c>
      <c r="BM1" t="s">
        <v>1524</v>
      </c>
      <c r="BN1" t="s">
        <v>1327</v>
      </c>
      <c r="BO1" t="s">
        <v>1109</v>
      </c>
      <c r="BP1" t="s">
        <v>142</v>
      </c>
      <c r="BQ1" t="s">
        <v>1328</v>
      </c>
      <c r="BR1" t="s">
        <v>1110</v>
      </c>
      <c r="BS1" t="s">
        <v>143</v>
      </c>
      <c r="BT1" t="s">
        <v>1525</v>
      </c>
      <c r="BU1" t="s">
        <v>1329</v>
      </c>
      <c r="BV1" t="s">
        <v>1526</v>
      </c>
      <c r="BW1" t="s">
        <v>267</v>
      </c>
      <c r="BX1" t="s">
        <v>144</v>
      </c>
      <c r="BY1" t="s">
        <v>1527</v>
      </c>
      <c r="BZ1" t="s">
        <v>268</v>
      </c>
      <c r="CA1" t="s">
        <v>145</v>
      </c>
      <c r="CB1" t="s">
        <v>1528</v>
      </c>
      <c r="CC1" t="s">
        <v>1529</v>
      </c>
      <c r="CD1" t="s">
        <v>1530</v>
      </c>
      <c r="CE1" t="s">
        <v>1531</v>
      </c>
      <c r="CF1" s="1" t="s">
        <v>1240</v>
      </c>
      <c r="CG1" s="1" t="s">
        <v>1241</v>
      </c>
      <c r="CH1" s="1" t="s">
        <v>251</v>
      </c>
      <c r="CI1" s="1" t="s">
        <v>252</v>
      </c>
      <c r="CJ1" s="1" t="s">
        <v>253</v>
      </c>
      <c r="CK1" s="1" t="s">
        <v>254</v>
      </c>
      <c r="CL1" s="1" t="s">
        <v>255</v>
      </c>
      <c r="CM1" s="1" t="s">
        <v>256</v>
      </c>
      <c r="CN1" s="1" t="s">
        <v>257</v>
      </c>
      <c r="CO1" s="1" t="s">
        <v>258</v>
      </c>
      <c r="CP1" s="1" t="s">
        <v>259</v>
      </c>
      <c r="CQ1" s="1" t="s">
        <v>260</v>
      </c>
      <c r="CR1" s="1" t="s">
        <v>1532</v>
      </c>
      <c r="CS1" s="1" t="s">
        <v>1533</v>
      </c>
      <c r="CT1" s="1" t="s">
        <v>1534</v>
      </c>
      <c r="CU1" s="1" t="s">
        <v>1535</v>
      </c>
      <c r="CV1" s="1" t="s">
        <v>1536</v>
      </c>
      <c r="CW1" s="1" t="s">
        <v>1537</v>
      </c>
      <c r="CX1">
        <v>1</v>
      </c>
      <c r="CY1" t="s">
        <v>1538</v>
      </c>
      <c r="CZ1" t="s">
        <v>1539</v>
      </c>
      <c r="DA1">
        <v>3</v>
      </c>
      <c r="DB1" t="s">
        <v>1540</v>
      </c>
      <c r="DC1" t="s">
        <v>1541</v>
      </c>
      <c r="DD1">
        <v>6</v>
      </c>
      <c r="DE1" t="s">
        <v>1542</v>
      </c>
      <c r="DF1" t="s">
        <v>1543</v>
      </c>
      <c r="DG1">
        <v>10</v>
      </c>
      <c r="DH1" t="s">
        <v>1544</v>
      </c>
      <c r="DI1" t="s">
        <v>1545</v>
      </c>
      <c r="DJ1">
        <v>20</v>
      </c>
      <c r="DK1" t="s">
        <v>1546</v>
      </c>
      <c r="DL1" t="s">
        <v>261</v>
      </c>
      <c r="DM1" t="s">
        <v>262</v>
      </c>
      <c r="DN1" s="2" t="s">
        <v>263</v>
      </c>
      <c r="DO1" t="s">
        <v>1547</v>
      </c>
      <c r="DP1" t="s">
        <v>1548</v>
      </c>
      <c r="DQ1" s="12" t="s">
        <v>1549</v>
      </c>
      <c r="DR1" s="1" t="s">
        <v>1550</v>
      </c>
      <c r="DS1" s="1" t="s">
        <v>1551</v>
      </c>
      <c r="DT1" t="s">
        <v>1552</v>
      </c>
      <c r="DU1" t="s">
        <v>1553</v>
      </c>
      <c r="DV1" t="s">
        <v>1554</v>
      </c>
      <c r="DW1" t="s">
        <v>1555</v>
      </c>
      <c r="DX1" t="s">
        <v>1556</v>
      </c>
      <c r="DY1" t="s">
        <v>1557</v>
      </c>
      <c r="DZ1" t="s">
        <v>1558</v>
      </c>
      <c r="EA1" t="s">
        <v>1559</v>
      </c>
      <c r="EB1" t="s">
        <v>1560</v>
      </c>
      <c r="EC1" t="s">
        <v>1561</v>
      </c>
      <c r="ED1" t="s">
        <v>1330</v>
      </c>
      <c r="EE1" t="s">
        <v>1562</v>
      </c>
      <c r="EF1" t="s">
        <v>1563</v>
      </c>
      <c r="EG1" t="s">
        <v>1331</v>
      </c>
      <c r="EH1" t="s">
        <v>1564</v>
      </c>
      <c r="EI1" t="s">
        <v>1565</v>
      </c>
      <c r="EK1" s="13" t="s">
        <v>1332</v>
      </c>
      <c r="EL1" t="s">
        <v>1566</v>
      </c>
      <c r="EM1" t="s">
        <v>1567</v>
      </c>
      <c r="EN1" t="s">
        <v>1568</v>
      </c>
      <c r="EO1" t="s">
        <v>1569</v>
      </c>
      <c r="EP1" t="s">
        <v>1570</v>
      </c>
    </row>
    <row r="2" spans="1:146" ht="108">
      <c r="A2" s="6"/>
      <c r="B2" s="6"/>
      <c r="C2" s="6" t="str">
        <f>""&amp;CHAR(10)&amp;Basic_Fundamental_Information_Constructure(F2)&amp;CHAR(10)&amp;Basic_Fundamental_Information_Concatenate("")</f>
        <v xml:space="preserve">
市值19.199193亿, 利润-4.99亿; PE; 平均PE-6.95; 平均PEG-.1, PB9.13; ROIC8.98%; ROE-36.26%; 股利率0%; 毛利13.01%; 净利-111.1233%; 上一年度营收增-50.57%, 利润增6.9%; 当季营收增-57.21%, 利润增10.34%; 过往5年营收增66.43%, 利润增-465.4%
Income profile:
</v>
      </c>
      <c r="D2" t="s">
        <v>359</v>
      </c>
      <c r="E2" t="s">
        <v>360</v>
      </c>
      <c r="F2">
        <v>1.67</v>
      </c>
      <c r="G2">
        <v>0</v>
      </c>
      <c r="H2" t="s">
        <v>2077</v>
      </c>
      <c r="I2">
        <v>1919919300</v>
      </c>
      <c r="K2">
        <v>9.1300000000000008</v>
      </c>
      <c r="L2" t="s">
        <v>361</v>
      </c>
      <c r="M2" t="s">
        <v>2078</v>
      </c>
      <c r="N2" t="s">
        <v>183</v>
      </c>
      <c r="O2" t="s">
        <v>2079</v>
      </c>
      <c r="P2">
        <v>-57.2</v>
      </c>
      <c r="Q2" t="s">
        <v>182</v>
      </c>
      <c r="R2">
        <v>-24628616</v>
      </c>
      <c r="S2" s="5">
        <v>0.10340000000000001</v>
      </c>
      <c r="T2" t="s">
        <v>1892</v>
      </c>
      <c r="U2">
        <v>522171500</v>
      </c>
      <c r="V2">
        <v>1149652290</v>
      </c>
      <c r="W2">
        <v>14.38</v>
      </c>
      <c r="X2">
        <v>0.02</v>
      </c>
      <c r="Y2">
        <v>-61.65</v>
      </c>
      <c r="Z2" t="s">
        <v>2080</v>
      </c>
      <c r="AA2" t="s">
        <v>2081</v>
      </c>
      <c r="AB2" t="s">
        <v>19</v>
      </c>
      <c r="AC2" t="s">
        <v>2082</v>
      </c>
      <c r="AD2" t="s">
        <v>19</v>
      </c>
      <c r="AE2">
        <v>21383885</v>
      </c>
      <c r="AF2" t="s">
        <v>20</v>
      </c>
      <c r="AG2">
        <v>0.98</v>
      </c>
      <c r="AH2" t="s">
        <v>2083</v>
      </c>
      <c r="AI2" t="s">
        <v>2084</v>
      </c>
      <c r="AJ2" t="s">
        <v>2085</v>
      </c>
      <c r="AK2" t="s">
        <v>2086</v>
      </c>
      <c r="AL2" t="s">
        <v>2087</v>
      </c>
      <c r="AM2" t="s">
        <v>19</v>
      </c>
      <c r="AN2">
        <v>0</v>
      </c>
      <c r="AO2" t="s">
        <v>211</v>
      </c>
      <c r="AP2" t="s">
        <v>19</v>
      </c>
      <c r="AQ2" t="s">
        <v>1474</v>
      </c>
      <c r="AR2" t="s">
        <v>19</v>
      </c>
      <c r="AS2" t="s">
        <v>2088</v>
      </c>
      <c r="AT2" t="s">
        <v>2089</v>
      </c>
      <c r="AU2" t="s">
        <v>2090</v>
      </c>
      <c r="AV2" t="s">
        <v>2091</v>
      </c>
      <c r="AW2" t="s">
        <v>2092</v>
      </c>
      <c r="AX2" t="s">
        <v>1408</v>
      </c>
      <c r="AY2" t="s">
        <v>1333</v>
      </c>
      <c r="AZ2" t="s">
        <v>362</v>
      </c>
      <c r="BA2" t="s">
        <v>365</v>
      </c>
      <c r="BB2" t="s">
        <v>366</v>
      </c>
      <c r="BC2" t="s">
        <v>1592</v>
      </c>
      <c r="BD2" t="s">
        <v>1111</v>
      </c>
      <c r="BE2" t="s">
        <v>363</v>
      </c>
      <c r="BF2" t="s">
        <v>368</v>
      </c>
      <c r="BG2" t="s">
        <v>369</v>
      </c>
      <c r="BH2" t="s">
        <v>182</v>
      </c>
      <c r="BI2" t="s">
        <v>87</v>
      </c>
      <c r="BJ2" t="s">
        <v>1408</v>
      </c>
      <c r="BK2" t="s">
        <v>1892</v>
      </c>
      <c r="BL2" t="s">
        <v>2093</v>
      </c>
      <c r="BM2" t="s">
        <v>1592</v>
      </c>
      <c r="BN2" t="s">
        <v>19</v>
      </c>
      <c r="BO2" t="s">
        <v>19</v>
      </c>
      <c r="BP2">
        <v>8.98</v>
      </c>
      <c r="BQ2">
        <v>-25.82</v>
      </c>
      <c r="BR2">
        <v>-87.61</v>
      </c>
      <c r="BS2">
        <v>4.6500000000000004</v>
      </c>
      <c r="BT2" t="s">
        <v>1571</v>
      </c>
      <c r="BU2" t="s">
        <v>1334</v>
      </c>
      <c r="BV2">
        <v>9.6999999999999993</v>
      </c>
      <c r="BW2">
        <v>11.47</v>
      </c>
      <c r="BX2">
        <v>17.86</v>
      </c>
      <c r="BY2">
        <v>-223.61</v>
      </c>
      <c r="BZ2">
        <v>-111.99</v>
      </c>
      <c r="CA2">
        <v>2.23</v>
      </c>
      <c r="CB2">
        <v>5.03</v>
      </c>
      <c r="CC2">
        <v>-12.11</v>
      </c>
      <c r="CD2" t="s">
        <v>30</v>
      </c>
      <c r="CE2" t="s">
        <v>1472</v>
      </c>
      <c r="CF2" s="8">
        <v>-0.57208467741935487</v>
      </c>
      <c r="CG2" s="9">
        <v>0.10341631051278878</v>
      </c>
      <c r="CH2" s="8">
        <v>-0.50570964813232422</v>
      </c>
      <c r="CI2" s="8">
        <v>-0.65110987424850464</v>
      </c>
      <c r="CJ2" s="8">
        <v>0.24698369204998016</v>
      </c>
      <c r="CK2" s="8">
        <v>-0.25567883253097534</v>
      </c>
      <c r="CL2" s="8">
        <v>4.4869565963745117</v>
      </c>
      <c r="CM2" s="9">
        <v>6.9029852747917175E-2</v>
      </c>
      <c r="CN2" s="9">
        <v>-23.848665237426758</v>
      </c>
      <c r="CO2" s="9">
        <v>-0.41117128729820251</v>
      </c>
      <c r="CP2" s="9">
        <v>-0.14276984333992004</v>
      </c>
      <c r="CQ2" s="9">
        <v>1.0634901523590088</v>
      </c>
      <c r="CR2">
        <v>-6.9510794206876563</v>
      </c>
      <c r="CS2">
        <v>-0.10463948429374377</v>
      </c>
      <c r="CT2">
        <v>0</v>
      </c>
      <c r="CU2" s="8">
        <v>0.66428838670253754</v>
      </c>
      <c r="CV2" s="9">
        <v>-4.6540172725915907</v>
      </c>
      <c r="CW2">
        <v>0.06</v>
      </c>
      <c r="CX2" t="e">
        <v>#VALUE!</v>
      </c>
      <c r="CY2" t="s">
        <v>1248</v>
      </c>
      <c r="CZ2">
        <v>0.66428838670253754</v>
      </c>
      <c r="DA2" t="e">
        <v>#VALUE!</v>
      </c>
      <c r="DB2" t="s">
        <v>1249</v>
      </c>
      <c r="DC2">
        <v>0.63107396736741062</v>
      </c>
      <c r="DD2" t="e">
        <v>#VALUE!</v>
      </c>
      <c r="DE2" t="s">
        <v>1249</v>
      </c>
      <c r="DF2">
        <v>0.58457378029823304</v>
      </c>
      <c r="DG2" t="e">
        <v>#VALUE!</v>
      </c>
      <c r="DH2" t="s">
        <v>1249</v>
      </c>
      <c r="DI2">
        <v>0.53143070936203007</v>
      </c>
      <c r="DJ2" t="e">
        <v>#VALUE!</v>
      </c>
      <c r="DK2" t="s">
        <v>1249</v>
      </c>
      <c r="DL2">
        <v>0.46500187069177623</v>
      </c>
      <c r="DM2">
        <v>-499000000</v>
      </c>
      <c r="DN2">
        <v>0.66428838670253754</v>
      </c>
      <c r="DO2">
        <v>4591919300</v>
      </c>
      <c r="DP2">
        <v>-595544400</v>
      </c>
      <c r="DQ2">
        <v>8</v>
      </c>
      <c r="DR2">
        <v>-1.2363730641218924</v>
      </c>
      <c r="DS2">
        <v>4.7574335831043797</v>
      </c>
      <c r="DT2" s="10">
        <v>-0.435</v>
      </c>
      <c r="DU2">
        <v>-1.0850000000000002</v>
      </c>
      <c r="DV2">
        <v>-1.5200000000000002</v>
      </c>
      <c r="DW2">
        <v>6.2934655775962662</v>
      </c>
      <c r="DX2">
        <v>0.35151728715429792</v>
      </c>
      <c r="DY2">
        <v>6.0796809775021075</v>
      </c>
      <c r="DZ2">
        <v>4035</v>
      </c>
      <c r="EA2">
        <v>6.0167626322533785</v>
      </c>
      <c r="EB2">
        <v>6</v>
      </c>
      <c r="EC2">
        <v>0.26616743398127796</v>
      </c>
      <c r="ED2">
        <v>0.98029639900947785</v>
      </c>
      <c r="EE2" s="11">
        <v>5.0609999999999995E-2</v>
      </c>
      <c r="EF2">
        <v>8.7610000000000007E-2</v>
      </c>
      <c r="EG2">
        <v>8.2715172871542979</v>
      </c>
      <c r="EH2">
        <v>-1</v>
      </c>
      <c r="EI2">
        <v>0</v>
      </c>
      <c r="EJ2">
        <v>0</v>
      </c>
      <c r="EK2" s="13">
        <v>45470</v>
      </c>
      <c r="EL2" s="14">
        <v>10</v>
      </c>
      <c r="EM2" s="14">
        <v>10.23</v>
      </c>
      <c r="EN2" s="14">
        <v>-9.7899999999999991</v>
      </c>
      <c r="EO2" s="14">
        <v>-7.43</v>
      </c>
      <c r="EP2" s="14">
        <v>-3.7</v>
      </c>
    </row>
    <row r="3" spans="1:146" ht="108">
      <c r="A3" s="6"/>
      <c r="B3" s="6"/>
      <c r="C3" s="6" t="str">
        <f>""&amp;CHAR(10)&amp;Basic_Fundamental_Information_Constructure(F3)&amp;CHAR(10)&amp;Basic_Fundamental_Information_Concatenate("")</f>
        <v xml:space="preserve">
市值170.69389亿, 利润3.30亿; PE42.33; 平均PE101; 平均PEG.24, PB2.63; ROIC4.55%; ROE.2233%; 股利率.7333%; 毛利11.5367%; 净利1.8467%; 上一年度营收增10.25%, 利润增308.86%; 当季营收增18.95%, 利润增130.15%; 过往5年营收增418.62%, 利润增66.76%
Income profile:
</v>
      </c>
      <c r="D3" t="s">
        <v>1243</v>
      </c>
      <c r="E3" t="s">
        <v>1244</v>
      </c>
      <c r="F3">
        <v>15</v>
      </c>
      <c r="G3">
        <v>0.67</v>
      </c>
      <c r="H3" t="s">
        <v>2094</v>
      </c>
      <c r="I3">
        <v>17069389000</v>
      </c>
      <c r="J3">
        <v>42.33</v>
      </c>
      <c r="K3">
        <v>2.63</v>
      </c>
      <c r="L3" t="s">
        <v>361</v>
      </c>
      <c r="M3" t="s">
        <v>2095</v>
      </c>
      <c r="N3" t="s">
        <v>2096</v>
      </c>
      <c r="O3" t="s">
        <v>2097</v>
      </c>
      <c r="P3">
        <v>18.95</v>
      </c>
      <c r="Q3" t="s">
        <v>2098</v>
      </c>
      <c r="R3">
        <v>17054946</v>
      </c>
      <c r="S3" s="7">
        <v>1.3009999999999999</v>
      </c>
      <c r="T3" t="s">
        <v>44</v>
      </c>
      <c r="U3">
        <v>644763810</v>
      </c>
      <c r="V3">
        <v>1137959230</v>
      </c>
      <c r="W3">
        <v>4.92</v>
      </c>
      <c r="X3">
        <v>0.27</v>
      </c>
      <c r="Y3">
        <v>0.8</v>
      </c>
      <c r="Z3" t="s">
        <v>2099</v>
      </c>
      <c r="AA3" t="s">
        <v>2100</v>
      </c>
      <c r="AB3" t="s">
        <v>191</v>
      </c>
      <c r="AC3" t="s">
        <v>766</v>
      </c>
      <c r="AD3" t="s">
        <v>19</v>
      </c>
      <c r="AE3">
        <v>79581357</v>
      </c>
      <c r="AF3" t="s">
        <v>2101</v>
      </c>
      <c r="AG3" t="s">
        <v>2102</v>
      </c>
      <c r="AH3" t="s">
        <v>2103</v>
      </c>
      <c r="AI3" t="s">
        <v>2104</v>
      </c>
      <c r="AJ3" t="s">
        <v>2105</v>
      </c>
      <c r="AK3" t="s">
        <v>130</v>
      </c>
      <c r="AL3" t="s">
        <v>2106</v>
      </c>
      <c r="AM3" t="s">
        <v>19</v>
      </c>
      <c r="AN3" t="s">
        <v>1929</v>
      </c>
      <c r="AO3" t="s">
        <v>2107</v>
      </c>
      <c r="AP3" t="s">
        <v>885</v>
      </c>
      <c r="AQ3" t="s">
        <v>2108</v>
      </c>
      <c r="AR3" t="s">
        <v>2109</v>
      </c>
      <c r="AS3" t="s">
        <v>2110</v>
      </c>
      <c r="AT3" t="s">
        <v>2111</v>
      </c>
      <c r="AU3" t="s">
        <v>2112</v>
      </c>
      <c r="AV3" t="s">
        <v>1664</v>
      </c>
      <c r="AW3" t="s">
        <v>1004</v>
      </c>
      <c r="AX3" t="s">
        <v>1593</v>
      </c>
      <c r="AY3" t="s">
        <v>1595</v>
      </c>
      <c r="AZ3" t="s">
        <v>1245</v>
      </c>
      <c r="BA3" t="s">
        <v>1246</v>
      </c>
      <c r="BB3" t="s">
        <v>1247</v>
      </c>
      <c r="BC3" t="s">
        <v>2113</v>
      </c>
      <c r="BD3" t="s">
        <v>1393</v>
      </c>
      <c r="BE3" t="s">
        <v>157</v>
      </c>
      <c r="BF3" t="s">
        <v>156</v>
      </c>
      <c r="BG3" t="s">
        <v>85</v>
      </c>
      <c r="BH3" t="s">
        <v>2098</v>
      </c>
      <c r="BI3" t="s">
        <v>2114</v>
      </c>
      <c r="BJ3" t="s">
        <v>1593</v>
      </c>
      <c r="BK3" t="s">
        <v>44</v>
      </c>
      <c r="BL3" t="s">
        <v>2115</v>
      </c>
      <c r="BM3" t="s">
        <v>2113</v>
      </c>
      <c r="BN3">
        <v>0.38</v>
      </c>
      <c r="BO3">
        <v>4.82</v>
      </c>
      <c r="BP3">
        <v>8.4499999999999993</v>
      </c>
      <c r="BQ3">
        <v>-4.5599999999999996</v>
      </c>
      <c r="BR3">
        <v>-2.75</v>
      </c>
      <c r="BS3">
        <v>7.98</v>
      </c>
      <c r="BT3" t="s">
        <v>1582</v>
      </c>
      <c r="BU3" t="s">
        <v>1336</v>
      </c>
      <c r="BV3">
        <v>11.28</v>
      </c>
      <c r="BW3">
        <v>11.41</v>
      </c>
      <c r="BX3">
        <v>11.92</v>
      </c>
      <c r="BY3">
        <v>1.55</v>
      </c>
      <c r="BZ3">
        <v>1.4</v>
      </c>
      <c r="CA3">
        <v>2.59</v>
      </c>
      <c r="CB3">
        <v>0.13</v>
      </c>
      <c r="CC3">
        <v>-6.43</v>
      </c>
      <c r="CD3" t="s">
        <v>2116</v>
      </c>
      <c r="CE3" t="s">
        <v>2021</v>
      </c>
      <c r="CF3" s="8">
        <v>0.18954046108618289</v>
      </c>
      <c r="CG3" s="9">
        <v>1.3014791350323223</v>
      </c>
      <c r="CH3" s="8">
        <v>0.10248376429080963</v>
      </c>
      <c r="CI3" s="8">
        <v>0.1567499190568924</v>
      </c>
      <c r="CJ3" s="8">
        <v>0.37669223546981812</v>
      </c>
      <c r="CK3" s="8">
        <v>20.357761383056641</v>
      </c>
      <c r="CL3" s="8">
        <v>-6.2461040914058685E-2</v>
      </c>
      <c r="CM3" s="9">
        <v>3.0886075496673584</v>
      </c>
      <c r="CN3" s="9">
        <v>-1.4082686901092529</v>
      </c>
      <c r="CO3" s="9">
        <v>0.80841124057769775</v>
      </c>
      <c r="CP3" s="9">
        <v>0.5970149040222168</v>
      </c>
      <c r="CQ3" s="9">
        <v>0.25233644247055054</v>
      </c>
      <c r="CR3">
        <v>101.00230177514793</v>
      </c>
      <c r="CS3">
        <v>0.24127182162168032</v>
      </c>
      <c r="CT3">
        <v>0.73333333333333339</v>
      </c>
      <c r="CU3" s="8">
        <v>4.1862452521920206</v>
      </c>
      <c r="CV3" s="9">
        <v>0.66762028932571416</v>
      </c>
      <c r="CW3">
        <v>0.06</v>
      </c>
      <c r="CX3">
        <v>30.792658667787386</v>
      </c>
      <c r="CY3">
        <v>1614585786.0597801</v>
      </c>
      <c r="CZ3">
        <v>4.1862452521920206</v>
      </c>
      <c r="DA3">
        <v>1.1567170944059644</v>
      </c>
      <c r="DB3">
        <v>42981459546.538918</v>
      </c>
      <c r="DC3">
        <v>3.9769329895824193</v>
      </c>
      <c r="DD3">
        <v>1.5660766876279101E-2</v>
      </c>
      <c r="DE3">
        <v>3174645877355.1792</v>
      </c>
      <c r="DF3">
        <v>3.6838958219289784</v>
      </c>
      <c r="DG3">
        <v>8.4301908520590348E-5</v>
      </c>
      <c r="DH3">
        <v>589754014736887.75</v>
      </c>
      <c r="DI3">
        <v>3.3489962017536166</v>
      </c>
      <c r="DJ3">
        <v>4.5597786748122044E-10</v>
      </c>
      <c r="DK3">
        <v>1.0903465397264622E+20</v>
      </c>
      <c r="DL3">
        <v>2.9303716765344143</v>
      </c>
      <c r="DM3">
        <v>330000000</v>
      </c>
      <c r="DN3">
        <v>4.1862452521920206</v>
      </c>
      <c r="DO3">
        <v>49717389000</v>
      </c>
      <c r="DP3">
        <v>9085991000</v>
      </c>
      <c r="DQ3">
        <v>25</v>
      </c>
      <c r="DR3">
        <v>-3.9967047911058375</v>
      </c>
      <c r="DS3">
        <v>0.63385884570660811</v>
      </c>
      <c r="DT3" s="10">
        <v>0.32166666666666671</v>
      </c>
      <c r="DU3">
        <v>0.50666666666666671</v>
      </c>
      <c r="DV3">
        <v>0.82833333333333337</v>
      </c>
      <c r="DW3">
        <v>-2.0642999999999998</v>
      </c>
      <c r="DX3">
        <v>0.34409791122715233</v>
      </c>
      <c r="DY3">
        <v>-2.0105514956919062</v>
      </c>
      <c r="DZ3">
        <v>327</v>
      </c>
      <c r="EA3">
        <v>-2.0098762825625025</v>
      </c>
      <c r="EB3">
        <v>2</v>
      </c>
      <c r="EC3">
        <v>5.523001030537799E-2</v>
      </c>
      <c r="ED3">
        <v>0.33656741814906671</v>
      </c>
      <c r="EE3" s="11">
        <v>-8.0518999999999998</v>
      </c>
      <c r="EF3">
        <v>-8.0419</v>
      </c>
      <c r="EG3">
        <v>18.164097911227152</v>
      </c>
      <c r="EH3" t="s">
        <v>2117</v>
      </c>
      <c r="EI3">
        <v>0</v>
      </c>
      <c r="EJ3">
        <v>1</v>
      </c>
      <c r="EK3" s="13">
        <v>45470</v>
      </c>
      <c r="EL3" s="14">
        <v>0</v>
      </c>
      <c r="EM3" s="14">
        <v>-5.28</v>
      </c>
      <c r="EN3" s="14">
        <v>-2.82</v>
      </c>
      <c r="EO3" s="14">
        <v>6.66</v>
      </c>
      <c r="EP3" s="14">
        <v>-1</v>
      </c>
    </row>
    <row r="4" spans="1:146" ht="108">
      <c r="A4" s="6"/>
      <c r="B4" s="6"/>
      <c r="C4" s="6" t="str">
        <f>""&amp;CHAR(10)&amp;Basic_Fundamental_Information_Constructure(F4)&amp;CHAR(10)&amp;Basic_Fundamental_Information_Concatenate("")</f>
        <v xml:space="preserve">
市值100.327288亿, 利润9.18亿; PE10.15; 平均PE14.25; 平均PEG.78, PB1.17; ROIC5.1333%; ROE9.3467%; 股利率.9188%; 毛利11.5833%; 净利5.2033%; 上一年度营收增59.96%, 利润增44.34%; 当季营收增4.63%, 利润增36.03%; 过往5年营收增18.29%, 利润增11.12%
Income profile:
</v>
      </c>
      <c r="D4" t="s">
        <v>371</v>
      </c>
      <c r="E4" t="s">
        <v>372</v>
      </c>
      <c r="F4">
        <v>10.01</v>
      </c>
      <c r="G4">
        <v>0.2</v>
      </c>
      <c r="H4" t="s">
        <v>2118</v>
      </c>
      <c r="I4">
        <v>10032728800</v>
      </c>
      <c r="J4">
        <v>10.15</v>
      </c>
      <c r="K4">
        <v>1.17</v>
      </c>
      <c r="L4" t="s">
        <v>361</v>
      </c>
      <c r="M4" t="s">
        <v>2119</v>
      </c>
      <c r="N4" t="s">
        <v>2120</v>
      </c>
      <c r="O4" t="s">
        <v>2121</v>
      </c>
      <c r="P4">
        <v>4.63</v>
      </c>
      <c r="Q4" t="s">
        <v>2122</v>
      </c>
      <c r="R4">
        <v>263893110</v>
      </c>
      <c r="S4" s="5">
        <v>0.36070000000000002</v>
      </c>
      <c r="T4" t="s">
        <v>1575</v>
      </c>
      <c r="U4">
        <v>905847030</v>
      </c>
      <c r="V4">
        <v>1002270610</v>
      </c>
      <c r="W4">
        <v>2.54</v>
      </c>
      <c r="X4">
        <v>0.21</v>
      </c>
      <c r="Y4">
        <v>5.56</v>
      </c>
      <c r="Z4" t="s">
        <v>2123</v>
      </c>
      <c r="AA4" t="s">
        <v>2124</v>
      </c>
      <c r="AB4" t="s">
        <v>74</v>
      </c>
      <c r="AC4" t="s">
        <v>2125</v>
      </c>
      <c r="AD4" t="s">
        <v>19</v>
      </c>
      <c r="AE4">
        <v>-58646793</v>
      </c>
      <c r="AF4" t="s">
        <v>2126</v>
      </c>
      <c r="AG4" t="s">
        <v>2127</v>
      </c>
      <c r="AH4" t="s">
        <v>2128</v>
      </c>
      <c r="AI4" t="s">
        <v>459</v>
      </c>
      <c r="AJ4" t="s">
        <v>2129</v>
      </c>
      <c r="AK4" t="s">
        <v>2130</v>
      </c>
      <c r="AL4" t="s">
        <v>2131</v>
      </c>
      <c r="AM4" t="s">
        <v>19</v>
      </c>
      <c r="AN4" t="s">
        <v>2132</v>
      </c>
      <c r="AO4" t="s">
        <v>1910</v>
      </c>
      <c r="AP4" t="s">
        <v>2133</v>
      </c>
      <c r="AQ4" t="s">
        <v>2134</v>
      </c>
      <c r="AR4" t="s">
        <v>19</v>
      </c>
      <c r="AS4" t="s">
        <v>2135</v>
      </c>
      <c r="AT4" t="s">
        <v>2136</v>
      </c>
      <c r="AU4" t="s">
        <v>93</v>
      </c>
      <c r="AV4" t="s">
        <v>2137</v>
      </c>
      <c r="AW4" t="s">
        <v>1460</v>
      </c>
      <c r="AX4" t="s">
        <v>1597</v>
      </c>
      <c r="AY4" t="s">
        <v>1337</v>
      </c>
      <c r="AZ4" t="s">
        <v>373</v>
      </c>
      <c r="BA4" t="s">
        <v>375</v>
      </c>
      <c r="BB4" t="s">
        <v>376</v>
      </c>
      <c r="BC4" t="s">
        <v>1451</v>
      </c>
      <c r="BD4" t="s">
        <v>690</v>
      </c>
      <c r="BE4" t="s">
        <v>374</v>
      </c>
      <c r="BF4" t="s">
        <v>377</v>
      </c>
      <c r="BG4" t="s">
        <v>237</v>
      </c>
      <c r="BH4" t="s">
        <v>2122</v>
      </c>
      <c r="BI4" t="s">
        <v>2138</v>
      </c>
      <c r="BJ4" t="s">
        <v>1597</v>
      </c>
      <c r="BK4" t="s">
        <v>1575</v>
      </c>
      <c r="BL4" t="s">
        <v>1253</v>
      </c>
      <c r="BM4" t="s">
        <v>1451</v>
      </c>
      <c r="BN4">
        <v>3.79</v>
      </c>
      <c r="BO4">
        <v>6.16</v>
      </c>
      <c r="BP4">
        <v>5.45</v>
      </c>
      <c r="BQ4">
        <v>8.52</v>
      </c>
      <c r="BR4">
        <v>8.98</v>
      </c>
      <c r="BS4">
        <v>10.54</v>
      </c>
      <c r="BT4" t="s">
        <v>2139</v>
      </c>
      <c r="BU4" t="s">
        <v>1336</v>
      </c>
      <c r="BV4">
        <v>10.32</v>
      </c>
      <c r="BW4">
        <v>13.74</v>
      </c>
      <c r="BX4">
        <v>10.69</v>
      </c>
      <c r="BY4">
        <v>4.4400000000000004</v>
      </c>
      <c r="BZ4">
        <v>5.98</v>
      </c>
      <c r="CA4">
        <v>5.19</v>
      </c>
      <c r="CB4">
        <v>-3.47</v>
      </c>
      <c r="CC4">
        <v>-13.39</v>
      </c>
      <c r="CD4" t="s">
        <v>2140</v>
      </c>
      <c r="CE4" t="s">
        <v>265</v>
      </c>
      <c r="CF4" s="8">
        <v>4.6327212020033391E-2</v>
      </c>
      <c r="CG4" s="9">
        <v>0.36027376288659796</v>
      </c>
      <c r="CH4" s="8">
        <v>0.59964275360107422</v>
      </c>
      <c r="CI4" s="8">
        <v>2.9348623007535934E-2</v>
      </c>
      <c r="CJ4" s="8">
        <v>1.5485180541872978E-2</v>
      </c>
      <c r="CK4" s="8">
        <v>0.16193495690822601</v>
      </c>
      <c r="CL4" s="8">
        <v>0.10810541361570358</v>
      </c>
      <c r="CM4" s="9">
        <v>0.44339624047279358</v>
      </c>
      <c r="CN4" s="9">
        <v>1.9230769947171211E-2</v>
      </c>
      <c r="CO4" s="9">
        <v>-0.16910785436630249</v>
      </c>
      <c r="CP4" s="9">
        <v>6.3739374279975891E-2</v>
      </c>
      <c r="CQ4" s="9">
        <v>0.19864176213741302</v>
      </c>
      <c r="CR4">
        <v>14.251035227272727</v>
      </c>
      <c r="CS4">
        <v>0.77915644839470899</v>
      </c>
      <c r="CT4">
        <v>0.91884915084915086</v>
      </c>
      <c r="CU4" s="8">
        <v>0.18290338553488256</v>
      </c>
      <c r="CV4" s="9">
        <v>0.11118005849421024</v>
      </c>
      <c r="CW4">
        <v>0.06</v>
      </c>
      <c r="CX4">
        <v>14.591136457684925</v>
      </c>
      <c r="CY4">
        <v>1024438969.7368133</v>
      </c>
      <c r="CZ4">
        <v>0.18290338553488256</v>
      </c>
      <c r="DA4">
        <v>4.4112594153055174</v>
      </c>
      <c r="DB4">
        <v>3388539959.3904276</v>
      </c>
      <c r="DC4">
        <v>0.17375821625813842</v>
      </c>
      <c r="DD4">
        <v>1.9501568838809702</v>
      </c>
      <c r="DE4">
        <v>7664885283.6151361</v>
      </c>
      <c r="DF4">
        <v>0.16095497927069666</v>
      </c>
      <c r="DG4">
        <v>1.0322916644086291</v>
      </c>
      <c r="DH4">
        <v>14480140947.920116</v>
      </c>
      <c r="DI4">
        <v>0.14632270842790604</v>
      </c>
      <c r="DJ4">
        <v>0.39760463312290756</v>
      </c>
      <c r="DK4">
        <v>37594453270.315285</v>
      </c>
      <c r="DL4">
        <v>0.1280323698744178</v>
      </c>
      <c r="DM4">
        <v>918000000</v>
      </c>
      <c r="DN4">
        <v>0.18290338553488256</v>
      </c>
      <c r="DO4">
        <v>14947728800</v>
      </c>
      <c r="DP4">
        <v>4846737000</v>
      </c>
      <c r="DQ4">
        <v>45</v>
      </c>
      <c r="DR4">
        <v>-0.13657617351484916</v>
      </c>
      <c r="DS4">
        <v>0.2490937043923877</v>
      </c>
      <c r="DT4" s="10">
        <v>-0.1566666666666667</v>
      </c>
      <c r="DU4">
        <v>0.13333333333333333</v>
      </c>
      <c r="DV4">
        <v>-2.3333333333333373E-2</v>
      </c>
      <c r="DW4">
        <v>-8.2591486183719187</v>
      </c>
      <c r="DX4">
        <v>0.33249732142857025</v>
      </c>
      <c r="DY4">
        <v>-8.0291535254187565</v>
      </c>
      <c r="DZ4">
        <v>1763</v>
      </c>
      <c r="EA4">
        <v>-8.0190952738897412</v>
      </c>
      <c r="EB4">
        <v>8</v>
      </c>
      <c r="EC4">
        <v>2.5142311615821998E-2</v>
      </c>
      <c r="ED4">
        <v>0.22349253561371019</v>
      </c>
      <c r="EE4" s="11">
        <v>3.0710000000000005E-2</v>
      </c>
      <c r="EF4">
        <v>5.8410000000000004E-2</v>
      </c>
      <c r="EG4">
        <v>22.11249732142857</v>
      </c>
      <c r="EH4">
        <v>-1</v>
      </c>
      <c r="EI4">
        <v>0</v>
      </c>
      <c r="EJ4">
        <v>0</v>
      </c>
      <c r="EK4" s="13">
        <v>45470</v>
      </c>
      <c r="EL4" s="14">
        <v>2.11</v>
      </c>
      <c r="EM4" s="14">
        <v>-2.91</v>
      </c>
      <c r="EN4" s="14">
        <v>0.19</v>
      </c>
      <c r="EO4" s="14">
        <v>1.06</v>
      </c>
      <c r="EP4" s="14">
        <v>-2.77</v>
      </c>
    </row>
    <row r="5" spans="1:146" ht="108">
      <c r="A5" s="6"/>
      <c r="B5" s="6"/>
      <c r="C5" s="6" t="str">
        <f>""&amp;CHAR(10)&amp;Basic_Fundamental_Information_Constructure(F5)&amp;CHAR(10)&amp;Basic_Fundamental_Information_Concatenate("")</f>
        <v xml:space="preserve">
市值25.812838亿, 利润8080.52万; PE30.65; 平均PE26.45; 平均PEG.4, PB1.05; ROIC5.09%; ROE5.36%; 股利率0%; 毛利8.23%; 净利7.8533%; 上一年度营收增180.2%, 利润增-72.88%; 当季营收增-66.81%, 利润增71.46%; 过往5年营收增66.63%, 利润增195.6%
Income profile:
</v>
      </c>
      <c r="D5" t="s">
        <v>1251</v>
      </c>
      <c r="E5" t="s">
        <v>1252</v>
      </c>
      <c r="F5">
        <v>5.37</v>
      </c>
      <c r="G5">
        <v>-2.0099999999999998</v>
      </c>
      <c r="H5" t="s">
        <v>2141</v>
      </c>
      <c r="I5">
        <v>2581283800</v>
      </c>
      <c r="J5">
        <v>30.65</v>
      </c>
      <c r="K5">
        <v>1.05</v>
      </c>
      <c r="L5" t="s">
        <v>361</v>
      </c>
      <c r="M5" t="s">
        <v>2142</v>
      </c>
      <c r="N5" t="s">
        <v>2143</v>
      </c>
      <c r="O5" t="s">
        <v>1853</v>
      </c>
      <c r="P5">
        <v>-66.819999999999993</v>
      </c>
      <c r="Q5" t="s">
        <v>2144</v>
      </c>
      <c r="R5">
        <v>8215911</v>
      </c>
      <c r="S5" s="5">
        <v>0.7147</v>
      </c>
      <c r="T5" t="s">
        <v>2145</v>
      </c>
      <c r="U5">
        <v>480685990</v>
      </c>
      <c r="V5">
        <v>480685990</v>
      </c>
      <c r="W5">
        <v>1.46</v>
      </c>
      <c r="X5">
        <v>0.19</v>
      </c>
      <c r="Y5">
        <v>1.1599999999999999</v>
      </c>
      <c r="Z5" t="s">
        <v>2146</v>
      </c>
      <c r="AA5" t="s">
        <v>2147</v>
      </c>
      <c r="AB5" t="s">
        <v>2148</v>
      </c>
      <c r="AC5" t="s">
        <v>2149</v>
      </c>
      <c r="AD5" t="s">
        <v>19</v>
      </c>
      <c r="AE5">
        <v>7709517</v>
      </c>
      <c r="AF5" t="s">
        <v>20</v>
      </c>
      <c r="AG5">
        <v>624.48</v>
      </c>
      <c r="AH5" t="s">
        <v>2150</v>
      </c>
      <c r="AI5" t="s">
        <v>1895</v>
      </c>
      <c r="AJ5" t="s">
        <v>2151</v>
      </c>
      <c r="AK5" t="s">
        <v>2152</v>
      </c>
      <c r="AL5" t="s">
        <v>2153</v>
      </c>
      <c r="AM5" t="s">
        <v>19</v>
      </c>
      <c r="AN5" t="s">
        <v>193</v>
      </c>
      <c r="AO5" t="s">
        <v>2066</v>
      </c>
      <c r="AP5" t="s">
        <v>158</v>
      </c>
      <c r="AQ5" t="s">
        <v>131</v>
      </c>
      <c r="AR5" t="s">
        <v>2154</v>
      </c>
      <c r="AS5" t="s">
        <v>1916</v>
      </c>
      <c r="AT5" t="s">
        <v>2155</v>
      </c>
      <c r="AU5" t="s">
        <v>2156</v>
      </c>
      <c r="AV5" t="s">
        <v>2157</v>
      </c>
      <c r="AW5" t="s">
        <v>2158</v>
      </c>
      <c r="AX5" t="s">
        <v>1598</v>
      </c>
      <c r="AY5" t="s">
        <v>1338</v>
      </c>
      <c r="AZ5" t="s">
        <v>370</v>
      </c>
      <c r="BA5" t="s">
        <v>247</v>
      </c>
      <c r="BB5" t="s">
        <v>1254</v>
      </c>
      <c r="BC5" t="s">
        <v>279</v>
      </c>
      <c r="BD5" t="s">
        <v>1258</v>
      </c>
      <c r="BE5" t="s">
        <v>1255</v>
      </c>
      <c r="BF5" t="s">
        <v>1256</v>
      </c>
      <c r="BG5" t="s">
        <v>1257</v>
      </c>
      <c r="BH5" t="s">
        <v>2144</v>
      </c>
      <c r="BI5" t="s">
        <v>2159</v>
      </c>
      <c r="BJ5" t="s">
        <v>1598</v>
      </c>
      <c r="BK5" t="s">
        <v>2145</v>
      </c>
      <c r="BL5" t="s">
        <v>2160</v>
      </c>
      <c r="BM5" t="s">
        <v>279</v>
      </c>
      <c r="BN5">
        <v>2.4300000000000002</v>
      </c>
      <c r="BO5">
        <v>11.69</v>
      </c>
      <c r="BP5">
        <v>1.1499999999999999</v>
      </c>
      <c r="BQ5">
        <v>2.2599999999999998</v>
      </c>
      <c r="BR5">
        <v>12.57</v>
      </c>
      <c r="BS5">
        <v>1.25</v>
      </c>
      <c r="BT5" t="s">
        <v>1571</v>
      </c>
      <c r="BU5" t="s">
        <v>1336</v>
      </c>
      <c r="BV5">
        <v>6.05</v>
      </c>
      <c r="BW5">
        <v>9.5500000000000007</v>
      </c>
      <c r="BX5">
        <v>9.09</v>
      </c>
      <c r="BY5">
        <v>1.79</v>
      </c>
      <c r="BZ5">
        <v>19.510000000000002</v>
      </c>
      <c r="CA5">
        <v>2.2599999999999998</v>
      </c>
      <c r="CB5">
        <v>2.87</v>
      </c>
      <c r="CC5">
        <v>-3.76</v>
      </c>
      <c r="CD5" t="s">
        <v>2161</v>
      </c>
      <c r="CE5" t="s">
        <v>1370</v>
      </c>
      <c r="CF5" s="8">
        <v>-0.66807909604519766</v>
      </c>
      <c r="CG5" s="9">
        <v>0.71464876033057856</v>
      </c>
      <c r="CH5" s="8">
        <v>1.8019860982894897</v>
      </c>
      <c r="CI5" s="8">
        <v>0.43967825174331665</v>
      </c>
      <c r="CJ5" s="8">
        <v>1.0235083103179932</v>
      </c>
      <c r="CK5" s="8">
        <v>0.28604650497436523</v>
      </c>
      <c r="CL5" s="8">
        <v>-0.21960072219371796</v>
      </c>
      <c r="CM5" s="9">
        <v>-0.72884160280227661</v>
      </c>
      <c r="CN5" s="9">
        <v>9.7726297378540039</v>
      </c>
      <c r="CO5" s="9">
        <v>-0.68818390369415283</v>
      </c>
      <c r="CP5" s="9">
        <v>1.9167149066925049</v>
      </c>
      <c r="CQ5" s="9">
        <v>-0.49239069223403931</v>
      </c>
      <c r="CR5">
        <v>26.451247679835387</v>
      </c>
      <c r="CS5">
        <v>0.39697294470151562</v>
      </c>
      <c r="CT5">
        <v>0</v>
      </c>
      <c r="CU5" s="8">
        <v>0.66632368862628932</v>
      </c>
      <c r="CV5" s="9">
        <v>1.9559856891632079</v>
      </c>
      <c r="CW5">
        <v>0.06</v>
      </c>
      <c r="CX5">
        <v>11.039339870071874</v>
      </c>
      <c r="CY5">
        <v>127026055.58885381</v>
      </c>
      <c r="CZ5">
        <v>0.66632368862628932</v>
      </c>
      <c r="DA5">
        <v>2.2923691877414525</v>
      </c>
      <c r="DB5">
        <v>611718133.14311492</v>
      </c>
      <c r="DC5">
        <v>0.63300750419497487</v>
      </c>
      <c r="DD5">
        <v>0.56257621668669511</v>
      </c>
      <c r="DE5">
        <v>2492611238.0981569</v>
      </c>
      <c r="DF5">
        <v>0.58636484599113459</v>
      </c>
      <c r="DG5">
        <v>0.13715336259064323</v>
      </c>
      <c r="DH5">
        <v>10224202844.995836</v>
      </c>
      <c r="DI5">
        <v>0.5330589509010315</v>
      </c>
      <c r="DJ5">
        <v>7.3061471352528096E-3</v>
      </c>
      <c r="DK5">
        <v>191932050373.56229</v>
      </c>
      <c r="DL5">
        <v>0.46642658203840248</v>
      </c>
      <c r="DM5">
        <v>80805200</v>
      </c>
      <c r="DN5">
        <v>0.66632368862628932</v>
      </c>
      <c r="DO5">
        <v>1402283800</v>
      </c>
      <c r="DP5">
        <v>910472300</v>
      </c>
      <c r="DQ5">
        <v>63</v>
      </c>
      <c r="DR5">
        <v>-1.334402784671487</v>
      </c>
      <c r="DS5">
        <v>-1.2413369288326295</v>
      </c>
      <c r="DT5" s="10">
        <v>0.29333333333333339</v>
      </c>
      <c r="DU5">
        <v>0.44333333333333319</v>
      </c>
      <c r="DV5">
        <v>0.73666666666666658</v>
      </c>
      <c r="DW5">
        <v>6.4328808446455508</v>
      </c>
      <c r="DX5">
        <v>0.33430261437908598</v>
      </c>
      <c r="DY5">
        <v>6.0624658375969798</v>
      </c>
      <c r="DZ5">
        <v>419</v>
      </c>
      <c r="EA5">
        <v>6.0573438833987145</v>
      </c>
      <c r="EB5">
        <v>6</v>
      </c>
      <c r="EC5">
        <v>4.5930816498313168E-2</v>
      </c>
      <c r="ED5">
        <v>0.31829510986995896</v>
      </c>
      <c r="EE5" s="11">
        <v>-3.1078000000000001</v>
      </c>
      <c r="EF5">
        <v>-3.1078000000000001</v>
      </c>
      <c r="EG5">
        <v>19.144302614379086</v>
      </c>
      <c r="EH5" t="s">
        <v>1282</v>
      </c>
      <c r="EI5">
        <v>0</v>
      </c>
      <c r="EJ5">
        <v>1</v>
      </c>
      <c r="EK5" s="13">
        <v>45470</v>
      </c>
      <c r="EL5" s="14">
        <v>0.39</v>
      </c>
      <c r="EM5" s="14">
        <v>-2.3199999999999998</v>
      </c>
      <c r="EN5" s="14">
        <v>1.58</v>
      </c>
      <c r="EO5" s="14">
        <v>2.34</v>
      </c>
      <c r="EP5" s="14">
        <v>0</v>
      </c>
    </row>
    <row r="6" spans="1:146" ht="108">
      <c r="A6" s="6"/>
      <c r="B6" s="6"/>
      <c r="C6" s="6" t="str">
        <f>""&amp;CHAR(10)&amp;Basic_Fundamental_Information_Constructure(F6)&amp;CHAR(10)&amp;Basic_Fundamental_Information_Concatenate("")</f>
        <v xml:space="preserve">
市值79.923023亿, 利润22.89亿; PE3.5; 平均PE4.93; 平均PEG.13, PB.592; ROIC8.0267%; ROE17.0933%; 股利率3.5156%; 毛利12.2967%; 净利4.6233%; 上一年度营收增3.29%, 利润增-15.13%; 当季营收增-14.93%, 利润增-2.62%; 过往5年营收增38.86%, 利润增36.65%
Income profile:
</v>
      </c>
      <c r="D6" t="s">
        <v>379</v>
      </c>
      <c r="E6" t="s">
        <v>380</v>
      </c>
      <c r="F6">
        <v>5.12</v>
      </c>
      <c r="G6">
        <v>-0.19</v>
      </c>
      <c r="H6" t="s">
        <v>2162</v>
      </c>
      <c r="I6">
        <v>7992302300</v>
      </c>
      <c r="J6">
        <v>3.5</v>
      </c>
      <c r="K6">
        <v>0.59199999999999997</v>
      </c>
      <c r="L6" t="s">
        <v>361</v>
      </c>
      <c r="M6" t="s">
        <v>2163</v>
      </c>
      <c r="N6" t="s">
        <v>2164</v>
      </c>
      <c r="O6" t="s">
        <v>2165</v>
      </c>
      <c r="P6">
        <v>-14.93</v>
      </c>
      <c r="Q6" t="s">
        <v>2166</v>
      </c>
      <c r="R6">
        <v>244417470</v>
      </c>
      <c r="S6" s="5">
        <v>-2.8199999999999999E-2</v>
      </c>
      <c r="T6" t="s">
        <v>2167</v>
      </c>
      <c r="U6">
        <v>1457902300</v>
      </c>
      <c r="V6">
        <v>1560996500</v>
      </c>
      <c r="W6">
        <v>4.17</v>
      </c>
      <c r="X6">
        <v>7.0000000000000007E-2</v>
      </c>
      <c r="Y6">
        <v>3.14</v>
      </c>
      <c r="Z6" t="s">
        <v>2168</v>
      </c>
      <c r="AA6" t="s">
        <v>2169</v>
      </c>
      <c r="AB6" t="s">
        <v>2170</v>
      </c>
      <c r="AC6" t="s">
        <v>172</v>
      </c>
      <c r="AD6" t="s">
        <v>19</v>
      </c>
      <c r="AE6">
        <v>208385110</v>
      </c>
      <c r="AF6" t="s">
        <v>2171</v>
      </c>
      <c r="AG6" t="s">
        <v>2172</v>
      </c>
      <c r="AH6" t="s">
        <v>2173</v>
      </c>
      <c r="AI6" t="s">
        <v>2174</v>
      </c>
      <c r="AJ6" t="s">
        <v>2175</v>
      </c>
      <c r="AK6" t="s">
        <v>1387</v>
      </c>
      <c r="AL6" t="s">
        <v>2176</v>
      </c>
      <c r="AM6" t="s">
        <v>19</v>
      </c>
      <c r="AN6" t="s">
        <v>77</v>
      </c>
      <c r="AO6" t="s">
        <v>2177</v>
      </c>
      <c r="AP6" t="s">
        <v>868</v>
      </c>
      <c r="AQ6" t="s">
        <v>2178</v>
      </c>
      <c r="AR6" t="s">
        <v>2179</v>
      </c>
      <c r="AS6" t="s">
        <v>2180</v>
      </c>
      <c r="AT6" t="s">
        <v>2181</v>
      </c>
      <c r="AU6" t="s">
        <v>2182</v>
      </c>
      <c r="AV6" t="s">
        <v>2183</v>
      </c>
      <c r="AW6" t="s">
        <v>550</v>
      </c>
      <c r="AX6" t="s">
        <v>2184</v>
      </c>
      <c r="AY6" t="s">
        <v>1339</v>
      </c>
      <c r="AZ6" t="s">
        <v>381</v>
      </c>
      <c r="BA6" t="s">
        <v>383</v>
      </c>
      <c r="BB6" t="s">
        <v>384</v>
      </c>
      <c r="BC6" t="s">
        <v>2185</v>
      </c>
      <c r="BD6" t="s">
        <v>1112</v>
      </c>
      <c r="BE6" t="s">
        <v>382</v>
      </c>
      <c r="BF6" t="s">
        <v>317</v>
      </c>
      <c r="BG6" t="s">
        <v>194</v>
      </c>
      <c r="BH6" t="s">
        <v>2166</v>
      </c>
      <c r="BI6" t="s">
        <v>2186</v>
      </c>
      <c r="BJ6" t="s">
        <v>2184</v>
      </c>
      <c r="BK6" t="s">
        <v>2167</v>
      </c>
      <c r="BL6" t="s">
        <v>711</v>
      </c>
      <c r="BM6" t="s">
        <v>2185</v>
      </c>
      <c r="BN6">
        <v>4.49</v>
      </c>
      <c r="BO6">
        <v>9.0299999999999994</v>
      </c>
      <c r="BP6">
        <v>10.56</v>
      </c>
      <c r="BQ6">
        <v>8.73</v>
      </c>
      <c r="BR6">
        <v>20.399999999999999</v>
      </c>
      <c r="BS6">
        <v>22.15</v>
      </c>
      <c r="BT6" t="s">
        <v>2187</v>
      </c>
      <c r="BU6" t="s">
        <v>1342</v>
      </c>
      <c r="BV6">
        <v>12.93</v>
      </c>
      <c r="BW6">
        <v>12.19</v>
      </c>
      <c r="BX6">
        <v>11.77</v>
      </c>
      <c r="BY6">
        <v>4.21</v>
      </c>
      <c r="BZ6">
        <v>4.88</v>
      </c>
      <c r="CA6">
        <v>4.78</v>
      </c>
      <c r="CB6">
        <v>-2.1</v>
      </c>
      <c r="CC6">
        <v>-12.03</v>
      </c>
      <c r="CD6" t="s">
        <v>2188</v>
      </c>
      <c r="CE6" t="s">
        <v>153</v>
      </c>
      <c r="CF6" s="8">
        <v>-0.14931080480213429</v>
      </c>
      <c r="CG6" s="9">
        <v>-2.6225219123505859E-2</v>
      </c>
      <c r="CH6" s="8">
        <v>3.2885842025279999E-2</v>
      </c>
      <c r="CI6" s="8">
        <v>0.22907756268978119</v>
      </c>
      <c r="CJ6" s="8">
        <v>0.67035448551177979</v>
      </c>
      <c r="CK6" s="8">
        <v>0.40039047598838806</v>
      </c>
      <c r="CL6" s="8">
        <v>0.61020171642303467</v>
      </c>
      <c r="CM6" s="9">
        <v>-0.15127919614315033</v>
      </c>
      <c r="CN6" s="9">
        <v>0.2632317841053009</v>
      </c>
      <c r="CO6" s="9">
        <v>0.59447348117828369</v>
      </c>
      <c r="CP6" s="9">
        <v>1.2316668033599854</v>
      </c>
      <c r="CQ6" s="9">
        <v>-0.10581222176551819</v>
      </c>
      <c r="CR6">
        <v>4.9279430479909569</v>
      </c>
      <c r="CS6">
        <v>0.12681860812877502</v>
      </c>
      <c r="CT6">
        <v>3.515625</v>
      </c>
      <c r="CU6" s="8">
        <v>0.38858201652765273</v>
      </c>
      <c r="CV6" s="9">
        <v>0.36645613014698031</v>
      </c>
      <c r="CW6">
        <v>0.06</v>
      </c>
      <c r="CX6">
        <v>27.37598852208848</v>
      </c>
      <c r="CY6">
        <v>2998551165.8790541</v>
      </c>
      <c r="CZ6">
        <v>0.38858201652765273</v>
      </c>
      <c r="DA6">
        <v>7.011189202301761</v>
      </c>
      <c r="DB6">
        <v>11708185292.311121</v>
      </c>
      <c r="DC6">
        <v>0.36915291570127007</v>
      </c>
      <c r="DD6">
        <v>2.4172910110321029</v>
      </c>
      <c r="DE6">
        <v>33958800130.130398</v>
      </c>
      <c r="DF6">
        <v>0.34195217454433441</v>
      </c>
      <c r="DG6">
        <v>0.93171015022567372</v>
      </c>
      <c r="DH6">
        <v>88104978012.869171</v>
      </c>
      <c r="DI6">
        <v>0.31086561322212219</v>
      </c>
      <c r="DJ6">
        <v>0.1600657890762183</v>
      </c>
      <c r="DK6">
        <v>512841018519.65472</v>
      </c>
      <c r="DL6">
        <v>0.27200741156935687</v>
      </c>
      <c r="DM6">
        <v>2289000000</v>
      </c>
      <c r="DN6">
        <v>0.38858201652765273</v>
      </c>
      <c r="DO6">
        <v>82088302300.000015</v>
      </c>
      <c r="DP6">
        <v>13794240000</v>
      </c>
      <c r="DQ6">
        <v>92</v>
      </c>
      <c r="DR6">
        <v>-0.537892821329787</v>
      </c>
      <c r="DS6">
        <v>-0.39268134927048615</v>
      </c>
      <c r="DT6" s="10">
        <v>0.29333333333333339</v>
      </c>
      <c r="DU6">
        <v>0.35000000000000003</v>
      </c>
      <c r="DV6">
        <v>0.64333333333333342</v>
      </c>
      <c r="DW6">
        <v>-2.1202999999999999</v>
      </c>
      <c r="DX6">
        <v>0.36170816326530453</v>
      </c>
      <c r="DY6">
        <v>-2.0182504920408162</v>
      </c>
      <c r="DZ6">
        <v>527</v>
      </c>
      <c r="EA6">
        <v>-2.0163682984389553</v>
      </c>
      <c r="EB6">
        <v>2</v>
      </c>
      <c r="EC6">
        <v>2.3810751657675083E-2</v>
      </c>
      <c r="ED6">
        <v>0.15695102455386672</v>
      </c>
      <c r="EE6" s="11">
        <v>2.0164</v>
      </c>
      <c r="EF6">
        <v>2.0007100000000002</v>
      </c>
      <c r="EG6">
        <v>21.151708163265305</v>
      </c>
      <c r="EH6" t="s">
        <v>1264</v>
      </c>
      <c r="EI6">
        <v>0</v>
      </c>
      <c r="EJ6">
        <v>1</v>
      </c>
      <c r="EK6" s="13">
        <v>45470</v>
      </c>
      <c r="EL6" s="14">
        <v>1.9</v>
      </c>
      <c r="EM6" s="14">
        <v>-3.36</v>
      </c>
      <c r="EN6" s="14">
        <v>0.77</v>
      </c>
      <c r="EO6" s="14">
        <v>1.1499999999999999</v>
      </c>
      <c r="EP6" s="14">
        <v>-1.71</v>
      </c>
    </row>
    <row r="7" spans="1:146" ht="108">
      <c r="A7" s="6"/>
      <c r="B7" s="6"/>
      <c r="C7" s="6" t="str">
        <f>""&amp;CHAR(10)&amp;Basic_Fundamental_Information_Constructure(F7)&amp;CHAR(10)&amp;Basic_Fundamental_Information_Concatenate("")</f>
        <v xml:space="preserve">
市值147.64055亿, 利润3.66亿; PE40.01; 平均PE78.48; 平均PEG1.1, PB6.92; ROIC6.7867%; ROE12.08%; 股利率.3627%; 毛利8.16%; 净利3.2267%; 上一年度营收增21.87%, 利润增83.92%; 当季营收增27.28%, 利润增9.68%; 过往5年营收增71.06%, 利润增58.99%
Income profile:
</v>
      </c>
      <c r="D7" t="s">
        <v>385</v>
      </c>
      <c r="E7" t="s">
        <v>386</v>
      </c>
      <c r="F7">
        <v>41.91</v>
      </c>
      <c r="G7">
        <v>-0.1</v>
      </c>
      <c r="H7" t="s">
        <v>2189</v>
      </c>
      <c r="I7">
        <v>14764055000</v>
      </c>
      <c r="J7">
        <v>40.01</v>
      </c>
      <c r="K7">
        <v>6.92</v>
      </c>
      <c r="L7" t="s">
        <v>361</v>
      </c>
      <c r="M7" t="s">
        <v>2190</v>
      </c>
      <c r="N7" t="s">
        <v>2191</v>
      </c>
      <c r="O7" t="s">
        <v>227</v>
      </c>
      <c r="P7">
        <v>27.25</v>
      </c>
      <c r="Q7" t="s">
        <v>2192</v>
      </c>
      <c r="R7">
        <v>34497946</v>
      </c>
      <c r="S7" s="5">
        <v>9.6799999999999997E-2</v>
      </c>
      <c r="T7" t="s">
        <v>1951</v>
      </c>
      <c r="U7">
        <v>192074040</v>
      </c>
      <c r="V7">
        <v>352280000</v>
      </c>
      <c r="W7">
        <v>5.65</v>
      </c>
      <c r="X7">
        <v>0.09</v>
      </c>
      <c r="Y7">
        <v>2.57</v>
      </c>
      <c r="Z7" t="s">
        <v>1338</v>
      </c>
      <c r="AA7" t="s">
        <v>2193</v>
      </c>
      <c r="AB7" t="s">
        <v>2194</v>
      </c>
      <c r="AC7" t="s">
        <v>2195</v>
      </c>
      <c r="AD7" t="s">
        <v>19</v>
      </c>
      <c r="AE7">
        <v>15893924</v>
      </c>
      <c r="AF7" t="s">
        <v>2196</v>
      </c>
      <c r="AG7" t="s">
        <v>2197</v>
      </c>
      <c r="AH7" t="s">
        <v>2198</v>
      </c>
      <c r="AI7" t="s">
        <v>2199</v>
      </c>
      <c r="AJ7" t="s">
        <v>2200</v>
      </c>
      <c r="AK7" t="s">
        <v>2201</v>
      </c>
      <c r="AL7" t="s">
        <v>2202</v>
      </c>
      <c r="AM7" t="s">
        <v>19</v>
      </c>
      <c r="AN7" t="s">
        <v>2203</v>
      </c>
      <c r="AO7" t="s">
        <v>1727</v>
      </c>
      <c r="AP7" t="s">
        <v>53</v>
      </c>
      <c r="AQ7" t="s">
        <v>2204</v>
      </c>
      <c r="AR7" t="s">
        <v>2205</v>
      </c>
      <c r="AS7" t="s">
        <v>2206</v>
      </c>
      <c r="AT7" t="s">
        <v>2207</v>
      </c>
      <c r="AU7" t="s">
        <v>2208</v>
      </c>
      <c r="AV7" t="s">
        <v>2209</v>
      </c>
      <c r="AW7" t="s">
        <v>166</v>
      </c>
      <c r="AX7" t="s">
        <v>1601</v>
      </c>
      <c r="AY7" t="s">
        <v>1343</v>
      </c>
      <c r="AZ7" t="s">
        <v>387</v>
      </c>
      <c r="BA7" t="s">
        <v>388</v>
      </c>
      <c r="BB7" t="s">
        <v>329</v>
      </c>
      <c r="BC7" t="s">
        <v>307</v>
      </c>
      <c r="BD7" t="s">
        <v>1113</v>
      </c>
      <c r="BE7" t="s">
        <v>191</v>
      </c>
      <c r="BF7" t="s">
        <v>39</v>
      </c>
      <c r="BG7" t="s">
        <v>389</v>
      </c>
      <c r="BH7" t="s">
        <v>2192</v>
      </c>
      <c r="BI7" t="s">
        <v>1313</v>
      </c>
      <c r="BJ7" t="s">
        <v>1601</v>
      </c>
      <c r="BK7" t="s">
        <v>1951</v>
      </c>
      <c r="BL7" t="s">
        <v>2210</v>
      </c>
      <c r="BM7" t="s">
        <v>307</v>
      </c>
      <c r="BN7">
        <v>6.48</v>
      </c>
      <c r="BO7">
        <v>6.94</v>
      </c>
      <c r="BP7">
        <v>6.94</v>
      </c>
      <c r="BQ7">
        <v>13.56</v>
      </c>
      <c r="BR7">
        <v>12.03</v>
      </c>
      <c r="BS7">
        <v>10.65</v>
      </c>
      <c r="BT7" t="s">
        <v>2211</v>
      </c>
      <c r="BU7" t="s">
        <v>1344</v>
      </c>
      <c r="BV7">
        <v>7.88</v>
      </c>
      <c r="BW7">
        <v>8.51</v>
      </c>
      <c r="BX7">
        <v>8.09</v>
      </c>
      <c r="BY7">
        <v>4.1399999999999997</v>
      </c>
      <c r="BZ7">
        <v>2.92</v>
      </c>
      <c r="CA7">
        <v>2.62</v>
      </c>
      <c r="CB7">
        <v>-5.54</v>
      </c>
      <c r="CC7">
        <v>-25.35</v>
      </c>
      <c r="CD7" t="s">
        <v>2212</v>
      </c>
      <c r="CE7" t="s">
        <v>1461</v>
      </c>
      <c r="CF7" s="8">
        <v>0.27282728272827284</v>
      </c>
      <c r="CG7" s="9">
        <v>9.6847758005080775E-2</v>
      </c>
      <c r="CH7" s="8">
        <v>0.21868820488452911</v>
      </c>
      <c r="CI7" s="8">
        <v>-6.2008374370634556E-3</v>
      </c>
      <c r="CJ7" s="8">
        <v>0.19501166045665741</v>
      </c>
      <c r="CK7" s="8">
        <v>0.67109638452529907</v>
      </c>
      <c r="CL7" s="8">
        <v>2.4742918014526367</v>
      </c>
      <c r="CM7" s="9">
        <v>0.83919596672058105</v>
      </c>
      <c r="CN7" s="9">
        <v>0.22085890173912048</v>
      </c>
      <c r="CO7" s="9">
        <v>-0.32365146279335022</v>
      </c>
      <c r="CP7" s="9">
        <v>1.2952381372451782</v>
      </c>
      <c r="CQ7" s="9">
        <v>0.91799390316009521</v>
      </c>
      <c r="CR7">
        <v>78.480395079595951</v>
      </c>
      <c r="CS7">
        <v>1.1044594206783787</v>
      </c>
      <c r="CT7">
        <v>0.36268193748508715</v>
      </c>
      <c r="CU7" s="8">
        <v>0.71057744277641177</v>
      </c>
      <c r="CV7" s="9">
        <v>0.58992708921432491</v>
      </c>
      <c r="CW7">
        <v>0.06</v>
      </c>
      <c r="CX7">
        <v>40.629360441895557</v>
      </c>
      <c r="CY7">
        <v>590633343.44921386</v>
      </c>
      <c r="CZ7">
        <v>0.71057744277641177</v>
      </c>
      <c r="DA7">
        <v>8.1717680777573865</v>
      </c>
      <c r="DB7">
        <v>2936580525.983994</v>
      </c>
      <c r="DC7">
        <v>0.67504857063759116</v>
      </c>
      <c r="DD7">
        <v>1.9011794281181276</v>
      </c>
      <c r="DE7">
        <v>12622193699.914667</v>
      </c>
      <c r="DF7">
        <v>0.62530814964324233</v>
      </c>
      <c r="DG7">
        <v>0.43102143739962134</v>
      </c>
      <c r="DH7">
        <v>55674852612.379791</v>
      </c>
      <c r="DI7">
        <v>0.56846195422112944</v>
      </c>
      <c r="DJ7">
        <v>1.9142159359665976E-2</v>
      </c>
      <c r="DK7">
        <v>1253623196271.3501</v>
      </c>
      <c r="DL7">
        <v>0.49740420994348822</v>
      </c>
      <c r="DM7">
        <v>366000000</v>
      </c>
      <c r="DN7">
        <v>0.71057744277641177</v>
      </c>
      <c r="DO7">
        <v>23997055000</v>
      </c>
      <c r="DP7">
        <v>2240477300</v>
      </c>
      <c r="DQ7">
        <v>185</v>
      </c>
      <c r="DR7">
        <v>-0.43775016004813894</v>
      </c>
      <c r="DS7">
        <v>-0.49307933120924413</v>
      </c>
      <c r="DT7" s="10">
        <v>0.64666666666666661</v>
      </c>
      <c r="DU7">
        <v>0.78333333333333321</v>
      </c>
      <c r="DV7">
        <v>1.4299999999999997</v>
      </c>
      <c r="DW7">
        <v>-8.2185404339250496</v>
      </c>
      <c r="DX7">
        <v>0.31070386052303861</v>
      </c>
      <c r="DY7">
        <v>-8.0241932697158838</v>
      </c>
      <c r="DZ7">
        <v>66</v>
      </c>
      <c r="EA7">
        <v>-8.0238807930424496</v>
      </c>
      <c r="EB7">
        <v>8</v>
      </c>
      <c r="EC7">
        <v>0.25234245486544793</v>
      </c>
      <c r="ED7">
        <v>2.2794368116271144</v>
      </c>
      <c r="EE7" s="11">
        <v>5.0574000000000003</v>
      </c>
      <c r="EF7">
        <v>5.0198</v>
      </c>
      <c r="EG7">
        <v>20.110703860523039</v>
      </c>
      <c r="EH7" t="s">
        <v>1962</v>
      </c>
      <c r="EI7">
        <v>0</v>
      </c>
      <c r="EJ7">
        <v>1</v>
      </c>
      <c r="EK7" s="13">
        <v>45470</v>
      </c>
      <c r="EL7" s="14">
        <v>10</v>
      </c>
      <c r="EM7" s="14">
        <v>-0.99</v>
      </c>
      <c r="EN7" s="14">
        <v>-5.62</v>
      </c>
      <c r="EO7" s="14">
        <v>3.27</v>
      </c>
      <c r="EP7" s="14">
        <v>-3.76</v>
      </c>
    </row>
    <row r="8" spans="1:146" ht="108">
      <c r="A8" s="6"/>
      <c r="B8" s="6"/>
      <c r="C8" s="6" t="str">
        <f>""&amp;CHAR(10)&amp;Basic_Fundamental_Information_Constructure(F8)&amp;CHAR(10)&amp;Basic_Fundamental_Information_Concatenate("")</f>
        <v xml:space="preserve">
市值32.104117亿, 利润2.54亿; PE12.28; 平均PE11.66; 平均PEG4.29, PB.869; ROIC9.0567%; ROE10.0333%; 股利率1.1679%; 毛利30.25%; 净利10.7667%; 上一年度营收增-5.2%, 利润增12.39%; 当季营收增-17.9%, 利润增15.09%; 过往5年营收增2.72%, 利润增3.4%
Income profile:
</v>
      </c>
      <c r="D8" t="s">
        <v>391</v>
      </c>
      <c r="E8" t="s">
        <v>392</v>
      </c>
      <c r="F8">
        <v>6.85</v>
      </c>
      <c r="G8">
        <v>0.59</v>
      </c>
      <c r="H8" t="s">
        <v>2213</v>
      </c>
      <c r="I8">
        <v>3210411700</v>
      </c>
      <c r="J8">
        <v>12.28</v>
      </c>
      <c r="K8">
        <v>0.86899999999999999</v>
      </c>
      <c r="L8" t="s">
        <v>361</v>
      </c>
      <c r="M8" t="s">
        <v>2214</v>
      </c>
      <c r="N8" t="s">
        <v>2215</v>
      </c>
      <c r="O8" t="s">
        <v>352</v>
      </c>
      <c r="P8">
        <v>-17.95</v>
      </c>
      <c r="Q8" t="s">
        <v>2216</v>
      </c>
      <c r="R8">
        <v>52966111</v>
      </c>
      <c r="S8" s="5">
        <v>0.15090000000000001</v>
      </c>
      <c r="T8" t="s">
        <v>1385</v>
      </c>
      <c r="U8">
        <v>464788900</v>
      </c>
      <c r="V8">
        <v>468673230</v>
      </c>
      <c r="W8">
        <v>1.38</v>
      </c>
      <c r="X8">
        <v>0.08</v>
      </c>
      <c r="Y8">
        <v>12.35</v>
      </c>
      <c r="Z8" t="s">
        <v>331</v>
      </c>
      <c r="AA8" t="s">
        <v>1477</v>
      </c>
      <c r="AB8" t="s">
        <v>19</v>
      </c>
      <c r="AC8" t="s">
        <v>2217</v>
      </c>
      <c r="AD8" t="s">
        <v>19</v>
      </c>
      <c r="AE8">
        <v>-8113389</v>
      </c>
      <c r="AF8" t="s">
        <v>2218</v>
      </c>
      <c r="AG8" t="s">
        <v>2219</v>
      </c>
      <c r="AH8" t="s">
        <v>2220</v>
      </c>
      <c r="AI8" t="s">
        <v>2221</v>
      </c>
      <c r="AJ8" t="s">
        <v>2222</v>
      </c>
      <c r="AK8" t="s">
        <v>2223</v>
      </c>
      <c r="AL8" t="s">
        <v>2224</v>
      </c>
      <c r="AM8" t="s">
        <v>19</v>
      </c>
      <c r="AN8" t="s">
        <v>339</v>
      </c>
      <c r="AO8" t="s">
        <v>19</v>
      </c>
      <c r="AP8" t="s">
        <v>2225</v>
      </c>
      <c r="AQ8" t="s">
        <v>2226</v>
      </c>
      <c r="AR8" t="s">
        <v>2227</v>
      </c>
      <c r="AS8" t="s">
        <v>1826</v>
      </c>
      <c r="AT8" t="s">
        <v>2228</v>
      </c>
      <c r="AU8" t="s">
        <v>208</v>
      </c>
      <c r="AV8" t="s">
        <v>2229</v>
      </c>
      <c r="AW8" t="s">
        <v>2230</v>
      </c>
      <c r="AX8" t="s">
        <v>578</v>
      </c>
      <c r="AY8" t="s">
        <v>1345</v>
      </c>
      <c r="AZ8" t="s">
        <v>393</v>
      </c>
      <c r="BA8" t="s">
        <v>394</v>
      </c>
      <c r="BB8" t="s">
        <v>395</v>
      </c>
      <c r="BC8" t="s">
        <v>244</v>
      </c>
      <c r="BD8" t="s">
        <v>229</v>
      </c>
      <c r="BE8" t="s">
        <v>178</v>
      </c>
      <c r="BF8" t="s">
        <v>309</v>
      </c>
      <c r="BG8" t="s">
        <v>127</v>
      </c>
      <c r="BH8" t="s">
        <v>2216</v>
      </c>
      <c r="BI8" t="s">
        <v>1776</v>
      </c>
      <c r="BJ8" t="s">
        <v>578</v>
      </c>
      <c r="BK8" t="s">
        <v>1385</v>
      </c>
      <c r="BL8" t="s">
        <v>2231</v>
      </c>
      <c r="BM8" t="s">
        <v>244</v>
      </c>
      <c r="BN8">
        <v>6.14</v>
      </c>
      <c r="BO8">
        <v>7.68</v>
      </c>
      <c r="BP8">
        <v>13.35</v>
      </c>
      <c r="BQ8">
        <v>6.83</v>
      </c>
      <c r="BR8">
        <v>8.94</v>
      </c>
      <c r="BS8">
        <v>14.33</v>
      </c>
      <c r="BT8" t="s">
        <v>1596</v>
      </c>
      <c r="BU8" t="s">
        <v>1234</v>
      </c>
      <c r="BV8">
        <v>32.979999999999997</v>
      </c>
      <c r="BW8">
        <v>25.97</v>
      </c>
      <c r="BX8">
        <v>31.8</v>
      </c>
      <c r="BY8">
        <v>10.67</v>
      </c>
      <c r="BZ8">
        <v>8.9499999999999993</v>
      </c>
      <c r="CA8">
        <v>12.68</v>
      </c>
      <c r="CB8">
        <v>-2.2799999999999998</v>
      </c>
      <c r="CC8">
        <v>-20.81</v>
      </c>
      <c r="CD8" t="s">
        <v>2232</v>
      </c>
      <c r="CE8" t="s">
        <v>336</v>
      </c>
      <c r="CF8" s="8">
        <v>-0.17904761904761915</v>
      </c>
      <c r="CG8" s="9">
        <v>0.15088427081771583</v>
      </c>
      <c r="CH8" s="8">
        <v>-5.1984153687953949E-2</v>
      </c>
      <c r="CI8" s="8">
        <v>-2.401244267821312E-2</v>
      </c>
      <c r="CJ8" s="8">
        <v>4.0709469467401505E-2</v>
      </c>
      <c r="CK8" s="8">
        <v>0.16043028235435486</v>
      </c>
      <c r="CL8" s="8">
        <v>1.0874735191464424E-2</v>
      </c>
      <c r="CM8" s="9">
        <v>0.12389380484819412</v>
      </c>
      <c r="CN8" s="9">
        <v>-0.30886849761009216</v>
      </c>
      <c r="CO8" s="9">
        <v>6.5146580338478088E-2</v>
      </c>
      <c r="CP8" s="9">
        <v>1.9933555275201797E-2</v>
      </c>
      <c r="CQ8" s="9">
        <v>0.27004218101501465</v>
      </c>
      <c r="CR8">
        <v>11.660090920096852</v>
      </c>
      <c r="CS8">
        <v>4.2862342830889286</v>
      </c>
      <c r="CT8">
        <v>1.1678832116788322</v>
      </c>
      <c r="CU8" s="8">
        <v>2.7203578129410745E-2</v>
      </c>
      <c r="CV8" s="9">
        <v>3.4029524773359299E-2</v>
      </c>
      <c r="CW8">
        <v>0.06</v>
      </c>
      <c r="CX8">
        <v>4.9256748922444986</v>
      </c>
      <c r="CY8">
        <v>246141234.75931162</v>
      </c>
      <c r="CZ8">
        <v>2.7203578129410745E-2</v>
      </c>
      <c r="DA8">
        <v>1.6982023977131711</v>
      </c>
      <c r="DB8">
        <v>713938280.63878298</v>
      </c>
      <c r="DC8">
        <v>2.5843399222940207E-2</v>
      </c>
      <c r="DD8">
        <v>0.8964327371453672</v>
      </c>
      <c r="DE8">
        <v>1352484854.4251604</v>
      </c>
      <c r="DF8">
        <v>2.3939148753881454E-2</v>
      </c>
      <c r="DG8">
        <v>0.58097531251165857</v>
      </c>
      <c r="DH8">
        <v>2086855799.0158491</v>
      </c>
      <c r="DI8">
        <v>2.1762862503528598E-2</v>
      </c>
      <c r="DJ8">
        <v>0.35182370503856741</v>
      </c>
      <c r="DK8">
        <v>3446077346.7981462</v>
      </c>
      <c r="DL8">
        <v>1.9042504690587519E-2</v>
      </c>
      <c r="DM8">
        <v>254000000</v>
      </c>
      <c r="DN8">
        <v>2.7203578129410745E-2</v>
      </c>
      <c r="DO8">
        <v>1212411700</v>
      </c>
      <c r="DP8">
        <v>2148460200</v>
      </c>
      <c r="DQ8">
        <v>277</v>
      </c>
      <c r="DR8">
        <v>-0.20625119717702989</v>
      </c>
      <c r="DS8">
        <v>0.11685474604435653</v>
      </c>
      <c r="DT8" s="10">
        <v>-0.32333333333333336</v>
      </c>
      <c r="DU8">
        <v>-5.000000000000001E-2</v>
      </c>
      <c r="DV8">
        <v>-0.37333333333333335</v>
      </c>
      <c r="DW8">
        <v>-3.0543988095238097</v>
      </c>
      <c r="DX8">
        <v>0.31327085714285602</v>
      </c>
      <c r="DY8">
        <v>-3.0067057878775509</v>
      </c>
      <c r="DZ8">
        <v>2614</v>
      </c>
      <c r="EA8">
        <v>-3.0032754689906787</v>
      </c>
      <c r="EB8">
        <v>3</v>
      </c>
      <c r="EC8">
        <v>4.6028658389556401E-2</v>
      </c>
      <c r="ED8">
        <v>0.37339448638873612</v>
      </c>
      <c r="EE8" s="11">
        <v>0.1152</v>
      </c>
      <c r="EF8">
        <v>0.10249999999999999</v>
      </c>
      <c r="EG8">
        <v>19.123270857142856</v>
      </c>
      <c r="EH8" t="s">
        <v>1261</v>
      </c>
      <c r="EI8">
        <v>0</v>
      </c>
      <c r="EJ8">
        <v>0</v>
      </c>
      <c r="EK8" s="13">
        <v>45470</v>
      </c>
      <c r="EL8" s="14">
        <v>2.39</v>
      </c>
      <c r="EM8" s="14">
        <v>-4.67</v>
      </c>
      <c r="EN8" s="14">
        <v>0.43</v>
      </c>
      <c r="EO8" s="14">
        <v>1.87</v>
      </c>
      <c r="EP8" s="14">
        <v>-1.27</v>
      </c>
    </row>
    <row r="9" spans="1:146" ht="108">
      <c r="A9" s="6"/>
      <c r="B9" s="6"/>
      <c r="C9" s="6" t="str">
        <f>""&amp;CHAR(10)&amp;Basic_Fundamental_Information_Constructure(F9)&amp;CHAR(10)&amp;Basic_Fundamental_Information_Concatenate("")</f>
        <v xml:space="preserve">
市值78.331596亿, 利润7.61亿; PE10.2; 平均PE13.02; 平均PEG.48, PB.965; ROIC7.85%; ROE9.43%; 股利率4.8718%; 毛利8.7767%; 净利3.5933%; 上一年度营收增40.92%, 利润增20.41%; 当季营收增-4.07%, 利润增3.3%; 过往5年营收增27.35%, 利润增12.45%
Income profile:
</v>
      </c>
      <c r="D9" t="s">
        <v>397</v>
      </c>
      <c r="E9" t="s">
        <v>398</v>
      </c>
      <c r="F9">
        <v>5.46</v>
      </c>
      <c r="G9">
        <v>-0.36</v>
      </c>
      <c r="H9" t="s">
        <v>2233</v>
      </c>
      <c r="I9">
        <v>7833159600</v>
      </c>
      <c r="J9">
        <v>10.199999999999999</v>
      </c>
      <c r="K9">
        <v>0.96499999999999997</v>
      </c>
      <c r="L9" t="s">
        <v>361</v>
      </c>
      <c r="M9" t="s">
        <v>2234</v>
      </c>
      <c r="N9" t="s">
        <v>2235</v>
      </c>
      <c r="O9" t="s">
        <v>2236</v>
      </c>
      <c r="P9">
        <v>-4.07</v>
      </c>
      <c r="Q9" t="s">
        <v>421</v>
      </c>
      <c r="R9">
        <v>214868950</v>
      </c>
      <c r="S9" s="5">
        <v>3.2599999999999997E-2</v>
      </c>
      <c r="T9" t="s">
        <v>2059</v>
      </c>
      <c r="U9">
        <v>1434621200</v>
      </c>
      <c r="V9">
        <v>1434644600</v>
      </c>
      <c r="W9">
        <v>3.31</v>
      </c>
      <c r="X9">
        <v>0.17</v>
      </c>
      <c r="Y9">
        <v>4.5599999999999996</v>
      </c>
      <c r="Z9" t="s">
        <v>2237</v>
      </c>
      <c r="AA9" t="s">
        <v>2238</v>
      </c>
      <c r="AB9" t="s">
        <v>2239</v>
      </c>
      <c r="AC9" t="s">
        <v>27</v>
      </c>
      <c r="AD9" t="s">
        <v>19</v>
      </c>
      <c r="AE9">
        <v>11929252</v>
      </c>
      <c r="AF9" t="s">
        <v>20</v>
      </c>
      <c r="AG9" t="s">
        <v>1972</v>
      </c>
      <c r="AH9" t="s">
        <v>2240</v>
      </c>
      <c r="AI9" t="s">
        <v>2241</v>
      </c>
      <c r="AJ9" t="s">
        <v>2242</v>
      </c>
      <c r="AK9" t="s">
        <v>2067</v>
      </c>
      <c r="AL9" t="s">
        <v>2243</v>
      </c>
      <c r="AM9" t="s">
        <v>19</v>
      </c>
      <c r="AN9">
        <v>0</v>
      </c>
      <c r="AO9" t="s">
        <v>2244</v>
      </c>
      <c r="AP9" t="s">
        <v>2245</v>
      </c>
      <c r="AQ9" t="s">
        <v>2246</v>
      </c>
      <c r="AR9" t="s">
        <v>2247</v>
      </c>
      <c r="AS9" t="s">
        <v>2248</v>
      </c>
      <c r="AT9" t="s">
        <v>35</v>
      </c>
      <c r="AU9" t="s">
        <v>2249</v>
      </c>
      <c r="AV9" t="s">
        <v>2250</v>
      </c>
      <c r="AW9" t="s">
        <v>2251</v>
      </c>
      <c r="AX9" t="s">
        <v>1604</v>
      </c>
      <c r="AY9" t="s">
        <v>1346</v>
      </c>
      <c r="AZ9" t="s">
        <v>399</v>
      </c>
      <c r="BA9" t="s">
        <v>401</v>
      </c>
      <c r="BB9" t="s">
        <v>402</v>
      </c>
      <c r="BC9" t="s">
        <v>1599</v>
      </c>
      <c r="BD9" t="s">
        <v>1114</v>
      </c>
      <c r="BE9" t="s">
        <v>348</v>
      </c>
      <c r="BF9" t="s">
        <v>56</v>
      </c>
      <c r="BG9" t="s">
        <v>352</v>
      </c>
      <c r="BH9" t="s">
        <v>421</v>
      </c>
      <c r="BI9" t="s">
        <v>2252</v>
      </c>
      <c r="BJ9" t="s">
        <v>1604</v>
      </c>
      <c r="BK9" t="s">
        <v>2059</v>
      </c>
      <c r="BL9" t="s">
        <v>26</v>
      </c>
      <c r="BM9" t="s">
        <v>1599</v>
      </c>
      <c r="BN9">
        <v>6.33</v>
      </c>
      <c r="BO9">
        <v>8.1199999999999992</v>
      </c>
      <c r="BP9">
        <v>9.1</v>
      </c>
      <c r="BQ9">
        <v>7.36</v>
      </c>
      <c r="BR9">
        <v>9.92</v>
      </c>
      <c r="BS9">
        <v>11.01</v>
      </c>
      <c r="BT9" t="s">
        <v>2253</v>
      </c>
      <c r="BU9" t="s">
        <v>1336</v>
      </c>
      <c r="BV9">
        <v>8.7899999999999991</v>
      </c>
      <c r="BW9">
        <v>9.2899999999999991</v>
      </c>
      <c r="BX9">
        <v>8.25</v>
      </c>
      <c r="BY9">
        <v>3.05</v>
      </c>
      <c r="BZ9">
        <v>3.55</v>
      </c>
      <c r="CA9">
        <v>4.18</v>
      </c>
      <c r="CB9">
        <v>-1.62</v>
      </c>
      <c r="CC9">
        <v>-11.56</v>
      </c>
      <c r="CD9" t="s">
        <v>2254</v>
      </c>
      <c r="CE9" t="s">
        <v>2255</v>
      </c>
      <c r="CF9" s="8">
        <v>-4.0712468193384227E-2</v>
      </c>
      <c r="CG9" s="9">
        <v>3.3023798076923079E-2</v>
      </c>
      <c r="CH9" s="8">
        <v>0.40917843580245972</v>
      </c>
      <c r="CI9" s="8">
        <v>0.18005293607711792</v>
      </c>
      <c r="CJ9" s="8">
        <v>6.9805070757865906E-2</v>
      </c>
      <c r="CK9" s="8">
        <v>0.1053377240896225</v>
      </c>
      <c r="CL9" s="8">
        <v>0.60320299863815308</v>
      </c>
      <c r="CM9" s="9">
        <v>0.20411393046379089</v>
      </c>
      <c r="CN9" s="9">
        <v>-2.6194144040346146E-2</v>
      </c>
      <c r="CO9" s="9">
        <v>7.8073091804981232E-2</v>
      </c>
      <c r="CP9" s="9">
        <v>0.12523365020751953</v>
      </c>
      <c r="CQ9" s="9">
        <v>0.24129930138587952</v>
      </c>
      <c r="CR9">
        <v>13.019101828254849</v>
      </c>
      <c r="CS9">
        <v>0.47599148910833217</v>
      </c>
      <c r="CT9">
        <v>4.8717948717948723</v>
      </c>
      <c r="CU9" s="8">
        <v>0.27351543307304382</v>
      </c>
      <c r="CV9" s="9">
        <v>0.12450516596436501</v>
      </c>
      <c r="CW9">
        <v>0.06</v>
      </c>
      <c r="CX9">
        <v>23.226992344187217</v>
      </c>
      <c r="CY9">
        <v>914287966.57413793</v>
      </c>
      <c r="CZ9">
        <v>0.27351543307304382</v>
      </c>
      <c r="DA9">
        <v>6.5199385921969331</v>
      </c>
      <c r="DB9">
        <v>3257110369.9374485</v>
      </c>
      <c r="DC9">
        <v>0.25983966141939163</v>
      </c>
      <c r="DD9">
        <v>2.5864947220051038</v>
      </c>
      <c r="DE9">
        <v>8210401289.176918</v>
      </c>
      <c r="DF9">
        <v>0.24069358110427858</v>
      </c>
      <c r="DG9">
        <v>1.196355556487416</v>
      </c>
      <c r="DH9">
        <v>17750709214.199547</v>
      </c>
      <c r="DI9">
        <v>0.21881234645843506</v>
      </c>
      <c r="DJ9">
        <v>0.32885257761925929</v>
      </c>
      <c r="DK9">
        <v>64576533818.709839</v>
      </c>
      <c r="DL9">
        <v>0.19146080315113068</v>
      </c>
      <c r="DM9">
        <v>761000000</v>
      </c>
      <c r="DN9">
        <v>0.27351543307304382</v>
      </c>
      <c r="DO9">
        <v>21236159600</v>
      </c>
      <c r="DP9">
        <v>330952000</v>
      </c>
      <c r="DQ9">
        <v>377</v>
      </c>
      <c r="DR9">
        <v>-0.31422790126642808</v>
      </c>
      <c r="DS9">
        <v>-9.1481367887441933E-2</v>
      </c>
      <c r="DT9" s="10">
        <v>7.6666666666666661E-2</v>
      </c>
      <c r="DU9">
        <v>0.26666666666666666</v>
      </c>
      <c r="DV9">
        <v>0.34333333333333332</v>
      </c>
      <c r="DW9">
        <v>-2.1156000000000001</v>
      </c>
      <c r="DX9">
        <v>0.29399351145038338</v>
      </c>
      <c r="DY9">
        <v>-2.0120216499236641</v>
      </c>
      <c r="DZ9">
        <v>966</v>
      </c>
      <c r="EA9">
        <v>-2.0097490640476838</v>
      </c>
      <c r="EB9">
        <v>2</v>
      </c>
      <c r="EC9">
        <v>3.7983344446422478E-2</v>
      </c>
      <c r="ED9">
        <v>0.36524725357067528</v>
      </c>
      <c r="EE9" s="11">
        <v>3.0015100000000001</v>
      </c>
      <c r="EF9">
        <v>3.0194100000000001</v>
      </c>
      <c r="EG9">
        <v>19.103993511450383</v>
      </c>
      <c r="EH9" t="s">
        <v>1303</v>
      </c>
      <c r="EI9">
        <v>0</v>
      </c>
      <c r="EJ9">
        <v>1</v>
      </c>
      <c r="EK9" s="13">
        <v>45470</v>
      </c>
      <c r="EL9" s="14">
        <v>1.08</v>
      </c>
      <c r="EM9" s="14">
        <v>-3.2</v>
      </c>
      <c r="EN9" s="14">
        <v>0.37</v>
      </c>
      <c r="EO9" s="14">
        <v>2.0099999999999998</v>
      </c>
      <c r="EP9" s="14">
        <v>-1.79</v>
      </c>
    </row>
    <row r="10" spans="1:146" ht="108">
      <c r="A10" s="6"/>
      <c r="B10" s="6"/>
      <c r="C10" s="6" t="str">
        <f>""&amp;CHAR(10)&amp;Basic_Fundamental_Information_Constructure(F10)&amp;CHAR(10)&amp;Basic_Fundamental_Information_Concatenate("")</f>
        <v xml:space="preserve">
市值39.524271亿, 利润5735.89万; PE71.59; 平均PE51.08; 平均PEG60.66, PB2.6; ROIC3.7333%; ROE4.4933%; 股利率.789%; 毛利27.0533%; 净利9.4233%; 上一年度营收增12.11%, 利润增-1.88%; 当季营收增-2.46%, 利润增-41.3%; 过往5年营收增-.84%, 利润增-7.96%
Income profile:
</v>
      </c>
      <c r="D10" t="s">
        <v>1115</v>
      </c>
      <c r="E10" t="s">
        <v>1116</v>
      </c>
      <c r="F10">
        <v>5.07</v>
      </c>
      <c r="G10">
        <v>3.26</v>
      </c>
      <c r="H10" t="s">
        <v>2256</v>
      </c>
      <c r="I10">
        <v>3952427100</v>
      </c>
      <c r="J10">
        <v>71.59</v>
      </c>
      <c r="K10">
        <v>2.6</v>
      </c>
      <c r="L10" t="s">
        <v>361</v>
      </c>
      <c r="M10" t="s">
        <v>1851</v>
      </c>
      <c r="N10" t="s">
        <v>1930</v>
      </c>
      <c r="O10" t="s">
        <v>2257</v>
      </c>
      <c r="P10">
        <v>-2.85</v>
      </c>
      <c r="Q10" t="s">
        <v>96</v>
      </c>
      <c r="R10">
        <v>3052617</v>
      </c>
      <c r="S10" s="5">
        <v>-0.41299999999999998</v>
      </c>
      <c r="T10" t="s">
        <v>2258</v>
      </c>
      <c r="U10">
        <v>363290280</v>
      </c>
      <c r="V10">
        <v>779571430</v>
      </c>
      <c r="W10">
        <v>1.57</v>
      </c>
      <c r="X10">
        <v>0.04</v>
      </c>
      <c r="Y10">
        <v>3.11</v>
      </c>
      <c r="Z10" t="s">
        <v>2259</v>
      </c>
      <c r="AA10" t="s">
        <v>2260</v>
      </c>
      <c r="AB10" t="s">
        <v>2261</v>
      </c>
      <c r="AC10" t="s">
        <v>2262</v>
      </c>
      <c r="AD10" t="s">
        <v>19</v>
      </c>
      <c r="AE10">
        <v>1261430</v>
      </c>
      <c r="AF10" t="s">
        <v>2263</v>
      </c>
      <c r="AG10" t="s">
        <v>2264</v>
      </c>
      <c r="AH10" t="s">
        <v>2265</v>
      </c>
      <c r="AI10" t="s">
        <v>309</v>
      </c>
      <c r="AJ10" t="s">
        <v>2266</v>
      </c>
      <c r="AK10" t="s">
        <v>19</v>
      </c>
      <c r="AL10" t="s">
        <v>2267</v>
      </c>
      <c r="AM10" t="s">
        <v>19</v>
      </c>
      <c r="AN10">
        <v>0</v>
      </c>
      <c r="AO10" t="s">
        <v>1902</v>
      </c>
      <c r="AP10" t="s">
        <v>2268</v>
      </c>
      <c r="AQ10" t="s">
        <v>1973</v>
      </c>
      <c r="AR10" t="s">
        <v>2269</v>
      </c>
      <c r="AS10" t="s">
        <v>274</v>
      </c>
      <c r="AT10" t="s">
        <v>69</v>
      </c>
      <c r="AU10" t="s">
        <v>2270</v>
      </c>
      <c r="AV10" t="s">
        <v>2271</v>
      </c>
      <c r="AW10" t="s">
        <v>2272</v>
      </c>
      <c r="AX10" t="s">
        <v>1470</v>
      </c>
      <c r="AY10" t="s">
        <v>1117</v>
      </c>
      <c r="AZ10" t="s">
        <v>417</v>
      </c>
      <c r="BA10" t="s">
        <v>54</v>
      </c>
      <c r="BB10" t="s">
        <v>505</v>
      </c>
      <c r="BC10" t="s">
        <v>2273</v>
      </c>
      <c r="BD10" t="s">
        <v>1118</v>
      </c>
      <c r="BE10" t="s">
        <v>1119</v>
      </c>
      <c r="BF10" t="s">
        <v>1120</v>
      </c>
      <c r="BG10" t="s">
        <v>1121</v>
      </c>
      <c r="BH10" t="s">
        <v>96</v>
      </c>
      <c r="BI10" t="s">
        <v>171</v>
      </c>
      <c r="BJ10" t="s">
        <v>1470</v>
      </c>
      <c r="BK10" t="s">
        <v>2258</v>
      </c>
      <c r="BL10" t="s">
        <v>2274</v>
      </c>
      <c r="BM10" t="s">
        <v>2273</v>
      </c>
      <c r="BN10">
        <v>1.67</v>
      </c>
      <c r="BO10">
        <v>3.98</v>
      </c>
      <c r="BP10">
        <v>5.55</v>
      </c>
      <c r="BQ10">
        <v>1.66</v>
      </c>
      <c r="BR10">
        <v>4.71</v>
      </c>
      <c r="BS10">
        <v>7.11</v>
      </c>
      <c r="BT10" t="s">
        <v>2275</v>
      </c>
      <c r="BU10" t="s">
        <v>1334</v>
      </c>
      <c r="BV10">
        <v>25.2</v>
      </c>
      <c r="BW10">
        <v>29.12</v>
      </c>
      <c r="BX10">
        <v>26.84</v>
      </c>
      <c r="BY10">
        <v>8.41</v>
      </c>
      <c r="BZ10">
        <v>9.5299999999999994</v>
      </c>
      <c r="CA10">
        <v>10.33</v>
      </c>
      <c r="CB10">
        <v>-3.8</v>
      </c>
      <c r="CC10">
        <v>-19.010000000000002</v>
      </c>
      <c r="CD10" t="s">
        <v>2276</v>
      </c>
      <c r="CE10" t="s">
        <v>2056</v>
      </c>
      <c r="CF10" s="8">
        <v>-2.4631372549019606E-2</v>
      </c>
      <c r="CG10" s="9">
        <v>-0.41300342281362973</v>
      </c>
      <c r="CH10" s="8">
        <v>0.12111292779445648</v>
      </c>
      <c r="CI10" s="8">
        <v>-0.21161291003227234</v>
      </c>
      <c r="CJ10" s="8">
        <v>-4.7911547124385834E-2</v>
      </c>
      <c r="CK10" s="8">
        <v>5.8517556637525558E-2</v>
      </c>
      <c r="CL10" s="8">
        <v>3.7786774337291718E-2</v>
      </c>
      <c r="CM10" s="9">
        <v>-1.8759569153189659E-2</v>
      </c>
      <c r="CN10" s="9">
        <v>-0.27017021179199219</v>
      </c>
      <c r="CO10" s="9">
        <v>-0.10909175127744675</v>
      </c>
      <c r="CP10" s="9">
        <v>1.5876282006502151E-2</v>
      </c>
      <c r="CQ10" s="9">
        <v>-1.5769347548484802E-2</v>
      </c>
      <c r="CR10">
        <v>51.084320734025113</v>
      </c>
      <c r="CS10">
        <v>60.659842842133024</v>
      </c>
      <c r="CT10">
        <v>0.78895463510848129</v>
      </c>
      <c r="CU10" s="8">
        <v>-8.4214396774768829E-3</v>
      </c>
      <c r="CV10" s="9">
        <v>-7.9582919552922252E-2</v>
      </c>
      <c r="CW10">
        <v>0.06</v>
      </c>
      <c r="CX10">
        <v>59.265904680877775</v>
      </c>
      <c r="CY10" t="s">
        <v>2277</v>
      </c>
      <c r="CZ10">
        <v>-8.4214396774768829E-3</v>
      </c>
      <c r="DA10">
        <v>19.75530156029259</v>
      </c>
      <c r="DB10" t="s">
        <v>2278</v>
      </c>
      <c r="DC10">
        <v>-8.0003676936030391E-3</v>
      </c>
      <c r="DD10">
        <v>9.8776507801462952</v>
      </c>
      <c r="DE10" t="s">
        <v>2279</v>
      </c>
      <c r="DF10">
        <v>-7.4108669161796568E-3</v>
      </c>
      <c r="DG10">
        <v>5.9265904680877775</v>
      </c>
      <c r="DH10" t="s">
        <v>2280</v>
      </c>
      <c r="DI10">
        <v>-6.7371517419815069E-3</v>
      </c>
      <c r="DJ10">
        <v>2.9632952340438887</v>
      </c>
      <c r="DK10" t="s">
        <v>2281</v>
      </c>
      <c r="DL10">
        <v>-5.8950077742338175E-3</v>
      </c>
      <c r="DM10">
        <v>57358900</v>
      </c>
      <c r="DN10">
        <v>-8.4214396774768829E-3</v>
      </c>
      <c r="DO10">
        <v>3399427100</v>
      </c>
      <c r="DP10">
        <v>1409183700</v>
      </c>
      <c r="DQ10">
        <v>464</v>
      </c>
      <c r="DR10">
        <v>-1.6209932871542723E-2</v>
      </c>
      <c r="DS10">
        <v>-0.33342050326070749</v>
      </c>
      <c r="DT10" s="10">
        <v>-0.59</v>
      </c>
      <c r="DU10">
        <v>-0.37000000000000005</v>
      </c>
      <c r="DV10">
        <v>-0.96</v>
      </c>
      <c r="DW10">
        <v>-8.1998947922146233</v>
      </c>
      <c r="DX10">
        <v>0.27192330892989475</v>
      </c>
      <c r="DY10">
        <v>-8.0163760428160753</v>
      </c>
      <c r="DZ10">
        <v>3521</v>
      </c>
      <c r="EA10">
        <v>-8.0050922763277388</v>
      </c>
      <c r="EB10">
        <v>8</v>
      </c>
      <c r="EC10">
        <v>0.1230576138481627</v>
      </c>
      <c r="ED10">
        <v>1.502107382257454</v>
      </c>
      <c r="EE10" s="11">
        <v>2.13951</v>
      </c>
      <c r="EF10">
        <v>1.0060100000000001</v>
      </c>
      <c r="EG10">
        <v>19.081923308929895</v>
      </c>
      <c r="EH10" t="s">
        <v>1242</v>
      </c>
      <c r="EI10">
        <v>0</v>
      </c>
      <c r="EJ10">
        <v>0</v>
      </c>
      <c r="EK10" s="13">
        <v>45470</v>
      </c>
      <c r="EL10" s="14">
        <v>2.61</v>
      </c>
      <c r="EM10" s="14">
        <v>-4.07</v>
      </c>
      <c r="EN10" s="14">
        <v>-2.83</v>
      </c>
      <c r="EO10" s="14">
        <v>-0.91</v>
      </c>
      <c r="EP10" s="14">
        <v>-1.65</v>
      </c>
    </row>
    <row r="11" spans="1:146" ht="108">
      <c r="A11" s="6"/>
      <c r="B11" s="6"/>
      <c r="C11" s="6" t="str">
        <f>""&amp;CHAR(10)&amp;Basic_Fundamental_Information_Constructure(F11)&amp;CHAR(10)&amp;Basic_Fundamental_Information_Concatenate("")</f>
        <v xml:space="preserve">
市值22.895355亿, 利润-9.71亿; PE; 平均PE-3.27; 平均PEG-.36, PB104.9; ROIC0%; ROE-61.7233%; 股利率0%; 毛利9.1433%; 净利-39.3867%; 上一年度营收增10.3%, 利润增55.62%; 当季营收增15.82%, 利润增16.02%; 过往5年营收增-8.98%, 利润增-327.73%
Income profile:
</v>
      </c>
      <c r="D11" t="s">
        <v>404</v>
      </c>
      <c r="E11" t="s">
        <v>405</v>
      </c>
      <c r="F11">
        <v>1.51</v>
      </c>
      <c r="G11">
        <v>0</v>
      </c>
      <c r="H11" t="s">
        <v>2282</v>
      </c>
      <c r="I11">
        <v>2289535500</v>
      </c>
      <c r="K11">
        <v>104.9</v>
      </c>
      <c r="L11" t="s">
        <v>361</v>
      </c>
      <c r="M11" t="s">
        <v>2283</v>
      </c>
      <c r="N11" t="s">
        <v>2284</v>
      </c>
      <c r="O11" t="s">
        <v>2285</v>
      </c>
      <c r="P11">
        <v>15.7</v>
      </c>
      <c r="Q11" t="s">
        <v>2286</v>
      </c>
      <c r="R11">
        <v>-72552562</v>
      </c>
      <c r="S11" s="5">
        <v>0.16020000000000001</v>
      </c>
      <c r="T11" t="s">
        <v>2016</v>
      </c>
      <c r="U11">
        <v>1341216860</v>
      </c>
      <c r="V11">
        <v>1516248700</v>
      </c>
      <c r="W11">
        <v>224.5</v>
      </c>
      <c r="X11">
        <v>0.08</v>
      </c>
      <c r="Y11">
        <v>-9.35</v>
      </c>
      <c r="Z11" t="s">
        <v>784</v>
      </c>
      <c r="AA11" t="s">
        <v>2287</v>
      </c>
      <c r="AB11" t="s">
        <v>2288</v>
      </c>
      <c r="AC11" t="s">
        <v>2289</v>
      </c>
      <c r="AD11" t="s">
        <v>19</v>
      </c>
      <c r="AE11">
        <v>52840480</v>
      </c>
      <c r="AF11" t="s">
        <v>2290</v>
      </c>
      <c r="AG11" t="s">
        <v>2291</v>
      </c>
      <c r="AH11" t="s">
        <v>2292</v>
      </c>
      <c r="AI11" t="s">
        <v>2293</v>
      </c>
      <c r="AJ11" t="s">
        <v>2294</v>
      </c>
      <c r="AK11" t="s">
        <v>2295</v>
      </c>
      <c r="AL11" t="s">
        <v>2296</v>
      </c>
      <c r="AM11" t="s">
        <v>19</v>
      </c>
      <c r="AN11" t="s">
        <v>250</v>
      </c>
      <c r="AO11" t="s">
        <v>2297</v>
      </c>
      <c r="AP11" t="s">
        <v>2298</v>
      </c>
      <c r="AQ11" t="s">
        <v>2299</v>
      </c>
      <c r="AR11" t="s">
        <v>19</v>
      </c>
      <c r="AS11" t="s">
        <v>2300</v>
      </c>
      <c r="AT11" t="s">
        <v>113</v>
      </c>
      <c r="AU11" t="s">
        <v>2301</v>
      </c>
      <c r="AV11" t="s">
        <v>2302</v>
      </c>
      <c r="AW11" t="s">
        <v>75</v>
      </c>
      <c r="AX11" t="s">
        <v>1605</v>
      </c>
      <c r="AY11" t="s">
        <v>1349</v>
      </c>
      <c r="AZ11" t="s">
        <v>406</v>
      </c>
      <c r="BA11" t="s">
        <v>407</v>
      </c>
      <c r="BB11" t="s">
        <v>408</v>
      </c>
      <c r="BC11" t="s">
        <v>1606</v>
      </c>
      <c r="BD11" t="s">
        <v>1122</v>
      </c>
      <c r="BE11" t="s">
        <v>91</v>
      </c>
      <c r="BF11" t="s">
        <v>111</v>
      </c>
      <c r="BG11" t="s">
        <v>239</v>
      </c>
      <c r="BH11" t="s">
        <v>2286</v>
      </c>
      <c r="BI11" t="s">
        <v>2303</v>
      </c>
      <c r="BJ11" t="s">
        <v>1605</v>
      </c>
      <c r="BK11" t="s">
        <v>2016</v>
      </c>
      <c r="BL11" t="s">
        <v>2304</v>
      </c>
      <c r="BM11" t="s">
        <v>1606</v>
      </c>
      <c r="BN11" t="s">
        <v>19</v>
      </c>
      <c r="BO11" t="s">
        <v>19</v>
      </c>
      <c r="BP11" t="s">
        <v>19</v>
      </c>
      <c r="BQ11">
        <v>-30.65</v>
      </c>
      <c r="BR11">
        <v>-105.19</v>
      </c>
      <c r="BS11">
        <v>-49.33</v>
      </c>
      <c r="BT11" t="s">
        <v>1571</v>
      </c>
      <c r="BU11" t="s">
        <v>1334</v>
      </c>
      <c r="BV11">
        <v>7.06</v>
      </c>
      <c r="BW11">
        <v>7.57</v>
      </c>
      <c r="BX11">
        <v>12.8</v>
      </c>
      <c r="BY11">
        <v>-23.79</v>
      </c>
      <c r="BZ11">
        <v>-58.89</v>
      </c>
      <c r="CA11">
        <v>-35.479999999999997</v>
      </c>
      <c r="CB11">
        <v>4.8600000000000003</v>
      </c>
      <c r="CC11">
        <v>-20.53</v>
      </c>
      <c r="CD11" t="s">
        <v>2305</v>
      </c>
      <c r="CE11" t="s">
        <v>559</v>
      </c>
      <c r="CF11" s="8">
        <v>0.15820895522388059</v>
      </c>
      <c r="CG11" s="9">
        <v>0.1601575444822968</v>
      </c>
      <c r="CH11" s="8">
        <v>0.10303192585706711</v>
      </c>
      <c r="CI11" s="8">
        <v>-0.20175628364086151</v>
      </c>
      <c r="CJ11" s="8">
        <v>-0.21595291793346405</v>
      </c>
      <c r="CK11" s="8">
        <v>-0.10813245177268982</v>
      </c>
      <c r="CL11" s="8">
        <v>-2.610849030315876E-2</v>
      </c>
      <c r="CM11" s="9">
        <v>0.55621570348739624</v>
      </c>
      <c r="CN11" s="9">
        <v>-0.32445520162582397</v>
      </c>
      <c r="CO11" s="9">
        <v>-15.882883071899414</v>
      </c>
      <c r="CP11" s="9">
        <v>-0.46889951825141907</v>
      </c>
      <c r="CQ11" s="9">
        <v>-0.26666668057441711</v>
      </c>
      <c r="CR11">
        <v>-3.2660991440798859</v>
      </c>
      <c r="CS11">
        <v>-0.36377440418169144</v>
      </c>
      <c r="CT11">
        <v>0</v>
      </c>
      <c r="CU11" s="8">
        <v>-8.9783643558621409E-2</v>
      </c>
      <c r="CV11" s="9">
        <v>-3.2773377537727355</v>
      </c>
      <c r="CW11">
        <v>0.06</v>
      </c>
      <c r="CX11" t="e">
        <v>#VALUE!</v>
      </c>
      <c r="CY11" t="s">
        <v>1248</v>
      </c>
      <c r="CZ11">
        <v>-8.9783643558621409E-2</v>
      </c>
      <c r="DA11" t="e">
        <v>#VALUE!</v>
      </c>
      <c r="DB11" t="s">
        <v>1249</v>
      </c>
      <c r="DC11">
        <v>-8.5294461380690328E-2</v>
      </c>
      <c r="DD11" t="e">
        <v>#VALUE!</v>
      </c>
      <c r="DE11" t="s">
        <v>1249</v>
      </c>
      <c r="DF11">
        <v>-7.9009606331586837E-2</v>
      </c>
      <c r="DG11" t="e">
        <v>#VALUE!</v>
      </c>
      <c r="DH11" t="s">
        <v>1249</v>
      </c>
      <c r="DI11">
        <v>-7.1826914846897127E-2</v>
      </c>
      <c r="DJ11" t="e">
        <v>#VALUE!</v>
      </c>
      <c r="DK11" t="s">
        <v>1249</v>
      </c>
      <c r="DL11">
        <v>-6.284855049103498E-2</v>
      </c>
      <c r="DM11">
        <v>-971000000.00000012</v>
      </c>
      <c r="DN11">
        <v>-8.9783643558621409E-2</v>
      </c>
      <c r="DO11">
        <v>11592899800</v>
      </c>
      <c r="DP11">
        <v>-2031824100</v>
      </c>
      <c r="DQ11">
        <v>565</v>
      </c>
      <c r="DR11">
        <v>0.24799259878250202</v>
      </c>
      <c r="DS11">
        <v>3.4374952982550324</v>
      </c>
      <c r="DT11" s="10">
        <v>-0.72333333333333327</v>
      </c>
      <c r="DU11">
        <v>-1.7350000000000001</v>
      </c>
      <c r="DV11">
        <v>-2.4583333333333335</v>
      </c>
      <c r="DW11">
        <v>6.1914139424970465</v>
      </c>
      <c r="DX11">
        <v>0.32980367567567398</v>
      </c>
      <c r="DY11">
        <v>6.0286745121616301</v>
      </c>
      <c r="DZ11">
        <v>4657</v>
      </c>
      <c r="EA11">
        <v>6.0025419870859524</v>
      </c>
      <c r="EB11">
        <v>6</v>
      </c>
      <c r="EC11">
        <v>5.1177817992523258E-2</v>
      </c>
      <c r="ED11">
        <v>0.34163260947890672</v>
      </c>
      <c r="EE11" s="11">
        <v>-3.0876000000000001</v>
      </c>
      <c r="EF11">
        <v>-3.0876000000000001</v>
      </c>
      <c r="EG11">
        <v>18.149803675675674</v>
      </c>
      <c r="EH11" t="s">
        <v>1282</v>
      </c>
      <c r="EI11">
        <v>0</v>
      </c>
      <c r="EJ11">
        <v>0</v>
      </c>
      <c r="EK11" s="13">
        <v>45470</v>
      </c>
      <c r="EL11" s="14">
        <v>-0.72</v>
      </c>
      <c r="EM11" s="14">
        <v>1.45</v>
      </c>
      <c r="EN11" s="14">
        <v>1.43</v>
      </c>
      <c r="EO11" s="14">
        <v>1.41</v>
      </c>
      <c r="EP11" s="14">
        <v>0</v>
      </c>
    </row>
    <row r="12" spans="1:146" ht="108">
      <c r="A12" s="6"/>
      <c r="B12" s="6"/>
      <c r="C12" s="6" t="str">
        <f>""&amp;CHAR(10)&amp;Basic_Fundamental_Information_Constructure(F12)&amp;CHAR(10)&amp;Basic_Fundamental_Information_Concatenate("")</f>
        <v xml:space="preserve">
市值84.39129亿, 利润3.61亿; PE23.36; 平均PE15.35; 平均PEG43.12, PB.746; ROIC2.0667%; ROE2.9567%; 股利率1.8328%; 毛利15.1233%; 净利3.03%; 上一年度营收增27.25%, 利润增7.76%; 当季营收增-15.27%, 利润增.82%; 过往5年营收增.36%, 利润增66.61%
Income profile:
</v>
      </c>
      <c r="D12" t="s">
        <v>410</v>
      </c>
      <c r="E12" t="s">
        <v>411</v>
      </c>
      <c r="F12">
        <v>6.82</v>
      </c>
      <c r="G12">
        <v>0.15</v>
      </c>
      <c r="H12" t="s">
        <v>2306</v>
      </c>
      <c r="I12">
        <v>8439129000</v>
      </c>
      <c r="J12">
        <v>23.36</v>
      </c>
      <c r="K12">
        <v>0.746</v>
      </c>
      <c r="L12" t="s">
        <v>361</v>
      </c>
      <c r="M12" t="s">
        <v>2307</v>
      </c>
      <c r="N12" t="s">
        <v>2308</v>
      </c>
      <c r="O12" t="s">
        <v>2309</v>
      </c>
      <c r="P12">
        <v>-15.27</v>
      </c>
      <c r="Q12" t="s">
        <v>2310</v>
      </c>
      <c r="R12">
        <v>116946704</v>
      </c>
      <c r="S12" s="5">
        <v>6.7499999999999999E-3</v>
      </c>
      <c r="T12" t="s">
        <v>1903</v>
      </c>
      <c r="U12">
        <v>1237090420</v>
      </c>
      <c r="V12">
        <v>1237408940</v>
      </c>
      <c r="W12">
        <v>1.98</v>
      </c>
      <c r="X12">
        <v>0.1</v>
      </c>
      <c r="Y12">
        <v>4.9800000000000004</v>
      </c>
      <c r="Z12" t="s">
        <v>2311</v>
      </c>
      <c r="AA12" t="s">
        <v>2312</v>
      </c>
      <c r="AB12" t="s">
        <v>2313</v>
      </c>
      <c r="AC12" t="s">
        <v>91</v>
      </c>
      <c r="AD12" t="s">
        <v>19</v>
      </c>
      <c r="AE12">
        <v>17532786</v>
      </c>
      <c r="AF12" t="s">
        <v>2314</v>
      </c>
      <c r="AG12" t="s">
        <v>2315</v>
      </c>
      <c r="AH12" t="s">
        <v>2316</v>
      </c>
      <c r="AI12" t="s">
        <v>2317</v>
      </c>
      <c r="AJ12" t="s">
        <v>2318</v>
      </c>
      <c r="AK12" t="s">
        <v>2319</v>
      </c>
      <c r="AL12" t="s">
        <v>2320</v>
      </c>
      <c r="AM12" t="s">
        <v>19</v>
      </c>
      <c r="AN12" t="s">
        <v>2321</v>
      </c>
      <c r="AO12" t="s">
        <v>2322</v>
      </c>
      <c r="AP12" t="s">
        <v>2323</v>
      </c>
      <c r="AQ12" t="s">
        <v>2324</v>
      </c>
      <c r="AR12" t="s">
        <v>19</v>
      </c>
      <c r="AS12" t="s">
        <v>2325</v>
      </c>
      <c r="AT12" t="s">
        <v>1645</v>
      </c>
      <c r="AU12" t="s">
        <v>2326</v>
      </c>
      <c r="AV12" t="s">
        <v>2327</v>
      </c>
      <c r="AW12" t="s">
        <v>2328</v>
      </c>
      <c r="AX12" t="s">
        <v>1607</v>
      </c>
      <c r="AY12" t="s">
        <v>1350</v>
      </c>
      <c r="AZ12" t="s">
        <v>412</v>
      </c>
      <c r="BA12" t="s">
        <v>414</v>
      </c>
      <c r="BB12" t="s">
        <v>415</v>
      </c>
      <c r="BC12" t="s">
        <v>1828</v>
      </c>
      <c r="BD12" t="s">
        <v>177</v>
      </c>
      <c r="BE12" t="s">
        <v>413</v>
      </c>
      <c r="BF12" t="s">
        <v>295</v>
      </c>
      <c r="BG12" t="s">
        <v>416</v>
      </c>
      <c r="BH12" t="s">
        <v>2310</v>
      </c>
      <c r="BI12" t="s">
        <v>2329</v>
      </c>
      <c r="BJ12" t="s">
        <v>1607</v>
      </c>
      <c r="BK12" t="s">
        <v>1903</v>
      </c>
      <c r="BL12" t="s">
        <v>105</v>
      </c>
      <c r="BM12" t="s">
        <v>1828</v>
      </c>
      <c r="BN12">
        <v>1.87</v>
      </c>
      <c r="BO12">
        <v>2.4900000000000002</v>
      </c>
      <c r="BP12">
        <v>1.84</v>
      </c>
      <c r="BQ12">
        <v>3.12</v>
      </c>
      <c r="BR12">
        <v>3.08</v>
      </c>
      <c r="BS12">
        <v>2.67</v>
      </c>
      <c r="BT12" t="s">
        <v>2330</v>
      </c>
      <c r="BU12" t="s">
        <v>1336</v>
      </c>
      <c r="BV12">
        <v>15.9</v>
      </c>
      <c r="BW12">
        <v>13.89</v>
      </c>
      <c r="BX12">
        <v>15.58</v>
      </c>
      <c r="BY12">
        <v>2.78</v>
      </c>
      <c r="BZ12">
        <v>3.29</v>
      </c>
      <c r="CA12">
        <v>3.02</v>
      </c>
      <c r="CB12">
        <v>-2.0099999999999998</v>
      </c>
      <c r="CC12">
        <v>-9.01</v>
      </c>
      <c r="CD12" t="s">
        <v>2331</v>
      </c>
      <c r="CE12" t="s">
        <v>1961</v>
      </c>
      <c r="CF12" s="8">
        <v>-0.15274291860882036</v>
      </c>
      <c r="CG12" s="9">
        <v>8.161241379310475E-3</v>
      </c>
      <c r="CH12" s="8">
        <v>0.2725120484828949</v>
      </c>
      <c r="CI12" s="8">
        <v>0.12465280294418335</v>
      </c>
      <c r="CJ12" s="8">
        <v>8.4609575569629669E-2</v>
      </c>
      <c r="CK12" s="8">
        <v>-0.25251010060310364</v>
      </c>
      <c r="CL12" s="8">
        <v>-0.21146869659423828</v>
      </c>
      <c r="CM12" s="9">
        <v>7.7611938118934631E-2</v>
      </c>
      <c r="CN12" s="9">
        <v>0.18794326484203339</v>
      </c>
      <c r="CO12" s="9">
        <v>4.3640828132629395</v>
      </c>
      <c r="CP12" s="9">
        <v>-1.0795319080352783</v>
      </c>
      <c r="CQ12" s="9">
        <v>-0.21983718872070313</v>
      </c>
      <c r="CR12">
        <v>15.347715744426036</v>
      </c>
      <c r="CS12">
        <v>43.122148295568692</v>
      </c>
      <c r="CT12">
        <v>1.8328445747800586</v>
      </c>
      <c r="CU12" s="8">
        <v>3.5591259598731994E-3</v>
      </c>
      <c r="CV12" s="9">
        <v>0.66605378389358516</v>
      </c>
      <c r="CW12">
        <v>0.06</v>
      </c>
      <c r="CX12">
        <v>24.261729062450787</v>
      </c>
      <c r="CY12">
        <v>341778155.16180587</v>
      </c>
      <c r="CZ12">
        <v>3.5591259598731994E-3</v>
      </c>
      <c r="DA12">
        <v>8.5365290371526577</v>
      </c>
      <c r="DB12">
        <v>971370092.44752979</v>
      </c>
      <c r="DC12">
        <v>3.3811696618795393E-3</v>
      </c>
      <c r="DD12">
        <v>4.6227544297175323</v>
      </c>
      <c r="DE12">
        <v>1793763680.5221081</v>
      </c>
      <c r="DF12">
        <v>3.1320308446884156E-3</v>
      </c>
      <c r="DG12">
        <v>3.0765248529237019</v>
      </c>
      <c r="DH12">
        <v>2695290757.0760474</v>
      </c>
      <c r="DI12">
        <v>2.8473007678985595E-3</v>
      </c>
      <c r="DJ12">
        <v>1.9600058191381853</v>
      </c>
      <c r="DK12">
        <v>4230665500.5983858</v>
      </c>
      <c r="DL12">
        <v>2.4913881719112393E-3</v>
      </c>
      <c r="DM12">
        <v>361000000</v>
      </c>
      <c r="DN12">
        <v>3.5591259598731994E-3</v>
      </c>
      <c r="DO12">
        <v>8292129000</v>
      </c>
      <c r="DP12">
        <v>7931076000</v>
      </c>
      <c r="DQ12">
        <v>569</v>
      </c>
      <c r="DR12">
        <v>-0.15630204456869357</v>
      </c>
      <c r="DS12">
        <v>-0.65789254251427465</v>
      </c>
      <c r="DT12" s="10">
        <v>-0.49</v>
      </c>
      <c r="DU12">
        <v>-0.18499999999999991</v>
      </c>
      <c r="DV12">
        <v>-0.67499999999999993</v>
      </c>
      <c r="DW12">
        <v>-2.0901000000000001</v>
      </c>
      <c r="DX12">
        <v>0.33658984771573658</v>
      </c>
      <c r="DY12">
        <v>-2.0123067452791878</v>
      </c>
      <c r="DZ12">
        <v>3161</v>
      </c>
      <c r="EA12">
        <v>-2.0046939034342732</v>
      </c>
      <c r="EB12">
        <v>2</v>
      </c>
      <c r="EC12">
        <v>2.1745600124725137E-2</v>
      </c>
      <c r="ED12">
        <v>0.15920363400639403</v>
      </c>
      <c r="EE12" s="11">
        <v>4.0050100000000004</v>
      </c>
      <c r="EF12">
        <v>4.0236099999999997</v>
      </c>
      <c r="EG12">
        <v>20.136589847715737</v>
      </c>
      <c r="EH12" t="s">
        <v>1260</v>
      </c>
      <c r="EI12">
        <v>0</v>
      </c>
      <c r="EJ12">
        <v>0</v>
      </c>
      <c r="EK12" s="13">
        <v>45470</v>
      </c>
      <c r="EL12" s="14">
        <v>1.28</v>
      </c>
      <c r="EM12" s="14">
        <v>-3.23</v>
      </c>
      <c r="EN12" s="14">
        <v>0.15</v>
      </c>
      <c r="EO12" s="14">
        <v>1.1599999999999999</v>
      </c>
      <c r="EP12" s="14">
        <v>-1.86</v>
      </c>
    </row>
    <row r="13" spans="1:146" ht="108">
      <c r="C13" s="6" t="str">
        <f>""&amp;CHAR(10)&amp;Basic_Fundamental_Information_Constructure(F13)&amp;CHAR(10)&amp;Basic_Fundamental_Information_Concatenate("")</f>
        <v xml:space="preserve">
市值128.775688亿, 利润15.34亿; PE8.6; 平均PE18.09; 平均PEG.17, PB.98; ROIC3.6333%; ROE8.8%; 股利率4.519%; 毛利10.3033%; 净利2.3267%; 上一年度营收增-2.07%, 利润增-10.24%; 当季营收增-14.36%, 利润增-17.62%; 过往5年营收增106.82%, 利润增92.86%
Income profile:
</v>
      </c>
      <c r="D13" t="s">
        <v>1869</v>
      </c>
      <c r="E13" t="s">
        <v>1870</v>
      </c>
      <c r="F13">
        <v>3.43</v>
      </c>
      <c r="G13">
        <v>-0.57999999999999996</v>
      </c>
      <c r="H13" t="s">
        <v>2332</v>
      </c>
      <c r="I13">
        <v>12877568800</v>
      </c>
      <c r="J13">
        <v>8.6</v>
      </c>
      <c r="K13">
        <v>0.98</v>
      </c>
      <c r="L13" t="s">
        <v>361</v>
      </c>
      <c r="M13" t="s">
        <v>2333</v>
      </c>
      <c r="N13" t="s">
        <v>2334</v>
      </c>
      <c r="O13" t="s">
        <v>2335</v>
      </c>
      <c r="P13" s="5">
        <v>-14.36</v>
      </c>
      <c r="Q13" t="s">
        <v>2336</v>
      </c>
      <c r="R13">
        <v>168881330</v>
      </c>
      <c r="S13">
        <v>-0.1774</v>
      </c>
      <c r="T13" t="s">
        <v>2337</v>
      </c>
      <c r="U13">
        <v>1562814700</v>
      </c>
      <c r="V13">
        <v>3754393200</v>
      </c>
      <c r="W13">
        <v>9.18</v>
      </c>
      <c r="X13">
        <v>0.1</v>
      </c>
      <c r="Y13">
        <v>1.29</v>
      </c>
      <c r="Z13" t="s">
        <v>2338</v>
      </c>
      <c r="AA13" t="s">
        <v>2339</v>
      </c>
      <c r="AB13" t="s">
        <v>2340</v>
      </c>
      <c r="AC13" t="s">
        <v>2341</v>
      </c>
      <c r="AD13" t="s">
        <v>19</v>
      </c>
      <c r="AE13">
        <v>167926400</v>
      </c>
      <c r="AF13" t="s">
        <v>2342</v>
      </c>
      <c r="AG13" t="s">
        <v>2343</v>
      </c>
      <c r="AH13" t="s">
        <v>2344</v>
      </c>
      <c r="AI13" t="s">
        <v>2345</v>
      </c>
      <c r="AJ13" t="s">
        <v>2346</v>
      </c>
      <c r="AK13" t="s">
        <v>2347</v>
      </c>
      <c r="AL13" t="s">
        <v>2348</v>
      </c>
      <c r="AM13" t="s">
        <v>19</v>
      </c>
      <c r="AN13" t="s">
        <v>1936</v>
      </c>
      <c r="AO13" t="s">
        <v>2349</v>
      </c>
      <c r="AP13" t="s">
        <v>2350</v>
      </c>
      <c r="AQ13" t="s">
        <v>2351</v>
      </c>
      <c r="AR13" t="s">
        <v>2352</v>
      </c>
      <c r="AS13" t="s">
        <v>2353</v>
      </c>
      <c r="AT13" t="s">
        <v>2354</v>
      </c>
      <c r="AU13" t="s">
        <v>2355</v>
      </c>
      <c r="AV13" t="s">
        <v>2356</v>
      </c>
      <c r="AW13" t="s">
        <v>1318</v>
      </c>
      <c r="AX13" t="s">
        <v>2357</v>
      </c>
      <c r="AY13" t="s">
        <v>1871</v>
      </c>
      <c r="AZ13" t="s">
        <v>1872</v>
      </c>
      <c r="BA13" t="s">
        <v>1873</v>
      </c>
      <c r="BB13" t="s">
        <v>1874</v>
      </c>
      <c r="BC13" t="s">
        <v>2133</v>
      </c>
      <c r="BD13" t="s">
        <v>823</v>
      </c>
      <c r="BE13" t="s">
        <v>120</v>
      </c>
      <c r="BF13" t="s">
        <v>62</v>
      </c>
      <c r="BG13" t="s">
        <v>43</v>
      </c>
      <c r="BH13" t="s">
        <v>2336</v>
      </c>
      <c r="BI13" t="s">
        <v>2358</v>
      </c>
      <c r="BJ13" t="s">
        <v>2357</v>
      </c>
      <c r="BK13" t="s">
        <v>2337</v>
      </c>
      <c r="BL13" t="s">
        <v>457</v>
      </c>
      <c r="BM13" t="s">
        <v>2133</v>
      </c>
      <c r="BN13">
        <v>3.28</v>
      </c>
      <c r="BO13">
        <v>3.19</v>
      </c>
      <c r="BP13">
        <v>4.43</v>
      </c>
      <c r="BQ13">
        <v>8.66</v>
      </c>
      <c r="BR13">
        <v>9.49</v>
      </c>
      <c r="BS13">
        <v>8.25</v>
      </c>
      <c r="BT13" t="s">
        <v>2359</v>
      </c>
      <c r="BU13" t="s">
        <v>1342</v>
      </c>
      <c r="BV13">
        <v>9.34</v>
      </c>
      <c r="BW13">
        <v>10.32</v>
      </c>
      <c r="BX13">
        <v>11.25</v>
      </c>
      <c r="BY13">
        <v>1.99</v>
      </c>
      <c r="BZ13">
        <v>2.44</v>
      </c>
      <c r="CA13">
        <v>2.5499999999999998</v>
      </c>
      <c r="CB13">
        <v>0.28999999999999998</v>
      </c>
      <c r="CC13" s="8">
        <v>-17.25</v>
      </c>
      <c r="CD13" s="9" t="s">
        <v>2360</v>
      </c>
      <c r="CE13" s="8" t="s">
        <v>1486</v>
      </c>
      <c r="CF13" s="8">
        <v>-0.14360527478074339</v>
      </c>
      <c r="CG13" s="8">
        <v>-0.17618863414634134</v>
      </c>
      <c r="CH13" s="8">
        <v>-2.0732630044221878E-2</v>
      </c>
      <c r="CI13" s="8">
        <v>4.7499475479125977</v>
      </c>
      <c r="CJ13" s="9">
        <v>0.14130175113677979</v>
      </c>
      <c r="CK13" s="9">
        <v>0.1292291134595871</v>
      </c>
      <c r="CL13" s="9">
        <v>0.3412373960018158</v>
      </c>
      <c r="CM13" s="9">
        <v>-0.10239902883768082</v>
      </c>
      <c r="CN13" s="9">
        <v>4.2103657722473145</v>
      </c>
      <c r="CO13">
        <v>0.24242424964904785</v>
      </c>
      <c r="CP13">
        <v>0.12820513546466827</v>
      </c>
      <c r="CQ13">
        <v>0.16417910158634186</v>
      </c>
      <c r="CR13" s="8">
        <v>18.094944449648715</v>
      </c>
      <c r="CS13" s="9">
        <v>0.1693971301258051</v>
      </c>
      <c r="CT13">
        <v>4.518950437317784</v>
      </c>
      <c r="CU13">
        <v>1.0681966356933117</v>
      </c>
      <c r="CV13">
        <v>0.92855504602193828</v>
      </c>
      <c r="CW13">
        <v>0.06</v>
      </c>
      <c r="CX13">
        <v>39.371974383028501</v>
      </c>
      <c r="CY13">
        <v>2993031735.0505095</v>
      </c>
      <c r="CZ13">
        <v>1.0681966356933117</v>
      </c>
      <c r="DA13">
        <v>6.2048498464672015</v>
      </c>
      <c r="DB13">
        <v>18991848588.74456</v>
      </c>
      <c r="DC13">
        <v>1.0147868039086461</v>
      </c>
      <c r="DD13">
        <v>0.95252636327081064</v>
      </c>
      <c r="DE13">
        <v>123714758293.25339</v>
      </c>
      <c r="DF13">
        <v>0.94001303941011427</v>
      </c>
      <c r="DG13">
        <v>0.12292301542872876</v>
      </c>
      <c r="DH13">
        <v>958661552427.70642</v>
      </c>
      <c r="DI13">
        <v>0.8545573085546494</v>
      </c>
      <c r="DJ13">
        <v>1.370982463384044E-3</v>
      </c>
      <c r="DK13">
        <v>85954103679143.75</v>
      </c>
      <c r="DL13">
        <v>0.74773764498531814</v>
      </c>
      <c r="DM13">
        <v>1534000000</v>
      </c>
      <c r="DN13">
        <v>1.0681966356933117</v>
      </c>
      <c r="DO13">
        <v>117841568800.00002</v>
      </c>
      <c r="DP13">
        <v>338225000</v>
      </c>
      <c r="DQ13" s="10">
        <v>578</v>
      </c>
      <c r="DR13">
        <v>-1.2118019104740552</v>
      </c>
      <c r="DS13">
        <v>-1.1047436801682795</v>
      </c>
      <c r="DT13">
        <v>9.999999999999936E-3</v>
      </c>
      <c r="DU13">
        <v>0.36333333333333334</v>
      </c>
      <c r="DV13">
        <v>0.37333333333333329</v>
      </c>
      <c r="DW13">
        <v>-3.0141369047619047</v>
      </c>
      <c r="DX13">
        <v>0.34755547169811463</v>
      </c>
      <c r="DY13">
        <v>-3.001661870507637</v>
      </c>
      <c r="DZ13">
        <v>918</v>
      </c>
      <c r="EA13">
        <v>-3.0013633192109617</v>
      </c>
      <c r="EB13" s="11">
        <v>3</v>
      </c>
      <c r="EC13" s="11">
        <v>1.6595065215864974E-2</v>
      </c>
      <c r="ED13">
        <v>0.14116795225390882</v>
      </c>
      <c r="EE13">
        <v>1.941E-2</v>
      </c>
      <c r="EF13">
        <v>4.5110000000000004E-2</v>
      </c>
      <c r="EG13">
        <v>23.117555471698115</v>
      </c>
      <c r="EH13" s="13">
        <v>-1</v>
      </c>
      <c r="EI13">
        <v>0</v>
      </c>
      <c r="EJ13">
        <v>1</v>
      </c>
      <c r="EK13">
        <v>45470</v>
      </c>
      <c r="EL13">
        <v>1.4</v>
      </c>
      <c r="EM13">
        <v>-3.32</v>
      </c>
      <c r="EN13" s="14">
        <v>-1.72</v>
      </c>
      <c r="EO13" s="14">
        <v>2.04</v>
      </c>
      <c r="EP13" s="14">
        <v>-2.57</v>
      </c>
    </row>
    <row r="14" spans="1:146" ht="48">
      <c r="A14" s="6"/>
      <c r="B14" s="6"/>
      <c r="C14" s="6" t="s">
        <v>1096</v>
      </c>
      <c r="D14" t="s">
        <v>418</v>
      </c>
      <c r="E14" t="s">
        <v>419</v>
      </c>
      <c r="F14">
        <v>3.65</v>
      </c>
      <c r="G14">
        <v>0.27</v>
      </c>
      <c r="H14" t="s">
        <v>2361</v>
      </c>
      <c r="I14">
        <v>9486853300</v>
      </c>
      <c r="J14">
        <v>6.88</v>
      </c>
      <c r="K14">
        <v>0.66</v>
      </c>
      <c r="L14" t="s">
        <v>361</v>
      </c>
      <c r="M14" t="s">
        <v>2362</v>
      </c>
      <c r="N14" t="s">
        <v>2363</v>
      </c>
      <c r="O14" t="s">
        <v>2364</v>
      </c>
      <c r="P14">
        <v>8.3699999999999992</v>
      </c>
      <c r="Q14" t="s">
        <v>2365</v>
      </c>
      <c r="R14">
        <v>186172870</v>
      </c>
      <c r="S14" s="5">
        <v>0.2077</v>
      </c>
      <c r="T14" t="s">
        <v>2366</v>
      </c>
      <c r="U14">
        <v>2599137900</v>
      </c>
      <c r="V14">
        <v>2599137900</v>
      </c>
      <c r="W14">
        <v>4.26</v>
      </c>
      <c r="X14">
        <v>0.12</v>
      </c>
      <c r="Y14">
        <v>2.13</v>
      </c>
      <c r="Z14" t="s">
        <v>2367</v>
      </c>
      <c r="AA14" t="s">
        <v>2368</v>
      </c>
      <c r="AB14" t="s">
        <v>2369</v>
      </c>
      <c r="AC14" t="s">
        <v>31</v>
      </c>
      <c r="AD14" t="s">
        <v>19</v>
      </c>
      <c r="AE14">
        <v>27331775</v>
      </c>
      <c r="AF14" t="s">
        <v>2370</v>
      </c>
      <c r="AG14" t="s">
        <v>2371</v>
      </c>
      <c r="AH14" t="s">
        <v>2372</v>
      </c>
      <c r="AI14" t="s">
        <v>2373</v>
      </c>
      <c r="AJ14" t="s">
        <v>2374</v>
      </c>
      <c r="AK14" t="s">
        <v>2375</v>
      </c>
      <c r="AL14" t="s">
        <v>2376</v>
      </c>
      <c r="AM14" t="s">
        <v>19</v>
      </c>
      <c r="AN14" t="s">
        <v>47</v>
      </c>
      <c r="AO14" t="s">
        <v>2377</v>
      </c>
      <c r="AP14" t="s">
        <v>396</v>
      </c>
      <c r="AQ14" t="s">
        <v>2378</v>
      </c>
      <c r="AR14" t="s">
        <v>19</v>
      </c>
      <c r="AS14" t="s">
        <v>2379</v>
      </c>
      <c r="AT14" t="s">
        <v>2380</v>
      </c>
      <c r="AU14" t="s">
        <v>2381</v>
      </c>
      <c r="AV14" t="s">
        <v>2382</v>
      </c>
      <c r="AW14" t="s">
        <v>1683</v>
      </c>
      <c r="AX14" t="s">
        <v>1876</v>
      </c>
      <c r="AY14" t="s">
        <v>1879</v>
      </c>
      <c r="AZ14" t="s">
        <v>1880</v>
      </c>
      <c r="BA14" t="s">
        <v>420</v>
      </c>
      <c r="BB14" t="s">
        <v>421</v>
      </c>
      <c r="BC14" t="s">
        <v>1877</v>
      </c>
      <c r="BD14" t="s">
        <v>952</v>
      </c>
      <c r="BE14" t="s">
        <v>1881</v>
      </c>
      <c r="BF14" t="s">
        <v>318</v>
      </c>
      <c r="BG14" t="s">
        <v>422</v>
      </c>
      <c r="BH14" t="s">
        <v>2365</v>
      </c>
      <c r="BI14" t="s">
        <v>2383</v>
      </c>
      <c r="BJ14" t="s">
        <v>1876</v>
      </c>
      <c r="BK14" t="s">
        <v>2366</v>
      </c>
      <c r="BL14" t="s">
        <v>168</v>
      </c>
      <c r="BM14" t="s">
        <v>1877</v>
      </c>
      <c r="BN14">
        <v>3.28</v>
      </c>
      <c r="BO14">
        <v>7.56</v>
      </c>
      <c r="BP14">
        <v>6.03</v>
      </c>
      <c r="BQ14">
        <v>5.65</v>
      </c>
      <c r="BR14">
        <v>13.62</v>
      </c>
      <c r="BS14">
        <v>10.74</v>
      </c>
      <c r="BT14" t="s">
        <v>2330</v>
      </c>
      <c r="BU14" t="s">
        <v>1342</v>
      </c>
      <c r="BV14">
        <v>8.0399999999999991</v>
      </c>
      <c r="BW14">
        <v>8.1199999999999992</v>
      </c>
      <c r="BX14">
        <v>8.57</v>
      </c>
      <c r="BY14">
        <v>3.18</v>
      </c>
      <c r="BZ14">
        <v>3.77</v>
      </c>
      <c r="CA14">
        <v>2.2400000000000002</v>
      </c>
      <c r="CB14">
        <v>0</v>
      </c>
      <c r="CC14">
        <v>-6.53</v>
      </c>
      <c r="CD14" t="s">
        <v>2384</v>
      </c>
      <c r="CE14" t="s">
        <v>230</v>
      </c>
      <c r="CF14" s="8">
        <v>8.3718973496003365E-2</v>
      </c>
      <c r="CG14" s="9">
        <v>0.20891474025974027</v>
      </c>
      <c r="CH14" s="8">
        <v>-1.1549060232937336E-2</v>
      </c>
      <c r="CI14" s="8">
        <v>1.2211548164486885E-2</v>
      </c>
      <c r="CJ14" s="8">
        <v>0.25189051032066345</v>
      </c>
      <c r="CK14" s="8">
        <v>0.27217364311218262</v>
      </c>
      <c r="CL14" s="8">
        <v>9.5537714660167694E-2</v>
      </c>
      <c r="CM14" s="9">
        <v>-0.13256113231182098</v>
      </c>
      <c r="CN14" s="9">
        <v>0.61706554889678955</v>
      </c>
      <c r="CO14" s="9">
        <v>-3.8038037717342377E-2</v>
      </c>
      <c r="CP14" s="9">
        <v>0.38365650177001953</v>
      </c>
      <c r="CQ14" s="9">
        <v>-0.40478149056434631</v>
      </c>
      <c r="CR14">
        <v>8.3744475209651323</v>
      </c>
      <c r="CS14">
        <v>0.6750708338811503</v>
      </c>
      <c r="CT14">
        <v>3.4246575342465753</v>
      </c>
      <c r="CU14" s="8">
        <v>0.12405287120491267</v>
      </c>
      <c r="CV14" s="9">
        <v>8.5068278014659882E-2</v>
      </c>
      <c r="CW14">
        <v>0.06</v>
      </c>
      <c r="CX14">
        <v>34.00584290454713</v>
      </c>
      <c r="CY14">
        <v>1429455915.4568133</v>
      </c>
      <c r="CZ14">
        <v>0.12405287120491267</v>
      </c>
      <c r="DA14">
        <v>10.798140615178351</v>
      </c>
      <c r="DB14">
        <v>4501687376.7759428</v>
      </c>
      <c r="DC14">
        <v>0.11785022764466703</v>
      </c>
      <c r="DD14">
        <v>5.112860021452315</v>
      </c>
      <c r="DE14">
        <v>9507370257.7510242</v>
      </c>
      <c r="DF14">
        <v>0.10916652666032314</v>
      </c>
      <c r="DG14">
        <v>2.9365543528957705</v>
      </c>
      <c r="DH14">
        <v>16553364064.950903</v>
      </c>
      <c r="DI14">
        <v>9.9242296963930138E-2</v>
      </c>
      <c r="DJ14">
        <v>1.3724148824084723</v>
      </c>
      <c r="DK14">
        <v>35419211728.958961</v>
      </c>
      <c r="DL14">
        <v>8.6837009843438867E-2</v>
      </c>
      <c r="DM14">
        <v>1348000000</v>
      </c>
      <c r="DN14">
        <v>0.12405287120491267</v>
      </c>
      <c r="DO14">
        <v>48609853300</v>
      </c>
      <c r="DP14">
        <v>6316576000</v>
      </c>
      <c r="DQ14">
        <v>579</v>
      </c>
      <c r="DR14">
        <v>-4.03338977089093E-2</v>
      </c>
      <c r="DS14">
        <v>0.12384646224508039</v>
      </c>
      <c r="DT14" s="10">
        <v>-0.19000000000000003</v>
      </c>
      <c r="DU14">
        <v>0.31666666666666665</v>
      </c>
      <c r="DV14">
        <v>0.12666666666666662</v>
      </c>
      <c r="DW14">
        <v>-2.0653000000000001</v>
      </c>
      <c r="DX14">
        <v>0.34537156704362015</v>
      </c>
      <c r="DY14">
        <v>-2.0088397633279484</v>
      </c>
      <c r="DZ14">
        <v>1422</v>
      </c>
      <c r="EA14">
        <v>-2.0063798526719125</v>
      </c>
      <c r="EB14">
        <v>2</v>
      </c>
      <c r="EC14">
        <v>3.2239536040007725E-2</v>
      </c>
      <c r="ED14">
        <v>0.23815589007416652</v>
      </c>
      <c r="EE14" s="11">
        <v>3.1087099999999999</v>
      </c>
      <c r="EF14">
        <v>3.11971</v>
      </c>
      <c r="EG14">
        <v>21.13537156704362</v>
      </c>
      <c r="EH14" t="s">
        <v>1303</v>
      </c>
      <c r="EI14">
        <v>0</v>
      </c>
      <c r="EJ14">
        <v>1</v>
      </c>
      <c r="EK14" s="13">
        <v>45470</v>
      </c>
      <c r="EL14" s="14">
        <v>0.82</v>
      </c>
      <c r="EM14" s="14">
        <v>-3.5</v>
      </c>
      <c r="EN14" s="14">
        <v>0.56000000000000005</v>
      </c>
      <c r="EO14" s="14">
        <v>1.39</v>
      </c>
      <c r="EP14" s="14">
        <v>-1.1000000000000001</v>
      </c>
    </row>
    <row r="15" spans="1:146" ht="108">
      <c r="A15" s="6"/>
      <c r="B15" s="6"/>
      <c r="C15" s="6" t="str">
        <f>""&amp;CHAR(10)&amp;Basic_Fundamental_Information_Constructure(F15)&amp;CHAR(10)&amp;Basic_Fundamental_Information_Concatenate("")</f>
        <v xml:space="preserve">
市值39.13875亿, 利润3.39亿; PE12.58; 平均PE10.84; 平均PEG1.54, PB.88; ROIC5.99%; ROE8.7767%; 股利率2.8169%; 毛利14.26%; 净利5.1433%; 上一年度营收增-26.13%, 利润增-6.87%; 当季营收增13.99%, 利润增-18.76%; 过往5年营收增-7.02%, 利润增3.14%
Income profile:
</v>
      </c>
      <c r="D15" t="s">
        <v>424</v>
      </c>
      <c r="E15" t="s">
        <v>425</v>
      </c>
      <c r="F15">
        <v>3.55</v>
      </c>
      <c r="G15">
        <v>0.28000000000000003</v>
      </c>
      <c r="H15" t="s">
        <v>2385</v>
      </c>
      <c r="I15">
        <v>3913875000</v>
      </c>
      <c r="J15">
        <v>12.58</v>
      </c>
      <c r="K15">
        <v>0.88</v>
      </c>
      <c r="L15" t="s">
        <v>361</v>
      </c>
      <c r="M15" t="s">
        <v>2386</v>
      </c>
      <c r="N15" t="s">
        <v>2387</v>
      </c>
      <c r="O15" t="s">
        <v>1863</v>
      </c>
      <c r="P15">
        <v>13.98</v>
      </c>
      <c r="Q15" t="s">
        <v>2388</v>
      </c>
      <c r="R15">
        <v>118611316</v>
      </c>
      <c r="S15" s="5">
        <v>-0.19</v>
      </c>
      <c r="T15" t="s">
        <v>93</v>
      </c>
      <c r="U15">
        <v>989930040</v>
      </c>
      <c r="V15">
        <v>1102500000</v>
      </c>
      <c r="W15">
        <v>3.13</v>
      </c>
      <c r="X15">
        <v>0.12</v>
      </c>
      <c r="Y15">
        <v>8.81</v>
      </c>
      <c r="Z15" t="s">
        <v>1900</v>
      </c>
      <c r="AA15" t="s">
        <v>2389</v>
      </c>
      <c r="AB15" t="s">
        <v>2390</v>
      </c>
      <c r="AC15" t="s">
        <v>2391</v>
      </c>
      <c r="AD15" t="s">
        <v>19</v>
      </c>
      <c r="AE15">
        <v>11965953</v>
      </c>
      <c r="AF15" t="s">
        <v>2392</v>
      </c>
      <c r="AG15" t="s">
        <v>2393</v>
      </c>
      <c r="AH15" t="s">
        <v>2394</v>
      </c>
      <c r="AI15" t="s">
        <v>2395</v>
      </c>
      <c r="AJ15" t="s">
        <v>2396</v>
      </c>
      <c r="AK15" t="s">
        <v>58</v>
      </c>
      <c r="AL15" t="s">
        <v>2397</v>
      </c>
      <c r="AM15" t="s">
        <v>19</v>
      </c>
      <c r="AN15" t="s">
        <v>1899</v>
      </c>
      <c r="AO15" t="s">
        <v>1335</v>
      </c>
      <c r="AP15" t="s">
        <v>2398</v>
      </c>
      <c r="AQ15" t="s">
        <v>2399</v>
      </c>
      <c r="AR15" t="s">
        <v>2400</v>
      </c>
      <c r="AS15" t="s">
        <v>2401</v>
      </c>
      <c r="AT15" t="s">
        <v>2402</v>
      </c>
      <c r="AU15" t="s">
        <v>1292</v>
      </c>
      <c r="AV15" t="s">
        <v>2403</v>
      </c>
      <c r="AW15" t="s">
        <v>2404</v>
      </c>
      <c r="AX15" t="s">
        <v>1609</v>
      </c>
      <c r="AY15" t="s">
        <v>1352</v>
      </c>
      <c r="AZ15" t="s">
        <v>426</v>
      </c>
      <c r="BA15" t="s">
        <v>427</v>
      </c>
      <c r="BB15" t="s">
        <v>428</v>
      </c>
      <c r="BC15" t="s">
        <v>1263</v>
      </c>
      <c r="BD15" t="s">
        <v>1177</v>
      </c>
      <c r="BE15" t="s">
        <v>24</v>
      </c>
      <c r="BF15" t="s">
        <v>78</v>
      </c>
      <c r="BG15" t="s">
        <v>75</v>
      </c>
      <c r="BH15" t="s">
        <v>2388</v>
      </c>
      <c r="BI15" t="s">
        <v>2405</v>
      </c>
      <c r="BJ15" t="s">
        <v>1609</v>
      </c>
      <c r="BK15" t="s">
        <v>93</v>
      </c>
      <c r="BL15" t="s">
        <v>122</v>
      </c>
      <c r="BM15" t="s">
        <v>1263</v>
      </c>
      <c r="BN15">
        <v>4.5599999999999996</v>
      </c>
      <c r="BO15">
        <v>7.14</v>
      </c>
      <c r="BP15">
        <v>6.27</v>
      </c>
      <c r="BQ15">
        <v>6.37</v>
      </c>
      <c r="BR15">
        <v>9.15</v>
      </c>
      <c r="BS15">
        <v>10.81</v>
      </c>
      <c r="BT15" t="s">
        <v>1572</v>
      </c>
      <c r="BU15" t="s">
        <v>1342</v>
      </c>
      <c r="BV15">
        <v>15.19</v>
      </c>
      <c r="BW15">
        <v>15.62</v>
      </c>
      <c r="BX15">
        <v>11.97</v>
      </c>
      <c r="BY15">
        <v>5.91</v>
      </c>
      <c r="BZ15">
        <v>5.56</v>
      </c>
      <c r="CA15">
        <v>3.96</v>
      </c>
      <c r="CB15">
        <v>2.0099999999999998</v>
      </c>
      <c r="CC15">
        <v>-17.440000000000001</v>
      </c>
      <c r="CD15" t="s">
        <v>2406</v>
      </c>
      <c r="CE15" t="s">
        <v>64</v>
      </c>
      <c r="CF15" s="8">
        <v>0.13992297817715035</v>
      </c>
      <c r="CG15" s="9">
        <v>-0.18759372602739727</v>
      </c>
      <c r="CH15" s="8">
        <v>-0.26129439473152161</v>
      </c>
      <c r="CI15" s="8">
        <v>-0.1572369784116745</v>
      </c>
      <c r="CJ15" s="8">
        <v>-8.792085200548172E-2</v>
      </c>
      <c r="CK15" s="8">
        <v>-5.2415631711483002E-2</v>
      </c>
      <c r="CL15" s="8">
        <v>0.20782767236232758</v>
      </c>
      <c r="CM15" s="9">
        <v>-6.8681322038173676E-2</v>
      </c>
      <c r="CN15" s="9">
        <v>-8.7719298899173737E-2</v>
      </c>
      <c r="CO15" s="9">
        <v>-3.6231882870197296E-2</v>
      </c>
      <c r="CP15" s="9">
        <v>0.17948718369007111</v>
      </c>
      <c r="CQ15" s="9">
        <v>0.17000000178813934</v>
      </c>
      <c r="CR15">
        <v>10.836755883710198</v>
      </c>
      <c r="CS15">
        <v>1.5435207082078501</v>
      </c>
      <c r="CT15">
        <v>2.8169014084507045</v>
      </c>
      <c r="CU15" s="8">
        <v>-7.0208036899566645E-2</v>
      </c>
      <c r="CV15" s="9">
        <v>3.1370936334133147E-2</v>
      </c>
      <c r="CW15">
        <v>0.06</v>
      </c>
      <c r="CX15">
        <v>30.335914454277287</v>
      </c>
      <c r="CY15" t="s">
        <v>1748</v>
      </c>
      <c r="CZ15">
        <v>-7.0208036899566645E-2</v>
      </c>
      <c r="DA15">
        <v>10.111971484759096</v>
      </c>
      <c r="DB15" t="s">
        <v>2407</v>
      </c>
      <c r="DC15">
        <v>-6.6697635054588311E-2</v>
      </c>
      <c r="DD15">
        <v>5.0559857423795478</v>
      </c>
      <c r="DE15" t="s">
        <v>2408</v>
      </c>
      <c r="DF15">
        <v>-6.1783072471618648E-2</v>
      </c>
      <c r="DG15">
        <v>3.0335914454277284</v>
      </c>
      <c r="DH15" t="s">
        <v>2409</v>
      </c>
      <c r="DI15">
        <v>-5.6166429519653317E-2</v>
      </c>
      <c r="DJ15">
        <v>1.5167957227138642</v>
      </c>
      <c r="DK15" t="s">
        <v>2410</v>
      </c>
      <c r="DL15">
        <v>-4.914562582969665E-2</v>
      </c>
      <c r="DM15">
        <v>339000000</v>
      </c>
      <c r="DN15">
        <v>-7.0208036899566645E-2</v>
      </c>
      <c r="DO15">
        <v>10283875000</v>
      </c>
      <c r="DP15">
        <v>2215319500</v>
      </c>
      <c r="DQ15">
        <v>580</v>
      </c>
      <c r="DR15">
        <v>0.210131015076717</v>
      </c>
      <c r="DS15">
        <v>-0.21896466236153042</v>
      </c>
      <c r="DT15" s="10">
        <v>-0.65666666666666662</v>
      </c>
      <c r="DU15">
        <v>-3.3333333333333726E-3</v>
      </c>
      <c r="DV15">
        <v>-0.66</v>
      </c>
      <c r="DW15">
        <v>-3.0162857142857145</v>
      </c>
      <c r="DX15">
        <v>0.29033548387096852</v>
      </c>
      <c r="DY15">
        <v>-3.00228546359447</v>
      </c>
      <c r="DZ15">
        <v>3134</v>
      </c>
      <c r="EA15">
        <v>-3.0008837722236148</v>
      </c>
      <c r="EB15">
        <v>3</v>
      </c>
      <c r="EC15">
        <v>2.3675646258503397E-2</v>
      </c>
      <c r="ED15">
        <v>0.16870748299319727</v>
      </c>
      <c r="EE15" s="11">
        <v>1.0101</v>
      </c>
      <c r="EF15">
        <v>1.0016</v>
      </c>
      <c r="EG15">
        <v>15.140335483870969</v>
      </c>
      <c r="EH15" t="s">
        <v>1262</v>
      </c>
      <c r="EI15">
        <v>0</v>
      </c>
      <c r="EJ15">
        <v>0</v>
      </c>
      <c r="EK15" s="13">
        <v>45470</v>
      </c>
      <c r="EL15" s="14">
        <v>2.25</v>
      </c>
      <c r="EM15" s="14">
        <v>-4.96</v>
      </c>
      <c r="EN15" s="14">
        <v>1.1599999999999999</v>
      </c>
      <c r="EO15" s="14">
        <v>1.1499999999999999</v>
      </c>
      <c r="EP15" s="14">
        <v>-0.85</v>
      </c>
    </row>
    <row r="16" spans="1:146" ht="108">
      <c r="A16" s="6"/>
      <c r="B16" s="6"/>
      <c r="C16" s="6" t="str">
        <f>""&amp;CHAR(10)&amp;Basic_Fundamental_Information_Constructure(F16)&amp;CHAR(10)&amp;Basic_Fundamental_Information_Concatenate("")</f>
        <v xml:space="preserve">
市值80.190775亿, 利润10.24亿; PE8.4; 平均PE11.47; 平均PEG3.57, PB.593; ROIC8.025%; ROE-5.9867%; 股利率3.3113%; 毛利15.5767%; 净利-2.6967%; 上一年度营收增-7.45%, 利润增-19.62%; 当季营收增-10.78%, 利润增-25.55%; 过往5年营收增-3.21%, 利润增-38.14%
Income profile:
</v>
      </c>
      <c r="D16" t="s">
        <v>430</v>
      </c>
      <c r="E16" t="s">
        <v>431</v>
      </c>
      <c r="F16">
        <v>3.02</v>
      </c>
      <c r="G16">
        <v>0.67</v>
      </c>
      <c r="H16" t="s">
        <v>2411</v>
      </c>
      <c r="I16">
        <v>8019077500</v>
      </c>
      <c r="J16">
        <v>8.4</v>
      </c>
      <c r="K16">
        <v>0.59299999999999997</v>
      </c>
      <c r="L16" t="s">
        <v>361</v>
      </c>
      <c r="M16" t="s">
        <v>2412</v>
      </c>
      <c r="N16" t="s">
        <v>2413</v>
      </c>
      <c r="O16" t="s">
        <v>2414</v>
      </c>
      <c r="P16">
        <v>-10.78</v>
      </c>
      <c r="Q16" t="s">
        <v>2415</v>
      </c>
      <c r="R16">
        <v>203245030</v>
      </c>
      <c r="S16" s="5">
        <v>-0.25580000000000003</v>
      </c>
      <c r="T16" t="s">
        <v>644</v>
      </c>
      <c r="U16">
        <v>2643055600</v>
      </c>
      <c r="V16">
        <v>2655323700</v>
      </c>
      <c r="W16">
        <v>2.46</v>
      </c>
      <c r="X16">
        <v>0.13</v>
      </c>
      <c r="Y16">
        <v>4.45</v>
      </c>
      <c r="Z16" t="s">
        <v>2416</v>
      </c>
      <c r="AA16" t="s">
        <v>2047</v>
      </c>
      <c r="AB16" t="s">
        <v>2417</v>
      </c>
      <c r="AC16" t="s">
        <v>653</v>
      </c>
      <c r="AD16" t="s">
        <v>19</v>
      </c>
      <c r="AE16">
        <v>4054090</v>
      </c>
      <c r="AF16" t="s">
        <v>2418</v>
      </c>
      <c r="AG16" t="s">
        <v>2419</v>
      </c>
      <c r="AH16" t="s">
        <v>2420</v>
      </c>
      <c r="AI16" t="s">
        <v>2421</v>
      </c>
      <c r="AJ16" t="s">
        <v>2422</v>
      </c>
      <c r="AK16" t="s">
        <v>2423</v>
      </c>
      <c r="AL16" t="s">
        <v>2424</v>
      </c>
      <c r="AM16" t="s">
        <v>19</v>
      </c>
      <c r="AN16" t="s">
        <v>2425</v>
      </c>
      <c r="AO16" t="s">
        <v>2426</v>
      </c>
      <c r="AP16" t="s">
        <v>2427</v>
      </c>
      <c r="AQ16" t="s">
        <v>2428</v>
      </c>
      <c r="AR16" t="s">
        <v>19</v>
      </c>
      <c r="AS16" t="s">
        <v>2429</v>
      </c>
      <c r="AT16" t="s">
        <v>2430</v>
      </c>
      <c r="AU16" t="s">
        <v>2431</v>
      </c>
      <c r="AV16" t="s">
        <v>1951</v>
      </c>
      <c r="AW16" t="s">
        <v>2432</v>
      </c>
      <c r="AX16" t="s">
        <v>1610</v>
      </c>
      <c r="AY16" t="s">
        <v>1353</v>
      </c>
      <c r="AZ16" t="s">
        <v>432</v>
      </c>
      <c r="BA16" t="s">
        <v>433</v>
      </c>
      <c r="BB16" t="s">
        <v>434</v>
      </c>
      <c r="BC16" t="s">
        <v>2433</v>
      </c>
      <c r="BD16" t="s">
        <v>1123</v>
      </c>
      <c r="BE16" t="s">
        <v>282</v>
      </c>
      <c r="BF16" t="s">
        <v>435</v>
      </c>
      <c r="BG16" t="s">
        <v>436</v>
      </c>
      <c r="BH16" t="s">
        <v>2415</v>
      </c>
      <c r="BI16" t="s">
        <v>2434</v>
      </c>
      <c r="BJ16" t="s">
        <v>1610</v>
      </c>
      <c r="BK16" t="s">
        <v>644</v>
      </c>
      <c r="BL16" t="s">
        <v>67</v>
      </c>
      <c r="BM16" t="s">
        <v>2433</v>
      </c>
      <c r="BN16">
        <v>6.32</v>
      </c>
      <c r="BO16">
        <v>9.73</v>
      </c>
      <c r="BP16" t="s">
        <v>19</v>
      </c>
      <c r="BQ16">
        <v>6.62</v>
      </c>
      <c r="BR16">
        <v>10.78</v>
      </c>
      <c r="BS16">
        <v>-35.36</v>
      </c>
      <c r="BT16" t="s">
        <v>1572</v>
      </c>
      <c r="BU16" t="s">
        <v>1334</v>
      </c>
      <c r="BV16">
        <v>14.81</v>
      </c>
      <c r="BW16">
        <v>15.78</v>
      </c>
      <c r="BX16">
        <v>16.14</v>
      </c>
      <c r="BY16">
        <v>5.15</v>
      </c>
      <c r="BZ16">
        <v>5.97</v>
      </c>
      <c r="CA16">
        <v>-19.21</v>
      </c>
      <c r="CB16">
        <v>-0.33</v>
      </c>
      <c r="CC16">
        <v>-14.93</v>
      </c>
      <c r="CD16" t="s">
        <v>2435</v>
      </c>
      <c r="CE16" t="s">
        <v>1409</v>
      </c>
      <c r="CF16" s="8">
        <v>-0.10779501276261536</v>
      </c>
      <c r="CG16" s="9">
        <v>-0.25551271062271064</v>
      </c>
      <c r="CH16" s="8">
        <v>-7.454267144203186E-2</v>
      </c>
      <c r="CI16" s="8">
        <v>-0.14034046232700348</v>
      </c>
      <c r="CJ16" s="8">
        <v>-0.18785010278224945</v>
      </c>
      <c r="CK16" s="8">
        <v>1.3231733813881874E-2</v>
      </c>
      <c r="CL16" s="8">
        <v>0.22902467846870422</v>
      </c>
      <c r="CM16" s="9">
        <v>-0.19623233377933502</v>
      </c>
      <c r="CN16" s="9">
        <v>1.2573736906051636</v>
      </c>
      <c r="CO16" s="9">
        <v>-3.0850884914398193</v>
      </c>
      <c r="CP16" s="9">
        <v>1.064290851354599E-2</v>
      </c>
      <c r="CQ16" s="9">
        <v>0.1064530685544014</v>
      </c>
      <c r="CR16">
        <v>11.472213876967096</v>
      </c>
      <c r="CS16">
        <v>3.5744145390608821</v>
      </c>
      <c r="CT16">
        <v>3.3112582781456954</v>
      </c>
      <c r="CU16" s="8">
        <v>-3.209536485373974E-2</v>
      </c>
      <c r="CV16" s="9">
        <v>-0.38137023150920868</v>
      </c>
      <c r="CW16">
        <v>0.06</v>
      </c>
      <c r="CX16">
        <v>17.234450683593749</v>
      </c>
      <c r="CY16" t="s">
        <v>2436</v>
      </c>
      <c r="CZ16">
        <v>-3.209536485373974E-2</v>
      </c>
      <c r="DA16">
        <v>5.7448168945312501</v>
      </c>
      <c r="DB16" t="s">
        <v>2437</v>
      </c>
      <c r="DC16">
        <v>-3.0490596611052752E-2</v>
      </c>
      <c r="DD16">
        <v>2.8724084472656251</v>
      </c>
      <c r="DE16" t="s">
        <v>2438</v>
      </c>
      <c r="DF16">
        <v>-2.8243921071290971E-2</v>
      </c>
      <c r="DG16">
        <v>1.7234450683593749</v>
      </c>
      <c r="DH16" t="s">
        <v>2439</v>
      </c>
      <c r="DI16">
        <v>-2.5676291882991795E-2</v>
      </c>
      <c r="DJ16">
        <v>0.86172253417968747</v>
      </c>
      <c r="DK16" t="s">
        <v>2440</v>
      </c>
      <c r="DL16">
        <v>-2.2466755397617815E-2</v>
      </c>
      <c r="DM16">
        <v>1024000000</v>
      </c>
      <c r="DN16">
        <v>-3.209536485373974E-2</v>
      </c>
      <c r="DO16">
        <v>17648077500</v>
      </c>
      <c r="DP16">
        <v>9838860000</v>
      </c>
      <c r="DQ16">
        <v>597</v>
      </c>
      <c r="DR16">
        <v>-7.5699647908875622E-2</v>
      </c>
      <c r="DS16">
        <v>0.12585752088649804</v>
      </c>
      <c r="DT16" s="10">
        <v>-0.47333333333333338</v>
      </c>
      <c r="DU16">
        <v>-0.77</v>
      </c>
      <c r="DV16">
        <v>-1.2433333333333334</v>
      </c>
      <c r="DW16">
        <v>-2.1493000000000002</v>
      </c>
      <c r="DX16">
        <v>0.33780254452926145</v>
      </c>
      <c r="DY16">
        <v>-2.0205739198982187</v>
      </c>
      <c r="DZ16">
        <v>3812</v>
      </c>
      <c r="EA16">
        <v>-2.0052260172265925</v>
      </c>
      <c r="EB16">
        <v>2</v>
      </c>
      <c r="EC16">
        <v>2.0395404146018054E-2</v>
      </c>
      <c r="ED16">
        <v>0.14800455402104082</v>
      </c>
      <c r="EE16" s="11">
        <v>-1.0069999999999999</v>
      </c>
      <c r="EF16">
        <v>-1.0092099999999999</v>
      </c>
      <c r="EG16">
        <v>20.137802544529261</v>
      </c>
      <c r="EH16" t="s">
        <v>1265</v>
      </c>
      <c r="EI16">
        <v>0</v>
      </c>
      <c r="EJ16">
        <v>0</v>
      </c>
      <c r="EK16" s="13">
        <v>45470</v>
      </c>
      <c r="EL16" s="14">
        <v>0.98</v>
      </c>
      <c r="EM16" s="14">
        <v>-3.23</v>
      </c>
      <c r="EN16" s="14">
        <v>0.67</v>
      </c>
      <c r="EO16" s="14">
        <v>1.99</v>
      </c>
      <c r="EP16" s="14">
        <v>-1.62</v>
      </c>
    </row>
    <row r="17" spans="1:146" ht="108">
      <c r="A17" s="6"/>
      <c r="B17" s="6"/>
      <c r="C17" s="6" t="str">
        <f>""&amp;CHAR(10)&amp;Basic_Fundamental_Information_Constructure(F17)&amp;CHAR(10)&amp;Basic_Fundamental_Information_Concatenate("")</f>
        <v xml:space="preserve">
市值42.112724亿, 利润3.10亿; PE13.42; 平均PE24.96; 平均PEG4.73, PB1.78; ROIC9.8367%; ROE11.7933%; 股利率2.8976%; 毛利13.5067%; 净利3.78%; 上一年度营收增16.29%, 利润增49.76%; 当季营收增2.31%, 利润增6.61%; 过往5年营收增5.27%, 利润增33.41%
Income profile:
</v>
      </c>
      <c r="D17" t="s">
        <v>438</v>
      </c>
      <c r="E17" t="s">
        <v>439</v>
      </c>
      <c r="F17">
        <v>9.0299999999999994</v>
      </c>
      <c r="G17">
        <v>0.22</v>
      </c>
      <c r="H17" t="s">
        <v>2441</v>
      </c>
      <c r="I17">
        <v>4211272400</v>
      </c>
      <c r="J17">
        <v>13.42</v>
      </c>
      <c r="K17">
        <v>1.78</v>
      </c>
      <c r="L17" t="s">
        <v>361</v>
      </c>
      <c r="M17" t="s">
        <v>2442</v>
      </c>
      <c r="N17" t="s">
        <v>2297</v>
      </c>
      <c r="O17" t="s">
        <v>2443</v>
      </c>
      <c r="P17">
        <v>2.2999999999999998</v>
      </c>
      <c r="Q17" t="s">
        <v>2444</v>
      </c>
      <c r="R17">
        <v>55259119</v>
      </c>
      <c r="S17" s="5">
        <v>6.6100000000000006E-2</v>
      </c>
      <c r="T17" t="s">
        <v>57</v>
      </c>
      <c r="U17">
        <v>453939090</v>
      </c>
      <c r="V17">
        <v>466364610</v>
      </c>
      <c r="W17">
        <v>2.5499999999999998</v>
      </c>
      <c r="X17">
        <v>0.21</v>
      </c>
      <c r="Y17">
        <v>4.46</v>
      </c>
      <c r="Z17" t="s">
        <v>2445</v>
      </c>
      <c r="AA17" t="s">
        <v>2045</v>
      </c>
      <c r="AB17" t="s">
        <v>2446</v>
      </c>
      <c r="AC17" t="s">
        <v>2447</v>
      </c>
      <c r="AD17" t="s">
        <v>19</v>
      </c>
      <c r="AE17">
        <v>-6599148</v>
      </c>
      <c r="AF17" t="s">
        <v>2448</v>
      </c>
      <c r="AG17" t="s">
        <v>2449</v>
      </c>
      <c r="AH17" t="s">
        <v>2450</v>
      </c>
      <c r="AI17" t="s">
        <v>1917</v>
      </c>
      <c r="AJ17" t="s">
        <v>2451</v>
      </c>
      <c r="AK17" t="s">
        <v>2452</v>
      </c>
      <c r="AL17" t="s">
        <v>2453</v>
      </c>
      <c r="AM17" t="s">
        <v>19</v>
      </c>
      <c r="AN17" t="s">
        <v>2454</v>
      </c>
      <c r="AO17" t="s">
        <v>19</v>
      </c>
      <c r="AP17" t="s">
        <v>2455</v>
      </c>
      <c r="AQ17" t="s">
        <v>2337</v>
      </c>
      <c r="AR17" t="s">
        <v>19</v>
      </c>
      <c r="AS17" t="s">
        <v>1886</v>
      </c>
      <c r="AT17" t="s">
        <v>19</v>
      </c>
      <c r="AU17" t="s">
        <v>25</v>
      </c>
      <c r="AV17" t="s">
        <v>2456</v>
      </c>
      <c r="AW17" t="s">
        <v>2457</v>
      </c>
      <c r="AX17" t="s">
        <v>1612</v>
      </c>
      <c r="AY17" t="s">
        <v>1354</v>
      </c>
      <c r="AZ17" t="s">
        <v>440</v>
      </c>
      <c r="BA17" t="s">
        <v>442</v>
      </c>
      <c r="BB17" t="s">
        <v>443</v>
      </c>
      <c r="BC17" t="s">
        <v>148</v>
      </c>
      <c r="BD17" t="s">
        <v>49</v>
      </c>
      <c r="BE17" t="s">
        <v>441</v>
      </c>
      <c r="BF17" t="s">
        <v>444</v>
      </c>
      <c r="BG17" t="s">
        <v>323</v>
      </c>
      <c r="BH17" t="s">
        <v>2444</v>
      </c>
      <c r="BI17" t="s">
        <v>1990</v>
      </c>
      <c r="BJ17" t="s">
        <v>1612</v>
      </c>
      <c r="BK17" t="s">
        <v>57</v>
      </c>
      <c r="BL17" t="s">
        <v>2458</v>
      </c>
      <c r="BM17" t="s">
        <v>148</v>
      </c>
      <c r="BN17">
        <v>8.91</v>
      </c>
      <c r="BO17">
        <v>11.06</v>
      </c>
      <c r="BP17">
        <v>9.5399999999999991</v>
      </c>
      <c r="BQ17">
        <v>11.15</v>
      </c>
      <c r="BR17">
        <v>13.15</v>
      </c>
      <c r="BS17">
        <v>11.08</v>
      </c>
      <c r="BT17" t="s">
        <v>2459</v>
      </c>
      <c r="BU17" t="s">
        <v>1234</v>
      </c>
      <c r="BV17">
        <v>14.56</v>
      </c>
      <c r="BW17">
        <v>13.29</v>
      </c>
      <c r="BX17">
        <v>12.67</v>
      </c>
      <c r="BY17">
        <v>4.67</v>
      </c>
      <c r="BZ17">
        <v>3.62</v>
      </c>
      <c r="CA17">
        <v>3.05</v>
      </c>
      <c r="CB17">
        <v>-3.01</v>
      </c>
      <c r="CC17">
        <v>-9.7799999999999994</v>
      </c>
      <c r="CD17" t="s">
        <v>2460</v>
      </c>
      <c r="CE17" t="s">
        <v>2461</v>
      </c>
      <c r="CF17" s="8">
        <v>2.3121387283236993E-2</v>
      </c>
      <c r="CG17" s="9">
        <v>6.6060106221869822E-2</v>
      </c>
      <c r="CH17" s="8">
        <v>0.16293710470199585</v>
      </c>
      <c r="CI17" s="8">
        <v>8.6419768631458282E-2</v>
      </c>
      <c r="CJ17" s="8">
        <v>3.2960563898086548E-2</v>
      </c>
      <c r="CK17" s="8">
        <v>-8.6722850799560547E-2</v>
      </c>
      <c r="CL17" s="8">
        <v>6.8134024739265442E-2</v>
      </c>
      <c r="CM17" s="9">
        <v>0.49758455157279968</v>
      </c>
      <c r="CN17" s="9">
        <v>0.28571429848670959</v>
      </c>
      <c r="CO17" s="9">
        <v>1.5215506553649902</v>
      </c>
      <c r="CP17" s="9">
        <v>8.9412584900856018E-2</v>
      </c>
      <c r="CQ17" s="9">
        <v>-0.7235414981842041</v>
      </c>
      <c r="CR17">
        <v>24.956703818466487</v>
      </c>
      <c r="CS17">
        <v>4.7315123883660606</v>
      </c>
      <c r="CT17">
        <v>2.8975636766334443</v>
      </c>
      <c r="CU17" s="8">
        <v>5.2745722234249115E-2</v>
      </c>
      <c r="CV17" s="9">
        <v>0.33414411842823027</v>
      </c>
      <c r="CW17">
        <v>0.06</v>
      </c>
      <c r="CX17">
        <v>17.111532578208173</v>
      </c>
      <c r="CY17">
        <v>307878465.93643135</v>
      </c>
      <c r="CZ17">
        <v>5.2745722234249115E-2</v>
      </c>
      <c r="DA17">
        <v>5.7718626097582524</v>
      </c>
      <c r="DB17">
        <v>912750832.13054085</v>
      </c>
      <c r="DC17">
        <v>5.0108436122536654E-2</v>
      </c>
      <c r="DD17">
        <v>2.962475805188217</v>
      </c>
      <c r="DE17">
        <v>1778334321.1693461</v>
      </c>
      <c r="DF17">
        <v>4.6416235566139219E-2</v>
      </c>
      <c r="DG17">
        <v>1.8631674685483497</v>
      </c>
      <c r="DH17">
        <v>2827589300.9793</v>
      </c>
      <c r="DI17">
        <v>4.2196577787399298E-2</v>
      </c>
      <c r="DJ17">
        <v>1.0620901538535368</v>
      </c>
      <c r="DK17">
        <v>4960287392.6336193</v>
      </c>
      <c r="DL17">
        <v>3.6922005563974375E-2</v>
      </c>
      <c r="DM17">
        <v>310000000</v>
      </c>
      <c r="DN17">
        <v>5.2745722234249115E-2</v>
      </c>
      <c r="DO17">
        <v>5268272400</v>
      </c>
      <c r="DP17">
        <v>1700534200</v>
      </c>
      <c r="DQ17">
        <v>629</v>
      </c>
      <c r="DR17">
        <v>-2.9624334951012122E-2</v>
      </c>
      <c r="DS17">
        <v>-0.26808401220636047</v>
      </c>
      <c r="DT17" s="10">
        <v>-0.27333333333333337</v>
      </c>
      <c r="DU17">
        <v>0.38333333333333336</v>
      </c>
      <c r="DV17">
        <v>0.10999999999999999</v>
      </c>
      <c r="DW17">
        <v>-8.3077709611451951</v>
      </c>
      <c r="DX17">
        <v>0.27338176795580271</v>
      </c>
      <c r="DY17">
        <v>-8.0318179060886461</v>
      </c>
      <c r="DZ17">
        <v>1453</v>
      </c>
      <c r="EA17">
        <v>-8.0227706619503287</v>
      </c>
      <c r="EB17">
        <v>8</v>
      </c>
      <c r="EC17">
        <v>4.0123327539797672E-2</v>
      </c>
      <c r="ED17">
        <v>0.38810835153207701</v>
      </c>
      <c r="EE17" s="11">
        <v>5.00481</v>
      </c>
      <c r="EF17">
        <v>5.0046999999999997</v>
      </c>
      <c r="EG17">
        <v>17.103381767955803</v>
      </c>
      <c r="EH17" t="s">
        <v>1962</v>
      </c>
      <c r="EI17">
        <v>0</v>
      </c>
      <c r="EJ17">
        <v>1</v>
      </c>
      <c r="EK17" s="13">
        <v>45470</v>
      </c>
      <c r="EL17" s="14">
        <v>2.52</v>
      </c>
      <c r="EM17" s="14">
        <v>-4.82</v>
      </c>
      <c r="EN17" s="14">
        <v>0</v>
      </c>
      <c r="EO17" s="14">
        <v>2.16</v>
      </c>
      <c r="EP17" s="14">
        <v>0.95</v>
      </c>
    </row>
    <row r="18" spans="1:146" ht="264">
      <c r="A18" s="6" t="s">
        <v>1097</v>
      </c>
      <c r="B18" s="6" t="s">
        <v>1098</v>
      </c>
      <c r="C18" s="6" t="s">
        <v>1099</v>
      </c>
      <c r="D18" t="s">
        <v>446</v>
      </c>
      <c r="E18" t="s">
        <v>447</v>
      </c>
      <c r="F18">
        <v>3.93</v>
      </c>
      <c r="G18">
        <v>0.26</v>
      </c>
      <c r="H18" t="s">
        <v>2462</v>
      </c>
      <c r="I18">
        <v>4517920900</v>
      </c>
      <c r="J18">
        <v>16.54</v>
      </c>
      <c r="K18">
        <v>0.70099999999999996</v>
      </c>
      <c r="L18" t="s">
        <v>361</v>
      </c>
      <c r="M18" t="s">
        <v>2463</v>
      </c>
      <c r="N18" t="s">
        <v>2464</v>
      </c>
      <c r="O18" t="s">
        <v>2465</v>
      </c>
      <c r="P18">
        <v>-5.78</v>
      </c>
      <c r="Q18" t="s">
        <v>2466</v>
      </c>
      <c r="R18">
        <v>88103628</v>
      </c>
      <c r="S18" s="5">
        <v>-0.376</v>
      </c>
      <c r="T18" t="s">
        <v>316</v>
      </c>
      <c r="U18">
        <v>1077947780</v>
      </c>
      <c r="V18">
        <v>1149598190</v>
      </c>
      <c r="W18">
        <v>2.93</v>
      </c>
      <c r="X18">
        <v>0.16</v>
      </c>
      <c r="Y18">
        <v>2.88</v>
      </c>
      <c r="Z18" t="s">
        <v>325</v>
      </c>
      <c r="AA18" t="s">
        <v>1008</v>
      </c>
      <c r="AB18" t="s">
        <v>2467</v>
      </c>
      <c r="AC18" t="s">
        <v>2468</v>
      </c>
      <c r="AD18" t="s">
        <v>19</v>
      </c>
      <c r="AE18">
        <v>35867404</v>
      </c>
      <c r="AF18" t="s">
        <v>2469</v>
      </c>
      <c r="AG18" t="s">
        <v>2470</v>
      </c>
      <c r="AH18" t="s">
        <v>2471</v>
      </c>
      <c r="AI18" t="s">
        <v>2472</v>
      </c>
      <c r="AJ18" t="s">
        <v>2473</v>
      </c>
      <c r="AK18" t="s">
        <v>2474</v>
      </c>
      <c r="AL18" t="s">
        <v>2475</v>
      </c>
      <c r="AM18" t="s">
        <v>19</v>
      </c>
      <c r="AN18" t="s">
        <v>2476</v>
      </c>
      <c r="AO18" t="s">
        <v>2477</v>
      </c>
      <c r="AP18" t="s">
        <v>2478</v>
      </c>
      <c r="AQ18" t="s">
        <v>1989</v>
      </c>
      <c r="AR18" t="s">
        <v>2479</v>
      </c>
      <c r="AS18" t="s">
        <v>2480</v>
      </c>
      <c r="AT18" t="s">
        <v>409</v>
      </c>
      <c r="AU18" t="s">
        <v>105</v>
      </c>
      <c r="AV18" t="s">
        <v>2481</v>
      </c>
      <c r="AW18" t="s">
        <v>1635</v>
      </c>
      <c r="AX18" t="s">
        <v>1613</v>
      </c>
      <c r="AY18" t="s">
        <v>1355</v>
      </c>
      <c r="AZ18" t="s">
        <v>449</v>
      </c>
      <c r="BA18" t="s">
        <v>450</v>
      </c>
      <c r="BB18" t="s">
        <v>451</v>
      </c>
      <c r="BC18" t="s">
        <v>1614</v>
      </c>
      <c r="BD18" t="s">
        <v>212</v>
      </c>
      <c r="BE18" t="s">
        <v>278</v>
      </c>
      <c r="BF18" t="s">
        <v>104</v>
      </c>
      <c r="BG18" t="s">
        <v>40</v>
      </c>
      <c r="BH18" t="s">
        <v>2466</v>
      </c>
      <c r="BI18" t="s">
        <v>2482</v>
      </c>
      <c r="BJ18" t="s">
        <v>1613</v>
      </c>
      <c r="BK18" t="s">
        <v>316</v>
      </c>
      <c r="BL18" t="s">
        <v>163</v>
      </c>
      <c r="BM18" t="s">
        <v>1614</v>
      </c>
      <c r="BN18">
        <v>3.29</v>
      </c>
      <c r="BO18">
        <v>3.72</v>
      </c>
      <c r="BP18">
        <v>6.94</v>
      </c>
      <c r="BQ18">
        <v>4.34</v>
      </c>
      <c r="BR18">
        <v>4.7699999999999996</v>
      </c>
      <c r="BS18">
        <v>10.72</v>
      </c>
      <c r="BT18" t="s">
        <v>1572</v>
      </c>
      <c r="BU18" t="s">
        <v>1336</v>
      </c>
      <c r="BV18">
        <v>11.29</v>
      </c>
      <c r="BW18">
        <v>11.96</v>
      </c>
      <c r="BX18">
        <v>13.26</v>
      </c>
      <c r="BY18">
        <v>2.5299999999999998</v>
      </c>
      <c r="BZ18">
        <v>2.44</v>
      </c>
      <c r="CA18">
        <v>4.3899999999999997</v>
      </c>
      <c r="CB18">
        <v>-0.76</v>
      </c>
      <c r="CC18">
        <v>-15.48</v>
      </c>
      <c r="CD18" t="s">
        <v>2483</v>
      </c>
      <c r="CE18" t="s">
        <v>302</v>
      </c>
      <c r="CF18" s="8">
        <v>-5.8011915961116337E-2</v>
      </c>
      <c r="CG18" s="9">
        <v>-0.37515157446808511</v>
      </c>
      <c r="CH18" s="8">
        <v>7.7254623174667358E-2</v>
      </c>
      <c r="CI18" s="8">
        <v>6.8840250372886658E-2</v>
      </c>
      <c r="CJ18" s="8">
        <v>0.21942530572414398</v>
      </c>
      <c r="CK18" s="8">
        <v>3.1194237992167473E-2</v>
      </c>
      <c r="CL18" s="8">
        <v>3.2317414879798889E-2</v>
      </c>
      <c r="CM18" s="9">
        <v>0.12027491629123688</v>
      </c>
      <c r="CN18" s="9">
        <v>-0.40973630547523499</v>
      </c>
      <c r="CO18" s="9">
        <v>0.81918817758560181</v>
      </c>
      <c r="CP18" s="9">
        <v>1.498127356171608E-2</v>
      </c>
      <c r="CQ18" s="9">
        <v>0.56140351295471191</v>
      </c>
      <c r="CR18">
        <v>14.902432875206156</v>
      </c>
      <c r="CS18">
        <v>1.7367514201389105</v>
      </c>
      <c r="CT18">
        <v>2.5445292620865141</v>
      </c>
      <c r="CU18" s="8">
        <v>8.5806366428732878E-2</v>
      </c>
      <c r="CV18" s="9">
        <v>0.22122231498360634</v>
      </c>
      <c r="CW18">
        <v>0.06</v>
      </c>
      <c r="CX18">
        <v>29.373595761009899</v>
      </c>
      <c r="CY18">
        <v>333936674.95827067</v>
      </c>
      <c r="CZ18">
        <v>8.5806366428732878E-2</v>
      </c>
      <c r="DA18">
        <v>9.6331809262777615</v>
      </c>
      <c r="DB18">
        <v>1018243192.468528</v>
      </c>
      <c r="DC18">
        <v>8.1516048107296235E-2</v>
      </c>
      <c r="DD18">
        <v>4.764740610285485</v>
      </c>
      <c r="DE18">
        <v>2058647406.4980187</v>
      </c>
      <c r="DF18">
        <v>7.5509602457284927E-2</v>
      </c>
      <c r="DG18">
        <v>2.8766264750106991</v>
      </c>
      <c r="DH18">
        <v>3409869506.9416399</v>
      </c>
      <c r="DI18">
        <v>6.8645093142986308E-2</v>
      </c>
      <c r="DJ18">
        <v>1.5034754057755073</v>
      </c>
      <c r="DK18">
        <v>6524164520.6297626</v>
      </c>
      <c r="DL18">
        <v>6.0064456500113009E-2</v>
      </c>
      <c r="DM18">
        <v>326000000</v>
      </c>
      <c r="DN18">
        <v>8.5806366428732878E-2</v>
      </c>
      <c r="DO18">
        <v>9808920900</v>
      </c>
      <c r="DP18">
        <v>5715996000</v>
      </c>
      <c r="DQ18">
        <v>647</v>
      </c>
      <c r="DR18">
        <v>-0.14381828238984923</v>
      </c>
      <c r="DS18">
        <v>-0.59637388945169145</v>
      </c>
      <c r="DT18" s="10">
        <v>-0.3066666666666667</v>
      </c>
      <c r="DU18">
        <v>-3.3333333333332989E-3</v>
      </c>
      <c r="DV18">
        <v>-0.31</v>
      </c>
      <c r="DW18">
        <v>-2.1547999999999998</v>
      </c>
      <c r="DX18">
        <v>0.35235606060606028</v>
      </c>
      <c r="DY18">
        <v>-2.0204887181818183</v>
      </c>
      <c r="DZ18">
        <v>2476</v>
      </c>
      <c r="EA18">
        <v>-2.0105611122682796</v>
      </c>
      <c r="EB18">
        <v>2</v>
      </c>
      <c r="EC18">
        <v>2.2796225870884503E-2</v>
      </c>
      <c r="ED18">
        <v>0.17223409163509557</v>
      </c>
      <c r="EE18" s="11">
        <v>-2.0032999999999999</v>
      </c>
      <c r="EF18">
        <v>-2.0142099999999998</v>
      </c>
      <c r="EG18">
        <v>22.13235606060606</v>
      </c>
      <c r="EH18" t="s">
        <v>1295</v>
      </c>
      <c r="EI18">
        <v>0</v>
      </c>
      <c r="EJ18">
        <v>0</v>
      </c>
      <c r="EK18" s="13">
        <v>45470</v>
      </c>
      <c r="EL18" s="14">
        <v>0.5</v>
      </c>
      <c r="EM18" s="14">
        <v>-3.23</v>
      </c>
      <c r="EN18" s="14">
        <v>0</v>
      </c>
      <c r="EO18" s="14">
        <v>3.08</v>
      </c>
      <c r="EP18" s="14">
        <v>-1.75</v>
      </c>
    </row>
    <row r="19" spans="1:146" ht="108">
      <c r="A19" s="6"/>
      <c r="B19" s="6"/>
      <c r="C19" s="6" t="str">
        <f>""&amp;CHAR(10)&amp;Basic_Fundamental_Information_Constructure(F19)&amp;CHAR(10)&amp;Basic_Fundamental_Information_Concatenate("")</f>
        <v xml:space="preserve">
市值54.377481亿, 利润3.44亿; PE13.8; 平均PE23.22; 平均PEG1.72, PB1.32; ROIC5.7767%; ROE9.12%; 股利率1.4323%; 毛利11.07%; 净利4.6867%; 上一年度营收增21.24%, 利润增19.03%; 当季营收增110.01%, 利润增69.89%; 过往5年营收增13.52%, 利润增18.46%
Income profile:
</v>
      </c>
      <c r="D19" t="s">
        <v>452</v>
      </c>
      <c r="E19" t="s">
        <v>453</v>
      </c>
      <c r="F19">
        <v>7.68</v>
      </c>
      <c r="G19">
        <v>1.19</v>
      </c>
      <c r="H19" t="s">
        <v>2484</v>
      </c>
      <c r="I19">
        <v>5437748100</v>
      </c>
      <c r="J19">
        <v>13.8</v>
      </c>
      <c r="K19">
        <v>1.32</v>
      </c>
      <c r="L19" t="s">
        <v>361</v>
      </c>
      <c r="M19" t="s">
        <v>2485</v>
      </c>
      <c r="N19" t="s">
        <v>2486</v>
      </c>
      <c r="O19" t="s">
        <v>84</v>
      </c>
      <c r="P19">
        <v>110</v>
      </c>
      <c r="Q19" t="s">
        <v>2487</v>
      </c>
      <c r="R19">
        <v>121729828</v>
      </c>
      <c r="S19" s="5">
        <v>0.69889999999999997</v>
      </c>
      <c r="T19" t="s">
        <v>331</v>
      </c>
      <c r="U19">
        <v>540371310</v>
      </c>
      <c r="V19">
        <v>708040120</v>
      </c>
      <c r="W19">
        <v>3.37</v>
      </c>
      <c r="X19">
        <v>0.12</v>
      </c>
      <c r="Y19">
        <v>6.6</v>
      </c>
      <c r="Z19" t="s">
        <v>2488</v>
      </c>
      <c r="AA19" t="s">
        <v>2489</v>
      </c>
      <c r="AB19" t="s">
        <v>2490</v>
      </c>
      <c r="AC19" t="s">
        <v>2491</v>
      </c>
      <c r="AD19" t="s">
        <v>19</v>
      </c>
      <c r="AE19">
        <v>-7106061</v>
      </c>
      <c r="AF19" t="s">
        <v>2492</v>
      </c>
      <c r="AG19" t="s">
        <v>2493</v>
      </c>
      <c r="AH19" t="s">
        <v>2494</v>
      </c>
      <c r="AI19" t="s">
        <v>2495</v>
      </c>
      <c r="AJ19" t="s">
        <v>2496</v>
      </c>
      <c r="AK19" t="s">
        <v>1885</v>
      </c>
      <c r="AL19" t="s">
        <v>2497</v>
      </c>
      <c r="AM19" t="s">
        <v>19</v>
      </c>
      <c r="AN19" t="s">
        <v>2498</v>
      </c>
      <c r="AO19" t="s">
        <v>334</v>
      </c>
      <c r="AP19" t="s">
        <v>239</v>
      </c>
      <c r="AQ19" t="s">
        <v>2499</v>
      </c>
      <c r="AR19" t="s">
        <v>19</v>
      </c>
      <c r="AS19" t="s">
        <v>2500</v>
      </c>
      <c r="AT19" t="s">
        <v>708</v>
      </c>
      <c r="AU19" t="s">
        <v>27</v>
      </c>
      <c r="AV19" t="s">
        <v>2501</v>
      </c>
      <c r="AW19" t="s">
        <v>336</v>
      </c>
      <c r="AX19" t="s">
        <v>1615</v>
      </c>
      <c r="AY19" t="s">
        <v>1356</v>
      </c>
      <c r="AZ19" t="s">
        <v>454</v>
      </c>
      <c r="BA19" t="s">
        <v>458</v>
      </c>
      <c r="BB19" t="s">
        <v>459</v>
      </c>
      <c r="BC19" t="s">
        <v>280</v>
      </c>
      <c r="BD19" t="s">
        <v>167</v>
      </c>
      <c r="BE19" t="s">
        <v>302</v>
      </c>
      <c r="BF19" t="s">
        <v>146</v>
      </c>
      <c r="BG19" t="s">
        <v>197</v>
      </c>
      <c r="BH19" t="s">
        <v>2487</v>
      </c>
      <c r="BI19" t="s">
        <v>2502</v>
      </c>
      <c r="BJ19" t="s">
        <v>1615</v>
      </c>
      <c r="BK19" t="s">
        <v>331</v>
      </c>
      <c r="BL19" t="s">
        <v>2503</v>
      </c>
      <c r="BM19" t="s">
        <v>280</v>
      </c>
      <c r="BN19">
        <v>4.49</v>
      </c>
      <c r="BO19">
        <v>5.51</v>
      </c>
      <c r="BP19">
        <v>7.33</v>
      </c>
      <c r="BQ19">
        <v>6.85</v>
      </c>
      <c r="BR19">
        <v>10.44</v>
      </c>
      <c r="BS19">
        <v>10.07</v>
      </c>
      <c r="BT19" t="s">
        <v>1582</v>
      </c>
      <c r="BU19" t="s">
        <v>1336</v>
      </c>
      <c r="BV19">
        <v>10.35</v>
      </c>
      <c r="BW19">
        <v>12.17</v>
      </c>
      <c r="BX19">
        <v>10.69</v>
      </c>
      <c r="BY19">
        <v>4.79</v>
      </c>
      <c r="BZ19">
        <v>4.84</v>
      </c>
      <c r="CA19">
        <v>4.43</v>
      </c>
      <c r="CB19">
        <v>-0.9</v>
      </c>
      <c r="CC19">
        <v>-10.07</v>
      </c>
      <c r="CD19" t="s">
        <v>2504</v>
      </c>
      <c r="CE19" t="s">
        <v>354</v>
      </c>
      <c r="CF19" s="8">
        <v>1.100115074798619</v>
      </c>
      <c r="CG19" s="9">
        <v>0.69893187515003319</v>
      </c>
      <c r="CH19" s="8">
        <v>0.21238374710083008</v>
      </c>
      <c r="CI19" s="8">
        <v>3.8480769842863083E-2</v>
      </c>
      <c r="CJ19" s="8">
        <v>0.15220728516578674</v>
      </c>
      <c r="CK19" s="8">
        <v>0.1531650573015213</v>
      </c>
      <c r="CL19" s="8">
        <v>0.11998016387224197</v>
      </c>
      <c r="CM19" s="9">
        <v>0.19031141698360443</v>
      </c>
      <c r="CN19" s="9">
        <v>0.16064256429672241</v>
      </c>
      <c r="CO19" s="9">
        <v>0.25757575035095215</v>
      </c>
      <c r="CP19" s="9">
        <v>0.11864406615495682</v>
      </c>
      <c r="CQ19" s="9">
        <v>0.19594594836235046</v>
      </c>
      <c r="CR19">
        <v>23.221700071174379</v>
      </c>
      <c r="CS19">
        <v>1.7170301302402762</v>
      </c>
      <c r="CT19">
        <v>1.4322916666666667</v>
      </c>
      <c r="CU19" s="8">
        <v>0.13524340465664864</v>
      </c>
      <c r="CV19" s="9">
        <v>0.18462394922971725</v>
      </c>
      <c r="CW19">
        <v>0.06</v>
      </c>
      <c r="CX19">
        <v>29.145509162709235</v>
      </c>
      <c r="CY19">
        <v>368418614.34140295</v>
      </c>
      <c r="CZ19">
        <v>0.13524340465664864</v>
      </c>
      <c r="DA19">
        <v>9.1683119081371451</v>
      </c>
      <c r="DB19">
        <v>1171180497.3028824</v>
      </c>
      <c r="DC19">
        <v>0.1284812344238162</v>
      </c>
      <c r="DD19">
        <v>4.2854065065470079</v>
      </c>
      <c r="DE19">
        <v>2505654500.5929914</v>
      </c>
      <c r="DF19">
        <v>0.1190141960978508</v>
      </c>
      <c r="DG19">
        <v>2.4244473486180214</v>
      </c>
      <c r="DH19">
        <v>4428946706.6054087</v>
      </c>
      <c r="DI19">
        <v>0.10819472372531891</v>
      </c>
      <c r="DJ19">
        <v>1.0942280191583913</v>
      </c>
      <c r="DK19">
        <v>9813080922.8032513</v>
      </c>
      <c r="DL19">
        <v>9.4670383259654045E-2</v>
      </c>
      <c r="DM19">
        <v>344000000</v>
      </c>
      <c r="DN19">
        <v>0.13524340465664864</v>
      </c>
      <c r="DO19">
        <v>10737748100</v>
      </c>
      <c r="DP19">
        <v>-567029500</v>
      </c>
      <c r="DQ19">
        <v>652</v>
      </c>
      <c r="DR19">
        <v>0.96487167014197039</v>
      </c>
      <c r="DS19">
        <v>0.51430792592031593</v>
      </c>
      <c r="DT19" s="10">
        <v>-2.3333333333333355E-2</v>
      </c>
      <c r="DU19">
        <v>0.77</v>
      </c>
      <c r="DV19">
        <v>0.7466666666666667</v>
      </c>
      <c r="DW19">
        <v>-2.1006999999999998</v>
      </c>
      <c r="DX19">
        <v>0.38189646017699275</v>
      </c>
      <c r="DY19">
        <v>-2.0132819735398231</v>
      </c>
      <c r="DZ19">
        <v>405</v>
      </c>
      <c r="EA19">
        <v>-2.0122292926624006</v>
      </c>
      <c r="EB19">
        <v>2</v>
      </c>
      <c r="EC19">
        <v>2.1050078348667588E-2</v>
      </c>
      <c r="ED19">
        <v>0.15959547603036955</v>
      </c>
      <c r="EE19" s="11">
        <v>-1.02661</v>
      </c>
      <c r="EF19">
        <v>-1.0521100000000001</v>
      </c>
      <c r="EG19">
        <v>25.131896460176993</v>
      </c>
      <c r="EH19" t="s">
        <v>1265</v>
      </c>
      <c r="EI19">
        <v>0</v>
      </c>
      <c r="EJ19">
        <v>1</v>
      </c>
      <c r="EK19" s="13">
        <v>45470</v>
      </c>
      <c r="EL19" s="14">
        <v>0.63</v>
      </c>
      <c r="EM19" s="14">
        <v>-3.14</v>
      </c>
      <c r="EN19" s="14">
        <v>0.52</v>
      </c>
      <c r="EO19" s="14">
        <v>2.75</v>
      </c>
      <c r="EP19" s="14">
        <v>-2.5499999999999998</v>
      </c>
    </row>
    <row r="20" spans="1:146" ht="108">
      <c r="A20" s="6"/>
      <c r="B20" s="6"/>
      <c r="C20" s="6" t="str">
        <f>""&amp;CHAR(10)&amp;Basic_Fundamental_Information_Constructure(F20)&amp;CHAR(10)&amp;Basic_Fundamental_Information_Concatenate("")</f>
        <v xml:space="preserve">
市值46.219195亿, 利润9157.26万; PE47.98; 平均PE97.49; 平均PEG47.37, PB3.26; ROIC8.59%; ROE3.55%; 股利率0%; 毛利9.18%; 净利.2633%; 上一年度营收增15.68%, 利润增163.15%; 当季营收增4.69%, 利润增13.94%; 过往5年营收增-2.06%, 利润增28.56%
Income profile:
</v>
      </c>
      <c r="D20" t="s">
        <v>1267</v>
      </c>
      <c r="E20" t="s">
        <v>1268</v>
      </c>
      <c r="F20">
        <v>5.47</v>
      </c>
      <c r="G20">
        <v>1.3</v>
      </c>
      <c r="H20" t="s">
        <v>2505</v>
      </c>
      <c r="I20">
        <v>4621919500</v>
      </c>
      <c r="J20">
        <v>47.98</v>
      </c>
      <c r="K20">
        <v>3.26</v>
      </c>
      <c r="L20" t="s">
        <v>361</v>
      </c>
      <c r="M20" t="s">
        <v>2506</v>
      </c>
      <c r="N20" t="s">
        <v>2507</v>
      </c>
      <c r="O20" t="s">
        <v>1970</v>
      </c>
      <c r="P20">
        <v>4.67</v>
      </c>
      <c r="Q20" t="s">
        <v>2508</v>
      </c>
      <c r="R20">
        <v>-29312697</v>
      </c>
      <c r="S20" s="5">
        <v>0.1394</v>
      </c>
      <c r="T20" t="s">
        <v>2509</v>
      </c>
      <c r="U20">
        <v>803550000</v>
      </c>
      <c r="V20">
        <v>844957870</v>
      </c>
      <c r="W20">
        <v>3.99</v>
      </c>
      <c r="X20">
        <v>0.12</v>
      </c>
      <c r="Y20">
        <v>-4.97</v>
      </c>
      <c r="Z20" t="s">
        <v>1866</v>
      </c>
      <c r="AA20" t="s">
        <v>1266</v>
      </c>
      <c r="AB20" t="s">
        <v>2510</v>
      </c>
      <c r="AC20" t="s">
        <v>2511</v>
      </c>
      <c r="AD20" t="s">
        <v>19</v>
      </c>
      <c r="AE20">
        <v>5420695</v>
      </c>
      <c r="AF20" t="s">
        <v>2512</v>
      </c>
      <c r="AG20" t="s">
        <v>2513</v>
      </c>
      <c r="AH20" t="s">
        <v>2514</v>
      </c>
      <c r="AI20" t="s">
        <v>1888</v>
      </c>
      <c r="AJ20" t="s">
        <v>2515</v>
      </c>
      <c r="AK20" t="s">
        <v>23</v>
      </c>
      <c r="AL20" t="s">
        <v>2516</v>
      </c>
      <c r="AM20" t="s">
        <v>19</v>
      </c>
      <c r="AN20" t="s">
        <v>2517</v>
      </c>
      <c r="AO20" t="s">
        <v>2518</v>
      </c>
      <c r="AP20" t="s">
        <v>2519</v>
      </c>
      <c r="AQ20" t="s">
        <v>2520</v>
      </c>
      <c r="AR20" t="s">
        <v>2521</v>
      </c>
      <c r="AS20" t="s">
        <v>2522</v>
      </c>
      <c r="AT20" t="s">
        <v>2523</v>
      </c>
      <c r="AU20" t="s">
        <v>2524</v>
      </c>
      <c r="AV20" t="s">
        <v>2525</v>
      </c>
      <c r="AW20" t="s">
        <v>2526</v>
      </c>
      <c r="AX20" t="s">
        <v>1616</v>
      </c>
      <c r="AY20" t="s">
        <v>1357</v>
      </c>
      <c r="AZ20" t="s">
        <v>1269</v>
      </c>
      <c r="BA20" t="s">
        <v>1270</v>
      </c>
      <c r="BB20" t="s">
        <v>1271</v>
      </c>
      <c r="BC20" t="s">
        <v>1617</v>
      </c>
      <c r="BD20" t="s">
        <v>90</v>
      </c>
      <c r="BE20" t="s">
        <v>35</v>
      </c>
      <c r="BF20" t="s">
        <v>1272</v>
      </c>
      <c r="BG20" t="s">
        <v>1273</v>
      </c>
      <c r="BH20" t="s">
        <v>2508</v>
      </c>
      <c r="BI20" t="s">
        <v>1703</v>
      </c>
      <c r="BJ20" t="s">
        <v>1616</v>
      </c>
      <c r="BK20" t="s">
        <v>2509</v>
      </c>
      <c r="BL20" t="s">
        <v>2527</v>
      </c>
      <c r="BM20" t="s">
        <v>1617</v>
      </c>
      <c r="BN20">
        <v>6.49</v>
      </c>
      <c r="BO20" t="s">
        <v>19</v>
      </c>
      <c r="BP20">
        <v>10.69</v>
      </c>
      <c r="BQ20">
        <v>10.38</v>
      </c>
      <c r="BR20">
        <v>-11.85</v>
      </c>
      <c r="BS20">
        <v>12.12</v>
      </c>
      <c r="BT20" t="s">
        <v>1571</v>
      </c>
      <c r="BU20" t="s">
        <v>1334</v>
      </c>
      <c r="BV20">
        <v>8.82</v>
      </c>
      <c r="BW20">
        <v>7.18</v>
      </c>
      <c r="BX20">
        <v>11.54</v>
      </c>
      <c r="BY20">
        <v>2.02</v>
      </c>
      <c r="BZ20">
        <v>-4.92</v>
      </c>
      <c r="CA20">
        <v>3.69</v>
      </c>
      <c r="CB20">
        <v>-0.18</v>
      </c>
      <c r="CC20">
        <v>-22.41</v>
      </c>
      <c r="CD20" t="s">
        <v>2528</v>
      </c>
      <c r="CE20" t="s">
        <v>1831</v>
      </c>
      <c r="CF20" s="8">
        <v>4.6854082998661312E-2</v>
      </c>
      <c r="CG20" s="9">
        <v>0.13943617852047138</v>
      </c>
      <c r="CH20" s="8">
        <v>0.15680311620235443</v>
      </c>
      <c r="CI20" s="8">
        <v>-0.17159225046634674</v>
      </c>
      <c r="CJ20" s="8">
        <v>-1.266681682318449E-2</v>
      </c>
      <c r="CK20" s="8">
        <v>-6.0161523520946503E-2</v>
      </c>
      <c r="CL20" s="8">
        <v>-1.528154406696558E-2</v>
      </c>
      <c r="CM20" s="9">
        <v>1.6315351724624634</v>
      </c>
      <c r="CN20" s="9">
        <v>-2.394230842590332</v>
      </c>
      <c r="CO20" s="9">
        <v>-0.30666667222976685</v>
      </c>
      <c r="CP20" s="9">
        <v>1.9285150766372681</v>
      </c>
      <c r="CQ20" s="9">
        <v>0.56887096166610718</v>
      </c>
      <c r="CR20">
        <v>97.494760778241968</v>
      </c>
      <c r="CS20">
        <v>47.373999302213342</v>
      </c>
      <c r="CT20">
        <v>0</v>
      </c>
      <c r="CU20" s="8">
        <v>-2.0579803735017776E-2</v>
      </c>
      <c r="CV20" s="9">
        <v>0.28560473918914797</v>
      </c>
      <c r="CW20">
        <v>0.06</v>
      </c>
      <c r="CX20" t="e">
        <v>#VALUE!</v>
      </c>
      <c r="CY20" t="s">
        <v>1284</v>
      </c>
      <c r="CZ20">
        <v>-2.0579803735017776E-2</v>
      </c>
      <c r="DA20">
        <v>28.687327504806749</v>
      </c>
      <c r="DB20" t="s">
        <v>2529</v>
      </c>
      <c r="DC20">
        <v>-1.9550813548266887E-2</v>
      </c>
      <c r="DD20">
        <v>14.343663752403375</v>
      </c>
      <c r="DE20" t="s">
        <v>2530</v>
      </c>
      <c r="DF20">
        <v>-1.8110227286815644E-2</v>
      </c>
      <c r="DG20">
        <v>8.6061982514420254</v>
      </c>
      <c r="DH20" t="s">
        <v>2531</v>
      </c>
      <c r="DI20">
        <v>-1.6463842988014222E-2</v>
      </c>
      <c r="DJ20">
        <v>4.3030991257210127</v>
      </c>
      <c r="DK20" t="s">
        <v>2532</v>
      </c>
      <c r="DL20">
        <v>-1.4405862614512443E-2</v>
      </c>
      <c r="DM20">
        <v>91572600</v>
      </c>
      <c r="DN20">
        <v>-2.0579803735017776E-2</v>
      </c>
      <c r="DO20">
        <v>7880919500</v>
      </c>
      <c r="DP20">
        <v>-93794200.000000477</v>
      </c>
      <c r="DQ20">
        <v>673</v>
      </c>
      <c r="DR20">
        <v>6.7433886733679088E-2</v>
      </c>
      <c r="DS20">
        <v>-0.14616856066867659</v>
      </c>
      <c r="DT20" s="10">
        <v>-0.42333333333333334</v>
      </c>
      <c r="DU20">
        <v>-0.47666666666666685</v>
      </c>
      <c r="DV20">
        <v>-0.90000000000000013</v>
      </c>
      <c r="DW20">
        <v>-3.0724940476190477</v>
      </c>
      <c r="DX20">
        <v>0.36606149732620319</v>
      </c>
      <c r="DY20">
        <v>-3.0156631724758083</v>
      </c>
      <c r="DZ20">
        <v>3462</v>
      </c>
      <c r="EA20">
        <v>-3.0050514497534504</v>
      </c>
      <c r="EB20">
        <v>3</v>
      </c>
      <c r="EC20">
        <v>4.7817176967651656E-2</v>
      </c>
      <c r="ED20">
        <v>0.22131280935935896</v>
      </c>
      <c r="EE20" s="11">
        <v>-3.0291000000000001</v>
      </c>
      <c r="EF20">
        <v>-3.0081000000000002</v>
      </c>
      <c r="EG20">
        <v>15.216061497326203</v>
      </c>
      <c r="EH20" t="s">
        <v>1282</v>
      </c>
      <c r="EI20">
        <v>0</v>
      </c>
      <c r="EJ20">
        <v>0</v>
      </c>
      <c r="EK20" s="13">
        <v>45470</v>
      </c>
      <c r="EL20" s="14">
        <v>0.52</v>
      </c>
      <c r="EM20" s="14">
        <v>-4.3499999999999996</v>
      </c>
      <c r="EN20" s="14">
        <v>-0.18</v>
      </c>
      <c r="EO20" s="14">
        <v>4.1900000000000004</v>
      </c>
      <c r="EP20" s="14">
        <v>-2.1</v>
      </c>
    </row>
    <row r="21" spans="1:146" ht="108">
      <c r="A21" s="6"/>
      <c r="B21" s="6"/>
      <c r="C21" s="6" t="str">
        <f>""&amp;CHAR(10)&amp;Basic_Fundamental_Information_Constructure(F21)&amp;CHAR(10)&amp;Basic_Fundamental_Information_Concatenate("")</f>
        <v xml:space="preserve">
市值10.0720691亿, 利润907.13万; PE90.79; 平均PE-16.47; 平均PEG-2.99, PB25.51; ROIC0%; ROE-44.6767%; 股利率0%; 毛利20.4067%; 净利-9.42%; 上一年度营收增3.25%, 利润增-17.81%; 当季营收增-11.67%, 利润增-1264.42%; 过往5年营收增5.51%, 利润增-25.9%
Income profile:
</v>
      </c>
      <c r="D21" t="s">
        <v>460</v>
      </c>
      <c r="E21" t="s">
        <v>1274</v>
      </c>
      <c r="F21">
        <v>5.47</v>
      </c>
      <c r="G21">
        <v>3.4</v>
      </c>
      <c r="H21" t="s">
        <v>2533</v>
      </c>
      <c r="I21">
        <v>1007206910</v>
      </c>
      <c r="J21">
        <v>90.79</v>
      </c>
      <c r="K21">
        <v>25.51</v>
      </c>
      <c r="L21" t="s">
        <v>361</v>
      </c>
      <c r="M21" t="s">
        <v>2534</v>
      </c>
      <c r="N21" t="s">
        <v>309</v>
      </c>
      <c r="O21" t="s">
        <v>106</v>
      </c>
      <c r="P21">
        <v>-11.5</v>
      </c>
      <c r="Q21" t="s">
        <v>1894</v>
      </c>
      <c r="R21">
        <v>-17500000</v>
      </c>
      <c r="S21" s="5">
        <v>1.3460000000000001</v>
      </c>
      <c r="T21" t="s">
        <v>2535</v>
      </c>
      <c r="U21">
        <v>184132890</v>
      </c>
      <c r="V21">
        <v>184132890</v>
      </c>
      <c r="W21">
        <v>10.56</v>
      </c>
      <c r="X21">
        <v>0.03</v>
      </c>
      <c r="Y21">
        <v>2.19</v>
      </c>
      <c r="Z21" t="s">
        <v>106</v>
      </c>
      <c r="AA21" t="s">
        <v>2536</v>
      </c>
      <c r="AB21" t="s">
        <v>2537</v>
      </c>
      <c r="AC21" t="s">
        <v>2538</v>
      </c>
      <c r="AD21" t="s">
        <v>19</v>
      </c>
      <c r="AE21">
        <v>2202333</v>
      </c>
      <c r="AF21" t="s">
        <v>2539</v>
      </c>
      <c r="AG21">
        <v>1010</v>
      </c>
      <c r="AH21" t="s">
        <v>2540</v>
      </c>
      <c r="AI21" t="s">
        <v>1691</v>
      </c>
      <c r="AJ21" t="s">
        <v>2541</v>
      </c>
      <c r="AK21" t="s">
        <v>19</v>
      </c>
      <c r="AL21" t="s">
        <v>2542</v>
      </c>
      <c r="AM21" t="s">
        <v>19</v>
      </c>
      <c r="AN21">
        <v>0</v>
      </c>
      <c r="AO21" t="s">
        <v>2543</v>
      </c>
      <c r="AP21" t="s">
        <v>19</v>
      </c>
      <c r="AQ21" t="s">
        <v>1640</v>
      </c>
      <c r="AR21" t="s">
        <v>2544</v>
      </c>
      <c r="AS21" t="s">
        <v>2545</v>
      </c>
      <c r="AT21" t="s">
        <v>1804</v>
      </c>
      <c r="AU21" t="s">
        <v>2546</v>
      </c>
      <c r="AV21" t="s">
        <v>2547</v>
      </c>
      <c r="AW21" t="s">
        <v>2548</v>
      </c>
      <c r="AX21" t="s">
        <v>1485</v>
      </c>
      <c r="AY21" t="s">
        <v>646</v>
      </c>
      <c r="AZ21" t="s">
        <v>462</v>
      </c>
      <c r="BA21" t="s">
        <v>464</v>
      </c>
      <c r="BB21" t="s">
        <v>465</v>
      </c>
      <c r="BC21" t="s">
        <v>2549</v>
      </c>
      <c r="BD21" t="s">
        <v>1126</v>
      </c>
      <c r="BE21" t="s">
        <v>463</v>
      </c>
      <c r="BF21" t="s">
        <v>467</v>
      </c>
      <c r="BG21" t="s">
        <v>301</v>
      </c>
      <c r="BH21" t="s">
        <v>1894</v>
      </c>
      <c r="BI21" t="s">
        <v>28</v>
      </c>
      <c r="BJ21" t="s">
        <v>1485</v>
      </c>
      <c r="BK21" t="s">
        <v>2535</v>
      </c>
      <c r="BL21" t="s">
        <v>2550</v>
      </c>
      <c r="BM21" t="s">
        <v>2549</v>
      </c>
      <c r="BN21" t="s">
        <v>19</v>
      </c>
      <c r="BO21" t="s">
        <v>19</v>
      </c>
      <c r="BP21" t="s">
        <v>19</v>
      </c>
      <c r="BQ21">
        <v>-53.32</v>
      </c>
      <c r="BR21">
        <v>23.61</v>
      </c>
      <c r="BS21">
        <v>-104.32</v>
      </c>
      <c r="BT21" t="s">
        <v>1571</v>
      </c>
      <c r="BU21" t="s">
        <v>1334</v>
      </c>
      <c r="BV21">
        <v>12.84</v>
      </c>
      <c r="BW21">
        <v>22.71</v>
      </c>
      <c r="BX21">
        <v>25.67</v>
      </c>
      <c r="BY21">
        <v>-0.62</v>
      </c>
      <c r="BZ21">
        <v>-0.2</v>
      </c>
      <c r="CA21">
        <v>-27.44</v>
      </c>
      <c r="CB21">
        <v>3.6</v>
      </c>
      <c r="CC21">
        <v>-8.2200000000000006</v>
      </c>
      <c r="CD21" t="s">
        <v>2551</v>
      </c>
      <c r="CE21" t="s">
        <v>2552</v>
      </c>
      <c r="CF21" s="8">
        <v>-0.11666666666666667</v>
      </c>
      <c r="CG21" s="9">
        <v>-12.644154634373544</v>
      </c>
      <c r="CH21" s="8">
        <v>3.2534245401620865E-2</v>
      </c>
      <c r="CI21" s="8">
        <v>0.48979592323303223</v>
      </c>
      <c r="CJ21" s="8">
        <v>0.46268656849861145</v>
      </c>
      <c r="CK21" s="8">
        <v>-0.60703814029693604</v>
      </c>
      <c r="CL21" s="8">
        <v>-0.102631576359272</v>
      </c>
      <c r="CM21" s="9">
        <v>-0.17813816666603088</v>
      </c>
      <c r="CN21" s="9">
        <v>1.1502389907836914</v>
      </c>
      <c r="CO21" s="9">
        <v>0.22127099335193634</v>
      </c>
      <c r="CP21" s="9">
        <v>-3.6292462348937988</v>
      </c>
      <c r="CQ21" s="9">
        <v>1.140711784362793</v>
      </c>
      <c r="CR21">
        <v>-16.474799471017317</v>
      </c>
      <c r="CS21">
        <v>-2.9916429534036109</v>
      </c>
      <c r="CT21">
        <v>0</v>
      </c>
      <c r="CU21" s="8">
        <v>5.5069404095411299E-2</v>
      </c>
      <c r="CV21" s="9">
        <v>-0.25903252661228182</v>
      </c>
      <c r="CW21">
        <v>0.06</v>
      </c>
      <c r="CX21">
        <v>403.60666884729625</v>
      </c>
      <c r="CY21">
        <v>9029104.797519533</v>
      </c>
      <c r="CZ21">
        <v>5.5069404095411299E-2</v>
      </c>
      <c r="DA21">
        <v>135.87013832233367</v>
      </c>
      <c r="DB21">
        <v>26821249.724163879</v>
      </c>
      <c r="DC21">
        <v>5.231593389064073E-2</v>
      </c>
      <c r="DD21">
        <v>69.557475282556013</v>
      </c>
      <c r="DE21">
        <v>52391305.106985576</v>
      </c>
      <c r="DF21">
        <v>4.8461075603961942E-2</v>
      </c>
      <c r="DG21">
        <v>43.623905315218074</v>
      </c>
      <c r="DH21">
        <v>83536925.079670221</v>
      </c>
      <c r="DI21">
        <v>4.4055523276329042E-2</v>
      </c>
      <c r="DJ21">
        <v>24.724058993980282</v>
      </c>
      <c r="DK21">
        <v>147395171.27374908</v>
      </c>
      <c r="DL21">
        <v>3.854858286678791E-2</v>
      </c>
      <c r="DM21">
        <v>9071300</v>
      </c>
      <c r="DN21">
        <v>5.5069404095411299E-2</v>
      </c>
      <c r="DO21">
        <v>3644206910</v>
      </c>
      <c r="DP21">
        <v>-207820800</v>
      </c>
      <c r="DQ21">
        <v>710</v>
      </c>
      <c r="DR21">
        <v>-0.17173607076207797</v>
      </c>
      <c r="DS21">
        <v>-12.385122107761262</v>
      </c>
      <c r="DT21" s="10">
        <v>-0.38999999999999996</v>
      </c>
      <c r="DU21">
        <v>-1.4983333333333333</v>
      </c>
      <c r="DV21">
        <v>-1.8883333333333332</v>
      </c>
      <c r="DW21">
        <v>6.3045685279187813</v>
      </c>
      <c r="DX21">
        <v>0.46236492170311932</v>
      </c>
      <c r="DY21">
        <v>6.0494512451887674</v>
      </c>
      <c r="DZ21">
        <v>3773</v>
      </c>
      <c r="EA21">
        <v>6.012938613467198</v>
      </c>
      <c r="EB21">
        <v>6</v>
      </c>
      <c r="EC21">
        <v>2.1803274797891896E-2</v>
      </c>
      <c r="ED21">
        <v>0.13428562382309864</v>
      </c>
      <c r="EE21" s="11">
        <v>-2.0385</v>
      </c>
      <c r="EF21">
        <v>-2.0230999999999999</v>
      </c>
      <c r="EG21">
        <v>30.162364921703119</v>
      </c>
      <c r="EH21" t="s">
        <v>1905</v>
      </c>
      <c r="EI21">
        <v>0</v>
      </c>
      <c r="EJ21">
        <v>0</v>
      </c>
      <c r="EK21" s="13">
        <v>45470</v>
      </c>
      <c r="EL21" s="14">
        <v>0.97</v>
      </c>
      <c r="EM21" s="14">
        <v>-3.85</v>
      </c>
      <c r="EN21" s="14">
        <v>3</v>
      </c>
      <c r="EO21" s="14">
        <v>0.57999999999999996</v>
      </c>
      <c r="EP21" s="14">
        <v>-1.54</v>
      </c>
    </row>
    <row r="22" spans="1:146" ht="108">
      <c r="A22" s="6"/>
      <c r="B22" s="6"/>
      <c r="C22" s="6" t="str">
        <f>""&amp;CHAR(10)&amp;Basic_Fundamental_Information_Constructure(F22)&amp;CHAR(10)&amp;Basic_Fundamental_Information_Concatenate("")</f>
        <v xml:space="preserve">
市值36.273139亿, 利润3222.71万; PE117.5; 平均PE73.27; 平均PEG26.98, PB1.05; ROIC.68%; ROE1.3%; 股利率0%; 毛利16.37%; 净利.6167%; 上一年度营收增-27.2%, 利润增-30.42%; 当季营收增-9.57%, 利润增-18.66%; 过往5年营收增-2.72%, 利润增-8.42%
Income profile:
</v>
      </c>
      <c r="D22" t="s">
        <v>468</v>
      </c>
      <c r="E22" t="s">
        <v>469</v>
      </c>
      <c r="F22">
        <v>2.86</v>
      </c>
      <c r="G22">
        <v>0.35</v>
      </c>
      <c r="H22" t="s">
        <v>2553</v>
      </c>
      <c r="I22">
        <v>3627313900</v>
      </c>
      <c r="J22">
        <v>117.5</v>
      </c>
      <c r="K22">
        <v>1.05</v>
      </c>
      <c r="L22" t="s">
        <v>361</v>
      </c>
      <c r="M22" t="s">
        <v>2554</v>
      </c>
      <c r="N22" t="s">
        <v>2555</v>
      </c>
      <c r="O22" t="s">
        <v>2556</v>
      </c>
      <c r="P22">
        <v>-9.57</v>
      </c>
      <c r="Q22" t="s">
        <v>2557</v>
      </c>
      <c r="R22">
        <v>5931717</v>
      </c>
      <c r="S22" s="5">
        <v>-0.18659999999999999</v>
      </c>
      <c r="T22" t="s">
        <v>2558</v>
      </c>
      <c r="U22">
        <v>1091030720</v>
      </c>
      <c r="V22">
        <v>1268291580</v>
      </c>
      <c r="W22">
        <v>9.81</v>
      </c>
      <c r="X22">
        <v>0.03</v>
      </c>
      <c r="Y22">
        <v>0.13</v>
      </c>
      <c r="Z22" t="s">
        <v>2559</v>
      </c>
      <c r="AA22" t="s">
        <v>2560</v>
      </c>
      <c r="AB22" t="s">
        <v>2561</v>
      </c>
      <c r="AC22" t="s">
        <v>90</v>
      </c>
      <c r="AD22" t="s">
        <v>19</v>
      </c>
      <c r="AE22">
        <v>193340340</v>
      </c>
      <c r="AF22" t="s">
        <v>20</v>
      </c>
      <c r="AG22" t="s">
        <v>2562</v>
      </c>
      <c r="AH22" t="s">
        <v>2563</v>
      </c>
      <c r="AI22" t="s">
        <v>2564</v>
      </c>
      <c r="AJ22" t="s">
        <v>2565</v>
      </c>
      <c r="AK22" t="s">
        <v>2566</v>
      </c>
      <c r="AL22" t="s">
        <v>2567</v>
      </c>
      <c r="AM22" t="s">
        <v>19</v>
      </c>
      <c r="AN22" t="s">
        <v>2568</v>
      </c>
      <c r="AO22" t="s">
        <v>1966</v>
      </c>
      <c r="AP22" t="s">
        <v>153</v>
      </c>
      <c r="AQ22" t="s">
        <v>2569</v>
      </c>
      <c r="AR22" t="s">
        <v>2570</v>
      </c>
      <c r="AS22" t="s">
        <v>2571</v>
      </c>
      <c r="AT22" t="s">
        <v>2572</v>
      </c>
      <c r="AU22" t="s">
        <v>2573</v>
      </c>
      <c r="AV22" t="s">
        <v>2574</v>
      </c>
      <c r="AW22" t="s">
        <v>1904</v>
      </c>
      <c r="AX22" t="s">
        <v>1620</v>
      </c>
      <c r="AY22" t="s">
        <v>1358</v>
      </c>
      <c r="AZ22" t="s">
        <v>470</v>
      </c>
      <c r="BA22" t="s">
        <v>473</v>
      </c>
      <c r="BB22" t="s">
        <v>474</v>
      </c>
      <c r="BC22" t="s">
        <v>1621</v>
      </c>
      <c r="BD22" t="s">
        <v>1127</v>
      </c>
      <c r="BE22" t="s">
        <v>471</v>
      </c>
      <c r="BF22" t="s">
        <v>475</v>
      </c>
      <c r="BG22" t="s">
        <v>476</v>
      </c>
      <c r="BH22" t="s">
        <v>2557</v>
      </c>
      <c r="BI22" t="s">
        <v>2575</v>
      </c>
      <c r="BJ22" t="s">
        <v>1620</v>
      </c>
      <c r="BK22" t="s">
        <v>2558</v>
      </c>
      <c r="BL22" t="s">
        <v>2576</v>
      </c>
      <c r="BM22" t="s">
        <v>1621</v>
      </c>
      <c r="BN22">
        <v>0.41</v>
      </c>
      <c r="BO22">
        <v>0.78</v>
      </c>
      <c r="BP22">
        <v>0.85</v>
      </c>
      <c r="BQ22">
        <v>0.63</v>
      </c>
      <c r="BR22">
        <v>1.39</v>
      </c>
      <c r="BS22">
        <v>1.88</v>
      </c>
      <c r="BT22" t="s">
        <v>1571</v>
      </c>
      <c r="BU22" t="s">
        <v>1342</v>
      </c>
      <c r="BV22">
        <v>19.97</v>
      </c>
      <c r="BW22">
        <v>17.260000000000002</v>
      </c>
      <c r="BX22">
        <v>11.88</v>
      </c>
      <c r="BY22">
        <v>0.88</v>
      </c>
      <c r="BZ22">
        <v>0.41</v>
      </c>
      <c r="CA22">
        <v>0.56000000000000005</v>
      </c>
      <c r="CB22">
        <v>0.35</v>
      </c>
      <c r="CC22">
        <v>-23.53</v>
      </c>
      <c r="CD22" t="s">
        <v>2577</v>
      </c>
      <c r="CE22" t="s">
        <v>128</v>
      </c>
      <c r="CF22" s="8">
        <v>-9.5652173913043481E-2</v>
      </c>
      <c r="CG22" s="9">
        <v>-0.18658918874444627</v>
      </c>
      <c r="CH22" s="8">
        <v>-0.27200207114219666</v>
      </c>
      <c r="CI22" s="8">
        <v>-5.3733736276626587E-2</v>
      </c>
      <c r="CJ22" s="8">
        <v>3.6513533443212509E-2</v>
      </c>
      <c r="CK22" s="8">
        <v>6.8308517336845398E-2</v>
      </c>
      <c r="CL22" s="8">
        <v>8.5145808756351471E-2</v>
      </c>
      <c r="CM22" s="9">
        <v>-0.30422082543373108</v>
      </c>
      <c r="CN22" s="9">
        <v>-0.18425644934177399</v>
      </c>
      <c r="CO22" s="9">
        <v>3.0740631744265556E-2</v>
      </c>
      <c r="CP22" s="9">
        <v>2.9779206961393356E-2</v>
      </c>
      <c r="CQ22" s="9">
        <v>6.8132583983242512E-3</v>
      </c>
      <c r="CR22">
        <v>73.269866781040633</v>
      </c>
      <c r="CS22">
        <v>26.98349202585662</v>
      </c>
      <c r="CT22">
        <v>0</v>
      </c>
      <c r="CU22" s="8">
        <v>-2.7153589576482774E-2</v>
      </c>
      <c r="CV22" s="9">
        <v>-8.422883553430438E-2</v>
      </c>
      <c r="CW22">
        <v>0.06</v>
      </c>
      <c r="CX22">
        <v>1447.2389355542384</v>
      </c>
      <c r="CY22" t="s">
        <v>2578</v>
      </c>
      <c r="CZ22">
        <v>-2.7153589576482774E-2</v>
      </c>
      <c r="DA22">
        <v>482.41297851807951</v>
      </c>
      <c r="DB22" t="s">
        <v>2579</v>
      </c>
      <c r="DC22">
        <v>-2.5795910097658633E-2</v>
      </c>
      <c r="DD22">
        <v>241.20648925903976</v>
      </c>
      <c r="DE22" t="s">
        <v>2580</v>
      </c>
      <c r="DF22">
        <v>-2.3895158827304842E-2</v>
      </c>
      <c r="DG22">
        <v>144.72389355542384</v>
      </c>
      <c r="DH22" t="s">
        <v>2581</v>
      </c>
      <c r="DI22">
        <v>-2.1722871661186222E-2</v>
      </c>
      <c r="DJ22">
        <v>72.361946777711921</v>
      </c>
      <c r="DK22" t="s">
        <v>2582</v>
      </c>
      <c r="DL22">
        <v>-1.900751270353794E-2</v>
      </c>
      <c r="DM22">
        <v>32227100</v>
      </c>
      <c r="DN22">
        <v>-2.7153589576482774E-2</v>
      </c>
      <c r="DO22">
        <v>46640313900</v>
      </c>
      <c r="DP22">
        <v>90069000</v>
      </c>
      <c r="DQ22">
        <v>814</v>
      </c>
      <c r="DR22">
        <v>-6.8498584336560711E-2</v>
      </c>
      <c r="DS22">
        <v>-0.10236035321014189</v>
      </c>
      <c r="DT22" s="10">
        <v>-0.60666666666666669</v>
      </c>
      <c r="DU22">
        <v>-0.53666666666666663</v>
      </c>
      <c r="DV22">
        <v>-1.1433333333333333</v>
      </c>
      <c r="DW22">
        <v>-3.0851607142857143</v>
      </c>
      <c r="DX22">
        <v>0.27912222222222149</v>
      </c>
      <c r="DY22">
        <v>-3.0118477478174603</v>
      </c>
      <c r="DZ22">
        <v>3701</v>
      </c>
      <c r="EA22">
        <v>-3.0032668251809786</v>
      </c>
      <c r="EB22">
        <v>3</v>
      </c>
      <c r="EC22">
        <v>3.5540407829562352E-2</v>
      </c>
      <c r="ED22">
        <v>0.25546176061501569</v>
      </c>
      <c r="EE22" s="11">
        <v>2.1002100000000001</v>
      </c>
      <c r="EF22">
        <v>2.1175099999999998</v>
      </c>
      <c r="EG22">
        <v>14.139122222222221</v>
      </c>
      <c r="EH22" t="s">
        <v>1264</v>
      </c>
      <c r="EI22">
        <v>0</v>
      </c>
      <c r="EJ22">
        <v>0</v>
      </c>
      <c r="EK22" s="13">
        <v>45470</v>
      </c>
      <c r="EL22" s="14">
        <v>3.17</v>
      </c>
      <c r="EM22" s="14">
        <v>-3.75</v>
      </c>
      <c r="EN22" s="14">
        <v>0.71</v>
      </c>
      <c r="EO22" s="14">
        <v>1.76</v>
      </c>
      <c r="EP22" s="14">
        <v>-1.73</v>
      </c>
    </row>
    <row r="23" spans="1:146" ht="108">
      <c r="A23" s="6"/>
      <c r="B23" s="6"/>
      <c r="C23" s="6" t="str">
        <f>""&amp;CHAR(10)&amp;Basic_Fundamental_Information_Constructure(F23)&amp;CHAR(10)&amp;Basic_Fundamental_Information_Concatenate("")</f>
        <v xml:space="preserve">
市值25.662347亿, 利润-3431.79万; PE; 平均PE-8.56; 平均PEG-.1, PB4.28; ROIC4.6%; ROE-73.88%; 股利率0%; 毛利25.6433%; 净利-262.1133%; 上一年度营收增10.43%, 利润增-208.51%; 当季营收增-58.09%, 利润增-468.61%; 过往5年营收增87.07%, 利润增-555.71%
Income profile:
</v>
      </c>
      <c r="D23" t="s">
        <v>1275</v>
      </c>
      <c r="E23" t="s">
        <v>1276</v>
      </c>
      <c r="F23">
        <v>1.21</v>
      </c>
      <c r="G23">
        <v>1.68</v>
      </c>
      <c r="H23" t="s">
        <v>2583</v>
      </c>
      <c r="I23">
        <v>2566234700</v>
      </c>
      <c r="K23">
        <v>4.28</v>
      </c>
      <c r="L23" t="s">
        <v>361</v>
      </c>
      <c r="M23" t="s">
        <v>1994</v>
      </c>
      <c r="N23" t="s">
        <v>317</v>
      </c>
      <c r="O23" t="s">
        <v>2584</v>
      </c>
      <c r="P23">
        <v>-58.11</v>
      </c>
      <c r="Q23" t="s">
        <v>2585</v>
      </c>
      <c r="R23">
        <v>-19806741</v>
      </c>
      <c r="S23" s="5">
        <v>-4.6859999999999999</v>
      </c>
      <c r="T23" t="s">
        <v>2586</v>
      </c>
      <c r="U23">
        <v>2120422400</v>
      </c>
      <c r="V23">
        <v>2120855100</v>
      </c>
      <c r="W23">
        <v>1.96</v>
      </c>
      <c r="X23">
        <v>0.04</v>
      </c>
      <c r="Y23">
        <v>-36.840000000000003</v>
      </c>
      <c r="Z23" t="s">
        <v>2587</v>
      </c>
      <c r="AA23" t="s">
        <v>2588</v>
      </c>
      <c r="AB23" t="s">
        <v>2589</v>
      </c>
      <c r="AC23" t="s">
        <v>2590</v>
      </c>
      <c r="AD23" t="s">
        <v>19</v>
      </c>
      <c r="AE23">
        <v>1459022</v>
      </c>
      <c r="AF23" t="s">
        <v>2591</v>
      </c>
      <c r="AG23" t="s">
        <v>2592</v>
      </c>
      <c r="AH23" t="s">
        <v>2593</v>
      </c>
      <c r="AI23" t="s">
        <v>2594</v>
      </c>
      <c r="AJ23" t="s">
        <v>2595</v>
      </c>
      <c r="AK23" t="s">
        <v>19</v>
      </c>
      <c r="AL23" t="s">
        <v>2596</v>
      </c>
      <c r="AM23" t="s">
        <v>19</v>
      </c>
      <c r="AN23">
        <v>0</v>
      </c>
      <c r="AO23" t="s">
        <v>2597</v>
      </c>
      <c r="AP23" t="s">
        <v>2598</v>
      </c>
      <c r="AQ23" t="s">
        <v>159</v>
      </c>
      <c r="AR23" t="s">
        <v>19</v>
      </c>
      <c r="AS23" t="s">
        <v>1421</v>
      </c>
      <c r="AT23" t="s">
        <v>19</v>
      </c>
      <c r="AU23" t="s">
        <v>2599</v>
      </c>
      <c r="AV23" t="s">
        <v>2600</v>
      </c>
      <c r="AW23" t="s">
        <v>2601</v>
      </c>
      <c r="AX23" t="s">
        <v>1622</v>
      </c>
      <c r="AY23" t="s">
        <v>23</v>
      </c>
      <c r="AZ23" t="s">
        <v>23</v>
      </c>
      <c r="BA23" t="s">
        <v>39</v>
      </c>
      <c r="BB23" t="s">
        <v>166</v>
      </c>
      <c r="BC23" t="s">
        <v>1623</v>
      </c>
      <c r="BD23" t="s">
        <v>1281</v>
      </c>
      <c r="BE23" t="s">
        <v>1277</v>
      </c>
      <c r="BF23" t="s">
        <v>1278</v>
      </c>
      <c r="BG23" t="s">
        <v>1279</v>
      </c>
      <c r="BH23" t="s">
        <v>2585</v>
      </c>
      <c r="BI23" t="s">
        <v>69</v>
      </c>
      <c r="BJ23" t="s">
        <v>1622</v>
      </c>
      <c r="BK23" t="s">
        <v>2586</v>
      </c>
      <c r="BL23" t="s">
        <v>2602</v>
      </c>
      <c r="BM23" t="s">
        <v>1623</v>
      </c>
      <c r="BN23" t="s">
        <v>19</v>
      </c>
      <c r="BO23">
        <v>4.5999999999999996</v>
      </c>
      <c r="BP23" t="s">
        <v>19</v>
      </c>
      <c r="BQ23">
        <v>-1.4</v>
      </c>
      <c r="BR23">
        <v>4.8600000000000003</v>
      </c>
      <c r="BS23">
        <v>-225.1</v>
      </c>
      <c r="BT23" t="s">
        <v>1571</v>
      </c>
      <c r="BU23" t="s">
        <v>1336</v>
      </c>
      <c r="BV23">
        <v>15.32</v>
      </c>
      <c r="BW23">
        <v>26.84</v>
      </c>
      <c r="BX23">
        <v>34.770000000000003</v>
      </c>
      <c r="BY23">
        <v>-4.46</v>
      </c>
      <c r="BZ23">
        <v>4.51</v>
      </c>
      <c r="CA23">
        <v>-786.39</v>
      </c>
      <c r="CB23">
        <v>5.22</v>
      </c>
      <c r="CC23">
        <v>-11.68</v>
      </c>
      <c r="CD23" t="s">
        <v>50</v>
      </c>
      <c r="CE23" t="s">
        <v>2032</v>
      </c>
      <c r="CF23" s="8">
        <v>-0.58087209302325582</v>
      </c>
      <c r="CG23" s="9">
        <v>-4.6860723192019949</v>
      </c>
      <c r="CH23" s="8">
        <v>0.10428571701049805</v>
      </c>
      <c r="CI23" s="8">
        <v>4.5999999046325684</v>
      </c>
      <c r="CJ23" s="8">
        <v>0</v>
      </c>
      <c r="CK23" s="8">
        <v>0.190476194024086</v>
      </c>
      <c r="CL23" s="8">
        <v>-0.54148471355438232</v>
      </c>
      <c r="CM23" s="9">
        <v>-2.0851268768310547</v>
      </c>
      <c r="CN23" s="9">
        <v>1.0321073532104492</v>
      </c>
      <c r="CO23" s="9">
        <v>-27.934080123901367</v>
      </c>
      <c r="CP23" s="9">
        <v>0.89294683933258057</v>
      </c>
      <c r="CQ23" s="9">
        <v>0.30869564414024353</v>
      </c>
      <c r="CR23">
        <v>-8.5553747326481542</v>
      </c>
      <c r="CS23">
        <v>-9.8263613043332185E-2</v>
      </c>
      <c r="CT23">
        <v>0</v>
      </c>
      <c r="CU23" s="8">
        <v>0.87065542042255406</v>
      </c>
      <c r="CV23" s="9">
        <v>-5.5570914328098295</v>
      </c>
      <c r="CW23">
        <v>0.06</v>
      </c>
      <c r="CX23" t="e">
        <v>#VALUE!</v>
      </c>
      <c r="CY23" t="s">
        <v>1248</v>
      </c>
      <c r="CZ23">
        <v>0.87065542042255406</v>
      </c>
      <c r="DA23" t="e">
        <v>#VALUE!</v>
      </c>
      <c r="DB23" t="s">
        <v>1249</v>
      </c>
      <c r="DC23">
        <v>0.82712264940142632</v>
      </c>
      <c r="DD23" t="e">
        <v>#VALUE!</v>
      </c>
      <c r="DE23" t="s">
        <v>1249</v>
      </c>
      <c r="DF23">
        <v>0.76617676997184758</v>
      </c>
      <c r="DG23" t="e">
        <v>#VALUE!</v>
      </c>
      <c r="DH23" t="s">
        <v>1249</v>
      </c>
      <c r="DI23">
        <v>0.69652433633804334</v>
      </c>
      <c r="DJ23" t="e">
        <v>#VALUE!</v>
      </c>
      <c r="DK23" t="s">
        <v>1249</v>
      </c>
      <c r="DL23">
        <v>0.60945879429578775</v>
      </c>
      <c r="DM23">
        <v>-34317900</v>
      </c>
      <c r="DN23">
        <v>0.87065542042255406</v>
      </c>
      <c r="DO23">
        <v>2609234700</v>
      </c>
      <c r="DP23">
        <v>397387370</v>
      </c>
      <c r="DQ23">
        <v>830</v>
      </c>
      <c r="DR23">
        <v>-1.4515275134458099</v>
      </c>
      <c r="DS23">
        <v>0.87101911360783468</v>
      </c>
      <c r="DT23" s="10">
        <v>-7.3333333333333403E-2</v>
      </c>
      <c r="DU23">
        <v>-2.5316666666666667</v>
      </c>
      <c r="DV23">
        <v>-2.605</v>
      </c>
      <c r="DW23">
        <v>6.3088757396449706</v>
      </c>
      <c r="DX23">
        <v>0.27326043961620849</v>
      </c>
      <c r="DY23">
        <v>6.0380721594554201</v>
      </c>
      <c r="DZ23">
        <v>4735</v>
      </c>
      <c r="EA23">
        <v>6.0027939451655152</v>
      </c>
      <c r="EB23">
        <v>6</v>
      </c>
      <c r="EC23">
        <v>0.20463444202293687</v>
      </c>
      <c r="ED23">
        <v>1.6601794247989878</v>
      </c>
      <c r="EE23" s="11">
        <v>-5.0008100000000004</v>
      </c>
      <c r="EF23">
        <v>-5.0496100000000004</v>
      </c>
      <c r="EG23">
        <v>15.123260439616208</v>
      </c>
      <c r="EH23" t="s">
        <v>1939</v>
      </c>
      <c r="EI23">
        <v>0</v>
      </c>
      <c r="EJ23">
        <v>0</v>
      </c>
      <c r="EK23" s="13">
        <v>45470</v>
      </c>
      <c r="EL23" s="14">
        <v>1.68</v>
      </c>
      <c r="EM23" s="14">
        <v>-6.61</v>
      </c>
      <c r="EN23" s="14">
        <v>-0.88</v>
      </c>
      <c r="EO23" s="14">
        <v>9.82</v>
      </c>
      <c r="EP23" s="14">
        <v>-4.88</v>
      </c>
    </row>
    <row r="24" spans="1:146" ht="108">
      <c r="A24" s="6"/>
      <c r="B24" s="6"/>
      <c r="C24" s="6" t="str">
        <f>""&amp;CHAR(10)&amp;Basic_Fundamental_Information_Constructure(F24)&amp;CHAR(10)&amp;Basic_Fundamental_Information_Concatenate("")</f>
        <v xml:space="preserve">
市值6.674754亿, 利润-14.04亿; PE; 平均PE-1.3; 平均PEG-.05, PB.437; ROIC0%; ROE-13.56%; 股利率0%; 毛利7.4%; 净利-90.64%; 上一年度营收增-44.33%, 利润增-97.75%; 当季营收增-40.14%, 利润增15.75%; 过往5年营收增-25.83%, 利润增-246.62%
Income profile:
</v>
      </c>
      <c r="D24" t="s">
        <v>478</v>
      </c>
      <c r="E24" t="s">
        <v>2603</v>
      </c>
      <c r="F24" t="s">
        <v>19</v>
      </c>
      <c r="G24" t="s">
        <v>19</v>
      </c>
      <c r="H24" t="s">
        <v>19</v>
      </c>
      <c r="I24">
        <v>667475400</v>
      </c>
      <c r="K24">
        <v>0.437</v>
      </c>
      <c r="L24" t="s">
        <v>361</v>
      </c>
      <c r="M24" t="s">
        <v>2604</v>
      </c>
      <c r="N24" t="s">
        <v>1907</v>
      </c>
      <c r="O24" t="s">
        <v>2605</v>
      </c>
      <c r="P24">
        <v>-40.32</v>
      </c>
      <c r="Q24" t="s">
        <v>505</v>
      </c>
      <c r="R24">
        <v>-98571451</v>
      </c>
      <c r="S24" s="5">
        <v>0.15970000000000001</v>
      </c>
      <c r="T24" t="s">
        <v>2606</v>
      </c>
      <c r="U24">
        <v>1431273300</v>
      </c>
      <c r="V24">
        <v>1756514200</v>
      </c>
      <c r="W24">
        <v>4.67</v>
      </c>
      <c r="X24">
        <v>0.01</v>
      </c>
      <c r="Y24">
        <v>-110.87</v>
      </c>
      <c r="Z24" t="s">
        <v>213</v>
      </c>
      <c r="AA24" t="s">
        <v>2607</v>
      </c>
      <c r="AB24" t="s">
        <v>2608</v>
      </c>
      <c r="AC24" t="s">
        <v>2609</v>
      </c>
      <c r="AD24" t="s">
        <v>19</v>
      </c>
      <c r="AE24">
        <v>62756011</v>
      </c>
      <c r="AF24" t="s">
        <v>20</v>
      </c>
      <c r="AG24">
        <v>886</v>
      </c>
      <c r="AH24" t="s">
        <v>2610</v>
      </c>
      <c r="AI24" t="s">
        <v>2611</v>
      </c>
      <c r="AJ24" t="s">
        <v>2612</v>
      </c>
      <c r="AK24" t="s">
        <v>2613</v>
      </c>
      <c r="AL24" t="s">
        <v>2614</v>
      </c>
      <c r="AM24" t="s">
        <v>19</v>
      </c>
      <c r="AN24" t="s">
        <v>1361</v>
      </c>
      <c r="AO24" t="s">
        <v>2615</v>
      </c>
      <c r="AP24" t="s">
        <v>19</v>
      </c>
      <c r="AQ24" t="s">
        <v>2616</v>
      </c>
      <c r="AR24" t="s">
        <v>2617</v>
      </c>
      <c r="AS24" t="s">
        <v>2618</v>
      </c>
      <c r="AT24" t="s">
        <v>1898</v>
      </c>
      <c r="AU24" t="s">
        <v>2619</v>
      </c>
      <c r="AV24" t="s">
        <v>19</v>
      </c>
      <c r="AW24" t="s">
        <v>2620</v>
      </c>
      <c r="AX24" t="s">
        <v>1624</v>
      </c>
      <c r="AY24" t="s">
        <v>1360</v>
      </c>
      <c r="AZ24" t="s">
        <v>479</v>
      </c>
      <c r="BA24" t="s">
        <v>481</v>
      </c>
      <c r="BB24" t="s">
        <v>482</v>
      </c>
      <c r="BC24" t="s">
        <v>1625</v>
      </c>
      <c r="BD24" t="s">
        <v>562</v>
      </c>
      <c r="BE24" t="s">
        <v>480</v>
      </c>
      <c r="BF24" t="s">
        <v>483</v>
      </c>
      <c r="BG24" t="s">
        <v>484</v>
      </c>
      <c r="BH24" t="s">
        <v>505</v>
      </c>
      <c r="BI24" t="s">
        <v>1370</v>
      </c>
      <c r="BJ24" t="s">
        <v>1624</v>
      </c>
      <c r="BK24" t="s">
        <v>2606</v>
      </c>
      <c r="BL24" t="s">
        <v>1463</v>
      </c>
      <c r="BM24" t="s">
        <v>1625</v>
      </c>
      <c r="BN24" t="s">
        <v>19</v>
      </c>
      <c r="BO24" t="s">
        <v>19</v>
      </c>
      <c r="BP24" t="s">
        <v>19</v>
      </c>
      <c r="BQ24">
        <v>-8.14</v>
      </c>
      <c r="BR24">
        <v>-24.51</v>
      </c>
      <c r="BS24">
        <v>-8.0299999999999994</v>
      </c>
      <c r="BT24" t="s">
        <v>1571</v>
      </c>
      <c r="BU24" t="s">
        <v>1334</v>
      </c>
      <c r="BV24">
        <v>4.9000000000000004</v>
      </c>
      <c r="BW24">
        <v>5.56</v>
      </c>
      <c r="BX24">
        <v>11.74</v>
      </c>
      <c r="BY24">
        <v>-207.47</v>
      </c>
      <c r="BZ24">
        <v>-56.29</v>
      </c>
      <c r="CA24">
        <v>-8.16</v>
      </c>
      <c r="CB24">
        <v>0</v>
      </c>
      <c r="CC24">
        <v>-66.37</v>
      </c>
      <c r="CD24" t="s">
        <v>19</v>
      </c>
      <c r="CE24" t="s">
        <v>2621</v>
      </c>
      <c r="CF24" s="8">
        <v>-0.40136078431372552</v>
      </c>
      <c r="CG24" s="9">
        <v>0.1575089658119658</v>
      </c>
      <c r="CH24" s="8">
        <v>-0.44327574968338013</v>
      </c>
      <c r="CI24" s="8">
        <v>-0.48629871010780334</v>
      </c>
      <c r="CJ24" s="8">
        <v>-0.2740263044834137</v>
      </c>
      <c r="CK24" s="8">
        <v>-0.11461178958415985</v>
      </c>
      <c r="CL24" s="8">
        <v>2.6744760572910309E-2</v>
      </c>
      <c r="CM24" s="9">
        <v>-0.97746479511260986</v>
      </c>
      <c r="CN24" s="9">
        <v>-2.2272727489471436</v>
      </c>
      <c r="CO24" s="9">
        <v>0.37142857909202576</v>
      </c>
      <c r="CP24" s="9">
        <v>-10.584366798400879</v>
      </c>
      <c r="CQ24" s="9">
        <v>1.0865350961685181</v>
      </c>
      <c r="CR24">
        <v>-1.3047322444156868</v>
      </c>
      <c r="CS24">
        <v>-5.0513541692591951E-2</v>
      </c>
      <c r="CT24">
        <v>0</v>
      </c>
      <c r="CU24" s="8">
        <v>-0.25829355865716935</v>
      </c>
      <c r="CV24" s="9">
        <v>-2.4662281334400178</v>
      </c>
      <c r="CW24">
        <v>0.06</v>
      </c>
      <c r="CX24" t="e">
        <v>#VALUE!</v>
      </c>
      <c r="CY24" t="s">
        <v>1248</v>
      </c>
      <c r="CZ24">
        <v>-0.25829355865716935</v>
      </c>
      <c r="DA24" t="e">
        <v>#VALUE!</v>
      </c>
      <c r="DB24" t="s">
        <v>1249</v>
      </c>
      <c r="DC24">
        <v>-0.24537888072431088</v>
      </c>
      <c r="DD24" t="e">
        <v>#VALUE!</v>
      </c>
      <c r="DE24" t="s">
        <v>1249</v>
      </c>
      <c r="DF24">
        <v>-0.22729833161830904</v>
      </c>
      <c r="DG24" t="e">
        <v>#VALUE!</v>
      </c>
      <c r="DH24" t="s">
        <v>1249</v>
      </c>
      <c r="DI24">
        <v>-0.2066348469257355</v>
      </c>
      <c r="DJ24" t="e">
        <v>#VALUE!</v>
      </c>
      <c r="DK24" t="s">
        <v>1249</v>
      </c>
      <c r="DL24">
        <v>-0.18080549106001853</v>
      </c>
      <c r="DM24">
        <v>-1404000000</v>
      </c>
      <c r="DN24">
        <v>-0.25829355865716935</v>
      </c>
      <c r="DO24">
        <v>4460475400</v>
      </c>
      <c r="DP24">
        <v>-141834500</v>
      </c>
      <c r="DQ24">
        <v>832</v>
      </c>
      <c r="DR24">
        <v>-0.14306722565655616</v>
      </c>
      <c r="DS24">
        <v>2.6237370992519837</v>
      </c>
      <c r="DT24" s="10">
        <v>-0.89</v>
      </c>
      <c r="DU24">
        <v>-2.4383333333333335</v>
      </c>
      <c r="DV24">
        <v>-3.3283333333333336</v>
      </c>
      <c r="DW24">
        <v>-3.5696607142857144</v>
      </c>
      <c r="DX24" t="e">
        <v>#VALUE!</v>
      </c>
      <c r="DY24">
        <v>-3</v>
      </c>
      <c r="DZ24">
        <v>4992</v>
      </c>
      <c r="EA24">
        <v>-3</v>
      </c>
      <c r="EB24">
        <v>3</v>
      </c>
      <c r="EC24">
        <v>0</v>
      </c>
      <c r="ED24">
        <v>0.8607957738115638</v>
      </c>
      <c r="EE24" s="11">
        <v>-6.0428100000000002</v>
      </c>
      <c r="EF24">
        <v>-6.0904100000000003</v>
      </c>
      <c r="EG24" t="e">
        <v>#VALUE!</v>
      </c>
      <c r="EH24" t="s">
        <v>1856</v>
      </c>
      <c r="EI24">
        <v>0</v>
      </c>
      <c r="EJ24">
        <v>0</v>
      </c>
      <c r="EK24" s="13">
        <v>45470</v>
      </c>
      <c r="EL24" s="14">
        <v>-4</v>
      </c>
      <c r="EM24" s="14">
        <v>-4.17</v>
      </c>
      <c r="EN24" s="14">
        <v>-4.3499999999999996</v>
      </c>
      <c r="EO24" s="14">
        <v>-4.55</v>
      </c>
      <c r="EP24" s="14">
        <v>-4.76</v>
      </c>
    </row>
    <row r="25" spans="1:146" ht="108">
      <c r="A25" s="6"/>
      <c r="B25" s="6"/>
      <c r="C25" s="6" t="str">
        <f>""&amp;CHAR(10)&amp;Basic_Fundamental_Information_Constructure(F25)&amp;CHAR(10)&amp;Basic_Fundamental_Information_Concatenate("")</f>
        <v xml:space="preserve">
市值44.085885亿, 利润2.50亿; PE17.42; 平均PE40.08; 平均PEG5.6, PB.561; ROIC2.69%; ROE-1.8733%; 股利率.6079%; 毛利10.33%; 净利-1.1967%; 上一年度营收增6.21%, 利润增34.41%; 当季营收增6.12%, 利润增4.54%; 过往5年营收增7.15%, 利润增-46.98%
Income profile:
</v>
      </c>
      <c r="D25" t="s">
        <v>485</v>
      </c>
      <c r="E25" t="s">
        <v>486</v>
      </c>
      <c r="F25">
        <v>3.29</v>
      </c>
      <c r="G25">
        <v>0.61</v>
      </c>
      <c r="H25" t="s">
        <v>2622</v>
      </c>
      <c r="I25">
        <v>4408588500</v>
      </c>
      <c r="J25">
        <v>17.420000000000002</v>
      </c>
      <c r="K25">
        <v>0.56100000000000005</v>
      </c>
      <c r="L25" t="s">
        <v>361</v>
      </c>
      <c r="M25" t="s">
        <v>2623</v>
      </c>
      <c r="N25" t="s">
        <v>2624</v>
      </c>
      <c r="O25" t="s">
        <v>891</v>
      </c>
      <c r="P25">
        <v>6.11</v>
      </c>
      <c r="Q25" t="s">
        <v>2625</v>
      </c>
      <c r="R25">
        <v>64935447</v>
      </c>
      <c r="S25" s="5">
        <v>4.5400000000000003E-2</v>
      </c>
      <c r="T25" t="s">
        <v>334</v>
      </c>
      <c r="U25">
        <v>1326792710</v>
      </c>
      <c r="V25">
        <v>1339996500</v>
      </c>
      <c r="W25">
        <v>2.58</v>
      </c>
      <c r="X25">
        <v>0.1</v>
      </c>
      <c r="Y25">
        <v>2.76</v>
      </c>
      <c r="Z25" t="s">
        <v>2626</v>
      </c>
      <c r="AA25" t="s">
        <v>2627</v>
      </c>
      <c r="AB25" t="s">
        <v>2628</v>
      </c>
      <c r="AC25" t="s">
        <v>2629</v>
      </c>
      <c r="AD25" t="s">
        <v>19</v>
      </c>
      <c r="AE25">
        <v>13289737</v>
      </c>
      <c r="AF25" t="s">
        <v>2630</v>
      </c>
      <c r="AG25" t="s">
        <v>2631</v>
      </c>
      <c r="AH25" t="s">
        <v>2632</v>
      </c>
      <c r="AI25" t="s">
        <v>1391</v>
      </c>
      <c r="AJ25" t="s">
        <v>2633</v>
      </c>
      <c r="AK25" t="s">
        <v>1944</v>
      </c>
      <c r="AL25" t="s">
        <v>2634</v>
      </c>
      <c r="AM25" t="s">
        <v>19</v>
      </c>
      <c r="AN25" t="s">
        <v>2635</v>
      </c>
      <c r="AO25" t="s">
        <v>2636</v>
      </c>
      <c r="AP25" t="s">
        <v>2637</v>
      </c>
      <c r="AQ25" t="s">
        <v>2638</v>
      </c>
      <c r="AR25" t="s">
        <v>2639</v>
      </c>
      <c r="AS25" t="s">
        <v>2640</v>
      </c>
      <c r="AT25" t="s">
        <v>19</v>
      </c>
      <c r="AU25" t="s">
        <v>2641</v>
      </c>
      <c r="AV25" t="s">
        <v>2642</v>
      </c>
      <c r="AW25" t="s">
        <v>2643</v>
      </c>
      <c r="AX25" t="s">
        <v>1626</v>
      </c>
      <c r="AY25" t="s">
        <v>1362</v>
      </c>
      <c r="AZ25" t="s">
        <v>487</v>
      </c>
      <c r="BA25" t="s">
        <v>490</v>
      </c>
      <c r="BB25" t="s">
        <v>491</v>
      </c>
      <c r="BC25" t="s">
        <v>64</v>
      </c>
      <c r="BD25" t="s">
        <v>1129</v>
      </c>
      <c r="BE25" t="s">
        <v>488</v>
      </c>
      <c r="BF25" t="s">
        <v>80</v>
      </c>
      <c r="BG25" t="s">
        <v>315</v>
      </c>
      <c r="BH25" t="s">
        <v>2625</v>
      </c>
      <c r="BI25" t="s">
        <v>2644</v>
      </c>
      <c r="BJ25" t="s">
        <v>1626</v>
      </c>
      <c r="BK25" t="s">
        <v>334</v>
      </c>
      <c r="BL25" t="s">
        <v>2645</v>
      </c>
      <c r="BM25" t="s">
        <v>64</v>
      </c>
      <c r="BN25">
        <v>2.86</v>
      </c>
      <c r="BO25">
        <v>2.52</v>
      </c>
      <c r="BP25" t="s">
        <v>19</v>
      </c>
      <c r="BQ25">
        <v>3.2</v>
      </c>
      <c r="BR25">
        <v>2.4900000000000002</v>
      </c>
      <c r="BS25">
        <v>-11.31</v>
      </c>
      <c r="BT25" t="s">
        <v>1579</v>
      </c>
      <c r="BU25" t="s">
        <v>1334</v>
      </c>
      <c r="BV25">
        <v>11.2</v>
      </c>
      <c r="BW25">
        <v>12.57</v>
      </c>
      <c r="BX25">
        <v>7.22</v>
      </c>
      <c r="BY25">
        <v>1.97</v>
      </c>
      <c r="BZ25">
        <v>1.67</v>
      </c>
      <c r="CA25">
        <v>-7.23</v>
      </c>
      <c r="CB25">
        <v>1.23</v>
      </c>
      <c r="CC25">
        <v>-17.75</v>
      </c>
      <c r="CD25" t="s">
        <v>2646</v>
      </c>
      <c r="CE25" t="s">
        <v>116</v>
      </c>
      <c r="CF25" s="8">
        <v>6.1244019138756101E-2</v>
      </c>
      <c r="CG25" s="9">
        <v>4.543378723431659E-2</v>
      </c>
      <c r="CH25" s="8">
        <v>6.2149263918399811E-2</v>
      </c>
      <c r="CI25" s="8">
        <v>3.3123125322163105E-3</v>
      </c>
      <c r="CJ25" s="8">
        <v>0.11949568241834641</v>
      </c>
      <c r="CK25" s="8">
        <v>9.2754315119236708E-5</v>
      </c>
      <c r="CL25" s="8">
        <v>0.17251878976821899</v>
      </c>
      <c r="CM25" s="9">
        <v>0.34408602118492126</v>
      </c>
      <c r="CN25" s="9">
        <v>1.2094594240188599</v>
      </c>
      <c r="CO25" s="9">
        <v>-3.8012616634368896</v>
      </c>
      <c r="CP25" s="9">
        <v>-0.25586855411529541</v>
      </c>
      <c r="CQ25" s="9">
        <v>0.15447154641151428</v>
      </c>
      <c r="CR25">
        <v>40.078077272727278</v>
      </c>
      <c r="CS25">
        <v>5.6042469228046228</v>
      </c>
      <c r="CT25">
        <v>0.60790273556231</v>
      </c>
      <c r="CU25" s="8">
        <v>7.1513760590460149E-2</v>
      </c>
      <c r="CV25" s="9">
        <v>-0.46982264518737793</v>
      </c>
      <c r="CW25">
        <v>0.06</v>
      </c>
      <c r="CX25">
        <v>43.78674074530381</v>
      </c>
      <c r="CY25">
        <v>252715509.57322168</v>
      </c>
      <c r="CZ25">
        <v>7.1513760590460149E-2</v>
      </c>
      <c r="DA25">
        <v>14.535326301556921</v>
      </c>
      <c r="DB25">
        <v>761289307.88535047</v>
      </c>
      <c r="DC25">
        <v>6.7938072560937132E-2</v>
      </c>
      <c r="DD25">
        <v>7.30599902217942</v>
      </c>
      <c r="DE25">
        <v>1514589375.9918783</v>
      </c>
      <c r="DF25">
        <v>6.2932109319604926E-2</v>
      </c>
      <c r="DG25">
        <v>4.4907110301746087</v>
      </c>
      <c r="DH25">
        <v>2464106112.739511</v>
      </c>
      <c r="DI25">
        <v>5.7211008472368124E-2</v>
      </c>
      <c r="DJ25">
        <v>2.4396567005402394</v>
      </c>
      <c r="DK25">
        <v>4535715413.3815746</v>
      </c>
      <c r="DL25">
        <v>5.0059632413322099E-2</v>
      </c>
      <c r="DM25">
        <v>250000000</v>
      </c>
      <c r="DN25">
        <v>7.1513760590460149E-2</v>
      </c>
      <c r="DO25">
        <v>11065588500</v>
      </c>
      <c r="DP25">
        <v>4178303000</v>
      </c>
      <c r="DQ25">
        <v>881</v>
      </c>
      <c r="DR25">
        <v>-1.0269741451704048E-2</v>
      </c>
      <c r="DS25">
        <v>0.5152564324216945</v>
      </c>
      <c r="DT25" s="10">
        <v>-0.34</v>
      </c>
      <c r="DU25">
        <v>-0.23333333333333339</v>
      </c>
      <c r="DV25">
        <v>-0.57333333333333347</v>
      </c>
      <c r="DW25">
        <v>-3.0197916666666664</v>
      </c>
      <c r="DX25">
        <v>0.28564311926605346</v>
      </c>
      <c r="DY25">
        <v>-3.0022887700688075</v>
      </c>
      <c r="DZ25">
        <v>2994</v>
      </c>
      <c r="EA25">
        <v>-3.0009477568425824</v>
      </c>
      <c r="EB25">
        <v>3</v>
      </c>
      <c r="EC25">
        <v>1.8813631229633809E-2</v>
      </c>
      <c r="ED25">
        <v>0.16268699209288981</v>
      </c>
      <c r="EE25" s="11">
        <v>1.0559099999999999</v>
      </c>
      <c r="EF25">
        <v>1.07101</v>
      </c>
      <c r="EG25">
        <v>17.115643119266053</v>
      </c>
      <c r="EH25" t="s">
        <v>1242</v>
      </c>
      <c r="EI25">
        <v>0</v>
      </c>
      <c r="EJ25">
        <v>0</v>
      </c>
      <c r="EK25" s="13">
        <v>45470</v>
      </c>
      <c r="EL25" s="14">
        <v>2.15</v>
      </c>
      <c r="EM25" s="14">
        <v>-3.61</v>
      </c>
      <c r="EN25" s="14">
        <v>0.94</v>
      </c>
      <c r="EO25" s="14">
        <v>2.48</v>
      </c>
      <c r="EP25" s="14">
        <v>-1.51</v>
      </c>
    </row>
    <row r="26" spans="1:146" ht="108">
      <c r="A26" s="6"/>
      <c r="B26" s="6"/>
      <c r="C26" s="6" t="str">
        <f>""&amp;CHAR(10)&amp;Basic_Fundamental_Information_Constructure(F26)&amp;CHAR(10)&amp;Basic_Fundamental_Information_Concatenate("")</f>
        <v xml:space="preserve">
市值28.461215亿, 利润-9.40亿; PE; 平均PE-5.22; 平均PEG-2, PB.896; ROIC0%; ROE-14.4933%; 股利率0%; 毛利9.18%; 净利-20.02%; 上一年度营收增-4.57%, 利润增-36.03%; 当季营收增8.29%, 利润增-16.2%; 过往5年营收增2.61%, 利润增-755.47%
Income profile:
</v>
      </c>
      <c r="D26" t="s">
        <v>493</v>
      </c>
      <c r="E26" t="s">
        <v>494</v>
      </c>
      <c r="F26">
        <v>1.57</v>
      </c>
      <c r="G26">
        <v>0.64</v>
      </c>
      <c r="H26" t="s">
        <v>2647</v>
      </c>
      <c r="I26">
        <v>2846121500</v>
      </c>
      <c r="K26">
        <v>0.89600000000000002</v>
      </c>
      <c r="L26" t="s">
        <v>361</v>
      </c>
      <c r="M26" t="s">
        <v>2648</v>
      </c>
      <c r="N26" t="s">
        <v>2649</v>
      </c>
      <c r="O26" t="s">
        <v>2293</v>
      </c>
      <c r="P26">
        <v>8.26</v>
      </c>
      <c r="Q26" t="s">
        <v>2650</v>
      </c>
      <c r="R26">
        <v>-102773328</v>
      </c>
      <c r="S26" s="7">
        <v>-0.16200000000000001</v>
      </c>
      <c r="T26" t="s">
        <v>2651</v>
      </c>
      <c r="U26">
        <v>1812816300</v>
      </c>
      <c r="V26">
        <v>1812816300</v>
      </c>
      <c r="W26">
        <v>5.66</v>
      </c>
      <c r="X26">
        <v>0.05</v>
      </c>
      <c r="Y26">
        <v>-11</v>
      </c>
      <c r="Z26" t="s">
        <v>2652</v>
      </c>
      <c r="AA26" t="s">
        <v>2653</v>
      </c>
      <c r="AB26" t="s">
        <v>2654</v>
      </c>
      <c r="AC26" t="s">
        <v>2655</v>
      </c>
      <c r="AD26" t="s">
        <v>19</v>
      </c>
      <c r="AE26">
        <v>104873654</v>
      </c>
      <c r="AF26" t="s">
        <v>2656</v>
      </c>
      <c r="AG26" t="s">
        <v>2657</v>
      </c>
      <c r="AH26" t="s">
        <v>2658</v>
      </c>
      <c r="AI26" t="s">
        <v>276</v>
      </c>
      <c r="AJ26" t="s">
        <v>2659</v>
      </c>
      <c r="AK26" t="s">
        <v>2660</v>
      </c>
      <c r="AL26" t="s">
        <v>2661</v>
      </c>
      <c r="AM26" t="s">
        <v>19</v>
      </c>
      <c r="AN26" t="s">
        <v>2662</v>
      </c>
      <c r="AO26" t="s">
        <v>2663</v>
      </c>
      <c r="AP26" t="s">
        <v>151</v>
      </c>
      <c r="AQ26" t="s">
        <v>2664</v>
      </c>
      <c r="AR26" t="s">
        <v>2665</v>
      </c>
      <c r="AS26" t="s">
        <v>2666</v>
      </c>
      <c r="AT26" t="s">
        <v>1280</v>
      </c>
      <c r="AU26" t="s">
        <v>2667</v>
      </c>
      <c r="AV26" t="s">
        <v>2668</v>
      </c>
      <c r="AW26" t="s">
        <v>2669</v>
      </c>
      <c r="AX26" t="s">
        <v>1465</v>
      </c>
      <c r="AY26" t="s">
        <v>1363</v>
      </c>
      <c r="AZ26" t="s">
        <v>495</v>
      </c>
      <c r="BA26" t="s">
        <v>497</v>
      </c>
      <c r="BB26" t="s">
        <v>498</v>
      </c>
      <c r="BC26" t="s">
        <v>1628</v>
      </c>
      <c r="BD26" t="s">
        <v>1630</v>
      </c>
      <c r="BE26" t="s">
        <v>496</v>
      </c>
      <c r="BF26" t="s">
        <v>499</v>
      </c>
      <c r="BG26" t="s">
        <v>500</v>
      </c>
      <c r="BH26" t="s">
        <v>2650</v>
      </c>
      <c r="BI26" t="s">
        <v>1491</v>
      </c>
      <c r="BJ26" t="s">
        <v>1465</v>
      </c>
      <c r="BK26" t="s">
        <v>2651</v>
      </c>
      <c r="BL26" t="s">
        <v>2670</v>
      </c>
      <c r="BM26" t="s">
        <v>1628</v>
      </c>
      <c r="BN26" t="s">
        <v>19</v>
      </c>
      <c r="BO26" t="s">
        <v>19</v>
      </c>
      <c r="BP26" t="s">
        <v>19</v>
      </c>
      <c r="BQ26">
        <v>-6.93</v>
      </c>
      <c r="BR26">
        <v>-18.510000000000002</v>
      </c>
      <c r="BS26">
        <v>-18.04</v>
      </c>
      <c r="BT26" t="s">
        <v>1571</v>
      </c>
      <c r="BU26" t="s">
        <v>1334</v>
      </c>
      <c r="BV26">
        <v>10.08</v>
      </c>
      <c r="BW26">
        <v>6.77</v>
      </c>
      <c r="BX26">
        <v>10.69</v>
      </c>
      <c r="BY26">
        <v>-23.66</v>
      </c>
      <c r="BZ26">
        <v>-17.09</v>
      </c>
      <c r="CA26">
        <v>-19.309999999999999</v>
      </c>
      <c r="CB26">
        <v>12.14</v>
      </c>
      <c r="CC26">
        <v>-17.37</v>
      </c>
      <c r="CD26" t="s">
        <v>108</v>
      </c>
      <c r="CE26" t="s">
        <v>1692</v>
      </c>
      <c r="CF26" s="8">
        <v>8.294930875576037E-2</v>
      </c>
      <c r="CG26" s="9">
        <v>-0.16195670927149697</v>
      </c>
      <c r="CH26" s="8">
        <v>-4.5700795948505402E-2</v>
      </c>
      <c r="CI26" s="8">
        <v>4.9184329807758331E-2</v>
      </c>
      <c r="CJ26" s="8">
        <v>-0.16075503826141357</v>
      </c>
      <c r="CK26" s="8">
        <v>0.77962356805801392</v>
      </c>
      <c r="CL26" s="8">
        <v>-0.49164947867393494</v>
      </c>
      <c r="CM26" s="9">
        <v>-0.36034733057022095</v>
      </c>
      <c r="CN26" s="9">
        <v>8.1117019057273865E-2</v>
      </c>
      <c r="CO26" s="9">
        <v>-17.997385025024414</v>
      </c>
      <c r="CP26" s="9">
        <v>1.0450990200042725</v>
      </c>
      <c r="CQ26" s="9">
        <v>-20.542104721069336</v>
      </c>
      <c r="CR26">
        <v>-5.2229463022929146</v>
      </c>
      <c r="CS26">
        <v>-1.9980271633554407</v>
      </c>
      <c r="CT26">
        <v>0</v>
      </c>
      <c r="CU26" s="8">
        <v>2.6140516996383666E-2</v>
      </c>
      <c r="CV26" s="9">
        <v>-7.5547242075204846</v>
      </c>
      <c r="CW26">
        <v>0.06</v>
      </c>
      <c r="CX26" t="e">
        <v>#VALUE!</v>
      </c>
      <c r="CY26" t="s">
        <v>1248</v>
      </c>
      <c r="CZ26">
        <v>2.6140516996383666E-2</v>
      </c>
      <c r="DA26" t="e">
        <v>#VALUE!</v>
      </c>
      <c r="DB26" t="s">
        <v>1249</v>
      </c>
      <c r="DC26">
        <v>2.4833491146564482E-2</v>
      </c>
      <c r="DD26" t="e">
        <v>#VALUE!</v>
      </c>
      <c r="DE26" t="s">
        <v>1249</v>
      </c>
      <c r="DF26">
        <v>2.3003654956817627E-2</v>
      </c>
      <c r="DG26" t="e">
        <v>#VALUE!</v>
      </c>
      <c r="DH26" t="s">
        <v>1249</v>
      </c>
      <c r="DI26">
        <v>2.0912413597106935E-2</v>
      </c>
      <c r="DJ26" t="e">
        <v>#VALUE!</v>
      </c>
      <c r="DK26" t="s">
        <v>1249</v>
      </c>
      <c r="DL26">
        <v>1.8298361897468564E-2</v>
      </c>
      <c r="DM26">
        <v>-940000000</v>
      </c>
      <c r="DN26">
        <v>2.6140516996383666E-2</v>
      </c>
      <c r="DO26">
        <v>14860121500</v>
      </c>
      <c r="DP26">
        <v>-2320595700</v>
      </c>
      <c r="DQ26">
        <v>935</v>
      </c>
      <c r="DR26">
        <v>5.6808791759376705E-2</v>
      </c>
      <c r="DS26">
        <v>7.3927674982489879</v>
      </c>
      <c r="DT26" s="10">
        <v>-0.44</v>
      </c>
      <c r="DU26">
        <v>-2.9649999999999999</v>
      </c>
      <c r="DV26">
        <v>-3.4049999999999998</v>
      </c>
      <c r="DW26">
        <v>7.4113859708573369</v>
      </c>
      <c r="DX26">
        <v>0.54801541425818834</v>
      </c>
      <c r="DY26">
        <v>7.15139637848507</v>
      </c>
      <c r="DZ26">
        <v>5008</v>
      </c>
      <c r="EA26">
        <v>7.0030220020754355</v>
      </c>
      <c r="EB26">
        <v>7</v>
      </c>
      <c r="EC26">
        <v>0.10536092377368848</v>
      </c>
      <c r="ED26">
        <v>0.28629486617038918</v>
      </c>
      <c r="EE26" s="11">
        <v>-2.1040100000000002</v>
      </c>
      <c r="EF26">
        <v>-2.1314099999999998</v>
      </c>
      <c r="EG26">
        <v>18.368015414258188</v>
      </c>
      <c r="EH26" t="s">
        <v>1295</v>
      </c>
      <c r="EI26">
        <v>1</v>
      </c>
      <c r="EJ26">
        <v>0</v>
      </c>
      <c r="EK26" s="13">
        <v>45470</v>
      </c>
      <c r="EL26" s="14">
        <v>0.65</v>
      </c>
      <c r="EM26" s="14">
        <v>-5.77</v>
      </c>
      <c r="EN26" s="14">
        <v>-2.72</v>
      </c>
      <c r="EO26" s="14">
        <v>2.1</v>
      </c>
      <c r="EP26" s="14">
        <v>-2.74</v>
      </c>
    </row>
    <row r="27" spans="1:146" ht="108">
      <c r="A27" s="6"/>
      <c r="B27" s="6"/>
      <c r="C27" s="6" t="str">
        <f>""&amp;CHAR(10)&amp;Basic_Fundamental_Information_Constructure(F27)&amp;CHAR(10)&amp;Basic_Fundamental_Information_Concatenate("")</f>
        <v xml:space="preserve">
市值62.641071亿, 利润21.27亿; PE2.84; 平均PE-4.15; 平均PEG-.12, PB8.75; ROIC0%; ROE-161.87%; 股利率0%; 毛利-24.0167%; 净利-9.0167%; 上一年度营收增-71.89%, 利润增140.07%; 当季营收增-51.05%, 利润增57.79%; 过往5年营收增-35.49%, 利润增-234.15%
Income profile:
</v>
      </c>
      <c r="D27" t="s">
        <v>502</v>
      </c>
      <c r="E27" t="s">
        <v>2671</v>
      </c>
      <c r="F27">
        <v>1.67</v>
      </c>
      <c r="G27">
        <v>-0.6</v>
      </c>
      <c r="H27" t="s">
        <v>2672</v>
      </c>
      <c r="I27">
        <v>6264107100</v>
      </c>
      <c r="J27">
        <v>2.84</v>
      </c>
      <c r="K27">
        <v>8.75</v>
      </c>
      <c r="L27" t="s">
        <v>361</v>
      </c>
      <c r="M27" t="s">
        <v>2673</v>
      </c>
      <c r="N27" t="s">
        <v>2674</v>
      </c>
      <c r="O27" t="s">
        <v>2675</v>
      </c>
      <c r="P27">
        <v>-51.16</v>
      </c>
      <c r="Q27" t="s">
        <v>2676</v>
      </c>
      <c r="R27">
        <v>-59944961</v>
      </c>
      <c r="S27" s="5">
        <v>0.57879999999999998</v>
      </c>
      <c r="T27" t="s">
        <v>2677</v>
      </c>
      <c r="U27">
        <v>3742982300</v>
      </c>
      <c r="V27">
        <v>3750962400</v>
      </c>
      <c r="W27">
        <v>3.12</v>
      </c>
      <c r="X27">
        <v>0.03</v>
      </c>
      <c r="Y27">
        <v>-81.64</v>
      </c>
      <c r="Z27" t="s">
        <v>42</v>
      </c>
      <c r="AA27" t="s">
        <v>2678</v>
      </c>
      <c r="AB27" t="s">
        <v>2679</v>
      </c>
      <c r="AC27" t="s">
        <v>2680</v>
      </c>
      <c r="AD27" t="s">
        <v>19</v>
      </c>
      <c r="AE27">
        <v>5626018</v>
      </c>
      <c r="AF27" t="s">
        <v>2681</v>
      </c>
      <c r="AG27" t="s">
        <v>2682</v>
      </c>
      <c r="AH27" t="s">
        <v>2683</v>
      </c>
      <c r="AI27" t="s">
        <v>2684</v>
      </c>
      <c r="AJ27" t="s">
        <v>2685</v>
      </c>
      <c r="AK27" t="s">
        <v>2686</v>
      </c>
      <c r="AL27" t="s">
        <v>2687</v>
      </c>
      <c r="AM27" t="s">
        <v>19</v>
      </c>
      <c r="AN27" t="s">
        <v>2688</v>
      </c>
      <c r="AO27" t="s">
        <v>19</v>
      </c>
      <c r="AP27" t="s">
        <v>19</v>
      </c>
      <c r="AQ27" t="s">
        <v>1961</v>
      </c>
      <c r="AR27" t="s">
        <v>19</v>
      </c>
      <c r="AS27" t="s">
        <v>333</v>
      </c>
      <c r="AT27" t="s">
        <v>1648</v>
      </c>
      <c r="AU27" t="s">
        <v>1889</v>
      </c>
      <c r="AV27" t="s">
        <v>2689</v>
      </c>
      <c r="AW27" t="s">
        <v>698</v>
      </c>
      <c r="AX27" t="s">
        <v>521</v>
      </c>
      <c r="AY27" t="s">
        <v>1366</v>
      </c>
      <c r="AZ27" t="s">
        <v>503</v>
      </c>
      <c r="BA27" t="s">
        <v>506</v>
      </c>
      <c r="BB27" t="s">
        <v>507</v>
      </c>
      <c r="BC27" t="s">
        <v>2690</v>
      </c>
      <c r="BD27" t="s">
        <v>1130</v>
      </c>
      <c r="BE27" t="s">
        <v>504</v>
      </c>
      <c r="BF27" t="s">
        <v>131</v>
      </c>
      <c r="BG27" t="s">
        <v>238</v>
      </c>
      <c r="BH27" t="s">
        <v>2676</v>
      </c>
      <c r="BI27" t="s">
        <v>35</v>
      </c>
      <c r="BJ27" t="s">
        <v>521</v>
      </c>
      <c r="BK27" t="s">
        <v>2677</v>
      </c>
      <c r="BL27" t="s">
        <v>2691</v>
      </c>
      <c r="BM27" t="s">
        <v>2690</v>
      </c>
      <c r="BN27" t="s">
        <v>19</v>
      </c>
      <c r="BO27" t="s">
        <v>19</v>
      </c>
      <c r="BP27" t="s">
        <v>19</v>
      </c>
      <c r="BQ27" t="s">
        <v>19</v>
      </c>
      <c r="BR27" t="s">
        <v>19</v>
      </c>
      <c r="BS27">
        <v>-161.87</v>
      </c>
      <c r="BT27" t="s">
        <v>1571</v>
      </c>
      <c r="BU27" t="s">
        <v>1334</v>
      </c>
      <c r="BV27">
        <v>-34.06</v>
      </c>
      <c r="BW27">
        <v>-44.42</v>
      </c>
      <c r="BX27">
        <v>6.43</v>
      </c>
      <c r="BY27">
        <v>199.77</v>
      </c>
      <c r="BZ27">
        <v>-156.01</v>
      </c>
      <c r="CA27">
        <v>-70.81</v>
      </c>
      <c r="CB27">
        <v>3.09</v>
      </c>
      <c r="CC27">
        <v>-15.66</v>
      </c>
      <c r="CD27" t="s">
        <v>2692</v>
      </c>
      <c r="CE27" t="s">
        <v>1148</v>
      </c>
      <c r="CF27" s="8">
        <v>-0.51046733333333338</v>
      </c>
      <c r="CG27" s="9">
        <v>0.57785238732394362</v>
      </c>
      <c r="CH27" s="8">
        <v>-0.71885520219802856</v>
      </c>
      <c r="CI27" s="8">
        <v>-0.55649572610855103</v>
      </c>
      <c r="CJ27" s="8">
        <v>-0.34378573298454285</v>
      </c>
      <c r="CK27" s="8">
        <v>-6.1321478337049484E-2</v>
      </c>
      <c r="CL27" s="8">
        <v>-9.3901962041854858E-2</v>
      </c>
      <c r="CM27" s="9">
        <v>1.4007159471511841</v>
      </c>
      <c r="CN27" s="9">
        <v>5.0107285380363464E-2</v>
      </c>
      <c r="CO27" s="9">
        <v>-6.1275506019592285</v>
      </c>
      <c r="CP27" s="9">
        <v>-6.4444446563720703</v>
      </c>
      <c r="CQ27" s="9">
        <v>-0.58620691299438477</v>
      </c>
      <c r="CR27">
        <v>-4.1479574660633478</v>
      </c>
      <c r="CS27">
        <v>-0.11688601040339254</v>
      </c>
      <c r="CT27">
        <v>0</v>
      </c>
      <c r="CU27" s="8">
        <v>-0.35487202033400533</v>
      </c>
      <c r="CV27" s="9">
        <v>-2.341475787758827</v>
      </c>
      <c r="CW27">
        <v>0.06</v>
      </c>
      <c r="CX27" t="e">
        <v>#VALUE!</v>
      </c>
      <c r="CY27" t="s">
        <v>1284</v>
      </c>
      <c r="CZ27">
        <v>-0.35487202033400533</v>
      </c>
      <c r="DA27">
        <v>1.1238218304341012</v>
      </c>
      <c r="DB27" t="s">
        <v>2693</v>
      </c>
      <c r="DC27">
        <v>-0.33712841931730503</v>
      </c>
      <c r="DD27">
        <v>0.56191091521705061</v>
      </c>
      <c r="DE27" t="s">
        <v>2694</v>
      </c>
      <c r="DF27">
        <v>-0.31228737789392469</v>
      </c>
      <c r="DG27">
        <v>0.33714654913023034</v>
      </c>
      <c r="DH27" t="s">
        <v>2695</v>
      </c>
      <c r="DI27">
        <v>-0.28389761626720428</v>
      </c>
      <c r="DJ27">
        <v>0.16857327456511517</v>
      </c>
      <c r="DK27" t="s">
        <v>2696</v>
      </c>
      <c r="DL27">
        <v>-0.24841041423380372</v>
      </c>
      <c r="DM27">
        <v>2127000000</v>
      </c>
      <c r="DN27">
        <v>-0.35487202033400533</v>
      </c>
      <c r="DO27">
        <v>7171107100</v>
      </c>
      <c r="DP27">
        <v>593099370</v>
      </c>
      <c r="DQ27">
        <v>980</v>
      </c>
      <c r="DR27">
        <v>-0.15559531299932805</v>
      </c>
      <c r="DS27">
        <v>2.9193281750827706</v>
      </c>
      <c r="DT27" s="10">
        <v>-1.0566666666666666</v>
      </c>
      <c r="DU27">
        <v>-2.415</v>
      </c>
      <c r="DV27">
        <v>-3.4716666666666667</v>
      </c>
      <c r="DW27">
        <v>6.1647999999999996</v>
      </c>
      <c r="DX27">
        <v>0.2989938470764622</v>
      </c>
      <c r="DY27">
        <v>6.0179621859982007</v>
      </c>
      <c r="DZ27">
        <v>5027</v>
      </c>
      <c r="EA27">
        <v>6.000291753706037</v>
      </c>
      <c r="EB27">
        <v>6</v>
      </c>
      <c r="EC27">
        <v>1.9381399291019286E-2</v>
      </c>
      <c r="ED27">
        <v>0.17782103067735364</v>
      </c>
      <c r="EE27" s="11">
        <v>2.4000000000000028E-3</v>
      </c>
      <c r="EF27">
        <v>4.4710000000000007E-2</v>
      </c>
      <c r="EG27">
        <v>19.108993847076462</v>
      </c>
      <c r="EH27">
        <v>-1</v>
      </c>
      <c r="EI27">
        <v>0</v>
      </c>
      <c r="EJ27">
        <v>0</v>
      </c>
      <c r="EK27" s="13">
        <v>45470</v>
      </c>
      <c r="EL27" s="14">
        <v>1.1200000000000001</v>
      </c>
      <c r="EM27" s="14">
        <v>-6.11</v>
      </c>
      <c r="EN27" s="14">
        <v>-1.18</v>
      </c>
      <c r="EO27" s="14">
        <v>1.8</v>
      </c>
      <c r="EP27" s="14">
        <v>-4.71</v>
      </c>
    </row>
    <row r="28" spans="1:146" ht="219.75" customHeight="1">
      <c r="A28" s="6" t="s">
        <v>1100</v>
      </c>
      <c r="B28" s="6"/>
      <c r="C28" s="6" t="str">
        <f>"公司的主营业务是钢结构制造销售业务其他配套建材生产销售业务、及钢结构装配式建筑工程总承包业务。公司主要产品包括钢结构系列产品和围护产品等。"&amp;CHAR(10)&amp;Basic_Fundamental_Information_Constructure(F28)&amp;CHAR(10)&amp;Basic_Fundamental_Information_Concatenate("建筑重钢结构 21.32亿 26.11% 毛利10.80%
建筑轻钢结构 20.27亿 24.83% 毛利9.01%
装配式建筑 13.60亿 16.66% 毛利10.78%
设备钢结构 8.52亿 10.43% 毛利10.79%
空间钢结构 8.20亿 10.04% 毛利10.77%
桥梁钢结构 5.01亿 6.13% 毛利10.78%
其它业务 3.88亿 4.75% 毛利62.68%
围护产品 8615.65万 1.06% 毛利7.98%")</f>
        <v>公司的主营业务是钢结构制造销售业务其他配套建材生产销售业务、及钢结构装配式建筑工程总承包业务。公司主要产品包括钢结构系列产品和围护产品等。
市值107.572778亿, 利润11.79亿; PE9.1; 平均PE12.26; 平均PEG.48, PB1.18; ROIC9.63%; ROE14.3033%; 股利率3.3355%; 毛利11.9167%; 净利5.5867%; 上一年度营收增18.6%, 利润增1.38%; 当季营收增-11.78%, 利润增1.08%; 过往5年营收增25.41%, 利润增24.75%
Income profile:
建筑重钢结构 21.32亿 26.11% 毛利10.80%
建筑轻钢结构 20.27亿 24.83% 毛利9.01%
装配式建筑 13.60亿 16.66% 毛利10.78%
设备钢结构 8.52亿 10.43% 毛利10.79%
空间钢结构 8.20亿 10.04% 毛利10.77%
桥梁钢结构 5.01亿 6.13% 毛利10.78%
其它业务 3.88亿 4.75% 毛利62.68%
围护产品 8615.65万 1.06% 毛利7.98%</v>
      </c>
      <c r="D28" t="s">
        <v>509</v>
      </c>
      <c r="E28" t="s">
        <v>510</v>
      </c>
      <c r="F28">
        <v>15.59</v>
      </c>
      <c r="G28">
        <v>-2.81</v>
      </c>
      <c r="H28" t="s">
        <v>2697</v>
      </c>
      <c r="I28">
        <v>10757277800</v>
      </c>
      <c r="J28">
        <v>9.1</v>
      </c>
      <c r="K28">
        <v>1.18</v>
      </c>
      <c r="L28" t="s">
        <v>361</v>
      </c>
      <c r="M28" t="s">
        <v>2698</v>
      </c>
      <c r="N28" t="s">
        <v>2699</v>
      </c>
      <c r="O28" t="s">
        <v>2700</v>
      </c>
      <c r="P28">
        <v>-11.77</v>
      </c>
      <c r="Q28" t="s">
        <v>2701</v>
      </c>
      <c r="R28">
        <v>203176370</v>
      </c>
      <c r="S28" s="5">
        <v>1.12E-2</v>
      </c>
      <c r="T28" t="s">
        <v>2702</v>
      </c>
      <c r="U28">
        <v>496172380</v>
      </c>
      <c r="V28">
        <v>690011400</v>
      </c>
      <c r="W28">
        <v>2.5299999999999998</v>
      </c>
      <c r="X28">
        <v>0.19</v>
      </c>
      <c r="Y28">
        <v>4.59</v>
      </c>
      <c r="Z28" t="s">
        <v>2703</v>
      </c>
      <c r="AA28" t="s">
        <v>2704</v>
      </c>
      <c r="AB28" t="s">
        <v>2705</v>
      </c>
      <c r="AC28" t="s">
        <v>2706</v>
      </c>
      <c r="AD28" t="s">
        <v>19</v>
      </c>
      <c r="AE28">
        <v>75161234</v>
      </c>
      <c r="AF28" t="s">
        <v>2707</v>
      </c>
      <c r="AG28" t="s">
        <v>2708</v>
      </c>
      <c r="AH28" t="s">
        <v>2709</v>
      </c>
      <c r="AI28" t="s">
        <v>922</v>
      </c>
      <c r="AJ28" t="s">
        <v>2710</v>
      </c>
      <c r="AK28" t="s">
        <v>2711</v>
      </c>
      <c r="AL28" t="s">
        <v>2712</v>
      </c>
      <c r="AM28" t="s">
        <v>19</v>
      </c>
      <c r="AN28" t="s">
        <v>2713</v>
      </c>
      <c r="AO28" t="s">
        <v>2055</v>
      </c>
      <c r="AP28" t="s">
        <v>2714</v>
      </c>
      <c r="AQ28" t="s">
        <v>67</v>
      </c>
      <c r="AR28" t="s">
        <v>19</v>
      </c>
      <c r="AS28" t="s">
        <v>2715</v>
      </c>
      <c r="AT28" t="s">
        <v>2716</v>
      </c>
      <c r="AU28" t="s">
        <v>2717</v>
      </c>
      <c r="AV28" t="s">
        <v>2718</v>
      </c>
      <c r="AW28" t="s">
        <v>45</v>
      </c>
      <c r="AX28" t="s">
        <v>1631</v>
      </c>
      <c r="AY28" t="s">
        <v>1367</v>
      </c>
      <c r="AZ28" t="s">
        <v>511</v>
      </c>
      <c r="BA28" t="s">
        <v>514</v>
      </c>
      <c r="BB28" t="s">
        <v>515</v>
      </c>
      <c r="BC28" t="s">
        <v>1632</v>
      </c>
      <c r="BD28" t="s">
        <v>714</v>
      </c>
      <c r="BE28" t="s">
        <v>512</v>
      </c>
      <c r="BF28" t="s">
        <v>516</v>
      </c>
      <c r="BG28" t="s">
        <v>115</v>
      </c>
      <c r="BH28" t="s">
        <v>2701</v>
      </c>
      <c r="BI28" t="s">
        <v>2719</v>
      </c>
      <c r="BJ28" t="s">
        <v>1631</v>
      </c>
      <c r="BK28" t="s">
        <v>2702</v>
      </c>
      <c r="BL28" t="s">
        <v>43</v>
      </c>
      <c r="BM28" t="s">
        <v>1632</v>
      </c>
      <c r="BN28">
        <v>7.08</v>
      </c>
      <c r="BO28">
        <v>10.33</v>
      </c>
      <c r="BP28">
        <v>11.48</v>
      </c>
      <c r="BQ28">
        <v>10.33</v>
      </c>
      <c r="BR28">
        <v>15.03</v>
      </c>
      <c r="BS28">
        <v>17.55</v>
      </c>
      <c r="BT28" t="s">
        <v>2720</v>
      </c>
      <c r="BU28" t="s">
        <v>1336</v>
      </c>
      <c r="BV28">
        <v>11.13</v>
      </c>
      <c r="BW28">
        <v>11.98</v>
      </c>
      <c r="BX28">
        <v>12.64</v>
      </c>
      <c r="BY28">
        <v>5.01</v>
      </c>
      <c r="BZ28">
        <v>5.86</v>
      </c>
      <c r="CA28">
        <v>5.89</v>
      </c>
      <c r="CB28">
        <v>-8.1300000000000008</v>
      </c>
      <c r="CC28">
        <v>-22.67</v>
      </c>
      <c r="CD28" t="s">
        <v>2721</v>
      </c>
      <c r="CE28" t="s">
        <v>68</v>
      </c>
      <c r="CF28" s="8">
        <v>-0.11777600637704265</v>
      </c>
      <c r="CG28" s="9">
        <v>1.0827711442786219E-2</v>
      </c>
      <c r="CH28" s="8">
        <v>0.18596331775188446</v>
      </c>
      <c r="CI28" s="8">
        <v>1.7063727602362633E-2</v>
      </c>
      <c r="CJ28" s="8">
        <v>0.45082157850265503</v>
      </c>
      <c r="CK28" s="8">
        <v>0.2506740391254425</v>
      </c>
      <c r="CL28" s="8">
        <v>0.36588779091835022</v>
      </c>
      <c r="CM28" s="9">
        <v>1.3757523149251938E-2</v>
      </c>
      <c r="CN28" s="9">
        <v>1.1304403655230999E-2</v>
      </c>
      <c r="CO28" s="9">
        <v>0.43929913640022278</v>
      </c>
      <c r="CP28" s="9">
        <v>0.42933809757232666</v>
      </c>
      <c r="CQ28" s="9">
        <v>0.34375</v>
      </c>
      <c r="CR28">
        <v>12.25667808583365</v>
      </c>
      <c r="CS28">
        <v>0.48239047656607703</v>
      </c>
      <c r="CT28">
        <v>3.3354714560615779</v>
      </c>
      <c r="CU28" s="8">
        <v>0.25408209078013899</v>
      </c>
      <c r="CV28" s="9">
        <v>0.24748983215540649</v>
      </c>
      <c r="CW28">
        <v>0.06</v>
      </c>
      <c r="CX28">
        <v>11.076495792953494</v>
      </c>
      <c r="CY28">
        <v>1394870551.9148903</v>
      </c>
      <c r="CZ28">
        <v>0.25408209078013899</v>
      </c>
      <c r="DA28">
        <v>3.1586434176551532</v>
      </c>
      <c r="DB28">
        <v>4891428299.1366119</v>
      </c>
      <c r="DC28">
        <v>0.24137798624113202</v>
      </c>
      <c r="DD28">
        <v>1.2827709797283675</v>
      </c>
      <c r="DE28">
        <v>12044455358.096474</v>
      </c>
      <c r="DF28">
        <v>0.22359223988652233</v>
      </c>
      <c r="DG28">
        <v>0.61123187473280105</v>
      </c>
      <c r="DH28">
        <v>25277277639.936665</v>
      </c>
      <c r="DI28">
        <v>0.20326567262411122</v>
      </c>
      <c r="DJ28">
        <v>0.1812025235146813</v>
      </c>
      <c r="DK28">
        <v>85265246312.909073</v>
      </c>
      <c r="DL28">
        <v>0.17785746354609727</v>
      </c>
      <c r="DM28">
        <v>1179000000</v>
      </c>
      <c r="DN28">
        <v>0.25408209078013899</v>
      </c>
      <c r="DO28">
        <v>15450277800</v>
      </c>
      <c r="DP28">
        <v>5995640000</v>
      </c>
      <c r="DQ28">
        <v>1034</v>
      </c>
      <c r="DR28">
        <v>-0.37185809715718166</v>
      </c>
      <c r="DS28">
        <v>-0.23666212071262027</v>
      </c>
      <c r="DT28" s="10">
        <v>7.6666666666666591E-2</v>
      </c>
      <c r="DU28">
        <v>0.34999999999999992</v>
      </c>
      <c r="DV28">
        <v>0.42666666666666653</v>
      </c>
      <c r="DW28">
        <v>-9.3586237318041459</v>
      </c>
      <c r="DX28">
        <v>0.43472014388489089</v>
      </c>
      <c r="DY28">
        <v>-9.0554863153852754</v>
      </c>
      <c r="DZ28">
        <v>830</v>
      </c>
      <c r="EA28">
        <v>-9.0464738610271969</v>
      </c>
      <c r="EB28">
        <v>9</v>
      </c>
      <c r="EC28">
        <v>3.1167745924197774E-2</v>
      </c>
      <c r="ED28">
        <v>0.20144594712493155</v>
      </c>
      <c r="EE28" s="11">
        <v>-1.00091</v>
      </c>
      <c r="EF28">
        <v>-1.00501</v>
      </c>
      <c r="EG28">
        <v>28.154720143884891</v>
      </c>
      <c r="EH28" t="s">
        <v>1265</v>
      </c>
      <c r="EI28">
        <v>0</v>
      </c>
      <c r="EJ28">
        <v>1</v>
      </c>
      <c r="EK28" s="13">
        <v>45470</v>
      </c>
      <c r="EL28" s="14">
        <v>-0.11</v>
      </c>
      <c r="EM28" s="14">
        <v>-1.26</v>
      </c>
      <c r="EN28" s="14">
        <v>-1.05</v>
      </c>
      <c r="EO28" s="14">
        <v>1.29</v>
      </c>
      <c r="EP28" s="14">
        <v>-0.41</v>
      </c>
    </row>
    <row r="29" spans="1:146" ht="108">
      <c r="A29" s="6"/>
      <c r="B29" s="6"/>
      <c r="C29" s="6" t="str">
        <f>""&amp;CHAR(10)&amp;Basic_Fundamental_Information_Constructure(F29)&amp;CHAR(10)&amp;Basic_Fundamental_Information_Concatenate("")</f>
        <v xml:space="preserve">
市值27.272363亿, 利润-7.39亿; PE; 平均PE-14.86; 平均PEG-27.74, PB1.27; ROIC0%; ROE-13.4133%; 股利率0%; 毛利3.54%; 净利-22.7167%; 上一年度营收增16.08%, 利润增-4.53%; 当季营收增-42.21%, 利润增-36.97%; 过往5年营收增.54%, 利润增-82.56%
Income profile:
</v>
      </c>
      <c r="D29" t="s">
        <v>517</v>
      </c>
      <c r="E29" t="s">
        <v>518</v>
      </c>
      <c r="F29">
        <v>1.51</v>
      </c>
      <c r="G29">
        <v>3.42</v>
      </c>
      <c r="H29" t="s">
        <v>2722</v>
      </c>
      <c r="I29">
        <v>2727236300</v>
      </c>
      <c r="K29">
        <v>1.27</v>
      </c>
      <c r="L29" t="s">
        <v>361</v>
      </c>
      <c r="M29" t="s">
        <v>2723</v>
      </c>
      <c r="N29" t="s">
        <v>1923</v>
      </c>
      <c r="O29" t="s">
        <v>1902</v>
      </c>
      <c r="P29">
        <v>-42.1</v>
      </c>
      <c r="Q29" t="s">
        <v>2724</v>
      </c>
      <c r="R29">
        <v>-50362352</v>
      </c>
      <c r="S29" s="5">
        <v>-0.36969999999999997</v>
      </c>
      <c r="T29" t="s">
        <v>2725</v>
      </c>
      <c r="U29">
        <v>1601624600</v>
      </c>
      <c r="V29">
        <v>1806116700</v>
      </c>
      <c r="W29">
        <v>3.59</v>
      </c>
      <c r="X29">
        <v>0.03</v>
      </c>
      <c r="Y29">
        <v>-24.48</v>
      </c>
      <c r="Z29" t="s">
        <v>309</v>
      </c>
      <c r="AA29" t="s">
        <v>675</v>
      </c>
      <c r="AB29" t="s">
        <v>2726</v>
      </c>
      <c r="AC29" t="s">
        <v>2727</v>
      </c>
      <c r="AD29" t="s">
        <v>19</v>
      </c>
      <c r="AE29">
        <v>31206353</v>
      </c>
      <c r="AF29" t="s">
        <v>2728</v>
      </c>
      <c r="AG29" t="s">
        <v>2729</v>
      </c>
      <c r="AH29" t="s">
        <v>2730</v>
      </c>
      <c r="AI29" t="s">
        <v>210</v>
      </c>
      <c r="AJ29" t="s">
        <v>2731</v>
      </c>
      <c r="AK29" t="s">
        <v>2732</v>
      </c>
      <c r="AL29" t="s">
        <v>2733</v>
      </c>
      <c r="AM29" t="s">
        <v>19</v>
      </c>
      <c r="AN29" t="s">
        <v>2734</v>
      </c>
      <c r="AO29" t="s">
        <v>2735</v>
      </c>
      <c r="AP29" t="s">
        <v>19</v>
      </c>
      <c r="AQ29" t="s">
        <v>1860</v>
      </c>
      <c r="AR29" t="s">
        <v>2736</v>
      </c>
      <c r="AS29" t="s">
        <v>2737</v>
      </c>
      <c r="AT29" t="s">
        <v>19</v>
      </c>
      <c r="AU29" t="s">
        <v>1478</v>
      </c>
      <c r="AV29" t="s">
        <v>2738</v>
      </c>
      <c r="AW29" t="s">
        <v>1661</v>
      </c>
      <c r="AX29" t="s">
        <v>1633</v>
      </c>
      <c r="AY29" t="s">
        <v>1368</v>
      </c>
      <c r="AZ29" t="s">
        <v>519</v>
      </c>
      <c r="BA29" t="s">
        <v>520</v>
      </c>
      <c r="BB29" t="s">
        <v>521</v>
      </c>
      <c r="BC29" t="s">
        <v>1634</v>
      </c>
      <c r="BD29" t="s">
        <v>1132</v>
      </c>
      <c r="BE29" t="s">
        <v>232</v>
      </c>
      <c r="BF29" t="s">
        <v>113</v>
      </c>
      <c r="BG29" t="s">
        <v>313</v>
      </c>
      <c r="BH29" t="s">
        <v>2724</v>
      </c>
      <c r="BI29" t="s">
        <v>95</v>
      </c>
      <c r="BJ29" t="s">
        <v>1633</v>
      </c>
      <c r="BK29" t="s">
        <v>2725</v>
      </c>
      <c r="BL29" t="s">
        <v>2739</v>
      </c>
      <c r="BM29" t="s">
        <v>1634</v>
      </c>
      <c r="BN29" t="s">
        <v>19</v>
      </c>
      <c r="BO29" t="s">
        <v>19</v>
      </c>
      <c r="BP29" t="s">
        <v>19</v>
      </c>
      <c r="BQ29">
        <v>-10.7</v>
      </c>
      <c r="BR29">
        <v>-21.38</v>
      </c>
      <c r="BS29">
        <v>-8.16</v>
      </c>
      <c r="BT29" t="s">
        <v>1571</v>
      </c>
      <c r="BU29" t="s">
        <v>1336</v>
      </c>
      <c r="BV29">
        <v>0.54</v>
      </c>
      <c r="BW29">
        <v>0.34</v>
      </c>
      <c r="BX29">
        <v>9.74</v>
      </c>
      <c r="BY29">
        <v>-29.74</v>
      </c>
      <c r="BZ29">
        <v>-32.32</v>
      </c>
      <c r="CA29">
        <v>-6.09</v>
      </c>
      <c r="CB29">
        <v>-3.21</v>
      </c>
      <c r="CC29">
        <v>-28.1</v>
      </c>
      <c r="CD29" t="s">
        <v>1899</v>
      </c>
      <c r="CE29" t="s">
        <v>2740</v>
      </c>
      <c r="CF29" s="8">
        <v>-0.42209631728045327</v>
      </c>
      <c r="CG29" s="9">
        <v>-0.36968854367242149</v>
      </c>
      <c r="CH29" s="8">
        <v>0.16077177226543427</v>
      </c>
      <c r="CI29" s="8">
        <v>-0.57924240827560425</v>
      </c>
      <c r="CJ29" s="8">
        <v>-8.6349979043006897E-2</v>
      </c>
      <c r="CK29" s="8">
        <v>0.3812195360660553</v>
      </c>
      <c r="CL29" s="8">
        <v>0.1503928154706955</v>
      </c>
      <c r="CM29" s="9">
        <v>-4.5261669903993607E-2</v>
      </c>
      <c r="CN29" s="9">
        <v>-1.2444444894790649</v>
      </c>
      <c r="CO29" s="9">
        <v>-2.7027027606964111</v>
      </c>
      <c r="CP29" s="9">
        <v>-0.2658730149269104</v>
      </c>
      <c r="CQ29" s="9">
        <v>0.1300448477268219</v>
      </c>
      <c r="CR29">
        <v>-14.862323160762942</v>
      </c>
      <c r="CS29">
        <v>-27.736767211552475</v>
      </c>
      <c r="CT29">
        <v>0</v>
      </c>
      <c r="CU29" s="8">
        <v>5.3583472967147824E-3</v>
      </c>
      <c r="CV29" s="9">
        <v>-0.82564741745591164</v>
      </c>
      <c r="CW29">
        <v>0.06</v>
      </c>
      <c r="CX29" t="e">
        <v>#VALUE!</v>
      </c>
      <c r="CY29" t="s">
        <v>1248</v>
      </c>
      <c r="CZ29">
        <v>5.3583472967147824E-3</v>
      </c>
      <c r="DA29" t="e">
        <v>#VALUE!</v>
      </c>
      <c r="DB29" t="s">
        <v>1249</v>
      </c>
      <c r="DC29">
        <v>5.0904299318790432E-3</v>
      </c>
      <c r="DD29" t="e">
        <v>#VALUE!</v>
      </c>
      <c r="DE29" t="s">
        <v>1249</v>
      </c>
      <c r="DF29">
        <v>4.7153456211090081E-3</v>
      </c>
      <c r="DG29" t="e">
        <v>#VALUE!</v>
      </c>
      <c r="DH29" t="s">
        <v>1249</v>
      </c>
      <c r="DI29">
        <v>4.2866778373718264E-3</v>
      </c>
      <c r="DJ29" t="e">
        <v>#VALUE!</v>
      </c>
      <c r="DK29" t="s">
        <v>1249</v>
      </c>
      <c r="DL29">
        <v>3.7508431077003476E-3</v>
      </c>
      <c r="DM29">
        <v>-739000000</v>
      </c>
      <c r="DN29">
        <v>5.3583472967147824E-3</v>
      </c>
      <c r="DO29">
        <v>6654236300</v>
      </c>
      <c r="DP29">
        <v>1780043400</v>
      </c>
      <c r="DQ29">
        <v>1035</v>
      </c>
      <c r="DR29">
        <v>-0.42745466457716808</v>
      </c>
      <c r="DS29">
        <v>0.45595887378349015</v>
      </c>
      <c r="DT29" s="10">
        <v>-0.20666666666666669</v>
      </c>
      <c r="DU29">
        <v>-2.831666666666667</v>
      </c>
      <c r="DV29">
        <v>-3.0383333333333336</v>
      </c>
      <c r="DW29">
        <v>-8.1142348754448399</v>
      </c>
      <c r="DX29">
        <v>0.4933834586466167</v>
      </c>
      <c r="DY29">
        <v>-8.0403687153827637</v>
      </c>
      <c r="DZ29">
        <v>4919</v>
      </c>
      <c r="EA29">
        <v>-8.0015088893616646</v>
      </c>
      <c r="EB29">
        <v>8</v>
      </c>
      <c r="EC29">
        <v>0.10409072680630216</v>
      </c>
      <c r="ED29">
        <v>0.29455460989868482</v>
      </c>
      <c r="EE29" s="11">
        <v>-2.1017000000000001</v>
      </c>
      <c r="EF29">
        <v>-2.0682</v>
      </c>
      <c r="EG29">
        <v>14.353383458646617</v>
      </c>
      <c r="EH29" t="s">
        <v>1905</v>
      </c>
      <c r="EI29">
        <v>0</v>
      </c>
      <c r="EJ29">
        <v>0</v>
      </c>
      <c r="EK29" s="13">
        <v>45470</v>
      </c>
      <c r="EL29" s="14">
        <v>-0.53</v>
      </c>
      <c r="EM29" s="14">
        <v>-3.23</v>
      </c>
      <c r="EN29" s="14">
        <v>-1.1100000000000001</v>
      </c>
      <c r="EO29" s="14">
        <v>0.56000000000000005</v>
      </c>
      <c r="EP29" s="14">
        <v>-3.35</v>
      </c>
    </row>
    <row r="30" spans="1:146" ht="108">
      <c r="A30" s="6"/>
      <c r="B30" s="6"/>
      <c r="C30" s="6" t="str">
        <f>""&amp;CHAR(10)&amp;Basic_Fundamental_Information_Constructure(F30)&amp;CHAR(10)&amp;Basic_Fundamental_Information_Concatenate("")</f>
        <v xml:space="preserve">
市值18.994114亿, 利润-1.37亿; PE; 平均PE-4.66; 平均PEG-.62, PB.63; ROIC-1.04%; ROE-7.29%; 股利率0%; 毛利10.9333%; 净利-9.7433%; 上一年度营收增-16.68%, 利润增72.43%; 当季营收增46.45%, 利润增-419.74%; 过往5年营收增-7.55%, 利润增-435.54%
Income profile:
</v>
      </c>
      <c r="D30" t="s">
        <v>524</v>
      </c>
      <c r="E30" t="s">
        <v>1825</v>
      </c>
      <c r="F30">
        <v>1.66</v>
      </c>
      <c r="G30">
        <v>5.0599999999999996</v>
      </c>
      <c r="H30" t="s">
        <v>2741</v>
      </c>
      <c r="I30">
        <v>1899411400</v>
      </c>
      <c r="K30">
        <v>0.63</v>
      </c>
      <c r="L30" t="s">
        <v>361</v>
      </c>
      <c r="M30" t="s">
        <v>2742</v>
      </c>
      <c r="N30" t="s">
        <v>2743</v>
      </c>
      <c r="O30" t="s">
        <v>1611</v>
      </c>
      <c r="P30">
        <v>46.12</v>
      </c>
      <c r="Q30" t="s">
        <v>2744</v>
      </c>
      <c r="R30">
        <v>-62321615</v>
      </c>
      <c r="S30" s="5">
        <v>-4.1970000000000001</v>
      </c>
      <c r="T30" t="s">
        <v>1913</v>
      </c>
      <c r="U30">
        <v>896958200</v>
      </c>
      <c r="V30">
        <v>1144223710</v>
      </c>
      <c r="W30">
        <v>2.38</v>
      </c>
      <c r="X30">
        <v>0.04</v>
      </c>
      <c r="Y30">
        <v>-21.92</v>
      </c>
      <c r="Z30" t="s">
        <v>2067</v>
      </c>
      <c r="AA30" t="s">
        <v>1614</v>
      </c>
      <c r="AB30" t="s">
        <v>2745</v>
      </c>
      <c r="AC30" t="s">
        <v>2746</v>
      </c>
      <c r="AD30" t="s">
        <v>19</v>
      </c>
      <c r="AE30">
        <v>12243981</v>
      </c>
      <c r="AF30" t="s">
        <v>2747</v>
      </c>
      <c r="AG30" t="s">
        <v>2748</v>
      </c>
      <c r="AH30" t="s">
        <v>2749</v>
      </c>
      <c r="AI30" t="s">
        <v>2750</v>
      </c>
      <c r="AJ30" t="s">
        <v>2751</v>
      </c>
      <c r="AK30" t="s">
        <v>2752</v>
      </c>
      <c r="AL30" t="s">
        <v>2753</v>
      </c>
      <c r="AM30" t="s">
        <v>19</v>
      </c>
      <c r="AN30">
        <v>0</v>
      </c>
      <c r="AO30" t="s">
        <v>1924</v>
      </c>
      <c r="AP30" t="s">
        <v>19</v>
      </c>
      <c r="AQ30" t="s">
        <v>2061</v>
      </c>
      <c r="AR30" t="s">
        <v>2754</v>
      </c>
      <c r="AS30" t="s">
        <v>2755</v>
      </c>
      <c r="AT30" t="s">
        <v>823</v>
      </c>
      <c r="AU30" t="s">
        <v>2756</v>
      </c>
      <c r="AV30" t="s">
        <v>634</v>
      </c>
      <c r="AW30" t="s">
        <v>2757</v>
      </c>
      <c r="AX30" t="s">
        <v>2758</v>
      </c>
      <c r="AY30" t="s">
        <v>2759</v>
      </c>
      <c r="AZ30" t="s">
        <v>1134</v>
      </c>
      <c r="BA30" t="s">
        <v>2760</v>
      </c>
      <c r="BB30" t="s">
        <v>2761</v>
      </c>
      <c r="BC30" t="s">
        <v>2762</v>
      </c>
      <c r="BD30" t="s">
        <v>2763</v>
      </c>
      <c r="BE30" t="s">
        <v>2764</v>
      </c>
      <c r="BF30" t="s">
        <v>2765</v>
      </c>
      <c r="BG30" t="s">
        <v>2766</v>
      </c>
      <c r="BH30" t="s">
        <v>2744</v>
      </c>
      <c r="BI30" t="s">
        <v>1698</v>
      </c>
      <c r="BJ30" t="s">
        <v>2758</v>
      </c>
      <c r="BK30" t="s">
        <v>1913</v>
      </c>
      <c r="BL30" t="s">
        <v>2767</v>
      </c>
      <c r="BM30" t="s">
        <v>2762</v>
      </c>
      <c r="BN30" t="s">
        <v>19</v>
      </c>
      <c r="BO30" t="s">
        <v>19</v>
      </c>
      <c r="BP30">
        <v>-1.04</v>
      </c>
      <c r="BQ30">
        <v>-2.31</v>
      </c>
      <c r="BR30">
        <v>-18.739999999999998</v>
      </c>
      <c r="BS30">
        <v>-0.82</v>
      </c>
      <c r="BT30" t="s">
        <v>1571</v>
      </c>
      <c r="BU30" t="s">
        <v>1342</v>
      </c>
      <c r="BV30">
        <v>8.93</v>
      </c>
      <c r="BW30">
        <v>9.36</v>
      </c>
      <c r="BX30">
        <v>14.51</v>
      </c>
      <c r="BY30">
        <v>-7.05</v>
      </c>
      <c r="BZ30">
        <v>-21.82</v>
      </c>
      <c r="CA30">
        <v>-0.36</v>
      </c>
      <c r="CB30">
        <v>7.1</v>
      </c>
      <c r="CC30">
        <v>-7.26</v>
      </c>
      <c r="CD30" t="s">
        <v>2768</v>
      </c>
      <c r="CE30" t="s">
        <v>199</v>
      </c>
      <c r="CF30" s="8">
        <v>0.46445497630331756</v>
      </c>
      <c r="CG30" s="9">
        <v>-4.1973659411225084</v>
      </c>
      <c r="CH30" s="8">
        <v>-0.16679689288139343</v>
      </c>
      <c r="CI30" s="8">
        <v>-7.7519379556179047E-3</v>
      </c>
      <c r="CJ30" s="8">
        <v>0.19944208860397339</v>
      </c>
      <c r="CK30" s="8">
        <v>-0.35482904314994812</v>
      </c>
      <c r="CL30" s="8">
        <v>-4.7428533434867859E-2</v>
      </c>
      <c r="CM30" s="9">
        <v>0.7243461012840271</v>
      </c>
      <c r="CN30" s="9">
        <v>-23.391119003295898</v>
      </c>
      <c r="CO30" s="9">
        <v>1.0807137489318848</v>
      </c>
      <c r="CP30" s="9">
        <v>0.73222976922988892</v>
      </c>
      <c r="CQ30" s="9">
        <v>-0.92322099208831787</v>
      </c>
      <c r="CR30">
        <v>-4.6557934363772722</v>
      </c>
      <c r="CS30">
        <v>-0.6168831026423206</v>
      </c>
      <c r="CT30">
        <v>0</v>
      </c>
      <c r="CU30" s="8">
        <v>-7.5472863763570791E-2</v>
      </c>
      <c r="CV30" s="9">
        <v>-4.3554100751876828</v>
      </c>
      <c r="CW30">
        <v>0.06</v>
      </c>
      <c r="CX30" t="e">
        <v>#VALUE!</v>
      </c>
      <c r="CY30" t="s">
        <v>1248</v>
      </c>
      <c r="CZ30">
        <v>-7.5472863763570791E-2</v>
      </c>
      <c r="DA30" t="e">
        <v>#VALUE!</v>
      </c>
      <c r="DB30" t="s">
        <v>1249</v>
      </c>
      <c r="DC30">
        <v>-7.1699220575392242E-2</v>
      </c>
      <c r="DD30" t="e">
        <v>#VALUE!</v>
      </c>
      <c r="DE30" t="s">
        <v>1249</v>
      </c>
      <c r="DF30">
        <v>-6.6416120111942298E-2</v>
      </c>
      <c r="DG30" t="e">
        <v>#VALUE!</v>
      </c>
      <c r="DH30" t="s">
        <v>1249</v>
      </c>
      <c r="DI30">
        <v>-6.0378291010856636E-2</v>
      </c>
      <c r="DJ30" t="e">
        <v>#VALUE!</v>
      </c>
      <c r="DK30" t="s">
        <v>1249</v>
      </c>
      <c r="DL30">
        <v>-5.2831004634499551E-2</v>
      </c>
      <c r="DM30">
        <v>-137000000</v>
      </c>
      <c r="DN30">
        <v>-7.5472863763570791E-2</v>
      </c>
      <c r="DO30">
        <v>3413411400</v>
      </c>
      <c r="DP30">
        <v>-273622700</v>
      </c>
      <c r="DQ30">
        <v>1079</v>
      </c>
      <c r="DR30">
        <v>0.53992784006688832</v>
      </c>
      <c r="DS30">
        <v>0.15804413406517437</v>
      </c>
      <c r="DT30" s="10">
        <v>-0.59</v>
      </c>
      <c r="DU30">
        <v>-2.2316666666666669</v>
      </c>
      <c r="DV30">
        <v>-2.8216666666666668</v>
      </c>
      <c r="DW30">
        <v>7.4944289693593316</v>
      </c>
      <c r="DX30">
        <v>0.50859568965516977</v>
      </c>
      <c r="DY30">
        <v>7.048748565219479</v>
      </c>
      <c r="DZ30" t="s">
        <v>2769</v>
      </c>
      <c r="EA30" t="e">
        <v>#VALUE!</v>
      </c>
      <c r="EB30" t="e">
        <v>#VALUE!</v>
      </c>
      <c r="EC30">
        <v>1.999102081183058E-2</v>
      </c>
      <c r="ED30">
        <v>0.20275755341584381</v>
      </c>
      <c r="EE30" s="11">
        <v>-2.10501</v>
      </c>
      <c r="EF30">
        <v>-2.11781</v>
      </c>
      <c r="EG30">
        <v>41.09859568965517</v>
      </c>
      <c r="EH30" t="s">
        <v>1295</v>
      </c>
      <c r="EI30" t="e">
        <v>#VALUE!</v>
      </c>
      <c r="EJ30">
        <v>0</v>
      </c>
      <c r="EK30" s="13">
        <v>45470</v>
      </c>
      <c r="EL30" s="14">
        <v>5.03</v>
      </c>
      <c r="EM30" s="14">
        <v>-3.59</v>
      </c>
      <c r="EN30" s="14">
        <v>-1.24</v>
      </c>
      <c r="EO30" s="14">
        <v>-1.89</v>
      </c>
      <c r="EP30" s="14">
        <v>-1.28</v>
      </c>
    </row>
    <row r="31" spans="1:146" ht="108">
      <c r="A31" s="6"/>
      <c r="B31" s="6"/>
      <c r="C31" s="6" t="str">
        <f>""&amp;CHAR(10)&amp;Basic_Fundamental_Information_Constructure(F31)&amp;CHAR(10)&amp;Basic_Fundamental_Information_Concatenate("")</f>
        <v xml:space="preserve">
市值23.070725亿, 利润6008.98万; PE36.64; 平均PE31.71; 平均PEG4.28, PB.957; ROIC2.77%; ROE2.8967%; 股利率1.7422%; 毛利8.6867%; 净利1.7367%; 上一年度营收增16.96%, 利润增107.47%; 当季营收增-14.85%, 利润增17.7%; 过往5年营收增7.4%, 利润增13.32%
Income profile:
</v>
      </c>
      <c r="D31" t="s">
        <v>525</v>
      </c>
      <c r="E31" t="s">
        <v>526</v>
      </c>
      <c r="F31">
        <v>2.87</v>
      </c>
      <c r="G31">
        <v>0.7</v>
      </c>
      <c r="H31" t="s">
        <v>2770</v>
      </c>
      <c r="I31">
        <v>2307072500</v>
      </c>
      <c r="J31">
        <v>36.64</v>
      </c>
      <c r="K31">
        <v>0.95699999999999996</v>
      </c>
      <c r="L31" t="s">
        <v>361</v>
      </c>
      <c r="M31" t="s">
        <v>2771</v>
      </c>
      <c r="N31" t="s">
        <v>2772</v>
      </c>
      <c r="O31" t="s">
        <v>2060</v>
      </c>
      <c r="P31">
        <v>-14.83</v>
      </c>
      <c r="Q31" t="s">
        <v>2031</v>
      </c>
      <c r="R31">
        <v>19126407</v>
      </c>
      <c r="S31" s="5">
        <v>0.17699999999999999</v>
      </c>
      <c r="T31" t="s">
        <v>2773</v>
      </c>
      <c r="U31">
        <v>570468780</v>
      </c>
      <c r="V31">
        <v>803858030</v>
      </c>
      <c r="W31">
        <v>2.0699999999999998</v>
      </c>
      <c r="X31">
        <v>0.15</v>
      </c>
      <c r="Y31">
        <v>2.59</v>
      </c>
      <c r="Z31" t="s">
        <v>48</v>
      </c>
      <c r="AA31" t="s">
        <v>1933</v>
      </c>
      <c r="AB31" t="s">
        <v>2774</v>
      </c>
      <c r="AC31" t="s">
        <v>2775</v>
      </c>
      <c r="AD31" t="s">
        <v>19</v>
      </c>
      <c r="AE31">
        <v>3395163</v>
      </c>
      <c r="AF31" t="s">
        <v>2776</v>
      </c>
      <c r="AG31" t="s">
        <v>2777</v>
      </c>
      <c r="AH31" t="s">
        <v>2778</v>
      </c>
      <c r="AI31" t="s">
        <v>2070</v>
      </c>
      <c r="AJ31" t="s">
        <v>2779</v>
      </c>
      <c r="AK31" t="s">
        <v>2780</v>
      </c>
      <c r="AL31" t="s">
        <v>2781</v>
      </c>
      <c r="AM31" t="s">
        <v>19</v>
      </c>
      <c r="AN31" t="s">
        <v>35</v>
      </c>
      <c r="AO31" t="s">
        <v>1169</v>
      </c>
      <c r="AP31" t="s">
        <v>201</v>
      </c>
      <c r="AQ31" t="s">
        <v>1727</v>
      </c>
      <c r="AR31" t="s">
        <v>19</v>
      </c>
      <c r="AS31" t="s">
        <v>1440</v>
      </c>
      <c r="AT31" t="s">
        <v>22</v>
      </c>
      <c r="AU31" t="s">
        <v>2782</v>
      </c>
      <c r="AV31" t="s">
        <v>2783</v>
      </c>
      <c r="AW31" t="s">
        <v>2784</v>
      </c>
      <c r="AX31" t="s">
        <v>1638</v>
      </c>
      <c r="AY31" t="s">
        <v>1369</v>
      </c>
      <c r="AZ31" t="s">
        <v>1135</v>
      </c>
      <c r="BA31" t="s">
        <v>528</v>
      </c>
      <c r="BB31" t="s">
        <v>529</v>
      </c>
      <c r="BC31" t="s">
        <v>1639</v>
      </c>
      <c r="BD31" t="s">
        <v>106</v>
      </c>
      <c r="BE31" t="s">
        <v>1136</v>
      </c>
      <c r="BF31" t="s">
        <v>530</v>
      </c>
      <c r="BG31" t="s">
        <v>531</v>
      </c>
      <c r="BH31" t="s">
        <v>2031</v>
      </c>
      <c r="BI31" t="s">
        <v>1301</v>
      </c>
      <c r="BJ31" t="s">
        <v>1638</v>
      </c>
      <c r="BK31" t="s">
        <v>2773</v>
      </c>
      <c r="BL31" t="s">
        <v>2785</v>
      </c>
      <c r="BM31" t="s">
        <v>1639</v>
      </c>
      <c r="BN31">
        <v>1.99</v>
      </c>
      <c r="BO31">
        <v>1.63</v>
      </c>
      <c r="BP31">
        <v>4.6900000000000004</v>
      </c>
      <c r="BQ31">
        <v>2.39</v>
      </c>
      <c r="BR31">
        <v>1.24</v>
      </c>
      <c r="BS31">
        <v>5.0599999999999996</v>
      </c>
      <c r="BT31" t="s">
        <v>1576</v>
      </c>
      <c r="BU31" t="s">
        <v>1336</v>
      </c>
      <c r="BV31">
        <v>9.07</v>
      </c>
      <c r="BW31">
        <v>7.3</v>
      </c>
      <c r="BX31">
        <v>9.69</v>
      </c>
      <c r="BY31">
        <v>1.51</v>
      </c>
      <c r="BZ31">
        <v>0.87</v>
      </c>
      <c r="CA31">
        <v>2.83</v>
      </c>
      <c r="CB31">
        <v>-10.31</v>
      </c>
      <c r="CC31">
        <v>-11.42</v>
      </c>
      <c r="CD31" t="s">
        <v>59</v>
      </c>
      <c r="CE31" t="s">
        <v>610</v>
      </c>
      <c r="CF31" s="8">
        <v>-0.14849187935034791</v>
      </c>
      <c r="CG31" s="9">
        <v>0.17704587833471799</v>
      </c>
      <c r="CH31" s="8">
        <v>0.16962705552577972</v>
      </c>
      <c r="CI31" s="8">
        <v>-0.105876125395298</v>
      </c>
      <c r="CJ31" s="8">
        <v>0.26439085602760315</v>
      </c>
      <c r="CK31" s="8">
        <v>0.13353565335273743</v>
      </c>
      <c r="CL31" s="8">
        <v>-9.1660961508750916E-2</v>
      </c>
      <c r="CM31" s="9">
        <v>1.0747377872467041</v>
      </c>
      <c r="CN31" s="9">
        <v>-0.726767897605896</v>
      </c>
      <c r="CO31" s="9">
        <v>0.36800149083137512</v>
      </c>
      <c r="CP31" s="9">
        <v>-5.9575989842414856E-2</v>
      </c>
      <c r="CQ31" s="9">
        <v>9.5596574246883392E-3</v>
      </c>
      <c r="CR31">
        <v>31.709031475527752</v>
      </c>
      <c r="CS31">
        <v>4.2848134286806339</v>
      </c>
      <c r="CT31">
        <v>1.7421602787456445</v>
      </c>
      <c r="CU31" s="8">
        <v>7.4003295600414271E-2</v>
      </c>
      <c r="CV31" s="9">
        <v>0.13319100961089134</v>
      </c>
      <c r="CW31">
        <v>0.06</v>
      </c>
      <c r="CX31">
        <v>41.3587803196707</v>
      </c>
      <c r="CY31">
        <v>60883625.690537505</v>
      </c>
      <c r="CZ31">
        <v>7.4003295600414271E-2</v>
      </c>
      <c r="DA31">
        <v>13.700323139229081</v>
      </c>
      <c r="DB31">
        <v>183796577.23472443</v>
      </c>
      <c r="DC31">
        <v>7.030313082039355E-2</v>
      </c>
      <c r="DD31">
        <v>6.8670941277493265</v>
      </c>
      <c r="DE31">
        <v>366686760.53597248</v>
      </c>
      <c r="DF31">
        <v>6.5122900128364553E-2</v>
      </c>
      <c r="DG31">
        <v>4.2078855985777217</v>
      </c>
      <c r="DH31">
        <v>598417528.47347283</v>
      </c>
      <c r="DI31">
        <v>5.9202636480331416E-2</v>
      </c>
      <c r="DJ31">
        <v>2.2709402140440198</v>
      </c>
      <c r="DK31">
        <v>1108823774.5880129</v>
      </c>
      <c r="DL31">
        <v>5.1802306920289989E-2</v>
      </c>
      <c r="DM31">
        <v>60089799.999999993</v>
      </c>
      <c r="DN31">
        <v>7.4003295600414271E-2</v>
      </c>
      <c r="DO31">
        <v>2518072500</v>
      </c>
      <c r="DP31">
        <v>960823100</v>
      </c>
      <c r="DQ31">
        <v>1086</v>
      </c>
      <c r="DR31">
        <v>-0.22249517495076218</v>
      </c>
      <c r="DS31">
        <v>4.3854868723826657E-2</v>
      </c>
      <c r="DT31" s="10">
        <v>-0.14000000000000001</v>
      </c>
      <c r="DU31">
        <v>0.38666666666666666</v>
      </c>
      <c r="DV31">
        <v>0.24666666666666665</v>
      </c>
      <c r="DW31">
        <v>-9.9028021015761816</v>
      </c>
      <c r="DX31">
        <v>0.32002195389681753</v>
      </c>
      <c r="DY31">
        <v>-9.1625241983078975</v>
      </c>
      <c r="DZ31">
        <v>1149</v>
      </c>
      <c r="EA31">
        <v>-9.1259801075337741</v>
      </c>
      <c r="EB31">
        <v>9</v>
      </c>
      <c r="EC31">
        <v>0.20401612458856697</v>
      </c>
      <c r="ED31">
        <v>1.1332846920742958</v>
      </c>
      <c r="EE31" s="11">
        <v>1.1043099999999999</v>
      </c>
      <c r="EF31">
        <v>1.0945100000000001</v>
      </c>
      <c r="EG31">
        <v>14.180021953896818</v>
      </c>
      <c r="EH31" t="s">
        <v>1242</v>
      </c>
      <c r="EI31">
        <v>0</v>
      </c>
      <c r="EJ31">
        <v>1</v>
      </c>
      <c r="EK31" s="13">
        <v>45470</v>
      </c>
      <c r="EL31" s="14">
        <v>10.06</v>
      </c>
      <c r="EM31" s="14">
        <v>0.28999999999999998</v>
      </c>
      <c r="EN31" s="14">
        <v>-8.82</v>
      </c>
      <c r="EO31" s="14">
        <v>-1.61</v>
      </c>
      <c r="EP31" s="14">
        <v>0.98</v>
      </c>
    </row>
    <row r="32" spans="1:146" ht="108">
      <c r="A32" s="6"/>
      <c r="B32" s="6"/>
      <c r="C32" s="6" t="str">
        <f>""&amp;CHAR(10)&amp;Basic_Fundamental_Information_Constructure(F32)&amp;CHAR(10)&amp;Basic_Fundamental_Information_Concatenate("")</f>
        <v xml:space="preserve">
市值9.6638464亿, 利润-3.73亿; PE; 平均PE-3.3; 平均PEG-.24, PB4.47; ROIC2.63%; ROE-43.6767%; 股利率0%; 毛利12.6033%; 净利-24.2233%; 上一年度营收增-27.81%, 利润增-4007.6%; 当季营收增-33.93%, 利润增-1684.51%; 过往5年营收增-13.8%, 利润增-1050.42%
Income profile:
</v>
      </c>
      <c r="D32" t="s">
        <v>532</v>
      </c>
      <c r="E32" t="s">
        <v>533</v>
      </c>
      <c r="F32">
        <v>2.56</v>
      </c>
      <c r="G32">
        <v>3.23</v>
      </c>
      <c r="H32" t="s">
        <v>2786</v>
      </c>
      <c r="I32">
        <v>966384640</v>
      </c>
      <c r="K32">
        <v>4.47</v>
      </c>
      <c r="L32" t="s">
        <v>361</v>
      </c>
      <c r="M32" t="s">
        <v>1797</v>
      </c>
      <c r="N32" t="s">
        <v>2787</v>
      </c>
      <c r="O32" t="s">
        <v>184</v>
      </c>
      <c r="P32">
        <v>-34</v>
      </c>
      <c r="Q32" t="s">
        <v>1816</v>
      </c>
      <c r="R32">
        <v>-17621376</v>
      </c>
      <c r="S32" s="5">
        <v>-16.850000000000001</v>
      </c>
      <c r="T32" t="s">
        <v>2038</v>
      </c>
      <c r="U32">
        <v>315090130</v>
      </c>
      <c r="V32">
        <v>377494000</v>
      </c>
      <c r="W32">
        <v>7.92</v>
      </c>
      <c r="X32">
        <v>0.06</v>
      </c>
      <c r="Y32">
        <v>-6.25</v>
      </c>
      <c r="Z32" t="s">
        <v>152</v>
      </c>
      <c r="AA32" t="s">
        <v>513</v>
      </c>
      <c r="AB32" t="s">
        <v>2788</v>
      </c>
      <c r="AC32" t="s">
        <v>2789</v>
      </c>
      <c r="AD32" t="s">
        <v>19</v>
      </c>
      <c r="AE32">
        <v>12883368</v>
      </c>
      <c r="AF32" t="s">
        <v>20</v>
      </c>
      <c r="AG32" t="s">
        <v>19</v>
      </c>
      <c r="AH32" t="s">
        <v>2790</v>
      </c>
      <c r="AI32" t="s">
        <v>1902</v>
      </c>
      <c r="AJ32" t="s">
        <v>2791</v>
      </c>
      <c r="AK32" t="s">
        <v>2792</v>
      </c>
      <c r="AL32" t="s">
        <v>2793</v>
      </c>
      <c r="AM32" t="s">
        <v>19</v>
      </c>
      <c r="AN32" t="s">
        <v>2794</v>
      </c>
      <c r="AO32" t="s">
        <v>19</v>
      </c>
      <c r="AP32" t="s">
        <v>19</v>
      </c>
      <c r="AQ32" t="s">
        <v>2023</v>
      </c>
      <c r="AR32" t="s">
        <v>19</v>
      </c>
      <c r="AS32" t="s">
        <v>2795</v>
      </c>
      <c r="AT32" t="s">
        <v>2796</v>
      </c>
      <c r="AU32" t="s">
        <v>2797</v>
      </c>
      <c r="AV32">
        <v>2760</v>
      </c>
      <c r="AW32" t="s">
        <v>2798</v>
      </c>
      <c r="AX32" t="s">
        <v>1641</v>
      </c>
      <c r="AY32" t="s">
        <v>1371</v>
      </c>
      <c r="AZ32" t="s">
        <v>535</v>
      </c>
      <c r="BA32" t="s">
        <v>536</v>
      </c>
      <c r="BB32" t="s">
        <v>70</v>
      </c>
      <c r="BC32" t="s">
        <v>2799</v>
      </c>
      <c r="BD32" t="s">
        <v>1137</v>
      </c>
      <c r="BE32" t="s">
        <v>197</v>
      </c>
      <c r="BF32" t="s">
        <v>193</v>
      </c>
      <c r="BG32" t="s">
        <v>197</v>
      </c>
      <c r="BH32" t="s">
        <v>1816</v>
      </c>
      <c r="BI32" t="s">
        <v>1690</v>
      </c>
      <c r="BJ32" t="s">
        <v>1641</v>
      </c>
      <c r="BK32" t="s">
        <v>2038</v>
      </c>
      <c r="BL32" t="s">
        <v>2800</v>
      </c>
      <c r="BM32" t="s">
        <v>2799</v>
      </c>
      <c r="BN32" t="s">
        <v>19</v>
      </c>
      <c r="BO32">
        <v>2.63</v>
      </c>
      <c r="BP32" t="s">
        <v>19</v>
      </c>
      <c r="BQ32">
        <v>-14.26</v>
      </c>
      <c r="BR32">
        <v>1.53</v>
      </c>
      <c r="BS32">
        <v>-118.3</v>
      </c>
      <c r="BT32" t="s">
        <v>1571</v>
      </c>
      <c r="BU32" t="s">
        <v>1334</v>
      </c>
      <c r="BV32">
        <v>12.62</v>
      </c>
      <c r="BW32">
        <v>13.29</v>
      </c>
      <c r="BX32">
        <v>11.9</v>
      </c>
      <c r="BY32">
        <v>-22.62</v>
      </c>
      <c r="BZ32">
        <v>1.58</v>
      </c>
      <c r="CA32">
        <v>-51.63</v>
      </c>
      <c r="CB32">
        <v>4.49</v>
      </c>
      <c r="CC32">
        <v>-22.42</v>
      </c>
      <c r="CD32" t="s">
        <v>2801</v>
      </c>
      <c r="CE32" t="s">
        <v>1973</v>
      </c>
      <c r="CF32" s="8">
        <v>-0.33928571428571419</v>
      </c>
      <c r="CG32" s="9">
        <v>-16.845136228756406</v>
      </c>
      <c r="CH32" s="8">
        <v>-0.27813959121704102</v>
      </c>
      <c r="CI32" s="8">
        <v>-0.3886834979057312</v>
      </c>
      <c r="CJ32" s="8">
        <v>-6.5621696412563324E-2</v>
      </c>
      <c r="CK32" s="8">
        <v>-1.4143497683107853E-2</v>
      </c>
      <c r="CL32" s="8">
        <v>5.6447077542543411E-2</v>
      </c>
      <c r="CM32" s="9">
        <v>-40.076004028320313</v>
      </c>
      <c r="CN32" s="9">
        <v>1.0051792860031128</v>
      </c>
      <c r="CO32" s="9">
        <v>-13.452703475952148</v>
      </c>
      <c r="CP32" s="9">
        <v>-5.128205195069313E-2</v>
      </c>
      <c r="CQ32" s="9">
        <v>5.4054055362939835E-2</v>
      </c>
      <c r="CR32">
        <v>-3.304906362632944</v>
      </c>
      <c r="CS32">
        <v>-0.23943696851112051</v>
      </c>
      <c r="CT32">
        <v>0</v>
      </c>
      <c r="CU32" s="8">
        <v>-0.13802824113518</v>
      </c>
      <c r="CV32" s="9">
        <v>-10.504151242971421</v>
      </c>
      <c r="CW32">
        <v>0.06</v>
      </c>
      <c r="CX32" t="e">
        <v>#VALUE!</v>
      </c>
      <c r="CY32" t="s">
        <v>1248</v>
      </c>
      <c r="CZ32">
        <v>-0.13802824113518</v>
      </c>
      <c r="DA32" t="e">
        <v>#VALUE!</v>
      </c>
      <c r="DB32" t="s">
        <v>1249</v>
      </c>
      <c r="DC32">
        <v>-0.13112682907842099</v>
      </c>
      <c r="DD32" t="e">
        <v>#VALUE!</v>
      </c>
      <c r="DE32" t="s">
        <v>1249</v>
      </c>
      <c r="DF32">
        <v>-0.1214648521989584</v>
      </c>
      <c r="DG32" t="e">
        <v>#VALUE!</v>
      </c>
      <c r="DH32" t="s">
        <v>1249</v>
      </c>
      <c r="DI32">
        <v>-0.110422592908144</v>
      </c>
      <c r="DJ32" t="e">
        <v>#VALUE!</v>
      </c>
      <c r="DK32" t="s">
        <v>1249</v>
      </c>
      <c r="DL32">
        <v>-9.6619768794625999E-2</v>
      </c>
      <c r="DM32">
        <v>-373000000</v>
      </c>
      <c r="DN32">
        <v>-0.13802824113518</v>
      </c>
      <c r="DO32">
        <v>4030384640</v>
      </c>
      <c r="DP32">
        <v>321697100</v>
      </c>
      <c r="DQ32">
        <v>1110</v>
      </c>
      <c r="DR32">
        <v>-0.20125747315053419</v>
      </c>
      <c r="DS32">
        <v>-6.3409849857849849</v>
      </c>
      <c r="DT32" s="10">
        <v>-0.75666666666666671</v>
      </c>
      <c r="DU32">
        <v>-2.0316666666666667</v>
      </c>
      <c r="DV32">
        <v>-2.7883333333333336</v>
      </c>
      <c r="DW32">
        <v>6.166852471200297</v>
      </c>
      <c r="DX32">
        <v>0.35102142857142682</v>
      </c>
      <c r="DY32">
        <v>6.0151871502893242</v>
      </c>
      <c r="DZ32">
        <v>4829</v>
      </c>
      <c r="EA32">
        <v>6.0008351446636592</v>
      </c>
      <c r="EB32">
        <v>6</v>
      </c>
      <c r="EC32">
        <v>9.1143435392350605E-2</v>
      </c>
      <c r="ED32">
        <v>1.0013404186556607</v>
      </c>
      <c r="EE32" s="11">
        <v>-3.1263000000000001</v>
      </c>
      <c r="EF32">
        <v>-3.1101999999999999</v>
      </c>
      <c r="EG32">
        <v>26.091021428571427</v>
      </c>
      <c r="EH32" t="s">
        <v>1282</v>
      </c>
      <c r="EI32">
        <v>0</v>
      </c>
      <c r="EJ32">
        <v>0</v>
      </c>
      <c r="EK32" s="13">
        <v>45470</v>
      </c>
      <c r="EL32" s="14">
        <v>-0.4</v>
      </c>
      <c r="EM32" s="14">
        <v>-4.84</v>
      </c>
      <c r="EN32" s="14">
        <v>0.85</v>
      </c>
      <c r="EO32" s="14">
        <v>4.62</v>
      </c>
      <c r="EP32" s="14">
        <v>-1.61</v>
      </c>
    </row>
    <row r="33" spans="1:146" ht="108">
      <c r="A33" s="6"/>
      <c r="B33" s="6"/>
      <c r="C33" s="6" t="str">
        <f>""&amp;CHAR(10)&amp;Basic_Fundamental_Information_Constructure(F33)&amp;CHAR(10)&amp;Basic_Fundamental_Information_Concatenate("")</f>
        <v xml:space="preserve">
市值15.142008亿, 利润449.30万; PE388.4; 平均PE38.03; 平均PEG2.52, PB.507; ROIC2.2433%; ROE1.17%; 股利率0%; 毛利5.8367%; 净利1.88%; 上一年度营收增-12.85%, 利润增-50.68%; 当季营收增-14.74%, 利润增-720.46%; 过往5年营收增-15.08%, 利润增9.85%
Income profile:
</v>
      </c>
      <c r="D33" t="s">
        <v>538</v>
      </c>
      <c r="E33" t="s">
        <v>539</v>
      </c>
      <c r="F33">
        <v>2</v>
      </c>
      <c r="G33">
        <v>2.04</v>
      </c>
      <c r="H33" t="s">
        <v>2802</v>
      </c>
      <c r="I33">
        <v>1514200800</v>
      </c>
      <c r="J33">
        <v>388.4</v>
      </c>
      <c r="K33">
        <v>0.50700000000000001</v>
      </c>
      <c r="L33" t="s">
        <v>361</v>
      </c>
      <c r="M33" t="s">
        <v>2803</v>
      </c>
      <c r="N33" t="s">
        <v>2804</v>
      </c>
      <c r="O33" t="s">
        <v>1466</v>
      </c>
      <c r="P33">
        <v>-14.38</v>
      </c>
      <c r="Q33" t="s">
        <v>2805</v>
      </c>
      <c r="R33">
        <v>-25793900</v>
      </c>
      <c r="S33" s="5">
        <v>-0.14299999999999999</v>
      </c>
      <c r="T33" t="s">
        <v>2806</v>
      </c>
      <c r="U33">
        <v>754954800</v>
      </c>
      <c r="V33">
        <v>757100420</v>
      </c>
      <c r="W33">
        <v>2.29</v>
      </c>
      <c r="X33">
        <v>0.02</v>
      </c>
      <c r="Y33">
        <v>2.36</v>
      </c>
      <c r="Z33" t="s">
        <v>513</v>
      </c>
      <c r="AA33" t="s">
        <v>35</v>
      </c>
      <c r="AB33" t="s">
        <v>19</v>
      </c>
      <c r="AC33" t="s">
        <v>2807</v>
      </c>
      <c r="AD33" t="s">
        <v>19</v>
      </c>
      <c r="AE33">
        <v>23132277</v>
      </c>
      <c r="AF33" t="s">
        <v>2808</v>
      </c>
      <c r="AG33" t="s">
        <v>2809</v>
      </c>
      <c r="AH33" t="s">
        <v>2810</v>
      </c>
      <c r="AI33" t="s">
        <v>2811</v>
      </c>
      <c r="AJ33" t="s">
        <v>2812</v>
      </c>
      <c r="AK33" t="s">
        <v>19</v>
      </c>
      <c r="AL33" t="s">
        <v>2813</v>
      </c>
      <c r="AM33" t="s">
        <v>19</v>
      </c>
      <c r="AN33" t="s">
        <v>2814</v>
      </c>
      <c r="AO33" t="s">
        <v>2815</v>
      </c>
      <c r="AP33" t="s">
        <v>19</v>
      </c>
      <c r="AQ33" t="s">
        <v>2560</v>
      </c>
      <c r="AR33" t="s">
        <v>2816</v>
      </c>
      <c r="AS33" t="s">
        <v>2311</v>
      </c>
      <c r="AT33" t="s">
        <v>1305</v>
      </c>
      <c r="AU33" t="s">
        <v>2817</v>
      </c>
      <c r="AV33" t="s">
        <v>2818</v>
      </c>
      <c r="AW33" t="s">
        <v>2819</v>
      </c>
      <c r="AX33" t="s">
        <v>382</v>
      </c>
      <c r="AY33" t="s">
        <v>1372</v>
      </c>
      <c r="AZ33" t="s">
        <v>540</v>
      </c>
      <c r="BA33" t="s">
        <v>542</v>
      </c>
      <c r="BB33" t="s">
        <v>543</v>
      </c>
      <c r="BC33" t="s">
        <v>2820</v>
      </c>
      <c r="BD33" t="s">
        <v>1138</v>
      </c>
      <c r="BE33" t="s">
        <v>541</v>
      </c>
      <c r="BF33" t="s">
        <v>544</v>
      </c>
      <c r="BG33" t="s">
        <v>545</v>
      </c>
      <c r="BH33" t="s">
        <v>2805</v>
      </c>
      <c r="BI33" t="s">
        <v>250</v>
      </c>
      <c r="BJ33" t="s">
        <v>382</v>
      </c>
      <c r="BK33" t="s">
        <v>2806</v>
      </c>
      <c r="BL33" t="s">
        <v>2821</v>
      </c>
      <c r="BM33" t="s">
        <v>2820</v>
      </c>
      <c r="BN33">
        <v>1.61</v>
      </c>
      <c r="BO33">
        <v>1.24</v>
      </c>
      <c r="BP33">
        <v>3.88</v>
      </c>
      <c r="BQ33">
        <v>0.51</v>
      </c>
      <c r="BR33">
        <v>0.31</v>
      </c>
      <c r="BS33">
        <v>2.69</v>
      </c>
      <c r="BT33" t="s">
        <v>1571</v>
      </c>
      <c r="BU33" t="s">
        <v>1342</v>
      </c>
      <c r="BV33">
        <v>5.84</v>
      </c>
      <c r="BW33">
        <v>5.3</v>
      </c>
      <c r="BX33">
        <v>6.37</v>
      </c>
      <c r="BY33">
        <v>0.46</v>
      </c>
      <c r="BZ33">
        <v>0.79</v>
      </c>
      <c r="CA33">
        <v>4.3899999999999997</v>
      </c>
      <c r="CB33">
        <v>3.63</v>
      </c>
      <c r="CC33">
        <v>-17.7</v>
      </c>
      <c r="CD33" t="s">
        <v>2822</v>
      </c>
      <c r="CE33" t="s">
        <v>57</v>
      </c>
      <c r="CF33" s="8">
        <v>-0.14736842105263157</v>
      </c>
      <c r="CG33" s="9">
        <v>-7.2046329260078892</v>
      </c>
      <c r="CH33" s="8">
        <v>-0.1284540593624115</v>
      </c>
      <c r="CI33" s="8">
        <v>-0.25195527076721191</v>
      </c>
      <c r="CJ33" s="8">
        <v>-0.17701151967048645</v>
      </c>
      <c r="CK33" s="8">
        <v>-0.22182467579841614</v>
      </c>
      <c r="CL33" s="8">
        <v>2.5311786681413651E-2</v>
      </c>
      <c r="CM33" s="9">
        <v>-0.50684362649917603</v>
      </c>
      <c r="CN33" s="9">
        <v>-0.88470381498336792</v>
      </c>
      <c r="CO33" s="9">
        <v>-3.2675065100193024E-2</v>
      </c>
      <c r="CP33" s="9">
        <v>0.88839215040206909</v>
      </c>
      <c r="CQ33" s="9">
        <v>1.0285202264785767</v>
      </c>
      <c r="CR33">
        <v>38.02984637293023</v>
      </c>
      <c r="CS33">
        <v>2.5220947418769941</v>
      </c>
      <c r="CT33">
        <v>0</v>
      </c>
      <c r="CU33" s="8">
        <v>-0.15078674778342246</v>
      </c>
      <c r="CV33" s="9">
        <v>9.8537974059581757E-2</v>
      </c>
      <c r="CW33">
        <v>0.06</v>
      </c>
      <c r="CX33" t="e">
        <v>#VALUE!</v>
      </c>
      <c r="CY33" t="s">
        <v>1284</v>
      </c>
      <c r="CZ33">
        <v>-0.15078674778342246</v>
      </c>
      <c r="DA33">
        <v>200.99419838266934</v>
      </c>
      <c r="DB33" t="s">
        <v>2823</v>
      </c>
      <c r="DC33">
        <v>-0.14324741039425135</v>
      </c>
      <c r="DD33">
        <v>100.49709919133467</v>
      </c>
      <c r="DE33" t="s">
        <v>2824</v>
      </c>
      <c r="DF33">
        <v>-0.13269233804941177</v>
      </c>
      <c r="DG33">
        <v>60.298259514800804</v>
      </c>
      <c r="DH33" t="s">
        <v>2825</v>
      </c>
      <c r="DI33">
        <v>-0.12062939822673797</v>
      </c>
      <c r="DJ33">
        <v>30.149129757400402</v>
      </c>
      <c r="DK33" t="s">
        <v>2826</v>
      </c>
      <c r="DL33">
        <v>-0.10555072344839572</v>
      </c>
      <c r="DM33">
        <v>4493000</v>
      </c>
      <c r="DN33">
        <v>-0.15078674778342246</v>
      </c>
      <c r="DO33">
        <v>2709200800</v>
      </c>
      <c r="DP33">
        <v>875597700</v>
      </c>
      <c r="DQ33">
        <v>1118</v>
      </c>
      <c r="DR33">
        <v>3.4183267307908993E-3</v>
      </c>
      <c r="DS33">
        <v>-7.3031709000674709</v>
      </c>
      <c r="DT33" s="10">
        <v>-0.84</v>
      </c>
      <c r="DU33">
        <v>-0.93166666666666675</v>
      </c>
      <c r="DV33">
        <v>-1.7716666666666667</v>
      </c>
      <c r="DW33">
        <v>6.1701828410689172</v>
      </c>
      <c r="DX33">
        <v>0.35249548387096663</v>
      </c>
      <c r="DY33">
        <v>6.0242502862846514</v>
      </c>
      <c r="DZ33">
        <v>3430</v>
      </c>
      <c r="EA33">
        <v>6.0079726968607075</v>
      </c>
      <c r="EB33">
        <v>6</v>
      </c>
      <c r="EC33">
        <v>5.8345760790886894E-2</v>
      </c>
      <c r="ED33">
        <v>0.40945691193778494</v>
      </c>
      <c r="EE33" s="11">
        <v>-2.0674999999999999</v>
      </c>
      <c r="EF33">
        <v>-2.0573000000000001</v>
      </c>
      <c r="EG33">
        <v>21.142495483870967</v>
      </c>
      <c r="EH33" t="s">
        <v>1905</v>
      </c>
      <c r="EI33">
        <v>0</v>
      </c>
      <c r="EJ33">
        <v>0</v>
      </c>
      <c r="EK33" s="13">
        <v>45470</v>
      </c>
      <c r="EL33" s="14">
        <v>0.5</v>
      </c>
      <c r="EM33" s="14">
        <v>-3.96</v>
      </c>
      <c r="EN33" s="14">
        <v>-1.03</v>
      </c>
      <c r="EO33" s="14">
        <v>2.08</v>
      </c>
      <c r="EP33" s="14">
        <v>-1.02</v>
      </c>
    </row>
    <row r="34" spans="1:146" ht="108">
      <c r="A34" s="6"/>
      <c r="B34" s="6"/>
      <c r="C34" s="6" t="str">
        <f>""&amp;CHAR(10)&amp;Basic_Fundamental_Information_Constructure(F34)&amp;CHAR(10)&amp;Basic_Fundamental_Information_Concatenate("")</f>
        <v xml:space="preserve">
市值22.62822亿, 利润1382.85万; PE161.7; 平均PE-6.5; 平均PEG-.51, PB.759; ROIC0%; ROE-8.9367%; 股利率0%; 毛利8.5933%; 净利-11.15%; 上一年度营收增-25.9%, 利润增105.58%; 当季营收增-7.57%, 利润增1.13%; 过往5年营收增-12.81%, 利润增-498.72%
Income profile:
</v>
      </c>
      <c r="D34" t="s">
        <v>546</v>
      </c>
      <c r="E34" t="s">
        <v>547</v>
      </c>
      <c r="F34">
        <v>1.26</v>
      </c>
      <c r="G34">
        <v>1.61</v>
      </c>
      <c r="H34" t="s">
        <v>2827</v>
      </c>
      <c r="I34">
        <v>2262822000</v>
      </c>
      <c r="J34">
        <v>161.69999999999999</v>
      </c>
      <c r="K34">
        <v>0.75900000000000001</v>
      </c>
      <c r="L34" t="s">
        <v>361</v>
      </c>
      <c r="M34" t="s">
        <v>2828</v>
      </c>
      <c r="N34" t="s">
        <v>2743</v>
      </c>
      <c r="O34" t="s">
        <v>640</v>
      </c>
      <c r="P34">
        <v>-7.46</v>
      </c>
      <c r="Q34" t="s">
        <v>1906</v>
      </c>
      <c r="R34">
        <v>-14654613</v>
      </c>
      <c r="S34" s="5">
        <v>1.1299999999999999E-2</v>
      </c>
      <c r="T34" t="s">
        <v>2829</v>
      </c>
      <c r="U34">
        <v>1468989700</v>
      </c>
      <c r="V34">
        <v>1795890500</v>
      </c>
      <c r="W34">
        <v>1.68</v>
      </c>
      <c r="X34">
        <v>0.06</v>
      </c>
      <c r="Y34">
        <v>-4.59</v>
      </c>
      <c r="Z34" t="s">
        <v>1925</v>
      </c>
      <c r="AA34" t="s">
        <v>1854</v>
      </c>
      <c r="AB34" t="s">
        <v>2830</v>
      </c>
      <c r="AC34" t="s">
        <v>2831</v>
      </c>
      <c r="AD34" t="s">
        <v>19</v>
      </c>
      <c r="AE34">
        <v>-1326347</v>
      </c>
      <c r="AF34" t="s">
        <v>2832</v>
      </c>
      <c r="AG34" t="s">
        <v>2833</v>
      </c>
      <c r="AH34" t="s">
        <v>2834</v>
      </c>
      <c r="AI34" t="s">
        <v>66</v>
      </c>
      <c r="AJ34" t="s">
        <v>2835</v>
      </c>
      <c r="AK34" t="s">
        <v>2836</v>
      </c>
      <c r="AL34" t="s">
        <v>2837</v>
      </c>
      <c r="AM34" t="s">
        <v>19</v>
      </c>
      <c r="AN34">
        <v>0</v>
      </c>
      <c r="AO34" t="s">
        <v>2838</v>
      </c>
      <c r="AP34" t="s">
        <v>2839</v>
      </c>
      <c r="AQ34" t="s">
        <v>1930</v>
      </c>
      <c r="AR34" t="s">
        <v>19</v>
      </c>
      <c r="AS34" t="s">
        <v>2840</v>
      </c>
      <c r="AT34" t="s">
        <v>116</v>
      </c>
      <c r="AU34" t="s">
        <v>2841</v>
      </c>
      <c r="AV34" t="s">
        <v>2842</v>
      </c>
      <c r="AW34" t="s">
        <v>2843</v>
      </c>
      <c r="AX34" t="s">
        <v>1642</v>
      </c>
      <c r="AY34" t="s">
        <v>1373</v>
      </c>
      <c r="AZ34" t="s">
        <v>548</v>
      </c>
      <c r="BA34" t="s">
        <v>550</v>
      </c>
      <c r="BB34" t="s">
        <v>551</v>
      </c>
      <c r="BC34" t="s">
        <v>1441</v>
      </c>
      <c r="BD34" t="s">
        <v>1139</v>
      </c>
      <c r="BE34" t="s">
        <v>324</v>
      </c>
      <c r="BF34" t="s">
        <v>552</v>
      </c>
      <c r="BG34" t="s">
        <v>553</v>
      </c>
      <c r="BH34" t="s">
        <v>1906</v>
      </c>
      <c r="BI34" t="s">
        <v>1859</v>
      </c>
      <c r="BJ34" t="s">
        <v>1642</v>
      </c>
      <c r="BK34" t="s">
        <v>2829</v>
      </c>
      <c r="BL34" t="s">
        <v>2844</v>
      </c>
      <c r="BM34" t="s">
        <v>1441</v>
      </c>
      <c r="BN34" t="s">
        <v>19</v>
      </c>
      <c r="BO34" t="s">
        <v>19</v>
      </c>
      <c r="BP34" t="s">
        <v>19</v>
      </c>
      <c r="BQ34">
        <v>-0.97</v>
      </c>
      <c r="BR34">
        <v>-7.93</v>
      </c>
      <c r="BS34">
        <v>-17.91</v>
      </c>
      <c r="BT34" t="s">
        <v>1571</v>
      </c>
      <c r="BU34" t="s">
        <v>1334</v>
      </c>
      <c r="BV34">
        <v>9.42</v>
      </c>
      <c r="BW34">
        <v>7.89</v>
      </c>
      <c r="BX34">
        <v>8.4700000000000006</v>
      </c>
      <c r="BY34">
        <v>1.26</v>
      </c>
      <c r="BZ34">
        <v>-10.4</v>
      </c>
      <c r="CA34">
        <v>-24.31</v>
      </c>
      <c r="CB34">
        <v>5.88</v>
      </c>
      <c r="CC34">
        <v>-15.44</v>
      </c>
      <c r="CD34" t="s">
        <v>2845</v>
      </c>
      <c r="CE34" t="s">
        <v>1925</v>
      </c>
      <c r="CF34" s="8">
        <v>-7.567567567567568E-2</v>
      </c>
      <c r="CG34" s="9">
        <v>1.1286474743453944E-2</v>
      </c>
      <c r="CH34" s="8">
        <v>-0.25900450348854065</v>
      </c>
      <c r="CI34" s="8">
        <v>-0.1165534034371376</v>
      </c>
      <c r="CJ34" s="8">
        <v>0.10074774175882339</v>
      </c>
      <c r="CK34" s="8">
        <v>-0.17793598771095276</v>
      </c>
      <c r="CL34" s="8">
        <v>-0.18786127865314484</v>
      </c>
      <c r="CM34" s="9">
        <v>1.0557600259780884</v>
      </c>
      <c r="CN34" s="9">
        <v>0.60944879055023193</v>
      </c>
      <c r="CO34" s="9">
        <v>-1.9398148059844971</v>
      </c>
      <c r="CP34" s="9">
        <v>0.79349905252456665</v>
      </c>
      <c r="CQ34" s="9">
        <v>-25.455137252807617</v>
      </c>
      <c r="CR34">
        <v>-6.5011188233974222</v>
      </c>
      <c r="CS34">
        <v>-0.50741831138773674</v>
      </c>
      <c r="CT34">
        <v>0</v>
      </c>
      <c r="CU34" s="8">
        <v>-0.1281214863061905</v>
      </c>
      <c r="CV34" s="9">
        <v>-4.9872488379478455</v>
      </c>
      <c r="CW34">
        <v>0.06</v>
      </c>
      <c r="CX34" t="e">
        <v>#VALUE!</v>
      </c>
      <c r="CY34" t="s">
        <v>1284</v>
      </c>
      <c r="CZ34">
        <v>-0.1281214863061905</v>
      </c>
      <c r="DA34">
        <v>39.744537247954106</v>
      </c>
      <c r="DB34" t="s">
        <v>2846</v>
      </c>
      <c r="DC34">
        <v>-0.12171541199088097</v>
      </c>
      <c r="DD34">
        <v>19.872268623977053</v>
      </c>
      <c r="DE34" t="s">
        <v>2847</v>
      </c>
      <c r="DF34">
        <v>-0.11274690794944764</v>
      </c>
      <c r="DG34">
        <v>11.923361174386232</v>
      </c>
      <c r="DH34" t="s">
        <v>2848</v>
      </c>
      <c r="DI34">
        <v>-0.10249718904495241</v>
      </c>
      <c r="DJ34">
        <v>5.9616805871931158</v>
      </c>
      <c r="DK34" t="s">
        <v>2849</v>
      </c>
      <c r="DL34">
        <v>-8.9685040414333339E-2</v>
      </c>
      <c r="DM34">
        <v>13828500</v>
      </c>
      <c r="DN34">
        <v>-0.1281214863061905</v>
      </c>
      <c r="DO34">
        <v>1648822000</v>
      </c>
      <c r="DP34">
        <v>1365481800</v>
      </c>
      <c r="DQ34">
        <v>1153</v>
      </c>
      <c r="DR34">
        <v>5.2445810630514816E-2</v>
      </c>
      <c r="DS34">
        <v>4.998535312691299</v>
      </c>
      <c r="DT34" s="10">
        <v>-0.82333333333333325</v>
      </c>
      <c r="DU34">
        <v>-2.165</v>
      </c>
      <c r="DV34">
        <v>-2.9883333333333333</v>
      </c>
      <c r="DW34">
        <v>6.2757973733583494</v>
      </c>
      <c r="DX34">
        <v>0.30327877094972122</v>
      </c>
      <c r="DY34">
        <v>6.053305777353863</v>
      </c>
      <c r="DZ34">
        <v>4902</v>
      </c>
      <c r="EA34">
        <v>6.0021697850664584</v>
      </c>
      <c r="EB34">
        <v>6</v>
      </c>
      <c r="EC34">
        <v>3.8528963764772967E-2</v>
      </c>
      <c r="ED34">
        <v>0.1993440023208542</v>
      </c>
      <c r="EE34" s="11">
        <v>-3.0308099999999998</v>
      </c>
      <c r="EF34">
        <v>-3.0308099999999998</v>
      </c>
      <c r="EG34">
        <v>11.193278770949721</v>
      </c>
      <c r="EH34" t="s">
        <v>1897</v>
      </c>
      <c r="EI34">
        <v>0</v>
      </c>
      <c r="EJ34">
        <v>0</v>
      </c>
      <c r="EK34" s="13">
        <v>45470</v>
      </c>
      <c r="EL34" s="14">
        <v>0</v>
      </c>
      <c r="EM34" s="14">
        <v>-4.76</v>
      </c>
      <c r="EN34" s="14">
        <v>0.83</v>
      </c>
      <c r="EO34" s="14">
        <v>1.65</v>
      </c>
      <c r="EP34" s="14">
        <v>0</v>
      </c>
    </row>
    <row r="35" spans="1:146" ht="108">
      <c r="A35" s="6"/>
      <c r="B35" s="6"/>
      <c r="C35" s="6" t="str">
        <f>""&amp;CHAR(10)&amp;Basic_Fundamental_Information_Constructure(F35)&amp;CHAR(10)&amp;Basic_Fundamental_Information_Concatenate("")</f>
        <v xml:space="preserve">
市值13.634952亿, 利润-2.08亿; PE; 平均PE-11.88; 平均PEG-3.07, PB; ROIC10.78%; ROE-97.0967%; 股利率0%; 毛利33.13%; 净利-11.3833%; 上一年度营收增16.24%, 利润增72.04%; 当季营收增-20.58%, 利润增-564.5%; 过往5年营收增-3.87%, 利润增-210.17%
Income profile:
</v>
      </c>
      <c r="D35" t="s">
        <v>556</v>
      </c>
      <c r="E35" t="s">
        <v>557</v>
      </c>
      <c r="F35">
        <v>3.25</v>
      </c>
      <c r="G35">
        <v>10.17</v>
      </c>
      <c r="H35" t="s">
        <v>2850</v>
      </c>
      <c r="I35">
        <v>1363495200</v>
      </c>
      <c r="L35" t="s">
        <v>361</v>
      </c>
      <c r="M35" t="s">
        <v>322</v>
      </c>
      <c r="N35" t="s">
        <v>2851</v>
      </c>
      <c r="O35" t="s">
        <v>2423</v>
      </c>
      <c r="P35">
        <v>-20.68</v>
      </c>
      <c r="Q35" t="s">
        <v>2852</v>
      </c>
      <c r="R35">
        <v>-600000000</v>
      </c>
      <c r="S35" s="5">
        <v>-0.28470000000000001</v>
      </c>
      <c r="T35" t="s">
        <v>2853</v>
      </c>
      <c r="U35">
        <v>406121860</v>
      </c>
      <c r="V35">
        <v>419536980</v>
      </c>
      <c r="W35">
        <v>34.81</v>
      </c>
      <c r="X35">
        <v>0.16</v>
      </c>
      <c r="Y35">
        <v>-26.13</v>
      </c>
      <c r="Z35" t="s">
        <v>824</v>
      </c>
      <c r="AA35" t="s">
        <v>1184</v>
      </c>
      <c r="AB35" t="s">
        <v>49</v>
      </c>
      <c r="AC35" t="s">
        <v>2854</v>
      </c>
      <c r="AD35" t="s">
        <v>19</v>
      </c>
      <c r="AE35">
        <v>7299741</v>
      </c>
      <c r="AF35" t="s">
        <v>2855</v>
      </c>
      <c r="AG35" t="s">
        <v>2856</v>
      </c>
      <c r="AH35" t="s">
        <v>2857</v>
      </c>
      <c r="AI35" t="s">
        <v>124</v>
      </c>
      <c r="AJ35" t="s">
        <v>2858</v>
      </c>
      <c r="AK35" t="s">
        <v>2859</v>
      </c>
      <c r="AL35" t="s">
        <v>2860</v>
      </c>
      <c r="AM35" t="s">
        <v>19</v>
      </c>
      <c r="AN35">
        <v>0</v>
      </c>
      <c r="AO35" t="s">
        <v>333</v>
      </c>
      <c r="AP35" t="s">
        <v>2861</v>
      </c>
      <c r="AQ35" t="s">
        <v>1858</v>
      </c>
      <c r="AR35" t="s">
        <v>2862</v>
      </c>
      <c r="AS35" t="s">
        <v>2863</v>
      </c>
      <c r="AT35" t="s">
        <v>2864</v>
      </c>
      <c r="AU35" t="s">
        <v>2865</v>
      </c>
      <c r="AV35" t="s">
        <v>2866</v>
      </c>
      <c r="AW35" t="s">
        <v>1661</v>
      </c>
      <c r="AX35" t="s">
        <v>1644</v>
      </c>
      <c r="AY35" t="s">
        <v>1468</v>
      </c>
      <c r="AZ35" t="s">
        <v>558</v>
      </c>
      <c r="BA35" t="s">
        <v>560</v>
      </c>
      <c r="BB35" t="s">
        <v>561</v>
      </c>
      <c r="BC35" t="s">
        <v>2033</v>
      </c>
      <c r="BD35" t="s">
        <v>1646</v>
      </c>
      <c r="BE35" t="s">
        <v>125</v>
      </c>
      <c r="BF35" t="s">
        <v>208</v>
      </c>
      <c r="BG35" t="s">
        <v>123</v>
      </c>
      <c r="BH35" t="s">
        <v>2852</v>
      </c>
      <c r="BI35" t="s">
        <v>1128</v>
      </c>
      <c r="BJ35" t="s">
        <v>1644</v>
      </c>
      <c r="BK35" t="s">
        <v>2853</v>
      </c>
      <c r="BL35" t="s">
        <v>2867</v>
      </c>
      <c r="BM35" t="s">
        <v>2033</v>
      </c>
      <c r="BN35" t="s">
        <v>19</v>
      </c>
      <c r="BO35" t="s">
        <v>19</v>
      </c>
      <c r="BP35">
        <v>10.78</v>
      </c>
      <c r="BQ35">
        <v>-177.79</v>
      </c>
      <c r="BR35">
        <v>-121.78</v>
      </c>
      <c r="BS35">
        <v>8.2799999999999994</v>
      </c>
      <c r="BT35" t="s">
        <v>1571</v>
      </c>
      <c r="BU35" t="s">
        <v>1334</v>
      </c>
      <c r="BV35">
        <v>35.06</v>
      </c>
      <c r="BW35">
        <v>29.34</v>
      </c>
      <c r="BX35">
        <v>34.99</v>
      </c>
      <c r="BY35">
        <v>-6.16</v>
      </c>
      <c r="BZ35">
        <v>-30.76</v>
      </c>
      <c r="CA35">
        <v>2.77</v>
      </c>
      <c r="CB35">
        <v>47.73</v>
      </c>
      <c r="CC35">
        <v>-5.52</v>
      </c>
      <c r="CD35" t="s">
        <v>2868</v>
      </c>
      <c r="CE35" t="s">
        <v>109</v>
      </c>
      <c r="CF35" s="8">
        <v>-0.20577617328519845</v>
      </c>
      <c r="CG35" s="9">
        <v>-5.6449818758119328</v>
      </c>
      <c r="CH35" s="8">
        <v>0.16244062781333923</v>
      </c>
      <c r="CI35" s="8">
        <v>-0.41179212927818298</v>
      </c>
      <c r="CJ35" s="8">
        <v>0.24485059082508087</v>
      </c>
      <c r="CK35" s="8">
        <v>-9.2655964195728302E-2</v>
      </c>
      <c r="CL35" s="8">
        <v>-9.6121817827224731E-2</v>
      </c>
      <c r="CM35" s="9">
        <v>0.72043013572692871</v>
      </c>
      <c r="CN35" s="9">
        <v>-10.407099723815918</v>
      </c>
      <c r="CO35" s="9">
        <v>-0.56061553955078125</v>
      </c>
      <c r="CP35" s="9">
        <v>1.7228915691375732</v>
      </c>
      <c r="CQ35" s="9">
        <v>-1.9841897487640381</v>
      </c>
      <c r="CR35">
        <v>-11.875225646048806</v>
      </c>
      <c r="CS35">
        <v>-3.0720472811692332</v>
      </c>
      <c r="CT35">
        <v>0</v>
      </c>
      <c r="CU35" s="8">
        <v>-3.8655738532543185E-2</v>
      </c>
      <c r="CV35" s="9">
        <v>-2.101716661453247</v>
      </c>
      <c r="CW35">
        <v>0.06</v>
      </c>
      <c r="CX35" t="e">
        <v>#VALUE!</v>
      </c>
      <c r="CY35" t="s">
        <v>1248</v>
      </c>
      <c r="CZ35">
        <v>-3.8655738532543185E-2</v>
      </c>
      <c r="DA35" t="e">
        <v>#VALUE!</v>
      </c>
      <c r="DB35" t="s">
        <v>1249</v>
      </c>
      <c r="DC35">
        <v>-3.6722951605916022E-2</v>
      </c>
      <c r="DD35" t="e">
        <v>#VALUE!</v>
      </c>
      <c r="DE35" t="s">
        <v>1249</v>
      </c>
      <c r="DF35">
        <v>-3.4017049908638006E-2</v>
      </c>
      <c r="DG35" t="e">
        <v>#VALUE!</v>
      </c>
      <c r="DH35" t="s">
        <v>1249</v>
      </c>
      <c r="DI35">
        <v>-3.0924590826034548E-2</v>
      </c>
      <c r="DJ35" t="e">
        <v>#VALUE!</v>
      </c>
      <c r="DK35" t="s">
        <v>1249</v>
      </c>
      <c r="DL35">
        <v>-2.705901697278023E-2</v>
      </c>
      <c r="DM35">
        <v>-208000000</v>
      </c>
      <c r="DN35">
        <v>-3.8655738532543185E-2</v>
      </c>
      <c r="DO35">
        <v>4006807300</v>
      </c>
      <c r="DP35">
        <v>-1349178740</v>
      </c>
      <c r="DQ35">
        <v>1197</v>
      </c>
      <c r="DR35">
        <v>-0.16712043475265526</v>
      </c>
      <c r="DS35">
        <v>-3.5432652143586858</v>
      </c>
      <c r="DT35" s="10">
        <v>-0.28999999999999998</v>
      </c>
      <c r="DU35">
        <v>-2.2150000000000003</v>
      </c>
      <c r="DV35">
        <v>-2.5050000000000003</v>
      </c>
      <c r="DW35">
        <v>5.1156505342551855</v>
      </c>
      <c r="DX35">
        <v>0.32463090551181112</v>
      </c>
      <c r="DY35">
        <v>5.0144136308071481</v>
      </c>
      <c r="DZ35">
        <v>4686</v>
      </c>
      <c r="EA35">
        <v>5.0011959646697122</v>
      </c>
      <c r="EB35">
        <v>5</v>
      </c>
      <c r="EC35">
        <v>0.15091041557290136</v>
      </c>
      <c r="ED35">
        <v>1.210858694744859</v>
      </c>
      <c r="EE35" s="11">
        <v>-1.004</v>
      </c>
      <c r="EF35">
        <v>-1.0135099999999999</v>
      </c>
      <c r="EG35">
        <v>20.124630905511811</v>
      </c>
      <c r="EH35" t="s">
        <v>1265</v>
      </c>
      <c r="EI35">
        <v>1</v>
      </c>
      <c r="EJ35">
        <v>0</v>
      </c>
      <c r="EK35" s="13">
        <v>45470</v>
      </c>
      <c r="EL35" s="14">
        <v>-5.63</v>
      </c>
      <c r="EM35" s="14">
        <v>-3.67</v>
      </c>
      <c r="EN35" s="14">
        <v>3.81</v>
      </c>
      <c r="EO35" s="14">
        <v>5.05</v>
      </c>
      <c r="EP35" s="14">
        <v>-1.75</v>
      </c>
    </row>
    <row r="36" spans="1:146" ht="144">
      <c r="A36" s="6" t="s">
        <v>1101</v>
      </c>
      <c r="B36" s="6"/>
      <c r="C36" s="6" t="s">
        <v>1102</v>
      </c>
      <c r="D36" t="s">
        <v>563</v>
      </c>
      <c r="E36" t="s">
        <v>564</v>
      </c>
      <c r="F36">
        <v>3.73</v>
      </c>
      <c r="G36">
        <v>1.08</v>
      </c>
      <c r="H36" t="s">
        <v>2869</v>
      </c>
      <c r="I36">
        <v>1623551400</v>
      </c>
      <c r="J36">
        <v>17.32</v>
      </c>
      <c r="K36">
        <v>0.50600000000000001</v>
      </c>
      <c r="L36" t="s">
        <v>361</v>
      </c>
      <c r="M36" t="s">
        <v>2870</v>
      </c>
      <c r="N36" t="s">
        <v>2871</v>
      </c>
      <c r="O36" t="s">
        <v>1575</v>
      </c>
      <c r="P36">
        <v>-27.25</v>
      </c>
      <c r="Q36" t="s">
        <v>1083</v>
      </c>
      <c r="R36">
        <v>16740306</v>
      </c>
      <c r="S36" s="5">
        <v>-0.1206</v>
      </c>
      <c r="T36" t="s">
        <v>2872</v>
      </c>
      <c r="U36">
        <v>434570980</v>
      </c>
      <c r="V36">
        <v>435268480</v>
      </c>
      <c r="W36">
        <v>3.2</v>
      </c>
      <c r="X36">
        <v>0.09</v>
      </c>
      <c r="Y36">
        <v>1.85</v>
      </c>
      <c r="Z36" t="s">
        <v>2873</v>
      </c>
      <c r="AA36" t="s">
        <v>2874</v>
      </c>
      <c r="AB36" t="s">
        <v>2875</v>
      </c>
      <c r="AC36" t="s">
        <v>2876</v>
      </c>
      <c r="AD36" t="s">
        <v>19</v>
      </c>
      <c r="AE36">
        <v>39581179</v>
      </c>
      <c r="AF36" t="s">
        <v>2877</v>
      </c>
      <c r="AG36" t="s">
        <v>2878</v>
      </c>
      <c r="AH36" t="s">
        <v>2879</v>
      </c>
      <c r="AI36" t="s">
        <v>2880</v>
      </c>
      <c r="AJ36" t="s">
        <v>2881</v>
      </c>
      <c r="AK36" t="s">
        <v>2882</v>
      </c>
      <c r="AL36" t="s">
        <v>2883</v>
      </c>
      <c r="AM36" t="s">
        <v>19</v>
      </c>
      <c r="AN36">
        <v>0</v>
      </c>
      <c r="AO36" t="s">
        <v>2884</v>
      </c>
      <c r="AP36" t="s">
        <v>1723</v>
      </c>
      <c r="AQ36" t="s">
        <v>2885</v>
      </c>
      <c r="AR36" t="s">
        <v>19</v>
      </c>
      <c r="AS36" t="s">
        <v>2886</v>
      </c>
      <c r="AT36" t="s">
        <v>595</v>
      </c>
      <c r="AU36" t="s">
        <v>2887</v>
      </c>
      <c r="AV36" t="s">
        <v>2888</v>
      </c>
      <c r="AW36" t="s">
        <v>2889</v>
      </c>
      <c r="AX36" t="s">
        <v>1647</v>
      </c>
      <c r="AY36" t="s">
        <v>1375</v>
      </c>
      <c r="AZ36" t="s">
        <v>565</v>
      </c>
      <c r="BA36" t="s">
        <v>567</v>
      </c>
      <c r="BB36" t="s">
        <v>568</v>
      </c>
      <c r="BC36" t="s">
        <v>2890</v>
      </c>
      <c r="BD36" t="s">
        <v>186</v>
      </c>
      <c r="BE36" t="s">
        <v>38</v>
      </c>
      <c r="BF36" t="s">
        <v>569</v>
      </c>
      <c r="BG36" t="s">
        <v>570</v>
      </c>
      <c r="BH36" t="s">
        <v>1083</v>
      </c>
      <c r="BI36" t="s">
        <v>2891</v>
      </c>
      <c r="BJ36" t="s">
        <v>1647</v>
      </c>
      <c r="BK36" t="s">
        <v>2872</v>
      </c>
      <c r="BL36" t="s">
        <v>2892</v>
      </c>
      <c r="BM36" t="s">
        <v>2890</v>
      </c>
      <c r="BN36">
        <v>2.98</v>
      </c>
      <c r="BO36">
        <v>4.1100000000000003</v>
      </c>
      <c r="BP36">
        <v>5.31</v>
      </c>
      <c r="BQ36">
        <v>2.8</v>
      </c>
      <c r="BR36">
        <v>3.22</v>
      </c>
      <c r="BS36">
        <v>5.57</v>
      </c>
      <c r="BT36" t="s">
        <v>2893</v>
      </c>
      <c r="BU36" t="s">
        <v>1336</v>
      </c>
      <c r="BV36">
        <v>15.43</v>
      </c>
      <c r="BW36">
        <v>15.24</v>
      </c>
      <c r="BX36">
        <v>13.8</v>
      </c>
      <c r="BY36">
        <v>2.09</v>
      </c>
      <c r="BZ36">
        <v>2.2000000000000002</v>
      </c>
      <c r="CA36">
        <v>2.91</v>
      </c>
      <c r="CB36">
        <v>1.08</v>
      </c>
      <c r="CC36">
        <v>-13.46</v>
      </c>
      <c r="CD36" t="s">
        <v>2894</v>
      </c>
      <c r="CE36" t="s">
        <v>25</v>
      </c>
      <c r="CF36" s="8">
        <v>-0.27258320126782887</v>
      </c>
      <c r="CG36" s="9">
        <v>-0.1206483130308713</v>
      </c>
      <c r="CH36" s="8">
        <v>-2.5851264595985413E-2</v>
      </c>
      <c r="CI36" s="8">
        <v>-0.17064665257930756</v>
      </c>
      <c r="CJ36" s="8">
        <v>0.40819835662841797</v>
      </c>
      <c r="CK36" s="8">
        <v>8.930477499961853E-2</v>
      </c>
      <c r="CL36" s="8">
        <v>5.8890148997306824E-2</v>
      </c>
      <c r="CM36" s="9">
        <v>-1.4800971373915672E-2</v>
      </c>
      <c r="CN36" s="9">
        <v>-0.41268914937973022</v>
      </c>
      <c r="CO36" s="9">
        <v>0.24812030792236328</v>
      </c>
      <c r="CP36" s="9">
        <v>0.47319605946540833</v>
      </c>
      <c r="CQ36" s="9">
        <v>9.498269110918045E-2</v>
      </c>
      <c r="CR36">
        <v>14.642577300620136</v>
      </c>
      <c r="CS36">
        <v>2.0342825703910981</v>
      </c>
      <c r="CT36">
        <v>1.7962466487935658</v>
      </c>
      <c r="CU36" s="8">
        <v>7.1979072690010068E-2</v>
      </c>
      <c r="CV36" s="9">
        <v>7.7761787548661226E-2</v>
      </c>
      <c r="CW36">
        <v>0.06</v>
      </c>
      <c r="CX36">
        <v>57.903840036286844</v>
      </c>
      <c r="CY36">
        <v>97136068.980489701</v>
      </c>
      <c r="CZ36">
        <v>7.1979072690010068E-2</v>
      </c>
      <c r="DA36">
        <v>19.2139966653458</v>
      </c>
      <c r="DB36">
        <v>292731985.85198015</v>
      </c>
      <c r="DC36">
        <v>6.8380119055509558E-2</v>
      </c>
      <c r="DD36">
        <v>9.6526379754412517</v>
      </c>
      <c r="DE36">
        <v>582695778.53331685</v>
      </c>
      <c r="DF36">
        <v>6.3341583967208862E-2</v>
      </c>
      <c r="DG36">
        <v>5.9296712174021424</v>
      </c>
      <c r="DH36">
        <v>948543552.2113452</v>
      </c>
      <c r="DI36">
        <v>5.7583258152008057E-2</v>
      </c>
      <c r="DJ36">
        <v>3.217430834383328</v>
      </c>
      <c r="DK36">
        <v>1748149902.6778722</v>
      </c>
      <c r="DL36">
        <v>5.0385350883007045E-2</v>
      </c>
      <c r="DM36">
        <v>96050600</v>
      </c>
      <c r="DN36">
        <v>7.1979072690010068E-2</v>
      </c>
      <c r="DO36">
        <v>5624551400</v>
      </c>
      <c r="DP36">
        <v>1832071599.999999</v>
      </c>
      <c r="DQ36">
        <v>1225</v>
      </c>
      <c r="DR36">
        <v>-0.34456227395783895</v>
      </c>
      <c r="DS36">
        <v>-0.19841010057953251</v>
      </c>
      <c r="DT36" s="10">
        <v>-0.45666666666666672</v>
      </c>
      <c r="DU36">
        <v>9.9999999999999992E-2</v>
      </c>
      <c r="DV36">
        <v>-0.35666666666666674</v>
      </c>
      <c r="DW36">
        <v>-2.1345999999999998</v>
      </c>
      <c r="DX36">
        <v>0.32685757575757607</v>
      </c>
      <c r="DY36">
        <v>-2.0170750296969695</v>
      </c>
      <c r="DZ36">
        <v>2588</v>
      </c>
      <c r="EA36">
        <v>-2.0084272455764691</v>
      </c>
      <c r="EB36">
        <v>2</v>
      </c>
      <c r="EC36">
        <v>4.8088710673467559E-2</v>
      </c>
      <c r="ED36">
        <v>0.37907638062834231</v>
      </c>
      <c r="EE36" s="11">
        <v>-1.08541</v>
      </c>
      <c r="EF36">
        <v>-1.0988100000000001</v>
      </c>
      <c r="EG36">
        <v>20.126857575757576</v>
      </c>
      <c r="EH36" t="s">
        <v>1265</v>
      </c>
      <c r="EI36">
        <v>0</v>
      </c>
      <c r="EJ36">
        <v>0</v>
      </c>
      <c r="EK36" s="13">
        <v>45470</v>
      </c>
      <c r="EL36" s="14">
        <v>0.81</v>
      </c>
      <c r="EM36" s="14">
        <v>-3.75</v>
      </c>
      <c r="EN36" s="14">
        <v>1.1100000000000001</v>
      </c>
      <c r="EO36" s="14">
        <v>3.03</v>
      </c>
      <c r="EP36" s="14">
        <v>-1.34</v>
      </c>
    </row>
    <row r="37" spans="1:146" ht="132">
      <c r="A37" s="6"/>
      <c r="B37" s="6"/>
      <c r="C37" s="6" t="str">
        <f>""&amp;CHAR(10)&amp;Basic_Fundamental_Information_Constructure(F37)&amp;CHAR(10)&amp;Basic_Fundamental_Information_Concatenate("建筑施工业务 728.57亿 91.59% 毛利4.79%
工业制造业务 33.35亿 4.19% 毛利11.84%
工程相关其他业务 23.11亿 2.90% 毛利14.34%")</f>
        <v xml:space="preserve">
市值85.534002亿, 利润3.92亿; PE33.18; 平均PE9.99; 平均PEG1.33, PB1.29; ROIC3.2667%; ROE13.5567%; 股利率.6321%; 毛利4.9933%; 净利1.07%; 上一年度营收增-6.02%, 利润增-59.46%; 当季营收增-12.79%, 利润增-39.78%; 过往5年营收增7.51%, 利润增-7.83%
Income profile:
建筑施工业务 728.57亿 91.59% 毛利4.79%
工业制造业务 33.35亿 4.19% 毛利11.84%
工程相关其他业务 23.11亿 2.90% 毛利14.34%</v>
      </c>
      <c r="D37" t="s">
        <v>571</v>
      </c>
      <c r="E37" t="s">
        <v>572</v>
      </c>
      <c r="F37">
        <v>7.91</v>
      </c>
      <c r="G37">
        <v>0.89</v>
      </c>
      <c r="H37" t="s">
        <v>2895</v>
      </c>
      <c r="I37">
        <v>8553400200</v>
      </c>
      <c r="J37">
        <v>33.18</v>
      </c>
      <c r="K37">
        <v>1.29</v>
      </c>
      <c r="L37" t="s">
        <v>361</v>
      </c>
      <c r="M37" t="s">
        <v>2896</v>
      </c>
      <c r="N37" t="s">
        <v>2897</v>
      </c>
      <c r="O37" t="s">
        <v>2898</v>
      </c>
      <c r="P37">
        <v>-12.79</v>
      </c>
      <c r="Q37" t="s">
        <v>2899</v>
      </c>
      <c r="R37">
        <v>202935480</v>
      </c>
      <c r="S37" s="5">
        <v>-0.39750000000000002</v>
      </c>
      <c r="T37" t="s">
        <v>646</v>
      </c>
      <c r="U37">
        <v>1081340100</v>
      </c>
      <c r="V37">
        <v>1081340100</v>
      </c>
      <c r="W37">
        <v>11.19</v>
      </c>
      <c r="X37">
        <v>0.16</v>
      </c>
      <c r="Y37">
        <v>1.31</v>
      </c>
      <c r="Z37" t="s">
        <v>2900</v>
      </c>
      <c r="AA37" t="s">
        <v>2901</v>
      </c>
      <c r="AB37" t="s">
        <v>2902</v>
      </c>
      <c r="AC37" t="s">
        <v>275</v>
      </c>
      <c r="AD37" t="s">
        <v>19</v>
      </c>
      <c r="AE37">
        <v>-46636750</v>
      </c>
      <c r="AF37" t="s">
        <v>2903</v>
      </c>
      <c r="AG37" t="s">
        <v>2904</v>
      </c>
      <c r="AH37" t="s">
        <v>2905</v>
      </c>
      <c r="AI37" t="s">
        <v>2906</v>
      </c>
      <c r="AJ37" t="s">
        <v>2907</v>
      </c>
      <c r="AK37" t="s">
        <v>2908</v>
      </c>
      <c r="AL37" t="s">
        <v>2909</v>
      </c>
      <c r="AM37" t="s">
        <v>19</v>
      </c>
      <c r="AN37" t="s">
        <v>211</v>
      </c>
      <c r="AO37" t="s">
        <v>2910</v>
      </c>
      <c r="AP37" t="s">
        <v>1131</v>
      </c>
      <c r="AQ37" t="s">
        <v>2911</v>
      </c>
      <c r="AR37" t="s">
        <v>2912</v>
      </c>
      <c r="AS37" t="s">
        <v>2913</v>
      </c>
      <c r="AT37" t="s">
        <v>2914</v>
      </c>
      <c r="AU37" t="s">
        <v>2915</v>
      </c>
      <c r="AV37" t="s">
        <v>2916</v>
      </c>
      <c r="AW37" t="s">
        <v>2917</v>
      </c>
      <c r="AX37" t="s">
        <v>1649</v>
      </c>
      <c r="AY37" t="s">
        <v>1376</v>
      </c>
      <c r="AZ37" t="s">
        <v>573</v>
      </c>
      <c r="BA37" t="s">
        <v>575</v>
      </c>
      <c r="BB37" t="s">
        <v>576</v>
      </c>
      <c r="BC37" t="s">
        <v>1956</v>
      </c>
      <c r="BD37" t="s">
        <v>581</v>
      </c>
      <c r="BE37" t="s">
        <v>574</v>
      </c>
      <c r="BF37" t="s">
        <v>76</v>
      </c>
      <c r="BG37" t="s">
        <v>198</v>
      </c>
      <c r="BH37" t="s">
        <v>2899</v>
      </c>
      <c r="BI37" t="s">
        <v>2918</v>
      </c>
      <c r="BJ37" t="s">
        <v>1649</v>
      </c>
      <c r="BK37" t="s">
        <v>646</v>
      </c>
      <c r="BL37" t="s">
        <v>2919</v>
      </c>
      <c r="BM37" t="s">
        <v>1956</v>
      </c>
      <c r="BN37">
        <v>1.75</v>
      </c>
      <c r="BO37">
        <v>3.7</v>
      </c>
      <c r="BP37">
        <v>4.3499999999999996</v>
      </c>
      <c r="BQ37">
        <v>6.68</v>
      </c>
      <c r="BR37">
        <v>15.2</v>
      </c>
      <c r="BS37">
        <v>18.79</v>
      </c>
      <c r="BT37" t="s">
        <v>1576</v>
      </c>
      <c r="BU37" t="s">
        <v>1344</v>
      </c>
      <c r="BV37">
        <v>4.68</v>
      </c>
      <c r="BW37">
        <v>5.12</v>
      </c>
      <c r="BX37">
        <v>5.18</v>
      </c>
      <c r="BY37">
        <v>0.65</v>
      </c>
      <c r="BZ37">
        <v>1.23</v>
      </c>
      <c r="CA37">
        <v>1.33</v>
      </c>
      <c r="CB37">
        <v>1.28</v>
      </c>
      <c r="CC37">
        <v>-25.09</v>
      </c>
      <c r="CD37" t="s">
        <v>2920</v>
      </c>
      <c r="CE37" t="s">
        <v>2921</v>
      </c>
      <c r="CF37" s="8">
        <v>-0.12793555434188969</v>
      </c>
      <c r="CG37" s="9">
        <v>-0.39781756676557861</v>
      </c>
      <c r="CH37" s="8">
        <v>-6.0171522200107574E-2</v>
      </c>
      <c r="CI37" s="8">
        <v>3.356584906578064E-2</v>
      </c>
      <c r="CJ37" s="8">
        <v>0.198428675532341</v>
      </c>
      <c r="CK37" s="8">
        <v>5.1567073911428452E-2</v>
      </c>
      <c r="CL37" s="8">
        <v>0.15186901390552521</v>
      </c>
      <c r="CM37" s="9">
        <v>-0.59462255239486694</v>
      </c>
      <c r="CN37" s="9">
        <v>-7.5525812804698944E-2</v>
      </c>
      <c r="CO37" s="9">
        <v>-2.6976801455020905E-2</v>
      </c>
      <c r="CP37" s="9">
        <v>0.28742522001266479</v>
      </c>
      <c r="CQ37" s="9">
        <v>1.8292682245373726E-2</v>
      </c>
      <c r="CR37">
        <v>9.9942358714703019</v>
      </c>
      <c r="CS37">
        <v>1.3316447398709368</v>
      </c>
      <c r="CT37">
        <v>0.63211125158027814</v>
      </c>
      <c r="CU37" s="8">
        <v>7.5051818042993546E-2</v>
      </c>
      <c r="CV37" s="9">
        <v>-7.8281452879309654E-2</v>
      </c>
      <c r="CW37">
        <v>0.06</v>
      </c>
      <c r="CX37">
        <v>275.76630911527985</v>
      </c>
      <c r="CY37">
        <v>397566332.71023911</v>
      </c>
      <c r="CZ37">
        <v>7.5051818042993546E-2</v>
      </c>
      <c r="DA37">
        <v>91.267752554802726</v>
      </c>
      <c r="DB37">
        <v>1201250136.3410721</v>
      </c>
      <c r="DC37">
        <v>7.1299227140843871E-2</v>
      </c>
      <c r="DD37">
        <v>45.692855098703802</v>
      </c>
      <c r="DE37">
        <v>2399399205.0435495</v>
      </c>
      <c r="DF37">
        <v>6.6045599877834316E-2</v>
      </c>
      <c r="DG37">
        <v>27.962199136391391</v>
      </c>
      <c r="DH37">
        <v>3920843266.4838247</v>
      </c>
      <c r="DI37">
        <v>6.0041454434394841E-2</v>
      </c>
      <c r="DJ37">
        <v>15.048618493585266</v>
      </c>
      <c r="DK37">
        <v>7285412959.7832508</v>
      </c>
      <c r="DL37">
        <v>5.2536272630095478E-2</v>
      </c>
      <c r="DM37">
        <v>392000000</v>
      </c>
      <c r="DN37">
        <v>7.5051818042993546E-2</v>
      </c>
      <c r="DO37">
        <v>109635400200</v>
      </c>
      <c r="DP37">
        <v>-5893792000</v>
      </c>
      <c r="DQ37">
        <v>1240</v>
      </c>
      <c r="DR37">
        <v>-0.20298737238488324</v>
      </c>
      <c r="DS37">
        <v>-0.31953611388626896</v>
      </c>
      <c r="DT37" s="10">
        <v>-0.20666666666666669</v>
      </c>
      <c r="DU37">
        <v>-0.27</v>
      </c>
      <c r="DV37">
        <v>-0.47666666666666668</v>
      </c>
      <c r="DW37">
        <v>-3.1028035714285713</v>
      </c>
      <c r="DX37">
        <v>0.20363068719670963</v>
      </c>
      <c r="DY37">
        <v>-3.0085975333248474</v>
      </c>
      <c r="DZ37">
        <v>2841</v>
      </c>
      <c r="EA37">
        <v>-3.0038175739949273</v>
      </c>
      <c r="EB37">
        <v>3</v>
      </c>
      <c r="EC37">
        <v>8.5460531797535294E-2</v>
      </c>
      <c r="ED37">
        <v>1.021880165176525</v>
      </c>
      <c r="EE37" s="11">
        <v>2.0143</v>
      </c>
      <c r="EF37">
        <v>2.0068100000000002</v>
      </c>
      <c r="EG37">
        <v>12.08363068719671</v>
      </c>
      <c r="EH37" t="s">
        <v>1264</v>
      </c>
      <c r="EI37">
        <v>0</v>
      </c>
      <c r="EJ37">
        <v>0</v>
      </c>
      <c r="EK37" s="13">
        <v>45470</v>
      </c>
      <c r="EL37" s="14">
        <v>1.74</v>
      </c>
      <c r="EM37" s="14">
        <v>-3.55</v>
      </c>
      <c r="EN37" s="14">
        <v>0.38</v>
      </c>
      <c r="EO37" s="14">
        <v>1.64</v>
      </c>
      <c r="EP37" s="14">
        <v>-2.11</v>
      </c>
    </row>
    <row r="38" spans="1:146" ht="108">
      <c r="A38" s="6"/>
      <c r="B38" s="6"/>
      <c r="C38" s="6" t="str">
        <f>""&amp;CHAR(10)&amp;Basic_Fundamental_Information_Constructure(F38)&amp;CHAR(10)&amp;Basic_Fundamental_Information_Concatenate("")</f>
        <v xml:space="preserve">
市值11.4587439亿, 利润-1.49亿; PE; 平均PE-4.51; 平均PEG-.3, PB6.61; ROIC0%; ROE-73.43%; 股利率0%; 毛利18.55%; 净利-47.8067%; 上一年度营收增11.66%, 利润增59.51%; 当季营收增-62.11%, 利润增-724.55%; 过往5年营收增-15.11%, 利润增-207.49%
Income profile:
</v>
      </c>
      <c r="D38" t="s">
        <v>577</v>
      </c>
      <c r="E38" t="s">
        <v>1918</v>
      </c>
      <c r="F38">
        <v>1.87</v>
      </c>
      <c r="G38">
        <v>2.75</v>
      </c>
      <c r="H38" t="s">
        <v>2922</v>
      </c>
      <c r="I38">
        <v>1145874390</v>
      </c>
      <c r="K38">
        <v>6.61</v>
      </c>
      <c r="L38" t="s">
        <v>361</v>
      </c>
      <c r="M38" t="s">
        <v>2923</v>
      </c>
      <c r="N38" t="s">
        <v>36</v>
      </c>
      <c r="O38" t="s">
        <v>63</v>
      </c>
      <c r="P38">
        <v>-61.91</v>
      </c>
      <c r="Q38" t="s">
        <v>2924</v>
      </c>
      <c r="R38">
        <v>-28890349</v>
      </c>
      <c r="S38" s="5">
        <v>-7.2450000000000001</v>
      </c>
      <c r="T38" t="s">
        <v>1479</v>
      </c>
      <c r="U38">
        <v>448261050</v>
      </c>
      <c r="V38">
        <v>612767050</v>
      </c>
      <c r="W38">
        <v>17.93</v>
      </c>
      <c r="X38">
        <v>0.02</v>
      </c>
      <c r="Y38">
        <v>-27.19</v>
      </c>
      <c r="Z38" t="s">
        <v>25</v>
      </c>
      <c r="AA38" t="s">
        <v>2925</v>
      </c>
      <c r="AB38" t="s">
        <v>2926</v>
      </c>
      <c r="AC38" t="s">
        <v>2927</v>
      </c>
      <c r="AD38" t="s">
        <v>19</v>
      </c>
      <c r="AE38">
        <v>33246908</v>
      </c>
      <c r="AF38" t="s">
        <v>2928</v>
      </c>
      <c r="AG38" t="s">
        <v>2929</v>
      </c>
      <c r="AH38" t="s">
        <v>2930</v>
      </c>
      <c r="AI38" t="s">
        <v>67</v>
      </c>
      <c r="AJ38" t="s">
        <v>2931</v>
      </c>
      <c r="AK38" t="s">
        <v>2932</v>
      </c>
      <c r="AL38" t="s">
        <v>2933</v>
      </c>
      <c r="AM38" t="s">
        <v>19</v>
      </c>
      <c r="AN38" t="s">
        <v>103</v>
      </c>
      <c r="AO38" t="s">
        <v>2934</v>
      </c>
      <c r="AP38" t="s">
        <v>2935</v>
      </c>
      <c r="AQ38" t="s">
        <v>2936</v>
      </c>
      <c r="AR38" t="s">
        <v>19</v>
      </c>
      <c r="AS38" t="s">
        <v>2937</v>
      </c>
      <c r="AT38" t="s">
        <v>239</v>
      </c>
      <c r="AU38" t="s">
        <v>2938</v>
      </c>
      <c r="AV38" t="s">
        <v>2939</v>
      </c>
      <c r="AW38" t="s">
        <v>63</v>
      </c>
      <c r="AX38" t="s">
        <v>1575</v>
      </c>
      <c r="AY38" t="s">
        <v>1377</v>
      </c>
      <c r="AZ38" t="s">
        <v>578</v>
      </c>
      <c r="BA38" t="s">
        <v>579</v>
      </c>
      <c r="BB38" t="s">
        <v>580</v>
      </c>
      <c r="BC38" t="s">
        <v>2940</v>
      </c>
      <c r="BD38" t="s">
        <v>1140</v>
      </c>
      <c r="BE38" t="s">
        <v>355</v>
      </c>
      <c r="BF38" t="s">
        <v>153</v>
      </c>
      <c r="BG38" t="s">
        <v>334</v>
      </c>
      <c r="BH38" t="s">
        <v>2924</v>
      </c>
      <c r="BI38" t="s">
        <v>239</v>
      </c>
      <c r="BJ38" t="s">
        <v>1575</v>
      </c>
      <c r="BK38" t="s">
        <v>1479</v>
      </c>
      <c r="BL38" t="s">
        <v>2941</v>
      </c>
      <c r="BM38" t="s">
        <v>2940</v>
      </c>
      <c r="BN38" t="s">
        <v>19</v>
      </c>
      <c r="BO38" t="s">
        <v>19</v>
      </c>
      <c r="BP38" t="s">
        <v>19</v>
      </c>
      <c r="BQ38">
        <v>-6.83</v>
      </c>
      <c r="BR38">
        <v>-101.91</v>
      </c>
      <c r="BS38">
        <v>-111.55</v>
      </c>
      <c r="BT38" t="s">
        <v>1571</v>
      </c>
      <c r="BU38" t="s">
        <v>1334</v>
      </c>
      <c r="BV38">
        <v>18.04</v>
      </c>
      <c r="BW38">
        <v>22.29</v>
      </c>
      <c r="BX38">
        <v>15.32</v>
      </c>
      <c r="BY38">
        <v>-16.05</v>
      </c>
      <c r="BZ38">
        <v>-40.659999999999997</v>
      </c>
      <c r="CA38">
        <v>-86.71</v>
      </c>
      <c r="CB38">
        <v>3.31</v>
      </c>
      <c r="CC38">
        <v>-23.67</v>
      </c>
      <c r="CD38" t="s">
        <v>2942</v>
      </c>
      <c r="CE38" t="s">
        <v>117</v>
      </c>
      <c r="CF38" s="8">
        <v>-0.62105263157894741</v>
      </c>
      <c r="CG38" s="9">
        <v>-7.2454816464179173</v>
      </c>
      <c r="CH38" s="8">
        <v>0.11655773222446442</v>
      </c>
      <c r="CI38" s="8">
        <v>-0.52336448431015015</v>
      </c>
      <c r="CJ38" s="8">
        <v>-0.23571428656578064</v>
      </c>
      <c r="CK38" s="8">
        <v>-0.13073475658893585</v>
      </c>
      <c r="CL38" s="8">
        <v>1.7550062388181686E-2</v>
      </c>
      <c r="CM38" s="9">
        <v>0.59510868787765503</v>
      </c>
      <c r="CN38" s="9">
        <v>0.7784467339515686</v>
      </c>
      <c r="CO38" s="9">
        <v>-11.38124942779541</v>
      </c>
      <c r="CP38" s="9">
        <v>-0.34693878889083862</v>
      </c>
      <c r="CQ38" s="9">
        <v>-1.9999999552965164E-2</v>
      </c>
      <c r="CR38">
        <v>-4.5142786211424815</v>
      </c>
      <c r="CS38">
        <v>-0.29867965961462778</v>
      </c>
      <c r="CT38">
        <v>0</v>
      </c>
      <c r="CU38" s="8">
        <v>-0.15114114657044411</v>
      </c>
      <c r="CV38" s="9">
        <v>-2.0749265588819981</v>
      </c>
      <c r="CW38">
        <v>0.06</v>
      </c>
      <c r="CX38" t="e">
        <v>#VALUE!</v>
      </c>
      <c r="CY38" t="s">
        <v>1248</v>
      </c>
      <c r="CZ38">
        <v>-0.15114114657044411</v>
      </c>
      <c r="DA38" t="e">
        <v>#VALUE!</v>
      </c>
      <c r="DB38" t="s">
        <v>1249</v>
      </c>
      <c r="DC38">
        <v>-0.1435840892419219</v>
      </c>
      <c r="DD38" t="e">
        <v>#VALUE!</v>
      </c>
      <c r="DE38" t="s">
        <v>1249</v>
      </c>
      <c r="DF38">
        <v>-0.13300420898199081</v>
      </c>
      <c r="DG38" t="e">
        <v>#VALUE!</v>
      </c>
      <c r="DH38" t="s">
        <v>1249</v>
      </c>
      <c r="DI38">
        <v>-0.12091291725635529</v>
      </c>
      <c r="DJ38" t="e">
        <v>#VALUE!</v>
      </c>
      <c r="DK38" t="s">
        <v>1249</v>
      </c>
      <c r="DL38">
        <v>-0.10579880259931088</v>
      </c>
      <c r="DM38">
        <v>-149000000</v>
      </c>
      <c r="DN38">
        <v>-0.15114114657044411</v>
      </c>
      <c r="DO38">
        <v>6354874390</v>
      </c>
      <c r="DP38">
        <v>-946072300</v>
      </c>
      <c r="DQ38">
        <v>1252</v>
      </c>
      <c r="DR38">
        <v>-0.46991148500850333</v>
      </c>
      <c r="DS38">
        <v>-5.1705550875359192</v>
      </c>
      <c r="DT38" s="10">
        <v>-0.72333333333333327</v>
      </c>
      <c r="DU38">
        <v>-2.0649999999999999</v>
      </c>
      <c r="DV38">
        <v>-2.7883333333333331</v>
      </c>
      <c r="DW38">
        <v>6.1226834692364713</v>
      </c>
      <c r="DX38">
        <v>0.30230609318996288</v>
      </c>
      <c r="DY38">
        <v>6.0125512664365743</v>
      </c>
      <c r="DZ38">
        <v>4828</v>
      </c>
      <c r="EA38">
        <v>6.0006926530597093</v>
      </c>
      <c r="EB38">
        <v>6</v>
      </c>
      <c r="EC38">
        <v>4.6581160001994235E-2</v>
      </c>
      <c r="ED38">
        <v>0.45531168818558376</v>
      </c>
      <c r="EE38" s="11">
        <v>-6.0030999999999999</v>
      </c>
      <c r="EF38">
        <v>-6.0076099999999997</v>
      </c>
      <c r="EG38">
        <v>20.102306093189963</v>
      </c>
      <c r="EH38" t="s">
        <v>1856</v>
      </c>
      <c r="EI38">
        <v>0</v>
      </c>
      <c r="EJ38">
        <v>0</v>
      </c>
      <c r="EK38" s="13">
        <v>45470</v>
      </c>
      <c r="EL38" s="14">
        <v>-0.53</v>
      </c>
      <c r="EM38" s="14">
        <v>-5.29</v>
      </c>
      <c r="EN38" s="14">
        <v>0</v>
      </c>
      <c r="EO38" s="14">
        <v>4.47</v>
      </c>
      <c r="EP38" s="14">
        <v>-1.07</v>
      </c>
    </row>
    <row r="39" spans="1:146" ht="120">
      <c r="A39" s="6"/>
      <c r="B39" s="6"/>
      <c r="C39" s="6" t="str">
        <f>""&amp;CHAR(10)&amp;Basic_Fundamental_Information_Constructure(F39)&amp;CHAR(10)&amp;Basic_Fundamental_Information_Concatenate("")</f>
        <v xml:space="preserve">
市值14.605552亿, 利润-5.63亿; PE; 平均PE-6.07; 平均PEG-.19, PB39.19; ROIC6.45%; ROE-53.64%; 股利率0%; 毛利13.9033%; 净利-19.5167%; 上一年度营收增186.24%, 利润增-5140.2%; 当季营收增1.92%, 利润增-43.24%; 过往5年营收增32.05%, 利润增-1843.87%
Income profile:
</v>
      </c>
      <c r="D39" t="s">
        <v>583</v>
      </c>
      <c r="E39" t="s">
        <v>584</v>
      </c>
      <c r="F39">
        <v>9.15</v>
      </c>
      <c r="G39">
        <v>4.45</v>
      </c>
      <c r="H39" t="s">
        <v>2943</v>
      </c>
      <c r="I39">
        <v>1460555200</v>
      </c>
      <c r="K39">
        <v>39.19</v>
      </c>
      <c r="L39" t="s">
        <v>361</v>
      </c>
      <c r="M39" t="s">
        <v>2944</v>
      </c>
      <c r="N39" t="s">
        <v>633</v>
      </c>
      <c r="O39" t="s">
        <v>1474</v>
      </c>
      <c r="P39">
        <v>1.89</v>
      </c>
      <c r="Q39" t="s">
        <v>1878</v>
      </c>
      <c r="R39">
        <v>5921698</v>
      </c>
      <c r="S39" s="5">
        <v>-0.43240000000000001</v>
      </c>
      <c r="T39" t="s">
        <v>2945</v>
      </c>
      <c r="U39">
        <v>131202286</v>
      </c>
      <c r="V39">
        <v>159623510</v>
      </c>
      <c r="W39">
        <v>33.909999999999997</v>
      </c>
      <c r="X39">
        <v>0.09</v>
      </c>
      <c r="Y39">
        <v>1.54</v>
      </c>
      <c r="Z39" t="s">
        <v>2946</v>
      </c>
      <c r="AA39" t="s">
        <v>2947</v>
      </c>
      <c r="AB39" t="s">
        <v>2948</v>
      </c>
      <c r="AC39" t="s">
        <v>2949</v>
      </c>
      <c r="AD39" t="s">
        <v>19</v>
      </c>
      <c r="AE39">
        <v>51174720</v>
      </c>
      <c r="AF39" t="s">
        <v>2950</v>
      </c>
      <c r="AG39" t="s">
        <v>2951</v>
      </c>
      <c r="AH39" t="s">
        <v>2952</v>
      </c>
      <c r="AI39" t="s">
        <v>662</v>
      </c>
      <c r="AJ39" t="s">
        <v>2953</v>
      </c>
      <c r="AK39" t="s">
        <v>2954</v>
      </c>
      <c r="AL39" t="s">
        <v>2955</v>
      </c>
      <c r="AM39" t="s">
        <v>19</v>
      </c>
      <c r="AN39" t="s">
        <v>2956</v>
      </c>
      <c r="AO39" t="s">
        <v>2957</v>
      </c>
      <c r="AP39" t="s">
        <v>1177</v>
      </c>
      <c r="AQ39" t="s">
        <v>2958</v>
      </c>
      <c r="AR39" t="s">
        <v>2959</v>
      </c>
      <c r="AS39" t="s">
        <v>2960</v>
      </c>
      <c r="AT39" t="s">
        <v>155</v>
      </c>
      <c r="AU39" t="s">
        <v>1909</v>
      </c>
      <c r="AV39" t="s">
        <v>2961</v>
      </c>
      <c r="AW39" t="s">
        <v>60</v>
      </c>
      <c r="AX39" t="s">
        <v>1827</v>
      </c>
      <c r="AY39" t="s">
        <v>1365</v>
      </c>
      <c r="AZ39" t="s">
        <v>585</v>
      </c>
      <c r="BA39" t="s">
        <v>587</v>
      </c>
      <c r="BB39" t="s">
        <v>311</v>
      </c>
      <c r="BC39" t="s">
        <v>2962</v>
      </c>
      <c r="BD39" t="s">
        <v>1141</v>
      </c>
      <c r="BE39" t="s">
        <v>586</v>
      </c>
      <c r="BF39" t="s">
        <v>588</v>
      </c>
      <c r="BG39" t="s">
        <v>589</v>
      </c>
      <c r="BH39" t="s">
        <v>1878</v>
      </c>
      <c r="BI39" t="s">
        <v>76</v>
      </c>
      <c r="BJ39" t="s">
        <v>1827</v>
      </c>
      <c r="BK39" t="s">
        <v>2945</v>
      </c>
      <c r="BL39" t="s">
        <v>2963</v>
      </c>
      <c r="BM39" t="s">
        <v>2962</v>
      </c>
      <c r="BN39">
        <v>7.33</v>
      </c>
      <c r="BO39">
        <v>5.57</v>
      </c>
      <c r="BP39" t="s">
        <v>19</v>
      </c>
      <c r="BQ39">
        <v>15.69</v>
      </c>
      <c r="BR39">
        <v>7.44</v>
      </c>
      <c r="BS39">
        <v>-184.05</v>
      </c>
      <c r="BT39" t="s">
        <v>1571</v>
      </c>
      <c r="BU39" t="s">
        <v>1334</v>
      </c>
      <c r="BV39">
        <v>12.06</v>
      </c>
      <c r="BW39">
        <v>17.2</v>
      </c>
      <c r="BX39">
        <v>12.45</v>
      </c>
      <c r="BY39">
        <v>-8.51</v>
      </c>
      <c r="BZ39">
        <v>0.49</v>
      </c>
      <c r="CA39">
        <v>-50.53</v>
      </c>
      <c r="CB39">
        <v>7.39</v>
      </c>
      <c r="CC39">
        <v>-6.92</v>
      </c>
      <c r="CD39" t="s">
        <v>2964</v>
      </c>
      <c r="CE39" t="s">
        <v>2965</v>
      </c>
      <c r="CF39" s="8">
        <v>1.9161676646706587E-2</v>
      </c>
      <c r="CG39" s="9">
        <v>-0.43240153744404719</v>
      </c>
      <c r="CH39" s="8">
        <v>1.8624190092086792</v>
      </c>
      <c r="CI39" s="8">
        <v>0.11190971732139587</v>
      </c>
      <c r="CJ39" s="8">
        <v>-0.14147199690341949</v>
      </c>
      <c r="CK39" s="8">
        <v>-0.24742954969406128</v>
      </c>
      <c r="CL39" s="8">
        <v>1.7206499353051186E-2</v>
      </c>
      <c r="CM39" s="9">
        <v>-51.401958465576172</v>
      </c>
      <c r="CN39" s="9">
        <v>1.0113749504089355</v>
      </c>
      <c r="CO39" s="9">
        <v>-38.920806884765625</v>
      </c>
      <c r="CP39" s="9">
        <v>-2.1203992366790771</v>
      </c>
      <c r="CQ39" s="9">
        <v>-0.76194483041763306</v>
      </c>
      <c r="CR39">
        <v>-6.0677577370161613</v>
      </c>
      <c r="CS39">
        <v>-0.18930582251712041</v>
      </c>
      <c r="CT39">
        <v>0</v>
      </c>
      <c r="CU39" s="8">
        <v>0.3205267358571291</v>
      </c>
      <c r="CV39" s="9">
        <v>-18.438746893405913</v>
      </c>
      <c r="CW39">
        <v>0.06</v>
      </c>
      <c r="CX39" t="e">
        <v>#VALUE!</v>
      </c>
      <c r="CY39" t="s">
        <v>1249</v>
      </c>
      <c r="CZ39">
        <v>0.3205267358571291</v>
      </c>
      <c r="DA39" t="e">
        <v>#VALUE!</v>
      </c>
      <c r="DB39" t="s">
        <v>1249</v>
      </c>
      <c r="DC39">
        <v>0.30450039906427262</v>
      </c>
      <c r="DD39" t="e">
        <v>#VALUE!</v>
      </c>
      <c r="DE39" t="s">
        <v>1249</v>
      </c>
      <c r="DF39">
        <v>0.28206352755427361</v>
      </c>
      <c r="DG39" t="e">
        <v>#VALUE!</v>
      </c>
      <c r="DH39" t="s">
        <v>1249</v>
      </c>
      <c r="DI39">
        <v>0.2564213886857033</v>
      </c>
      <c r="DJ39" t="e">
        <v>#VALUE!</v>
      </c>
      <c r="DK39" t="s">
        <v>1249</v>
      </c>
      <c r="DL39">
        <v>0.22436871509999035</v>
      </c>
      <c r="DM39">
        <v>-563000000</v>
      </c>
      <c r="DN39">
        <v>0.3205267358571291</v>
      </c>
      <c r="DO39">
        <v>11030555200</v>
      </c>
      <c r="DP39">
        <v>-1818627400</v>
      </c>
      <c r="DQ39">
        <v>1263</v>
      </c>
      <c r="DR39">
        <v>-0.3013650592104225</v>
      </c>
      <c r="DS39">
        <v>18.006345355961866</v>
      </c>
      <c r="DT39" s="10">
        <v>-0.25666666666666665</v>
      </c>
      <c r="DU39">
        <v>-2.4233333333333333</v>
      </c>
      <c r="DV39">
        <v>-2.68</v>
      </c>
      <c r="DW39">
        <v>5.9364005412719889</v>
      </c>
      <c r="DX39">
        <v>0.82414189718864117</v>
      </c>
      <c r="DY39">
        <v>5.1256105451346956</v>
      </c>
      <c r="DZ39">
        <v>4786</v>
      </c>
      <c r="EA39">
        <v>5.0079643476758591</v>
      </c>
      <c r="EB39">
        <v>5</v>
      </c>
      <c r="EC39">
        <v>6.4105845060041591E-2</v>
      </c>
      <c r="ED39">
        <v>0.47789576861202965</v>
      </c>
      <c r="EE39" s="11">
        <v>-5.0804999999999998</v>
      </c>
      <c r="EF39">
        <v>-5.0746000000000002</v>
      </c>
      <c r="EG39">
        <v>69.134141897188641</v>
      </c>
      <c r="EH39" t="s">
        <v>2966</v>
      </c>
      <c r="EI39">
        <v>1</v>
      </c>
      <c r="EJ39">
        <v>0</v>
      </c>
      <c r="EK39" s="13">
        <v>45470</v>
      </c>
      <c r="EL39" s="14">
        <v>1.07</v>
      </c>
      <c r="EM39" s="14">
        <v>-3.99</v>
      </c>
      <c r="EN39" s="14">
        <v>0.37</v>
      </c>
      <c r="EO39" s="14">
        <v>3.41</v>
      </c>
      <c r="EP39" s="14">
        <v>-0.59</v>
      </c>
    </row>
    <row r="40" spans="1:146" ht="108">
      <c r="A40" s="6"/>
      <c r="B40" s="6"/>
      <c r="C40" s="6" t="str">
        <f>""&amp;CHAR(10)&amp;Basic_Fundamental_Information_Constructure(F40)&amp;CHAR(10)&amp;Basic_Fundamental_Information_Concatenate("")</f>
        <v xml:space="preserve">
市值17.928334亿, 利润-4846.33万; PE; 平均PE156.76; 平均PEG13.63, PB1.74; ROIC1.935%; ROE-3.5433%; 股利率3.0349%; 毛利22.0633%; 净利-6.4933%; 上一年度营收增-.18%, 利润增72.31%; 当季营收增-6.61%, 利润增555.44%; 过往5年营收增-11.5%, 利润增-223.4%
Income profile:
</v>
      </c>
      <c r="D40" t="s">
        <v>590</v>
      </c>
      <c r="E40" t="s">
        <v>591</v>
      </c>
      <c r="F40">
        <v>6.59</v>
      </c>
      <c r="G40">
        <v>2.0099999999999998</v>
      </c>
      <c r="H40" t="s">
        <v>2967</v>
      </c>
      <c r="I40">
        <v>1792833400</v>
      </c>
      <c r="K40">
        <v>1.74</v>
      </c>
      <c r="L40" t="s">
        <v>361</v>
      </c>
      <c r="M40" t="s">
        <v>2968</v>
      </c>
      <c r="N40" t="s">
        <v>705</v>
      </c>
      <c r="O40" t="s">
        <v>244</v>
      </c>
      <c r="P40">
        <v>-6.78</v>
      </c>
      <c r="Q40" t="s">
        <v>688</v>
      </c>
      <c r="R40">
        <v>40983054</v>
      </c>
      <c r="S40" s="5">
        <v>5.5540000000000003</v>
      </c>
      <c r="T40" t="s">
        <v>2969</v>
      </c>
      <c r="U40">
        <v>247200380</v>
      </c>
      <c r="V40">
        <v>272053630</v>
      </c>
      <c r="W40">
        <v>2.15</v>
      </c>
      <c r="X40">
        <v>0.09</v>
      </c>
      <c r="Y40">
        <v>18.14</v>
      </c>
      <c r="Z40" t="s">
        <v>26</v>
      </c>
      <c r="AA40" t="s">
        <v>71</v>
      </c>
      <c r="AB40" t="s">
        <v>2970</v>
      </c>
      <c r="AC40" t="s">
        <v>2971</v>
      </c>
      <c r="AD40" t="s">
        <v>19</v>
      </c>
      <c r="AE40">
        <v>8733318</v>
      </c>
      <c r="AF40" t="s">
        <v>2972</v>
      </c>
      <c r="AG40" t="s">
        <v>2973</v>
      </c>
      <c r="AH40" t="s">
        <v>2974</v>
      </c>
      <c r="AI40" t="s">
        <v>1691</v>
      </c>
      <c r="AJ40" t="s">
        <v>2975</v>
      </c>
      <c r="AK40" t="s">
        <v>2976</v>
      </c>
      <c r="AL40" t="s">
        <v>2977</v>
      </c>
      <c r="AM40" t="s">
        <v>19</v>
      </c>
      <c r="AN40">
        <v>0</v>
      </c>
      <c r="AO40" t="s">
        <v>2978</v>
      </c>
      <c r="AP40" t="s">
        <v>19</v>
      </c>
      <c r="AQ40" t="s">
        <v>80</v>
      </c>
      <c r="AR40" t="s">
        <v>2979</v>
      </c>
      <c r="AS40" t="s">
        <v>417</v>
      </c>
      <c r="AT40" t="s">
        <v>2980</v>
      </c>
      <c r="AU40" t="s">
        <v>2981</v>
      </c>
      <c r="AV40" t="s">
        <v>2982</v>
      </c>
      <c r="AW40" t="s">
        <v>2983</v>
      </c>
      <c r="AX40" t="s">
        <v>845</v>
      </c>
      <c r="AY40" t="s">
        <v>1378</v>
      </c>
      <c r="AZ40" t="s">
        <v>365</v>
      </c>
      <c r="BA40" t="s">
        <v>593</v>
      </c>
      <c r="BB40" t="s">
        <v>594</v>
      </c>
      <c r="BC40" t="s">
        <v>1653</v>
      </c>
      <c r="BD40" t="s">
        <v>1142</v>
      </c>
      <c r="BE40" t="s">
        <v>592</v>
      </c>
      <c r="BF40" t="s">
        <v>38</v>
      </c>
      <c r="BG40" t="s">
        <v>74</v>
      </c>
      <c r="BH40" t="s">
        <v>688</v>
      </c>
      <c r="BI40" t="s">
        <v>206</v>
      </c>
      <c r="BJ40" t="s">
        <v>845</v>
      </c>
      <c r="BK40" t="s">
        <v>2969</v>
      </c>
      <c r="BL40" t="s">
        <v>2984</v>
      </c>
      <c r="BM40" t="s">
        <v>1653</v>
      </c>
      <c r="BN40">
        <v>1.88</v>
      </c>
      <c r="BO40" t="s">
        <v>19</v>
      </c>
      <c r="BP40">
        <v>1.99</v>
      </c>
      <c r="BQ40">
        <v>1.26</v>
      </c>
      <c r="BR40">
        <v>-13.04</v>
      </c>
      <c r="BS40">
        <v>1.1499999999999999</v>
      </c>
      <c r="BT40" t="s">
        <v>1578</v>
      </c>
      <c r="BU40" t="s">
        <v>1234</v>
      </c>
      <c r="BV40">
        <v>21.32</v>
      </c>
      <c r="BW40">
        <v>22.39</v>
      </c>
      <c r="BX40">
        <v>22.48</v>
      </c>
      <c r="BY40">
        <v>-4.43</v>
      </c>
      <c r="BZ40">
        <v>-15.96</v>
      </c>
      <c r="CA40">
        <v>0.91</v>
      </c>
      <c r="CB40">
        <v>-1.05</v>
      </c>
      <c r="CC40">
        <v>-5.86</v>
      </c>
      <c r="CD40" t="s">
        <v>2985</v>
      </c>
      <c r="CE40" t="s">
        <v>513</v>
      </c>
      <c r="CF40" s="8">
        <v>-6.611570247933897E-2</v>
      </c>
      <c r="CG40" s="9">
        <v>5.5543522901740019</v>
      </c>
      <c r="CH40" s="8">
        <v>-1.8248175038024783E-3</v>
      </c>
      <c r="CI40" s="8">
        <v>-0.42467188835144043</v>
      </c>
      <c r="CJ40" s="8">
        <v>6.3391444273293018E-3</v>
      </c>
      <c r="CK40" s="8">
        <v>-0.24611712992191315</v>
      </c>
      <c r="CL40" s="8">
        <v>9.1264724731445313E-2</v>
      </c>
      <c r="CM40" s="9">
        <v>0.72306686639785767</v>
      </c>
      <c r="CN40" s="9">
        <v>-10.909735679626465</v>
      </c>
      <c r="CO40" s="9">
        <v>-0.35611674189567566</v>
      </c>
      <c r="CP40" s="9">
        <v>-0.79378646612167358</v>
      </c>
      <c r="CQ40" s="9">
        <v>0.1666666716337204</v>
      </c>
      <c r="CR40">
        <v>156.75617180953773</v>
      </c>
      <c r="CS40">
        <v>13.630735196766821</v>
      </c>
      <c r="CT40">
        <v>3.0349013657056148</v>
      </c>
      <c r="CU40" s="8">
        <v>-0.11500199332367629</v>
      </c>
      <c r="CV40" s="9">
        <v>-2.2339810699224474</v>
      </c>
      <c r="CW40">
        <v>0.06</v>
      </c>
      <c r="CX40" t="e">
        <v>#VALUE!</v>
      </c>
      <c r="CY40" t="s">
        <v>1249</v>
      </c>
      <c r="CZ40">
        <v>-0.11500199332367629</v>
      </c>
      <c r="DA40" t="e">
        <v>#VALUE!</v>
      </c>
      <c r="DB40" t="s">
        <v>1249</v>
      </c>
      <c r="DC40">
        <v>-0.10925189365749247</v>
      </c>
      <c r="DD40" t="e">
        <v>#VALUE!</v>
      </c>
      <c r="DE40" t="s">
        <v>1249</v>
      </c>
      <c r="DF40">
        <v>-0.10120175412483513</v>
      </c>
      <c r="DG40" t="e">
        <v>#VALUE!</v>
      </c>
      <c r="DH40" t="s">
        <v>1249</v>
      </c>
      <c r="DI40">
        <v>-9.2001594658941033E-2</v>
      </c>
      <c r="DJ40" t="e">
        <v>#VALUE!</v>
      </c>
      <c r="DK40" t="s">
        <v>1249</v>
      </c>
      <c r="DL40">
        <v>-8.0501395326573397E-2</v>
      </c>
      <c r="DM40">
        <v>-48463300</v>
      </c>
      <c r="DN40">
        <v>-0.11500199332367629</v>
      </c>
      <c r="DO40">
        <v>2067833400</v>
      </c>
      <c r="DP40">
        <v>1097516300</v>
      </c>
      <c r="DQ40">
        <v>1283</v>
      </c>
      <c r="DR40">
        <v>4.8886290844337321E-2</v>
      </c>
      <c r="DS40">
        <v>7.7883333600964493</v>
      </c>
      <c r="DT40" s="10">
        <v>-0.70666666666666667</v>
      </c>
      <c r="DU40">
        <v>-0.46666666666666651</v>
      </c>
      <c r="DV40">
        <v>-1.1733333333333331</v>
      </c>
      <c r="DW40">
        <v>-1.0586</v>
      </c>
      <c r="DX40">
        <v>0.26714974358974264</v>
      </c>
      <c r="DY40">
        <v>-1.0056929749743591</v>
      </c>
      <c r="DZ40">
        <v>3736</v>
      </c>
      <c r="EA40">
        <v>-1.0015307529578805</v>
      </c>
      <c r="EB40">
        <v>1</v>
      </c>
      <c r="EC40">
        <v>6.9634064430605103E-2</v>
      </c>
      <c r="ED40">
        <v>0.71677043971072907</v>
      </c>
      <c r="EE40" s="11">
        <v>5.8100000000000027E-3</v>
      </c>
      <c r="EF40">
        <v>1.771E-2</v>
      </c>
      <c r="EG40">
        <v>17.097149743589743</v>
      </c>
      <c r="EH40">
        <v>-1</v>
      </c>
      <c r="EI40">
        <v>0</v>
      </c>
      <c r="EJ40">
        <v>0</v>
      </c>
      <c r="EK40" s="13">
        <v>45470</v>
      </c>
      <c r="EL40" s="14">
        <v>2.87</v>
      </c>
      <c r="EM40" s="14">
        <v>-5.43</v>
      </c>
      <c r="EN40" s="14">
        <v>2.02</v>
      </c>
      <c r="EO40" s="14">
        <v>2.2799999999999998</v>
      </c>
      <c r="EP40" s="14">
        <v>-1.19</v>
      </c>
    </row>
    <row r="41" spans="1:146" ht="108">
      <c r="A41" s="6"/>
      <c r="B41" s="6"/>
      <c r="C41" s="6" t="str">
        <f>""&amp;CHAR(10)&amp;Basic_Fundamental_Information_Constructure(F41)&amp;CHAR(10)&amp;Basic_Fundamental_Information_Concatenate("")</f>
        <v xml:space="preserve">
市值8.0643362亿, 利润-7.02亿; PE; 平均PE1955.86; 平均PEG6238.78, PB.323; ROIC2.005%; ROE.26%; 股利率0%; 毛利9.62%; 净利-5.5433%; 上一年度营收增-26%, 利润增-6380.19%; 当季营收增-32.31%, 利润增-470.21%; 过往5年营收增.31%, 利润增-1295.68%
Income profile:
</v>
      </c>
      <c r="D41" t="s">
        <v>596</v>
      </c>
      <c r="E41" t="s">
        <v>1921</v>
      </c>
      <c r="F41">
        <v>1.1299999999999999</v>
      </c>
      <c r="G41">
        <v>4.63</v>
      </c>
      <c r="H41" t="s">
        <v>2986</v>
      </c>
      <c r="I41">
        <v>806433620</v>
      </c>
      <c r="K41">
        <v>0.32300000000000001</v>
      </c>
      <c r="L41" t="s">
        <v>361</v>
      </c>
      <c r="M41" t="s">
        <v>2987</v>
      </c>
      <c r="N41" t="s">
        <v>2988</v>
      </c>
      <c r="O41" t="s">
        <v>378</v>
      </c>
      <c r="P41">
        <v>-32.29</v>
      </c>
      <c r="Q41" t="s">
        <v>2989</v>
      </c>
      <c r="R41">
        <v>-87978120</v>
      </c>
      <c r="S41" s="5">
        <v>-4.702</v>
      </c>
      <c r="T41" t="s">
        <v>2990</v>
      </c>
      <c r="U41">
        <v>523147340</v>
      </c>
      <c r="V41">
        <v>713658070</v>
      </c>
      <c r="W41">
        <v>2.73</v>
      </c>
      <c r="X41">
        <v>0.06</v>
      </c>
      <c r="Y41">
        <v>-18.87</v>
      </c>
      <c r="Z41" t="s">
        <v>1965</v>
      </c>
      <c r="AA41" t="s">
        <v>1691</v>
      </c>
      <c r="AB41" t="s">
        <v>2991</v>
      </c>
      <c r="AC41" t="s">
        <v>2992</v>
      </c>
      <c r="AD41" t="s">
        <v>19</v>
      </c>
      <c r="AE41">
        <v>30758639</v>
      </c>
      <c r="AF41" t="s">
        <v>2993</v>
      </c>
      <c r="AG41" t="s">
        <v>2994</v>
      </c>
      <c r="AH41" t="s">
        <v>2995</v>
      </c>
      <c r="AI41" t="s">
        <v>78</v>
      </c>
      <c r="AJ41" t="s">
        <v>2996</v>
      </c>
      <c r="AK41" t="s">
        <v>2997</v>
      </c>
      <c r="AL41" t="s">
        <v>2998</v>
      </c>
      <c r="AM41" t="s">
        <v>19</v>
      </c>
      <c r="AN41" t="s">
        <v>2999</v>
      </c>
      <c r="AO41" t="s">
        <v>1945</v>
      </c>
      <c r="AP41" t="s">
        <v>3000</v>
      </c>
      <c r="AQ41" t="s">
        <v>3001</v>
      </c>
      <c r="AR41" t="s">
        <v>3002</v>
      </c>
      <c r="AS41" t="s">
        <v>3003</v>
      </c>
      <c r="AT41" t="s">
        <v>409</v>
      </c>
      <c r="AU41" t="s">
        <v>3004</v>
      </c>
      <c r="AV41" t="s">
        <v>3005</v>
      </c>
      <c r="AW41" t="s">
        <v>3006</v>
      </c>
      <c r="AX41" t="s">
        <v>1654</v>
      </c>
      <c r="AY41" t="s">
        <v>1379</v>
      </c>
      <c r="AZ41" t="s">
        <v>442</v>
      </c>
      <c r="BA41" t="s">
        <v>597</v>
      </c>
      <c r="BB41" t="s">
        <v>598</v>
      </c>
      <c r="BC41" t="s">
        <v>3007</v>
      </c>
      <c r="BD41" t="s">
        <v>3008</v>
      </c>
      <c r="BE41" t="s">
        <v>153</v>
      </c>
      <c r="BF41" t="s">
        <v>1902</v>
      </c>
      <c r="BG41" t="s">
        <v>168</v>
      </c>
      <c r="BH41" t="s">
        <v>2989</v>
      </c>
      <c r="BI41" t="s">
        <v>287</v>
      </c>
      <c r="BJ41" t="s">
        <v>1654</v>
      </c>
      <c r="BK41" t="s">
        <v>2990</v>
      </c>
      <c r="BL41" t="s">
        <v>3009</v>
      </c>
      <c r="BM41" t="s">
        <v>3007</v>
      </c>
      <c r="BN41" t="s">
        <v>19</v>
      </c>
      <c r="BO41">
        <v>1.04</v>
      </c>
      <c r="BP41">
        <v>2.97</v>
      </c>
      <c r="BQ41">
        <v>-2.56</v>
      </c>
      <c r="BR41">
        <v>0.31</v>
      </c>
      <c r="BS41">
        <v>3.03</v>
      </c>
      <c r="BT41" t="s">
        <v>1571</v>
      </c>
      <c r="BU41" t="s">
        <v>1334</v>
      </c>
      <c r="BV41">
        <v>1.64</v>
      </c>
      <c r="BW41">
        <v>12.82</v>
      </c>
      <c r="BX41">
        <v>14.4</v>
      </c>
      <c r="BY41">
        <v>-18.75</v>
      </c>
      <c r="BZ41">
        <v>0.4</v>
      </c>
      <c r="CA41">
        <v>1.72</v>
      </c>
      <c r="CB41">
        <v>15.31</v>
      </c>
      <c r="CC41">
        <v>-28.03</v>
      </c>
      <c r="CD41" t="s">
        <v>71</v>
      </c>
      <c r="CE41" t="s">
        <v>610</v>
      </c>
      <c r="CF41" s="8">
        <v>-0.32305433186490445</v>
      </c>
      <c r="CG41" s="9">
        <v>-4.7020902061688625</v>
      </c>
      <c r="CH41" s="8">
        <v>-0.25997701287269592</v>
      </c>
      <c r="CI41" s="8">
        <v>-0.16979926824569702</v>
      </c>
      <c r="CJ41" s="8">
        <v>0.12488799542188644</v>
      </c>
      <c r="CK41" s="8">
        <v>0.1485903263092041</v>
      </c>
      <c r="CL41" s="8">
        <v>0.17197297513484955</v>
      </c>
      <c r="CM41" s="9">
        <v>-63.801929473876953</v>
      </c>
      <c r="CN41" s="9">
        <v>-0.87620699405670166</v>
      </c>
      <c r="CO41" s="9">
        <v>-0.63144528865814209</v>
      </c>
      <c r="CP41" s="9">
        <v>0.20098039507865906</v>
      </c>
      <c r="CQ41" s="9">
        <v>0.32467532157897949</v>
      </c>
      <c r="CR41">
        <v>1955.8598649905007</v>
      </c>
      <c r="CS41">
        <v>6238.7811804800149</v>
      </c>
      <c r="CT41">
        <v>0</v>
      </c>
      <c r="CU41" s="8">
        <v>3.1350031495094299E-3</v>
      </c>
      <c r="CV41" s="9">
        <v>-12.956785207986831</v>
      </c>
      <c r="CW41">
        <v>0.06</v>
      </c>
      <c r="CX41" t="e">
        <v>#VALUE!</v>
      </c>
      <c r="CY41" t="s">
        <v>1248</v>
      </c>
      <c r="CZ41">
        <v>3.1350031495094299E-3</v>
      </c>
      <c r="DA41" t="e">
        <v>#VALUE!</v>
      </c>
      <c r="DB41" t="s">
        <v>1249</v>
      </c>
      <c r="DC41">
        <v>2.9782529920339583E-3</v>
      </c>
      <c r="DD41" t="e">
        <v>#VALUE!</v>
      </c>
      <c r="DE41" t="s">
        <v>1249</v>
      </c>
      <c r="DF41">
        <v>2.7588027715682983E-3</v>
      </c>
      <c r="DG41" t="e">
        <v>#VALUE!</v>
      </c>
      <c r="DH41" t="s">
        <v>1249</v>
      </c>
      <c r="DI41">
        <v>2.5080025196075441E-3</v>
      </c>
      <c r="DJ41" t="e">
        <v>#VALUE!</v>
      </c>
      <c r="DK41" t="s">
        <v>1249</v>
      </c>
      <c r="DL41">
        <v>2.1945022046566008E-3</v>
      </c>
      <c r="DM41">
        <v>-702000000</v>
      </c>
      <c r="DN41">
        <v>3.1350031495094299E-3</v>
      </c>
      <c r="DO41">
        <v>3322433620</v>
      </c>
      <c r="DP41">
        <v>2470450800</v>
      </c>
      <c r="DQ41">
        <v>1293</v>
      </c>
      <c r="DR41">
        <v>-0.32618933501441388</v>
      </c>
      <c r="DS41">
        <v>8.2546950018179679</v>
      </c>
      <c r="DT41" s="10">
        <v>-0.65666666666666662</v>
      </c>
      <c r="DU41">
        <v>-1.9983333333333337</v>
      </c>
      <c r="DV41">
        <v>-2.6550000000000002</v>
      </c>
      <c r="DW41">
        <v>7.353253345639132</v>
      </c>
      <c r="DX41">
        <v>0.51684961580680377</v>
      </c>
      <c r="DY41">
        <v>7.0589401850023581</v>
      </c>
      <c r="DZ41">
        <v>4760</v>
      </c>
      <c r="EA41">
        <v>7.0040369989727642</v>
      </c>
      <c r="EB41">
        <v>7</v>
      </c>
      <c r="EC41">
        <v>0.21298715223664463</v>
      </c>
      <c r="ED41">
        <v>1.276521682155153</v>
      </c>
      <c r="EE41" s="11">
        <v>-6.1283099999999999</v>
      </c>
      <c r="EF41">
        <v>-6.1283099999999999</v>
      </c>
      <c r="EG41">
        <v>35.166849615806804</v>
      </c>
      <c r="EH41" t="s">
        <v>1856</v>
      </c>
      <c r="EI41">
        <v>1</v>
      </c>
      <c r="EJ41">
        <v>0</v>
      </c>
      <c r="EK41" s="13">
        <v>45470</v>
      </c>
      <c r="EL41" s="14">
        <v>-5.13</v>
      </c>
      <c r="EM41" s="14">
        <v>0.9</v>
      </c>
      <c r="EN41" s="14">
        <v>-5.36</v>
      </c>
      <c r="EO41" s="14">
        <v>-2.83</v>
      </c>
      <c r="EP41" s="14">
        <v>0</v>
      </c>
    </row>
    <row r="42" spans="1:146" ht="108">
      <c r="A42" s="6"/>
      <c r="B42" s="6"/>
      <c r="C42" s="6" t="str">
        <f>""&amp;CHAR(10)&amp;Basic_Fundamental_Information_Constructure(F42)&amp;CHAR(10)&amp;Basic_Fundamental_Information_Concatenate("")</f>
        <v xml:space="preserve">
市值12.947314亿, 利润3908.81万; PE27; 平均PE43.22; 平均PEG49.12, PB1.91; ROIC1.8267%; ROE3.2067%; 股利率2.4717%; 毛利30.5433%; 净利4.1033%; 上一年度营收增-5.31%, 利润增106.28%; 当季营收增8.26%, 利润增171.16%; 过往5年营收增.88%, 利润增9.32%
Income profile:
</v>
      </c>
      <c r="D42" t="s">
        <v>599</v>
      </c>
      <c r="E42" t="s">
        <v>600</v>
      </c>
      <c r="F42">
        <v>9.7100000000000009</v>
      </c>
      <c r="G42">
        <v>1.57</v>
      </c>
      <c r="H42" t="s">
        <v>3010</v>
      </c>
      <c r="I42">
        <v>1294731400</v>
      </c>
      <c r="J42">
        <v>27</v>
      </c>
      <c r="K42">
        <v>1.91</v>
      </c>
      <c r="L42" t="s">
        <v>361</v>
      </c>
      <c r="M42" t="s">
        <v>3011</v>
      </c>
      <c r="N42" t="s">
        <v>215</v>
      </c>
      <c r="O42" t="s">
        <v>158</v>
      </c>
      <c r="P42">
        <v>8.6199999999999992</v>
      </c>
      <c r="Q42" t="s">
        <v>3012</v>
      </c>
      <c r="R42">
        <v>3684346</v>
      </c>
      <c r="S42" s="5">
        <v>1.712</v>
      </c>
      <c r="T42" t="s">
        <v>3013</v>
      </c>
      <c r="U42">
        <v>66852500</v>
      </c>
      <c r="V42">
        <v>133340000</v>
      </c>
      <c r="W42">
        <v>1.95</v>
      </c>
      <c r="X42">
        <v>0.09</v>
      </c>
      <c r="Y42">
        <v>3.66</v>
      </c>
      <c r="Z42" t="s">
        <v>31</v>
      </c>
      <c r="AA42" t="s">
        <v>3014</v>
      </c>
      <c r="AB42" t="s">
        <v>3015</v>
      </c>
      <c r="AC42" t="s">
        <v>3016</v>
      </c>
      <c r="AD42" t="s">
        <v>19</v>
      </c>
      <c r="AE42">
        <v>-1803212</v>
      </c>
      <c r="AF42" t="s">
        <v>3017</v>
      </c>
      <c r="AG42" t="s">
        <v>3018</v>
      </c>
      <c r="AH42" t="s">
        <v>3019</v>
      </c>
      <c r="AI42" t="s">
        <v>50</v>
      </c>
      <c r="AJ42" t="s">
        <v>3020</v>
      </c>
      <c r="AK42" t="s">
        <v>19</v>
      </c>
      <c r="AL42" t="s">
        <v>3021</v>
      </c>
      <c r="AM42" t="s">
        <v>19</v>
      </c>
      <c r="AN42">
        <v>0</v>
      </c>
      <c r="AO42" t="s">
        <v>2864</v>
      </c>
      <c r="AP42" t="s">
        <v>19</v>
      </c>
      <c r="AQ42" t="s">
        <v>3022</v>
      </c>
      <c r="AR42" t="s">
        <v>19</v>
      </c>
      <c r="AS42" t="s">
        <v>1314</v>
      </c>
      <c r="AT42" t="s">
        <v>19</v>
      </c>
      <c r="AU42" t="s">
        <v>3023</v>
      </c>
      <c r="AV42" t="s">
        <v>3024</v>
      </c>
      <c r="AW42" t="s">
        <v>1943</v>
      </c>
      <c r="AX42" t="s">
        <v>628</v>
      </c>
      <c r="AY42" t="s">
        <v>1351</v>
      </c>
      <c r="AZ42" t="s">
        <v>337</v>
      </c>
      <c r="BA42" t="s">
        <v>297</v>
      </c>
      <c r="BB42" t="s">
        <v>602</v>
      </c>
      <c r="BC42" t="s">
        <v>1655</v>
      </c>
      <c r="BD42" t="s">
        <v>1143</v>
      </c>
      <c r="BE42" t="s">
        <v>601</v>
      </c>
      <c r="BF42" t="s">
        <v>603</v>
      </c>
      <c r="BG42" t="s">
        <v>604</v>
      </c>
      <c r="BH42" t="s">
        <v>3012</v>
      </c>
      <c r="BI42" t="s">
        <v>52</v>
      </c>
      <c r="BJ42" t="s">
        <v>628</v>
      </c>
      <c r="BK42" t="s">
        <v>3013</v>
      </c>
      <c r="BL42" t="s">
        <v>3025</v>
      </c>
      <c r="BM42" t="s">
        <v>1655</v>
      </c>
      <c r="BN42">
        <v>1.67</v>
      </c>
      <c r="BO42">
        <v>1.88</v>
      </c>
      <c r="BP42">
        <v>1.93</v>
      </c>
      <c r="BQ42">
        <v>2.27</v>
      </c>
      <c r="BR42">
        <v>2.88</v>
      </c>
      <c r="BS42">
        <v>4.47</v>
      </c>
      <c r="BT42" t="s">
        <v>3026</v>
      </c>
      <c r="BU42" t="s">
        <v>1334</v>
      </c>
      <c r="BV42">
        <v>30.64</v>
      </c>
      <c r="BW42">
        <v>31.14</v>
      </c>
      <c r="BX42">
        <v>29.85</v>
      </c>
      <c r="BY42">
        <v>5.53</v>
      </c>
      <c r="BZ42">
        <v>2.88</v>
      </c>
      <c r="CA42">
        <v>3.9</v>
      </c>
      <c r="CB42">
        <v>-1.32</v>
      </c>
      <c r="CC42">
        <v>-15.05</v>
      </c>
      <c r="CD42" t="s">
        <v>3027</v>
      </c>
      <c r="CE42" t="s">
        <v>3028</v>
      </c>
      <c r="CF42" s="8">
        <v>8.2644628099173556E-2</v>
      </c>
      <c r="CG42" s="9">
        <v>1.7115521736611368</v>
      </c>
      <c r="CH42" s="8">
        <v>-5.3140096366405487E-2</v>
      </c>
      <c r="CI42" s="8">
        <v>-6.3348419964313507E-2</v>
      </c>
      <c r="CJ42" s="8">
        <v>1.9607843831181526E-2</v>
      </c>
      <c r="CK42" s="8">
        <v>-3.4521158784627914E-2</v>
      </c>
      <c r="CL42" s="8">
        <v>0.17539267241954803</v>
      </c>
      <c r="CM42" s="9">
        <v>1.062838077545166</v>
      </c>
      <c r="CN42" s="9">
        <v>-0.3497893214225769</v>
      </c>
      <c r="CO42" s="9">
        <v>0.30132532119750977</v>
      </c>
      <c r="CP42" s="9">
        <v>-7.5845047831535339E-2</v>
      </c>
      <c r="CQ42" s="9">
        <v>-0.47250103950500488</v>
      </c>
      <c r="CR42">
        <v>43.219180612426563</v>
      </c>
      <c r="CS42">
        <v>49.122930474798963</v>
      </c>
      <c r="CT42">
        <v>2.4716786817713694</v>
      </c>
      <c r="CU42" s="8">
        <v>8.7981682270765298E-3</v>
      </c>
      <c r="CV42" s="9">
        <v>9.3205597996711728E-2</v>
      </c>
      <c r="CW42">
        <v>0.06</v>
      </c>
      <c r="CX42">
        <v>36.309980482812676</v>
      </c>
      <c r="CY42">
        <v>37200003.471204519</v>
      </c>
      <c r="CZ42">
        <v>8.7981682270765298E-3</v>
      </c>
      <c r="DA42">
        <v>12.718155890295945</v>
      </c>
      <c r="DB42">
        <v>106204972.76893884</v>
      </c>
      <c r="DC42">
        <v>8.3582598157227028E-3</v>
      </c>
      <c r="DD42">
        <v>6.8486165008774531</v>
      </c>
      <c r="DE42">
        <v>197226899.74346536</v>
      </c>
      <c r="DF42">
        <v>7.7423880398273465E-3</v>
      </c>
      <c r="DG42">
        <v>4.5316592747478888</v>
      </c>
      <c r="DH42">
        <v>298065524.81268477</v>
      </c>
      <c r="DI42">
        <v>7.0385345816612243E-3</v>
      </c>
      <c r="DJ42">
        <v>2.8560293744337266</v>
      </c>
      <c r="DK42">
        <v>472940303.79775542</v>
      </c>
      <c r="DL42">
        <v>6.1587177589535703E-3</v>
      </c>
      <c r="DM42">
        <v>39088100</v>
      </c>
      <c r="DN42">
        <v>8.7981682270765298E-3</v>
      </c>
      <c r="DO42">
        <v>1350731400</v>
      </c>
      <c r="DP42">
        <v>306510720</v>
      </c>
      <c r="DQ42">
        <v>1301</v>
      </c>
      <c r="DR42">
        <v>7.3846459872097023E-2</v>
      </c>
      <c r="DS42">
        <v>1.6183465756644251</v>
      </c>
      <c r="DT42" s="10">
        <v>-0.34</v>
      </c>
      <c r="DU42">
        <v>0.21666666666666667</v>
      </c>
      <c r="DV42">
        <v>-0.12333333333333335</v>
      </c>
      <c r="DW42">
        <v>-2.1505000000000001</v>
      </c>
      <c r="DX42">
        <v>0.35280263350517616</v>
      </c>
      <c r="DY42">
        <v>-2.0139667963425292</v>
      </c>
      <c r="DZ42">
        <v>1990</v>
      </c>
      <c r="EA42">
        <v>-2.0085276721308594</v>
      </c>
      <c r="EB42">
        <v>2</v>
      </c>
      <c r="EC42">
        <v>5.0812959352032401E-2</v>
      </c>
      <c r="ED42">
        <v>0.54753787310634472</v>
      </c>
      <c r="EE42" s="11">
        <v>-6.0654000000000003</v>
      </c>
      <c r="EF42">
        <v>-6.0564</v>
      </c>
      <c r="EG42">
        <v>26.092802633505176</v>
      </c>
      <c r="EH42" t="s">
        <v>3029</v>
      </c>
      <c r="EI42">
        <v>0</v>
      </c>
      <c r="EJ42">
        <v>0</v>
      </c>
      <c r="EK42" s="13">
        <v>45470</v>
      </c>
      <c r="EL42" s="14">
        <v>0.2</v>
      </c>
      <c r="EM42" s="14">
        <v>-4.6500000000000004</v>
      </c>
      <c r="EN42" s="14">
        <v>1.8</v>
      </c>
      <c r="EO42" s="14">
        <v>4.37</v>
      </c>
      <c r="EP42" s="14">
        <v>-0.9</v>
      </c>
    </row>
    <row r="43" spans="1:146" ht="108">
      <c r="A43" s="6"/>
      <c r="B43" s="6"/>
      <c r="C43" s="6" t="str">
        <f>""&amp;CHAR(10)&amp;Basic_Fundamental_Information_Constructure(F43)&amp;CHAR(10)&amp;Basic_Fundamental_Information_Concatenate("")</f>
        <v xml:space="preserve">
市值12.2322778亿, 利润-1.74亿; PE; 平均PE-16.17; 平均PEG-.7, PB3.39; ROIC0%; ROE-16.21%; 股利率0%; 毛利-4.7433%; 净利-19.0667%; 上一年度营收增-47.33%, 利润增-21.68%; 当季营收增47.37%, 利润增165.33%; 过往5年营收增23.11%, 利润增-227.28%
Income profile:
</v>
      </c>
      <c r="D43" t="s">
        <v>605</v>
      </c>
      <c r="E43" t="s">
        <v>606</v>
      </c>
      <c r="F43">
        <v>9.0399999999999991</v>
      </c>
      <c r="G43">
        <v>4.75</v>
      </c>
      <c r="H43" t="s">
        <v>3030</v>
      </c>
      <c r="I43">
        <v>1223227780</v>
      </c>
      <c r="K43">
        <v>3.39</v>
      </c>
      <c r="L43" t="s">
        <v>361</v>
      </c>
      <c r="M43" t="s">
        <v>3031</v>
      </c>
      <c r="N43" t="s">
        <v>185</v>
      </c>
      <c r="O43" t="s">
        <v>358</v>
      </c>
      <c r="P43">
        <v>47.41</v>
      </c>
      <c r="Q43" t="s">
        <v>1978</v>
      </c>
      <c r="R43">
        <v>3433307</v>
      </c>
      <c r="S43" s="5">
        <v>1.653</v>
      </c>
      <c r="T43" t="s">
        <v>2071</v>
      </c>
      <c r="U43">
        <v>116486858</v>
      </c>
      <c r="V43">
        <v>135312810</v>
      </c>
      <c r="W43">
        <v>5.41</v>
      </c>
      <c r="X43">
        <v>0.09</v>
      </c>
      <c r="Y43">
        <v>1.66</v>
      </c>
      <c r="Z43" t="s">
        <v>157</v>
      </c>
      <c r="AA43" t="s">
        <v>250</v>
      </c>
      <c r="AB43" t="s">
        <v>3032</v>
      </c>
      <c r="AC43" t="s">
        <v>3033</v>
      </c>
      <c r="AD43" t="s">
        <v>19</v>
      </c>
      <c r="AE43">
        <v>7450476</v>
      </c>
      <c r="AF43" t="s">
        <v>3034</v>
      </c>
      <c r="AG43" t="s">
        <v>1975</v>
      </c>
      <c r="AH43" t="s">
        <v>3035</v>
      </c>
      <c r="AI43" t="s">
        <v>3036</v>
      </c>
      <c r="AJ43" t="s">
        <v>3037</v>
      </c>
      <c r="AK43" t="s">
        <v>3038</v>
      </c>
      <c r="AL43" t="s">
        <v>3039</v>
      </c>
      <c r="AM43" t="s">
        <v>19</v>
      </c>
      <c r="AN43">
        <v>0</v>
      </c>
      <c r="AO43" t="s">
        <v>207</v>
      </c>
      <c r="AP43" t="s">
        <v>3040</v>
      </c>
      <c r="AQ43" t="s">
        <v>1131</v>
      </c>
      <c r="AR43" t="s">
        <v>19</v>
      </c>
      <c r="AS43" t="s">
        <v>3041</v>
      </c>
      <c r="AT43" t="s">
        <v>3042</v>
      </c>
      <c r="AU43" t="s">
        <v>3043</v>
      </c>
      <c r="AV43" t="s">
        <v>3044</v>
      </c>
      <c r="AW43" t="s">
        <v>3045</v>
      </c>
      <c r="AX43" t="s">
        <v>1658</v>
      </c>
      <c r="AY43" t="s">
        <v>276</v>
      </c>
      <c r="AZ43" t="s">
        <v>608</v>
      </c>
      <c r="BA43" t="s">
        <v>610</v>
      </c>
      <c r="BB43" t="s">
        <v>367</v>
      </c>
      <c r="BC43" t="s">
        <v>501</v>
      </c>
      <c r="BD43" t="s">
        <v>1144</v>
      </c>
      <c r="BE43" t="s">
        <v>609</v>
      </c>
      <c r="BF43" t="s">
        <v>612</v>
      </c>
      <c r="BG43" t="s">
        <v>613</v>
      </c>
      <c r="BH43" t="s">
        <v>1978</v>
      </c>
      <c r="BI43" t="s">
        <v>38</v>
      </c>
      <c r="BJ43" t="s">
        <v>1658</v>
      </c>
      <c r="BK43" t="s">
        <v>2071</v>
      </c>
      <c r="BL43" t="s">
        <v>3046</v>
      </c>
      <c r="BM43" t="s">
        <v>501</v>
      </c>
      <c r="BN43" t="s">
        <v>19</v>
      </c>
      <c r="BO43" t="s">
        <v>19</v>
      </c>
      <c r="BP43" t="s">
        <v>19</v>
      </c>
      <c r="BQ43">
        <v>-3</v>
      </c>
      <c r="BR43">
        <v>-24.1</v>
      </c>
      <c r="BS43">
        <v>-21.53</v>
      </c>
      <c r="BT43" t="s">
        <v>1571</v>
      </c>
      <c r="BU43" t="s">
        <v>1334</v>
      </c>
      <c r="BV43">
        <v>-4.99</v>
      </c>
      <c r="BW43">
        <v>6.35</v>
      </c>
      <c r="BX43">
        <v>-15.59</v>
      </c>
      <c r="BY43">
        <v>-21.43</v>
      </c>
      <c r="BZ43">
        <v>-8.36</v>
      </c>
      <c r="CA43">
        <v>-27.41</v>
      </c>
      <c r="CB43">
        <v>-4.6399999999999997</v>
      </c>
      <c r="CC43">
        <v>18.32</v>
      </c>
      <c r="CD43" t="s">
        <v>3047</v>
      </c>
      <c r="CE43" t="s">
        <v>338</v>
      </c>
      <c r="CF43" s="8">
        <v>0.47368421052631576</v>
      </c>
      <c r="CG43" s="9">
        <v>1.6533285760499326</v>
      </c>
      <c r="CH43" s="8">
        <v>-0.473305344581604</v>
      </c>
      <c r="CI43" s="8">
        <v>1.8350341320037842</v>
      </c>
      <c r="CJ43" s="8">
        <v>-0.52922338247299194</v>
      </c>
      <c r="CK43" s="8">
        <v>0.37102079391479492</v>
      </c>
      <c r="CL43" s="8">
        <v>-4.8066876828670502E-2</v>
      </c>
      <c r="CM43" s="9">
        <v>-0.21678321063518524</v>
      </c>
      <c r="CN43" s="9">
        <v>0.11180124431848526</v>
      </c>
      <c r="CO43" s="9">
        <v>-11.450270652770996</v>
      </c>
      <c r="CP43" s="9">
        <v>1.8638869524002075</v>
      </c>
      <c r="CQ43" s="9">
        <v>-1.672393798828125</v>
      </c>
      <c r="CR43">
        <v>-16.169400052477979</v>
      </c>
      <c r="CS43">
        <v>-0.69969577224042756</v>
      </c>
      <c r="CT43">
        <v>0</v>
      </c>
      <c r="CU43" s="8">
        <v>0.23109186440706253</v>
      </c>
      <c r="CV43" s="9">
        <v>-2.2727518931031225</v>
      </c>
      <c r="CW43">
        <v>0.06</v>
      </c>
      <c r="CX43" t="e">
        <v>#VALUE!</v>
      </c>
      <c r="CY43" t="s">
        <v>1249</v>
      </c>
      <c r="CZ43">
        <v>0.23109186440706253</v>
      </c>
      <c r="DA43" t="e">
        <v>#VALUE!</v>
      </c>
      <c r="DB43" t="s">
        <v>1249</v>
      </c>
      <c r="DC43">
        <v>0.2195372711867094</v>
      </c>
      <c r="DD43" t="e">
        <v>#VALUE!</v>
      </c>
      <c r="DE43" t="s">
        <v>1249</v>
      </c>
      <c r="DF43">
        <v>0.20336084067821503</v>
      </c>
      <c r="DG43" t="e">
        <v>#VALUE!</v>
      </c>
      <c r="DH43" t="s">
        <v>1249</v>
      </c>
      <c r="DI43">
        <v>0.18487349152565002</v>
      </c>
      <c r="DJ43" t="e">
        <v>#VALUE!</v>
      </c>
      <c r="DK43" t="s">
        <v>1249</v>
      </c>
      <c r="DL43">
        <v>0.16176430508494377</v>
      </c>
      <c r="DM43">
        <v>-174000000</v>
      </c>
      <c r="DN43">
        <v>0.23109186440706253</v>
      </c>
      <c r="DO43">
        <v>2635227780</v>
      </c>
      <c r="DP43">
        <v>-113678600</v>
      </c>
      <c r="DQ43">
        <v>1324</v>
      </c>
      <c r="DR43">
        <v>0.24259234611925323</v>
      </c>
      <c r="DS43">
        <v>3.9260804691530549</v>
      </c>
      <c r="DT43" s="10">
        <v>-0.29000000000000009</v>
      </c>
      <c r="DU43">
        <v>-1.5783333333333334</v>
      </c>
      <c r="DV43">
        <v>-1.8683333333333334</v>
      </c>
      <c r="DW43">
        <v>-6.2020905923344944</v>
      </c>
      <c r="DX43">
        <v>0.33695419161676599</v>
      </c>
      <c r="DY43">
        <v>-6.0135308122431095</v>
      </c>
      <c r="DZ43">
        <v>4310</v>
      </c>
      <c r="EA43">
        <v>-6.002118326769958</v>
      </c>
      <c r="EB43">
        <v>6</v>
      </c>
      <c r="EC43">
        <v>0.16526668834975786</v>
      </c>
      <c r="ED43">
        <v>2.4683546221529209</v>
      </c>
      <c r="EE43" s="11">
        <v>-5.1021999999999998</v>
      </c>
      <c r="EF43">
        <v>-5.0879000000000003</v>
      </c>
      <c r="EG43">
        <v>27.066954191616766</v>
      </c>
      <c r="EH43" t="s">
        <v>2966</v>
      </c>
      <c r="EI43">
        <v>0</v>
      </c>
      <c r="EJ43">
        <v>0</v>
      </c>
      <c r="EK43" s="13">
        <v>45470</v>
      </c>
      <c r="EL43" s="14">
        <v>-9.98</v>
      </c>
      <c r="EM43" s="14">
        <v>3.85</v>
      </c>
      <c r="EN43" s="14">
        <v>-0.22</v>
      </c>
      <c r="EO43" s="14">
        <v>7.1</v>
      </c>
      <c r="EP43" s="14">
        <v>-1.43</v>
      </c>
    </row>
    <row r="44" spans="1:146" ht="108">
      <c r="A44" s="6"/>
      <c r="B44" s="6"/>
      <c r="C44" s="6" t="str">
        <f>""&amp;CHAR(10)&amp;Basic_Fundamental_Information_Constructure(F44)&amp;CHAR(10)&amp;Basic_Fundamental_Information_Concatenate("")</f>
        <v xml:space="preserve">
市值13.3982848亿, 利润4277.89万; PE32.14; 平均PE22.92; 平均PEG.97, PB1.95; ROIC7.7433%; ROE7.9267%; 股利率.7576%; 毛利34.3767%; 净利9.0933%; 上一年度营收增-.67%, 利润增-17.33%; 当季营收增-5.96%, 利润增-9.86%; 过往5年营收增23.56%, 利润增-4.39%
Income profile:
</v>
      </c>
      <c r="D44" t="s">
        <v>614</v>
      </c>
      <c r="E44" t="s">
        <v>615</v>
      </c>
      <c r="F44">
        <v>8.58</v>
      </c>
      <c r="G44">
        <v>1.3</v>
      </c>
      <c r="H44" t="s">
        <v>3048</v>
      </c>
      <c r="I44">
        <v>1339828480</v>
      </c>
      <c r="J44">
        <v>32.14</v>
      </c>
      <c r="K44">
        <v>1.95</v>
      </c>
      <c r="L44" t="s">
        <v>361</v>
      </c>
      <c r="M44" t="s">
        <v>1347</v>
      </c>
      <c r="N44" t="s">
        <v>1920</v>
      </c>
      <c r="O44" t="s">
        <v>27</v>
      </c>
      <c r="P44">
        <v>-5.96</v>
      </c>
      <c r="Q44" t="s">
        <v>505</v>
      </c>
      <c r="R44">
        <v>9959464</v>
      </c>
      <c r="S44" s="5">
        <v>-9.8599999999999993E-2</v>
      </c>
      <c r="T44" t="s">
        <v>3049</v>
      </c>
      <c r="U44">
        <v>135479250</v>
      </c>
      <c r="V44">
        <v>156157170</v>
      </c>
      <c r="W44">
        <v>1.57</v>
      </c>
      <c r="X44">
        <v>0.11</v>
      </c>
      <c r="Y44">
        <v>7.99</v>
      </c>
      <c r="Z44" t="s">
        <v>42</v>
      </c>
      <c r="AA44" t="s">
        <v>3050</v>
      </c>
      <c r="AB44" t="s">
        <v>3051</v>
      </c>
      <c r="AC44" t="s">
        <v>3052</v>
      </c>
      <c r="AD44" t="s">
        <v>19</v>
      </c>
      <c r="AE44">
        <v>422941</v>
      </c>
      <c r="AF44" t="s">
        <v>3053</v>
      </c>
      <c r="AG44" t="s">
        <v>3054</v>
      </c>
      <c r="AH44" t="s">
        <v>3055</v>
      </c>
      <c r="AI44" t="s">
        <v>336</v>
      </c>
      <c r="AJ44" t="s">
        <v>3056</v>
      </c>
      <c r="AK44" t="s">
        <v>3057</v>
      </c>
      <c r="AL44" t="s">
        <v>3058</v>
      </c>
      <c r="AM44" t="s">
        <v>19</v>
      </c>
      <c r="AN44">
        <v>0</v>
      </c>
      <c r="AO44" t="s">
        <v>3059</v>
      </c>
      <c r="AP44" t="s">
        <v>19</v>
      </c>
      <c r="AQ44" t="s">
        <v>1984</v>
      </c>
      <c r="AR44" t="s">
        <v>19</v>
      </c>
      <c r="AS44" t="s">
        <v>1964</v>
      </c>
      <c r="AT44" t="s">
        <v>19</v>
      </c>
      <c r="AU44" t="s">
        <v>3060</v>
      </c>
      <c r="AV44" t="s">
        <v>3061</v>
      </c>
      <c r="AW44" t="s">
        <v>3062</v>
      </c>
      <c r="AX44" t="s">
        <v>1452</v>
      </c>
      <c r="AY44" t="s">
        <v>1124</v>
      </c>
      <c r="AZ44" t="s">
        <v>173</v>
      </c>
      <c r="BA44" t="s">
        <v>103</v>
      </c>
      <c r="BB44" t="s">
        <v>333</v>
      </c>
      <c r="BC44" t="s">
        <v>3063</v>
      </c>
      <c r="BD44" t="s">
        <v>1145</v>
      </c>
      <c r="BE44" t="s">
        <v>616</v>
      </c>
      <c r="BF44" t="s">
        <v>617</v>
      </c>
      <c r="BG44" t="s">
        <v>618</v>
      </c>
      <c r="BH44" t="s">
        <v>505</v>
      </c>
      <c r="BI44" t="s">
        <v>489</v>
      </c>
      <c r="BJ44" t="s">
        <v>1452</v>
      </c>
      <c r="BK44" t="s">
        <v>3049</v>
      </c>
      <c r="BL44" t="s">
        <v>3064</v>
      </c>
      <c r="BM44" t="s">
        <v>3063</v>
      </c>
      <c r="BN44">
        <v>4.8499999999999996</v>
      </c>
      <c r="BO44">
        <v>8.33</v>
      </c>
      <c r="BP44">
        <v>10.050000000000001</v>
      </c>
      <c r="BQ44">
        <v>4.95</v>
      </c>
      <c r="BR44">
        <v>8.32</v>
      </c>
      <c r="BS44">
        <v>10.51</v>
      </c>
      <c r="BT44" t="s">
        <v>3065</v>
      </c>
      <c r="BU44" t="s">
        <v>1234</v>
      </c>
      <c r="BV44">
        <v>34.479999999999997</v>
      </c>
      <c r="BW44">
        <v>33.869999999999997</v>
      </c>
      <c r="BX44">
        <v>34.78</v>
      </c>
      <c r="BY44">
        <v>6.88</v>
      </c>
      <c r="BZ44">
        <v>8.73</v>
      </c>
      <c r="CA44">
        <v>11.67</v>
      </c>
      <c r="CB44">
        <v>-2.33</v>
      </c>
      <c r="CC44">
        <v>-12.76</v>
      </c>
      <c r="CD44" t="s">
        <v>3066</v>
      </c>
      <c r="CE44" t="s">
        <v>175</v>
      </c>
      <c r="CF44" s="8">
        <v>-5.9602649006622516E-2</v>
      </c>
      <c r="CG44" s="9">
        <v>-9.8609466920083266E-2</v>
      </c>
      <c r="CH44" s="8">
        <v>-6.7024128511548042E-3</v>
      </c>
      <c r="CI44" s="8">
        <v>0.23102310299873352</v>
      </c>
      <c r="CJ44" s="8">
        <v>0.27578946948051453</v>
      </c>
      <c r="CK44" s="8">
        <v>0.52243590354919434</v>
      </c>
      <c r="CL44" s="8">
        <v>0.15555556118488312</v>
      </c>
      <c r="CM44" s="9">
        <v>-0.17328429222106934</v>
      </c>
      <c r="CN44" s="9">
        <v>-0.14433734118938446</v>
      </c>
      <c r="CO44" s="9">
        <v>-0.17962238192558289</v>
      </c>
      <c r="CP44" s="9">
        <v>0.12990456819534302</v>
      </c>
      <c r="CQ44" s="9">
        <v>0.14793218672275543</v>
      </c>
      <c r="CR44">
        <v>22.916957812005577</v>
      </c>
      <c r="CS44">
        <v>0.97262228224211633</v>
      </c>
      <c r="CT44">
        <v>0.75757575757575757</v>
      </c>
      <c r="CU44" s="8">
        <v>0.23562032487243414</v>
      </c>
      <c r="CV44" s="9">
        <v>-4.3881452083587645E-2</v>
      </c>
      <c r="CW44">
        <v>0.06</v>
      </c>
      <c r="CX44">
        <v>22.015355452536379</v>
      </c>
      <c r="CY44">
        <v>49866488.977061674</v>
      </c>
      <c r="CZ44">
        <v>0.23562032487243414</v>
      </c>
      <c r="DA44">
        <v>6.3732557260271987</v>
      </c>
      <c r="DB44">
        <v>172255520.12869519</v>
      </c>
      <c r="DC44">
        <v>0.22383930862881243</v>
      </c>
      <c r="DD44">
        <v>2.6463026361932114</v>
      </c>
      <c r="DE44">
        <v>414853715.13639891</v>
      </c>
      <c r="DF44">
        <v>0.20734588588774205</v>
      </c>
      <c r="DG44">
        <v>1.2965778681546534</v>
      </c>
      <c r="DH44">
        <v>846712339.43124282</v>
      </c>
      <c r="DI44">
        <v>0.18849625989794733</v>
      </c>
      <c r="DJ44">
        <v>0.41238253551457577</v>
      </c>
      <c r="DK44">
        <v>2662160458.9295149</v>
      </c>
      <c r="DL44">
        <v>0.1649342274107039</v>
      </c>
      <c r="DM44">
        <v>42778900</v>
      </c>
      <c r="DN44">
        <v>0.23562032487243414</v>
      </c>
      <c r="DO44">
        <v>1097828480</v>
      </c>
      <c r="DP44">
        <v>595477760</v>
      </c>
      <c r="DQ44">
        <v>1350</v>
      </c>
      <c r="DR44">
        <v>-0.29522297387905666</v>
      </c>
      <c r="DS44">
        <v>-5.4728014836495621E-2</v>
      </c>
      <c r="DT44" s="10">
        <v>5.9999999999999908E-2</v>
      </c>
      <c r="DU44">
        <v>-0.3</v>
      </c>
      <c r="DV44">
        <v>-0.24000000000000007</v>
      </c>
      <c r="DW44">
        <v>-2.1276000000000002</v>
      </c>
      <c r="DX44">
        <v>0.26239999999999919</v>
      </c>
      <c r="DY44">
        <v>-2.01434224</v>
      </c>
      <c r="DZ44">
        <v>2305</v>
      </c>
      <c r="EA44">
        <v>-2.007872795146771</v>
      </c>
      <c r="EB44">
        <v>2</v>
      </c>
      <c r="EC44">
        <v>9.1413029577828542E-2</v>
      </c>
      <c r="ED44">
        <v>0.81328318129740695</v>
      </c>
      <c r="EE44" s="11">
        <v>-2.0499100000000001</v>
      </c>
      <c r="EF44">
        <v>-2.0499100000000001</v>
      </c>
      <c r="EG44">
        <v>15.112399999999999</v>
      </c>
      <c r="EH44" t="s">
        <v>1295</v>
      </c>
      <c r="EI44">
        <v>0</v>
      </c>
      <c r="EJ44">
        <v>0</v>
      </c>
      <c r="EK44" s="13">
        <v>45470</v>
      </c>
      <c r="EL44" s="14">
        <v>0.8</v>
      </c>
      <c r="EM44" s="14">
        <v>-4.96</v>
      </c>
      <c r="EN44" s="14">
        <v>0.83</v>
      </c>
      <c r="EO44" s="14">
        <v>2.82</v>
      </c>
      <c r="EP44" s="14">
        <v>0</v>
      </c>
    </row>
    <row r="45" spans="1:146" ht="108">
      <c r="A45" s="6"/>
      <c r="B45" s="6"/>
      <c r="C45" s="6" t="str">
        <f>""&amp;CHAR(10)&amp;Basic_Fundamental_Information_Constructure(F45)&amp;CHAR(10)&amp;Basic_Fundamental_Information_Concatenate("")</f>
        <v xml:space="preserve">
市值59.024898亿, 利润3.34亿; PE18.81; 平均PE22.23; 平均PEG1.73, PB1.85; ROIC3.56%; ROE9.8667%; 股利率1.7486%; 毛利9.3533%; 净利3.59%; 上一年度营收增2.37%, 利润增-5.11%; 当季营收增-.25%, 利润增-289.74%; 过往5年营收增12.86%, 利润增13.71%
Income profile:
</v>
      </c>
      <c r="D45" t="s">
        <v>619</v>
      </c>
      <c r="E45" t="s">
        <v>620</v>
      </c>
      <c r="F45">
        <v>9.15</v>
      </c>
      <c r="G45">
        <v>1.33</v>
      </c>
      <c r="H45" t="s">
        <v>3067</v>
      </c>
      <c r="I45">
        <v>5902489800</v>
      </c>
      <c r="J45">
        <v>18.809999999999999</v>
      </c>
      <c r="K45">
        <v>1.85</v>
      </c>
      <c r="L45" t="s">
        <v>361</v>
      </c>
      <c r="M45" t="s">
        <v>3068</v>
      </c>
      <c r="N45" t="s">
        <v>3069</v>
      </c>
      <c r="O45" t="s">
        <v>3070</v>
      </c>
      <c r="P45">
        <v>-0.11</v>
      </c>
      <c r="Q45" t="s">
        <v>3071</v>
      </c>
      <c r="R45">
        <v>-13142318</v>
      </c>
      <c r="S45" s="5">
        <v>-2.8969999999999998</v>
      </c>
      <c r="T45" t="s">
        <v>338</v>
      </c>
      <c r="U45">
        <v>639750030</v>
      </c>
      <c r="V45">
        <v>645080850</v>
      </c>
      <c r="W45">
        <v>3.78</v>
      </c>
      <c r="X45">
        <v>0.02</v>
      </c>
      <c r="Y45">
        <v>-4.3600000000000003</v>
      </c>
      <c r="Z45" t="s">
        <v>1949</v>
      </c>
      <c r="AA45" t="s">
        <v>1951</v>
      </c>
      <c r="AB45" t="s">
        <v>3072</v>
      </c>
      <c r="AC45" t="s">
        <v>3073</v>
      </c>
      <c r="AD45" t="s">
        <v>19</v>
      </c>
      <c r="AE45">
        <v>24617892</v>
      </c>
      <c r="AF45" t="s">
        <v>3074</v>
      </c>
      <c r="AG45" t="s">
        <v>3075</v>
      </c>
      <c r="AH45" t="s">
        <v>3076</v>
      </c>
      <c r="AI45" t="s">
        <v>3077</v>
      </c>
      <c r="AJ45" t="s">
        <v>3078</v>
      </c>
      <c r="AK45" t="s">
        <v>3079</v>
      </c>
      <c r="AL45" t="s">
        <v>3080</v>
      </c>
      <c r="AM45" t="s">
        <v>19</v>
      </c>
      <c r="AN45" t="s">
        <v>3081</v>
      </c>
      <c r="AO45" t="s">
        <v>1681</v>
      </c>
      <c r="AP45" t="s">
        <v>102</v>
      </c>
      <c r="AQ45" t="s">
        <v>3082</v>
      </c>
      <c r="AR45" t="s">
        <v>3083</v>
      </c>
      <c r="AS45" t="s">
        <v>3084</v>
      </c>
      <c r="AT45" t="s">
        <v>3085</v>
      </c>
      <c r="AU45" t="s">
        <v>1209</v>
      </c>
      <c r="AV45" t="s">
        <v>3086</v>
      </c>
      <c r="AW45" t="s">
        <v>3087</v>
      </c>
      <c r="AX45" t="s">
        <v>1659</v>
      </c>
      <c r="AY45" t="s">
        <v>1381</v>
      </c>
      <c r="AZ45" t="s">
        <v>621</v>
      </c>
      <c r="BA45" t="s">
        <v>623</v>
      </c>
      <c r="BB45" t="s">
        <v>624</v>
      </c>
      <c r="BC45" t="s">
        <v>220</v>
      </c>
      <c r="BD45" t="s">
        <v>123</v>
      </c>
      <c r="BE45" t="s">
        <v>79</v>
      </c>
      <c r="BF45" t="s">
        <v>64</v>
      </c>
      <c r="BG45" t="s">
        <v>95</v>
      </c>
      <c r="BH45" t="s">
        <v>3071</v>
      </c>
      <c r="BI45" t="s">
        <v>1177</v>
      </c>
      <c r="BJ45" t="s">
        <v>1659</v>
      </c>
      <c r="BK45" t="s">
        <v>338</v>
      </c>
      <c r="BL45" t="s">
        <v>3088</v>
      </c>
      <c r="BM45" t="s">
        <v>220</v>
      </c>
      <c r="BN45">
        <v>2.2999999999999998</v>
      </c>
      <c r="BO45">
        <v>4.46</v>
      </c>
      <c r="BP45">
        <v>3.92</v>
      </c>
      <c r="BQ45">
        <v>7.07</v>
      </c>
      <c r="BR45">
        <v>12.6</v>
      </c>
      <c r="BS45">
        <v>9.93</v>
      </c>
      <c r="BT45" t="s">
        <v>1581</v>
      </c>
      <c r="BU45" t="s">
        <v>1342</v>
      </c>
      <c r="BV45">
        <v>8.8000000000000007</v>
      </c>
      <c r="BW45">
        <v>11.32</v>
      </c>
      <c r="BX45">
        <v>7.94</v>
      </c>
      <c r="BY45">
        <v>4.1399999999999997</v>
      </c>
      <c r="BZ45">
        <v>4.3899999999999997</v>
      </c>
      <c r="CA45">
        <v>2.2400000000000002</v>
      </c>
      <c r="CB45">
        <v>-8.32</v>
      </c>
      <c r="CC45">
        <v>-20.37</v>
      </c>
      <c r="CD45" t="s">
        <v>3089</v>
      </c>
      <c r="CE45" t="s">
        <v>146</v>
      </c>
      <c r="CF45" s="8">
        <v>-2.5062656641604009E-3</v>
      </c>
      <c r="CG45" s="9">
        <v>-2.8973692720815407</v>
      </c>
      <c r="CH45" s="8">
        <v>2.3655954748392105E-2</v>
      </c>
      <c r="CI45" s="8">
        <v>-0.31959030032157898</v>
      </c>
      <c r="CJ45" s="8">
        <v>0.62739884853363037</v>
      </c>
      <c r="CK45" s="8">
        <v>0.19963027536869049</v>
      </c>
      <c r="CL45" s="8">
        <v>0.11212857067584991</v>
      </c>
      <c r="CM45" s="9">
        <v>-5.1136363297700882E-2</v>
      </c>
      <c r="CN45" s="9">
        <v>0.39130434393882751</v>
      </c>
      <c r="CO45" s="9">
        <v>1.2000000476837158</v>
      </c>
      <c r="CP45" s="9">
        <v>-0.38172042369842529</v>
      </c>
      <c r="CQ45" s="9">
        <v>-0.47308781743049622</v>
      </c>
      <c r="CR45">
        <v>22.2316</v>
      </c>
      <c r="CS45">
        <v>1.728140002566025</v>
      </c>
      <c r="CT45">
        <v>1.7486338797814207</v>
      </c>
      <c r="CU45" s="8">
        <v>0.12864466980099679</v>
      </c>
      <c r="CV45" s="9">
        <v>0.13707195743918418</v>
      </c>
      <c r="CW45">
        <v>0.06</v>
      </c>
      <c r="CX45">
        <v>44.359333856068716</v>
      </c>
      <c r="CY45">
        <v>355629546.89955932</v>
      </c>
      <c r="CZ45">
        <v>0.12864466980099679</v>
      </c>
      <c r="DA45">
        <v>14.031559590545211</v>
      </c>
      <c r="DB45">
        <v>1124286270.4036043</v>
      </c>
      <c r="DC45">
        <v>0.12221243631094694</v>
      </c>
      <c r="DD45">
        <v>6.6087817950617085</v>
      </c>
      <c r="DE45">
        <v>2387049578.757154</v>
      </c>
      <c r="DF45">
        <v>0.11320730942487717</v>
      </c>
      <c r="DG45">
        <v>3.7723995086140643</v>
      </c>
      <c r="DH45">
        <v>4181818432.5328078</v>
      </c>
      <c r="DI45">
        <v>0.10291573584079744</v>
      </c>
      <c r="DJ45">
        <v>1.7381897414317751</v>
      </c>
      <c r="DK45">
        <v>9075815731.7195263</v>
      </c>
      <c r="DL45">
        <v>9.0051268860697739E-2</v>
      </c>
      <c r="DM45">
        <v>334000000</v>
      </c>
      <c r="DN45">
        <v>0.12864466980099679</v>
      </c>
      <c r="DO45">
        <v>15775489800</v>
      </c>
      <c r="DP45">
        <v>1471843700</v>
      </c>
      <c r="DQ45">
        <v>1403</v>
      </c>
      <c r="DR45">
        <v>-0.13115093546515719</v>
      </c>
      <c r="DS45">
        <v>-3.0344412295207248</v>
      </c>
      <c r="DT45" s="10">
        <v>-0.20666666666666669</v>
      </c>
      <c r="DU45">
        <v>-0.69833333333333336</v>
      </c>
      <c r="DV45">
        <v>-0.90500000000000003</v>
      </c>
      <c r="DW45">
        <v>-9.4084437898870892</v>
      </c>
      <c r="DX45">
        <v>0.36552824858757094</v>
      </c>
      <c r="DY45">
        <v>-9.0880311746808342</v>
      </c>
      <c r="DZ45">
        <v>3465</v>
      </c>
      <c r="EA45">
        <v>-9.0283388028082143</v>
      </c>
      <c r="EB45">
        <v>9</v>
      </c>
      <c r="EC45">
        <v>5.9137548417380552E-2</v>
      </c>
      <c r="ED45">
        <v>0.2743842109093767</v>
      </c>
      <c r="EE45" s="11">
        <v>-1.01231</v>
      </c>
      <c r="EF45">
        <v>-1.02521</v>
      </c>
      <c r="EG45">
        <v>15.215528248587571</v>
      </c>
      <c r="EH45" t="s">
        <v>1265</v>
      </c>
      <c r="EI45">
        <v>0</v>
      </c>
      <c r="EJ45">
        <v>0</v>
      </c>
      <c r="EK45" s="13">
        <v>45470</v>
      </c>
      <c r="EL45" s="14">
        <v>2.96</v>
      </c>
      <c r="EM45" s="14">
        <v>-3.93</v>
      </c>
      <c r="EN45" s="14">
        <v>-1.2</v>
      </c>
      <c r="EO45" s="14">
        <v>1.82</v>
      </c>
      <c r="EP45" s="14">
        <v>-1.29</v>
      </c>
    </row>
    <row r="46" spans="1:146" ht="108">
      <c r="A46" s="6"/>
      <c r="B46" s="6"/>
      <c r="C46" s="6" t="str">
        <f>""&amp;CHAR(10)&amp;Basic_Fundamental_Information_Constructure(F46)&amp;CHAR(10)&amp;Basic_Fundamental_Information_Concatenate("")</f>
        <v xml:space="preserve">
市值17.996531亿, 利润1.61亿; PE11.23; 平均PE13.28; 平均PEG.76, PB1.22; ROIC7.42%; ROE8.13%; 股利率8.7146%; 毛利27.4367%; 净利8.34%; 上一年度营收增-17.42%, 利润增43.75%; 当季营收增-10.89%, 利润增-25.13%; 过往5年营收增17.37%, 利润增9.25%
Income profile:
</v>
      </c>
      <c r="D46" t="s">
        <v>625</v>
      </c>
      <c r="E46" t="s">
        <v>626</v>
      </c>
      <c r="F46">
        <v>9.18</v>
      </c>
      <c r="G46">
        <v>0.77</v>
      </c>
      <c r="H46" t="s">
        <v>3090</v>
      </c>
      <c r="I46">
        <v>1799653100</v>
      </c>
      <c r="J46">
        <v>11.23</v>
      </c>
      <c r="K46">
        <v>1.22</v>
      </c>
      <c r="L46" t="s">
        <v>361</v>
      </c>
      <c r="M46" t="s">
        <v>3091</v>
      </c>
      <c r="N46" t="s">
        <v>1896</v>
      </c>
      <c r="O46" t="s">
        <v>166</v>
      </c>
      <c r="P46">
        <v>-11.11</v>
      </c>
      <c r="Q46" t="s">
        <v>1857</v>
      </c>
      <c r="R46">
        <v>3103282</v>
      </c>
      <c r="S46" s="5">
        <v>-0.25130000000000002</v>
      </c>
      <c r="T46" t="s">
        <v>49</v>
      </c>
      <c r="U46">
        <v>149538770</v>
      </c>
      <c r="V46">
        <v>196040640</v>
      </c>
      <c r="W46">
        <v>1.89</v>
      </c>
      <c r="X46">
        <v>7.0000000000000007E-2</v>
      </c>
      <c r="Y46">
        <v>1.1100000000000001</v>
      </c>
      <c r="Z46" t="s">
        <v>1456</v>
      </c>
      <c r="AA46" t="s">
        <v>176</v>
      </c>
      <c r="AB46" t="s">
        <v>3092</v>
      </c>
      <c r="AC46" t="s">
        <v>3093</v>
      </c>
      <c r="AD46" t="s">
        <v>19</v>
      </c>
      <c r="AE46">
        <v>-2329835</v>
      </c>
      <c r="AF46" t="s">
        <v>3094</v>
      </c>
      <c r="AG46" t="s">
        <v>3095</v>
      </c>
      <c r="AH46" t="s">
        <v>3096</v>
      </c>
      <c r="AI46" t="s">
        <v>1148</v>
      </c>
      <c r="AJ46" t="s">
        <v>3097</v>
      </c>
      <c r="AK46" t="s">
        <v>3098</v>
      </c>
      <c r="AL46" t="s">
        <v>3099</v>
      </c>
      <c r="AM46" t="s">
        <v>19</v>
      </c>
      <c r="AN46" t="s">
        <v>73</v>
      </c>
      <c r="AO46" t="s">
        <v>3100</v>
      </c>
      <c r="AP46" t="s">
        <v>19</v>
      </c>
      <c r="AQ46" t="s">
        <v>323</v>
      </c>
      <c r="AR46" t="s">
        <v>19</v>
      </c>
      <c r="AS46" t="s">
        <v>295</v>
      </c>
      <c r="AT46" t="s">
        <v>19</v>
      </c>
      <c r="AU46" t="s">
        <v>3101</v>
      </c>
      <c r="AV46" t="s">
        <v>3102</v>
      </c>
      <c r="AW46" t="s">
        <v>3103</v>
      </c>
      <c r="AX46" t="s">
        <v>84</v>
      </c>
      <c r="AY46" t="s">
        <v>1382</v>
      </c>
      <c r="AZ46" t="s">
        <v>627</v>
      </c>
      <c r="BA46" t="s">
        <v>522</v>
      </c>
      <c r="BB46" t="s">
        <v>527</v>
      </c>
      <c r="BC46" t="s">
        <v>55</v>
      </c>
      <c r="BD46" t="s">
        <v>39</v>
      </c>
      <c r="BE46" t="s">
        <v>207</v>
      </c>
      <c r="BF46" t="s">
        <v>37</v>
      </c>
      <c r="BG46" t="s">
        <v>51</v>
      </c>
      <c r="BH46" t="s">
        <v>1857</v>
      </c>
      <c r="BI46" t="s">
        <v>1487</v>
      </c>
      <c r="BJ46" t="s">
        <v>84</v>
      </c>
      <c r="BK46" t="s">
        <v>49</v>
      </c>
      <c r="BL46" t="s">
        <v>3104</v>
      </c>
      <c r="BM46" t="s">
        <v>55</v>
      </c>
      <c r="BN46">
        <v>7.57</v>
      </c>
      <c r="BO46">
        <v>7.61</v>
      </c>
      <c r="BP46">
        <v>7.08</v>
      </c>
      <c r="BQ46">
        <v>9.18</v>
      </c>
      <c r="BR46">
        <v>7.73</v>
      </c>
      <c r="BS46">
        <v>7.48</v>
      </c>
      <c r="BT46" t="s">
        <v>3105</v>
      </c>
      <c r="BU46" t="s">
        <v>1234</v>
      </c>
      <c r="BV46">
        <v>32.22</v>
      </c>
      <c r="BW46">
        <v>29.21</v>
      </c>
      <c r="BX46">
        <v>20.88</v>
      </c>
      <c r="BY46">
        <v>12.56</v>
      </c>
      <c r="BZ46">
        <v>7.92</v>
      </c>
      <c r="CA46">
        <v>4.54</v>
      </c>
      <c r="CB46">
        <v>-2.44</v>
      </c>
      <c r="CC46">
        <v>-23.44</v>
      </c>
      <c r="CD46" t="s">
        <v>3106</v>
      </c>
      <c r="CE46" t="s">
        <v>3107</v>
      </c>
      <c r="CF46" s="8">
        <v>-0.10894941634241234</v>
      </c>
      <c r="CG46" s="9">
        <v>-0.25128305346458213</v>
      </c>
      <c r="CH46" s="8">
        <v>-0.17424650490283966</v>
      </c>
      <c r="CI46" s="8">
        <v>-0.36543813347816467</v>
      </c>
      <c r="CJ46" s="8">
        <v>0.51847940683364868</v>
      </c>
      <c r="CK46" s="8">
        <v>0.58493715524673462</v>
      </c>
      <c r="CL46" s="8">
        <v>0.30458521842956543</v>
      </c>
      <c r="CM46" s="9">
        <v>0.4375</v>
      </c>
      <c r="CN46" s="9">
        <v>6.6666670143604279E-2</v>
      </c>
      <c r="CO46" s="9">
        <v>-0.39306357502937317</v>
      </c>
      <c r="CP46" s="9">
        <v>0.27205881476402283</v>
      </c>
      <c r="CQ46" s="9">
        <v>7.9365082085132599E-2</v>
      </c>
      <c r="CR46">
        <v>13.281572693726938</v>
      </c>
      <c r="CS46">
        <v>0.76478811999283525</v>
      </c>
      <c r="CT46">
        <v>8.7145969498910674</v>
      </c>
      <c r="CU46" s="8">
        <v>0.17366342842578888</v>
      </c>
      <c r="CV46" s="9">
        <v>9.250539839267731E-2</v>
      </c>
      <c r="CW46">
        <v>0.06</v>
      </c>
      <c r="CX46">
        <v>9.6915437565488638</v>
      </c>
      <c r="CY46">
        <v>178263973.56278491</v>
      </c>
      <c r="CZ46">
        <v>0.17366342842578888</v>
      </c>
      <c r="DA46">
        <v>2.9525275338066672</v>
      </c>
      <c r="DB46">
        <v>585143772.65520442</v>
      </c>
      <c r="DC46">
        <v>0.16498025700449942</v>
      </c>
      <c r="DD46">
        <v>1.3195511153343618</v>
      </c>
      <c r="DE46">
        <v>1309273342.9748409</v>
      </c>
      <c r="DF46">
        <v>0.15282381701469422</v>
      </c>
      <c r="DG46">
        <v>0.70774475168410789</v>
      </c>
      <c r="DH46">
        <v>2441068048.7407045</v>
      </c>
      <c r="DI46">
        <v>0.13893074274063111</v>
      </c>
      <c r="DJ46">
        <v>0.28144008583285957</v>
      </c>
      <c r="DK46">
        <v>6138617727.0639801</v>
      </c>
      <c r="DL46">
        <v>0.12156439989805221</v>
      </c>
      <c r="DM46">
        <v>161000000</v>
      </c>
      <c r="DN46">
        <v>0.17366342842578888</v>
      </c>
      <c r="DO46">
        <v>1727653099.9999998</v>
      </c>
      <c r="DP46">
        <v>768675400.00000012</v>
      </c>
      <c r="DQ46">
        <v>1410</v>
      </c>
      <c r="DR46">
        <v>-0.28261284476820125</v>
      </c>
      <c r="DS46">
        <v>-0.34378845185725943</v>
      </c>
      <c r="DT46" s="10">
        <v>-0.40666666666666673</v>
      </c>
      <c r="DU46">
        <v>-7.0000000000000021E-2</v>
      </c>
      <c r="DV46">
        <v>-0.47666666666666674</v>
      </c>
      <c r="DW46">
        <v>-3.0841428571428571</v>
      </c>
      <c r="DX46">
        <v>0.26082385088433757</v>
      </c>
      <c r="DY46">
        <v>-3.007642178310125</v>
      </c>
      <c r="DZ46">
        <v>2848</v>
      </c>
      <c r="EA46">
        <v>-3.0033828977177111</v>
      </c>
      <c r="EB46">
        <v>3</v>
      </c>
      <c r="EC46">
        <v>4.2639118093064782E-2</v>
      </c>
      <c r="ED46">
        <v>0.46947051386896105</v>
      </c>
      <c r="EE46" s="11">
        <v>0.1067</v>
      </c>
      <c r="EF46">
        <v>9.5100000000000004E-2</v>
      </c>
      <c r="EG46">
        <v>17.090823850884338</v>
      </c>
      <c r="EH46" t="s">
        <v>1261</v>
      </c>
      <c r="EI46">
        <v>0</v>
      </c>
      <c r="EJ46">
        <v>0</v>
      </c>
      <c r="EK46" s="13">
        <v>45470</v>
      </c>
      <c r="EL46" s="14">
        <v>1.79</v>
      </c>
      <c r="EM46" s="14">
        <v>-5.18</v>
      </c>
      <c r="EN46" s="14">
        <v>0.66</v>
      </c>
      <c r="EO46" s="14">
        <v>2.71</v>
      </c>
      <c r="EP46" s="14">
        <v>-1.1599999999999999</v>
      </c>
    </row>
    <row r="47" spans="1:146" ht="108">
      <c r="A47" s="6"/>
      <c r="B47" s="6"/>
      <c r="C47" s="6" t="str">
        <f>""&amp;CHAR(10)&amp;Basic_Fundamental_Information_Constructure(F47)&amp;CHAR(10)&amp;Basic_Fundamental_Information_Concatenate("")</f>
        <v xml:space="preserve">
市值14.990885亿, 利润1780.73万; PE70.15; 平均PE29.5; 平均PEG20.44, PB.978; ROIC.85%; ROE-2.7333%; 股利率0%; 毛利28.8033%; 净利-11.12%; 上一年度营收增32.19%, 利润增111.41%; 当季营收增-21.74%, 利润增197.91%; 过往5年营收增-1.44%, 利润增-257.04%
Income profile:
</v>
      </c>
      <c r="D47" t="s">
        <v>629</v>
      </c>
      <c r="E47" t="s">
        <v>630</v>
      </c>
      <c r="F47">
        <v>9.9700000000000006</v>
      </c>
      <c r="G47">
        <v>1.94</v>
      </c>
      <c r="H47" t="s">
        <v>3108</v>
      </c>
      <c r="I47">
        <v>1499088500</v>
      </c>
      <c r="J47">
        <v>70.150000000000006</v>
      </c>
      <c r="K47">
        <v>0.97799999999999998</v>
      </c>
      <c r="L47" t="s">
        <v>361</v>
      </c>
      <c r="M47" t="s">
        <v>1652</v>
      </c>
      <c r="N47" t="s">
        <v>3109</v>
      </c>
      <c r="O47" t="s">
        <v>131</v>
      </c>
      <c r="P47">
        <v>-21.69</v>
      </c>
      <c r="Q47" t="s">
        <v>3110</v>
      </c>
      <c r="R47">
        <v>5360674</v>
      </c>
      <c r="S47" s="5">
        <v>1.9790000000000001</v>
      </c>
      <c r="T47" t="s">
        <v>3111</v>
      </c>
      <c r="U47">
        <v>122994048</v>
      </c>
      <c r="V47">
        <v>150359930</v>
      </c>
      <c r="W47">
        <v>1.32</v>
      </c>
      <c r="X47">
        <v>7.0000000000000007E-2</v>
      </c>
      <c r="Y47">
        <v>3.67</v>
      </c>
      <c r="Z47" t="s">
        <v>234</v>
      </c>
      <c r="AA47" t="s">
        <v>3112</v>
      </c>
      <c r="AB47" t="s">
        <v>3113</v>
      </c>
      <c r="AC47" t="s">
        <v>3114</v>
      </c>
      <c r="AD47" t="s">
        <v>19</v>
      </c>
      <c r="AE47">
        <v>313004</v>
      </c>
      <c r="AF47" t="s">
        <v>3115</v>
      </c>
      <c r="AG47" t="s">
        <v>19</v>
      </c>
      <c r="AH47" t="s">
        <v>3116</v>
      </c>
      <c r="AI47" t="s">
        <v>3117</v>
      </c>
      <c r="AJ47" t="s">
        <v>3118</v>
      </c>
      <c r="AK47" t="s">
        <v>3119</v>
      </c>
      <c r="AL47" t="s">
        <v>3120</v>
      </c>
      <c r="AM47" t="s">
        <v>19</v>
      </c>
      <c r="AN47">
        <v>0</v>
      </c>
      <c r="AO47" t="s">
        <v>19</v>
      </c>
      <c r="AP47" t="s">
        <v>171</v>
      </c>
      <c r="AQ47" t="s">
        <v>1253</v>
      </c>
      <c r="AR47" t="s">
        <v>19</v>
      </c>
      <c r="AS47" t="s">
        <v>1885</v>
      </c>
      <c r="AT47" t="s">
        <v>19</v>
      </c>
      <c r="AU47" t="s">
        <v>3121</v>
      </c>
      <c r="AV47" t="s">
        <v>1922</v>
      </c>
      <c r="AW47" t="s">
        <v>3122</v>
      </c>
      <c r="AX47" t="s">
        <v>582</v>
      </c>
      <c r="AY47" t="s">
        <v>1383</v>
      </c>
      <c r="AZ47" t="s">
        <v>345</v>
      </c>
      <c r="BA47" t="s">
        <v>227</v>
      </c>
      <c r="BB47" t="s">
        <v>632</v>
      </c>
      <c r="BC47" t="s">
        <v>1494</v>
      </c>
      <c r="BD47" t="s">
        <v>1146</v>
      </c>
      <c r="BE47" t="s">
        <v>631</v>
      </c>
      <c r="BF47" t="s">
        <v>634</v>
      </c>
      <c r="BG47" t="s">
        <v>40</v>
      </c>
      <c r="BH47" t="s">
        <v>3110</v>
      </c>
      <c r="BI47" t="s">
        <v>675</v>
      </c>
      <c r="BJ47" t="s">
        <v>582</v>
      </c>
      <c r="BK47" t="s">
        <v>3111</v>
      </c>
      <c r="BL47" t="s">
        <v>3123</v>
      </c>
      <c r="BM47" t="s">
        <v>1494</v>
      </c>
      <c r="BN47">
        <v>0.84</v>
      </c>
      <c r="BO47" t="s">
        <v>19</v>
      </c>
      <c r="BP47">
        <v>0.86</v>
      </c>
      <c r="BQ47">
        <v>0.83</v>
      </c>
      <c r="BR47">
        <v>-9.83</v>
      </c>
      <c r="BS47">
        <v>0.8</v>
      </c>
      <c r="BT47" t="s">
        <v>1571</v>
      </c>
      <c r="BU47" t="s">
        <v>1334</v>
      </c>
      <c r="BV47">
        <v>36.369999999999997</v>
      </c>
      <c r="BW47">
        <v>18.62</v>
      </c>
      <c r="BX47">
        <v>31.42</v>
      </c>
      <c r="BY47">
        <v>3.29</v>
      </c>
      <c r="BZ47">
        <v>-38.340000000000003</v>
      </c>
      <c r="CA47">
        <v>1.69</v>
      </c>
      <c r="CB47">
        <v>-2.54</v>
      </c>
      <c r="CC47">
        <v>-12</v>
      </c>
      <c r="CD47" t="s">
        <v>3124</v>
      </c>
      <c r="CE47" t="s">
        <v>42</v>
      </c>
      <c r="CF47" s="8">
        <v>-0.21739130434782608</v>
      </c>
      <c r="CG47" s="9">
        <v>1.9791452706457708</v>
      </c>
      <c r="CH47" s="8">
        <v>0.32186731696128845</v>
      </c>
      <c r="CI47" s="8">
        <v>-0.48350253701210022</v>
      </c>
      <c r="CJ47" s="8">
        <v>0.31772574782371521</v>
      </c>
      <c r="CK47" s="8">
        <v>-0.48314604163169861</v>
      </c>
      <c r="CL47" s="8">
        <v>0.2548806369304657</v>
      </c>
      <c r="CM47" s="9">
        <v>1.1141493320465088</v>
      </c>
      <c r="CN47" s="9">
        <v>-12.738237380981445</v>
      </c>
      <c r="CO47" s="9">
        <v>-0.6891295313835144</v>
      </c>
      <c r="CP47" s="9">
        <v>-0.80208057165145874</v>
      </c>
      <c r="CQ47" s="9">
        <v>0.26315790414810181</v>
      </c>
      <c r="CR47">
        <v>29.504989046993288</v>
      </c>
      <c r="CS47">
        <v>20.439930279543187</v>
      </c>
      <c r="CT47">
        <v>0</v>
      </c>
      <c r="CU47" s="8">
        <v>-1.4434975385665894E-2</v>
      </c>
      <c r="CV47" s="9">
        <v>-2.5704280495643617</v>
      </c>
      <c r="CW47">
        <v>0.06</v>
      </c>
      <c r="CX47">
        <v>27.24099105423057</v>
      </c>
      <c r="CY47" t="s">
        <v>3125</v>
      </c>
      <c r="CZ47">
        <v>-1.4434975385665894E-2</v>
      </c>
      <c r="DA47">
        <v>9.0803303514101898</v>
      </c>
      <c r="DB47" t="s">
        <v>3126</v>
      </c>
      <c r="DC47">
        <v>-1.37132266163826E-2</v>
      </c>
      <c r="DD47">
        <v>4.5401651757050949</v>
      </c>
      <c r="DE47" t="s">
        <v>3127</v>
      </c>
      <c r="DF47">
        <v>-1.2702778339385988E-2</v>
      </c>
      <c r="DG47">
        <v>2.7240991054230568</v>
      </c>
      <c r="DH47" t="s">
        <v>3128</v>
      </c>
      <c r="DI47">
        <v>-1.1547980308532716E-2</v>
      </c>
      <c r="DJ47">
        <v>1.3620495527115284</v>
      </c>
      <c r="DK47" t="s">
        <v>3129</v>
      </c>
      <c r="DL47">
        <v>-1.0104482769966125E-2</v>
      </c>
      <c r="DM47">
        <v>17807300</v>
      </c>
      <c r="DN47">
        <v>-1.4434975385665894E-2</v>
      </c>
      <c r="DO47">
        <v>485088500</v>
      </c>
      <c r="DP47">
        <v>1058859400</v>
      </c>
      <c r="DQ47">
        <v>1423</v>
      </c>
      <c r="DR47">
        <v>-0.20295632896216018</v>
      </c>
      <c r="DS47">
        <v>4.5495733202101327</v>
      </c>
      <c r="DT47" s="10">
        <v>-0.3066666666666667</v>
      </c>
      <c r="DU47">
        <v>-1.2233333333333334</v>
      </c>
      <c r="DV47">
        <v>-1.53</v>
      </c>
      <c r="DW47">
        <v>-8.211666666666666</v>
      </c>
      <c r="DX47">
        <v>0.29637031249999951</v>
      </c>
      <c r="DY47">
        <v>-8.0203983828125001</v>
      </c>
      <c r="DZ47">
        <v>4042</v>
      </c>
      <c r="EA47">
        <v>-8.00426330192637</v>
      </c>
      <c r="EB47">
        <v>8</v>
      </c>
      <c r="EC47">
        <v>8.2039144338521566E-2</v>
      </c>
      <c r="ED47">
        <v>0.85129063308289654</v>
      </c>
      <c r="EE47" s="11">
        <v>2.981E-2</v>
      </c>
      <c r="EF47">
        <v>3.3710000000000004E-2</v>
      </c>
      <c r="EG47">
        <v>20.096370312499999</v>
      </c>
      <c r="EH47">
        <v>-1</v>
      </c>
      <c r="EI47">
        <v>0</v>
      </c>
      <c r="EJ47">
        <v>0</v>
      </c>
      <c r="EK47" s="13">
        <v>45470</v>
      </c>
      <c r="EL47" s="14">
        <v>-0.38</v>
      </c>
      <c r="EM47" s="14">
        <v>-6.26</v>
      </c>
      <c r="EN47" s="14">
        <v>0.82</v>
      </c>
      <c r="EO47" s="14">
        <v>4.6900000000000004</v>
      </c>
      <c r="EP47" s="14">
        <v>-0.39</v>
      </c>
    </row>
    <row r="48" spans="1:146" ht="108">
      <c r="A48" s="6"/>
      <c r="B48" s="6"/>
      <c r="C48" s="6" t="str">
        <f>""&amp;CHAR(10)&amp;Basic_Fundamental_Information_Constructure(F48)&amp;CHAR(10)&amp;Basic_Fundamental_Information_Concatenate("")</f>
        <v xml:space="preserve">
市值28.472251亿, 利润833.53万; PE; 平均PE26.07; 平均PEG424.25, PB1.84; ROIC3.7067%; ROE4.25%; 股利率0%; 毛利12.5233%; 净利2.87%; 上一年度营收增-58.71%, 利润增-87.62%; 当季营收增-56.58%, 利润增-123.58%; 过往5年营收增.06%, 利润增-16.2%
Income profile:
</v>
      </c>
      <c r="D48" t="s">
        <v>635</v>
      </c>
      <c r="E48" t="s">
        <v>636</v>
      </c>
      <c r="F48">
        <v>15.67</v>
      </c>
      <c r="G48">
        <v>0.57999999999999996</v>
      </c>
      <c r="H48" t="s">
        <v>3130</v>
      </c>
      <c r="I48">
        <v>2847225100</v>
      </c>
      <c r="K48">
        <v>1.84</v>
      </c>
      <c r="L48" t="s">
        <v>361</v>
      </c>
      <c r="M48" t="s">
        <v>2735</v>
      </c>
      <c r="N48" t="s">
        <v>3131</v>
      </c>
      <c r="O48" t="s">
        <v>3132</v>
      </c>
      <c r="P48">
        <v>-56.65</v>
      </c>
      <c r="Q48" t="s">
        <v>3133</v>
      </c>
      <c r="R48">
        <v>-7424103</v>
      </c>
      <c r="S48" s="5">
        <v>-1.236</v>
      </c>
      <c r="T48" t="s">
        <v>3134</v>
      </c>
      <c r="U48">
        <v>165784110</v>
      </c>
      <c r="V48">
        <v>181699110</v>
      </c>
      <c r="W48">
        <v>1.69</v>
      </c>
      <c r="X48">
        <v>0.03</v>
      </c>
      <c r="Y48">
        <v>-8.3800000000000008</v>
      </c>
      <c r="Z48" t="s">
        <v>58</v>
      </c>
      <c r="AA48" t="s">
        <v>3135</v>
      </c>
      <c r="AB48" t="s">
        <v>3136</v>
      </c>
      <c r="AC48" t="s">
        <v>3137</v>
      </c>
      <c r="AD48" t="s">
        <v>19</v>
      </c>
      <c r="AE48">
        <v>4483379</v>
      </c>
      <c r="AF48" t="s">
        <v>3138</v>
      </c>
      <c r="AG48" t="s">
        <v>19</v>
      </c>
      <c r="AH48" t="s">
        <v>3139</v>
      </c>
      <c r="AI48" t="s">
        <v>1068</v>
      </c>
      <c r="AJ48" t="s">
        <v>20</v>
      </c>
      <c r="AK48" t="s">
        <v>19</v>
      </c>
      <c r="AL48" t="s">
        <v>3140</v>
      </c>
      <c r="AM48" t="s">
        <v>19</v>
      </c>
      <c r="AN48">
        <v>0</v>
      </c>
      <c r="AO48" t="s">
        <v>19</v>
      </c>
      <c r="AP48" t="s">
        <v>218</v>
      </c>
      <c r="AQ48" t="s">
        <v>94</v>
      </c>
      <c r="AR48" t="s">
        <v>19</v>
      </c>
      <c r="AS48" t="s">
        <v>188</v>
      </c>
      <c r="AT48" t="s">
        <v>19</v>
      </c>
      <c r="AU48" t="s">
        <v>3141</v>
      </c>
      <c r="AV48" t="s">
        <v>3142</v>
      </c>
      <c r="AW48" t="s">
        <v>3143</v>
      </c>
      <c r="AX48" t="s">
        <v>1492</v>
      </c>
      <c r="AY48" t="s">
        <v>1384</v>
      </c>
      <c r="AZ48" t="s">
        <v>286</v>
      </c>
      <c r="BA48" t="s">
        <v>242</v>
      </c>
      <c r="BB48" t="s">
        <v>638</v>
      </c>
      <c r="BC48" t="s">
        <v>1662</v>
      </c>
      <c r="BD48" t="s">
        <v>63</v>
      </c>
      <c r="BE48" t="s">
        <v>176</v>
      </c>
      <c r="BF48" t="s">
        <v>77</v>
      </c>
      <c r="BG48" t="s">
        <v>639</v>
      </c>
      <c r="BH48" t="s">
        <v>3133</v>
      </c>
      <c r="BI48" t="s">
        <v>1902</v>
      </c>
      <c r="BJ48" t="s">
        <v>1492</v>
      </c>
      <c r="BK48" t="s">
        <v>3134</v>
      </c>
      <c r="BL48" t="s">
        <v>3144</v>
      </c>
      <c r="BM48" t="s">
        <v>1662</v>
      </c>
      <c r="BN48">
        <v>2.12</v>
      </c>
      <c r="BO48">
        <v>3.73</v>
      </c>
      <c r="BP48">
        <v>5.27</v>
      </c>
      <c r="BQ48">
        <v>2.31</v>
      </c>
      <c r="BR48">
        <v>3.84</v>
      </c>
      <c r="BS48">
        <v>6.6</v>
      </c>
      <c r="BT48" t="s">
        <v>1571</v>
      </c>
      <c r="BU48" t="s">
        <v>1334</v>
      </c>
      <c r="BV48">
        <v>9.5500000000000007</v>
      </c>
      <c r="BW48">
        <v>13.93</v>
      </c>
      <c r="BX48">
        <v>14.09</v>
      </c>
      <c r="BY48">
        <v>1.01</v>
      </c>
      <c r="BZ48">
        <v>3.38</v>
      </c>
      <c r="CA48">
        <v>4.22</v>
      </c>
      <c r="CB48">
        <v>3.02</v>
      </c>
      <c r="CC48">
        <v>-17</v>
      </c>
      <c r="CD48" t="s">
        <v>3145</v>
      </c>
      <c r="CE48" t="s">
        <v>3146</v>
      </c>
      <c r="CF48" s="8">
        <v>-0.56578186274509801</v>
      </c>
      <c r="CG48" s="9">
        <v>-1.2357531675716871</v>
      </c>
      <c r="CH48" s="8">
        <v>-0.58705466985702515</v>
      </c>
      <c r="CI48" s="8">
        <v>-0.22360736131668091</v>
      </c>
      <c r="CJ48" s="8">
        <v>7.7977700857445598E-4</v>
      </c>
      <c r="CK48" s="8">
        <v>9.6153818070888519E-2</v>
      </c>
      <c r="CL48" s="8">
        <v>0.71680110692977905</v>
      </c>
      <c r="CM48" s="9">
        <v>-0.87623846530914307</v>
      </c>
      <c r="CN48" s="9">
        <v>-0.3763917088508606</v>
      </c>
      <c r="CO48" s="9">
        <v>-0.4285714328289032</v>
      </c>
      <c r="CP48" s="9">
        <v>3.2786883413791656E-2</v>
      </c>
      <c r="CQ48" s="9">
        <v>0.83818179368972778</v>
      </c>
      <c r="CR48">
        <v>26.071902214746078</v>
      </c>
      <c r="CS48">
        <v>424.25472187290598</v>
      </c>
      <c r="CT48">
        <v>0</v>
      </c>
      <c r="CU48" s="8">
        <v>6.1453416710719464E-4</v>
      </c>
      <c r="CV48" s="9">
        <v>-0.1620465859770775</v>
      </c>
      <c r="CW48">
        <v>0.06</v>
      </c>
      <c r="CX48">
        <v>316.23321969854817</v>
      </c>
      <c r="CY48">
        <v>7868322.9496632908</v>
      </c>
      <c r="CZ48">
        <v>6.1453416710719464E-4</v>
      </c>
      <c r="DA48">
        <v>111.55020734597507</v>
      </c>
      <c r="DB48">
        <v>22305876.064243637</v>
      </c>
      <c r="DC48">
        <v>5.838074587518349E-4</v>
      </c>
      <c r="DD48">
        <v>60.597878438131836</v>
      </c>
      <c r="DE48">
        <v>41061257.656740978</v>
      </c>
      <c r="DF48">
        <v>5.4079006705433125E-4</v>
      </c>
      <c r="DG48">
        <v>40.458806233288584</v>
      </c>
      <c r="DH48">
        <v>61500210.501830012</v>
      </c>
      <c r="DI48">
        <v>4.9162733368575569E-4</v>
      </c>
      <c r="DJ48">
        <v>25.929817502575943</v>
      </c>
      <c r="DK48">
        <v>95959992.767122731</v>
      </c>
      <c r="DL48">
        <v>4.3017391697503622E-4</v>
      </c>
      <c r="DM48">
        <v>8335300</v>
      </c>
      <c r="DN48">
        <v>6.1453416710719464E-4</v>
      </c>
      <c r="DO48">
        <v>2488225100</v>
      </c>
      <c r="DP48">
        <v>1503323000</v>
      </c>
      <c r="DQ48">
        <v>1447</v>
      </c>
      <c r="DR48">
        <v>-0.56639639691220522</v>
      </c>
      <c r="DS48">
        <v>-1.0737065815946096</v>
      </c>
      <c r="DT48" s="10">
        <v>-0.55666666666666675</v>
      </c>
      <c r="DU48">
        <v>-1.3149999999999999</v>
      </c>
      <c r="DV48">
        <v>-1.8716666666666666</v>
      </c>
      <c r="DW48">
        <v>6.150849150849151</v>
      </c>
      <c r="DX48">
        <v>0.25836668103315141</v>
      </c>
      <c r="DY48">
        <v>6.019364004831175</v>
      </c>
      <c r="DZ48">
        <v>4311</v>
      </c>
      <c r="EA48">
        <v>6.0030277573111759</v>
      </c>
      <c r="EB48">
        <v>6</v>
      </c>
      <c r="EC48">
        <v>5.7856640024268692E-2</v>
      </c>
      <c r="ED48">
        <v>0.45071382022729778</v>
      </c>
      <c r="EE48" s="11">
        <v>1.0524</v>
      </c>
      <c r="EF48">
        <v>1.0364</v>
      </c>
      <c r="EG48">
        <v>13.128366681033151</v>
      </c>
      <c r="EH48" t="s">
        <v>1262</v>
      </c>
      <c r="EI48">
        <v>0</v>
      </c>
      <c r="EJ48">
        <v>0</v>
      </c>
      <c r="EK48" s="13">
        <v>45470</v>
      </c>
      <c r="EL48" s="14">
        <v>2.87</v>
      </c>
      <c r="EM48" s="14">
        <v>-6.02</v>
      </c>
      <c r="EN48" s="14">
        <v>-0.2</v>
      </c>
      <c r="EO48" s="14">
        <v>3.64</v>
      </c>
      <c r="EP48" s="14">
        <v>-1.6</v>
      </c>
    </row>
    <row r="49" spans="1:146" ht="108">
      <c r="A49" s="6"/>
      <c r="B49" s="6"/>
      <c r="C49" s="6" t="str">
        <f>""&amp;CHAR(10)&amp;Basic_Fundamental_Information_Constructure(F49)&amp;CHAR(10)&amp;Basic_Fundamental_Information_Concatenate("")</f>
        <v xml:space="preserve">
市值21.696499亿, 利润1890.86万; PE66.43; 平均PE42.16; 平均PEG6.13, PB1.88; ROIC4.305%; ROE-.58%; 股利率.7045%; 毛利13.03%; 净利-2.4033%; 上一年度营收增2.12%, 利润增113.13%; 当季营收增-3.52%, 利润增142.46%; 过往5年营收增6.88%, 利润增-17.17%
Income profile:
</v>
      </c>
      <c r="D49" t="s">
        <v>641</v>
      </c>
      <c r="E49" t="s">
        <v>642</v>
      </c>
      <c r="F49">
        <v>17.12</v>
      </c>
      <c r="G49">
        <v>0.71</v>
      </c>
      <c r="H49" t="s">
        <v>3147</v>
      </c>
      <c r="I49">
        <v>2169649900</v>
      </c>
      <c r="J49">
        <v>66.430000000000007</v>
      </c>
      <c r="K49">
        <v>1.88</v>
      </c>
      <c r="L49" t="s">
        <v>361</v>
      </c>
      <c r="M49" t="s">
        <v>685</v>
      </c>
      <c r="N49" t="s">
        <v>1935</v>
      </c>
      <c r="O49" t="s">
        <v>174</v>
      </c>
      <c r="P49">
        <v>-3.95</v>
      </c>
      <c r="Q49" t="s">
        <v>527</v>
      </c>
      <c r="R49">
        <v>4098423</v>
      </c>
      <c r="S49" s="5">
        <v>1.425</v>
      </c>
      <c r="T49" t="s">
        <v>3148</v>
      </c>
      <c r="U49">
        <v>73171300</v>
      </c>
      <c r="V49">
        <v>126731886</v>
      </c>
      <c r="W49">
        <v>1.54</v>
      </c>
      <c r="X49">
        <v>7.0000000000000007E-2</v>
      </c>
      <c r="Y49">
        <v>2.65</v>
      </c>
      <c r="Z49" t="s">
        <v>37</v>
      </c>
      <c r="AA49" t="s">
        <v>151</v>
      </c>
      <c r="AB49" t="s">
        <v>3149</v>
      </c>
      <c r="AC49" t="s">
        <v>3150</v>
      </c>
      <c r="AD49" t="s">
        <v>19</v>
      </c>
      <c r="AE49">
        <v>366746</v>
      </c>
      <c r="AF49" t="s">
        <v>3151</v>
      </c>
      <c r="AG49" t="s">
        <v>3152</v>
      </c>
      <c r="AH49" t="s">
        <v>3153</v>
      </c>
      <c r="AI49" t="s">
        <v>1963</v>
      </c>
      <c r="AJ49" t="s">
        <v>3154</v>
      </c>
      <c r="AK49" t="s">
        <v>3155</v>
      </c>
      <c r="AL49" t="s">
        <v>3156</v>
      </c>
      <c r="AM49" t="s">
        <v>19</v>
      </c>
      <c r="AN49" t="s">
        <v>3157</v>
      </c>
      <c r="AO49" t="s">
        <v>3158</v>
      </c>
      <c r="AP49" t="s">
        <v>3159</v>
      </c>
      <c r="AQ49" t="s">
        <v>1411</v>
      </c>
      <c r="AR49" t="s">
        <v>19</v>
      </c>
      <c r="AS49" t="s">
        <v>272</v>
      </c>
      <c r="AT49" t="s">
        <v>19</v>
      </c>
      <c r="AU49" t="s">
        <v>3160</v>
      </c>
      <c r="AV49" t="s">
        <v>3161</v>
      </c>
      <c r="AW49" t="s">
        <v>3162</v>
      </c>
      <c r="AX49" t="s">
        <v>1663</v>
      </c>
      <c r="AY49" t="s">
        <v>190</v>
      </c>
      <c r="AZ49" t="s">
        <v>643</v>
      </c>
      <c r="BA49" t="s">
        <v>644</v>
      </c>
      <c r="BB49" t="s">
        <v>645</v>
      </c>
      <c r="BC49" t="s">
        <v>1478</v>
      </c>
      <c r="BD49" t="s">
        <v>55</v>
      </c>
      <c r="BE49" t="s">
        <v>202</v>
      </c>
      <c r="BF49" t="s">
        <v>69</v>
      </c>
      <c r="BG49" t="s">
        <v>647</v>
      </c>
      <c r="BH49" t="s">
        <v>527</v>
      </c>
      <c r="BI49" t="s">
        <v>27</v>
      </c>
      <c r="BJ49" t="s">
        <v>1663</v>
      </c>
      <c r="BK49" t="s">
        <v>3148</v>
      </c>
      <c r="BL49" t="s">
        <v>3163</v>
      </c>
      <c r="BM49" t="s">
        <v>1478</v>
      </c>
      <c r="BN49">
        <v>0.62</v>
      </c>
      <c r="BO49" t="s">
        <v>19</v>
      </c>
      <c r="BP49">
        <v>7.99</v>
      </c>
      <c r="BQ49">
        <v>1.05</v>
      </c>
      <c r="BR49">
        <v>-11.29</v>
      </c>
      <c r="BS49">
        <v>8.5</v>
      </c>
      <c r="BT49" t="s">
        <v>3164</v>
      </c>
      <c r="BU49" t="s">
        <v>1336</v>
      </c>
      <c r="BV49">
        <v>17.22</v>
      </c>
      <c r="BW49">
        <v>3.52</v>
      </c>
      <c r="BX49">
        <v>18.350000000000001</v>
      </c>
      <c r="BY49">
        <v>1.5</v>
      </c>
      <c r="BZ49">
        <v>-16.8</v>
      </c>
      <c r="CA49">
        <v>8.09</v>
      </c>
      <c r="CB49">
        <v>0.06</v>
      </c>
      <c r="CC49">
        <v>20.23</v>
      </c>
      <c r="CD49" t="s">
        <v>3165</v>
      </c>
      <c r="CE49" t="s">
        <v>171</v>
      </c>
      <c r="CF49" s="8">
        <v>-3.5211267605633804E-2</v>
      </c>
      <c r="CG49" s="9">
        <v>1.4246146434454678</v>
      </c>
      <c r="CH49" s="8">
        <v>2.118171751499176E-2</v>
      </c>
      <c r="CI49" s="8">
        <v>-0.34858384728431702</v>
      </c>
      <c r="CJ49" s="8">
        <v>0.21966342628002167</v>
      </c>
      <c r="CK49" s="8">
        <v>0.10253900289535522</v>
      </c>
      <c r="CL49" s="8">
        <v>0.3491436243057251</v>
      </c>
      <c r="CM49" s="9">
        <v>1.1313097476959229</v>
      </c>
      <c r="CN49" s="9">
        <v>-2.2857143878936768</v>
      </c>
      <c r="CO49" s="9">
        <v>0.10891088843345642</v>
      </c>
      <c r="CP49" s="9">
        <v>-0.21705426275730133</v>
      </c>
      <c r="CQ49" s="9">
        <v>0.40399765968322754</v>
      </c>
      <c r="CR49">
        <v>42.157898060520921</v>
      </c>
      <c r="CS49">
        <v>6.1286005005643052</v>
      </c>
      <c r="CT49">
        <v>0.70446612149532706</v>
      </c>
      <c r="CU49" s="8">
        <v>6.8788784742355349E-2</v>
      </c>
      <c r="CV49" s="9">
        <v>-0.17171007096767427</v>
      </c>
      <c r="CW49">
        <v>0.06</v>
      </c>
      <c r="CX49">
        <v>92.715182103225814</v>
      </c>
      <c r="CY49">
        <v>19065376.995452169</v>
      </c>
      <c r="CZ49">
        <v>6.8788784742355349E-2</v>
      </c>
      <c r="DA49">
        <v>30.848894053982825</v>
      </c>
      <c r="DB49">
        <v>57300268.103834443</v>
      </c>
      <c r="DC49">
        <v>6.5349345505237577E-2</v>
      </c>
      <c r="DD49">
        <v>15.553198742459834</v>
      </c>
      <c r="DE49">
        <v>113651855.75455685</v>
      </c>
      <c r="DF49">
        <v>6.0534130573272706E-2</v>
      </c>
      <c r="DG49">
        <v>9.5922570670381511</v>
      </c>
      <c r="DH49">
        <v>184278829.0228554</v>
      </c>
      <c r="DI49">
        <v>5.5031027793884281E-2</v>
      </c>
      <c r="DJ49">
        <v>5.2486932898920573</v>
      </c>
      <c r="DK49">
        <v>336779042.39596993</v>
      </c>
      <c r="DL49">
        <v>4.8152149319648743E-2</v>
      </c>
      <c r="DM49">
        <v>18908600</v>
      </c>
      <c r="DN49">
        <v>6.8788784742355349E-2</v>
      </c>
      <c r="DO49">
        <v>1767649900</v>
      </c>
      <c r="DP49">
        <v>976516700</v>
      </c>
      <c r="DQ49">
        <v>1458</v>
      </c>
      <c r="DR49">
        <v>-0.10400005234798915</v>
      </c>
      <c r="DS49">
        <v>1.5963247144131421</v>
      </c>
      <c r="DT49" s="10">
        <v>-0.35666666666666669</v>
      </c>
      <c r="DU49">
        <v>-0.62</v>
      </c>
      <c r="DV49">
        <v>-0.97666666666666668</v>
      </c>
      <c r="DW49">
        <v>3.0478392857142858</v>
      </c>
      <c r="DX49">
        <v>0.35562156862744954</v>
      </c>
      <c r="DY49">
        <v>3.0064880389705881</v>
      </c>
      <c r="DZ49">
        <v>3544</v>
      </c>
      <c r="EA49">
        <v>3.0019883109643719</v>
      </c>
      <c r="EB49">
        <v>3</v>
      </c>
      <c r="EC49">
        <v>0.10915484994833898</v>
      </c>
      <c r="ED49">
        <v>0.80484874974558496</v>
      </c>
      <c r="EE49" s="11">
        <v>3.0274100000000002</v>
      </c>
      <c r="EF49">
        <v>3.0444100000000001</v>
      </c>
      <c r="EG49">
        <v>22.13562156862745</v>
      </c>
      <c r="EH49" t="s">
        <v>1303</v>
      </c>
      <c r="EI49">
        <v>0</v>
      </c>
      <c r="EJ49">
        <v>0</v>
      </c>
      <c r="EK49" s="13">
        <v>45470</v>
      </c>
      <c r="EL49" s="14">
        <v>9.99</v>
      </c>
      <c r="EM49" s="14">
        <v>-3.61</v>
      </c>
      <c r="EN49" s="14">
        <v>10.029999999999999</v>
      </c>
      <c r="EO49" s="14">
        <v>-3.08</v>
      </c>
      <c r="EP49" s="14">
        <v>-1.7</v>
      </c>
    </row>
    <row r="50" spans="1:146" ht="108">
      <c r="A50" s="6"/>
      <c r="B50" s="6"/>
      <c r="C50" s="6" t="str">
        <f>""&amp;CHAR(10)&amp;Basic_Fundamental_Information_Constructure(F50)&amp;CHAR(10)&amp;Basic_Fundamental_Information_Concatenate("")</f>
        <v xml:space="preserve">
市值55.328295亿, 利润4.32亿; PE12.71; 平均PE17.37; 平均PEG1.44, PB2.13; ROIC16.09%; ROE17.1967%; 股利率3.6162%; 毛利34.79%; 净利16.2233%; 上一年度营收增3.92%, 利润增8%; 当季营收增1.16%, 利润增3.06%; 过往5年营收增12.06%, 利润增16.93%
Income profile:
</v>
      </c>
      <c r="D50" t="s">
        <v>648</v>
      </c>
      <c r="E50" t="s">
        <v>649</v>
      </c>
      <c r="F50">
        <v>13.55</v>
      </c>
      <c r="G50">
        <v>0.97</v>
      </c>
      <c r="H50" t="s">
        <v>3166</v>
      </c>
      <c r="I50">
        <v>5532829500</v>
      </c>
      <c r="J50">
        <v>12.71</v>
      </c>
      <c r="K50">
        <v>2.13</v>
      </c>
      <c r="L50" t="s">
        <v>361</v>
      </c>
      <c r="M50" t="s">
        <v>3167</v>
      </c>
      <c r="N50" t="s">
        <v>3168</v>
      </c>
      <c r="O50" t="s">
        <v>188</v>
      </c>
      <c r="P50">
        <v>1.18</v>
      </c>
      <c r="Q50" t="s">
        <v>1637</v>
      </c>
      <c r="R50">
        <v>104089282</v>
      </c>
      <c r="S50" s="5">
        <v>3.4099999999999998E-2</v>
      </c>
      <c r="T50" t="s">
        <v>126</v>
      </c>
      <c r="U50">
        <v>399932300</v>
      </c>
      <c r="V50">
        <v>408326900</v>
      </c>
      <c r="W50">
        <v>2.0499999999999998</v>
      </c>
      <c r="X50">
        <v>0.11</v>
      </c>
      <c r="Y50">
        <v>17.239999999999998</v>
      </c>
      <c r="Z50" t="s">
        <v>3169</v>
      </c>
      <c r="AA50" t="s">
        <v>646</v>
      </c>
      <c r="AB50" t="s">
        <v>3170</v>
      </c>
      <c r="AC50" t="s">
        <v>3171</v>
      </c>
      <c r="AD50" t="s">
        <v>19</v>
      </c>
      <c r="AE50">
        <v>-674878</v>
      </c>
      <c r="AF50" t="s">
        <v>3172</v>
      </c>
      <c r="AG50">
        <v>1.07</v>
      </c>
      <c r="AH50" t="s">
        <v>3173</v>
      </c>
      <c r="AI50" t="s">
        <v>1462</v>
      </c>
      <c r="AJ50" t="s">
        <v>3174</v>
      </c>
      <c r="AK50" t="s">
        <v>3175</v>
      </c>
      <c r="AL50" t="s">
        <v>3176</v>
      </c>
      <c r="AM50" t="s">
        <v>19</v>
      </c>
      <c r="AN50" t="s">
        <v>1701</v>
      </c>
      <c r="AO50" t="s">
        <v>192</v>
      </c>
      <c r="AP50" t="s">
        <v>3177</v>
      </c>
      <c r="AQ50" t="s">
        <v>3178</v>
      </c>
      <c r="AR50" t="s">
        <v>19</v>
      </c>
      <c r="AS50" t="s">
        <v>3179</v>
      </c>
      <c r="AT50" t="s">
        <v>19</v>
      </c>
      <c r="AU50" t="s">
        <v>3180</v>
      </c>
      <c r="AV50" t="s">
        <v>3181</v>
      </c>
      <c r="AW50" t="s">
        <v>3182</v>
      </c>
      <c r="AX50" t="s">
        <v>1665</v>
      </c>
      <c r="AY50" t="s">
        <v>1386</v>
      </c>
      <c r="AZ50" t="s">
        <v>650</v>
      </c>
      <c r="BA50" t="s">
        <v>651</v>
      </c>
      <c r="BB50" t="s">
        <v>291</v>
      </c>
      <c r="BC50" t="s">
        <v>523</v>
      </c>
      <c r="BD50" t="s">
        <v>340</v>
      </c>
      <c r="BE50" t="s">
        <v>326</v>
      </c>
      <c r="BF50" t="s">
        <v>127</v>
      </c>
      <c r="BG50" t="s">
        <v>307</v>
      </c>
      <c r="BH50" t="s">
        <v>1637</v>
      </c>
      <c r="BI50" t="s">
        <v>555</v>
      </c>
      <c r="BJ50" t="s">
        <v>1665</v>
      </c>
      <c r="BK50" t="s">
        <v>126</v>
      </c>
      <c r="BL50" t="s">
        <v>202</v>
      </c>
      <c r="BM50" t="s">
        <v>523</v>
      </c>
      <c r="BN50">
        <v>11.75</v>
      </c>
      <c r="BO50">
        <v>18.28</v>
      </c>
      <c r="BP50">
        <v>18.239999999999998</v>
      </c>
      <c r="BQ50">
        <v>12.75</v>
      </c>
      <c r="BR50">
        <v>19.59</v>
      </c>
      <c r="BS50">
        <v>19.25</v>
      </c>
      <c r="BT50" t="s">
        <v>3183</v>
      </c>
      <c r="BU50" t="s">
        <v>1234</v>
      </c>
      <c r="BV50">
        <v>37.229999999999997</v>
      </c>
      <c r="BW50">
        <v>33.07</v>
      </c>
      <c r="BX50">
        <v>34.07</v>
      </c>
      <c r="BY50">
        <v>17.079999999999998</v>
      </c>
      <c r="BZ50">
        <v>16.399999999999999</v>
      </c>
      <c r="CA50">
        <v>15.19</v>
      </c>
      <c r="CB50">
        <v>-4.4400000000000004</v>
      </c>
      <c r="CC50">
        <v>-18.18</v>
      </c>
      <c r="CD50" t="s">
        <v>3184</v>
      </c>
      <c r="CE50" t="s">
        <v>3185</v>
      </c>
      <c r="CF50" s="8">
        <v>1.1570247933884297E-2</v>
      </c>
      <c r="CG50" s="9">
        <v>3.0586950495049506E-2</v>
      </c>
      <c r="CH50" s="8">
        <v>3.9176065474748611E-2</v>
      </c>
      <c r="CI50" s="8">
        <v>3.9899230003356934E-2</v>
      </c>
      <c r="CJ50" s="8">
        <v>0.27326199412345886</v>
      </c>
      <c r="CK50" s="8">
        <v>0.1374695897102356</v>
      </c>
      <c r="CL50" s="8">
        <v>0.11306707561016083</v>
      </c>
      <c r="CM50" s="9">
        <v>7.9999998211860657E-2</v>
      </c>
      <c r="CN50" s="9">
        <v>0.12044817954301834</v>
      </c>
      <c r="CO50" s="9">
        <v>0.24825175106525421</v>
      </c>
      <c r="CP50" s="9">
        <v>0.20675104856491089</v>
      </c>
      <c r="CQ50" s="9">
        <v>0.1909547746181488</v>
      </c>
      <c r="CR50">
        <v>17.371521193092622</v>
      </c>
      <c r="CS50">
        <v>1.440725797761597</v>
      </c>
      <c r="CT50">
        <v>3.6162361623616235</v>
      </c>
      <c r="CU50" s="8">
        <v>0.12057479098439217</v>
      </c>
      <c r="CV50" s="9">
        <v>0.16928115040063857</v>
      </c>
      <c r="CW50">
        <v>0.06</v>
      </c>
      <c r="CX50">
        <v>13.61726597779977</v>
      </c>
      <c r="CY50">
        <v>456687084.62760133</v>
      </c>
      <c r="CZ50">
        <v>0.12057479098439217</v>
      </c>
      <c r="DA50">
        <v>4.3366554910242154</v>
      </c>
      <c r="DB50">
        <v>1434015109.7709768</v>
      </c>
      <c r="DC50">
        <v>0.11454605143517255</v>
      </c>
      <c r="DD50">
        <v>2.0616186972026593</v>
      </c>
      <c r="DE50">
        <v>3016478997.0318561</v>
      </c>
      <c r="DF50">
        <v>0.10610581606626511</v>
      </c>
      <c r="DG50">
        <v>1.1895983243453272</v>
      </c>
      <c r="DH50">
        <v>5227671704.5834904</v>
      </c>
      <c r="DI50">
        <v>9.6459832787513744E-2</v>
      </c>
      <c r="DJ50">
        <v>0.56191808410834765</v>
      </c>
      <c r="DK50">
        <v>11067146041.167276</v>
      </c>
      <c r="DL50">
        <v>8.4402353689074505E-2</v>
      </c>
      <c r="DM50">
        <v>432000000</v>
      </c>
      <c r="DN50">
        <v>0.12057479098439217</v>
      </c>
      <c r="DO50">
        <v>6218829500</v>
      </c>
      <c r="DP50">
        <v>828119300</v>
      </c>
      <c r="DQ50">
        <v>1470</v>
      </c>
      <c r="DR50">
        <v>-0.10900454305050787</v>
      </c>
      <c r="DS50">
        <v>-0.13869419990558907</v>
      </c>
      <c r="DT50" s="10">
        <v>-0.3066666666666667</v>
      </c>
      <c r="DU50">
        <v>0.34999999999999992</v>
      </c>
      <c r="DV50">
        <v>4.3333333333333224E-2</v>
      </c>
      <c r="DW50">
        <v>-8.2442244224422438</v>
      </c>
      <c r="DX50">
        <v>0.27609735071085428</v>
      </c>
      <c r="DY50">
        <v>-8.0259115642000101</v>
      </c>
      <c r="DZ50">
        <v>1616</v>
      </c>
      <c r="EA50">
        <v>-8.017717222175115</v>
      </c>
      <c r="EB50">
        <v>8</v>
      </c>
      <c r="EC50">
        <v>2.2978892647043336E-2</v>
      </c>
      <c r="ED50">
        <v>0.2165830857580042</v>
      </c>
      <c r="EE50" s="11">
        <v>4.0785999999999998</v>
      </c>
      <c r="EF50">
        <v>4.0667999999999997</v>
      </c>
      <c r="EG50">
        <v>17.106097350710854</v>
      </c>
      <c r="EH50" t="s">
        <v>1830</v>
      </c>
      <c r="EI50">
        <v>0</v>
      </c>
      <c r="EJ50">
        <v>0</v>
      </c>
      <c r="EK50" s="13">
        <v>45470</v>
      </c>
      <c r="EL50" s="14">
        <v>0.47</v>
      </c>
      <c r="EM50" s="14">
        <v>-4.3</v>
      </c>
      <c r="EN50" s="14">
        <v>-0.14000000000000001</v>
      </c>
      <c r="EO50" s="14">
        <v>1.34</v>
      </c>
      <c r="EP50" s="14">
        <v>-1.18</v>
      </c>
    </row>
    <row r="51" spans="1:146" ht="108">
      <c r="A51" s="6"/>
      <c r="B51" s="6"/>
      <c r="C51" s="6" t="str">
        <f>""&amp;CHAR(10)&amp;Basic_Fundamental_Information_Constructure(F51)&amp;CHAR(10)&amp;Basic_Fundamental_Information_Concatenate("")</f>
        <v xml:space="preserve">
市值7.0979301亿, 利润-858.23万; PE136.3; 平均PE-17.54; 平均PEG-.1, PB27.06; ROIC63%; ROE-1.47%; 股利率0%; 毛利11.04%; 净利.3533%; 上一年度营收增47.2%, 利润增-168.04%; 当季营收增134.27%, 利润增153.17%; 过往5年营收增174.31%, 利润增78.82%
Income profile:
</v>
      </c>
      <c r="D51" t="s">
        <v>1286</v>
      </c>
      <c r="E51" t="s">
        <v>1287</v>
      </c>
      <c r="F51">
        <v>3.54</v>
      </c>
      <c r="G51">
        <v>3.21</v>
      </c>
      <c r="H51" t="s">
        <v>3186</v>
      </c>
      <c r="I51">
        <v>709793010</v>
      </c>
      <c r="J51">
        <v>136.30000000000001</v>
      </c>
      <c r="K51">
        <v>27.06</v>
      </c>
      <c r="L51" t="s">
        <v>361</v>
      </c>
      <c r="M51" t="s">
        <v>1903</v>
      </c>
      <c r="N51" t="s">
        <v>3187</v>
      </c>
      <c r="O51" t="s">
        <v>3188</v>
      </c>
      <c r="P51">
        <v>134.27000000000001</v>
      </c>
      <c r="Q51" t="s">
        <v>61</v>
      </c>
      <c r="R51">
        <v>4786799</v>
      </c>
      <c r="S51" s="5">
        <v>1.532</v>
      </c>
      <c r="T51" t="s">
        <v>3189</v>
      </c>
      <c r="U51">
        <v>200360250</v>
      </c>
      <c r="V51">
        <v>200506500</v>
      </c>
      <c r="W51">
        <v>14.64</v>
      </c>
      <c r="X51">
        <v>0.14000000000000001</v>
      </c>
      <c r="Y51">
        <v>8.65</v>
      </c>
      <c r="Z51" t="s">
        <v>3190</v>
      </c>
      <c r="AA51" t="s">
        <v>3191</v>
      </c>
      <c r="AB51" t="s">
        <v>19</v>
      </c>
      <c r="AC51" t="s">
        <v>3192</v>
      </c>
      <c r="AD51" t="s">
        <v>19</v>
      </c>
      <c r="AE51">
        <v>206270</v>
      </c>
      <c r="AF51" t="s">
        <v>20</v>
      </c>
      <c r="AG51" t="s">
        <v>19</v>
      </c>
      <c r="AH51" t="s">
        <v>3193</v>
      </c>
      <c r="AI51" t="s">
        <v>3194</v>
      </c>
      <c r="AJ51" t="s">
        <v>3195</v>
      </c>
      <c r="AK51" t="s">
        <v>3196</v>
      </c>
      <c r="AL51" t="s">
        <v>3197</v>
      </c>
      <c r="AM51" t="s">
        <v>19</v>
      </c>
      <c r="AN51">
        <v>0</v>
      </c>
      <c r="AO51" t="s">
        <v>19</v>
      </c>
      <c r="AP51" t="s">
        <v>19</v>
      </c>
      <c r="AQ51" t="s">
        <v>334</v>
      </c>
      <c r="AR51" t="s">
        <v>3198</v>
      </c>
      <c r="AS51" t="s">
        <v>1828</v>
      </c>
      <c r="AT51" t="s">
        <v>19</v>
      </c>
      <c r="AU51" t="s">
        <v>3199</v>
      </c>
      <c r="AV51" t="s">
        <v>3200</v>
      </c>
      <c r="AW51" t="s">
        <v>19</v>
      </c>
      <c r="AX51" t="s">
        <v>334</v>
      </c>
      <c r="AY51" t="s">
        <v>488</v>
      </c>
      <c r="AZ51" t="s">
        <v>52</v>
      </c>
      <c r="BA51" t="s">
        <v>1288</v>
      </c>
      <c r="BB51" t="s">
        <v>1289</v>
      </c>
      <c r="BC51" t="s">
        <v>3201</v>
      </c>
      <c r="BD51" t="s">
        <v>1293</v>
      </c>
      <c r="BE51" t="s">
        <v>1290</v>
      </c>
      <c r="BF51" t="s">
        <v>1291</v>
      </c>
      <c r="BG51" t="s">
        <v>1292</v>
      </c>
      <c r="BH51" t="s">
        <v>61</v>
      </c>
      <c r="BI51" t="s">
        <v>3202</v>
      </c>
      <c r="BJ51" t="s">
        <v>334</v>
      </c>
      <c r="BK51" t="s">
        <v>3189</v>
      </c>
      <c r="BL51" t="s">
        <v>3203</v>
      </c>
      <c r="BM51" t="s">
        <v>3201</v>
      </c>
      <c r="BN51" t="s">
        <v>19</v>
      </c>
      <c r="BO51">
        <v>63</v>
      </c>
      <c r="BP51" t="s">
        <v>19</v>
      </c>
      <c r="BQ51">
        <v>-29.76</v>
      </c>
      <c r="BR51">
        <v>54.33</v>
      </c>
      <c r="BS51">
        <v>-28.98</v>
      </c>
      <c r="BT51" t="s">
        <v>1571</v>
      </c>
      <c r="BU51" t="s">
        <v>1336</v>
      </c>
      <c r="BV51">
        <v>7.93</v>
      </c>
      <c r="BW51">
        <v>11.7</v>
      </c>
      <c r="BX51">
        <v>13.49</v>
      </c>
      <c r="BY51">
        <v>-2.34</v>
      </c>
      <c r="BZ51">
        <v>4.8499999999999996</v>
      </c>
      <c r="CA51">
        <v>-1.45</v>
      </c>
      <c r="CB51">
        <v>2.31</v>
      </c>
      <c r="CC51">
        <v>-20.45</v>
      </c>
      <c r="CD51" t="s">
        <v>3204</v>
      </c>
      <c r="CE51" t="s">
        <v>3205</v>
      </c>
      <c r="CF51" s="8">
        <v>1.3427098124847165</v>
      </c>
      <c r="CG51" s="9">
        <v>1.5317129495923401</v>
      </c>
      <c r="CH51" s="8">
        <v>0.47200000286102295</v>
      </c>
      <c r="CI51" s="8">
        <v>-0.21135646104812622</v>
      </c>
      <c r="CJ51" s="8">
        <v>1.6198346614837646</v>
      </c>
      <c r="CK51" s="8">
        <v>6.0402865409851074</v>
      </c>
      <c r="CL51" s="8">
        <v>0.79466617107391357</v>
      </c>
      <c r="CM51" s="9">
        <v>-1.6804382801055908</v>
      </c>
      <c r="CN51" s="9">
        <v>3.7476091384887695</v>
      </c>
      <c r="CO51" s="9">
        <v>0.85657960176467896</v>
      </c>
      <c r="CP51" s="9">
        <v>0.5744779109954834</v>
      </c>
      <c r="CQ51" s="9">
        <v>0.44282299280166626</v>
      </c>
      <c r="CR51">
        <v>-17.541193915137647</v>
      </c>
      <c r="CS51">
        <v>-0.10063296976074866</v>
      </c>
      <c r="CT51">
        <v>0</v>
      </c>
      <c r="CU51" s="8">
        <v>1.7430861830711364</v>
      </c>
      <c r="CV51" s="9">
        <v>0.78821027278900146</v>
      </c>
      <c r="CW51">
        <v>0.06</v>
      </c>
      <c r="CX51" t="e">
        <v>#VALUE!</v>
      </c>
      <c r="CY51" t="s">
        <v>1249</v>
      </c>
      <c r="CZ51">
        <v>1.7430861830711364</v>
      </c>
      <c r="DA51" t="e">
        <v>#VALUE!</v>
      </c>
      <c r="DB51" t="s">
        <v>1249</v>
      </c>
      <c r="DC51">
        <v>1.6559318739175795</v>
      </c>
      <c r="DD51" t="e">
        <v>#VALUE!</v>
      </c>
      <c r="DE51" t="s">
        <v>1249</v>
      </c>
      <c r="DF51">
        <v>1.5339158411025999</v>
      </c>
      <c r="DG51" t="e">
        <v>#VALUE!</v>
      </c>
      <c r="DH51" t="s">
        <v>1249</v>
      </c>
      <c r="DI51">
        <v>1.3944689464569091</v>
      </c>
      <c r="DJ51" t="e">
        <v>#VALUE!</v>
      </c>
      <c r="DK51" t="s">
        <v>1249</v>
      </c>
      <c r="DL51">
        <v>1.2201603281497955</v>
      </c>
      <c r="DM51">
        <v>-8582300</v>
      </c>
      <c r="DN51">
        <v>1.7430861830711364</v>
      </c>
      <c r="DO51">
        <v>1044772810</v>
      </c>
      <c r="DP51">
        <v>21553280</v>
      </c>
      <c r="DQ51">
        <v>1525</v>
      </c>
      <c r="DR51">
        <v>-0.40037637058641984</v>
      </c>
      <c r="DS51">
        <v>0.74350267680333859</v>
      </c>
      <c r="DT51" s="10">
        <v>0.52166666666666661</v>
      </c>
      <c r="DU51">
        <v>-0.80166666666666675</v>
      </c>
      <c r="DV51">
        <v>-0.28000000000000014</v>
      </c>
      <c r="DW51">
        <v>-3.050327380952381</v>
      </c>
      <c r="DX51">
        <v>0.31670876765245964</v>
      </c>
      <c r="DY51">
        <v>-3.006376920419652</v>
      </c>
      <c r="DZ51">
        <v>2393</v>
      </c>
      <c r="EA51">
        <v>-3.0033906248102142</v>
      </c>
      <c r="EB51">
        <v>3</v>
      </c>
      <c r="EC51">
        <v>4.3727260712246238E-2</v>
      </c>
      <c r="ED51">
        <v>0.34510053290042964</v>
      </c>
      <c r="EE51" s="11">
        <v>-3.0851000000000002</v>
      </c>
      <c r="EF51">
        <v>-3.0522</v>
      </c>
      <c r="EG51">
        <v>19.12670876765246</v>
      </c>
      <c r="EH51" t="s">
        <v>1282</v>
      </c>
      <c r="EI51">
        <v>0</v>
      </c>
      <c r="EJ51">
        <v>0</v>
      </c>
      <c r="EK51" s="13">
        <v>45470</v>
      </c>
      <c r="EL51" s="14">
        <v>0.8</v>
      </c>
      <c r="EM51" s="14">
        <v>-6.58</v>
      </c>
      <c r="EN51" s="14">
        <v>0.56000000000000005</v>
      </c>
      <c r="EO51" s="14">
        <v>2.2400000000000002</v>
      </c>
      <c r="EP51" s="14">
        <v>-3.29</v>
      </c>
    </row>
    <row r="52" spans="1:146" ht="108">
      <c r="A52" s="6"/>
      <c r="B52" s="6"/>
      <c r="C52" s="6" t="str">
        <f>""&amp;CHAR(10)&amp;Basic_Fundamental_Information_Constructure(F52)&amp;CHAR(10)&amp;Basic_Fundamental_Information_Concatenate("")</f>
        <v xml:space="preserve">
市值8.027712亿, 利润-15.02亿; PE; 平均PE-1.75; 平均PEG-.1, PB; ROIC0%; ROE-146.17%; 股利率0%; 毛利5.6167%; 净利-74.3%; 上一年度营收增-38.38%, 利润增-1910.52%; 当季营收增-75.59%, 利润增-389.99%; 过往5年营收增-18.34%, 利润增-684.79%
Income profile:
</v>
      </c>
      <c r="D52" t="s">
        <v>655</v>
      </c>
      <c r="E52" t="s">
        <v>3206</v>
      </c>
      <c r="F52">
        <v>1.1200000000000001</v>
      </c>
      <c r="G52">
        <v>7.69</v>
      </c>
      <c r="H52" t="s">
        <v>3207</v>
      </c>
      <c r="I52">
        <v>802771200</v>
      </c>
      <c r="L52" t="s">
        <v>361</v>
      </c>
      <c r="M52" t="s">
        <v>3208</v>
      </c>
      <c r="N52" t="s">
        <v>3209</v>
      </c>
      <c r="O52" t="s">
        <v>354</v>
      </c>
      <c r="P52">
        <v>-75.61</v>
      </c>
      <c r="Q52" t="s">
        <v>3210</v>
      </c>
      <c r="R52">
        <v>-15444348</v>
      </c>
      <c r="S52" s="5">
        <v>-3.9</v>
      </c>
      <c r="T52" t="s">
        <v>3211</v>
      </c>
      <c r="U52">
        <v>716760000</v>
      </c>
      <c r="V52">
        <v>716760000</v>
      </c>
      <c r="W52" t="s">
        <v>19</v>
      </c>
      <c r="X52">
        <v>0.05</v>
      </c>
      <c r="Y52">
        <v>-13.69</v>
      </c>
      <c r="Z52" t="s">
        <v>51</v>
      </c>
      <c r="AA52" t="s">
        <v>3212</v>
      </c>
      <c r="AB52" t="s">
        <v>3136</v>
      </c>
      <c r="AC52" t="s">
        <v>3213</v>
      </c>
      <c r="AD52" t="s">
        <v>19</v>
      </c>
      <c r="AE52">
        <v>7517400</v>
      </c>
      <c r="AF52" t="s">
        <v>20</v>
      </c>
      <c r="AG52" t="s">
        <v>3214</v>
      </c>
      <c r="AH52" t="s">
        <v>3215</v>
      </c>
      <c r="AI52" t="s">
        <v>3216</v>
      </c>
      <c r="AJ52" t="s">
        <v>3217</v>
      </c>
      <c r="AK52" t="s">
        <v>3218</v>
      </c>
      <c r="AL52" t="s">
        <v>3219</v>
      </c>
      <c r="AM52" t="s">
        <v>19</v>
      </c>
      <c r="AN52" t="s">
        <v>3220</v>
      </c>
      <c r="AO52" t="s">
        <v>1380</v>
      </c>
      <c r="AP52" t="s">
        <v>19</v>
      </c>
      <c r="AQ52" t="s">
        <v>3221</v>
      </c>
      <c r="AR52" t="s">
        <v>19</v>
      </c>
      <c r="AS52" t="s">
        <v>3222</v>
      </c>
      <c r="AT52" t="s">
        <v>1938</v>
      </c>
      <c r="AU52" t="s">
        <v>3223</v>
      </c>
      <c r="AV52" t="s">
        <v>3224</v>
      </c>
      <c r="AW52" t="s">
        <v>3225</v>
      </c>
      <c r="AX52" t="s">
        <v>1666</v>
      </c>
      <c r="AY52" t="s">
        <v>1387</v>
      </c>
      <c r="AZ52" t="s">
        <v>221</v>
      </c>
      <c r="BA52" t="s">
        <v>657</v>
      </c>
      <c r="BB52" t="s">
        <v>658</v>
      </c>
      <c r="BC52" t="s">
        <v>1667</v>
      </c>
      <c r="BD52" t="s">
        <v>1147</v>
      </c>
      <c r="BE52" t="s">
        <v>656</v>
      </c>
      <c r="BF52" t="s">
        <v>660</v>
      </c>
      <c r="BG52" t="s">
        <v>661</v>
      </c>
      <c r="BH52" t="s">
        <v>3210</v>
      </c>
      <c r="BI52" t="s">
        <v>165</v>
      </c>
      <c r="BJ52" t="s">
        <v>1666</v>
      </c>
      <c r="BK52" t="s">
        <v>3211</v>
      </c>
      <c r="BL52" t="s">
        <v>3226</v>
      </c>
      <c r="BM52" t="s">
        <v>1667</v>
      </c>
      <c r="BN52" t="s">
        <v>19</v>
      </c>
      <c r="BO52" t="s">
        <v>19</v>
      </c>
      <c r="BP52" t="s">
        <v>19</v>
      </c>
      <c r="BQ52" t="s">
        <v>19</v>
      </c>
      <c r="BR52">
        <v>-119.23</v>
      </c>
      <c r="BS52">
        <v>-173.11</v>
      </c>
      <c r="BT52" t="s">
        <v>1571</v>
      </c>
      <c r="BU52" t="s">
        <v>1336</v>
      </c>
      <c r="BV52">
        <v>-3.65</v>
      </c>
      <c r="BW52">
        <v>12.05</v>
      </c>
      <c r="BX52">
        <v>8.4499999999999993</v>
      </c>
      <c r="BY52">
        <v>-124.8</v>
      </c>
      <c r="BZ52">
        <v>-3.82</v>
      </c>
      <c r="CA52">
        <v>-94.28</v>
      </c>
      <c r="CB52">
        <v>40</v>
      </c>
      <c r="CC52">
        <v>-13.18</v>
      </c>
      <c r="CD52" t="s">
        <v>45</v>
      </c>
      <c r="CE52" t="s">
        <v>382</v>
      </c>
      <c r="CF52" s="8">
        <v>-0.75593952483801297</v>
      </c>
      <c r="CG52" s="9">
        <v>-3.899911374816929</v>
      </c>
      <c r="CH52" s="8">
        <v>-0.38382804393768311</v>
      </c>
      <c r="CI52" s="8">
        <v>0.36643356084823608</v>
      </c>
      <c r="CJ52" s="8">
        <v>-0.31216934323310852</v>
      </c>
      <c r="CK52" s="8">
        <v>-0.39511197805404663</v>
      </c>
      <c r="CL52" s="8">
        <v>-0.19224444031715393</v>
      </c>
      <c r="CM52" s="9">
        <v>-19.105182647705078</v>
      </c>
      <c r="CN52" s="9">
        <v>0.94457930326461792</v>
      </c>
      <c r="CO52" s="9">
        <v>-17.679719924926758</v>
      </c>
      <c r="CP52" s="9">
        <v>2.1661536693572998</v>
      </c>
      <c r="CQ52" s="9">
        <v>-0.56536054611206055</v>
      </c>
      <c r="CR52">
        <v>-1.745383769370612</v>
      </c>
      <c r="CS52">
        <v>-9.5176422348137599E-2</v>
      </c>
      <c r="CT52">
        <v>0</v>
      </c>
      <c r="CU52" s="8">
        <v>-0.18338404893875121</v>
      </c>
      <c r="CV52" s="9">
        <v>-6.8479060292243954</v>
      </c>
      <c r="CW52">
        <v>0.06</v>
      </c>
      <c r="CX52" t="e">
        <v>#VALUE!</v>
      </c>
      <c r="CY52" t="s">
        <v>1248</v>
      </c>
      <c r="CZ52">
        <v>-0.18338404893875121</v>
      </c>
      <c r="DA52" t="e">
        <v>#VALUE!</v>
      </c>
      <c r="DB52" t="s">
        <v>1249</v>
      </c>
      <c r="DC52">
        <v>-0.17421484649181365</v>
      </c>
      <c r="DD52" t="e">
        <v>#VALUE!</v>
      </c>
      <c r="DE52" t="s">
        <v>1249</v>
      </c>
      <c r="DF52">
        <v>-0.16137796306610105</v>
      </c>
      <c r="DG52" t="e">
        <v>#VALUE!</v>
      </c>
      <c r="DH52" t="s">
        <v>1249</v>
      </c>
      <c r="DI52">
        <v>-0.14670723915100098</v>
      </c>
      <c r="DJ52" t="e">
        <v>#VALUE!</v>
      </c>
      <c r="DK52" t="s">
        <v>1249</v>
      </c>
      <c r="DL52">
        <v>-0.12836883425712584</v>
      </c>
      <c r="DM52">
        <v>-1502000000</v>
      </c>
      <c r="DN52">
        <v>-0.18338404893875121</v>
      </c>
      <c r="DO52">
        <v>6293771200</v>
      </c>
      <c r="DP52">
        <v>-2288713300</v>
      </c>
      <c r="DQ52">
        <v>1607</v>
      </c>
      <c r="DR52">
        <v>-0.5725554758992617</v>
      </c>
      <c r="DS52">
        <v>2.9479946544074664</v>
      </c>
      <c r="DT52" s="10">
        <v>-0.80666666666666664</v>
      </c>
      <c r="DU52">
        <v>-2.2533333333333334</v>
      </c>
      <c r="DV52">
        <v>-3.06</v>
      </c>
      <c r="DW52">
        <v>5.3295000000000003</v>
      </c>
      <c r="DX52">
        <v>0.50554143806224761</v>
      </c>
      <c r="DY52">
        <v>5.0743159038415104</v>
      </c>
      <c r="DZ52">
        <v>4930</v>
      </c>
      <c r="EA52">
        <v>5.0026177813486248</v>
      </c>
      <c r="EB52">
        <v>5</v>
      </c>
      <c r="EC52">
        <v>0.42134047658909535</v>
      </c>
      <c r="ED52">
        <v>1.8681288018304594</v>
      </c>
      <c r="EE52" s="11">
        <v>-10.082409999999999</v>
      </c>
      <c r="EF52">
        <v>-10.13921</v>
      </c>
      <c r="EG52">
        <v>28.225541438062248</v>
      </c>
      <c r="EH52" t="s">
        <v>3227</v>
      </c>
      <c r="EI52">
        <v>1</v>
      </c>
      <c r="EJ52">
        <v>0</v>
      </c>
      <c r="EK52" s="13">
        <v>45470</v>
      </c>
      <c r="EL52" s="14">
        <v>4.5</v>
      </c>
      <c r="EM52" s="14">
        <v>-16.38</v>
      </c>
      <c r="EN52" s="14">
        <v>-9.2799999999999994</v>
      </c>
      <c r="EO52" s="14">
        <v>0</v>
      </c>
      <c r="EP52" s="14">
        <v>-5.68</v>
      </c>
    </row>
    <row r="53" spans="1:146" ht="108">
      <c r="A53" s="6"/>
      <c r="B53" s="6"/>
      <c r="C53" s="6" t="str">
        <f>""&amp;CHAR(10)&amp;Basic_Fundamental_Information_Constructure(F53)&amp;CHAR(10)&amp;Basic_Fundamental_Information_Concatenate("")</f>
        <v xml:space="preserve">
市值88.776793亿, 利润3.30亿; PE26.7; 平均PE17.02; 平均PEG3.18, PB1.06; ROIC4.5933%; ROE6.1233%; 股利率1.6358%; 毛利37.0967%; 净利9.25%; 上一年度营收增.98%, 利润增-44.35%; 当季营收增1.14%, 利润增5.68%; 过往5年营收增-5.36%, 利润增-5.45%
Income profile:
</v>
      </c>
      <c r="D53" t="s">
        <v>663</v>
      </c>
      <c r="E53" t="s">
        <v>664</v>
      </c>
      <c r="F53">
        <v>7.03</v>
      </c>
      <c r="G53">
        <v>-0.14000000000000001</v>
      </c>
      <c r="H53" t="s">
        <v>3228</v>
      </c>
      <c r="I53">
        <v>8877679300</v>
      </c>
      <c r="J53">
        <v>26.7</v>
      </c>
      <c r="K53">
        <v>1.06</v>
      </c>
      <c r="L53" t="s">
        <v>361</v>
      </c>
      <c r="M53" t="s">
        <v>3229</v>
      </c>
      <c r="N53" t="s">
        <v>3230</v>
      </c>
      <c r="O53" t="s">
        <v>3231</v>
      </c>
      <c r="P53">
        <v>1.1399999999999999</v>
      </c>
      <c r="Q53" t="s">
        <v>3232</v>
      </c>
      <c r="R53">
        <v>53260767</v>
      </c>
      <c r="S53" s="5">
        <v>5.6800000000000003E-2</v>
      </c>
      <c r="T53" t="s">
        <v>44</v>
      </c>
      <c r="U53">
        <v>903025890</v>
      </c>
      <c r="V53">
        <v>1262827770</v>
      </c>
      <c r="W53">
        <v>1.88</v>
      </c>
      <c r="X53">
        <v>0.05</v>
      </c>
      <c r="Y53">
        <v>5.51</v>
      </c>
      <c r="Z53" t="s">
        <v>1974</v>
      </c>
      <c r="AA53" t="s">
        <v>3233</v>
      </c>
      <c r="AB53" t="s">
        <v>3234</v>
      </c>
      <c r="AC53" t="s">
        <v>151</v>
      </c>
      <c r="AD53" t="s">
        <v>19</v>
      </c>
      <c r="AE53">
        <v>-8478129</v>
      </c>
      <c r="AF53" t="s">
        <v>3235</v>
      </c>
      <c r="AG53" t="s">
        <v>3236</v>
      </c>
      <c r="AH53" t="s">
        <v>3237</v>
      </c>
      <c r="AI53" t="s">
        <v>3238</v>
      </c>
      <c r="AJ53" t="s">
        <v>3239</v>
      </c>
      <c r="AK53" t="s">
        <v>3240</v>
      </c>
      <c r="AL53" t="s">
        <v>3241</v>
      </c>
      <c r="AM53" t="s">
        <v>19</v>
      </c>
      <c r="AN53" t="s">
        <v>3242</v>
      </c>
      <c r="AO53" t="s">
        <v>3243</v>
      </c>
      <c r="AP53" t="s">
        <v>3244</v>
      </c>
      <c r="AQ53" t="s">
        <v>3245</v>
      </c>
      <c r="AR53" t="s">
        <v>3246</v>
      </c>
      <c r="AS53" t="s">
        <v>3247</v>
      </c>
      <c r="AT53" t="s">
        <v>1940</v>
      </c>
      <c r="AU53" t="s">
        <v>3248</v>
      </c>
      <c r="AV53" t="s">
        <v>3249</v>
      </c>
      <c r="AW53" t="s">
        <v>3250</v>
      </c>
      <c r="AX53" t="s">
        <v>1670</v>
      </c>
      <c r="AY53" t="s">
        <v>1388</v>
      </c>
      <c r="AZ53" t="s">
        <v>665</v>
      </c>
      <c r="BA53" t="s">
        <v>666</v>
      </c>
      <c r="BB53" t="s">
        <v>667</v>
      </c>
      <c r="BC53" t="s">
        <v>241</v>
      </c>
      <c r="BD53" t="s">
        <v>357</v>
      </c>
      <c r="BE53" t="s">
        <v>343</v>
      </c>
      <c r="BF53" t="s">
        <v>669</v>
      </c>
      <c r="BG53" t="s">
        <v>670</v>
      </c>
      <c r="BH53" t="s">
        <v>3232</v>
      </c>
      <c r="BI53" t="s">
        <v>1283</v>
      </c>
      <c r="BJ53" t="s">
        <v>1670</v>
      </c>
      <c r="BK53" t="s">
        <v>44</v>
      </c>
      <c r="BL53" t="s">
        <v>3251</v>
      </c>
      <c r="BM53" t="s">
        <v>241</v>
      </c>
      <c r="BN53">
        <v>1.96</v>
      </c>
      <c r="BO53">
        <v>5.7</v>
      </c>
      <c r="BP53">
        <v>6.12</v>
      </c>
      <c r="BQ53">
        <v>2.78</v>
      </c>
      <c r="BR53">
        <v>7.48</v>
      </c>
      <c r="BS53">
        <v>8.11</v>
      </c>
      <c r="BT53" t="s">
        <v>3252</v>
      </c>
      <c r="BU53" t="s">
        <v>1234</v>
      </c>
      <c r="BV53">
        <v>35.99</v>
      </c>
      <c r="BW53">
        <v>37.03</v>
      </c>
      <c r="BX53">
        <v>38.270000000000003</v>
      </c>
      <c r="BY53">
        <v>5.81</v>
      </c>
      <c r="BZ53">
        <v>12.15</v>
      </c>
      <c r="CA53">
        <v>9.7899999999999991</v>
      </c>
      <c r="CB53">
        <v>-13</v>
      </c>
      <c r="CC53">
        <v>-15.5</v>
      </c>
      <c r="CD53" t="s">
        <v>57</v>
      </c>
      <c r="CE53" t="s">
        <v>3253</v>
      </c>
      <c r="CF53" s="8">
        <v>1.1376564277588305E-2</v>
      </c>
      <c r="CG53" s="9">
        <v>5.6794799041239408E-2</v>
      </c>
      <c r="CH53" s="8">
        <v>9.757092222571373E-3</v>
      </c>
      <c r="CI53" s="8">
        <v>2.1097820252180099E-2</v>
      </c>
      <c r="CJ53" s="8">
        <v>-6.9103427231311798E-2</v>
      </c>
      <c r="CK53" s="8">
        <v>-7.8431412577629089E-2</v>
      </c>
      <c r="CL53" s="8">
        <v>-0.15120911598205566</v>
      </c>
      <c r="CM53" s="9">
        <v>-0.44350758194923401</v>
      </c>
      <c r="CN53" s="9">
        <v>0.25635594129562378</v>
      </c>
      <c r="CO53" s="9">
        <v>0.2164948433637619</v>
      </c>
      <c r="CP53" s="9">
        <v>-0.46408841013908386</v>
      </c>
      <c r="CQ53" s="9">
        <v>0.16211877763271332</v>
      </c>
      <c r="CR53">
        <v>17.017915591054312</v>
      </c>
      <c r="CS53">
        <v>3.1762992954819231</v>
      </c>
      <c r="CT53">
        <v>1.6358463726884778</v>
      </c>
      <c r="CU53" s="8">
        <v>-5.3577808663249016E-2</v>
      </c>
      <c r="CV53" s="9">
        <v>-5.4525285959243774E-2</v>
      </c>
      <c r="CW53">
        <v>0.06</v>
      </c>
      <c r="CX53">
        <v>22.141452424242424</v>
      </c>
      <c r="CY53" t="s">
        <v>3254</v>
      </c>
      <c r="CZ53">
        <v>-5.3577808663249016E-2</v>
      </c>
      <c r="DA53">
        <v>7.3804841414141418</v>
      </c>
      <c r="DB53" t="s">
        <v>3255</v>
      </c>
      <c r="DC53">
        <v>-5.0898918230086562E-2</v>
      </c>
      <c r="DD53">
        <v>3.6902420707070709</v>
      </c>
      <c r="DE53" t="s">
        <v>3256</v>
      </c>
      <c r="DF53">
        <v>-4.7148471623659136E-2</v>
      </c>
      <c r="DG53">
        <v>2.2141452424242423</v>
      </c>
      <c r="DH53" t="s">
        <v>3257</v>
      </c>
      <c r="DI53">
        <v>-4.2862246930599215E-2</v>
      </c>
      <c r="DJ53">
        <v>1.1070726212121211</v>
      </c>
      <c r="DK53" t="s">
        <v>3258</v>
      </c>
      <c r="DL53">
        <v>-3.7504466064274308E-2</v>
      </c>
      <c r="DM53">
        <v>330000000</v>
      </c>
      <c r="DN53">
        <v>-5.3577808663249016E-2</v>
      </c>
      <c r="DO53">
        <v>7306679300</v>
      </c>
      <c r="DP53">
        <v>5691769800</v>
      </c>
      <c r="DQ53">
        <v>1768</v>
      </c>
      <c r="DR53">
        <v>6.4954372940837321E-2</v>
      </c>
      <c r="DS53">
        <v>0.11132008500048318</v>
      </c>
      <c r="DT53" s="10">
        <v>-0.54</v>
      </c>
      <c r="DU53">
        <v>0.10000000000000002</v>
      </c>
      <c r="DV53">
        <v>-0.44</v>
      </c>
      <c r="DW53">
        <v>-9.8387096774193541</v>
      </c>
      <c r="DX53">
        <v>0.28168190127970705</v>
      </c>
      <c r="DY53">
        <v>-9.1188299817184646</v>
      </c>
      <c r="DZ53">
        <v>2755</v>
      </c>
      <c r="EA53">
        <v>-9.0547641109485291</v>
      </c>
      <c r="EB53">
        <v>9</v>
      </c>
      <c r="EC53">
        <v>0.24548082277284733</v>
      </c>
      <c r="ED53">
        <v>1.7326194846031933</v>
      </c>
      <c r="EE53" s="11">
        <v>6.0144000000000002</v>
      </c>
      <c r="EF53">
        <v>6.03261</v>
      </c>
      <c r="EG53">
        <v>14.141681901279707</v>
      </c>
      <c r="EH53" t="s">
        <v>3259</v>
      </c>
      <c r="EI53">
        <v>0</v>
      </c>
      <c r="EJ53">
        <v>0</v>
      </c>
      <c r="EK53" s="13">
        <v>45470</v>
      </c>
      <c r="EL53" s="14">
        <v>4.8499999999999996</v>
      </c>
      <c r="EM53" s="14">
        <v>-6.36</v>
      </c>
      <c r="EN53" s="14">
        <v>-0.99</v>
      </c>
      <c r="EO53" s="14">
        <v>0.75</v>
      </c>
      <c r="EP53" s="14">
        <v>-4.7</v>
      </c>
    </row>
    <row r="54" spans="1:146" ht="108">
      <c r="A54" s="6"/>
      <c r="B54" s="6"/>
      <c r="C54" s="6" t="str">
        <f>""&amp;CHAR(10)&amp;Basic_Fundamental_Information_Constructure(F54)&amp;CHAR(10)&amp;Basic_Fundamental_Information_Concatenate("")</f>
        <v xml:space="preserve">
市值39.556901亿, 利润2.90亿; PE13.14; 平均PE20.01; 平均PEG1.25, PB1.53; ROIC9.27%; ROE9.5333%; 股利率3.871%; 毛利39.57%; 净利24.1767%; 上一年度营收增17.92%, 利润增20.83%; 当季营收增4.38%, 利润增15.92%; 过往5年营收增15.96%, 利润增22.86%
Income profile:
</v>
      </c>
      <c r="D54" t="s">
        <v>673</v>
      </c>
      <c r="E54" t="s">
        <v>674</v>
      </c>
      <c r="F54">
        <v>12.4</v>
      </c>
      <c r="G54">
        <v>2.48</v>
      </c>
      <c r="H54" t="s">
        <v>3260</v>
      </c>
      <c r="I54">
        <v>3955690100</v>
      </c>
      <c r="J54">
        <v>13.14</v>
      </c>
      <c r="K54">
        <v>1.53</v>
      </c>
      <c r="L54" t="s">
        <v>361</v>
      </c>
      <c r="M54" t="s">
        <v>3261</v>
      </c>
      <c r="N54" t="s">
        <v>3262</v>
      </c>
      <c r="O54" t="s">
        <v>57</v>
      </c>
      <c r="P54">
        <v>4.5999999999999996</v>
      </c>
      <c r="Q54" t="s">
        <v>652</v>
      </c>
      <c r="R54">
        <v>78982434</v>
      </c>
      <c r="S54" s="5">
        <v>0.15920000000000001</v>
      </c>
      <c r="T54" t="s">
        <v>222</v>
      </c>
      <c r="U54">
        <v>220031960</v>
      </c>
      <c r="V54">
        <v>319007270</v>
      </c>
      <c r="W54">
        <v>1.42</v>
      </c>
      <c r="X54">
        <v>0.08</v>
      </c>
      <c r="Y54">
        <v>26.01</v>
      </c>
      <c r="Z54" t="s">
        <v>166</v>
      </c>
      <c r="AA54" t="s">
        <v>1253</v>
      </c>
      <c r="AB54" t="s">
        <v>3263</v>
      </c>
      <c r="AC54" t="s">
        <v>3264</v>
      </c>
      <c r="AD54" t="s">
        <v>19</v>
      </c>
      <c r="AE54">
        <v>-6869989</v>
      </c>
      <c r="AF54" t="s">
        <v>3265</v>
      </c>
      <c r="AG54" t="s">
        <v>2617</v>
      </c>
      <c r="AH54" t="s">
        <v>3266</v>
      </c>
      <c r="AI54" t="s">
        <v>2037</v>
      </c>
      <c r="AJ54" t="s">
        <v>3267</v>
      </c>
      <c r="AK54" t="s">
        <v>19</v>
      </c>
      <c r="AL54" t="s">
        <v>3268</v>
      </c>
      <c r="AM54" t="s">
        <v>19</v>
      </c>
      <c r="AN54" t="s">
        <v>101</v>
      </c>
      <c r="AO54" t="s">
        <v>19</v>
      </c>
      <c r="AP54" t="s">
        <v>3269</v>
      </c>
      <c r="AQ54" t="s">
        <v>125</v>
      </c>
      <c r="AR54" t="s">
        <v>3270</v>
      </c>
      <c r="AS54" t="s">
        <v>1883</v>
      </c>
      <c r="AT54" t="s">
        <v>3271</v>
      </c>
      <c r="AU54" t="s">
        <v>3272</v>
      </c>
      <c r="AV54" t="s">
        <v>3273</v>
      </c>
      <c r="AW54" t="s">
        <v>3274</v>
      </c>
      <c r="AX54" t="s">
        <v>1075</v>
      </c>
      <c r="AY54" t="s">
        <v>1389</v>
      </c>
      <c r="AZ54" t="s">
        <v>335</v>
      </c>
      <c r="BA54" t="s">
        <v>349</v>
      </c>
      <c r="BB54" t="s">
        <v>298</v>
      </c>
      <c r="BC54" t="s">
        <v>179</v>
      </c>
      <c r="BD54" t="s">
        <v>108</v>
      </c>
      <c r="BE54" t="s">
        <v>218</v>
      </c>
      <c r="BF54" t="s">
        <v>675</v>
      </c>
      <c r="BG54" t="s">
        <v>354</v>
      </c>
      <c r="BH54" t="s">
        <v>652</v>
      </c>
      <c r="BI54" t="s">
        <v>320</v>
      </c>
      <c r="BJ54" t="s">
        <v>1075</v>
      </c>
      <c r="BK54" t="s">
        <v>222</v>
      </c>
      <c r="BL54" t="s">
        <v>3275</v>
      </c>
      <c r="BM54" t="s">
        <v>179</v>
      </c>
      <c r="BN54">
        <v>8.8699999999999992</v>
      </c>
      <c r="BO54">
        <v>10.32</v>
      </c>
      <c r="BP54">
        <v>8.6199999999999992</v>
      </c>
      <c r="BQ54">
        <v>8.6999999999999993</v>
      </c>
      <c r="BR54">
        <v>10.73</v>
      </c>
      <c r="BS54">
        <v>9.17</v>
      </c>
      <c r="BT54" t="s">
        <v>3276</v>
      </c>
      <c r="BU54" t="s">
        <v>1336</v>
      </c>
      <c r="BV54">
        <v>39.69</v>
      </c>
      <c r="BW54">
        <v>37.729999999999997</v>
      </c>
      <c r="BX54">
        <v>41.29</v>
      </c>
      <c r="BY54">
        <v>24.94</v>
      </c>
      <c r="BZ54">
        <v>23.82</v>
      </c>
      <c r="CA54">
        <v>23.77</v>
      </c>
      <c r="CB54">
        <v>-5.49</v>
      </c>
      <c r="CC54">
        <v>-15.7</v>
      </c>
      <c r="CD54" t="s">
        <v>3277</v>
      </c>
      <c r="CE54" t="s">
        <v>3278</v>
      </c>
      <c r="CF54" s="8">
        <v>4.3771043771043773E-2</v>
      </c>
      <c r="CG54" s="9">
        <v>0.15915908520540023</v>
      </c>
      <c r="CH54" s="8">
        <v>0.17924527823925018</v>
      </c>
      <c r="CI54" s="8">
        <v>0.26190477609634399</v>
      </c>
      <c r="CJ54" s="8">
        <v>-3.9999999105930328E-2</v>
      </c>
      <c r="CK54" s="8">
        <v>4.0428061038255692E-2</v>
      </c>
      <c r="CL54" s="8">
        <v>0.3564516007900238</v>
      </c>
      <c r="CM54" s="9">
        <v>0.2083333283662796</v>
      </c>
      <c r="CN54" s="9">
        <v>0.25654450058937073</v>
      </c>
      <c r="CO54" s="9">
        <v>0.1369047611951828</v>
      </c>
      <c r="CP54" s="9">
        <v>-8.6956523358821869E-2</v>
      </c>
      <c r="CQ54" s="9">
        <v>0.62831860780715942</v>
      </c>
      <c r="CR54">
        <v>20.011922934232715</v>
      </c>
      <c r="CS54">
        <v>1.2538331910752445</v>
      </c>
      <c r="CT54">
        <v>3.8709677419354835</v>
      </c>
      <c r="CU54" s="8">
        <v>0.15960594341158868</v>
      </c>
      <c r="CV54" s="9">
        <v>0.22862893491983413</v>
      </c>
      <c r="CW54">
        <v>0.06</v>
      </c>
      <c r="CX54">
        <v>8.1755225189315226</v>
      </c>
      <c r="CY54">
        <v>317250682.63147235</v>
      </c>
      <c r="CZ54">
        <v>0.15960594341158868</v>
      </c>
      <c r="DA54">
        <v>2.5199588978207701</v>
      </c>
      <c r="DB54">
        <v>1029258890.7870648</v>
      </c>
      <c r="DC54">
        <v>0.15162564624100924</v>
      </c>
      <c r="DD54">
        <v>1.1449437266324878</v>
      </c>
      <c r="DE54">
        <v>2265342863.2938752</v>
      </c>
      <c r="DF54">
        <v>0.14045323020219805</v>
      </c>
      <c r="DG54">
        <v>0.62636611166134748</v>
      </c>
      <c r="DH54">
        <v>4140853171.5111532</v>
      </c>
      <c r="DI54">
        <v>0.12768475472927096</v>
      </c>
      <c r="DJ54">
        <v>0.26119595061366802</v>
      </c>
      <c r="DK54">
        <v>9930054788.0097027</v>
      </c>
      <c r="DL54">
        <v>0.11172416038811207</v>
      </c>
      <c r="DM54">
        <v>290000000</v>
      </c>
      <c r="DN54">
        <v>0.15960594341158868</v>
      </c>
      <c r="DO54">
        <v>2593690100</v>
      </c>
      <c r="DP54">
        <v>1569695800</v>
      </c>
      <c r="DQ54">
        <v>1857</v>
      </c>
      <c r="DR54">
        <v>-0.11583489964054491</v>
      </c>
      <c r="DS54">
        <v>-6.9469849714433901E-2</v>
      </c>
      <c r="DT54" s="10">
        <v>-2.3333333333333355E-2</v>
      </c>
      <c r="DU54">
        <v>0.73666666666666669</v>
      </c>
      <c r="DV54">
        <v>0.71333333333333337</v>
      </c>
      <c r="DW54">
        <v>-8.3496815286624209</v>
      </c>
      <c r="DX54">
        <v>0.39031685188134357</v>
      </c>
      <c r="DY54">
        <v>-8.0630534724094627</v>
      </c>
      <c r="DZ54">
        <v>445</v>
      </c>
      <c r="EA54">
        <v>-8.0575625144403418</v>
      </c>
      <c r="EB54">
        <v>8</v>
      </c>
      <c r="EC54">
        <v>4.0661769244318482E-2</v>
      </c>
      <c r="ED54">
        <v>0.22550175737374262</v>
      </c>
      <c r="EE54" s="11">
        <v>8.6099999999999996E-3</v>
      </c>
      <c r="EF54">
        <v>3.2510000000000004E-2</v>
      </c>
      <c r="EG54">
        <v>21.180316851881344</v>
      </c>
      <c r="EH54">
        <v>-1</v>
      </c>
      <c r="EI54">
        <v>0</v>
      </c>
      <c r="EJ54">
        <v>1</v>
      </c>
      <c r="EK54" s="13">
        <v>45470</v>
      </c>
      <c r="EL54" s="14">
        <v>1.72</v>
      </c>
      <c r="EM54" s="14">
        <v>-4.5</v>
      </c>
      <c r="EN54" s="14">
        <v>0.62</v>
      </c>
      <c r="EO54" s="14">
        <v>2.84</v>
      </c>
      <c r="EP54" s="14">
        <v>-2.39</v>
      </c>
    </row>
    <row r="55" spans="1:146" ht="108">
      <c r="A55" s="6"/>
      <c r="B55" s="6"/>
      <c r="C55" s="6" t="str">
        <f>""&amp;CHAR(10)&amp;Basic_Fundamental_Information_Constructure(F55)&amp;CHAR(10)&amp;Basic_Fundamental_Information_Concatenate("")</f>
        <v xml:space="preserve">
市值126.690699亿, 利润-9196.87万; PE; 平均PE-12207.62; 平均PEG-829.33, PB44.9; ROIC3.92%; ROE2.2633%; 股利率0%; 毛利32.7%; 净利-5.1233%; 上一年度营收增130.84%, 利润增-939.01%; 当季营收增4491.16%, 利润增2916.71%; 过往5年营收增14.72%, 利润增-203.4%
Income profile:
</v>
      </c>
      <c r="D55" t="s">
        <v>676</v>
      </c>
      <c r="E55" t="s">
        <v>677</v>
      </c>
      <c r="F55">
        <v>90.18</v>
      </c>
      <c r="G55">
        <v>0.19</v>
      </c>
      <c r="H55" t="s">
        <v>3279</v>
      </c>
      <c r="I55">
        <v>12669069900</v>
      </c>
      <c r="K55">
        <v>44.9</v>
      </c>
      <c r="L55" t="s">
        <v>361</v>
      </c>
      <c r="M55" t="s">
        <v>622</v>
      </c>
      <c r="N55" t="s">
        <v>177</v>
      </c>
      <c r="O55" t="s">
        <v>2146</v>
      </c>
      <c r="P55">
        <v>4494.24</v>
      </c>
      <c r="Q55" t="s">
        <v>264</v>
      </c>
      <c r="R55">
        <v>72558354</v>
      </c>
      <c r="S55" s="5">
        <v>29.17</v>
      </c>
      <c r="T55" t="s">
        <v>3280</v>
      </c>
      <c r="U55">
        <v>140486470</v>
      </c>
      <c r="V55">
        <v>140486470</v>
      </c>
      <c r="W55">
        <v>5.54</v>
      </c>
      <c r="X55">
        <v>0.54</v>
      </c>
      <c r="Y55">
        <v>10.43</v>
      </c>
      <c r="Z55" t="s">
        <v>1947</v>
      </c>
      <c r="AA55" t="s">
        <v>1364</v>
      </c>
      <c r="AB55" t="s">
        <v>125</v>
      </c>
      <c r="AC55" t="s">
        <v>60</v>
      </c>
      <c r="AD55" t="s">
        <v>19</v>
      </c>
      <c r="AE55">
        <v>7158174</v>
      </c>
      <c r="AF55" t="s">
        <v>3281</v>
      </c>
      <c r="AG55" t="s">
        <v>3282</v>
      </c>
      <c r="AH55" t="s">
        <v>3283</v>
      </c>
      <c r="AI55" t="s">
        <v>39</v>
      </c>
      <c r="AJ55" t="s">
        <v>3284</v>
      </c>
      <c r="AK55" t="s">
        <v>19</v>
      </c>
      <c r="AL55" t="s">
        <v>3285</v>
      </c>
      <c r="AM55" t="s">
        <v>19</v>
      </c>
      <c r="AN55">
        <v>0</v>
      </c>
      <c r="AO55" t="s">
        <v>19</v>
      </c>
      <c r="AP55" t="s">
        <v>19</v>
      </c>
      <c r="AQ55" t="s">
        <v>3286</v>
      </c>
      <c r="AR55" t="s">
        <v>3287</v>
      </c>
      <c r="AS55" t="s">
        <v>952</v>
      </c>
      <c r="AT55" t="s">
        <v>19</v>
      </c>
      <c r="AU55" t="s">
        <v>2919</v>
      </c>
      <c r="AV55" t="s">
        <v>3288</v>
      </c>
      <c r="AW55" t="s">
        <v>3289</v>
      </c>
      <c r="AX55" t="s">
        <v>85</v>
      </c>
      <c r="AY55" t="s">
        <v>46</v>
      </c>
      <c r="AZ55" t="s">
        <v>23</v>
      </c>
      <c r="BA55" t="s">
        <v>157</v>
      </c>
      <c r="BB55" t="s">
        <v>634</v>
      </c>
      <c r="BC55" t="s">
        <v>3290</v>
      </c>
      <c r="BD55" t="s">
        <v>1149</v>
      </c>
      <c r="BE55" t="s">
        <v>678</v>
      </c>
      <c r="BF55" t="s">
        <v>679</v>
      </c>
      <c r="BG55" t="s">
        <v>680</v>
      </c>
      <c r="BH55" t="s">
        <v>264</v>
      </c>
      <c r="BI55" t="s">
        <v>3291</v>
      </c>
      <c r="BJ55" t="s">
        <v>85</v>
      </c>
      <c r="BK55" t="s">
        <v>3280</v>
      </c>
      <c r="BL55" t="s">
        <v>3292</v>
      </c>
      <c r="BM55" t="s">
        <v>3290</v>
      </c>
      <c r="BN55" t="s">
        <v>19</v>
      </c>
      <c r="BO55">
        <v>3.59</v>
      </c>
      <c r="BP55">
        <v>4.25</v>
      </c>
      <c r="BQ55">
        <v>-1.23</v>
      </c>
      <c r="BR55">
        <v>3.64</v>
      </c>
      <c r="BS55">
        <v>4.38</v>
      </c>
      <c r="BT55" t="s">
        <v>1571</v>
      </c>
      <c r="BU55" t="s">
        <v>1234</v>
      </c>
      <c r="BV55">
        <v>21.46</v>
      </c>
      <c r="BW55">
        <v>35.56</v>
      </c>
      <c r="BX55">
        <v>41.08</v>
      </c>
      <c r="BY55">
        <v>-37.22</v>
      </c>
      <c r="BZ55">
        <v>10.23</v>
      </c>
      <c r="CA55">
        <v>11.62</v>
      </c>
      <c r="CB55">
        <v>-4.2699999999999996</v>
      </c>
      <c r="CC55">
        <v>-17.28</v>
      </c>
      <c r="CD55" t="s">
        <v>3293</v>
      </c>
      <c r="CE55" t="s">
        <v>3294</v>
      </c>
      <c r="CF55" s="8">
        <v>44.911559143336547</v>
      </c>
      <c r="CG55" s="9">
        <v>29.167062888198757</v>
      </c>
      <c r="CH55" s="8">
        <v>1.3084112405776978</v>
      </c>
      <c r="CI55" s="8">
        <v>-2.7272727340459824E-2</v>
      </c>
      <c r="CJ55" s="8">
        <v>-0.11999999731779099</v>
      </c>
      <c r="CK55" s="8">
        <v>-0.41588786244392395</v>
      </c>
      <c r="CL55" s="8">
        <v>-9.2592593282461166E-3</v>
      </c>
      <c r="CM55" s="9">
        <v>-9.390080451965332</v>
      </c>
      <c r="CN55" s="9">
        <v>-0.14213714003562927</v>
      </c>
      <c r="CO55" s="9">
        <v>-9.784872829914093E-2</v>
      </c>
      <c r="CP55" s="9">
        <v>-0.32854366302490234</v>
      </c>
      <c r="CQ55" s="9">
        <v>-0.21128593385219574</v>
      </c>
      <c r="CR55">
        <v>-12207.621796107122</v>
      </c>
      <c r="CS55">
        <v>-829.33183004476098</v>
      </c>
      <c r="CT55">
        <v>0</v>
      </c>
      <c r="CU55" s="8">
        <v>0.14719827882945538</v>
      </c>
      <c r="CV55" s="9">
        <v>-2.0339791834354402</v>
      </c>
      <c r="CW55">
        <v>0.06</v>
      </c>
      <c r="CX55" t="e">
        <v>#VALUE!</v>
      </c>
      <c r="CY55" t="s">
        <v>1249</v>
      </c>
      <c r="CZ55">
        <v>0.14719827882945538</v>
      </c>
      <c r="DA55" t="e">
        <v>#VALUE!</v>
      </c>
      <c r="DB55" t="s">
        <v>1249</v>
      </c>
      <c r="DC55">
        <v>0.1398383648879826</v>
      </c>
      <c r="DD55" t="e">
        <v>#VALUE!</v>
      </c>
      <c r="DE55" t="s">
        <v>1249</v>
      </c>
      <c r="DF55">
        <v>0.12953448536992074</v>
      </c>
      <c r="DG55" t="e">
        <v>#VALUE!</v>
      </c>
      <c r="DH55" t="s">
        <v>1249</v>
      </c>
      <c r="DI55">
        <v>0.11775862306356431</v>
      </c>
      <c r="DJ55" t="e">
        <v>#VALUE!</v>
      </c>
      <c r="DK55" t="s">
        <v>1249</v>
      </c>
      <c r="DL55">
        <v>0.10303879518061876</v>
      </c>
      <c r="DM55">
        <v>-91968700.000000015</v>
      </c>
      <c r="DN55">
        <v>0.14719827882945538</v>
      </c>
      <c r="DO55">
        <v>13198069900</v>
      </c>
      <c r="DP55">
        <v>-20127160</v>
      </c>
      <c r="DQ55">
        <v>1963</v>
      </c>
      <c r="DR55">
        <v>44.76436086450709</v>
      </c>
      <c r="DS55">
        <v>31.201042071634198</v>
      </c>
      <c r="DT55" s="10">
        <v>-0.22333333333333336</v>
      </c>
      <c r="DU55">
        <v>-0.3666666666666667</v>
      </c>
      <c r="DV55">
        <v>-0.59000000000000008</v>
      </c>
      <c r="DW55">
        <v>-8.247106481481481</v>
      </c>
      <c r="DX55">
        <v>0.4525558109512271</v>
      </c>
      <c r="DY55">
        <v>-8.042639659303342</v>
      </c>
      <c r="DZ55">
        <v>3022</v>
      </c>
      <c r="EA55">
        <v>-8.0174230153865711</v>
      </c>
      <c r="EB55">
        <v>8</v>
      </c>
      <c r="EC55">
        <v>1.9504369353148386E-2</v>
      </c>
      <c r="ED55">
        <v>0.11303223719693434</v>
      </c>
      <c r="EE55" s="11">
        <v>2.0750999999999999</v>
      </c>
      <c r="EF55">
        <v>2.0659000000000001</v>
      </c>
      <c r="EG55">
        <v>28.172555810951227</v>
      </c>
      <c r="EH55" t="s">
        <v>1259</v>
      </c>
      <c r="EI55">
        <v>0</v>
      </c>
      <c r="EJ55">
        <v>0</v>
      </c>
      <c r="EK55" s="13">
        <v>45470</v>
      </c>
      <c r="EL55" s="14">
        <v>-0.22</v>
      </c>
      <c r="EM55" s="14">
        <v>-3.61</v>
      </c>
      <c r="EN55" s="14">
        <v>-1.0900000000000001</v>
      </c>
      <c r="EO55" s="14">
        <v>1.73</v>
      </c>
      <c r="EP55" s="14">
        <v>-0.92</v>
      </c>
    </row>
    <row r="56" spans="1:146" ht="108">
      <c r="A56" s="6"/>
      <c r="B56" s="6"/>
      <c r="C56" s="6" t="str">
        <f>""&amp;CHAR(10)&amp;Basic_Fundamental_Information_Constructure(F56)&amp;CHAR(10)&amp;Basic_Fundamental_Information_Concatenate("")</f>
        <v xml:space="preserve">
市值17.745437亿, 利润-3.31亿; PE; 平均PE75.87; 平均PEG7.13, PB1.45; ROIC4.595%; ROE3.9867%; 股利率.5882%; 毛利18.9067%; 净利-5.07%; 上一年度营收增-13.91%, 利润增-2445.19%; 当季营收增2.52%, 利润增-55.4%; 过往5年营收增10.65%, 利润增-458.89%
Income profile:
</v>
      </c>
      <c r="D56" t="s">
        <v>681</v>
      </c>
      <c r="E56" t="s">
        <v>682</v>
      </c>
      <c r="F56">
        <v>10.199999999999999</v>
      </c>
      <c r="G56">
        <v>-0.2</v>
      </c>
      <c r="H56" t="s">
        <v>3295</v>
      </c>
      <c r="I56">
        <v>1774543700</v>
      </c>
      <c r="K56">
        <v>1.45</v>
      </c>
      <c r="L56" t="s">
        <v>361</v>
      </c>
      <c r="M56" t="s">
        <v>3296</v>
      </c>
      <c r="N56" t="s">
        <v>3297</v>
      </c>
      <c r="O56" t="s">
        <v>94</v>
      </c>
      <c r="P56">
        <v>2.66</v>
      </c>
      <c r="Q56" t="s">
        <v>3091</v>
      </c>
      <c r="R56">
        <v>9323906</v>
      </c>
      <c r="S56" s="5">
        <v>-0.55400000000000005</v>
      </c>
      <c r="T56" t="s">
        <v>3298</v>
      </c>
      <c r="U56">
        <v>164316110</v>
      </c>
      <c r="V56">
        <v>173974870</v>
      </c>
      <c r="W56">
        <v>2.65</v>
      </c>
      <c r="X56">
        <v>0.1</v>
      </c>
      <c r="Y56">
        <v>2.11</v>
      </c>
      <c r="Z56" t="s">
        <v>1854</v>
      </c>
      <c r="AA56" t="s">
        <v>47</v>
      </c>
      <c r="AB56" t="s">
        <v>3299</v>
      </c>
      <c r="AC56" t="s">
        <v>3300</v>
      </c>
      <c r="AD56" t="s">
        <v>19</v>
      </c>
      <c r="AE56">
        <v>4531853</v>
      </c>
      <c r="AF56" t="s">
        <v>3301</v>
      </c>
      <c r="AG56">
        <v>195.59</v>
      </c>
      <c r="AH56" t="s">
        <v>3302</v>
      </c>
      <c r="AI56" t="s">
        <v>1451</v>
      </c>
      <c r="AJ56" t="s">
        <v>3303</v>
      </c>
      <c r="AK56" t="s">
        <v>3304</v>
      </c>
      <c r="AL56" t="s">
        <v>3305</v>
      </c>
      <c r="AM56" t="s">
        <v>19</v>
      </c>
      <c r="AN56">
        <v>0</v>
      </c>
      <c r="AO56" t="s">
        <v>45</v>
      </c>
      <c r="AP56" t="s">
        <v>3306</v>
      </c>
      <c r="AQ56" t="s">
        <v>1914</v>
      </c>
      <c r="AR56" t="s">
        <v>19</v>
      </c>
      <c r="AS56" t="s">
        <v>3307</v>
      </c>
      <c r="AT56" t="s">
        <v>196</v>
      </c>
      <c r="AU56" t="s">
        <v>3308</v>
      </c>
      <c r="AV56" t="s">
        <v>3309</v>
      </c>
      <c r="AW56" t="s">
        <v>3310</v>
      </c>
      <c r="AX56" t="s">
        <v>1672</v>
      </c>
      <c r="AY56" t="s">
        <v>594</v>
      </c>
      <c r="AZ56" t="s">
        <v>683</v>
      </c>
      <c r="BA56" t="s">
        <v>687</v>
      </c>
      <c r="BB56" t="s">
        <v>688</v>
      </c>
      <c r="BC56" t="s">
        <v>1673</v>
      </c>
      <c r="BD56" t="s">
        <v>174</v>
      </c>
      <c r="BE56" t="s">
        <v>684</v>
      </c>
      <c r="BF56" t="s">
        <v>110</v>
      </c>
      <c r="BG56" t="s">
        <v>354</v>
      </c>
      <c r="BH56" t="s">
        <v>3091</v>
      </c>
      <c r="BI56" t="s">
        <v>488</v>
      </c>
      <c r="BJ56" t="s">
        <v>1672</v>
      </c>
      <c r="BK56" t="s">
        <v>3298</v>
      </c>
      <c r="BL56" t="s">
        <v>3311</v>
      </c>
      <c r="BM56" t="s">
        <v>1673</v>
      </c>
      <c r="BN56">
        <v>2.02</v>
      </c>
      <c r="BO56" t="s">
        <v>19</v>
      </c>
      <c r="BP56">
        <v>7.17</v>
      </c>
      <c r="BQ56">
        <v>2</v>
      </c>
      <c r="BR56">
        <v>0.92</v>
      </c>
      <c r="BS56">
        <v>9.0399999999999991</v>
      </c>
      <c r="BT56" t="s">
        <v>1583</v>
      </c>
      <c r="BU56" t="s">
        <v>1234</v>
      </c>
      <c r="BV56">
        <v>15.95</v>
      </c>
      <c r="BW56">
        <v>19.13</v>
      </c>
      <c r="BX56">
        <v>21.64</v>
      </c>
      <c r="BY56">
        <v>-21.03</v>
      </c>
      <c r="BZ56">
        <v>0.25</v>
      </c>
      <c r="CA56">
        <v>5.57</v>
      </c>
      <c r="CB56">
        <v>-8.93</v>
      </c>
      <c r="CC56">
        <v>-22.96</v>
      </c>
      <c r="CD56" t="s">
        <v>3312</v>
      </c>
      <c r="CE56" t="s">
        <v>246</v>
      </c>
      <c r="CF56" s="8">
        <v>2.5236593059936908E-2</v>
      </c>
      <c r="CG56" s="9">
        <v>-0.55401453150485735</v>
      </c>
      <c r="CH56" s="8">
        <v>-0.1390836238861084</v>
      </c>
      <c r="CI56" s="8">
        <v>-0.19382871687412262</v>
      </c>
      <c r="CJ56" s="8">
        <v>0.24378374218940735</v>
      </c>
      <c r="CK56" s="8">
        <v>0.47527909278869629</v>
      </c>
      <c r="CL56" s="8">
        <v>0.14625228941440582</v>
      </c>
      <c r="CM56" s="9">
        <v>-24.45189094543457</v>
      </c>
      <c r="CN56" s="9">
        <v>-0.89697808027267456</v>
      </c>
      <c r="CO56" s="9">
        <v>2.6808562278747559</v>
      </c>
      <c r="CP56" s="9">
        <v>-0.78106117248535156</v>
      </c>
      <c r="CQ56" s="9">
        <v>0.50442475080490112</v>
      </c>
      <c r="CR56">
        <v>75.871082905305641</v>
      </c>
      <c r="CS56">
        <v>7.1253461888084821</v>
      </c>
      <c r="CT56">
        <v>0.58823529411764708</v>
      </c>
      <c r="CU56" s="8">
        <v>0.10648055672645569</v>
      </c>
      <c r="CV56" s="9">
        <v>-4.5889298439025881</v>
      </c>
      <c r="CW56">
        <v>0.06</v>
      </c>
      <c r="CX56" t="e">
        <v>#VALUE!</v>
      </c>
      <c r="CY56" t="s">
        <v>1249</v>
      </c>
      <c r="CZ56">
        <v>0.10648055672645569</v>
      </c>
      <c r="DA56" t="e">
        <v>#VALUE!</v>
      </c>
      <c r="DB56" t="s">
        <v>1249</v>
      </c>
      <c r="DC56">
        <v>0.10115652889013291</v>
      </c>
      <c r="DD56" t="e">
        <v>#VALUE!</v>
      </c>
      <c r="DE56" t="s">
        <v>1249</v>
      </c>
      <c r="DF56">
        <v>9.370288991928101E-2</v>
      </c>
      <c r="DG56" t="e">
        <v>#VALUE!</v>
      </c>
      <c r="DH56" t="s">
        <v>1249</v>
      </c>
      <c r="DI56">
        <v>8.5184445381164556E-2</v>
      </c>
      <c r="DJ56" t="e">
        <v>#VALUE!</v>
      </c>
      <c r="DK56" t="s">
        <v>1249</v>
      </c>
      <c r="DL56">
        <v>7.4536389708518974E-2</v>
      </c>
      <c r="DM56">
        <v>-331000000</v>
      </c>
      <c r="DN56">
        <v>0.10648055672645569</v>
      </c>
      <c r="DO56">
        <v>2687543700</v>
      </c>
      <c r="DP56">
        <v>523837500</v>
      </c>
      <c r="DQ56">
        <v>1971</v>
      </c>
      <c r="DR56">
        <v>-8.1243963666518787E-2</v>
      </c>
      <c r="DS56">
        <v>4.0349153123977306</v>
      </c>
      <c r="DT56" s="10">
        <v>-0.34</v>
      </c>
      <c r="DU56">
        <v>-1.3283333333333334</v>
      </c>
      <c r="DV56">
        <v>-1.6683333333333334</v>
      </c>
      <c r="DW56">
        <v>-9.3889372822299659</v>
      </c>
      <c r="DX56">
        <v>0.2193732673267329</v>
      </c>
      <c r="DY56">
        <v>-9.0425393413426711</v>
      </c>
      <c r="DZ56">
        <v>4150</v>
      </c>
      <c r="EA56">
        <v>-9.0079917353598749</v>
      </c>
      <c r="EB56">
        <v>9</v>
      </c>
      <c r="EC56">
        <v>0.25398380812125337</v>
      </c>
      <c r="ED56">
        <v>2.3221744611736166</v>
      </c>
      <c r="EE56" s="11">
        <v>0.1249</v>
      </c>
      <c r="EF56">
        <v>6.2700000000000006E-2</v>
      </c>
      <c r="EG56">
        <v>11.109373267326733</v>
      </c>
      <c r="EH56" t="s">
        <v>1261</v>
      </c>
      <c r="EI56">
        <v>0</v>
      </c>
      <c r="EJ56">
        <v>0</v>
      </c>
      <c r="EK56" s="13">
        <v>45470</v>
      </c>
      <c r="EL56" s="14">
        <v>0.47</v>
      </c>
      <c r="EM56" s="14">
        <v>-7.36</v>
      </c>
      <c r="EN56" s="14">
        <v>19.96</v>
      </c>
      <c r="EO56" s="14">
        <v>2.29</v>
      </c>
      <c r="EP56" s="14">
        <v>-6.22</v>
      </c>
    </row>
    <row r="57" spans="1:146" ht="108">
      <c r="A57" s="6"/>
      <c r="B57" s="6"/>
      <c r="C57" s="6" t="str">
        <f>""&amp;CHAR(10)&amp;Basic_Fundamental_Information_Constructure(F57)&amp;CHAR(10)&amp;Basic_Fundamental_Information_Concatenate("")</f>
        <v xml:space="preserve">
市值12.5207382亿, 利润-3.76亿; PE; 平均PE-5.89; 平均PEG-.18, PB8.06; ROIC0%; ROE-45.04%; 股利率0%; 毛利8.1833%; 净利-316.41%; 上一年度营收增-34.04%, 利润增20.84%; 当季营收增-12.68%, 利润增-29.05%; 过往5年营收增-33.63%, 利润增-82.16%
Income profile:
</v>
      </c>
      <c r="D57" t="s">
        <v>689</v>
      </c>
      <c r="E57" t="s">
        <v>3313</v>
      </c>
      <c r="F57">
        <v>1.8</v>
      </c>
      <c r="G57">
        <v>3.45</v>
      </c>
      <c r="H57" t="s">
        <v>3314</v>
      </c>
      <c r="I57">
        <v>1252073820</v>
      </c>
      <c r="K57">
        <v>8.06</v>
      </c>
      <c r="L57" t="s">
        <v>361</v>
      </c>
      <c r="M57" t="s">
        <v>1957</v>
      </c>
      <c r="N57" t="s">
        <v>193</v>
      </c>
      <c r="O57" t="s">
        <v>3315</v>
      </c>
      <c r="P57">
        <v>-12.68</v>
      </c>
      <c r="Q57" t="s">
        <v>3316</v>
      </c>
      <c r="R57">
        <v>11252969</v>
      </c>
      <c r="S57" s="5">
        <v>-0.29049999999999998</v>
      </c>
      <c r="T57" t="s">
        <v>3317</v>
      </c>
      <c r="U57">
        <v>572517460</v>
      </c>
      <c r="V57">
        <v>695596570</v>
      </c>
      <c r="W57">
        <v>6.07</v>
      </c>
      <c r="X57">
        <v>0.03</v>
      </c>
      <c r="Y57">
        <v>45.19</v>
      </c>
      <c r="Z57" t="s">
        <v>3318</v>
      </c>
      <c r="AA57" t="s">
        <v>3319</v>
      </c>
      <c r="AB57" t="s">
        <v>3320</v>
      </c>
      <c r="AC57" t="s">
        <v>3321</v>
      </c>
      <c r="AD57" t="s">
        <v>19</v>
      </c>
      <c r="AE57">
        <v>2103994</v>
      </c>
      <c r="AF57" t="s">
        <v>3322</v>
      </c>
      <c r="AG57" t="s">
        <v>3323</v>
      </c>
      <c r="AH57" t="s">
        <v>3324</v>
      </c>
      <c r="AI57" t="s">
        <v>3325</v>
      </c>
      <c r="AJ57" t="s">
        <v>3326</v>
      </c>
      <c r="AK57" t="s">
        <v>3327</v>
      </c>
      <c r="AL57" t="s">
        <v>3328</v>
      </c>
      <c r="AM57" t="s">
        <v>19</v>
      </c>
      <c r="AN57" t="s">
        <v>81</v>
      </c>
      <c r="AO57" t="s">
        <v>3329</v>
      </c>
      <c r="AP57" t="s">
        <v>19</v>
      </c>
      <c r="AQ57" t="s">
        <v>3330</v>
      </c>
      <c r="AR57" t="s">
        <v>3331</v>
      </c>
      <c r="AS57" t="s">
        <v>1703</v>
      </c>
      <c r="AT57" t="s">
        <v>3332</v>
      </c>
      <c r="AU57" t="s">
        <v>3333</v>
      </c>
      <c r="AV57" t="s">
        <v>3334</v>
      </c>
      <c r="AW57" t="s">
        <v>3335</v>
      </c>
      <c r="AX57" t="s">
        <v>107</v>
      </c>
      <c r="AY57" t="s">
        <v>722</v>
      </c>
      <c r="AZ57" t="s">
        <v>155</v>
      </c>
      <c r="BA57" t="s">
        <v>294</v>
      </c>
      <c r="BB57" t="s">
        <v>691</v>
      </c>
      <c r="BC57" t="s">
        <v>1608</v>
      </c>
      <c r="BD57" t="s">
        <v>1675</v>
      </c>
      <c r="BE57" t="s">
        <v>480</v>
      </c>
      <c r="BF57" t="s">
        <v>197</v>
      </c>
      <c r="BG57" t="s">
        <v>130</v>
      </c>
      <c r="BH57" t="s">
        <v>3316</v>
      </c>
      <c r="BI57" t="s">
        <v>3336</v>
      </c>
      <c r="BJ57" t="s">
        <v>107</v>
      </c>
      <c r="BK57" t="s">
        <v>3317</v>
      </c>
      <c r="BL57" t="s">
        <v>3337</v>
      </c>
      <c r="BM57" t="s">
        <v>1608</v>
      </c>
      <c r="BN57" t="s">
        <v>19</v>
      </c>
      <c r="BO57" t="s">
        <v>19</v>
      </c>
      <c r="BP57" t="s">
        <v>19</v>
      </c>
      <c r="BQ57">
        <v>-23.18</v>
      </c>
      <c r="BR57">
        <v>-62.65</v>
      </c>
      <c r="BS57">
        <v>-49.29</v>
      </c>
      <c r="BT57" t="s">
        <v>1571</v>
      </c>
      <c r="BU57" t="s">
        <v>1334</v>
      </c>
      <c r="BV57">
        <v>24.76</v>
      </c>
      <c r="BW57">
        <v>-13.85</v>
      </c>
      <c r="BX57">
        <v>13.64</v>
      </c>
      <c r="BY57">
        <v>-464.11</v>
      </c>
      <c r="BZ57">
        <v>-386.02</v>
      </c>
      <c r="CA57">
        <v>-99.1</v>
      </c>
      <c r="CB57">
        <v>44</v>
      </c>
      <c r="CC57">
        <v>-13.46</v>
      </c>
      <c r="CD57" t="s">
        <v>131</v>
      </c>
      <c r="CE57" t="s">
        <v>1316</v>
      </c>
      <c r="CF57" s="8">
        <v>-0.12683428555326209</v>
      </c>
      <c r="CG57" s="9">
        <v>-0.29050351502159455</v>
      </c>
      <c r="CH57" s="8">
        <v>-0.34043577313423157</v>
      </c>
      <c r="CI57" s="8">
        <v>-0.77513712644577026</v>
      </c>
      <c r="CJ57" s="8">
        <v>6.6276803612709045E-2</v>
      </c>
      <c r="CK57" s="8">
        <v>-0.59025561809539795</v>
      </c>
      <c r="CL57" s="8">
        <v>-4.2081147432327271E-2</v>
      </c>
      <c r="CM57" s="9">
        <v>0.20842105150222778</v>
      </c>
      <c r="CN57" s="9">
        <v>0.11710037291049957</v>
      </c>
      <c r="CO57" s="9">
        <v>-0.53714287281036377</v>
      </c>
      <c r="CP57" s="9">
        <v>-3.3648648262023926</v>
      </c>
      <c r="CQ57" s="9">
        <v>-0.53164559602737427</v>
      </c>
      <c r="CR57">
        <v>-5.892112094117647</v>
      </c>
      <c r="CS57">
        <v>-0.17519020438502245</v>
      </c>
      <c r="CT57">
        <v>0</v>
      </c>
      <c r="CU57" s="8">
        <v>-0.33632657229900359</v>
      </c>
      <c r="CV57" s="9">
        <v>-0.82162637412548067</v>
      </c>
      <c r="CW57">
        <v>0.06</v>
      </c>
      <c r="CX57" t="e">
        <v>#VALUE!</v>
      </c>
      <c r="CY57" t="s">
        <v>1249</v>
      </c>
      <c r="CZ57">
        <v>-0.33632657229900359</v>
      </c>
      <c r="DA57" t="e">
        <v>#VALUE!</v>
      </c>
      <c r="DB57" t="s">
        <v>1249</v>
      </c>
      <c r="DC57">
        <v>-0.3195102436840534</v>
      </c>
      <c r="DD57" t="e">
        <v>#VALUE!</v>
      </c>
      <c r="DE57" t="s">
        <v>1249</v>
      </c>
      <c r="DF57">
        <v>-0.29596738362312314</v>
      </c>
      <c r="DG57" t="e">
        <v>#VALUE!</v>
      </c>
      <c r="DH57" t="s">
        <v>1249</v>
      </c>
      <c r="DI57">
        <v>-0.26906125783920287</v>
      </c>
      <c r="DJ57" t="e">
        <v>#VALUE!</v>
      </c>
      <c r="DK57" t="s">
        <v>1249</v>
      </c>
      <c r="DL57">
        <v>-0.23542860060930249</v>
      </c>
      <c r="DM57">
        <v>-376000000</v>
      </c>
      <c r="DN57">
        <v>-0.33632657229900359</v>
      </c>
      <c r="DO57">
        <v>1923073820</v>
      </c>
      <c r="DP57">
        <v>-103863150</v>
      </c>
      <c r="DQ57">
        <v>1977</v>
      </c>
      <c r="DR57">
        <v>0.2094922867457415</v>
      </c>
      <c r="DS57">
        <v>0.53112285910388612</v>
      </c>
      <c r="DT57" s="10">
        <v>-1.0233333333333332</v>
      </c>
      <c r="DU57">
        <v>-2.4066666666666667</v>
      </c>
      <c r="DV57">
        <v>-3.4299999999999997</v>
      </c>
      <c r="DW57">
        <v>5.3059090909090907</v>
      </c>
      <c r="DX57">
        <v>0.51719457013574588</v>
      </c>
      <c r="DY57">
        <v>5.0664417935006174</v>
      </c>
      <c r="DZ57">
        <v>5016</v>
      </c>
      <c r="EA57">
        <v>5.0012222169450213</v>
      </c>
      <c r="EB57">
        <v>5</v>
      </c>
      <c r="EC57">
        <v>0.20701654696198402</v>
      </c>
      <c r="ED57">
        <v>0.95313868497080134</v>
      </c>
      <c r="EE57" s="11">
        <v>-3.1385100000000001</v>
      </c>
      <c r="EF57">
        <v>-4.04521</v>
      </c>
      <c r="EG57">
        <v>30.217194570135746</v>
      </c>
      <c r="EH57" t="s">
        <v>1926</v>
      </c>
      <c r="EI57">
        <v>1</v>
      </c>
      <c r="EJ57">
        <v>0</v>
      </c>
      <c r="EK57" s="13">
        <v>45470</v>
      </c>
      <c r="EL57" s="14">
        <v>7.19</v>
      </c>
      <c r="EM57" s="14">
        <v>-7.93</v>
      </c>
      <c r="EN57" s="14">
        <v>-2.65</v>
      </c>
      <c r="EO57" s="14">
        <v>-4.08</v>
      </c>
      <c r="EP57" s="14">
        <v>-5.67</v>
      </c>
    </row>
    <row r="58" spans="1:146" ht="252">
      <c r="A58" s="6" t="s">
        <v>1106</v>
      </c>
      <c r="B58" s="6"/>
      <c r="C58" s="6" t="str">
        <f>"公司的主营业务是桥梁钢结构的制作和安装，以及相应的技术研发、工艺设计及技术服务。多年以来公司主要业务集中在桥梁钢结构，现在我们开始向建筑钢结构领域发展；"&amp;CHAR(10)&amp;Basic_Fundamental_Information_Constructure(F58)&amp;CHAR(10)&amp;Basic_Fundamental_Information_Concatenate("2021H1:
钢结构工程 6.75亿 99.62% 利润占比100.00% 21.63%
其他收入 256.01万 0.38% - - - -")</f>
        <v>公司的主营业务是桥梁钢结构的制作和安装，以及相应的技术研发、工艺设计及技术服务。多年以来公司主要业务集中在桥梁钢结构，现在我们开始向建筑钢结构领域发展；
市值17.012669亿, 利润604.76万; PE133.5; 平均PE40.7; 平均PEG13.77, PB1.62; ROIC5.0033%; ROE5.4567%; 股利率0%; 毛利23.6333%; 净利5.9267%; 上一年度营收增-34.85%, 利润增-88.36%; 当季营收增22.45%, 利润增100.65%; 过往5年营收增2.96%, 利润增10.53%
Income profile:
2021H1:
钢结构工程 6.75亿 99.62% 利润占比100.00% 21.63%
其他收入 256.01万 0.38% - - - -</v>
      </c>
      <c r="D58" t="s">
        <v>692</v>
      </c>
      <c r="E58" t="s">
        <v>693</v>
      </c>
      <c r="F58">
        <v>8.49</v>
      </c>
      <c r="G58">
        <v>1.31</v>
      </c>
      <c r="H58" t="s">
        <v>3338</v>
      </c>
      <c r="I58">
        <v>1701266900</v>
      </c>
      <c r="J58">
        <v>133.5</v>
      </c>
      <c r="K58">
        <v>1.62</v>
      </c>
      <c r="L58" t="s">
        <v>361</v>
      </c>
      <c r="M58" t="s">
        <v>3339</v>
      </c>
      <c r="N58" t="s">
        <v>3340</v>
      </c>
      <c r="O58" t="s">
        <v>39</v>
      </c>
      <c r="P58">
        <v>22.59</v>
      </c>
      <c r="Q58" t="s">
        <v>3330</v>
      </c>
      <c r="R58">
        <v>13339240</v>
      </c>
      <c r="S58" s="5">
        <v>1.0069999999999999</v>
      </c>
      <c r="T58" t="s">
        <v>3341</v>
      </c>
      <c r="U58">
        <v>123997065</v>
      </c>
      <c r="V58">
        <v>200384790</v>
      </c>
      <c r="W58">
        <v>1.55</v>
      </c>
      <c r="X58">
        <v>0.06</v>
      </c>
      <c r="Y58">
        <v>12.69</v>
      </c>
      <c r="Z58" t="s">
        <v>99</v>
      </c>
      <c r="AA58" t="s">
        <v>3342</v>
      </c>
      <c r="AB58" t="s">
        <v>3343</v>
      </c>
      <c r="AC58" t="s">
        <v>3344</v>
      </c>
      <c r="AD58" t="s">
        <v>19</v>
      </c>
      <c r="AE58">
        <v>3053834</v>
      </c>
      <c r="AF58" t="s">
        <v>3345</v>
      </c>
      <c r="AG58" t="s">
        <v>3346</v>
      </c>
      <c r="AH58" t="s">
        <v>3347</v>
      </c>
      <c r="AI58" t="s">
        <v>1370</v>
      </c>
      <c r="AJ58" t="s">
        <v>3348</v>
      </c>
      <c r="AK58" t="s">
        <v>3349</v>
      </c>
      <c r="AL58" t="s">
        <v>3350</v>
      </c>
      <c r="AM58" t="s">
        <v>19</v>
      </c>
      <c r="AN58" t="s">
        <v>3351</v>
      </c>
      <c r="AO58" t="s">
        <v>3352</v>
      </c>
      <c r="AP58" t="s">
        <v>38</v>
      </c>
      <c r="AQ58" t="s">
        <v>1645</v>
      </c>
      <c r="AR58" t="s">
        <v>19</v>
      </c>
      <c r="AS58" t="s">
        <v>3353</v>
      </c>
      <c r="AT58" t="s">
        <v>19</v>
      </c>
      <c r="AU58" t="s">
        <v>3354</v>
      </c>
      <c r="AV58" t="s">
        <v>3355</v>
      </c>
      <c r="AW58" t="s">
        <v>3356</v>
      </c>
      <c r="AX58" t="s">
        <v>686</v>
      </c>
      <c r="AY58" t="s">
        <v>1394</v>
      </c>
      <c r="AZ58" t="s">
        <v>672</v>
      </c>
      <c r="BA58" t="s">
        <v>48</v>
      </c>
      <c r="BB58" t="s">
        <v>154</v>
      </c>
      <c r="BC58" t="s">
        <v>1676</v>
      </c>
      <c r="BD58" t="s">
        <v>1150</v>
      </c>
      <c r="BE58" t="s">
        <v>694</v>
      </c>
      <c r="BF58" t="s">
        <v>695</v>
      </c>
      <c r="BG58" t="s">
        <v>696</v>
      </c>
      <c r="BH58" t="s">
        <v>3330</v>
      </c>
      <c r="BI58" t="s">
        <v>3357</v>
      </c>
      <c r="BJ58" t="s">
        <v>686</v>
      </c>
      <c r="BK58" t="s">
        <v>3341</v>
      </c>
      <c r="BL58" t="s">
        <v>3358</v>
      </c>
      <c r="BM58" t="s">
        <v>1676</v>
      </c>
      <c r="BN58">
        <v>1.1299999999999999</v>
      </c>
      <c r="BO58">
        <v>4.95</v>
      </c>
      <c r="BP58">
        <v>8.93</v>
      </c>
      <c r="BQ58">
        <v>0.6</v>
      </c>
      <c r="BR58">
        <v>5.51</v>
      </c>
      <c r="BS58">
        <v>10.26</v>
      </c>
      <c r="BT58" t="s">
        <v>1571</v>
      </c>
      <c r="BU58" t="s">
        <v>1336</v>
      </c>
      <c r="BV58">
        <v>21.47</v>
      </c>
      <c r="BW58">
        <v>25.26</v>
      </c>
      <c r="BX58">
        <v>24.17</v>
      </c>
      <c r="BY58">
        <v>1.46</v>
      </c>
      <c r="BZ58">
        <v>8.17</v>
      </c>
      <c r="CA58">
        <v>8.15</v>
      </c>
      <c r="CB58">
        <v>-0.93</v>
      </c>
      <c r="CC58">
        <v>-12.92</v>
      </c>
      <c r="CD58" t="s">
        <v>3359</v>
      </c>
      <c r="CE58" t="s">
        <v>110</v>
      </c>
      <c r="CF58" s="8">
        <v>0.22454263332645277</v>
      </c>
      <c r="CG58" s="9">
        <v>1.0065042117930205</v>
      </c>
      <c r="CH58" s="8">
        <v>-0.34850862622261047</v>
      </c>
      <c r="CI58" s="8">
        <v>-0.43023255467414856</v>
      </c>
      <c r="CJ58" s="8">
        <v>0.30455076694488525</v>
      </c>
      <c r="CK58" s="8">
        <v>0.17558299005031586</v>
      </c>
      <c r="CL58" s="8">
        <v>0.4464285671710968</v>
      </c>
      <c r="CM58" s="9">
        <v>-0.88364607095718384</v>
      </c>
      <c r="CN58" s="9">
        <v>-0.42922705411911011</v>
      </c>
      <c r="CO58" s="9">
        <v>0.75447767972946167</v>
      </c>
      <c r="CP58" s="9">
        <v>1.0308723449707031</v>
      </c>
      <c r="CQ58" s="9">
        <v>5.4201435297727585E-2</v>
      </c>
      <c r="CR58">
        <v>40.702047622617314</v>
      </c>
      <c r="CS58">
        <v>13.76732946395926</v>
      </c>
      <c r="CT58">
        <v>0</v>
      </c>
      <c r="CU58" s="8">
        <v>2.9564228653907777E-2</v>
      </c>
      <c r="CV58" s="9">
        <v>0.10533566698431969</v>
      </c>
      <c r="CW58">
        <v>0.06</v>
      </c>
      <c r="CX58">
        <v>205.52878531897332</v>
      </c>
      <c r="CY58">
        <v>5873955.310572993</v>
      </c>
      <c r="CZ58">
        <v>2.9564228653907777E-2</v>
      </c>
      <c r="DA58">
        <v>70.715811542504269</v>
      </c>
      <c r="DB58">
        <v>17072092.841278687</v>
      </c>
      <c r="DC58">
        <v>2.8086017221212387E-2</v>
      </c>
      <c r="DD58">
        <v>37.232913068604915</v>
      </c>
      <c r="DE58">
        <v>32424723.195187673</v>
      </c>
      <c r="DF58">
        <v>2.6016521215438845E-2</v>
      </c>
      <c r="DG58">
        <v>24.06507205302368</v>
      </c>
      <c r="DH58">
        <v>50166768.55735039</v>
      </c>
      <c r="DI58">
        <v>2.3651382923126223E-2</v>
      </c>
      <c r="DJ58">
        <v>14.495544416538801</v>
      </c>
      <c r="DK58">
        <v>83285378.272689074</v>
      </c>
      <c r="DL58">
        <v>2.0694960057735443E-2</v>
      </c>
      <c r="DM58">
        <v>6047600</v>
      </c>
      <c r="DN58">
        <v>2.9564228653907777E-2</v>
      </c>
      <c r="DO58">
        <v>1207266900</v>
      </c>
      <c r="DP58">
        <v>918398400</v>
      </c>
      <c r="DQ58">
        <v>1988</v>
      </c>
      <c r="DR58">
        <v>0.19497840467254499</v>
      </c>
      <c r="DS58">
        <v>0.90116854480870079</v>
      </c>
      <c r="DT58" s="10">
        <v>-0.40666666666666673</v>
      </c>
      <c r="DU58">
        <v>1.666666666666668E-2</v>
      </c>
      <c r="DV58">
        <v>-0.39000000000000007</v>
      </c>
      <c r="DW58">
        <v>-2.1292</v>
      </c>
      <c r="DX58">
        <v>0.44327176470588298</v>
      </c>
      <c r="DY58">
        <v>-2.0185107119999999</v>
      </c>
      <c r="DZ58">
        <v>2659</v>
      </c>
      <c r="EA58">
        <v>-2.0088786213526419</v>
      </c>
      <c r="EB58">
        <v>2</v>
      </c>
      <c r="EC58">
        <v>0.121547149361985</v>
      </c>
      <c r="ED58">
        <v>0.84836778280427372</v>
      </c>
      <c r="EE58" s="11">
        <v>-1.026</v>
      </c>
      <c r="EF58">
        <v>-1.0165</v>
      </c>
      <c r="EG58">
        <v>30.143271764705883</v>
      </c>
      <c r="EH58" t="s">
        <v>1250</v>
      </c>
      <c r="EI58">
        <v>0</v>
      </c>
      <c r="EJ58">
        <v>0</v>
      </c>
      <c r="EK58" s="13">
        <v>45470</v>
      </c>
      <c r="EL58" s="14">
        <v>0.92</v>
      </c>
      <c r="EM58" s="14">
        <v>-7.51</v>
      </c>
      <c r="EN58" s="14">
        <v>1.6</v>
      </c>
      <c r="EO58" s="14">
        <v>1.69</v>
      </c>
      <c r="EP58" s="14">
        <v>-0.95</v>
      </c>
    </row>
    <row r="59" spans="1:146" ht="108">
      <c r="A59" s="6"/>
      <c r="B59" s="6"/>
      <c r="C59" s="6" t="str">
        <f>""&amp;CHAR(10)&amp;Basic_Fundamental_Information_Constructure(F59)&amp;CHAR(10)&amp;Basic_Fundamental_Information_Concatenate("")</f>
        <v xml:space="preserve">
市值23.756339亿, 利润-2976.66万; PE; 平均PE135.52; 平均PEG7.9, PB3.86; ROIC2.065%; ROE1.2467%; 股利率0%; 毛利20.4567%; 净利-14.94%; 上一年度营收增-81.59%, 利润增-226.84%; 当季营收增4.2%, 利润增215.55%; 过往5年营收增-17.16%, 利润增983.43%
Income profile:
</v>
      </c>
      <c r="D59" t="s">
        <v>697</v>
      </c>
      <c r="E59" t="s">
        <v>3360</v>
      </c>
      <c r="F59">
        <v>8.1</v>
      </c>
      <c r="G59">
        <v>0.25</v>
      </c>
      <c r="H59" t="s">
        <v>3361</v>
      </c>
      <c r="I59">
        <v>2375633900</v>
      </c>
      <c r="K59">
        <v>3.86</v>
      </c>
      <c r="L59" t="s">
        <v>361</v>
      </c>
      <c r="M59" t="s">
        <v>3070</v>
      </c>
      <c r="N59" t="s">
        <v>298</v>
      </c>
      <c r="O59" t="s">
        <v>3362</v>
      </c>
      <c r="P59">
        <v>4.2</v>
      </c>
      <c r="Q59" t="s">
        <v>3363</v>
      </c>
      <c r="R59">
        <v>13443878</v>
      </c>
      <c r="S59" s="5">
        <v>2.1549999999999998</v>
      </c>
      <c r="T59" t="s">
        <v>3364</v>
      </c>
      <c r="U59">
        <v>293248700</v>
      </c>
      <c r="V59">
        <v>293288130</v>
      </c>
      <c r="W59">
        <v>1.58</v>
      </c>
      <c r="X59">
        <v>0.06</v>
      </c>
      <c r="Y59">
        <v>27.93</v>
      </c>
      <c r="Z59" t="s">
        <v>3365</v>
      </c>
      <c r="AA59" t="s">
        <v>3366</v>
      </c>
      <c r="AB59" t="s">
        <v>3367</v>
      </c>
      <c r="AC59" t="s">
        <v>3368</v>
      </c>
      <c r="AD59" t="s">
        <v>19</v>
      </c>
      <c r="AE59">
        <v>248115</v>
      </c>
      <c r="AF59" t="s">
        <v>20</v>
      </c>
      <c r="AG59" t="s">
        <v>3369</v>
      </c>
      <c r="AH59" t="s">
        <v>3370</v>
      </c>
      <c r="AI59" t="s">
        <v>3371</v>
      </c>
      <c r="AJ59" t="s">
        <v>3372</v>
      </c>
      <c r="AK59" t="s">
        <v>19</v>
      </c>
      <c r="AL59" t="s">
        <v>3373</v>
      </c>
      <c r="AM59" t="s">
        <v>19</v>
      </c>
      <c r="AN59">
        <v>0</v>
      </c>
      <c r="AO59" t="s">
        <v>3374</v>
      </c>
      <c r="AP59" t="s">
        <v>19</v>
      </c>
      <c r="AQ59" t="s">
        <v>82</v>
      </c>
      <c r="AR59" t="s">
        <v>3375</v>
      </c>
      <c r="AS59" t="s">
        <v>2067</v>
      </c>
      <c r="AT59" t="s">
        <v>3376</v>
      </c>
      <c r="AU59" t="s">
        <v>3377</v>
      </c>
      <c r="AV59" t="s">
        <v>3378</v>
      </c>
      <c r="AW59" t="s">
        <v>3379</v>
      </c>
      <c r="AX59" t="s">
        <v>343</v>
      </c>
      <c r="AY59" t="s">
        <v>1364</v>
      </c>
      <c r="AZ59" t="s">
        <v>243</v>
      </c>
      <c r="BA59" t="s">
        <v>165</v>
      </c>
      <c r="BB59" t="s">
        <v>700</v>
      </c>
      <c r="BC59" t="s">
        <v>1679</v>
      </c>
      <c r="BD59" t="s">
        <v>1151</v>
      </c>
      <c r="BE59" t="s">
        <v>699</v>
      </c>
      <c r="BF59" t="s">
        <v>701</v>
      </c>
      <c r="BG59" t="s">
        <v>702</v>
      </c>
      <c r="BH59" t="s">
        <v>3363</v>
      </c>
      <c r="BI59" t="s">
        <v>3380</v>
      </c>
      <c r="BJ59" t="s">
        <v>343</v>
      </c>
      <c r="BK59" t="s">
        <v>3364</v>
      </c>
      <c r="BL59" t="s">
        <v>2058</v>
      </c>
      <c r="BM59" t="s">
        <v>1679</v>
      </c>
      <c r="BN59">
        <v>0.35</v>
      </c>
      <c r="BO59">
        <v>3.78</v>
      </c>
      <c r="BP59" t="s">
        <v>19</v>
      </c>
      <c r="BQ59">
        <v>0.02</v>
      </c>
      <c r="BR59">
        <v>3.79</v>
      </c>
      <c r="BS59">
        <v>-7.0000000000000007E-2</v>
      </c>
      <c r="BT59" t="s">
        <v>1571</v>
      </c>
      <c r="BU59" t="s">
        <v>1334</v>
      </c>
      <c r="BV59">
        <v>18.78</v>
      </c>
      <c r="BW59">
        <v>24.95</v>
      </c>
      <c r="BX59">
        <v>17.64</v>
      </c>
      <c r="BY59">
        <v>-50.22</v>
      </c>
      <c r="BZ59">
        <v>6.08</v>
      </c>
      <c r="CA59">
        <v>-0.68</v>
      </c>
      <c r="CB59">
        <v>7</v>
      </c>
      <c r="CC59">
        <v>-24.23</v>
      </c>
      <c r="CD59" t="s">
        <v>3381</v>
      </c>
      <c r="CE59" t="s">
        <v>97</v>
      </c>
      <c r="CF59" s="8">
        <v>4.2009018332098136E-2</v>
      </c>
      <c r="CG59" s="9">
        <v>2.1554695458279545</v>
      </c>
      <c r="CH59" s="8">
        <v>-0.81590878963470459</v>
      </c>
      <c r="CI59" s="8">
        <v>0.25974026322364807</v>
      </c>
      <c r="CJ59" s="8">
        <v>6.9444447755813599E-2</v>
      </c>
      <c r="CK59" s="8">
        <v>-0.37796977162361145</v>
      </c>
      <c r="CL59" s="8">
        <v>6.5217390656471252E-3</v>
      </c>
      <c r="CM59" s="9">
        <v>-2.2683801651000977</v>
      </c>
      <c r="CN59" s="9">
        <v>53.361000061035156</v>
      </c>
      <c r="CO59" s="9">
        <v>-1.0626677274703979</v>
      </c>
      <c r="CP59" s="9">
        <v>-0.86384040117263794</v>
      </c>
      <c r="CQ59" s="9">
        <v>5.3553520701825619E-3</v>
      </c>
      <c r="CR59">
        <v>135.51973781788726</v>
      </c>
      <c r="CS59">
        <v>7.8958367469144122</v>
      </c>
      <c r="CT59">
        <v>0</v>
      </c>
      <c r="CU59" s="8">
        <v>-0.17163442224264144</v>
      </c>
      <c r="CV59" s="9">
        <v>9.8342934238724418</v>
      </c>
      <c r="CW59">
        <v>0.06</v>
      </c>
      <c r="CX59" t="e">
        <v>#VALUE!</v>
      </c>
      <c r="CY59" t="s">
        <v>1249</v>
      </c>
      <c r="CZ59">
        <v>-0.17163442224264144</v>
      </c>
      <c r="DA59" t="e">
        <v>#VALUE!</v>
      </c>
      <c r="DB59" t="s">
        <v>1249</v>
      </c>
      <c r="DC59">
        <v>-0.16305270113050938</v>
      </c>
      <c r="DD59" t="e">
        <v>#VALUE!</v>
      </c>
      <c r="DE59" t="s">
        <v>1249</v>
      </c>
      <c r="DF59">
        <v>-0.15103829157352447</v>
      </c>
      <c r="DG59" t="e">
        <v>#VALUE!</v>
      </c>
      <c r="DH59" t="s">
        <v>1249</v>
      </c>
      <c r="DI59">
        <v>-0.13730753779411317</v>
      </c>
      <c r="DJ59" t="e">
        <v>#VALUE!</v>
      </c>
      <c r="DK59" t="s">
        <v>1249</v>
      </c>
      <c r="DL59">
        <v>-0.12014409556984901</v>
      </c>
      <c r="DM59">
        <v>-29766600</v>
      </c>
      <c r="DN59">
        <v>-0.17163442224264144</v>
      </c>
      <c r="DO59">
        <v>2153633900</v>
      </c>
      <c r="DP59">
        <v>396743120</v>
      </c>
      <c r="DQ59">
        <v>2005</v>
      </c>
      <c r="DR59">
        <v>0.21364344057473958</v>
      </c>
      <c r="DS59">
        <v>-7.6788238780444873</v>
      </c>
      <c r="DT59" s="10">
        <v>-0.73999999999999988</v>
      </c>
      <c r="DU59">
        <v>-0.79166666666666696</v>
      </c>
      <c r="DV59">
        <v>-1.5316666666666667</v>
      </c>
      <c r="DW59">
        <v>7.2241434518091578</v>
      </c>
      <c r="DX59">
        <v>0.27515195530726311</v>
      </c>
      <c r="DY59">
        <v>7.030293425781327</v>
      </c>
      <c r="DZ59">
        <v>4043</v>
      </c>
      <c r="EA59">
        <v>7.006325457007569</v>
      </c>
      <c r="EB59">
        <v>7</v>
      </c>
      <c r="EC59">
        <v>8.2486120389529557E-2</v>
      </c>
      <c r="ED59">
        <v>0.61032132463049216</v>
      </c>
      <c r="EE59" s="11">
        <v>-1.0077100000000001</v>
      </c>
      <c r="EF59">
        <v>-1.0419100000000001</v>
      </c>
      <c r="EG59">
        <v>14.135151955307263</v>
      </c>
      <c r="EH59" t="s">
        <v>1265</v>
      </c>
      <c r="EI59">
        <v>1</v>
      </c>
      <c r="EJ59">
        <v>0</v>
      </c>
      <c r="EK59" s="13">
        <v>45470</v>
      </c>
      <c r="EL59" s="14">
        <v>1.97</v>
      </c>
      <c r="EM59" s="14">
        <v>-7.22</v>
      </c>
      <c r="EN59" s="14">
        <v>-3.61</v>
      </c>
      <c r="EO59" s="14">
        <v>5.19</v>
      </c>
      <c r="EP59" s="14">
        <v>-3.42</v>
      </c>
    </row>
    <row r="60" spans="1:146" ht="108">
      <c r="A60" s="6"/>
      <c r="B60" s="6"/>
      <c r="C60" s="6" t="str">
        <f>""&amp;CHAR(10)&amp;Basic_Fundamental_Information_Constructure(F60)&amp;CHAR(10)&amp;Basic_Fundamental_Information_Concatenate("")</f>
        <v xml:space="preserve">
市值13.600747亿, 利润8299.97万; PE30.74; 平均PE10.14; 平均PEG3.1, PB1.05; ROIC9.4233%; ROE9.7%; 股利率5.988%; 毛利37.5033%; 净利15.32%; 上一年度营收增-22.26%, 利润增-44.67%; 当季营收增-48.96%, 利润增-262.77%; 过往5年营收增-3.27%, 利润增-3.47%
Income profile:
</v>
      </c>
      <c r="D60" t="s">
        <v>703</v>
      </c>
      <c r="E60" t="s">
        <v>704</v>
      </c>
      <c r="F60">
        <v>8.35</v>
      </c>
      <c r="G60">
        <v>0.97</v>
      </c>
      <c r="H60" t="s">
        <v>3382</v>
      </c>
      <c r="I60">
        <v>1360074700</v>
      </c>
      <c r="J60">
        <v>30.74</v>
      </c>
      <c r="K60">
        <v>1.05</v>
      </c>
      <c r="L60" t="s">
        <v>361</v>
      </c>
      <c r="M60" t="s">
        <v>1650</v>
      </c>
      <c r="N60" t="s">
        <v>3383</v>
      </c>
      <c r="O60" t="s">
        <v>3384</v>
      </c>
      <c r="P60">
        <v>-48.92</v>
      </c>
      <c r="Q60" t="s">
        <v>287</v>
      </c>
      <c r="R60">
        <v>-53495586</v>
      </c>
      <c r="S60" s="5">
        <v>-2.6280000000000001</v>
      </c>
      <c r="T60" t="s">
        <v>3385</v>
      </c>
      <c r="U60">
        <v>113195350</v>
      </c>
      <c r="V60">
        <v>162883200</v>
      </c>
      <c r="W60">
        <v>1.34</v>
      </c>
      <c r="X60">
        <v>0.04</v>
      </c>
      <c r="Y60">
        <v>-80</v>
      </c>
      <c r="Z60" t="s">
        <v>105</v>
      </c>
      <c r="AA60" t="s">
        <v>3386</v>
      </c>
      <c r="AB60" t="s">
        <v>3387</v>
      </c>
      <c r="AC60" t="s">
        <v>3388</v>
      </c>
      <c r="AD60" t="s">
        <v>19</v>
      </c>
      <c r="AE60">
        <v>-485347</v>
      </c>
      <c r="AF60" t="s">
        <v>3389</v>
      </c>
      <c r="AG60" t="s">
        <v>19</v>
      </c>
      <c r="AH60" t="s">
        <v>3390</v>
      </c>
      <c r="AI60" t="s">
        <v>2341</v>
      </c>
      <c r="AJ60" t="s">
        <v>3391</v>
      </c>
      <c r="AK60" t="s">
        <v>3392</v>
      </c>
      <c r="AL60" t="s">
        <v>3393</v>
      </c>
      <c r="AM60" t="s">
        <v>19</v>
      </c>
      <c r="AN60">
        <v>0</v>
      </c>
      <c r="AO60" t="s">
        <v>19</v>
      </c>
      <c r="AP60" t="s">
        <v>19</v>
      </c>
      <c r="AQ60" t="s">
        <v>3394</v>
      </c>
      <c r="AR60" t="s">
        <v>3395</v>
      </c>
      <c r="AS60" t="s">
        <v>2423</v>
      </c>
      <c r="AT60" t="s">
        <v>19</v>
      </c>
      <c r="AU60" t="s">
        <v>3396</v>
      </c>
      <c r="AV60" t="s">
        <v>3397</v>
      </c>
      <c r="AW60" t="s">
        <v>3398</v>
      </c>
      <c r="AX60" t="s">
        <v>1493</v>
      </c>
      <c r="AY60" t="s">
        <v>1395</v>
      </c>
      <c r="AZ60" t="s">
        <v>706</v>
      </c>
      <c r="BA60" t="s">
        <v>708</v>
      </c>
      <c r="BB60" t="s">
        <v>709</v>
      </c>
      <c r="BC60" t="s">
        <v>35</v>
      </c>
      <c r="BD60" t="s">
        <v>40</v>
      </c>
      <c r="BE60" t="s">
        <v>81</v>
      </c>
      <c r="BF60" t="s">
        <v>653</v>
      </c>
      <c r="BG60" t="s">
        <v>28</v>
      </c>
      <c r="BH60" t="s">
        <v>287</v>
      </c>
      <c r="BI60" t="s">
        <v>158</v>
      </c>
      <c r="BJ60" t="s">
        <v>1493</v>
      </c>
      <c r="BK60" t="s">
        <v>3385</v>
      </c>
      <c r="BL60" t="s">
        <v>3399</v>
      </c>
      <c r="BM60" t="s">
        <v>35</v>
      </c>
      <c r="BN60">
        <v>3.45</v>
      </c>
      <c r="BO60">
        <v>10.99</v>
      </c>
      <c r="BP60">
        <v>13.83</v>
      </c>
      <c r="BQ60">
        <v>3.51</v>
      </c>
      <c r="BR60">
        <v>11.35</v>
      </c>
      <c r="BS60">
        <v>14.24</v>
      </c>
      <c r="BT60" t="s">
        <v>3400</v>
      </c>
      <c r="BU60" t="s">
        <v>1234</v>
      </c>
      <c r="BV60">
        <v>36.549999999999997</v>
      </c>
      <c r="BW60">
        <v>39.36</v>
      </c>
      <c r="BX60">
        <v>36.6</v>
      </c>
      <c r="BY60">
        <v>12.19</v>
      </c>
      <c r="BZ60">
        <v>17.059999999999999</v>
      </c>
      <c r="CA60">
        <v>16.71</v>
      </c>
      <c r="CB60">
        <v>-2.11</v>
      </c>
      <c r="CC60">
        <v>-16.420000000000002</v>
      </c>
      <c r="CD60" t="s">
        <v>3401</v>
      </c>
      <c r="CE60" t="s">
        <v>3402</v>
      </c>
      <c r="CF60" s="8">
        <v>-0.4895526717557252</v>
      </c>
      <c r="CG60" s="9">
        <v>-2.6277293965265862</v>
      </c>
      <c r="CH60" s="8">
        <v>-0.22260273993015289</v>
      </c>
      <c r="CI60" s="8">
        <v>-0.1461988240480423</v>
      </c>
      <c r="CJ60" s="8">
        <v>6.8750001490116119E-2</v>
      </c>
      <c r="CK60" s="8">
        <v>3.8961037993431091E-2</v>
      </c>
      <c r="CL60" s="8">
        <v>9.7387172281742096E-2</v>
      </c>
      <c r="CM60" s="9">
        <v>-0.44666868448257446</v>
      </c>
      <c r="CN60" s="9">
        <v>-0.12280701845884323</v>
      </c>
      <c r="CO60" s="9">
        <v>0.23913043737411499</v>
      </c>
      <c r="CP60" s="9">
        <v>-3.4965034574270248E-2</v>
      </c>
      <c r="CQ60" s="9">
        <v>0.19166666269302368</v>
      </c>
      <c r="CR60">
        <v>10.137206510760191</v>
      </c>
      <c r="CS60">
        <v>3.0962122564161523</v>
      </c>
      <c r="CT60">
        <v>5.9880239520958085</v>
      </c>
      <c r="CU60" s="8">
        <v>-3.274067044258118E-2</v>
      </c>
      <c r="CV60" s="9">
        <v>-3.4728727489709857E-2</v>
      </c>
      <c r="CW60">
        <v>0.06</v>
      </c>
      <c r="CX60" t="e">
        <v>#VALUE!</v>
      </c>
      <c r="CY60" t="s">
        <v>1284</v>
      </c>
      <c r="CZ60">
        <v>-3.274067044258118E-2</v>
      </c>
      <c r="DA60">
        <v>2.3336417681830977</v>
      </c>
      <c r="DB60" t="s">
        <v>3403</v>
      </c>
      <c r="DC60">
        <v>-3.1103636920452118E-2</v>
      </c>
      <c r="DD60">
        <v>1.1668208840915488</v>
      </c>
      <c r="DE60" t="s">
        <v>3404</v>
      </c>
      <c r="DF60">
        <v>-2.881178998947144E-2</v>
      </c>
      <c r="DG60">
        <v>0.70009253045492936</v>
      </c>
      <c r="DH60" t="s">
        <v>3405</v>
      </c>
      <c r="DI60">
        <v>-2.6192536354064946E-2</v>
      </c>
      <c r="DJ60">
        <v>0.35004626522746468</v>
      </c>
      <c r="DK60" t="s">
        <v>3406</v>
      </c>
      <c r="DL60">
        <v>-2.2918469309806823E-2</v>
      </c>
      <c r="DM60">
        <v>82999700</v>
      </c>
      <c r="DN60">
        <v>-3.274067044258118E-2</v>
      </c>
      <c r="DO60">
        <v>581074700</v>
      </c>
      <c r="DP60">
        <v>995237400</v>
      </c>
      <c r="DQ60">
        <v>2032</v>
      </c>
      <c r="DR60">
        <v>-0.45681200131314403</v>
      </c>
      <c r="DS60">
        <v>-2.5930006690368765</v>
      </c>
      <c r="DT60" s="10">
        <v>-0.60666666666666669</v>
      </c>
      <c r="DU60">
        <v>-0.83166666666666667</v>
      </c>
      <c r="DV60">
        <v>-1.4383333333333335</v>
      </c>
      <c r="DW60">
        <v>-3.00475</v>
      </c>
      <c r="DX60">
        <v>0.29878372627457683</v>
      </c>
      <c r="DY60">
        <v>-3.0006117226998041</v>
      </c>
      <c r="DZ60">
        <v>3974</v>
      </c>
      <c r="EA60">
        <v>-3.0001359915825789</v>
      </c>
      <c r="EB60">
        <v>3</v>
      </c>
      <c r="EC60">
        <v>4.644677904166912E-2</v>
      </c>
      <c r="ED60">
        <v>0.36065720712756133</v>
      </c>
      <c r="EE60" s="11">
        <v>-2.0670099999999998</v>
      </c>
      <c r="EF60">
        <v>-2.05531</v>
      </c>
      <c r="EG60">
        <v>17.128783726274577</v>
      </c>
      <c r="EH60" t="s">
        <v>1295</v>
      </c>
      <c r="EI60">
        <v>0</v>
      </c>
      <c r="EJ60">
        <v>0</v>
      </c>
      <c r="EK60" s="13">
        <v>45470</v>
      </c>
      <c r="EL60" s="14">
        <v>4.8</v>
      </c>
      <c r="EM60" s="14">
        <v>-5.44</v>
      </c>
      <c r="EN60" s="14">
        <v>2.59</v>
      </c>
      <c r="EO60" s="14">
        <v>-0.23</v>
      </c>
      <c r="EP60" s="14">
        <v>1.17</v>
      </c>
    </row>
    <row r="61" spans="1:146" ht="108">
      <c r="A61" s="6"/>
      <c r="B61" s="6"/>
      <c r="C61" s="6" t="str">
        <f>""&amp;CHAR(10)&amp;Basic_Fundamental_Information_Constructure(F61)&amp;CHAR(10)&amp;Basic_Fundamental_Information_Concatenate("")</f>
        <v xml:space="preserve">
市值15.479418亿, 利润796.21万; PE69.98; 平均PE33.91; 平均PEG.65, PB1.79; ROIC7.14%; ROE1.9767%; 股利率.1344%; 毛利5.6533%; 净利.57%; 上一年度营收增4.97%, 利润增43.33%; 当季营收增10.6%, 利润增144.67%; 过往5年营收增51.78%, 利润增-16.54%
Income profile:
</v>
      </c>
      <c r="D61" t="s">
        <v>712</v>
      </c>
      <c r="E61" t="s">
        <v>713</v>
      </c>
      <c r="F61">
        <v>7.44</v>
      </c>
      <c r="G61">
        <v>1.78</v>
      </c>
      <c r="H61" t="s">
        <v>3407</v>
      </c>
      <c r="I61">
        <v>1547941800</v>
      </c>
      <c r="J61">
        <v>69.98</v>
      </c>
      <c r="K61">
        <v>1.79</v>
      </c>
      <c r="L61" t="s">
        <v>361</v>
      </c>
      <c r="M61" t="s">
        <v>3408</v>
      </c>
      <c r="N61" t="s">
        <v>1979</v>
      </c>
      <c r="O61" t="s">
        <v>1993</v>
      </c>
      <c r="P61">
        <v>10.6</v>
      </c>
      <c r="Q61" t="s">
        <v>3409</v>
      </c>
      <c r="R61">
        <v>4370853</v>
      </c>
      <c r="S61" s="5">
        <v>1.4470000000000001</v>
      </c>
      <c r="T61" t="s">
        <v>3410</v>
      </c>
      <c r="U61">
        <v>196024660</v>
      </c>
      <c r="V61">
        <v>208056700</v>
      </c>
      <c r="W61">
        <v>15.08</v>
      </c>
      <c r="X61">
        <v>0.3</v>
      </c>
      <c r="Y61">
        <v>0.11</v>
      </c>
      <c r="Z61" t="s">
        <v>3411</v>
      </c>
      <c r="AA61" t="s">
        <v>1048</v>
      </c>
      <c r="AB61" t="s">
        <v>3412</v>
      </c>
      <c r="AC61" t="s">
        <v>3413</v>
      </c>
      <c r="AD61" t="s">
        <v>19</v>
      </c>
      <c r="AE61">
        <v>39771205</v>
      </c>
      <c r="AF61" t="s">
        <v>20</v>
      </c>
      <c r="AG61" t="s">
        <v>3414</v>
      </c>
      <c r="AH61" t="s">
        <v>3415</v>
      </c>
      <c r="AI61" t="s">
        <v>3416</v>
      </c>
      <c r="AJ61" t="s">
        <v>3417</v>
      </c>
      <c r="AK61" t="s">
        <v>3418</v>
      </c>
      <c r="AL61" t="s">
        <v>3419</v>
      </c>
      <c r="AM61" t="s">
        <v>19</v>
      </c>
      <c r="AN61" t="s">
        <v>3420</v>
      </c>
      <c r="AO61" t="s">
        <v>1092</v>
      </c>
      <c r="AP61" t="s">
        <v>3421</v>
      </c>
      <c r="AQ61" t="s">
        <v>3422</v>
      </c>
      <c r="AR61">
        <v>0.01</v>
      </c>
      <c r="AS61" t="s">
        <v>2181</v>
      </c>
      <c r="AT61" t="s">
        <v>19</v>
      </c>
      <c r="AU61" t="s">
        <v>3423</v>
      </c>
      <c r="AV61" t="s">
        <v>3424</v>
      </c>
      <c r="AW61" t="s">
        <v>3425</v>
      </c>
      <c r="AX61" t="s">
        <v>3426</v>
      </c>
      <c r="AY61" t="s">
        <v>1396</v>
      </c>
      <c r="AZ61" t="s">
        <v>1153</v>
      </c>
      <c r="BA61" t="s">
        <v>715</v>
      </c>
      <c r="BB61" t="s">
        <v>716</v>
      </c>
      <c r="BC61" t="s">
        <v>3427</v>
      </c>
      <c r="BD61" t="s">
        <v>1152</v>
      </c>
      <c r="BE61" t="s">
        <v>1154</v>
      </c>
      <c r="BF61" t="s">
        <v>717</v>
      </c>
      <c r="BG61" t="s">
        <v>718</v>
      </c>
      <c r="BH61" t="s">
        <v>3409</v>
      </c>
      <c r="BI61" t="s">
        <v>3428</v>
      </c>
      <c r="BJ61" t="s">
        <v>3426</v>
      </c>
      <c r="BK61" t="s">
        <v>3410</v>
      </c>
      <c r="BL61" t="s">
        <v>3429</v>
      </c>
      <c r="BM61" t="s">
        <v>3427</v>
      </c>
      <c r="BN61">
        <v>2.91</v>
      </c>
      <c r="BO61">
        <v>5.63</v>
      </c>
      <c r="BP61">
        <v>12.88</v>
      </c>
      <c r="BQ61">
        <v>1.1100000000000001</v>
      </c>
      <c r="BR61">
        <v>0.78</v>
      </c>
      <c r="BS61">
        <v>4.04</v>
      </c>
      <c r="BT61" t="s">
        <v>3430</v>
      </c>
      <c r="BU61" t="s">
        <v>1334</v>
      </c>
      <c r="BV61">
        <v>5.24</v>
      </c>
      <c r="BW61">
        <v>5.12</v>
      </c>
      <c r="BX61">
        <v>6.6</v>
      </c>
      <c r="BY61">
        <v>0.13</v>
      </c>
      <c r="BZ61">
        <v>0.53</v>
      </c>
      <c r="CA61">
        <v>1.05</v>
      </c>
      <c r="CB61">
        <v>0.13</v>
      </c>
      <c r="CC61">
        <v>-29.81</v>
      </c>
      <c r="CD61" t="s">
        <v>3431</v>
      </c>
      <c r="CE61" t="s">
        <v>81</v>
      </c>
      <c r="CF61" s="8">
        <v>0.10595272002278554</v>
      </c>
      <c r="CG61" s="9">
        <v>1.4466662919625977</v>
      </c>
      <c r="CH61" s="8">
        <v>4.9682270735502243E-2</v>
      </c>
      <c r="CI61" s="8">
        <v>0.47629979252815247</v>
      </c>
      <c r="CJ61" s="8">
        <v>1.1518145799636841</v>
      </c>
      <c r="CK61" s="8">
        <v>0.8732903003692627</v>
      </c>
      <c r="CL61" s="8">
        <v>3.7995848804712296E-2</v>
      </c>
      <c r="CM61" s="9">
        <v>0.43326973915100098</v>
      </c>
      <c r="CN61" s="9">
        <v>-0.84911197423934937</v>
      </c>
      <c r="CO61" s="9">
        <v>-0.45016053318977356</v>
      </c>
      <c r="CP61" s="9">
        <v>-0.23721611499786377</v>
      </c>
      <c r="CQ61" s="9">
        <v>0.2762000560760498</v>
      </c>
      <c r="CR61">
        <v>33.913913552783981</v>
      </c>
      <c r="CS61">
        <v>0.65494069274875566</v>
      </c>
      <c r="CT61">
        <v>0.13440860215053763</v>
      </c>
      <c r="CU61" s="8">
        <v>0.51781655848026276</v>
      </c>
      <c r="CV61" s="9">
        <v>-0.16540376543998719</v>
      </c>
      <c r="CW61">
        <v>0.06</v>
      </c>
      <c r="CX61">
        <v>1139.3736103771955</v>
      </c>
      <c r="CY61">
        <v>11400950.207807263</v>
      </c>
      <c r="CZ61">
        <v>0.51781655848026276</v>
      </c>
      <c r="DA61">
        <v>264.13455043591824</v>
      </c>
      <c r="DB61">
        <v>49179260.261718363</v>
      </c>
      <c r="DC61">
        <v>0.49192573055624961</v>
      </c>
      <c r="DD61">
        <v>77.698771751728628</v>
      </c>
      <c r="DE61">
        <v>167183360.90957579</v>
      </c>
      <c r="DF61">
        <v>0.45567857146263124</v>
      </c>
      <c r="DG61">
        <v>24.219058527328716</v>
      </c>
      <c r="DH61">
        <v>536352054.53350663</v>
      </c>
      <c r="DI61">
        <v>0.41425324678421022</v>
      </c>
      <c r="DJ61">
        <v>2.4064725551774933</v>
      </c>
      <c r="DK61">
        <v>5397918115.4808168</v>
      </c>
      <c r="DL61">
        <v>0.36247159093618392</v>
      </c>
      <c r="DM61">
        <v>7962100</v>
      </c>
      <c r="DN61">
        <v>0.51781655848026276</v>
      </c>
      <c r="DO61">
        <v>12989941800</v>
      </c>
      <c r="DP61">
        <v>434283700</v>
      </c>
      <c r="DQ61">
        <v>2088</v>
      </c>
      <c r="DR61">
        <v>-0.4118638384574772</v>
      </c>
      <c r="DS61">
        <v>1.6120700574025848</v>
      </c>
      <c r="DT61" s="10">
        <v>0.20999999999999996</v>
      </c>
      <c r="DU61">
        <v>0.15666666666666665</v>
      </c>
      <c r="DV61">
        <v>0.36666666666666659</v>
      </c>
      <c r="DW61">
        <v>-3.1561845238095239</v>
      </c>
      <c r="DX61">
        <v>0.28292681159420263</v>
      </c>
      <c r="DY61">
        <v>-3.0223229560084541</v>
      </c>
      <c r="DZ61">
        <v>921</v>
      </c>
      <c r="EA61">
        <v>-3.0182995817454823</v>
      </c>
      <c r="EB61">
        <v>3</v>
      </c>
      <c r="EC61">
        <v>9.480060002874216E-2</v>
      </c>
      <c r="ED61">
        <v>0.66328073068543336</v>
      </c>
      <c r="EE61" s="11">
        <v>1.8800000000000001E-2</v>
      </c>
      <c r="EF61">
        <v>3.6299999999999999E-2</v>
      </c>
      <c r="EG61">
        <v>14.142926811594203</v>
      </c>
      <c r="EH61" t="s">
        <v>1261</v>
      </c>
      <c r="EI61">
        <v>0</v>
      </c>
      <c r="EJ61">
        <v>1</v>
      </c>
      <c r="EK61" s="13">
        <v>45470</v>
      </c>
      <c r="EL61" s="14">
        <v>1.89</v>
      </c>
      <c r="EM61" s="14">
        <v>-4.7699999999999996</v>
      </c>
      <c r="EN61" s="14">
        <v>0.97</v>
      </c>
      <c r="EO61" s="14">
        <v>2.0699999999999998</v>
      </c>
      <c r="EP61" s="14">
        <v>1.75</v>
      </c>
    </row>
    <row r="62" spans="1:146" ht="108">
      <c r="A62" s="6"/>
      <c r="B62" s="6"/>
      <c r="C62" s="6" t="str">
        <f>""&amp;CHAR(10)&amp;Basic_Fundamental_Information_Constructure(F62)&amp;CHAR(10)&amp;Basic_Fundamental_Information_Concatenate("")</f>
        <v xml:space="preserve">
市值10.087828亿, 利润415.64万; PE; 平均PE1728.7; 平均PEG225.61, PB2.37; ROIC3.925%; ROE-8.4767%; 股利率.1351%; 毛利26.6367%; 净利-7.9567%; 上一年度营收增19.49%, 利润增102.31%; 当季营收增23.66%, 利润增-95.48%; 过往5年营收增7.66%, 利润增-112.84%
Income profile:
</v>
      </c>
      <c r="D62" t="s">
        <v>719</v>
      </c>
      <c r="E62" t="s">
        <v>720</v>
      </c>
      <c r="F62">
        <v>7.4</v>
      </c>
      <c r="G62">
        <v>2.21</v>
      </c>
      <c r="H62" t="s">
        <v>3432</v>
      </c>
      <c r="I62">
        <v>1008782800</v>
      </c>
      <c r="K62">
        <v>2.37</v>
      </c>
      <c r="L62" t="s">
        <v>361</v>
      </c>
      <c r="M62" t="s">
        <v>160</v>
      </c>
      <c r="N62" t="s">
        <v>149</v>
      </c>
      <c r="O62" t="s">
        <v>1466</v>
      </c>
      <c r="P62">
        <v>23.86</v>
      </c>
      <c r="Q62" t="s">
        <v>1853</v>
      </c>
      <c r="R62">
        <v>475021</v>
      </c>
      <c r="S62" s="5">
        <v>-0.95479999999999998</v>
      </c>
      <c r="T62" t="s">
        <v>3433</v>
      </c>
      <c r="U62">
        <v>120258624</v>
      </c>
      <c r="V62">
        <v>136322000</v>
      </c>
      <c r="W62">
        <v>2.81</v>
      </c>
      <c r="X62">
        <v>0.13</v>
      </c>
      <c r="Y62">
        <v>1.23</v>
      </c>
      <c r="Z62" t="s">
        <v>218</v>
      </c>
      <c r="AA62" t="s">
        <v>23</v>
      </c>
      <c r="AB62" t="s">
        <v>3434</v>
      </c>
      <c r="AC62" t="s">
        <v>3435</v>
      </c>
      <c r="AD62" t="s">
        <v>19</v>
      </c>
      <c r="AE62">
        <v>3544420</v>
      </c>
      <c r="AF62" t="s">
        <v>3436</v>
      </c>
      <c r="AG62">
        <v>190.12</v>
      </c>
      <c r="AH62" t="s">
        <v>3437</v>
      </c>
      <c r="AI62" t="s">
        <v>107</v>
      </c>
      <c r="AJ62" t="s">
        <v>3438</v>
      </c>
      <c r="AK62" t="s">
        <v>3439</v>
      </c>
      <c r="AL62" t="s">
        <v>3440</v>
      </c>
      <c r="AM62" t="s">
        <v>19</v>
      </c>
      <c r="AN62" t="s">
        <v>3441</v>
      </c>
      <c r="AO62" t="s">
        <v>1113</v>
      </c>
      <c r="AP62" t="s">
        <v>19</v>
      </c>
      <c r="AQ62" t="s">
        <v>3442</v>
      </c>
      <c r="AR62" t="s">
        <v>19</v>
      </c>
      <c r="AS62" t="s">
        <v>1924</v>
      </c>
      <c r="AT62" t="s">
        <v>87</v>
      </c>
      <c r="AU62" t="s">
        <v>3443</v>
      </c>
      <c r="AV62" t="s">
        <v>3444</v>
      </c>
      <c r="AW62" t="s">
        <v>3445</v>
      </c>
      <c r="AX62" t="s">
        <v>1380</v>
      </c>
      <c r="AY62" t="s">
        <v>555</v>
      </c>
      <c r="AZ62" t="s">
        <v>722</v>
      </c>
      <c r="BA62" t="s">
        <v>195</v>
      </c>
      <c r="BB62" t="s">
        <v>724</v>
      </c>
      <c r="BC62" t="s">
        <v>1682</v>
      </c>
      <c r="BD62" t="s">
        <v>1155</v>
      </c>
      <c r="BE62" t="s">
        <v>723</v>
      </c>
      <c r="BF62" t="s">
        <v>725</v>
      </c>
      <c r="BG62" t="s">
        <v>726</v>
      </c>
      <c r="BH62" t="s">
        <v>1853</v>
      </c>
      <c r="BI62" t="s">
        <v>158</v>
      </c>
      <c r="BJ62" t="s">
        <v>1380</v>
      </c>
      <c r="BK62" t="s">
        <v>3433</v>
      </c>
      <c r="BL62" t="s">
        <v>3446</v>
      </c>
      <c r="BM62" t="s">
        <v>1682</v>
      </c>
      <c r="BN62">
        <v>2.39</v>
      </c>
      <c r="BO62" t="s">
        <v>19</v>
      </c>
      <c r="BP62">
        <v>5.46</v>
      </c>
      <c r="BQ62">
        <v>0.75</v>
      </c>
      <c r="BR62">
        <v>-31.32</v>
      </c>
      <c r="BS62">
        <v>5.14</v>
      </c>
      <c r="BT62" t="s">
        <v>3430</v>
      </c>
      <c r="BU62" t="s">
        <v>1234</v>
      </c>
      <c r="BV62">
        <v>21.47</v>
      </c>
      <c r="BW62">
        <v>27.53</v>
      </c>
      <c r="BX62">
        <v>30.91</v>
      </c>
      <c r="BY62">
        <v>1.32</v>
      </c>
      <c r="BZ62">
        <v>-31.73</v>
      </c>
      <c r="CA62">
        <v>6.54</v>
      </c>
      <c r="CB62">
        <v>-1.99</v>
      </c>
      <c r="CC62">
        <v>-15.72</v>
      </c>
      <c r="CD62" t="s">
        <v>3447</v>
      </c>
      <c r="CE62" t="s">
        <v>171</v>
      </c>
      <c r="CF62" s="8">
        <v>0.23664122137404581</v>
      </c>
      <c r="CG62" s="9">
        <v>-0.95483346169571459</v>
      </c>
      <c r="CH62" s="8">
        <v>0.19491524994373322</v>
      </c>
      <c r="CI62" s="8">
        <v>-2.4793388321995735E-2</v>
      </c>
      <c r="CJ62" s="8">
        <v>0.10603290796279907</v>
      </c>
      <c r="CK62" s="8">
        <v>-3.0141843482851982E-2</v>
      </c>
      <c r="CL62" s="8">
        <v>0.13709677755832672</v>
      </c>
      <c r="CM62" s="9">
        <v>1.0230910778045654</v>
      </c>
      <c r="CN62" s="9">
        <v>-6.3859963417053223</v>
      </c>
      <c r="CO62" s="9">
        <v>0.11978180706501007</v>
      </c>
      <c r="CP62" s="9">
        <v>-0.51190030574798584</v>
      </c>
      <c r="CQ62" s="9">
        <v>0.11306597292423248</v>
      </c>
      <c r="CR62">
        <v>1728.6998543398167</v>
      </c>
      <c r="CS62">
        <v>225.61420890998133</v>
      </c>
      <c r="CT62">
        <v>0.13513513513513514</v>
      </c>
      <c r="CU62" s="8">
        <v>7.6621940732002264E-2</v>
      </c>
      <c r="CV62" s="9">
        <v>-1.1283915579318999</v>
      </c>
      <c r="CW62">
        <v>0.06</v>
      </c>
      <c r="CX62">
        <v>319.26051707290702</v>
      </c>
      <c r="CY62">
        <v>4221576.8249608437</v>
      </c>
      <c r="CZ62">
        <v>7.6621940732002264E-2</v>
      </c>
      <c r="DA62">
        <v>105.52177937506389</v>
      </c>
      <c r="DB62">
        <v>12772555.656112239</v>
      </c>
      <c r="DC62">
        <v>7.2790843695402146E-2</v>
      </c>
      <c r="DD62">
        <v>52.735964289379943</v>
      </c>
      <c r="DE62">
        <v>25557185.085386194</v>
      </c>
      <c r="DF62">
        <v>6.7427307844161996E-2</v>
      </c>
      <c r="DG62">
        <v>32.20903819946134</v>
      </c>
      <c r="DH62">
        <v>41844863.285068229</v>
      </c>
      <c r="DI62">
        <v>6.1297552585601815E-2</v>
      </c>
      <c r="DJ62">
        <v>17.261311311621188</v>
      </c>
      <c r="DK62">
        <v>78081136.228196308</v>
      </c>
      <c r="DL62">
        <v>5.3635358512401581E-2</v>
      </c>
      <c r="DM62">
        <v>4156400</v>
      </c>
      <c r="DN62">
        <v>7.6621940732002264E-2</v>
      </c>
      <c r="DO62">
        <v>1347782800</v>
      </c>
      <c r="DP62">
        <v>204121370</v>
      </c>
      <c r="DQ62">
        <v>2102</v>
      </c>
      <c r="DR62">
        <v>0.16001928064204354</v>
      </c>
      <c r="DS62">
        <v>0.17355809623618534</v>
      </c>
      <c r="DT62" s="10">
        <v>-0.27333333333333337</v>
      </c>
      <c r="DU62">
        <v>-0.94</v>
      </c>
      <c r="DV62">
        <v>-1.2133333333333334</v>
      </c>
      <c r="DW62">
        <v>-2.1572</v>
      </c>
      <c r="DX62">
        <v>0.37689313725490137</v>
      </c>
      <c r="DY62">
        <v>-2.0215196011764704</v>
      </c>
      <c r="DZ62">
        <v>3776</v>
      </c>
      <c r="EA62">
        <v>-2.0056178371760103</v>
      </c>
      <c r="EB62">
        <v>2</v>
      </c>
      <c r="EC62">
        <v>0.1024273411481639</v>
      </c>
      <c r="ED62">
        <v>0.74822845908950864</v>
      </c>
      <c r="EE62" s="11">
        <v>-1.1023000000000001</v>
      </c>
      <c r="EF62">
        <v>-1.0956999999999999</v>
      </c>
      <c r="EG62">
        <v>24.136893137254901</v>
      </c>
      <c r="EH62" t="s">
        <v>1250</v>
      </c>
      <c r="EI62">
        <v>0</v>
      </c>
      <c r="EJ62">
        <v>0</v>
      </c>
      <c r="EK62" s="13">
        <v>45470</v>
      </c>
      <c r="EL62" s="14">
        <v>1.45</v>
      </c>
      <c r="EM62" s="14">
        <v>-6.48</v>
      </c>
      <c r="EN62" s="14">
        <v>0.55000000000000004</v>
      </c>
      <c r="EO62" s="14">
        <v>4.2699999999999996</v>
      </c>
      <c r="EP62" s="14">
        <v>-0.66</v>
      </c>
    </row>
    <row r="63" spans="1:146" ht="108">
      <c r="A63" s="6"/>
      <c r="B63" s="6"/>
      <c r="C63" s="6" t="str">
        <f>""&amp;CHAR(10)&amp;Basic_Fundamental_Information_Constructure(F63)&amp;CHAR(10)&amp;Basic_Fundamental_Information_Concatenate("")</f>
        <v xml:space="preserve">
市值13.2813859亿, 利润934.23万; PE191.8; 平均PE35.79; 平均PEG10.74, PB2.42; ROIC3.5567%; ROE3.8867%; 股利率.5982%; 毛利20.82%; 净利2.9733%; 上一年度营收增-52.97%, 利润增-17.38%; 当季营收增-7.74%, 利润增-22.97%; 过往5年营收增-3.33%, 利润增-22.98%
Income profile:
</v>
      </c>
      <c r="D63" t="s">
        <v>727</v>
      </c>
      <c r="E63" t="s">
        <v>728</v>
      </c>
      <c r="F63">
        <v>10.029999999999999</v>
      </c>
      <c r="G63">
        <v>1.42</v>
      </c>
      <c r="H63" t="s">
        <v>3448</v>
      </c>
      <c r="I63">
        <v>1328138590</v>
      </c>
      <c r="J63">
        <v>191.8</v>
      </c>
      <c r="K63">
        <v>2.42</v>
      </c>
      <c r="L63" t="s">
        <v>361</v>
      </c>
      <c r="M63" t="s">
        <v>1683</v>
      </c>
      <c r="N63" t="s">
        <v>721</v>
      </c>
      <c r="O63" t="s">
        <v>3449</v>
      </c>
      <c r="P63">
        <v>-7.74</v>
      </c>
      <c r="Q63" t="s">
        <v>1611</v>
      </c>
      <c r="R63">
        <v>8114217</v>
      </c>
      <c r="S63" s="5">
        <v>-0.22969999999999999</v>
      </c>
      <c r="T63" t="s">
        <v>3450</v>
      </c>
      <c r="U63">
        <v>105077229</v>
      </c>
      <c r="V63">
        <v>132416609</v>
      </c>
      <c r="W63">
        <v>1.89</v>
      </c>
      <c r="X63">
        <v>0.06</v>
      </c>
      <c r="Y63">
        <v>12.19</v>
      </c>
      <c r="Z63" t="s">
        <v>3451</v>
      </c>
      <c r="AA63" t="s">
        <v>3452</v>
      </c>
      <c r="AB63" t="s">
        <v>3453</v>
      </c>
      <c r="AC63" t="s">
        <v>3454</v>
      </c>
      <c r="AD63" t="s">
        <v>19</v>
      </c>
      <c r="AE63">
        <v>-464055</v>
      </c>
      <c r="AF63" t="s">
        <v>3455</v>
      </c>
      <c r="AG63">
        <v>6219.33</v>
      </c>
      <c r="AH63" t="s">
        <v>3456</v>
      </c>
      <c r="AI63" t="s">
        <v>53</v>
      </c>
      <c r="AJ63" t="s">
        <v>3457</v>
      </c>
      <c r="AK63" t="s">
        <v>3458</v>
      </c>
      <c r="AL63" t="s">
        <v>3459</v>
      </c>
      <c r="AM63" t="s">
        <v>19</v>
      </c>
      <c r="AN63">
        <v>0</v>
      </c>
      <c r="AO63" t="s">
        <v>19</v>
      </c>
      <c r="AP63" t="s">
        <v>19</v>
      </c>
      <c r="AQ63" t="s">
        <v>537</v>
      </c>
      <c r="AR63" t="s">
        <v>19</v>
      </c>
      <c r="AS63" t="s">
        <v>3460</v>
      </c>
      <c r="AT63" t="s">
        <v>19</v>
      </c>
      <c r="AU63" t="s">
        <v>3461</v>
      </c>
      <c r="AV63" t="s">
        <v>3462</v>
      </c>
      <c r="AW63" t="s">
        <v>3463</v>
      </c>
      <c r="AX63" t="s">
        <v>1684</v>
      </c>
      <c r="AY63" t="s">
        <v>1397</v>
      </c>
      <c r="AZ63" t="s">
        <v>729</v>
      </c>
      <c r="BA63" t="s">
        <v>628</v>
      </c>
      <c r="BB63" t="s">
        <v>332</v>
      </c>
      <c r="BC63" t="s">
        <v>1685</v>
      </c>
      <c r="BD63" t="s">
        <v>1157</v>
      </c>
      <c r="BE63" t="s">
        <v>730</v>
      </c>
      <c r="BF63" t="s">
        <v>731</v>
      </c>
      <c r="BG63" t="s">
        <v>732</v>
      </c>
      <c r="BH63" t="s">
        <v>1611</v>
      </c>
      <c r="BI63" t="s">
        <v>3464</v>
      </c>
      <c r="BJ63" t="s">
        <v>1684</v>
      </c>
      <c r="BK63" t="s">
        <v>3450</v>
      </c>
      <c r="BL63" t="s">
        <v>3465</v>
      </c>
      <c r="BM63" t="s">
        <v>1685</v>
      </c>
      <c r="BN63">
        <v>2.42</v>
      </c>
      <c r="BO63">
        <v>1.71</v>
      </c>
      <c r="BP63">
        <v>6.54</v>
      </c>
      <c r="BQ63">
        <v>2.72</v>
      </c>
      <c r="BR63">
        <v>2.11</v>
      </c>
      <c r="BS63">
        <v>6.83</v>
      </c>
      <c r="BT63" t="s">
        <v>1583</v>
      </c>
      <c r="BU63" t="s">
        <v>1334</v>
      </c>
      <c r="BV63">
        <v>26.55</v>
      </c>
      <c r="BW63">
        <v>17.16</v>
      </c>
      <c r="BX63">
        <v>18.75</v>
      </c>
      <c r="BY63">
        <v>2.84</v>
      </c>
      <c r="BZ63">
        <v>1.72</v>
      </c>
      <c r="CA63">
        <v>4.3600000000000003</v>
      </c>
      <c r="CB63">
        <v>-3.84</v>
      </c>
      <c r="CC63">
        <v>-24.53</v>
      </c>
      <c r="CD63" t="s">
        <v>3466</v>
      </c>
      <c r="CE63" t="s">
        <v>79</v>
      </c>
      <c r="CF63" s="8">
        <v>-7.743351947925993E-2</v>
      </c>
      <c r="CG63" s="9">
        <v>-0.22965319181255459</v>
      </c>
      <c r="CH63" s="8">
        <v>-0.52968037128448486</v>
      </c>
      <c r="CI63" s="8">
        <v>-0.12283044308423996</v>
      </c>
      <c r="CJ63" s="8">
        <v>-7.0719599723815918E-2</v>
      </c>
      <c r="CK63" s="8">
        <v>-2.6570048183202744E-2</v>
      </c>
      <c r="CL63" s="8">
        <v>0.58317399024963379</v>
      </c>
      <c r="CM63" s="9">
        <v>-0.1737523078918457</v>
      </c>
      <c r="CN63" s="9">
        <v>-0.65385168790817261</v>
      </c>
      <c r="CO63" s="9">
        <v>-0.35064747929573059</v>
      </c>
      <c r="CP63" s="9">
        <v>-0.24588680267333984</v>
      </c>
      <c r="CQ63" s="9">
        <v>0.27492573857307434</v>
      </c>
      <c r="CR63">
        <v>35.791616167786231</v>
      </c>
      <c r="CS63">
        <v>10.740075011063617</v>
      </c>
      <c r="CT63">
        <v>0.59820538384845467</v>
      </c>
      <c r="CU63" s="8">
        <v>-3.3325294405221938E-2</v>
      </c>
      <c r="CV63" s="9">
        <v>-0.22984250783920288</v>
      </c>
      <c r="CW63">
        <v>0.06</v>
      </c>
      <c r="CX63">
        <v>142.27102426597304</v>
      </c>
      <c r="CY63" t="s">
        <v>3467</v>
      </c>
      <c r="CZ63">
        <v>-3.3325294405221938E-2</v>
      </c>
      <c r="DA63">
        <v>47.423674755324349</v>
      </c>
      <c r="DB63" t="s">
        <v>3468</v>
      </c>
      <c r="DC63">
        <v>-3.1659029684960836E-2</v>
      </c>
      <c r="DD63">
        <v>23.711837377662174</v>
      </c>
      <c r="DE63" t="s">
        <v>3469</v>
      </c>
      <c r="DF63">
        <v>-2.9326259076595307E-2</v>
      </c>
      <c r="DG63">
        <v>14.227102426597305</v>
      </c>
      <c r="DH63" t="s">
        <v>3470</v>
      </c>
      <c r="DI63">
        <v>-2.6660235524177553E-2</v>
      </c>
      <c r="DJ63">
        <v>7.1135512132986527</v>
      </c>
      <c r="DK63" t="s">
        <v>3471</v>
      </c>
      <c r="DL63">
        <v>-2.3327706083655354E-2</v>
      </c>
      <c r="DM63">
        <v>9342300</v>
      </c>
      <c r="DN63">
        <v>-3.3325294405221938E-2</v>
      </c>
      <c r="DO63">
        <v>1329138590</v>
      </c>
      <c r="DP63">
        <v>243362750</v>
      </c>
      <c r="DQ63">
        <v>2115</v>
      </c>
      <c r="DR63">
        <v>-4.4108225074037992E-2</v>
      </c>
      <c r="DS63">
        <v>1.8931602664828961E-4</v>
      </c>
      <c r="DT63" s="10">
        <v>-0.50666666666666671</v>
      </c>
      <c r="DU63">
        <v>-0.83666666666666678</v>
      </c>
      <c r="DV63">
        <v>-1.3433333333333335</v>
      </c>
      <c r="DW63">
        <v>-8.1565430085609449</v>
      </c>
      <c r="DX63">
        <v>0.2755026086956528</v>
      </c>
      <c r="DY63">
        <v>-8.0212119860330748</v>
      </c>
      <c r="DZ63">
        <v>3893</v>
      </c>
      <c r="EA63">
        <v>-8.0050518565562143</v>
      </c>
      <c r="EB63">
        <v>8</v>
      </c>
      <c r="EC63">
        <v>0.11768010159511032</v>
      </c>
      <c r="ED63">
        <v>0.86847111452612402</v>
      </c>
      <c r="EE63" s="11">
        <v>-2.0095100000000001</v>
      </c>
      <c r="EF63">
        <v>-2.0066099999999998</v>
      </c>
      <c r="EG63">
        <v>14.135502608695653</v>
      </c>
      <c r="EH63" t="s">
        <v>1295</v>
      </c>
      <c r="EI63">
        <v>0</v>
      </c>
      <c r="EJ63">
        <v>0</v>
      </c>
      <c r="EK63" s="13">
        <v>45470</v>
      </c>
      <c r="EL63" s="14">
        <v>4.5599999999999996</v>
      </c>
      <c r="EM63" s="14">
        <v>-3.25</v>
      </c>
      <c r="EN63" s="14">
        <v>-2.2999999999999998</v>
      </c>
      <c r="EO63" s="14">
        <v>2.46</v>
      </c>
      <c r="EP63" s="14">
        <v>0.28999999999999998</v>
      </c>
    </row>
    <row r="64" spans="1:146" ht="108">
      <c r="A64" s="6"/>
      <c r="B64" s="6"/>
      <c r="C64" s="6" t="str">
        <f>""&amp;CHAR(10)&amp;Basic_Fundamental_Information_Constructure(F64)&amp;CHAR(10)&amp;Basic_Fundamental_Information_Concatenate("")</f>
        <v xml:space="preserve">
市值18.695212亿, 利润5737.41万; PE43.91; 平均PE39.31; 平均PEG1.92, PB2.41; ROIC4.55%; ROE4.6567%; 股利率1.9317%; 毛利36.59%; 净利5.8467%; 上一年度营收增71.4%, 利润增150.78%; 当季营收增-10.18%, 利润增-251.93%; 过往5年营收增20.45%, 利润增18.68%
Income profile:
</v>
      </c>
      <c r="D64" t="s">
        <v>733</v>
      </c>
      <c r="E64" t="s">
        <v>734</v>
      </c>
      <c r="F64">
        <v>15.53</v>
      </c>
      <c r="G64">
        <v>1.64</v>
      </c>
      <c r="H64" t="s">
        <v>3472</v>
      </c>
      <c r="I64">
        <v>1869521200</v>
      </c>
      <c r="J64">
        <v>43.91</v>
      </c>
      <c r="K64">
        <v>2.41</v>
      </c>
      <c r="L64" t="s">
        <v>361</v>
      </c>
      <c r="M64" t="s">
        <v>73</v>
      </c>
      <c r="N64" t="s">
        <v>3473</v>
      </c>
      <c r="O64" t="s">
        <v>3474</v>
      </c>
      <c r="P64">
        <v>-9.85</v>
      </c>
      <c r="Q64" t="s">
        <v>1397</v>
      </c>
      <c r="R64">
        <v>-8921733</v>
      </c>
      <c r="S64" s="5">
        <v>-2.5190000000000001</v>
      </c>
      <c r="T64" t="s">
        <v>3475</v>
      </c>
      <c r="U64">
        <v>80351046</v>
      </c>
      <c r="V64">
        <v>120381273</v>
      </c>
      <c r="W64">
        <v>1.51</v>
      </c>
      <c r="X64">
        <v>0.08</v>
      </c>
      <c r="Y64">
        <v>-8.51</v>
      </c>
      <c r="Z64" t="s">
        <v>106</v>
      </c>
      <c r="AA64" t="s">
        <v>3476</v>
      </c>
      <c r="AB64" t="s">
        <v>3477</v>
      </c>
      <c r="AC64" t="s">
        <v>3478</v>
      </c>
      <c r="AD64" t="s">
        <v>19</v>
      </c>
      <c r="AE64">
        <v>-75261</v>
      </c>
      <c r="AF64" t="s">
        <v>3479</v>
      </c>
      <c r="AG64">
        <v>200.05</v>
      </c>
      <c r="AH64" t="s">
        <v>3480</v>
      </c>
      <c r="AI64" t="s">
        <v>218</v>
      </c>
      <c r="AJ64" t="s">
        <v>3481</v>
      </c>
      <c r="AK64" t="s">
        <v>3482</v>
      </c>
      <c r="AL64" t="s">
        <v>3483</v>
      </c>
      <c r="AM64" t="s">
        <v>19</v>
      </c>
      <c r="AN64">
        <v>0</v>
      </c>
      <c r="AO64" t="s">
        <v>3374</v>
      </c>
      <c r="AP64" t="s">
        <v>19</v>
      </c>
      <c r="AQ64" t="s">
        <v>321</v>
      </c>
      <c r="AR64" t="s">
        <v>19</v>
      </c>
      <c r="AS64" t="s">
        <v>61</v>
      </c>
      <c r="AT64" t="s">
        <v>19</v>
      </c>
      <c r="AU64" t="s">
        <v>3484</v>
      </c>
      <c r="AV64" t="s">
        <v>3485</v>
      </c>
      <c r="AW64" t="s">
        <v>3486</v>
      </c>
      <c r="AX64" t="s">
        <v>231</v>
      </c>
      <c r="AY64" t="s">
        <v>303</v>
      </c>
      <c r="AZ64" t="s">
        <v>103</v>
      </c>
      <c r="BA64" t="s">
        <v>736</v>
      </c>
      <c r="BB64" t="s">
        <v>640</v>
      </c>
      <c r="BC64" t="s">
        <v>3487</v>
      </c>
      <c r="BD64" t="s">
        <v>1158</v>
      </c>
      <c r="BE64" t="s">
        <v>735</v>
      </c>
      <c r="BF64" t="s">
        <v>737</v>
      </c>
      <c r="BG64" t="s">
        <v>738</v>
      </c>
      <c r="BH64" t="s">
        <v>1397</v>
      </c>
      <c r="BI64" t="s">
        <v>46</v>
      </c>
      <c r="BJ64" t="s">
        <v>231</v>
      </c>
      <c r="BK64" t="s">
        <v>3475</v>
      </c>
      <c r="BL64" t="s">
        <v>3488</v>
      </c>
      <c r="BM64" t="s">
        <v>3487</v>
      </c>
      <c r="BN64">
        <v>6.71</v>
      </c>
      <c r="BO64">
        <v>3.39</v>
      </c>
      <c r="BP64">
        <v>3.55</v>
      </c>
      <c r="BQ64">
        <v>6.77</v>
      </c>
      <c r="BR64">
        <v>3.45</v>
      </c>
      <c r="BS64">
        <v>3.75</v>
      </c>
      <c r="BT64" t="s">
        <v>1580</v>
      </c>
      <c r="BU64" t="s">
        <v>1234</v>
      </c>
      <c r="BV64">
        <v>30.45</v>
      </c>
      <c r="BW64">
        <v>39.64</v>
      </c>
      <c r="BX64">
        <v>39.68</v>
      </c>
      <c r="BY64">
        <v>7.81</v>
      </c>
      <c r="BZ64">
        <v>5.25</v>
      </c>
      <c r="CA64">
        <v>4.4800000000000004</v>
      </c>
      <c r="CB64">
        <v>-6.22</v>
      </c>
      <c r="CC64">
        <v>-9.5</v>
      </c>
      <c r="CD64" t="s">
        <v>3489</v>
      </c>
      <c r="CE64" t="s">
        <v>3490</v>
      </c>
      <c r="CF64" s="8">
        <v>-0.10177545454545467</v>
      </c>
      <c r="CG64" s="9">
        <v>-2.5193428245431786</v>
      </c>
      <c r="CH64" s="8">
        <v>0.71395879983901978</v>
      </c>
      <c r="CI64" s="8">
        <v>0.14397905766963959</v>
      </c>
      <c r="CJ64" s="8">
        <v>0.22435897588729858</v>
      </c>
      <c r="CK64" s="8">
        <v>-0.20000000298023224</v>
      </c>
      <c r="CL64" s="8">
        <v>0.14035087823867798</v>
      </c>
      <c r="CM64" s="9">
        <v>1.5078284740447998</v>
      </c>
      <c r="CN64" s="9">
        <v>0.33683153986930847</v>
      </c>
      <c r="CO64" s="9">
        <v>-0.15784500539302826</v>
      </c>
      <c r="CP64" s="9">
        <v>-0.75822198390960693</v>
      </c>
      <c r="CQ64" s="9">
        <v>5.2926987409591675E-3</v>
      </c>
      <c r="CR64">
        <v>39.311112544087386</v>
      </c>
      <c r="CS64">
        <v>1.922026139178115</v>
      </c>
      <c r="CT64">
        <v>1.9317450096587252</v>
      </c>
      <c r="CU64" s="8">
        <v>0.20452954173088073</v>
      </c>
      <c r="CV64" s="9">
        <v>0.18677714467048645</v>
      </c>
      <c r="CW64">
        <v>0.06</v>
      </c>
      <c r="CX64">
        <v>22.754446739882017</v>
      </c>
      <c r="CY64">
        <v>65196979.603982762</v>
      </c>
      <c r="CZ64">
        <v>0.20452954173088073</v>
      </c>
      <c r="DA64">
        <v>6.7574297302760433</v>
      </c>
      <c r="DB64">
        <v>219539271.4708108</v>
      </c>
      <c r="DC64">
        <v>0.19430306464433669</v>
      </c>
      <c r="DD64">
        <v>2.9118629538016512</v>
      </c>
      <c r="DE64">
        <v>509474938.73746842</v>
      </c>
      <c r="DF64">
        <v>0.17998599672317503</v>
      </c>
      <c r="DG64">
        <v>1.4938922062691178</v>
      </c>
      <c r="DH64">
        <v>993057727.84301579</v>
      </c>
      <c r="DI64">
        <v>0.16362363338470459</v>
      </c>
      <c r="DJ64">
        <v>0.53291089452349305</v>
      </c>
      <c r="DK64">
        <v>2783807227.8978333</v>
      </c>
      <c r="DL64">
        <v>0.1431706792116165</v>
      </c>
      <c r="DM64">
        <v>57374100</v>
      </c>
      <c r="DN64">
        <v>0.20452954173088073</v>
      </c>
      <c r="DO64">
        <v>1483521200</v>
      </c>
      <c r="DP64">
        <v>605935120</v>
      </c>
      <c r="DQ64">
        <v>2134</v>
      </c>
      <c r="DR64">
        <v>-0.3063049962763354</v>
      </c>
      <c r="DS64">
        <v>-2.706119969213665</v>
      </c>
      <c r="DT64" s="10">
        <v>-9.0000000000000011E-2</v>
      </c>
      <c r="DU64">
        <v>-0.78166666666666673</v>
      </c>
      <c r="DV64">
        <v>-0.8716666666666667</v>
      </c>
      <c r="DW64">
        <v>-9.6547368421052635</v>
      </c>
      <c r="DX64">
        <v>0.26781272552321334</v>
      </c>
      <c r="DY64">
        <v>-9.0902310687109882</v>
      </c>
      <c r="DZ64">
        <v>3428</v>
      </c>
      <c r="EA64">
        <v>-9.0297003243780587</v>
      </c>
      <c r="EB64">
        <v>9</v>
      </c>
      <c r="EC64">
        <v>3.8071536259630681E-2</v>
      </c>
      <c r="ED64">
        <v>0.27625559334299449</v>
      </c>
      <c r="EE64" s="11">
        <v>3.0350999999999999</v>
      </c>
      <c r="EF64">
        <v>3.0766</v>
      </c>
      <c r="EG64">
        <v>13.137812725523213</v>
      </c>
      <c r="EH64" t="s">
        <v>1296</v>
      </c>
      <c r="EI64">
        <v>0</v>
      </c>
      <c r="EJ64">
        <v>0</v>
      </c>
      <c r="EK64" s="13">
        <v>45470</v>
      </c>
      <c r="EL64" s="14">
        <v>14.29</v>
      </c>
      <c r="EM64" s="14">
        <v>2.02</v>
      </c>
      <c r="EN64" s="14">
        <v>-4.38</v>
      </c>
      <c r="EO64" s="14">
        <v>-0.06</v>
      </c>
      <c r="EP64" s="14">
        <v>4.1500000000000004</v>
      </c>
    </row>
    <row r="65" spans="1:146" ht="108">
      <c r="A65" s="6"/>
      <c r="B65" s="6"/>
      <c r="C65" s="6" t="str">
        <f>""&amp;CHAR(10)&amp;Basic_Fundamental_Information_Constructure(F65)&amp;CHAR(10)&amp;Basic_Fundamental_Information_Concatenate("")</f>
        <v xml:space="preserve">
市值16.632004亿, 利润2362.64万; PE41.08; 平均PE38.92; 平均PEG26.27, PB2.83; ROIC6.685%; ROE4.6733%; 股利率.3527%; 毛利34.87%; 净利10.5567%; 上一年度营收增-12.24%, 利润增-67.7%; 当季营收增-2.33%, 利润增43.78%; 过往5年营收增1.48%, 利润增4.73%
Income profile:
</v>
      </c>
      <c r="D65" t="s">
        <v>739</v>
      </c>
      <c r="E65" t="s">
        <v>740</v>
      </c>
      <c r="F65">
        <v>11.34</v>
      </c>
      <c r="G65">
        <v>-1.82</v>
      </c>
      <c r="H65" t="s">
        <v>3491</v>
      </c>
      <c r="I65">
        <v>1663200400</v>
      </c>
      <c r="J65">
        <v>41.08</v>
      </c>
      <c r="K65">
        <v>2.83</v>
      </c>
      <c r="L65" t="s">
        <v>361</v>
      </c>
      <c r="M65" t="s">
        <v>214</v>
      </c>
      <c r="N65" t="s">
        <v>3492</v>
      </c>
      <c r="O65" t="s">
        <v>3493</v>
      </c>
      <c r="P65">
        <v>-2.33</v>
      </c>
      <c r="Q65" t="s">
        <v>115</v>
      </c>
      <c r="R65">
        <v>-21652369</v>
      </c>
      <c r="S65" s="7">
        <v>0.43780000000000002</v>
      </c>
      <c r="T65" t="s">
        <v>3494</v>
      </c>
      <c r="U65">
        <v>146666700</v>
      </c>
      <c r="V65">
        <v>146666700</v>
      </c>
      <c r="W65">
        <v>2.23</v>
      </c>
      <c r="X65">
        <v>0.04</v>
      </c>
      <c r="Y65">
        <v>-33.369999999999997</v>
      </c>
      <c r="Z65" t="s">
        <v>3495</v>
      </c>
      <c r="AA65" t="s">
        <v>3496</v>
      </c>
      <c r="AB65" t="s">
        <v>3497</v>
      </c>
      <c r="AC65" t="s">
        <v>3498</v>
      </c>
      <c r="AD65" t="s">
        <v>19</v>
      </c>
      <c r="AE65">
        <v>3875810</v>
      </c>
      <c r="AF65" t="s">
        <v>3499</v>
      </c>
      <c r="AG65" t="s">
        <v>3500</v>
      </c>
      <c r="AH65" t="s">
        <v>3501</v>
      </c>
      <c r="AI65" t="s">
        <v>31</v>
      </c>
      <c r="AJ65" t="s">
        <v>3502</v>
      </c>
      <c r="AK65" t="s">
        <v>3503</v>
      </c>
      <c r="AL65" t="s">
        <v>3504</v>
      </c>
      <c r="AM65" t="s">
        <v>19</v>
      </c>
      <c r="AN65">
        <v>0</v>
      </c>
      <c r="AO65" t="s">
        <v>153</v>
      </c>
      <c r="AP65" t="s">
        <v>19</v>
      </c>
      <c r="AQ65" t="s">
        <v>146</v>
      </c>
      <c r="AR65" t="s">
        <v>3505</v>
      </c>
      <c r="AS65" t="s">
        <v>2999</v>
      </c>
      <c r="AT65" t="s">
        <v>152</v>
      </c>
      <c r="AU65" t="s">
        <v>3506</v>
      </c>
      <c r="AV65" t="s">
        <v>3507</v>
      </c>
      <c r="AW65" t="s">
        <v>3508</v>
      </c>
      <c r="AX65" t="s">
        <v>1687</v>
      </c>
      <c r="AY65" t="s">
        <v>1398</v>
      </c>
      <c r="AZ65" t="s">
        <v>290</v>
      </c>
      <c r="BA65" t="s">
        <v>554</v>
      </c>
      <c r="BB65" t="s">
        <v>654</v>
      </c>
      <c r="BC65" t="s">
        <v>1688</v>
      </c>
      <c r="BD65" t="s">
        <v>1159</v>
      </c>
      <c r="BE65" t="s">
        <v>741</v>
      </c>
      <c r="BF65" t="s">
        <v>742</v>
      </c>
      <c r="BG65" t="s">
        <v>743</v>
      </c>
      <c r="BH65" t="s">
        <v>115</v>
      </c>
      <c r="BI65" t="s">
        <v>3509</v>
      </c>
      <c r="BJ65" t="s">
        <v>1687</v>
      </c>
      <c r="BK65" t="s">
        <v>3494</v>
      </c>
      <c r="BL65" t="s">
        <v>3510</v>
      </c>
      <c r="BM65" t="s">
        <v>1688</v>
      </c>
      <c r="BN65" t="s">
        <v>19</v>
      </c>
      <c r="BO65">
        <v>7.88</v>
      </c>
      <c r="BP65">
        <v>5.49</v>
      </c>
      <c r="BQ65">
        <v>-7.52</v>
      </c>
      <c r="BR65">
        <v>12.95</v>
      </c>
      <c r="BS65">
        <v>8.59</v>
      </c>
      <c r="BT65" t="s">
        <v>3511</v>
      </c>
      <c r="BU65" t="s">
        <v>1234</v>
      </c>
      <c r="BV65">
        <v>28.02</v>
      </c>
      <c r="BW65">
        <v>37.26</v>
      </c>
      <c r="BX65">
        <v>39.33</v>
      </c>
      <c r="BY65">
        <v>6.41</v>
      </c>
      <c r="BZ65">
        <v>15.8</v>
      </c>
      <c r="CA65">
        <v>9.4600000000000009</v>
      </c>
      <c r="CB65">
        <v>1.25</v>
      </c>
      <c r="CC65">
        <v>-11.48</v>
      </c>
      <c r="CD65" t="s">
        <v>3512</v>
      </c>
      <c r="CE65" t="s">
        <v>3513</v>
      </c>
      <c r="CF65" s="8">
        <v>-2.3345752482424938E-2</v>
      </c>
      <c r="CG65" s="9">
        <v>0.43784173016759054</v>
      </c>
      <c r="CH65" s="8">
        <v>-0.12236286699771881</v>
      </c>
      <c r="CI65" s="8">
        <v>-5.765407532453537E-2</v>
      </c>
      <c r="CJ65" s="8">
        <v>-5.9288535267114639E-3</v>
      </c>
      <c r="CK65" s="8">
        <v>8.1196583807468414E-2</v>
      </c>
      <c r="CL65" s="8">
        <v>0.17884130775928497</v>
      </c>
      <c r="CM65" s="9">
        <v>-0.67696577310562134</v>
      </c>
      <c r="CN65" s="9">
        <v>0.6433219313621521</v>
      </c>
      <c r="CO65" s="9">
        <v>1.4594247564673424E-2</v>
      </c>
      <c r="CP65" s="9">
        <v>0.19785696268081665</v>
      </c>
      <c r="CQ65" s="9">
        <v>5.7466186583042145E-2</v>
      </c>
      <c r="CR65">
        <v>38.921888291492863</v>
      </c>
      <c r="CS65">
        <v>26.265884312237539</v>
      </c>
      <c r="CT65">
        <v>0.35273368606701944</v>
      </c>
      <c r="CU65" s="8">
        <v>1.4818419143557549E-2</v>
      </c>
      <c r="CV65" s="9">
        <v>4.7254711017012598E-2</v>
      </c>
      <c r="CW65">
        <v>0.06</v>
      </c>
      <c r="CX65">
        <v>81.753047434619944</v>
      </c>
      <c r="CY65">
        <v>22619345.186842781</v>
      </c>
      <c r="CZ65">
        <v>1.4818419143557549E-2</v>
      </c>
      <c r="DA65">
        <v>28.487260733234059</v>
      </c>
      <c r="DB65">
        <v>64913240.248567298</v>
      </c>
      <c r="DC65">
        <v>1.4077498186379671E-2</v>
      </c>
      <c r="DD65">
        <v>15.240973431813709</v>
      </c>
      <c r="DE65">
        <v>121330859.09985352</v>
      </c>
      <c r="DF65">
        <v>1.3040208846330644E-2</v>
      </c>
      <c r="DG65">
        <v>10.017396488254848</v>
      </c>
      <c r="DH65">
        <v>184598902.73567012</v>
      </c>
      <c r="DI65">
        <v>1.185473531484604E-2</v>
      </c>
      <c r="DJ65">
        <v>6.2335554382135294</v>
      </c>
      <c r="DK65">
        <v>296652595.50975633</v>
      </c>
      <c r="DL65">
        <v>1.0372893400490284E-2</v>
      </c>
      <c r="DM65">
        <v>23626400</v>
      </c>
      <c r="DN65">
        <v>1.4818419143557549E-2</v>
      </c>
      <c r="DO65">
        <v>1849200400</v>
      </c>
      <c r="DP65">
        <v>128181470</v>
      </c>
      <c r="DQ65">
        <v>2141</v>
      </c>
      <c r="DR65">
        <v>-3.8164171625982485E-2</v>
      </c>
      <c r="DS65">
        <v>0.39058701915057792</v>
      </c>
      <c r="DT65" s="10">
        <v>-0.34</v>
      </c>
      <c r="DU65">
        <v>-0.375</v>
      </c>
      <c r="DV65">
        <v>-0.71500000000000008</v>
      </c>
      <c r="DW65">
        <v>-2.1147999999999998</v>
      </c>
      <c r="DX65">
        <v>0.38835681818181744</v>
      </c>
      <c r="DY65">
        <v>-2.0342513627272729</v>
      </c>
      <c r="DZ65">
        <v>3225</v>
      </c>
      <c r="EA65">
        <v>-2.0126347981880448</v>
      </c>
      <c r="EB65">
        <v>2</v>
      </c>
      <c r="EC65">
        <v>0.35802810044815897</v>
      </c>
      <c r="ED65">
        <v>1.1999997272727894</v>
      </c>
      <c r="EE65" s="11">
        <v>-1.0859000000000001</v>
      </c>
      <c r="EF65">
        <v>-1.0841000000000001</v>
      </c>
      <c r="EG65">
        <v>9.2983568181818175</v>
      </c>
      <c r="EH65" t="s">
        <v>1250</v>
      </c>
      <c r="EI65">
        <v>0</v>
      </c>
      <c r="EJ65">
        <v>0</v>
      </c>
      <c r="EK65" s="13">
        <v>45470</v>
      </c>
      <c r="EL65" s="14">
        <v>1.47</v>
      </c>
      <c r="EM65" s="14">
        <v>-6.14</v>
      </c>
      <c r="EN65" s="14">
        <v>0.64</v>
      </c>
      <c r="EO65" s="14">
        <v>1.45</v>
      </c>
      <c r="EP65" s="14">
        <v>-0.18</v>
      </c>
    </row>
    <row r="66" spans="1:146" ht="108">
      <c r="A66" s="6"/>
      <c r="B66" s="6"/>
      <c r="C66" s="6" t="str">
        <f>""&amp;CHAR(10)&amp;Basic_Fundamental_Information_Constructure(F66)&amp;CHAR(10)&amp;Basic_Fundamental_Information_Concatenate("")</f>
        <v xml:space="preserve">
市值39.47844亿, 利润5432.92万; PE71.63; 平均PE62.9; 平均PEG1.84, PB2.82; ROIC3.5167%; ROE4.3%; 股利率.4751%; 毛利20.61%; 净利2.6267%; 上一年度营收增-7.21%, 利润增-35.25%; 当季营收增26.98%, 利润增4.5%; 过往5年营收增34.11%, 利润增3.94%
Income profile:
</v>
      </c>
      <c r="D66" t="s">
        <v>744</v>
      </c>
      <c r="E66" t="s">
        <v>745</v>
      </c>
      <c r="F66">
        <v>21.05</v>
      </c>
      <c r="G66">
        <v>1.35</v>
      </c>
      <c r="H66" t="s">
        <v>3514</v>
      </c>
      <c r="I66">
        <v>3947844000</v>
      </c>
      <c r="J66">
        <v>71.63</v>
      </c>
      <c r="K66">
        <v>2.82</v>
      </c>
      <c r="L66" t="s">
        <v>361</v>
      </c>
      <c r="M66" t="s">
        <v>3515</v>
      </c>
      <c r="N66" t="s">
        <v>2057</v>
      </c>
      <c r="O66" t="s">
        <v>1714</v>
      </c>
      <c r="P66">
        <v>27.04</v>
      </c>
      <c r="Q66" t="s">
        <v>3516</v>
      </c>
      <c r="R66">
        <v>18238743</v>
      </c>
      <c r="S66" s="5">
        <v>4.4999999999999998E-2</v>
      </c>
      <c r="T66" t="s">
        <v>3517</v>
      </c>
      <c r="U66">
        <v>186589510</v>
      </c>
      <c r="V66">
        <v>187546040</v>
      </c>
      <c r="W66">
        <v>2.87</v>
      </c>
      <c r="X66">
        <v>0.1</v>
      </c>
      <c r="Y66">
        <v>2.57</v>
      </c>
      <c r="Z66" t="s">
        <v>1411</v>
      </c>
      <c r="AA66" t="s">
        <v>366</v>
      </c>
      <c r="AB66" t="s">
        <v>3518</v>
      </c>
      <c r="AC66" t="s">
        <v>3519</v>
      </c>
      <c r="AD66" t="s">
        <v>19</v>
      </c>
      <c r="AE66">
        <v>7647010</v>
      </c>
      <c r="AF66" t="s">
        <v>3520</v>
      </c>
      <c r="AG66" t="s">
        <v>3521</v>
      </c>
      <c r="AH66" t="s">
        <v>3522</v>
      </c>
      <c r="AI66" t="s">
        <v>582</v>
      </c>
      <c r="AJ66" t="s">
        <v>3523</v>
      </c>
      <c r="AK66" t="s">
        <v>3524</v>
      </c>
      <c r="AL66" t="s">
        <v>3525</v>
      </c>
      <c r="AM66" t="s">
        <v>19</v>
      </c>
      <c r="AN66" t="s">
        <v>34</v>
      </c>
      <c r="AO66" t="s">
        <v>1475</v>
      </c>
      <c r="AP66" t="s">
        <v>343</v>
      </c>
      <c r="AQ66" t="s">
        <v>1910</v>
      </c>
      <c r="AR66" t="s">
        <v>19</v>
      </c>
      <c r="AS66" t="s">
        <v>1977</v>
      </c>
      <c r="AT66" t="s">
        <v>22</v>
      </c>
      <c r="AU66" t="s">
        <v>3526</v>
      </c>
      <c r="AV66" t="s">
        <v>3527</v>
      </c>
      <c r="AW66" t="s">
        <v>1913</v>
      </c>
      <c r="AX66" t="s">
        <v>1689</v>
      </c>
      <c r="AY66" t="s">
        <v>1399</v>
      </c>
      <c r="AZ66" t="s">
        <v>746</v>
      </c>
      <c r="BA66" t="s">
        <v>200</v>
      </c>
      <c r="BB66" t="s">
        <v>748</v>
      </c>
      <c r="BC66" t="s">
        <v>3528</v>
      </c>
      <c r="BD66" t="s">
        <v>1160</v>
      </c>
      <c r="BE66" t="s">
        <v>747</v>
      </c>
      <c r="BF66" t="s">
        <v>749</v>
      </c>
      <c r="BG66" t="s">
        <v>750</v>
      </c>
      <c r="BH66" t="s">
        <v>3516</v>
      </c>
      <c r="BI66" t="s">
        <v>461</v>
      </c>
      <c r="BJ66" t="s">
        <v>1689</v>
      </c>
      <c r="BK66" t="s">
        <v>3517</v>
      </c>
      <c r="BL66" t="s">
        <v>3529</v>
      </c>
      <c r="BM66" t="s">
        <v>3528</v>
      </c>
      <c r="BN66">
        <v>2.11</v>
      </c>
      <c r="BO66">
        <v>5.0599999999999996</v>
      </c>
      <c r="BP66">
        <v>3.38</v>
      </c>
      <c r="BQ66">
        <v>2.2599999999999998</v>
      </c>
      <c r="BR66">
        <v>6.81</v>
      </c>
      <c r="BS66">
        <v>3.83</v>
      </c>
      <c r="BT66" t="s">
        <v>1572</v>
      </c>
      <c r="BU66" t="s">
        <v>1336</v>
      </c>
      <c r="BV66">
        <v>19.760000000000002</v>
      </c>
      <c r="BW66">
        <v>20.079999999999998</v>
      </c>
      <c r="BX66">
        <v>21.99</v>
      </c>
      <c r="BY66">
        <v>2.63</v>
      </c>
      <c r="BZ66">
        <v>3.37</v>
      </c>
      <c r="CA66">
        <v>1.88</v>
      </c>
      <c r="CB66">
        <v>-3.22</v>
      </c>
      <c r="CC66">
        <v>-16.8</v>
      </c>
      <c r="CD66" t="s">
        <v>3530</v>
      </c>
      <c r="CE66" t="s">
        <v>3531</v>
      </c>
      <c r="CF66" s="8">
        <v>0.26979472140762462</v>
      </c>
      <c r="CG66" s="9">
        <v>4.4966626370037642E-2</v>
      </c>
      <c r="CH66" s="8">
        <v>-7.208029180765152E-2</v>
      </c>
      <c r="CI66" s="8">
        <v>0.39795917272567749</v>
      </c>
      <c r="CJ66" s="8">
        <v>0.60000002384185791</v>
      </c>
      <c r="CK66" s="8">
        <v>-0.3194444477558136</v>
      </c>
      <c r="CL66" s="8">
        <v>1.0991253852844238</v>
      </c>
      <c r="CM66" s="9">
        <v>-0.35250923037528992</v>
      </c>
      <c r="CN66" s="9">
        <v>1.0582716464996338</v>
      </c>
      <c r="CO66" s="9">
        <v>-0.19939550757408142</v>
      </c>
      <c r="CP66" s="9">
        <v>-0.30383592844009399</v>
      </c>
      <c r="CQ66" s="9">
        <v>-5.3200391121208668E-3</v>
      </c>
      <c r="CR66">
        <v>62.897694005284698</v>
      </c>
      <c r="CS66">
        <v>1.843901704465835</v>
      </c>
      <c r="CT66">
        <v>0.47505938242280282</v>
      </c>
      <c r="CU66" s="8">
        <v>0.34111196845769881</v>
      </c>
      <c r="CV66" s="9">
        <v>3.9442188199609519E-2</v>
      </c>
      <c r="CW66">
        <v>0.06</v>
      </c>
      <c r="CX66">
        <v>78.528598379698479</v>
      </c>
      <c r="CY66">
        <v>68737302.223332077</v>
      </c>
      <c r="CZ66">
        <v>0.34111196845769881</v>
      </c>
      <c r="DA66">
        <v>20.880050182955529</v>
      </c>
      <c r="DB66">
        <v>258516811.63133803</v>
      </c>
      <c r="DC66">
        <v>0.32405637003481386</v>
      </c>
      <c r="DD66">
        <v>7.6297482204297857</v>
      </c>
      <c r="DE66">
        <v>707473411.18629181</v>
      </c>
      <c r="DF66">
        <v>0.30017853224277496</v>
      </c>
      <c r="DG66">
        <v>3.1740918175096731</v>
      </c>
      <c r="DH66">
        <v>1700594787.5304492</v>
      </c>
      <c r="DI66">
        <v>0.27288957476615905</v>
      </c>
      <c r="DJ66">
        <v>0.66439205268133328</v>
      </c>
      <c r="DK66">
        <v>8124486104.5756721</v>
      </c>
      <c r="DL66">
        <v>0.23877837792038914</v>
      </c>
      <c r="DM66">
        <v>54329200</v>
      </c>
      <c r="DN66">
        <v>0.34111196845769881</v>
      </c>
      <c r="DO66">
        <v>5397844000</v>
      </c>
      <c r="DP66">
        <v>634422400</v>
      </c>
      <c r="DQ66">
        <v>2177</v>
      </c>
      <c r="DR66">
        <v>-7.1317247050074195E-2</v>
      </c>
      <c r="DS66">
        <v>5.5244381704281226E-3</v>
      </c>
      <c r="DT66" s="10">
        <v>5.9999999999999977E-2</v>
      </c>
      <c r="DU66">
        <v>-0.11666666666666665</v>
      </c>
      <c r="DV66">
        <v>-5.6666666666666678E-2</v>
      </c>
      <c r="DW66">
        <v>-8.1916666666666664</v>
      </c>
      <c r="DX66">
        <v>0.37243674147922889</v>
      </c>
      <c r="DY66">
        <v>-8.021550375450186</v>
      </c>
      <c r="DZ66">
        <v>1840</v>
      </c>
      <c r="EA66">
        <v>-8.013790553370276</v>
      </c>
      <c r="EB66">
        <v>8</v>
      </c>
      <c r="EC66">
        <v>2.4486787350988588E-2</v>
      </c>
      <c r="ED66">
        <v>0.21778279082832142</v>
      </c>
      <c r="EE66" s="11">
        <v>1.1043099999999999</v>
      </c>
      <c r="EF66">
        <v>1.1308100000000001</v>
      </c>
      <c r="EG66">
        <v>26.112436741479229</v>
      </c>
      <c r="EH66" t="s">
        <v>1242</v>
      </c>
      <c r="EI66">
        <v>0</v>
      </c>
      <c r="EJ66">
        <v>0</v>
      </c>
      <c r="EK66" s="13">
        <v>45470</v>
      </c>
      <c r="EL66" s="14">
        <v>1.18</v>
      </c>
      <c r="EM66" s="14">
        <v>-4.54</v>
      </c>
      <c r="EN66" s="14">
        <v>-2.36</v>
      </c>
      <c r="EO66" s="14">
        <v>3.48</v>
      </c>
      <c r="EP66" s="14">
        <v>-2.65</v>
      </c>
    </row>
    <row r="67" spans="1:146" ht="72">
      <c r="A67" s="6" t="s">
        <v>1103</v>
      </c>
      <c r="B67" s="6"/>
      <c r="C67" s="6" t="s">
        <v>1458</v>
      </c>
      <c r="D67" t="s">
        <v>751</v>
      </c>
      <c r="E67" t="s">
        <v>752</v>
      </c>
      <c r="F67">
        <v>7.52</v>
      </c>
      <c r="G67">
        <v>1.08</v>
      </c>
      <c r="H67" t="s">
        <v>3532</v>
      </c>
      <c r="I67">
        <v>2438818700</v>
      </c>
      <c r="J67">
        <v>40.33</v>
      </c>
      <c r="K67">
        <v>0.86299999999999999</v>
      </c>
      <c r="L67" t="s">
        <v>361</v>
      </c>
      <c r="M67" t="s">
        <v>3533</v>
      </c>
      <c r="N67" t="s">
        <v>3534</v>
      </c>
      <c r="O67" t="s">
        <v>128</v>
      </c>
      <c r="P67">
        <v>-26.93</v>
      </c>
      <c r="Q67" t="s">
        <v>3535</v>
      </c>
      <c r="R67">
        <v>-34486022</v>
      </c>
      <c r="S67" s="5">
        <v>-1.829</v>
      </c>
      <c r="T67" t="s">
        <v>174</v>
      </c>
      <c r="U67">
        <v>323740440</v>
      </c>
      <c r="V67">
        <v>324310990</v>
      </c>
      <c r="W67">
        <v>2.3199999999999998</v>
      </c>
      <c r="X67">
        <v>0.05</v>
      </c>
      <c r="Y67">
        <v>-10.63</v>
      </c>
      <c r="Z67" t="s">
        <v>1829</v>
      </c>
      <c r="AA67" t="s">
        <v>191</v>
      </c>
      <c r="AB67" t="s">
        <v>3536</v>
      </c>
      <c r="AC67" t="s">
        <v>3537</v>
      </c>
      <c r="AD67" t="s">
        <v>19</v>
      </c>
      <c r="AE67">
        <v>10271727</v>
      </c>
      <c r="AF67" t="s">
        <v>3538</v>
      </c>
      <c r="AG67" t="s">
        <v>3539</v>
      </c>
      <c r="AH67" t="s">
        <v>3540</v>
      </c>
      <c r="AI67" t="s">
        <v>3541</v>
      </c>
      <c r="AJ67" t="s">
        <v>3542</v>
      </c>
      <c r="AK67" t="s">
        <v>3543</v>
      </c>
      <c r="AL67" t="s">
        <v>3544</v>
      </c>
      <c r="AM67" t="s">
        <v>19</v>
      </c>
      <c r="AN67" t="s">
        <v>3545</v>
      </c>
      <c r="AO67" t="s">
        <v>3546</v>
      </c>
      <c r="AP67" t="s">
        <v>3547</v>
      </c>
      <c r="AQ67" t="s">
        <v>3297</v>
      </c>
      <c r="AR67" t="s">
        <v>3548</v>
      </c>
      <c r="AS67" t="s">
        <v>3549</v>
      </c>
      <c r="AT67" t="s">
        <v>367</v>
      </c>
      <c r="AU67" t="s">
        <v>1839</v>
      </c>
      <c r="AV67" t="s">
        <v>3550</v>
      </c>
      <c r="AW67" t="s">
        <v>127</v>
      </c>
      <c r="AX67" t="s">
        <v>593</v>
      </c>
      <c r="AY67" t="s">
        <v>1400</v>
      </c>
      <c r="AZ67" t="s">
        <v>753</v>
      </c>
      <c r="BA67" t="s">
        <v>755</v>
      </c>
      <c r="BB67" t="s">
        <v>164</v>
      </c>
      <c r="BC67" t="s">
        <v>292</v>
      </c>
      <c r="BD67" t="s">
        <v>1125</v>
      </c>
      <c r="BE67" t="s">
        <v>30</v>
      </c>
      <c r="BF67" t="s">
        <v>333</v>
      </c>
      <c r="BG67" t="s">
        <v>45</v>
      </c>
      <c r="BH67" t="s">
        <v>3535</v>
      </c>
      <c r="BI67" t="s">
        <v>1964</v>
      </c>
      <c r="BJ67" t="s">
        <v>593</v>
      </c>
      <c r="BK67" t="s">
        <v>174</v>
      </c>
      <c r="BL67" t="s">
        <v>3551</v>
      </c>
      <c r="BM67" t="s">
        <v>292</v>
      </c>
      <c r="BN67">
        <v>3.16</v>
      </c>
      <c r="BO67">
        <v>7.07</v>
      </c>
      <c r="BP67">
        <v>9.69</v>
      </c>
      <c r="BQ67">
        <v>3.53</v>
      </c>
      <c r="BR67">
        <v>8.77</v>
      </c>
      <c r="BS67">
        <v>12.7</v>
      </c>
      <c r="BT67" t="s">
        <v>1578</v>
      </c>
      <c r="BU67" t="s">
        <v>1234</v>
      </c>
      <c r="BV67">
        <v>33.299999999999997</v>
      </c>
      <c r="BW67">
        <v>31.82</v>
      </c>
      <c r="BX67">
        <v>36.99</v>
      </c>
      <c r="BY67">
        <v>5.56</v>
      </c>
      <c r="BZ67">
        <v>9.7799999999999994</v>
      </c>
      <c r="CA67">
        <v>15.7</v>
      </c>
      <c r="CB67">
        <v>-11.84</v>
      </c>
      <c r="CC67">
        <v>-21.17</v>
      </c>
      <c r="CD67" t="s">
        <v>3552</v>
      </c>
      <c r="CE67" t="s">
        <v>1657</v>
      </c>
      <c r="CF67" s="8">
        <v>-0.27027027027027034</v>
      </c>
      <c r="CG67" s="9">
        <v>-1.8294973854228302</v>
      </c>
      <c r="CH67" s="8">
        <v>-7.3277577757835388E-2</v>
      </c>
      <c r="CI67" s="8">
        <v>0.22368423640727997</v>
      </c>
      <c r="CJ67" s="8">
        <v>8.8016964495182037E-2</v>
      </c>
      <c r="CK67" s="8">
        <v>0.19442680478096008</v>
      </c>
      <c r="CL67" s="8">
        <v>0.38752201199531555</v>
      </c>
      <c r="CM67" s="9">
        <v>-0.44758063554763794</v>
      </c>
      <c r="CN67" s="9">
        <v>-0.2274143248796463</v>
      </c>
      <c r="CO67" s="9">
        <v>4.9019608646631241E-2</v>
      </c>
      <c r="CP67" s="9">
        <v>0.13333334028720856</v>
      </c>
      <c r="CQ67" s="9">
        <v>-0.10596026480197906</v>
      </c>
      <c r="CR67">
        <v>9.2379496212121204</v>
      </c>
      <c r="CS67">
        <v>0.56303388386028752</v>
      </c>
      <c r="CT67">
        <v>2.6595744680851063</v>
      </c>
      <c r="CU67" s="8">
        <v>0.16407448798418045</v>
      </c>
      <c r="CV67" s="9">
        <v>-0.1197204552590847</v>
      </c>
      <c r="CW67">
        <v>0.06</v>
      </c>
      <c r="CX67">
        <v>21.946120005600797</v>
      </c>
      <c r="CY67">
        <v>150451136.65455917</v>
      </c>
      <c r="CZ67">
        <v>0.16407448798418045</v>
      </c>
      <c r="DA67">
        <v>6.7393801290896471</v>
      </c>
      <c r="DB67">
        <v>489929138.40074611</v>
      </c>
      <c r="DC67">
        <v>0.15587076358497143</v>
      </c>
      <c r="DD67">
        <v>3.0460656685901477</v>
      </c>
      <c r="DE67">
        <v>1083961758.9492829</v>
      </c>
      <c r="DF67">
        <v>0.14438554942607879</v>
      </c>
      <c r="DG67">
        <v>1.6560203881438413</v>
      </c>
      <c r="DH67">
        <v>1993827324.6145599</v>
      </c>
      <c r="DI67">
        <v>0.13125959038734436</v>
      </c>
      <c r="DJ67">
        <v>0.68031164998553606</v>
      </c>
      <c r="DK67">
        <v>4853391383.3023424</v>
      </c>
      <c r="DL67">
        <v>0.1148521415889263</v>
      </c>
      <c r="DM67">
        <v>137000000</v>
      </c>
      <c r="DN67">
        <v>0.16407448798418045</v>
      </c>
      <c r="DO67">
        <v>3301818700</v>
      </c>
      <c r="DP67">
        <v>2747761700</v>
      </c>
      <c r="DQ67">
        <v>2195</v>
      </c>
      <c r="DR67">
        <v>-0.43434475825445079</v>
      </c>
      <c r="DS67">
        <v>-1.7097769301637455</v>
      </c>
      <c r="DT67" s="10">
        <v>-7.3333333333333403E-2</v>
      </c>
      <c r="DU67">
        <v>-1.2150000000000001</v>
      </c>
      <c r="DV67">
        <v>-1.2883333333333336</v>
      </c>
      <c r="DW67">
        <v>-9.5592820028342</v>
      </c>
      <c r="DX67">
        <v>0.26320861202185719</v>
      </c>
      <c r="DY67">
        <v>-9.0689083592980069</v>
      </c>
      <c r="DZ67">
        <v>3845</v>
      </c>
      <c r="EA67">
        <v>-9.0170585273017565</v>
      </c>
      <c r="EB67">
        <v>9</v>
      </c>
      <c r="EC67">
        <v>0.27809325857258188</v>
      </c>
      <c r="ED67">
        <v>2.2570927984894991</v>
      </c>
      <c r="EE67" s="11">
        <v>-2.0207999999999999</v>
      </c>
      <c r="EF67">
        <v>-2.0758000000000001</v>
      </c>
      <c r="EG67">
        <v>14.123208612021857</v>
      </c>
      <c r="EH67" t="s">
        <v>1905</v>
      </c>
      <c r="EI67">
        <v>0</v>
      </c>
      <c r="EJ67">
        <v>0</v>
      </c>
      <c r="EK67" s="13">
        <v>45470</v>
      </c>
      <c r="EL67" s="14">
        <v>10.77</v>
      </c>
      <c r="EM67" s="14">
        <v>-4.46</v>
      </c>
      <c r="EN67" s="14">
        <v>-4.07</v>
      </c>
      <c r="EO67" s="14">
        <v>-0.12</v>
      </c>
      <c r="EP67" s="14">
        <v>5.5</v>
      </c>
    </row>
    <row r="68" spans="1:146" ht="108">
      <c r="A68" s="6"/>
      <c r="B68" s="6"/>
      <c r="C68" s="6" t="str">
        <f>""&amp;CHAR(10)&amp;Basic_Fundamental_Information_Constructure(F68)&amp;CHAR(10)&amp;Basic_Fundamental_Information_Concatenate("")</f>
        <v xml:space="preserve">
市值13.679743亿, 利润1092.20万; PE328.4; 平均PE22.47; 平均PEG.93, PB1.11; ROIC3.6133%; ROE3.5467%; 股利率3.6304%; 毛利12.0367%; 净利1.8033%; 上一年度营收增-9.04%, 利润增-33.47%; 当季营收增-48.28%, 利润增-72.25%; 过往5年营收增24.18%, 利润增-15.3%
Income profile:
</v>
      </c>
      <c r="D68" t="s">
        <v>757</v>
      </c>
      <c r="E68" t="s">
        <v>758</v>
      </c>
      <c r="F68">
        <v>6.06</v>
      </c>
      <c r="G68">
        <v>1</v>
      </c>
      <c r="H68" t="s">
        <v>3553</v>
      </c>
      <c r="I68">
        <v>1367974300</v>
      </c>
      <c r="J68">
        <v>328.4</v>
      </c>
      <c r="K68">
        <v>1.1100000000000001</v>
      </c>
      <c r="L68" t="s">
        <v>361</v>
      </c>
      <c r="M68" t="s">
        <v>3554</v>
      </c>
      <c r="N68" t="s">
        <v>3555</v>
      </c>
      <c r="O68" t="s">
        <v>513</v>
      </c>
      <c r="P68">
        <v>-48.39</v>
      </c>
      <c r="Q68" t="s">
        <v>759</v>
      </c>
      <c r="R68">
        <v>2595424</v>
      </c>
      <c r="S68" s="5">
        <v>-0.72250000000000003</v>
      </c>
      <c r="T68" t="s">
        <v>3556</v>
      </c>
      <c r="U68">
        <v>221884220</v>
      </c>
      <c r="V68">
        <v>225738330</v>
      </c>
      <c r="W68">
        <v>1.95</v>
      </c>
      <c r="X68">
        <v>0.08</v>
      </c>
      <c r="Y68">
        <v>1.9</v>
      </c>
      <c r="Z68" t="s">
        <v>148</v>
      </c>
      <c r="AA68" t="s">
        <v>71</v>
      </c>
      <c r="AB68" t="s">
        <v>3557</v>
      </c>
      <c r="AC68" t="s">
        <v>3558</v>
      </c>
      <c r="AD68" t="s">
        <v>19</v>
      </c>
      <c r="AE68">
        <v>-646668</v>
      </c>
      <c r="AF68" t="s">
        <v>3559</v>
      </c>
      <c r="AG68">
        <v>1834.17</v>
      </c>
      <c r="AH68" t="s">
        <v>3560</v>
      </c>
      <c r="AI68" t="s">
        <v>1263</v>
      </c>
      <c r="AJ68" t="s">
        <v>3561</v>
      </c>
      <c r="AK68" t="s">
        <v>3562</v>
      </c>
      <c r="AL68" t="s">
        <v>3563</v>
      </c>
      <c r="AM68" t="s">
        <v>19</v>
      </c>
      <c r="AN68" t="s">
        <v>3564</v>
      </c>
      <c r="AO68" t="s">
        <v>19</v>
      </c>
      <c r="AP68" t="s">
        <v>19</v>
      </c>
      <c r="AQ68" t="s">
        <v>3565</v>
      </c>
      <c r="AR68" t="s">
        <v>19</v>
      </c>
      <c r="AS68" t="s">
        <v>3566</v>
      </c>
      <c r="AT68" t="s">
        <v>19</v>
      </c>
      <c r="AU68" t="s">
        <v>3567</v>
      </c>
      <c r="AV68" t="s">
        <v>174</v>
      </c>
      <c r="AW68" t="s">
        <v>3568</v>
      </c>
      <c r="AX68" t="s">
        <v>1038</v>
      </c>
      <c r="AY68" t="s">
        <v>1401</v>
      </c>
      <c r="AZ68" t="s">
        <v>759</v>
      </c>
      <c r="BA68" t="s">
        <v>761</v>
      </c>
      <c r="BB68" t="s">
        <v>400</v>
      </c>
      <c r="BC68" t="s">
        <v>3569</v>
      </c>
      <c r="BD68" t="s">
        <v>58</v>
      </c>
      <c r="BE68" t="s">
        <v>760</v>
      </c>
      <c r="BF68" t="s">
        <v>762</v>
      </c>
      <c r="BG68" t="s">
        <v>763</v>
      </c>
      <c r="BH68" t="s">
        <v>759</v>
      </c>
      <c r="BI68" t="s">
        <v>1285</v>
      </c>
      <c r="BJ68" t="s">
        <v>1038</v>
      </c>
      <c r="BK68" t="s">
        <v>3556</v>
      </c>
      <c r="BL68" t="s">
        <v>3570</v>
      </c>
      <c r="BM68" t="s">
        <v>3569</v>
      </c>
      <c r="BN68">
        <v>1.54</v>
      </c>
      <c r="BO68">
        <v>1.44</v>
      </c>
      <c r="BP68">
        <v>7.86</v>
      </c>
      <c r="BQ68">
        <v>1.48</v>
      </c>
      <c r="BR68">
        <v>1.27</v>
      </c>
      <c r="BS68">
        <v>7.89</v>
      </c>
      <c r="BT68" t="s">
        <v>1693</v>
      </c>
      <c r="BU68" t="s">
        <v>1234</v>
      </c>
      <c r="BV68">
        <v>12.69</v>
      </c>
      <c r="BW68">
        <v>11.77</v>
      </c>
      <c r="BX68">
        <v>11.65</v>
      </c>
      <c r="BY68">
        <v>0.72</v>
      </c>
      <c r="BZ68">
        <v>0.84</v>
      </c>
      <c r="CA68">
        <v>3.85</v>
      </c>
      <c r="CB68">
        <v>-3.5</v>
      </c>
      <c r="CC68">
        <v>-19.95</v>
      </c>
      <c r="CD68" t="s">
        <v>3571</v>
      </c>
      <c r="CE68" t="s">
        <v>234</v>
      </c>
      <c r="CF68" s="8">
        <v>-0.48275862068965519</v>
      </c>
      <c r="CG68" s="9">
        <v>-0.72245610282952288</v>
      </c>
      <c r="CH68" s="8">
        <v>-9.0400047600269318E-2</v>
      </c>
      <c r="CI68" s="8">
        <v>-0.1074616014957428</v>
      </c>
      <c r="CJ68" s="8">
        <v>0.23175026476383209</v>
      </c>
      <c r="CK68" s="8">
        <v>0.92548686265945435</v>
      </c>
      <c r="CL68" s="8">
        <v>0.24973538517951965</v>
      </c>
      <c r="CM68" s="9">
        <v>-0.33474236726760864</v>
      </c>
      <c r="CN68" s="9">
        <v>-0.83582305908203125</v>
      </c>
      <c r="CO68" s="9">
        <v>0.42633005976676941</v>
      </c>
      <c r="CP68" s="9">
        <v>-0.23964063823223114</v>
      </c>
      <c r="CQ68" s="9">
        <v>0.21878926455974579</v>
      </c>
      <c r="CR68">
        <v>22.468153914125583</v>
      </c>
      <c r="CS68">
        <v>0.92911885056433186</v>
      </c>
      <c r="CT68">
        <v>3.6303630363036308</v>
      </c>
      <c r="CU68" s="8">
        <v>0.24182217270135881</v>
      </c>
      <c r="CV68" s="9">
        <v>-0.15301734805107117</v>
      </c>
      <c r="CW68">
        <v>0.06</v>
      </c>
      <c r="CX68">
        <v>115.11699720971031</v>
      </c>
      <c r="CY68">
        <v>12795454.500230417</v>
      </c>
      <c r="CZ68">
        <v>0.24182217270135881</v>
      </c>
      <c r="DA68">
        <v>33.157020980611861</v>
      </c>
      <c r="DB68">
        <v>44424205.083481498</v>
      </c>
      <c r="DC68">
        <v>0.22973106406629085</v>
      </c>
      <c r="DD68">
        <v>13.665440583494476</v>
      </c>
      <c r="DE68">
        <v>107788277.37022266</v>
      </c>
      <c r="DF68">
        <v>0.21280351197719574</v>
      </c>
      <c r="DG68">
        <v>6.6333902393076594</v>
      </c>
      <c r="DH68">
        <v>222054522.17654201</v>
      </c>
      <c r="DI68">
        <v>0.19345773816108705</v>
      </c>
      <c r="DJ68">
        <v>2.0608684462354883</v>
      </c>
      <c r="DK68">
        <v>714734753.05550301</v>
      </c>
      <c r="DL68">
        <v>0.16927552089095116</v>
      </c>
      <c r="DM68">
        <v>10922000</v>
      </c>
      <c r="DN68">
        <v>0.24182217270135881</v>
      </c>
      <c r="DO68">
        <v>1472974300</v>
      </c>
      <c r="DP68">
        <v>545687500</v>
      </c>
      <c r="DQ68">
        <v>2206</v>
      </c>
      <c r="DR68">
        <v>-0.724580793391014</v>
      </c>
      <c r="DS68">
        <v>-0.56943875477845174</v>
      </c>
      <c r="DT68" s="10">
        <v>2.6666666666666616E-2</v>
      </c>
      <c r="DU68">
        <v>-0.79</v>
      </c>
      <c r="DV68">
        <v>-0.76333333333333342</v>
      </c>
      <c r="DW68">
        <v>-8.1754385964912277</v>
      </c>
      <c r="DX68">
        <v>0.2856022727272719</v>
      </c>
      <c r="DY68">
        <v>-8.0272986443381189</v>
      </c>
      <c r="DZ68">
        <v>4921</v>
      </c>
      <c r="EA68">
        <v>-8.001009675886479</v>
      </c>
      <c r="EB68">
        <v>8</v>
      </c>
      <c r="EC68">
        <v>9.0988092274803312E-2</v>
      </c>
      <c r="ED68">
        <v>0.58474783613398751</v>
      </c>
      <c r="EE68" s="11">
        <v>-4.0611100000000002</v>
      </c>
      <c r="EF68">
        <v>-4.0954100000000002</v>
      </c>
      <c r="EG68">
        <v>13.155602272727272</v>
      </c>
      <c r="EH68" t="s">
        <v>1926</v>
      </c>
      <c r="EI68">
        <v>0</v>
      </c>
      <c r="EJ68">
        <v>0</v>
      </c>
      <c r="EK68" s="13">
        <v>45470</v>
      </c>
      <c r="EL68" s="14">
        <v>-1.94</v>
      </c>
      <c r="EM68" s="14">
        <v>-5.54</v>
      </c>
      <c r="EN68" s="14">
        <v>0</v>
      </c>
      <c r="EO68" s="14">
        <v>3.84</v>
      </c>
      <c r="EP68" s="14">
        <v>-3.43</v>
      </c>
    </row>
    <row r="69" spans="1:146" ht="108">
      <c r="A69" s="6"/>
      <c r="B69" s="6"/>
      <c r="C69" s="6" t="str">
        <f>""&amp;CHAR(10)&amp;Basic_Fundamental_Information_Constructure(F69)&amp;CHAR(10)&amp;Basic_Fundamental_Information_Concatenate("")</f>
        <v xml:space="preserve">
市值20.201722亿, 利润-5236.21万; PE; 平均PE30.27; 平均PEG4.78, PB1.49; ROIC4.1667%; ROE4.7967%; 股利率0%; 毛利41.2433%; 净利5.0867%; 上一年度营收增-37.2%, 利润增-185.84%; 当季营收增-1.8%, 利润增-779.54%; 过往5年营收增-6.33%, 利润增-45.96%
Income profile:
</v>
      </c>
      <c r="D69" t="s">
        <v>764</v>
      </c>
      <c r="E69" t="s">
        <v>765</v>
      </c>
      <c r="F69">
        <v>9.8800000000000008</v>
      </c>
      <c r="G69">
        <v>-0.6</v>
      </c>
      <c r="H69" t="s">
        <v>3572</v>
      </c>
      <c r="I69">
        <v>2020172200</v>
      </c>
      <c r="K69">
        <v>1.49</v>
      </c>
      <c r="L69" t="s">
        <v>361</v>
      </c>
      <c r="M69" t="s">
        <v>153</v>
      </c>
      <c r="N69" t="s">
        <v>1603</v>
      </c>
      <c r="O69" t="s">
        <v>3573</v>
      </c>
      <c r="P69">
        <v>-1.8</v>
      </c>
      <c r="Q69" t="s">
        <v>788</v>
      </c>
      <c r="R69">
        <v>-100278740</v>
      </c>
      <c r="S69" s="5">
        <v>-7.7949999999999999</v>
      </c>
      <c r="T69" t="s">
        <v>3574</v>
      </c>
      <c r="U69">
        <v>203622740</v>
      </c>
      <c r="V69">
        <v>204470870</v>
      </c>
      <c r="W69">
        <v>1.17</v>
      </c>
      <c r="X69">
        <v>0.04</v>
      </c>
      <c r="Y69">
        <v>-169.39</v>
      </c>
      <c r="Z69" t="s">
        <v>3575</v>
      </c>
      <c r="AA69" t="s">
        <v>3576</v>
      </c>
      <c r="AB69" t="s">
        <v>3577</v>
      </c>
      <c r="AC69" t="s">
        <v>3578</v>
      </c>
      <c r="AD69" t="s">
        <v>19</v>
      </c>
      <c r="AE69">
        <v>-5454739</v>
      </c>
      <c r="AF69" t="s">
        <v>3579</v>
      </c>
      <c r="AG69">
        <v>700</v>
      </c>
      <c r="AH69" t="s">
        <v>3580</v>
      </c>
      <c r="AI69" t="s">
        <v>1957</v>
      </c>
      <c r="AJ69" t="s">
        <v>3581</v>
      </c>
      <c r="AK69" t="s">
        <v>3582</v>
      </c>
      <c r="AL69" t="s">
        <v>3583</v>
      </c>
      <c r="AM69" t="s">
        <v>19</v>
      </c>
      <c r="AN69">
        <v>0</v>
      </c>
      <c r="AO69" t="s">
        <v>19</v>
      </c>
      <c r="AP69" t="s">
        <v>19</v>
      </c>
      <c r="AQ69" t="s">
        <v>3584</v>
      </c>
      <c r="AR69" t="s">
        <v>1476</v>
      </c>
      <c r="AS69" t="s">
        <v>166</v>
      </c>
      <c r="AT69" t="s">
        <v>19</v>
      </c>
      <c r="AU69" t="s">
        <v>3585</v>
      </c>
      <c r="AV69" t="s">
        <v>3586</v>
      </c>
      <c r="AW69" t="s">
        <v>3587</v>
      </c>
      <c r="AX69" t="s">
        <v>1694</v>
      </c>
      <c r="AY69" t="s">
        <v>271</v>
      </c>
      <c r="AZ69" t="s">
        <v>115</v>
      </c>
      <c r="BA69" t="s">
        <v>766</v>
      </c>
      <c r="BB69" t="s">
        <v>537</v>
      </c>
      <c r="BC69" t="s">
        <v>1695</v>
      </c>
      <c r="BD69" t="s">
        <v>1161</v>
      </c>
      <c r="BE69" t="s">
        <v>202</v>
      </c>
      <c r="BF69" t="s">
        <v>63</v>
      </c>
      <c r="BG69" t="s">
        <v>202</v>
      </c>
      <c r="BH69" t="s">
        <v>788</v>
      </c>
      <c r="BI69" t="s">
        <v>3588</v>
      </c>
      <c r="BJ69" t="s">
        <v>1694</v>
      </c>
      <c r="BK69" t="s">
        <v>3574</v>
      </c>
      <c r="BL69" t="s">
        <v>3589</v>
      </c>
      <c r="BM69" t="s">
        <v>1695</v>
      </c>
      <c r="BN69">
        <v>0.2</v>
      </c>
      <c r="BO69">
        <v>4.7300000000000004</v>
      </c>
      <c r="BP69">
        <v>7.57</v>
      </c>
      <c r="BQ69">
        <v>0.75</v>
      </c>
      <c r="BR69">
        <v>5.41</v>
      </c>
      <c r="BS69">
        <v>8.23</v>
      </c>
      <c r="BT69" t="s">
        <v>1571</v>
      </c>
      <c r="BU69" t="s">
        <v>1234</v>
      </c>
      <c r="BV69">
        <v>42.6</v>
      </c>
      <c r="BW69">
        <v>37.65</v>
      </c>
      <c r="BX69">
        <v>43.48</v>
      </c>
      <c r="BY69">
        <v>-17.95</v>
      </c>
      <c r="BZ69">
        <v>13</v>
      </c>
      <c r="CA69">
        <v>20.21</v>
      </c>
      <c r="CB69">
        <v>-6.62</v>
      </c>
      <c r="CC69">
        <v>-20.190000000000001</v>
      </c>
      <c r="CD69" t="s">
        <v>3590</v>
      </c>
      <c r="CE69" t="s">
        <v>1832</v>
      </c>
      <c r="CF69" s="8">
        <v>-1.8049667270423227E-2</v>
      </c>
      <c r="CG69" s="9">
        <v>-7.7953777200845504</v>
      </c>
      <c r="CH69" s="8">
        <v>-0.37204301357269287</v>
      </c>
      <c r="CI69" s="8">
        <v>0.15960100293159485</v>
      </c>
      <c r="CJ69" s="8">
        <v>-3.6057692021131516E-2</v>
      </c>
      <c r="CK69" s="8">
        <v>-5.8823529630899429E-2</v>
      </c>
      <c r="CL69" s="8">
        <v>-8.9686103165149689E-3</v>
      </c>
      <c r="CM69" s="9">
        <v>-1.8583908081054687</v>
      </c>
      <c r="CN69" s="9">
        <v>-0.25478887557983398</v>
      </c>
      <c r="CO69" s="9">
        <v>-0.18954059481620789</v>
      </c>
      <c r="CP69" s="9">
        <v>-6.4814813435077667E-2</v>
      </c>
      <c r="CQ69" s="9">
        <v>6.9306932389736176E-2</v>
      </c>
      <c r="CR69">
        <v>30.265160129499872</v>
      </c>
      <c r="CS69">
        <v>4.7843725402131296</v>
      </c>
      <c r="CT69">
        <v>0</v>
      </c>
      <c r="CU69" s="8">
        <v>-6.3258368521928787E-2</v>
      </c>
      <c r="CV69" s="9">
        <v>-0.45964563190937041</v>
      </c>
      <c r="CW69">
        <v>0.06</v>
      </c>
      <c r="CX69" t="e">
        <v>#VALUE!</v>
      </c>
      <c r="CY69" t="s">
        <v>1248</v>
      </c>
      <c r="CZ69">
        <v>-6.3258368521928787E-2</v>
      </c>
      <c r="DA69" t="e">
        <v>#VALUE!</v>
      </c>
      <c r="DB69" t="s">
        <v>1249</v>
      </c>
      <c r="DC69">
        <v>-6.0095450095832344E-2</v>
      </c>
      <c r="DD69" t="e">
        <v>#VALUE!</v>
      </c>
      <c r="DE69" t="s">
        <v>1249</v>
      </c>
      <c r="DF69">
        <v>-5.5667364299297334E-2</v>
      </c>
      <c r="DG69" t="e">
        <v>#VALUE!</v>
      </c>
      <c r="DH69" t="s">
        <v>1249</v>
      </c>
      <c r="DI69">
        <v>-5.0606694817543034E-2</v>
      </c>
      <c r="DJ69" t="e">
        <v>#VALUE!</v>
      </c>
      <c r="DK69" t="s">
        <v>1249</v>
      </c>
      <c r="DL69">
        <v>-4.4280857965350147E-2</v>
      </c>
      <c r="DM69">
        <v>-52362100</v>
      </c>
      <c r="DN69">
        <v>-6.3258368521928787E-2</v>
      </c>
      <c r="DO69">
        <v>909172200</v>
      </c>
      <c r="DP69">
        <v>1147634500</v>
      </c>
      <c r="DQ69">
        <v>2236</v>
      </c>
      <c r="DR69">
        <v>4.5208701251505556E-2</v>
      </c>
      <c r="DS69">
        <v>-7.3357320881751802</v>
      </c>
      <c r="DT69" s="10">
        <v>-0.45666666666666672</v>
      </c>
      <c r="DU69">
        <v>-1.9316666666666669</v>
      </c>
      <c r="DV69">
        <v>-2.3883333333333336</v>
      </c>
      <c r="DW69">
        <v>-9.3278850916295202</v>
      </c>
      <c r="DX69">
        <v>0.30774813559321956</v>
      </c>
      <c r="DY69">
        <v>-9.0582809637259594</v>
      </c>
      <c r="DZ69">
        <v>1467</v>
      </c>
      <c r="EA69">
        <v>-9.0415494228676465</v>
      </c>
      <c r="EB69">
        <v>9</v>
      </c>
      <c r="EC69">
        <v>0.25644582037529356</v>
      </c>
      <c r="ED69">
        <v>1.4427482995499554</v>
      </c>
      <c r="EE69" s="11">
        <v>-3.0396100000000001</v>
      </c>
      <c r="EF69">
        <v>-3.0846100000000001</v>
      </c>
      <c r="EG69">
        <v>13.17774813559322</v>
      </c>
      <c r="EH69" t="s">
        <v>1897</v>
      </c>
      <c r="EI69">
        <v>0</v>
      </c>
      <c r="EJ69">
        <v>1</v>
      </c>
      <c r="EK69" s="13">
        <v>45470</v>
      </c>
      <c r="EL69" s="14">
        <v>0.26</v>
      </c>
      <c r="EM69" s="14">
        <v>-3.95</v>
      </c>
      <c r="EN69" s="14">
        <v>-0.86</v>
      </c>
      <c r="EO69" s="14">
        <v>2.14</v>
      </c>
      <c r="EP69" s="14">
        <v>-4.5</v>
      </c>
    </row>
    <row r="70" spans="1:146" ht="108">
      <c r="A70" s="6"/>
      <c r="B70" s="6"/>
      <c r="C70" s="6" t="str">
        <f>""&amp;CHAR(10)&amp;Basic_Fundamental_Information_Constructure(F70)&amp;CHAR(10)&amp;Basic_Fundamental_Information_Concatenate("")</f>
        <v xml:space="preserve">
市值19.13508亿, 利润2.86亿; PE47.74; 平均PE16.92; 平均PEG.15, PB1.58; ROIC5.7567%; ROE5.5933%; 股利率.8251%; 毛利33.44%; 净利9.45%; 上一年度营收增492.91%, 利润增301.28%; 当季营收增-84.04%, 利润增-84.6%; 过往5年营收增111.27%, 利润增58.5%
Income profile:
</v>
      </c>
      <c r="D70" t="s">
        <v>767</v>
      </c>
      <c r="E70" t="s">
        <v>768</v>
      </c>
      <c r="F70">
        <v>12.12</v>
      </c>
      <c r="G70">
        <v>-5.39</v>
      </c>
      <c r="H70" t="s">
        <v>3591</v>
      </c>
      <c r="I70">
        <v>1913508000</v>
      </c>
      <c r="J70">
        <v>47.74</v>
      </c>
      <c r="K70">
        <v>1.58</v>
      </c>
      <c r="L70" t="s">
        <v>361</v>
      </c>
      <c r="M70" t="s">
        <v>3592</v>
      </c>
      <c r="N70" t="s">
        <v>1624</v>
      </c>
      <c r="O70" t="s">
        <v>3593</v>
      </c>
      <c r="P70">
        <v>4.6100000000000003</v>
      </c>
      <c r="Q70" t="s">
        <v>3594</v>
      </c>
      <c r="R70">
        <v>5624409</v>
      </c>
      <c r="S70" s="5">
        <v>-0.46389999999999998</v>
      </c>
      <c r="T70" t="s">
        <v>326</v>
      </c>
      <c r="U70">
        <v>152168570</v>
      </c>
      <c r="V70">
        <v>157880200</v>
      </c>
      <c r="W70">
        <v>1.88</v>
      </c>
      <c r="X70">
        <v>0.04</v>
      </c>
      <c r="Y70">
        <v>5.12</v>
      </c>
      <c r="Z70" t="s">
        <v>202</v>
      </c>
      <c r="AA70" t="s">
        <v>3595</v>
      </c>
      <c r="AB70" t="s">
        <v>3596</v>
      </c>
      <c r="AC70" t="s">
        <v>3597</v>
      </c>
      <c r="AD70" t="s">
        <v>19</v>
      </c>
      <c r="AE70">
        <v>940238</v>
      </c>
      <c r="AF70" t="s">
        <v>3598</v>
      </c>
      <c r="AG70">
        <v>7900</v>
      </c>
      <c r="AH70" t="s">
        <v>3599</v>
      </c>
      <c r="AI70" t="s">
        <v>662</v>
      </c>
      <c r="AJ70" t="s">
        <v>3600</v>
      </c>
      <c r="AK70" t="s">
        <v>3601</v>
      </c>
      <c r="AL70" t="s">
        <v>3602</v>
      </c>
      <c r="AM70" t="s">
        <v>19</v>
      </c>
      <c r="AN70" t="s">
        <v>3603</v>
      </c>
      <c r="AO70" t="s">
        <v>19</v>
      </c>
      <c r="AP70" t="s">
        <v>3604</v>
      </c>
      <c r="AQ70" t="s">
        <v>172</v>
      </c>
      <c r="AR70" t="s">
        <v>3605</v>
      </c>
      <c r="AS70" t="s">
        <v>217</v>
      </c>
      <c r="AT70" t="s">
        <v>19</v>
      </c>
      <c r="AU70" t="s">
        <v>3606</v>
      </c>
      <c r="AV70" t="s">
        <v>1392</v>
      </c>
      <c r="AW70" t="s">
        <v>3607</v>
      </c>
      <c r="AX70" t="s">
        <v>1131</v>
      </c>
      <c r="AY70" t="s">
        <v>602</v>
      </c>
      <c r="AZ70" t="s">
        <v>346</v>
      </c>
      <c r="BA70" t="s">
        <v>155</v>
      </c>
      <c r="BB70" t="s">
        <v>173</v>
      </c>
      <c r="BC70" t="s">
        <v>1696</v>
      </c>
      <c r="BD70" t="s">
        <v>1162</v>
      </c>
      <c r="BE70" t="s">
        <v>769</v>
      </c>
      <c r="BF70" t="s">
        <v>770</v>
      </c>
      <c r="BG70" t="s">
        <v>771</v>
      </c>
      <c r="BH70" t="s">
        <v>2750</v>
      </c>
      <c r="BI70" t="s">
        <v>298</v>
      </c>
      <c r="BJ70" t="s">
        <v>1131</v>
      </c>
      <c r="BK70" t="s">
        <v>3608</v>
      </c>
      <c r="BL70" t="s">
        <v>3609</v>
      </c>
      <c r="BM70" t="s">
        <v>1696</v>
      </c>
      <c r="BN70">
        <v>1.71</v>
      </c>
      <c r="BO70">
        <v>6.99</v>
      </c>
      <c r="BP70">
        <v>8.57</v>
      </c>
      <c r="BQ70">
        <v>2</v>
      </c>
      <c r="BR70">
        <v>6.75</v>
      </c>
      <c r="BS70">
        <v>8.0299999999999994</v>
      </c>
      <c r="BT70" t="s">
        <v>1572</v>
      </c>
      <c r="BU70" t="s">
        <v>1234</v>
      </c>
      <c r="BV70">
        <v>32.81</v>
      </c>
      <c r="BW70">
        <v>33.42</v>
      </c>
      <c r="BX70">
        <v>34.090000000000003</v>
      </c>
      <c r="BY70">
        <v>6.74</v>
      </c>
      <c r="BZ70">
        <v>9.52</v>
      </c>
      <c r="CA70">
        <v>12.09</v>
      </c>
      <c r="CB70">
        <v>-7.34</v>
      </c>
      <c r="CC70">
        <v>-3.96</v>
      </c>
      <c r="CD70" t="s">
        <v>3610</v>
      </c>
      <c r="CE70" t="s">
        <v>1614</v>
      </c>
      <c r="CF70" s="8">
        <v>-0.84035290322580647</v>
      </c>
      <c r="CG70" s="9">
        <v>-0.84597665171456271</v>
      </c>
      <c r="CH70" s="8">
        <v>4.9290866851806641</v>
      </c>
      <c r="CI70" s="8">
        <v>8.9005239307880402E-2</v>
      </c>
      <c r="CJ70" s="8">
        <v>0.4069981575012207</v>
      </c>
      <c r="CK70" s="8">
        <v>5.8479532599449158E-2</v>
      </c>
      <c r="CL70" s="8">
        <v>7.9999998211860657E-2</v>
      </c>
      <c r="CM70" s="9">
        <v>3.0127735137939453</v>
      </c>
      <c r="CN70" s="9">
        <v>-0.12994483113288879</v>
      </c>
      <c r="CO70" s="9">
        <v>0.12808305025100708</v>
      </c>
      <c r="CP70" s="9">
        <v>-0.15916973352432251</v>
      </c>
      <c r="CQ70" s="9">
        <v>7.3335371911525726E-2</v>
      </c>
      <c r="CR70">
        <v>16.917978869192343</v>
      </c>
      <c r="CS70">
        <v>0.15204248393213413</v>
      </c>
      <c r="CT70">
        <v>0.82508250825082519</v>
      </c>
      <c r="CU70" s="8">
        <v>1.112713922560215</v>
      </c>
      <c r="CV70" s="9">
        <v>0.58501547425985334</v>
      </c>
      <c r="CW70">
        <v>0.06</v>
      </c>
      <c r="CX70">
        <v>3.1550882539937906</v>
      </c>
      <c r="CY70">
        <v>570034133.82285047</v>
      </c>
      <c r="CZ70">
        <v>1.112713922560215</v>
      </c>
      <c r="DA70">
        <v>0.48316007665366462</v>
      </c>
      <c r="DB70">
        <v>3722385368.5435886</v>
      </c>
      <c r="DC70">
        <v>1.0570782264322041</v>
      </c>
      <c r="DD70">
        <v>7.0590865956589532E-2</v>
      </c>
      <c r="DE70">
        <v>25477913829.616543</v>
      </c>
      <c r="DF70">
        <v>0.97918825185298919</v>
      </c>
      <c r="DG70">
        <v>8.5231152166296426E-3</v>
      </c>
      <c r="DH70">
        <v>211015333512.19873</v>
      </c>
      <c r="DI70">
        <v>0.89017113804817205</v>
      </c>
      <c r="DJ70">
        <v>8.0940311941995151E-5</v>
      </c>
      <c r="DK70">
        <v>22220176286062.227</v>
      </c>
      <c r="DL70">
        <v>0.77889974579215038</v>
      </c>
      <c r="DM70">
        <v>286000000</v>
      </c>
      <c r="DN70">
        <v>1.112713922560215</v>
      </c>
      <c r="DO70">
        <v>1798508000</v>
      </c>
      <c r="DP70">
        <v>1072036300</v>
      </c>
      <c r="DQ70">
        <v>2283</v>
      </c>
      <c r="DR70">
        <v>-1.9530668257860215</v>
      </c>
      <c r="DS70">
        <v>-1.4309921259744161</v>
      </c>
      <c r="DT70" s="10">
        <v>-6.6666666666666714E-3</v>
      </c>
      <c r="DU70">
        <v>-0.25666666666666665</v>
      </c>
      <c r="DV70">
        <v>-0.26333333333333331</v>
      </c>
      <c r="DW70">
        <v>-5.5395095367847409</v>
      </c>
      <c r="DX70">
        <v>0.39877630240549766</v>
      </c>
      <c r="DY70">
        <v>-5.1288220923059633</v>
      </c>
      <c r="DZ70">
        <v>3241</v>
      </c>
      <c r="EA70">
        <v>-5.0471171214324553</v>
      </c>
      <c r="EB70">
        <v>5</v>
      </c>
      <c r="EC70">
        <v>0.44010521902049782</v>
      </c>
      <c r="ED70">
        <v>1.8431696944898728</v>
      </c>
      <c r="EE70" s="11">
        <v>7.5000000000000067E-3</v>
      </c>
      <c r="EF70">
        <v>2.2809999999999997E-2</v>
      </c>
      <c r="EG70">
        <v>16.238776302405498</v>
      </c>
      <c r="EH70">
        <v>-1</v>
      </c>
      <c r="EI70">
        <v>0</v>
      </c>
      <c r="EJ70">
        <v>0</v>
      </c>
      <c r="EK70" s="13">
        <v>45470</v>
      </c>
      <c r="EL70" s="14">
        <v>1.2</v>
      </c>
      <c r="EM70" s="14">
        <v>-5.13</v>
      </c>
      <c r="EN70" s="14">
        <v>-0.94</v>
      </c>
      <c r="EO70" s="14">
        <v>3.99</v>
      </c>
      <c r="EP70" s="14">
        <v>-3.03</v>
      </c>
    </row>
    <row r="71" spans="1:146" ht="108">
      <c r="A71" s="6"/>
      <c r="B71" s="6"/>
      <c r="C71" s="6" t="str">
        <f>""&amp;CHAR(10)&amp;Basic_Fundamental_Information_Constructure(F71)&amp;CHAR(10)&amp;Basic_Fundamental_Information_Concatenate("")</f>
        <v xml:space="preserve">
市值16.011328亿, 利润5033.95万; PE; 平均PE48.2; 平均PEG5.25, PB2.15; ROIC8.78%; ROE-2.36%; 股利率0%; 毛利31.82%; 净利-20.2567%; 上一年度营收增7.55%, 利润增141.26%; 当季营收增265.61%, 利润增193.58%; 过往5年营收增9.19%, 利润增-25.15%
Income profile:
</v>
      </c>
      <c r="D71" t="s">
        <v>772</v>
      </c>
      <c r="E71" t="s">
        <v>773</v>
      </c>
      <c r="F71">
        <v>24.77</v>
      </c>
      <c r="G71">
        <v>0.73</v>
      </c>
      <c r="H71" t="s">
        <v>3611</v>
      </c>
      <c r="I71">
        <v>1601132800</v>
      </c>
      <c r="K71">
        <v>2.15</v>
      </c>
      <c r="L71" t="s">
        <v>361</v>
      </c>
      <c r="M71" t="s">
        <v>60</v>
      </c>
      <c r="N71" t="s">
        <v>3612</v>
      </c>
      <c r="O71" t="s">
        <v>3613</v>
      </c>
      <c r="P71">
        <v>32.89</v>
      </c>
      <c r="Q71" t="s">
        <v>284</v>
      </c>
      <c r="R71">
        <v>5825765</v>
      </c>
      <c r="S71" s="5">
        <v>1.6439999999999999</v>
      </c>
      <c r="T71" t="s">
        <v>3614</v>
      </c>
      <c r="U71">
        <v>16760000</v>
      </c>
      <c r="V71">
        <v>64640000</v>
      </c>
      <c r="W71">
        <v>1.21</v>
      </c>
      <c r="X71">
        <v>0.09</v>
      </c>
      <c r="Y71">
        <v>6.9</v>
      </c>
      <c r="Z71" t="s">
        <v>3615</v>
      </c>
      <c r="AA71" t="s">
        <v>3616</v>
      </c>
      <c r="AB71" t="s">
        <v>3617</v>
      </c>
      <c r="AC71" t="s">
        <v>3618</v>
      </c>
      <c r="AD71" t="s">
        <v>19</v>
      </c>
      <c r="AE71">
        <v>-659860</v>
      </c>
      <c r="AF71" t="s">
        <v>3619</v>
      </c>
      <c r="AG71" t="s">
        <v>3620</v>
      </c>
      <c r="AH71" t="s">
        <v>3621</v>
      </c>
      <c r="AI71" t="s">
        <v>1222</v>
      </c>
      <c r="AJ71" t="s">
        <v>3622</v>
      </c>
      <c r="AK71" t="s">
        <v>3623</v>
      </c>
      <c r="AL71" t="s">
        <v>3624</v>
      </c>
      <c r="AM71" t="s">
        <v>19</v>
      </c>
      <c r="AN71">
        <v>0</v>
      </c>
      <c r="AO71" t="s">
        <v>3625</v>
      </c>
      <c r="AP71" t="s">
        <v>19</v>
      </c>
      <c r="AQ71" t="s">
        <v>3626</v>
      </c>
      <c r="AR71" t="s">
        <v>19</v>
      </c>
      <c r="AS71" t="s">
        <v>163</v>
      </c>
      <c r="AT71" t="s">
        <v>19</v>
      </c>
      <c r="AU71" t="s">
        <v>3627</v>
      </c>
      <c r="AV71" t="s">
        <v>3628</v>
      </c>
      <c r="AW71" t="s">
        <v>3629</v>
      </c>
      <c r="AX71" t="s">
        <v>1348</v>
      </c>
      <c r="AY71" t="s">
        <v>1380</v>
      </c>
      <c r="AZ71" t="s">
        <v>129</v>
      </c>
      <c r="BA71" t="s">
        <v>523</v>
      </c>
      <c r="BB71" t="s">
        <v>707</v>
      </c>
      <c r="BC71" t="s">
        <v>1392</v>
      </c>
      <c r="BD71" t="s">
        <v>1163</v>
      </c>
      <c r="BE71" t="s">
        <v>171</v>
      </c>
      <c r="BF71" t="s">
        <v>774</v>
      </c>
      <c r="BG71" t="s">
        <v>775</v>
      </c>
      <c r="BH71" t="s">
        <v>1944</v>
      </c>
      <c r="BI71" t="s">
        <v>3630</v>
      </c>
      <c r="BJ71" t="s">
        <v>1348</v>
      </c>
      <c r="BK71" t="s">
        <v>1997</v>
      </c>
      <c r="BL71" t="s">
        <v>3631</v>
      </c>
      <c r="BM71" t="s">
        <v>1392</v>
      </c>
      <c r="BN71" t="s">
        <v>19</v>
      </c>
      <c r="BO71" t="s">
        <v>19</v>
      </c>
      <c r="BP71">
        <v>8.7799999999999994</v>
      </c>
      <c r="BQ71">
        <v>-4.29</v>
      </c>
      <c r="BR71">
        <v>-13.48</v>
      </c>
      <c r="BS71">
        <v>10.69</v>
      </c>
      <c r="BT71" t="s">
        <v>1571</v>
      </c>
      <c r="BU71" t="s">
        <v>1234</v>
      </c>
      <c r="BV71">
        <v>36.06</v>
      </c>
      <c r="BW71">
        <v>13.4</v>
      </c>
      <c r="BX71">
        <v>46</v>
      </c>
      <c r="BY71">
        <v>-32.549999999999997</v>
      </c>
      <c r="BZ71">
        <v>-37.01</v>
      </c>
      <c r="CA71">
        <v>8.7899999999999991</v>
      </c>
      <c r="CB71">
        <v>-6.53</v>
      </c>
      <c r="CC71">
        <v>-14.26</v>
      </c>
      <c r="CD71" t="s">
        <v>3632</v>
      </c>
      <c r="CE71" t="s">
        <v>3633</v>
      </c>
      <c r="CF71" s="8">
        <v>2.6560682871874866</v>
      </c>
      <c r="CG71" s="9">
        <v>1.9357606373580478</v>
      </c>
      <c r="CH71" s="8">
        <v>7.5528703629970551E-2</v>
      </c>
      <c r="CI71" s="8">
        <v>-0.43898305296897888</v>
      </c>
      <c r="CJ71" s="8">
        <v>0.20408163964748383</v>
      </c>
      <c r="CK71" s="8">
        <v>0.22499999403953552</v>
      </c>
      <c r="CL71" s="8">
        <v>0.39372822642326355</v>
      </c>
      <c r="CM71" s="9">
        <v>1.41261887550354</v>
      </c>
      <c r="CN71" s="9">
        <v>-3.3527233600616455</v>
      </c>
      <c r="CO71" s="9">
        <v>-0.49161961674690247</v>
      </c>
      <c r="CP71" s="9">
        <v>0.34757527709007263</v>
      </c>
      <c r="CQ71" s="9">
        <v>0.82642227411270142</v>
      </c>
      <c r="CR71">
        <v>48.195849761423744</v>
      </c>
      <c r="CS71">
        <v>5.2460293423389182</v>
      </c>
      <c r="CT71">
        <v>0</v>
      </c>
      <c r="CU71" s="8">
        <v>9.1871102154254911E-2</v>
      </c>
      <c r="CV71" s="9">
        <v>-0.25154531002044678</v>
      </c>
      <c r="CW71">
        <v>0.06</v>
      </c>
      <c r="CX71">
        <v>19.210684351907805</v>
      </c>
      <c r="CY71">
        <v>51853061.648013309</v>
      </c>
      <c r="CZ71">
        <v>9.1871102154254911E-2</v>
      </c>
      <c r="DA71">
        <v>6.2679356494688143</v>
      </c>
      <c r="DB71">
        <v>158925179.78936476</v>
      </c>
      <c r="DC71">
        <v>8.7277547046542156E-2</v>
      </c>
      <c r="DD71">
        <v>3.0790252406421148</v>
      </c>
      <c r="DE71">
        <v>323522128.64362931</v>
      </c>
      <c r="DF71">
        <v>8.0846569895744319E-2</v>
      </c>
      <c r="DG71">
        <v>1.8445886053706895</v>
      </c>
      <c r="DH71">
        <v>540029791.52081263</v>
      </c>
      <c r="DI71">
        <v>7.3496881723403934E-2</v>
      </c>
      <c r="DJ71">
        <v>0.94788695756829189</v>
      </c>
      <c r="DK71">
        <v>1050898308.1226035</v>
      </c>
      <c r="DL71">
        <v>6.4309771507978439E-2</v>
      </c>
      <c r="DM71">
        <v>50339500</v>
      </c>
      <c r="DN71">
        <v>9.1871102154254911E-2</v>
      </c>
      <c r="DO71">
        <v>996132800</v>
      </c>
      <c r="DP71">
        <v>600260580</v>
      </c>
      <c r="DQ71">
        <v>2301</v>
      </c>
      <c r="DR71">
        <v>2.5641971850332315</v>
      </c>
      <c r="DS71">
        <v>2.1873059473784946</v>
      </c>
      <c r="DT71" s="10">
        <v>-0.24000000000000007</v>
      </c>
      <c r="DU71">
        <v>-0.42</v>
      </c>
      <c r="DV71">
        <v>-0.66</v>
      </c>
      <c r="DW71">
        <v>-9.4579242636746148</v>
      </c>
      <c r="DX71">
        <v>0.32736352416215675</v>
      </c>
      <c r="DY71">
        <v>-9.0857983038414361</v>
      </c>
      <c r="DZ71">
        <v>1843</v>
      </c>
      <c r="EA71">
        <v>-9.0548538275244557</v>
      </c>
      <c r="EB71">
        <v>9</v>
      </c>
      <c r="EC71">
        <v>0.20150216584158415</v>
      </c>
      <c r="ED71">
        <v>1.0754610148514852</v>
      </c>
      <c r="EE71" s="11">
        <v>4.0137999999999998</v>
      </c>
      <c r="EF71">
        <v>4.0087099999999998</v>
      </c>
      <c r="EG71">
        <v>14.187363524162157</v>
      </c>
      <c r="EH71" t="s">
        <v>1260</v>
      </c>
      <c r="EI71">
        <v>0</v>
      </c>
      <c r="EJ71">
        <v>0</v>
      </c>
      <c r="EK71" s="13">
        <v>45470</v>
      </c>
      <c r="EL71" s="14">
        <v>0.22</v>
      </c>
      <c r="EM71" s="14">
        <v>-5.04</v>
      </c>
      <c r="EN71" s="14">
        <v>-2.67</v>
      </c>
      <c r="EO71" s="14">
        <v>2.79</v>
      </c>
      <c r="EP71" s="14">
        <v>-2.25</v>
      </c>
    </row>
    <row r="72" spans="1:146" ht="108">
      <c r="A72" s="6"/>
      <c r="B72" s="6"/>
      <c r="C72" s="6" t="str">
        <f>""&amp;CHAR(10)&amp;Basic_Fundamental_Information_Constructure(F72)&amp;CHAR(10)&amp;Basic_Fundamental_Information_Concatenate("")</f>
        <v xml:space="preserve">
市值17.419821亿, 利润3866.23万; PE; 平均PE28.45; 平均PEG89.14, PB1.86; ROIC8.52%; ROE-.7233%; 股利率0%; 毛利31.21%; 净利-11.84%; 上一年度营收增-35.42%, 利润增174.88%; 当季营收增73.86%, 利润增-288.82%; 过往5年营收增-.32%, 利润增-.76%
Income profile:
</v>
      </c>
      <c r="D72" t="s">
        <v>776</v>
      </c>
      <c r="E72" t="s">
        <v>1297</v>
      </c>
      <c r="F72">
        <v>28.79</v>
      </c>
      <c r="G72">
        <v>2.89</v>
      </c>
      <c r="H72" t="s">
        <v>3634</v>
      </c>
      <c r="I72">
        <v>1741982100</v>
      </c>
      <c r="K72">
        <v>1.86</v>
      </c>
      <c r="L72" t="s">
        <v>361</v>
      </c>
      <c r="M72" t="s">
        <v>240</v>
      </c>
      <c r="N72" t="s">
        <v>3635</v>
      </c>
      <c r="O72" t="s">
        <v>211</v>
      </c>
      <c r="P72">
        <v>58.11</v>
      </c>
      <c r="Q72" t="s">
        <v>57</v>
      </c>
      <c r="R72">
        <v>-38590634</v>
      </c>
      <c r="S72" s="5">
        <v>-0.2384</v>
      </c>
      <c r="T72" t="s">
        <v>3636</v>
      </c>
      <c r="U72">
        <v>17004750</v>
      </c>
      <c r="V72">
        <v>60506500</v>
      </c>
      <c r="W72">
        <v>1.49</v>
      </c>
      <c r="X72">
        <v>0.11</v>
      </c>
      <c r="Y72">
        <v>-24.4</v>
      </c>
      <c r="Z72" t="s">
        <v>37</v>
      </c>
      <c r="AA72" t="s">
        <v>3637</v>
      </c>
      <c r="AB72" t="s">
        <v>3638</v>
      </c>
      <c r="AC72" t="s">
        <v>3639</v>
      </c>
      <c r="AD72" t="s">
        <v>19</v>
      </c>
      <c r="AE72">
        <v>1056681</v>
      </c>
      <c r="AF72" t="s">
        <v>3640</v>
      </c>
      <c r="AG72" t="s">
        <v>3641</v>
      </c>
      <c r="AH72" t="s">
        <v>3642</v>
      </c>
      <c r="AI72" t="s">
        <v>23</v>
      </c>
      <c r="AJ72" t="s">
        <v>3643</v>
      </c>
      <c r="AK72" t="s">
        <v>3644</v>
      </c>
      <c r="AL72" t="s">
        <v>3645</v>
      </c>
      <c r="AM72" t="s">
        <v>19</v>
      </c>
      <c r="AN72" t="s">
        <v>3646</v>
      </c>
      <c r="AO72" t="s">
        <v>82</v>
      </c>
      <c r="AP72" t="s">
        <v>3647</v>
      </c>
      <c r="AQ72" t="s">
        <v>3648</v>
      </c>
      <c r="AR72" t="s">
        <v>19</v>
      </c>
      <c r="AS72" t="s">
        <v>1156</v>
      </c>
      <c r="AT72" t="s">
        <v>19</v>
      </c>
      <c r="AU72" t="s">
        <v>3649</v>
      </c>
      <c r="AV72" t="s">
        <v>3650</v>
      </c>
      <c r="AW72" t="s">
        <v>3651</v>
      </c>
      <c r="AX72" t="s">
        <v>1681</v>
      </c>
      <c r="AY72" t="s">
        <v>188</v>
      </c>
      <c r="AZ72" t="s">
        <v>777</v>
      </c>
      <c r="BA72" t="s">
        <v>559</v>
      </c>
      <c r="BB72" t="s">
        <v>185</v>
      </c>
      <c r="BC72" t="s">
        <v>3652</v>
      </c>
      <c r="BD72" t="s">
        <v>1164</v>
      </c>
      <c r="BE72" t="s">
        <v>99</v>
      </c>
      <c r="BF72" t="s">
        <v>55</v>
      </c>
      <c r="BG72" t="s">
        <v>778</v>
      </c>
      <c r="BH72" t="s">
        <v>2068</v>
      </c>
      <c r="BI72" t="s">
        <v>3653</v>
      </c>
      <c r="BJ72" t="s">
        <v>1681</v>
      </c>
      <c r="BK72" t="s">
        <v>3654</v>
      </c>
      <c r="BL72" t="s">
        <v>3655</v>
      </c>
      <c r="BM72" t="s">
        <v>3652</v>
      </c>
      <c r="BN72" t="s">
        <v>19</v>
      </c>
      <c r="BO72" t="s">
        <v>19</v>
      </c>
      <c r="BP72">
        <v>8.52</v>
      </c>
      <c r="BQ72">
        <v>-5.09</v>
      </c>
      <c r="BR72">
        <v>-4.4000000000000004</v>
      </c>
      <c r="BS72">
        <v>7.32</v>
      </c>
      <c r="BT72" t="s">
        <v>1571</v>
      </c>
      <c r="BU72" t="s">
        <v>1334</v>
      </c>
      <c r="BV72">
        <v>19.23</v>
      </c>
      <c r="BW72">
        <v>30.52</v>
      </c>
      <c r="BX72">
        <v>43.88</v>
      </c>
      <c r="BY72">
        <v>-37.15</v>
      </c>
      <c r="BZ72">
        <v>-10.68</v>
      </c>
      <c r="CA72">
        <v>12.31</v>
      </c>
      <c r="CB72">
        <v>-3.42</v>
      </c>
      <c r="CC72">
        <v>-20.38</v>
      </c>
      <c r="CD72" t="s">
        <v>3656</v>
      </c>
      <c r="CE72" t="s">
        <v>3657</v>
      </c>
      <c r="CF72" s="8">
        <v>0.7386264850767893</v>
      </c>
      <c r="CG72" s="9">
        <v>-2.8881528307148834</v>
      </c>
      <c r="CH72" s="8">
        <v>-0.3541666567325592</v>
      </c>
      <c r="CI72" s="8">
        <v>-0.21568627655506134</v>
      </c>
      <c r="CJ72" s="8">
        <v>0.24643585085868835</v>
      </c>
      <c r="CK72" s="8">
        <v>-5.2123550325632095E-2</v>
      </c>
      <c r="CL72" s="8">
        <v>0.35958003997802734</v>
      </c>
      <c r="CM72" s="9">
        <v>1.7487919330596924</v>
      </c>
      <c r="CN72" s="9">
        <v>-1.6846039295196533</v>
      </c>
      <c r="CO72" s="9">
        <v>-0.26776605844497681</v>
      </c>
      <c r="CP72" s="9">
        <v>-8.03571417927742E-2</v>
      </c>
      <c r="CQ72" s="9">
        <v>0.24609482288360596</v>
      </c>
      <c r="CR72">
        <v>28.4536630928622</v>
      </c>
      <c r="CS72">
        <v>89.137237855886042</v>
      </c>
      <c r="CT72">
        <v>0</v>
      </c>
      <c r="CU72" s="8">
        <v>-3.1921185553073885E-3</v>
      </c>
      <c r="CV72" s="9">
        <v>-7.5680747628211979E-3</v>
      </c>
      <c r="CW72">
        <v>0.06</v>
      </c>
      <c r="CX72" t="e">
        <v>#VALUE!</v>
      </c>
      <c r="CY72" t="s">
        <v>1284</v>
      </c>
      <c r="CZ72">
        <v>-3.1921185553073885E-3</v>
      </c>
      <c r="DA72">
        <v>11.854632721453889</v>
      </c>
      <c r="DB72" t="s">
        <v>3658</v>
      </c>
      <c r="DC72">
        <v>-3.032512627542019E-3</v>
      </c>
      <c r="DD72">
        <v>5.9273163607269446</v>
      </c>
      <c r="DE72" t="s">
        <v>3659</v>
      </c>
      <c r="DF72">
        <v>-2.8090643286705018E-3</v>
      </c>
      <c r="DG72">
        <v>3.5563898164361665</v>
      </c>
      <c r="DH72" t="s">
        <v>3660</v>
      </c>
      <c r="DI72">
        <v>-2.553694844245911E-3</v>
      </c>
      <c r="DJ72">
        <v>1.7781949082180832</v>
      </c>
      <c r="DK72" t="s">
        <v>3661</v>
      </c>
      <c r="DL72">
        <v>-2.2344829887151717E-3</v>
      </c>
      <c r="DM72">
        <v>38662300</v>
      </c>
      <c r="DN72">
        <v>-3.1921185553073885E-3</v>
      </c>
      <c r="DO72">
        <v>1374982100</v>
      </c>
      <c r="DP72">
        <v>609035350</v>
      </c>
      <c r="DQ72">
        <v>2401</v>
      </c>
      <c r="DR72">
        <v>0.74181860363209673</v>
      </c>
      <c r="DS72">
        <v>-2.8805847559520621</v>
      </c>
      <c r="DT72" s="10">
        <v>-0.52333333333333332</v>
      </c>
      <c r="DU72">
        <v>-1.3149999999999999</v>
      </c>
      <c r="DV72">
        <v>-1.8383333333333334</v>
      </c>
      <c r="DW72">
        <v>-8.1678115799803734</v>
      </c>
      <c r="DX72">
        <v>0.43557772933087335</v>
      </c>
      <c r="DY72">
        <v>-8.0311420919681833</v>
      </c>
      <c r="DZ72">
        <v>3985</v>
      </c>
      <c r="EA72">
        <v>-8.0068561357072809</v>
      </c>
      <c r="EB72">
        <v>8</v>
      </c>
      <c r="EC72">
        <v>9.1444720815119035E-2</v>
      </c>
      <c r="ED72">
        <v>0.49275697652318345</v>
      </c>
      <c r="EE72" s="11">
        <v>1.4410000000000003E-2</v>
      </c>
      <c r="EF72">
        <v>3.0210000000000001E-2</v>
      </c>
      <c r="EG72">
        <v>25.185577729330873</v>
      </c>
      <c r="EH72">
        <v>-1</v>
      </c>
      <c r="EI72">
        <v>0</v>
      </c>
      <c r="EJ72">
        <v>0</v>
      </c>
      <c r="EK72" s="13">
        <v>45470</v>
      </c>
      <c r="EL72" s="14">
        <v>2.5099999999999998</v>
      </c>
      <c r="EM72" s="14">
        <v>-1.89</v>
      </c>
      <c r="EN72" s="14">
        <v>-1.36</v>
      </c>
      <c r="EO72" s="14">
        <v>1.72</v>
      </c>
      <c r="EP72" s="14">
        <v>-1.58</v>
      </c>
    </row>
    <row r="73" spans="1:146" ht="108">
      <c r="A73" s="6"/>
      <c r="B73" s="6"/>
      <c r="C73" s="6" t="str">
        <f>""&amp;CHAR(10)&amp;Basic_Fundamental_Information_Constructure(F73)&amp;CHAR(10)&amp;Basic_Fundamental_Information_Concatenate("")</f>
        <v xml:space="preserve">
市值26.061972亿, 利润1.41亿; PE70.25; 平均PE26.08; 平均PEG.38, PB1.83; ROIC5.5567%; ROE5.2067%; 股利率1.2896%; 毛利39.2233%; 净利8.89%; 上一年度营收增257.52%, 利润增799.32%; 当季营收增-80.97%, 利润增-90.98%; 过往5年营收增68.47%, 利润增162.46%
Income profile:
</v>
      </c>
      <c r="D73" t="s">
        <v>779</v>
      </c>
      <c r="E73" t="s">
        <v>780</v>
      </c>
      <c r="F73">
        <v>17.059999999999999</v>
      </c>
      <c r="G73">
        <v>-5.69</v>
      </c>
      <c r="H73" t="s">
        <v>3662</v>
      </c>
      <c r="I73">
        <v>2606197200</v>
      </c>
      <c r="J73">
        <v>70.25</v>
      </c>
      <c r="K73">
        <v>1.83</v>
      </c>
      <c r="L73" t="s">
        <v>361</v>
      </c>
      <c r="M73" t="s">
        <v>81</v>
      </c>
      <c r="N73" t="s">
        <v>2053</v>
      </c>
      <c r="O73" t="s">
        <v>3663</v>
      </c>
      <c r="P73">
        <v>-14.16</v>
      </c>
      <c r="Q73" t="s">
        <v>3664</v>
      </c>
      <c r="R73">
        <v>3158732</v>
      </c>
      <c r="S73" s="5">
        <v>-0.54410000000000003</v>
      </c>
      <c r="T73" t="s">
        <v>163</v>
      </c>
      <c r="U73">
        <v>38794481</v>
      </c>
      <c r="V73">
        <v>152766540</v>
      </c>
      <c r="W73">
        <v>1.05</v>
      </c>
      <c r="X73">
        <v>0.05</v>
      </c>
      <c r="Y73">
        <v>3.98</v>
      </c>
      <c r="Z73" t="s">
        <v>3665</v>
      </c>
      <c r="AA73" t="s">
        <v>3666</v>
      </c>
      <c r="AB73" t="s">
        <v>3667</v>
      </c>
      <c r="AC73" t="s">
        <v>3668</v>
      </c>
      <c r="AD73" t="s">
        <v>19</v>
      </c>
      <c r="AE73">
        <v>-464652</v>
      </c>
      <c r="AF73" t="s">
        <v>3669</v>
      </c>
      <c r="AG73">
        <v>2000</v>
      </c>
      <c r="AH73" t="s">
        <v>3670</v>
      </c>
      <c r="AI73" t="s">
        <v>186</v>
      </c>
      <c r="AJ73" t="s">
        <v>3671</v>
      </c>
      <c r="AK73" t="s">
        <v>3672</v>
      </c>
      <c r="AL73" t="s">
        <v>3673</v>
      </c>
      <c r="AM73" t="s">
        <v>19</v>
      </c>
      <c r="AN73">
        <v>0</v>
      </c>
      <c r="AO73" t="s">
        <v>3674</v>
      </c>
      <c r="AP73" t="s">
        <v>19</v>
      </c>
      <c r="AQ73" t="s">
        <v>3675</v>
      </c>
      <c r="AR73" t="s">
        <v>19</v>
      </c>
      <c r="AS73" t="s">
        <v>3676</v>
      </c>
      <c r="AT73" t="s">
        <v>19</v>
      </c>
      <c r="AU73" t="s">
        <v>3677</v>
      </c>
      <c r="AV73" t="s">
        <v>3678</v>
      </c>
      <c r="AW73" t="s">
        <v>3679</v>
      </c>
      <c r="AX73" t="s">
        <v>492</v>
      </c>
      <c r="AY73" t="s">
        <v>1402</v>
      </c>
      <c r="AZ73" t="s">
        <v>147</v>
      </c>
      <c r="BA73" t="s">
        <v>724</v>
      </c>
      <c r="BB73" t="s">
        <v>57</v>
      </c>
      <c r="BC73" t="s">
        <v>1697</v>
      </c>
      <c r="BD73" t="s">
        <v>53</v>
      </c>
      <c r="BE73" t="s">
        <v>28</v>
      </c>
      <c r="BF73" t="s">
        <v>68</v>
      </c>
      <c r="BG73" t="s">
        <v>781</v>
      </c>
      <c r="BH73" t="s">
        <v>777</v>
      </c>
      <c r="BI73" t="s">
        <v>2066</v>
      </c>
      <c r="BJ73" t="s">
        <v>492</v>
      </c>
      <c r="BK73" t="s">
        <v>3680</v>
      </c>
      <c r="BL73" t="s">
        <v>3681</v>
      </c>
      <c r="BM73" t="s">
        <v>1697</v>
      </c>
      <c r="BN73">
        <v>2.83</v>
      </c>
      <c r="BO73">
        <v>1.02</v>
      </c>
      <c r="BP73">
        <v>12.82</v>
      </c>
      <c r="BQ73">
        <v>3.03</v>
      </c>
      <c r="BR73">
        <v>1.1299999999999999</v>
      </c>
      <c r="BS73">
        <v>11.46</v>
      </c>
      <c r="BT73" t="s">
        <v>1693</v>
      </c>
      <c r="BU73" t="s">
        <v>1234</v>
      </c>
      <c r="BV73">
        <v>39.729999999999997</v>
      </c>
      <c r="BW73">
        <v>37.1</v>
      </c>
      <c r="BX73">
        <v>40.840000000000003</v>
      </c>
      <c r="BY73">
        <v>8.6</v>
      </c>
      <c r="BZ73">
        <v>2.76</v>
      </c>
      <c r="CA73">
        <v>15.31</v>
      </c>
      <c r="CB73">
        <v>-21.78</v>
      </c>
      <c r="CC73">
        <v>-0.7</v>
      </c>
      <c r="CD73" t="s">
        <v>3682</v>
      </c>
      <c r="CE73" t="s">
        <v>148</v>
      </c>
      <c r="CF73" s="8">
        <v>-0.8097195061728395</v>
      </c>
      <c r="CG73" s="9">
        <v>-0.90978814551644172</v>
      </c>
      <c r="CH73" s="8">
        <v>2.5751748085021973</v>
      </c>
      <c r="CI73" s="8">
        <v>-0.26478150486946106</v>
      </c>
      <c r="CJ73" s="8">
        <v>0.35776615142822266</v>
      </c>
      <c r="CK73" s="8">
        <v>0.15524193644523621</v>
      </c>
      <c r="CL73" s="8">
        <v>0.60000002384185791</v>
      </c>
      <c r="CM73" s="9">
        <v>7.9932074546813965</v>
      </c>
      <c r="CN73" s="9">
        <v>-0.86824792623519897</v>
      </c>
      <c r="CO73" s="9">
        <v>-8.3333337679505348E-3</v>
      </c>
      <c r="CP73" s="9">
        <v>-0.1366906464099884</v>
      </c>
      <c r="CQ73" s="9">
        <v>1.1433020830154419</v>
      </c>
      <c r="CR73">
        <v>26.082329257985858</v>
      </c>
      <c r="CS73">
        <v>0.38094173153419258</v>
      </c>
      <c r="CT73">
        <v>1.2895662368112546</v>
      </c>
      <c r="CU73" s="8">
        <v>0.6846802830696106</v>
      </c>
      <c r="CV73" s="9">
        <v>1.6246475262567401</v>
      </c>
      <c r="CW73">
        <v>0.06</v>
      </c>
      <c r="CX73">
        <v>5.9001831461187955</v>
      </c>
      <c r="CY73">
        <v>224094264.06869346</v>
      </c>
      <c r="CZ73">
        <v>0.6846802830696106</v>
      </c>
      <c r="DA73">
        <v>1.2090227002448377</v>
      </c>
      <c r="DB73">
        <v>1093608250.4755647</v>
      </c>
      <c r="DC73">
        <v>0.65044626891613</v>
      </c>
      <c r="DD73">
        <v>0.29019789578449434</v>
      </c>
      <c r="DE73">
        <v>4556191547.9286766</v>
      </c>
      <c r="DF73">
        <v>0.6025186491012573</v>
      </c>
      <c r="DG73">
        <v>6.8645147393679135E-2</v>
      </c>
      <c r="DH73">
        <v>19261335290.274986</v>
      </c>
      <c r="DI73">
        <v>0.54774422645568854</v>
      </c>
      <c r="DJ73">
        <v>3.3901083024770197E-3</v>
      </c>
      <c r="DK73">
        <v>390016212471.41931</v>
      </c>
      <c r="DL73">
        <v>0.47927619814872741</v>
      </c>
      <c r="DM73">
        <v>141000000</v>
      </c>
      <c r="DN73">
        <v>0.6846802830696106</v>
      </c>
      <c r="DO73">
        <v>1322197200</v>
      </c>
      <c r="DP73">
        <v>1039581530</v>
      </c>
      <c r="DQ73">
        <v>2427</v>
      </c>
      <c r="DR73">
        <v>-1.4943997892424501</v>
      </c>
      <c r="DS73">
        <v>-2.5344356717731817</v>
      </c>
      <c r="DT73" s="10">
        <v>0.16</v>
      </c>
      <c r="DU73">
        <v>-0.24000000000000007</v>
      </c>
      <c r="DV73">
        <v>-8.0000000000000071E-2</v>
      </c>
      <c r="DW73">
        <v>-5.0321395775941227</v>
      </c>
      <c r="DX73">
        <v>0.59246910144927456</v>
      </c>
      <c r="DY73">
        <v>-5.014542165794972</v>
      </c>
      <c r="DZ73">
        <v>2182</v>
      </c>
      <c r="EA73">
        <v>-5.0083325756257686</v>
      </c>
      <c r="EB73">
        <v>5</v>
      </c>
      <c r="EC73">
        <v>0.61309957010219651</v>
      </c>
      <c r="ED73">
        <v>1.3550087604262031</v>
      </c>
      <c r="EE73" s="11">
        <v>-6.0327099999999998</v>
      </c>
      <c r="EF73">
        <v>-6.0223100000000001</v>
      </c>
      <c r="EG73">
        <v>14.452469101449275</v>
      </c>
      <c r="EH73" t="s">
        <v>1856</v>
      </c>
      <c r="EI73">
        <v>0</v>
      </c>
      <c r="EJ73">
        <v>0</v>
      </c>
      <c r="EK73" s="13">
        <v>45470</v>
      </c>
      <c r="EL73" s="14">
        <v>1.49</v>
      </c>
      <c r="EM73" s="14">
        <v>-3.56</v>
      </c>
      <c r="EN73" s="14">
        <v>-1.52</v>
      </c>
      <c r="EO73" s="14">
        <v>4.58</v>
      </c>
      <c r="EP73" s="14">
        <v>1.04</v>
      </c>
    </row>
    <row r="74" spans="1:146" ht="108">
      <c r="A74" s="6"/>
      <c r="B74" s="6"/>
      <c r="C74" s="6" t="str">
        <f>""&amp;CHAR(10)&amp;Basic_Fundamental_Information_Constructure(F74)&amp;CHAR(10)&amp;Basic_Fundamental_Information_Concatenate("")</f>
        <v xml:space="preserve">
市值36.198204亿, 利润786.85万; PE107.2; 平均PE21.82; 平均PEG1.67, PB1.15; ROIC14.8033%; ROE18.4467%; 股利率1.1435%; 毛利24.8833%; 净利10%; 上一年度营收增-83.92%, 利润增-96.93%; 当季营收增687.87%, 利润增701.52%; 过往5年营收增13.03%, 利润增18.44%
Income profile:
</v>
      </c>
      <c r="D74" t="s">
        <v>782</v>
      </c>
      <c r="E74" t="s">
        <v>783</v>
      </c>
      <c r="F74">
        <v>17.489999999999998</v>
      </c>
      <c r="G74">
        <v>0.63</v>
      </c>
      <c r="H74" t="s">
        <v>3683</v>
      </c>
      <c r="I74">
        <v>3619820400</v>
      </c>
      <c r="J74">
        <v>107.2</v>
      </c>
      <c r="K74">
        <v>1.1499999999999999</v>
      </c>
      <c r="L74" t="s">
        <v>361</v>
      </c>
      <c r="M74" t="s">
        <v>1915</v>
      </c>
      <c r="N74" t="s">
        <v>3684</v>
      </c>
      <c r="O74" t="s">
        <v>3685</v>
      </c>
      <c r="P74">
        <v>-14.42</v>
      </c>
      <c r="Q74" t="s">
        <v>118</v>
      </c>
      <c r="R74">
        <v>51445316</v>
      </c>
      <c r="S74" s="5">
        <v>-0.46460000000000001</v>
      </c>
      <c r="T74" t="s">
        <v>3686</v>
      </c>
      <c r="U74">
        <v>193897150</v>
      </c>
      <c r="V74">
        <v>206965150</v>
      </c>
      <c r="W74">
        <v>1.5</v>
      </c>
      <c r="X74">
        <v>0.1</v>
      </c>
      <c r="Y74">
        <v>10.29</v>
      </c>
      <c r="Z74" t="s">
        <v>1694</v>
      </c>
      <c r="AA74" t="s">
        <v>1457</v>
      </c>
      <c r="AB74" t="s">
        <v>3687</v>
      </c>
      <c r="AC74" t="s">
        <v>3688</v>
      </c>
      <c r="AD74" t="s">
        <v>19</v>
      </c>
      <c r="AE74">
        <v>-1032051</v>
      </c>
      <c r="AF74" t="s">
        <v>3689</v>
      </c>
      <c r="AG74" t="s">
        <v>3690</v>
      </c>
      <c r="AH74" t="s">
        <v>3691</v>
      </c>
      <c r="AI74" t="s">
        <v>3692</v>
      </c>
      <c r="AJ74" t="s">
        <v>3693</v>
      </c>
      <c r="AK74" t="s">
        <v>146</v>
      </c>
      <c r="AL74" t="s">
        <v>3694</v>
      </c>
      <c r="AM74" t="s">
        <v>19</v>
      </c>
      <c r="AN74" t="s">
        <v>213</v>
      </c>
      <c r="AO74" t="s">
        <v>211</v>
      </c>
      <c r="AP74" t="s">
        <v>165</v>
      </c>
      <c r="AQ74" t="s">
        <v>109</v>
      </c>
      <c r="AR74" t="s">
        <v>19</v>
      </c>
      <c r="AS74" t="s">
        <v>1798</v>
      </c>
      <c r="AT74" t="s">
        <v>19</v>
      </c>
      <c r="AU74" t="s">
        <v>3695</v>
      </c>
      <c r="AV74" t="s">
        <v>3696</v>
      </c>
      <c r="AW74" t="s">
        <v>3697</v>
      </c>
      <c r="AX74" t="s">
        <v>1443</v>
      </c>
      <c r="AY74" t="s">
        <v>1403</v>
      </c>
      <c r="AZ74" t="s">
        <v>41</v>
      </c>
      <c r="BA74" t="s">
        <v>217</v>
      </c>
      <c r="BB74" t="s">
        <v>33</v>
      </c>
      <c r="BC74" t="s">
        <v>189</v>
      </c>
      <c r="BD74" t="s">
        <v>309</v>
      </c>
      <c r="BE74" t="s">
        <v>127</v>
      </c>
      <c r="BF74" t="s">
        <v>175</v>
      </c>
      <c r="BG74" t="s">
        <v>785</v>
      </c>
      <c r="BH74" t="s">
        <v>3698</v>
      </c>
      <c r="BI74" t="s">
        <v>3699</v>
      </c>
      <c r="BJ74" t="s">
        <v>1443</v>
      </c>
      <c r="BK74" t="s">
        <v>3700</v>
      </c>
      <c r="BL74" t="s">
        <v>3701</v>
      </c>
      <c r="BM74" t="s">
        <v>189</v>
      </c>
      <c r="BN74">
        <v>6.23</v>
      </c>
      <c r="BO74">
        <v>10.8</v>
      </c>
      <c r="BP74">
        <v>27.38</v>
      </c>
      <c r="BQ74">
        <v>13.16</v>
      </c>
      <c r="BR74">
        <v>16.399999999999999</v>
      </c>
      <c r="BS74">
        <v>25.78</v>
      </c>
      <c r="BT74" t="s">
        <v>1578</v>
      </c>
      <c r="BU74" t="s">
        <v>1342</v>
      </c>
      <c r="BV74">
        <v>19.36</v>
      </c>
      <c r="BW74">
        <v>26.67</v>
      </c>
      <c r="BX74">
        <v>28.62</v>
      </c>
      <c r="BY74">
        <v>2.95</v>
      </c>
      <c r="BZ74">
        <v>10.82</v>
      </c>
      <c r="CA74">
        <v>16.23</v>
      </c>
      <c r="CB74">
        <v>-7.26</v>
      </c>
      <c r="CC74">
        <v>-15.43</v>
      </c>
      <c r="CD74" t="s">
        <v>3702</v>
      </c>
      <c r="CE74" t="s">
        <v>26</v>
      </c>
      <c r="CF74" s="8">
        <v>6.8786841170800992</v>
      </c>
      <c r="CG74" s="9">
        <v>7.01516684984683</v>
      </c>
      <c r="CH74" s="8">
        <v>-0.83920234441757202</v>
      </c>
      <c r="CI74" s="8">
        <v>0.26993530988693237</v>
      </c>
      <c r="CJ74" s="8">
        <v>0.35573416948318481</v>
      </c>
      <c r="CK74" s="8">
        <v>0.38282820582389832</v>
      </c>
      <c r="CL74" s="8">
        <v>0.48203593492507935</v>
      </c>
      <c r="CM74" s="9">
        <v>-0.96926367282867432</v>
      </c>
      <c r="CN74" s="9">
        <v>-0.14950166642665863</v>
      </c>
      <c r="CO74" s="9">
        <v>0.27004218101501465</v>
      </c>
      <c r="CP74" s="9">
        <v>0.86614173650741577</v>
      </c>
      <c r="CQ74" s="9">
        <v>0.90456193685531616</v>
      </c>
      <c r="CR74">
        <v>21.815992659337724</v>
      </c>
      <c r="CS74">
        <v>1.6747232532201521</v>
      </c>
      <c r="CT74">
        <v>1.1435105774728418</v>
      </c>
      <c r="CU74" s="8">
        <v>0.13026625514030457</v>
      </c>
      <c r="CV74" s="9">
        <v>0.18439610302448273</v>
      </c>
      <c r="CW74">
        <v>0.06</v>
      </c>
      <c r="CX74">
        <v>263.86120385237456</v>
      </c>
      <c r="CY74">
        <v>8390094.3665768746</v>
      </c>
      <c r="CZ74">
        <v>0.13026625514030457</v>
      </c>
      <c r="DA74">
        <v>83.349990433437114</v>
      </c>
      <c r="DB74">
        <v>26560535.741968032</v>
      </c>
      <c r="DC74">
        <v>0.12375294238328934</v>
      </c>
      <c r="DD74">
        <v>39.183915105340915</v>
      </c>
      <c r="DE74">
        <v>56498193.048051186</v>
      </c>
      <c r="DF74">
        <v>0.11463430452346803</v>
      </c>
      <c r="DG74">
        <v>22.317969065482686</v>
      </c>
      <c r="DH74">
        <v>99194527.669810638</v>
      </c>
      <c r="DI74">
        <v>0.10421300411224366</v>
      </c>
      <c r="DJ74">
        <v>10.231503047447369</v>
      </c>
      <c r="DK74">
        <v>216372940.4891611</v>
      </c>
      <c r="DL74">
        <v>9.11863785982132E-2</v>
      </c>
      <c r="DM74">
        <v>7868500</v>
      </c>
      <c r="DN74">
        <v>0.13026625514030457</v>
      </c>
      <c r="DO74">
        <v>2213820400</v>
      </c>
      <c r="DP74">
        <v>2312524300</v>
      </c>
      <c r="DQ74">
        <v>2432</v>
      </c>
      <c r="DR74">
        <v>6.748417861939795</v>
      </c>
      <c r="DS74">
        <v>6.8307707468223473</v>
      </c>
      <c r="DT74" s="10">
        <v>-0.27333333333333343</v>
      </c>
      <c r="DU74">
        <v>0.4533333333333332</v>
      </c>
      <c r="DV74">
        <v>0.17999999999999977</v>
      </c>
      <c r="DW74">
        <v>-9.4705119896305892</v>
      </c>
      <c r="DX74">
        <v>0.3524264423076926</v>
      </c>
      <c r="DY74">
        <v>-9.0387826293683631</v>
      </c>
      <c r="DZ74">
        <v>2203</v>
      </c>
      <c r="EA74">
        <v>-9.022062838272765</v>
      </c>
      <c r="EB74">
        <v>9</v>
      </c>
      <c r="EC74">
        <v>8.2838584177094554E-2</v>
      </c>
      <c r="ED74">
        <v>1.0050001171694849</v>
      </c>
      <c r="EE74" s="11">
        <v>-5.0223100000000001</v>
      </c>
      <c r="EF74">
        <v>-5.0657100000000002</v>
      </c>
      <c r="EG74">
        <v>27.082426442307693</v>
      </c>
      <c r="EH74" t="s">
        <v>1939</v>
      </c>
      <c r="EI74">
        <v>0</v>
      </c>
      <c r="EJ74">
        <v>0</v>
      </c>
      <c r="EK74" s="13">
        <v>45470</v>
      </c>
      <c r="EL74" s="14">
        <v>1.45</v>
      </c>
      <c r="EM74" s="14">
        <v>-4.78</v>
      </c>
      <c r="EN74" s="14">
        <v>0.8</v>
      </c>
      <c r="EO74" s="14">
        <v>3.69</v>
      </c>
      <c r="EP74" s="14">
        <v>-4.34</v>
      </c>
    </row>
    <row r="75" spans="1:146" ht="108">
      <c r="A75" s="6"/>
      <c r="B75" s="6"/>
      <c r="C75" s="6" t="str">
        <f>""&amp;CHAR(10)&amp;Basic_Fundamental_Information_Constructure(F75)&amp;CHAR(10)&amp;Basic_Fundamental_Information_Concatenate("")</f>
        <v xml:space="preserve">
市值26.23104亿, 利润3770.78万; PE792.1; 平均PE15.02; 平均PEG.99, PB.855; ROIC6.415%; ROE4.25%; 股利率.3953%; 毛利44.9767%; 净利12.2833%; 上一年度营收增94.49%, 利润增81.22%; 当季营收增-82.25%, 利润增-167.52%; 过往5年营收增15.25%, 利润增21.88%
Income profile:
</v>
      </c>
      <c r="D75" t="s">
        <v>786</v>
      </c>
      <c r="E75" t="s">
        <v>787</v>
      </c>
      <c r="F75">
        <v>15.18</v>
      </c>
      <c r="G75">
        <v>1.2</v>
      </c>
      <c r="H75" t="s">
        <v>3703</v>
      </c>
      <c r="I75">
        <v>2623104000</v>
      </c>
      <c r="J75">
        <v>792.1</v>
      </c>
      <c r="K75">
        <v>0.85499999999999998</v>
      </c>
      <c r="L75" t="s">
        <v>361</v>
      </c>
      <c r="M75" t="s">
        <v>168</v>
      </c>
      <c r="N75" t="s">
        <v>3704</v>
      </c>
      <c r="O75" t="s">
        <v>3705</v>
      </c>
      <c r="P75">
        <v>-36.409999999999997</v>
      </c>
      <c r="Q75" t="s">
        <v>3706</v>
      </c>
      <c r="R75">
        <v>-13109593</v>
      </c>
      <c r="S75" s="5">
        <v>-0.53280000000000005</v>
      </c>
      <c r="T75" t="s">
        <v>3707</v>
      </c>
      <c r="U75">
        <v>43200000</v>
      </c>
      <c r="V75">
        <v>172800000</v>
      </c>
      <c r="W75">
        <v>1.04</v>
      </c>
      <c r="X75">
        <v>0.01</v>
      </c>
      <c r="Y75">
        <v>-34.19</v>
      </c>
      <c r="Z75" t="s">
        <v>3708</v>
      </c>
      <c r="AA75" t="s">
        <v>3709</v>
      </c>
      <c r="AB75" t="s">
        <v>3710</v>
      </c>
      <c r="AC75" t="s">
        <v>3711</v>
      </c>
      <c r="AD75" t="s">
        <v>19</v>
      </c>
      <c r="AE75">
        <v>-10919479</v>
      </c>
      <c r="AF75" t="s">
        <v>3712</v>
      </c>
      <c r="AG75">
        <v>5506.11</v>
      </c>
      <c r="AH75" t="s">
        <v>3713</v>
      </c>
      <c r="AI75" t="s">
        <v>3714</v>
      </c>
      <c r="AJ75" t="s">
        <v>3715</v>
      </c>
      <c r="AK75" t="s">
        <v>3716</v>
      </c>
      <c r="AL75" t="s">
        <v>3717</v>
      </c>
      <c r="AM75" t="s">
        <v>19</v>
      </c>
      <c r="AN75" t="s">
        <v>1681</v>
      </c>
      <c r="AO75" t="s">
        <v>19</v>
      </c>
      <c r="AP75" t="s">
        <v>19</v>
      </c>
      <c r="AQ75" t="s">
        <v>3718</v>
      </c>
      <c r="AR75" t="s">
        <v>3719</v>
      </c>
      <c r="AS75" t="s">
        <v>46</v>
      </c>
      <c r="AT75" t="s">
        <v>19</v>
      </c>
      <c r="AU75" t="s">
        <v>3720</v>
      </c>
      <c r="AV75" t="s">
        <v>3721</v>
      </c>
      <c r="AW75" t="s">
        <v>3722</v>
      </c>
      <c r="AX75" t="s">
        <v>109</v>
      </c>
      <c r="AY75" t="s">
        <v>1404</v>
      </c>
      <c r="AZ75" t="s">
        <v>300</v>
      </c>
      <c r="BA75" t="s">
        <v>637</v>
      </c>
      <c r="BB75" t="s">
        <v>187</v>
      </c>
      <c r="BC75" t="s">
        <v>1699</v>
      </c>
      <c r="BD75" t="s">
        <v>289</v>
      </c>
      <c r="BE75" t="s">
        <v>788</v>
      </c>
      <c r="BF75" t="s">
        <v>169</v>
      </c>
      <c r="BG75" t="s">
        <v>42</v>
      </c>
      <c r="BH75" t="s">
        <v>118</v>
      </c>
      <c r="BI75" t="s">
        <v>244</v>
      </c>
      <c r="BJ75" t="s">
        <v>109</v>
      </c>
      <c r="BK75" t="s">
        <v>3686</v>
      </c>
      <c r="BL75" t="s">
        <v>3723</v>
      </c>
      <c r="BM75" t="s">
        <v>1699</v>
      </c>
      <c r="BN75" t="s">
        <v>19</v>
      </c>
      <c r="BO75">
        <v>-0.62</v>
      </c>
      <c r="BP75">
        <v>13.45</v>
      </c>
      <c r="BQ75">
        <v>-0.89</v>
      </c>
      <c r="BR75">
        <v>0.67</v>
      </c>
      <c r="BS75">
        <v>12.97</v>
      </c>
      <c r="BT75" t="s">
        <v>3724</v>
      </c>
      <c r="BU75" t="s">
        <v>1234</v>
      </c>
      <c r="BV75">
        <v>43.09</v>
      </c>
      <c r="BW75">
        <v>42.68</v>
      </c>
      <c r="BX75">
        <v>49.16</v>
      </c>
      <c r="BY75">
        <v>1.1499999999999999</v>
      </c>
      <c r="BZ75">
        <v>3.94</v>
      </c>
      <c r="CA75">
        <v>31.76</v>
      </c>
      <c r="CB75">
        <v>-3.19</v>
      </c>
      <c r="CC75">
        <v>-15.43</v>
      </c>
      <c r="CD75" t="s">
        <v>3725</v>
      </c>
      <c r="CE75" t="s">
        <v>3726</v>
      </c>
      <c r="CF75" s="8">
        <v>-0.82249292035398225</v>
      </c>
      <c r="CG75" s="9">
        <v>-1.6751779671928515</v>
      </c>
      <c r="CH75" s="8">
        <v>0.94488191604614258</v>
      </c>
      <c r="CI75" s="8">
        <v>-0.46806281805038452</v>
      </c>
      <c r="CJ75" s="8">
        <v>3.1317494809627533E-2</v>
      </c>
      <c r="CK75" s="8">
        <v>8.4309130907058716E-2</v>
      </c>
      <c r="CL75" s="8">
        <v>0.1698630154132843</v>
      </c>
      <c r="CM75" s="9">
        <v>0.81218671798706055</v>
      </c>
      <c r="CN75" s="9">
        <v>-0.9315529465675354</v>
      </c>
      <c r="CO75" s="9">
        <v>4.109589010477066E-2</v>
      </c>
      <c r="CP75" s="9">
        <v>0.10188679397106171</v>
      </c>
      <c r="CQ75" s="9">
        <v>1.0703125</v>
      </c>
      <c r="CR75">
        <v>15.024714188054652</v>
      </c>
      <c r="CS75">
        <v>0.98547435028005148</v>
      </c>
      <c r="CT75">
        <v>0.39525691699604742</v>
      </c>
      <c r="CU75" s="8">
        <v>0.15246174782514571</v>
      </c>
      <c r="CV75" s="9">
        <v>0.21878579109907151</v>
      </c>
      <c r="CW75">
        <v>0.06</v>
      </c>
      <c r="CX75" t="s">
        <v>3727</v>
      </c>
      <c r="CY75">
        <v>40996978.391170785</v>
      </c>
      <c r="CZ75">
        <v>0.15246174782514571</v>
      </c>
      <c r="DA75" t="s">
        <v>3727</v>
      </c>
      <c r="DB75">
        <v>132216928.57038538</v>
      </c>
      <c r="DC75">
        <v>0.14483866043388841</v>
      </c>
      <c r="DD75" t="s">
        <v>3727</v>
      </c>
      <c r="DE75">
        <v>288584632.13427061</v>
      </c>
      <c r="DF75">
        <v>0.13416633808612824</v>
      </c>
      <c r="DG75" t="s">
        <v>3727</v>
      </c>
      <c r="DH75">
        <v>522290283.62503761</v>
      </c>
      <c r="DI75">
        <v>0.12196939826011657</v>
      </c>
      <c r="DJ75" t="s">
        <v>3727</v>
      </c>
      <c r="DK75">
        <v>1223237008.9222379</v>
      </c>
      <c r="DL75">
        <v>0.10672322347760199</v>
      </c>
      <c r="DM75">
        <v>37707800</v>
      </c>
      <c r="DN75">
        <v>0.15246174782514571</v>
      </c>
      <c r="DO75">
        <v>-290896000</v>
      </c>
      <c r="DP75">
        <v>2005113300</v>
      </c>
      <c r="DQ75">
        <v>2433</v>
      </c>
      <c r="DR75">
        <v>-0.9749546681791279</v>
      </c>
      <c r="DS75">
        <v>-1.8939637582919231</v>
      </c>
      <c r="DT75" s="10">
        <v>-0.1566666666666667</v>
      </c>
      <c r="DU75">
        <v>-0.66500000000000004</v>
      </c>
      <c r="DV75">
        <v>-0.82166666666666677</v>
      </c>
      <c r="DW75">
        <v>-8.2067401166558653</v>
      </c>
      <c r="DX75">
        <v>0.21726183315597025</v>
      </c>
      <c r="DY75">
        <v>-8.022175323899388</v>
      </c>
      <c r="DZ75">
        <v>1550</v>
      </c>
      <c r="EA75">
        <v>-8.0154489536363638</v>
      </c>
      <c r="EB75">
        <v>8</v>
      </c>
      <c r="EC75">
        <v>1.0732638888888889E-2</v>
      </c>
      <c r="ED75">
        <v>0.10006018518518518</v>
      </c>
      <c r="EE75" s="11">
        <v>-3.0024099999999998</v>
      </c>
      <c r="EF75">
        <v>-3.00671</v>
      </c>
      <c r="EG75">
        <v>11.10726183315597</v>
      </c>
      <c r="EH75" t="s">
        <v>1897</v>
      </c>
      <c r="EI75">
        <v>0</v>
      </c>
      <c r="EJ75">
        <v>0</v>
      </c>
      <c r="EK75" s="13">
        <v>45470</v>
      </c>
      <c r="EL75" s="14">
        <v>-2.02</v>
      </c>
      <c r="EM75" s="14">
        <v>-4.59</v>
      </c>
      <c r="EN75" s="14">
        <v>-0.55000000000000004</v>
      </c>
      <c r="EO75" s="14">
        <v>3.45</v>
      </c>
      <c r="EP75" s="14">
        <v>-0.43</v>
      </c>
    </row>
    <row r="76" spans="1:146" ht="108">
      <c r="A76" s="6"/>
      <c r="B76" s="6"/>
      <c r="C76" s="6" t="str">
        <f>""&amp;CHAR(10)&amp;Basic_Fundamental_Information_Constructure(F76)&amp;CHAR(10)&amp;Basic_Fundamental_Information_Concatenate("")</f>
        <v xml:space="preserve">
市值16.802518亿, 利润3132.40万; PE; 平均PE13.66; 平均PEG1.16, PB1.27; ROIC7.56%; ROE9.8533%; 股利率1.4663%; 毛利28.2967%; 净利6.56%; 上一年度营收增-87.56%, 利润增-82.4%; 当季营收增921.93%, 利润增-388.2%; 过往5年营收增11.77%, 利润增10.3%
Income profile:
</v>
      </c>
      <c r="D76" t="s">
        <v>1298</v>
      </c>
      <c r="E76" t="s">
        <v>1299</v>
      </c>
      <c r="F76">
        <v>6.82</v>
      </c>
      <c r="G76">
        <v>2.1</v>
      </c>
      <c r="H76" t="s">
        <v>3728</v>
      </c>
      <c r="I76">
        <v>1680251800</v>
      </c>
      <c r="K76">
        <v>1.27</v>
      </c>
      <c r="L76" t="s">
        <v>361</v>
      </c>
      <c r="M76" t="s">
        <v>3729</v>
      </c>
      <c r="N76" t="s">
        <v>1024</v>
      </c>
      <c r="O76" t="s">
        <v>235</v>
      </c>
      <c r="P76">
        <v>18.329999999999998</v>
      </c>
      <c r="Q76" t="s">
        <v>179</v>
      </c>
      <c r="R76">
        <v>-18037967</v>
      </c>
      <c r="S76" s="5">
        <v>-10.77</v>
      </c>
      <c r="T76" t="s">
        <v>3730</v>
      </c>
      <c r="U76">
        <v>246146630</v>
      </c>
      <c r="V76">
        <v>246371230</v>
      </c>
      <c r="W76">
        <v>3.1</v>
      </c>
      <c r="X76">
        <v>0.09</v>
      </c>
      <c r="Y76">
        <v>-4.62</v>
      </c>
      <c r="Z76" t="s">
        <v>1687</v>
      </c>
      <c r="AA76" t="s">
        <v>220</v>
      </c>
      <c r="AB76" t="s">
        <v>3731</v>
      </c>
      <c r="AC76" t="s">
        <v>3732</v>
      </c>
      <c r="AD76" t="s">
        <v>19</v>
      </c>
      <c r="AE76">
        <v>25825434</v>
      </c>
      <c r="AF76" t="s">
        <v>3733</v>
      </c>
      <c r="AG76" t="s">
        <v>3734</v>
      </c>
      <c r="AH76" t="s">
        <v>3735</v>
      </c>
      <c r="AI76" t="s">
        <v>238</v>
      </c>
      <c r="AJ76" t="s">
        <v>3736</v>
      </c>
      <c r="AK76" t="s">
        <v>32</v>
      </c>
      <c r="AL76" t="s">
        <v>3737</v>
      </c>
      <c r="AM76" t="s">
        <v>19</v>
      </c>
      <c r="AN76" t="s">
        <v>1645</v>
      </c>
      <c r="AO76" t="s">
        <v>2934</v>
      </c>
      <c r="AP76" t="s">
        <v>92</v>
      </c>
      <c r="AQ76" t="s">
        <v>671</v>
      </c>
      <c r="AR76" t="s">
        <v>19</v>
      </c>
      <c r="AS76" t="s">
        <v>3738</v>
      </c>
      <c r="AT76" t="s">
        <v>312</v>
      </c>
      <c r="AU76" t="s">
        <v>1997</v>
      </c>
      <c r="AV76" t="s">
        <v>3739</v>
      </c>
      <c r="AW76" t="s">
        <v>1899</v>
      </c>
      <c r="AX76" t="s">
        <v>1700</v>
      </c>
      <c r="AY76" t="s">
        <v>1405</v>
      </c>
      <c r="AZ76" t="s">
        <v>1300</v>
      </c>
      <c r="BA76" t="s">
        <v>1301</v>
      </c>
      <c r="BB76" t="s">
        <v>456</v>
      </c>
      <c r="BC76" t="s">
        <v>32</v>
      </c>
      <c r="BD76" t="s">
        <v>59</v>
      </c>
      <c r="BE76" t="s">
        <v>218</v>
      </c>
      <c r="BF76" t="s">
        <v>158</v>
      </c>
      <c r="BG76" t="s">
        <v>1302</v>
      </c>
      <c r="BH76" t="s">
        <v>1968</v>
      </c>
      <c r="BI76" t="s">
        <v>3740</v>
      </c>
      <c r="BJ76" t="s">
        <v>1700</v>
      </c>
      <c r="BK76" t="s">
        <v>3741</v>
      </c>
      <c r="BL76" t="s">
        <v>3742</v>
      </c>
      <c r="BM76" t="s">
        <v>32</v>
      </c>
      <c r="BN76">
        <v>1.1499999999999999</v>
      </c>
      <c r="BO76">
        <v>9.56</v>
      </c>
      <c r="BP76">
        <v>11.97</v>
      </c>
      <c r="BQ76">
        <v>0.02</v>
      </c>
      <c r="BR76">
        <v>13.48</v>
      </c>
      <c r="BS76">
        <v>16.059999999999999</v>
      </c>
      <c r="BT76" t="s">
        <v>1572</v>
      </c>
      <c r="BU76" t="s">
        <v>1336</v>
      </c>
      <c r="BV76">
        <v>21.49</v>
      </c>
      <c r="BW76">
        <v>30.95</v>
      </c>
      <c r="BX76">
        <v>32.450000000000003</v>
      </c>
      <c r="BY76">
        <v>-1.62</v>
      </c>
      <c r="BZ76">
        <v>9.48</v>
      </c>
      <c r="CA76">
        <v>11.82</v>
      </c>
      <c r="CB76">
        <v>0.74</v>
      </c>
      <c r="CC76">
        <v>-17.63</v>
      </c>
      <c r="CD76" t="s">
        <v>3743</v>
      </c>
      <c r="CE76" t="s">
        <v>3744</v>
      </c>
      <c r="CF76" s="8">
        <v>9.2192831059353608</v>
      </c>
      <c r="CG76" s="9">
        <v>-3.8819707935899279</v>
      </c>
      <c r="CH76" s="8">
        <v>-0.87564766407012939</v>
      </c>
      <c r="CI76" s="8">
        <v>0.30317360162734985</v>
      </c>
      <c r="CJ76" s="8">
        <v>0.32232138514518738</v>
      </c>
      <c r="CK76" s="8">
        <v>0.29930394887924194</v>
      </c>
      <c r="CL76" s="8">
        <v>0.53928571939468384</v>
      </c>
      <c r="CM76" s="9">
        <v>-0.82402247190475464</v>
      </c>
      <c r="CN76" s="9">
        <v>8.5365854203701019E-2</v>
      </c>
      <c r="CO76" s="9">
        <v>-2.380952425301075E-2</v>
      </c>
      <c r="CP76" s="9">
        <v>0.28244274854660034</v>
      </c>
      <c r="CQ76" s="9">
        <v>0.99522668123245239</v>
      </c>
      <c r="CR76">
        <v>13.660940997508472</v>
      </c>
      <c r="CS76">
        <v>1.160781970457216</v>
      </c>
      <c r="CT76">
        <v>1.466275659824047</v>
      </c>
      <c r="CU76" s="8">
        <v>0.11768739819526672</v>
      </c>
      <c r="CV76" s="9">
        <v>0.10304065756499767</v>
      </c>
      <c r="CW76">
        <v>0.06</v>
      </c>
      <c r="CX76">
        <v>105.70352447855099</v>
      </c>
      <c r="CY76">
        <v>33028717.038743898</v>
      </c>
      <c r="CZ76">
        <v>0.11768739819526672</v>
      </c>
      <c r="DA76">
        <v>33.744982957462724</v>
      </c>
      <c r="DB76">
        <v>103459877.41054429</v>
      </c>
      <c r="DC76">
        <v>0.11180302828550338</v>
      </c>
      <c r="DD76">
        <v>16.095472423455259</v>
      </c>
      <c r="DE76">
        <v>216908936.13736647</v>
      </c>
      <c r="DF76">
        <v>0.10356491041183472</v>
      </c>
      <c r="DG76">
        <v>9.3231770747125662</v>
      </c>
      <c r="DH76">
        <v>374470180.2853654</v>
      </c>
      <c r="DI76">
        <v>9.414991855621338E-2</v>
      </c>
      <c r="DJ76">
        <v>4.4426850497798673</v>
      </c>
      <c r="DK76">
        <v>785842741.69355977</v>
      </c>
      <c r="DL76">
        <v>8.2381178736686697E-2</v>
      </c>
      <c r="DM76">
        <v>31324000</v>
      </c>
      <c r="DN76">
        <v>0.11768739819526672</v>
      </c>
      <c r="DO76">
        <v>3491251800</v>
      </c>
      <c r="DP76">
        <v>80467400</v>
      </c>
      <c r="DQ76">
        <v>2436</v>
      </c>
      <c r="DR76">
        <v>9.1015957077400937</v>
      </c>
      <c r="DS76">
        <v>-3.9850114511549255</v>
      </c>
      <c r="DT76" s="10">
        <v>-0.27333333333333343</v>
      </c>
      <c r="DU76">
        <v>-0.91500000000000004</v>
      </c>
      <c r="DV76">
        <v>-1.1883333333333335</v>
      </c>
      <c r="DW76">
        <v>-3.0184345238095238</v>
      </c>
      <c r="DX76">
        <v>0.3452418471690879</v>
      </c>
      <c r="DY76">
        <v>-3.0021244285754922</v>
      </c>
      <c r="DZ76">
        <v>2077</v>
      </c>
      <c r="EA76">
        <v>-3.001260937743536</v>
      </c>
      <c r="EB76">
        <v>3</v>
      </c>
      <c r="EC76">
        <v>3.9467270589995433E-2</v>
      </c>
      <c r="ED76">
        <v>0.34247342922304685</v>
      </c>
      <c r="EE76" s="11">
        <v>8.9900000000000008E-2</v>
      </c>
      <c r="EF76">
        <v>6.2899999999999984E-2</v>
      </c>
      <c r="EG76">
        <v>23.115241847169088</v>
      </c>
      <c r="EH76" t="s">
        <v>1261</v>
      </c>
      <c r="EI76">
        <v>0</v>
      </c>
      <c r="EJ76">
        <v>0</v>
      </c>
      <c r="EK76" s="13">
        <v>45470</v>
      </c>
      <c r="EL76" s="14">
        <v>-0.97</v>
      </c>
      <c r="EM76" s="14">
        <v>-4.83</v>
      </c>
      <c r="EN76" s="14">
        <v>-0.13</v>
      </c>
      <c r="EO76" s="14">
        <v>4.96</v>
      </c>
      <c r="EP76" s="14">
        <v>-2.7</v>
      </c>
    </row>
    <row r="77" spans="1:146" ht="108">
      <c r="A77" s="6"/>
      <c r="B77" s="6"/>
      <c r="C77" s="6" t="str">
        <f>""&amp;CHAR(10)&amp;Basic_Fundamental_Information_Constructure(F77)&amp;CHAR(10)&amp;Basic_Fundamental_Information_Concatenate("")</f>
        <v xml:space="preserve">
市值24.072174亿, 利润1.82亿; PE55.04; 平均PE27.59; 平均PEG.39, PB2.29; ROIC6.9%; ROE6.61%; 股利率.4398%; 毛利45.5167%; 净利11.6933%; 上一年度营收增317.42%, 利润增493.17%; 当季营收增-68.41%, 利润增-87.73%; 过往5年营收增70.53%, 利润增103.41%
Income profile:
</v>
      </c>
      <c r="D77" t="s">
        <v>789</v>
      </c>
      <c r="E77" t="s">
        <v>790</v>
      </c>
      <c r="F77">
        <v>11.37</v>
      </c>
      <c r="G77">
        <v>0.53</v>
      </c>
      <c r="H77" t="s">
        <v>3745</v>
      </c>
      <c r="I77">
        <v>2407217400</v>
      </c>
      <c r="J77">
        <v>55.04</v>
      </c>
      <c r="K77">
        <v>2.29</v>
      </c>
      <c r="L77" t="s">
        <v>361</v>
      </c>
      <c r="M77" t="s">
        <v>47</v>
      </c>
      <c r="N77" t="s">
        <v>3746</v>
      </c>
      <c r="O77" t="s">
        <v>3747</v>
      </c>
      <c r="P77">
        <v>-0.21</v>
      </c>
      <c r="Q77" t="s">
        <v>3748</v>
      </c>
      <c r="R77">
        <v>3479469</v>
      </c>
      <c r="S77" s="5">
        <v>-8.4500000000000006E-2</v>
      </c>
      <c r="T77" t="s">
        <v>306</v>
      </c>
      <c r="U77">
        <v>95816236</v>
      </c>
      <c r="V77">
        <v>211716570</v>
      </c>
      <c r="W77">
        <v>1.17</v>
      </c>
      <c r="X77">
        <v>7.0000000000000007E-2</v>
      </c>
      <c r="Y77">
        <v>4.08</v>
      </c>
      <c r="Z77" t="s">
        <v>3749</v>
      </c>
      <c r="AA77" t="s">
        <v>3750</v>
      </c>
      <c r="AB77" t="s">
        <v>3751</v>
      </c>
      <c r="AC77" t="s">
        <v>3752</v>
      </c>
      <c r="AD77" t="s">
        <v>19</v>
      </c>
      <c r="AE77">
        <v>-78108</v>
      </c>
      <c r="AF77" t="s">
        <v>3753</v>
      </c>
      <c r="AG77">
        <v>0.59</v>
      </c>
      <c r="AH77" t="s">
        <v>3754</v>
      </c>
      <c r="AI77" t="s">
        <v>52</v>
      </c>
      <c r="AJ77" t="s">
        <v>3755</v>
      </c>
      <c r="AK77" t="s">
        <v>3756</v>
      </c>
      <c r="AL77" t="s">
        <v>3757</v>
      </c>
      <c r="AM77" t="s">
        <v>19</v>
      </c>
      <c r="AN77">
        <v>0</v>
      </c>
      <c r="AO77" t="s">
        <v>19</v>
      </c>
      <c r="AP77" t="s">
        <v>19</v>
      </c>
      <c r="AQ77" t="s">
        <v>3758</v>
      </c>
      <c r="AR77" t="s">
        <v>19</v>
      </c>
      <c r="AS77" t="s">
        <v>52</v>
      </c>
      <c r="AT77" t="s">
        <v>19</v>
      </c>
      <c r="AU77" t="s">
        <v>3759</v>
      </c>
      <c r="AV77" t="s">
        <v>3760</v>
      </c>
      <c r="AW77" t="s">
        <v>3761</v>
      </c>
      <c r="AX77" t="s">
        <v>766</v>
      </c>
      <c r="AY77" t="s">
        <v>698</v>
      </c>
      <c r="AZ77" t="s">
        <v>212</v>
      </c>
      <c r="BA77" t="s">
        <v>281</v>
      </c>
      <c r="BB77" t="s">
        <v>44</v>
      </c>
      <c r="BC77" t="s">
        <v>1702</v>
      </c>
      <c r="BD77" t="s">
        <v>99</v>
      </c>
      <c r="BE77" t="s">
        <v>791</v>
      </c>
      <c r="BF77" t="s">
        <v>792</v>
      </c>
      <c r="BG77" t="s">
        <v>793</v>
      </c>
      <c r="BH77" t="s">
        <v>2684</v>
      </c>
      <c r="BI77" t="s">
        <v>67</v>
      </c>
      <c r="BJ77" t="s">
        <v>766</v>
      </c>
      <c r="BK77" t="s">
        <v>3762</v>
      </c>
      <c r="BL77" t="s">
        <v>3763</v>
      </c>
      <c r="BM77" t="s">
        <v>1702</v>
      </c>
      <c r="BN77">
        <v>1.77</v>
      </c>
      <c r="BO77">
        <v>2.59</v>
      </c>
      <c r="BP77">
        <v>16.34</v>
      </c>
      <c r="BQ77">
        <v>2.1800000000000002</v>
      </c>
      <c r="BR77">
        <v>3.08</v>
      </c>
      <c r="BS77">
        <v>14.57</v>
      </c>
      <c r="BT77" t="s">
        <v>3764</v>
      </c>
      <c r="BU77" t="s">
        <v>1234</v>
      </c>
      <c r="BV77">
        <v>45.51</v>
      </c>
      <c r="BW77">
        <v>42.12</v>
      </c>
      <c r="BX77">
        <v>48.92</v>
      </c>
      <c r="BY77">
        <v>8.74</v>
      </c>
      <c r="BZ77">
        <v>6.78</v>
      </c>
      <c r="CA77">
        <v>19.559999999999999</v>
      </c>
      <c r="CB77">
        <v>-7.03</v>
      </c>
      <c r="CC77">
        <v>-23.14</v>
      </c>
      <c r="CD77" t="s">
        <v>3765</v>
      </c>
      <c r="CE77" t="s">
        <v>196</v>
      </c>
      <c r="CF77" s="8">
        <v>-0.68414981684981691</v>
      </c>
      <c r="CG77" s="9">
        <v>-0.87729380979753913</v>
      </c>
      <c r="CH77" s="8">
        <v>3.1742079257965088</v>
      </c>
      <c r="CI77" s="8">
        <v>-0.1596958190202713</v>
      </c>
      <c r="CJ77" s="8">
        <v>6.6937118768692017E-2</v>
      </c>
      <c r="CK77" s="8">
        <v>0.24494948983192444</v>
      </c>
      <c r="CL77" s="8">
        <v>0.20000000298023224</v>
      </c>
      <c r="CM77" s="9">
        <v>4.9316811561584473</v>
      </c>
      <c r="CN77" s="9">
        <v>-0.702109694480896</v>
      </c>
      <c r="CO77" s="9">
        <v>9.1935634613037109E-2</v>
      </c>
      <c r="CP77" s="9">
        <v>0.40830796957015991</v>
      </c>
      <c r="CQ77" s="9">
        <v>0.44050204753875732</v>
      </c>
      <c r="CR77">
        <v>27.590537770140116</v>
      </c>
      <c r="CS77">
        <v>0.39119991773071922</v>
      </c>
      <c r="CT77">
        <v>0.43975373790677225</v>
      </c>
      <c r="CU77" s="8">
        <v>0.70527974367141721</v>
      </c>
      <c r="CV77" s="9">
        <v>1.034063422679901</v>
      </c>
      <c r="CW77">
        <v>0.06</v>
      </c>
      <c r="CX77">
        <v>5.5199942077691633</v>
      </c>
      <c r="CY77">
        <v>292793314.47943205</v>
      </c>
      <c r="CZ77">
        <v>0.70527974367141721</v>
      </c>
      <c r="DA77">
        <v>1.1144623193680241</v>
      </c>
      <c r="DB77">
        <v>1450221664.6647193</v>
      </c>
      <c r="DC77">
        <v>0.67001575648784628</v>
      </c>
      <c r="DD77">
        <v>0.26093999920696498</v>
      </c>
      <c r="DE77">
        <v>6193827718.6783257</v>
      </c>
      <c r="DF77">
        <v>0.62064617443084713</v>
      </c>
      <c r="DG77">
        <v>5.967370369053078E-2</v>
      </c>
      <c r="DH77">
        <v>27084248170.379051</v>
      </c>
      <c r="DI77">
        <v>0.56422379493713382</v>
      </c>
      <c r="DJ77">
        <v>2.7082039521808044E-3</v>
      </c>
      <c r="DK77">
        <v>596785703195.84949</v>
      </c>
      <c r="DL77">
        <v>0.49369582056999201</v>
      </c>
      <c r="DM77">
        <v>182000000</v>
      </c>
      <c r="DN77">
        <v>0.70527974367141721</v>
      </c>
      <c r="DO77">
        <v>1616217400</v>
      </c>
      <c r="DP77">
        <v>836960670</v>
      </c>
      <c r="DQ77">
        <v>2439</v>
      </c>
      <c r="DR77">
        <v>-1.3894295605212341</v>
      </c>
      <c r="DS77">
        <v>-1.9113572324774402</v>
      </c>
      <c r="DT77" s="10">
        <v>-7.3333333333333403E-2</v>
      </c>
      <c r="DU77">
        <v>-0.22333333333333338</v>
      </c>
      <c r="DV77">
        <v>-0.2966666666666668</v>
      </c>
      <c r="DW77">
        <v>-9.3038029386343997</v>
      </c>
      <c r="DX77">
        <v>0.2696802083333335</v>
      </c>
      <c r="DY77">
        <v>-9.036359198988043</v>
      </c>
      <c r="DZ77">
        <v>1617</v>
      </c>
      <c r="EA77">
        <v>-9.0248537538288129</v>
      </c>
      <c r="EB77">
        <v>9</v>
      </c>
      <c r="EC77">
        <v>0.10853472640332308</v>
      </c>
      <c r="ED77">
        <v>0.90687280641283774</v>
      </c>
      <c r="EE77" s="11">
        <v>-3.0644</v>
      </c>
      <c r="EF77">
        <v>-3.069</v>
      </c>
      <c r="EG77">
        <v>15.119680208333333</v>
      </c>
      <c r="EH77" t="s">
        <v>1282</v>
      </c>
      <c r="EI77">
        <v>0</v>
      </c>
      <c r="EJ77">
        <v>0</v>
      </c>
      <c r="EK77" s="13">
        <v>45470</v>
      </c>
      <c r="EL77" s="14">
        <v>-0.68</v>
      </c>
      <c r="EM77" s="14">
        <v>-6.31</v>
      </c>
      <c r="EN77" s="14">
        <v>20.02</v>
      </c>
      <c r="EO77" s="14">
        <v>3.3</v>
      </c>
      <c r="EP77" s="14">
        <v>0.46</v>
      </c>
    </row>
    <row r="78" spans="1:146" ht="108">
      <c r="A78" s="6"/>
      <c r="B78" s="6"/>
      <c r="C78" s="6" t="str">
        <f>""&amp;CHAR(10)&amp;Basic_Fundamental_Information_Constructure(F78)&amp;CHAR(10)&amp;Basic_Fundamental_Information_Concatenate("")</f>
        <v xml:space="preserve">
市值12.132018亿, 利润-328.25万; PE; 平均PE122.4; 平均PEG3.06, PB2.29; ROIC8.01%; ROE-6.5033%; 股利率0%; 毛利10.84%; 净利-64.08%; 上一年度营收增223.88%, 利润增98.16%; 当季营收增-74.99%, 利润增-38.93%; 过往5年营收增40.06%, 利润增-78.29%
Income profile:
</v>
      </c>
      <c r="D78" t="s">
        <v>794</v>
      </c>
      <c r="E78" t="s">
        <v>795</v>
      </c>
      <c r="F78">
        <v>19.079999999999998</v>
      </c>
      <c r="G78">
        <v>1.6</v>
      </c>
      <c r="H78" t="s">
        <v>3766</v>
      </c>
      <c r="I78">
        <v>1213201800</v>
      </c>
      <c r="K78">
        <v>2.29</v>
      </c>
      <c r="L78" t="s">
        <v>361</v>
      </c>
      <c r="M78" t="s">
        <v>223</v>
      </c>
      <c r="N78" t="s">
        <v>195</v>
      </c>
      <c r="O78" t="s">
        <v>3767</v>
      </c>
      <c r="P78">
        <v>-38.39</v>
      </c>
      <c r="Q78" t="s">
        <v>50</v>
      </c>
      <c r="R78">
        <v>3693118</v>
      </c>
      <c r="S78" s="5">
        <v>1.554</v>
      </c>
      <c r="T78" t="s">
        <v>3768</v>
      </c>
      <c r="U78">
        <v>17737500</v>
      </c>
      <c r="V78">
        <v>63585000</v>
      </c>
      <c r="W78">
        <v>1.29</v>
      </c>
      <c r="X78">
        <v>0.03</v>
      </c>
      <c r="Y78">
        <v>12</v>
      </c>
      <c r="Z78" t="s">
        <v>3769</v>
      </c>
      <c r="AA78" t="s">
        <v>3770</v>
      </c>
      <c r="AB78" t="s">
        <v>3771</v>
      </c>
      <c r="AC78" t="s">
        <v>3772</v>
      </c>
      <c r="AD78" t="s">
        <v>19</v>
      </c>
      <c r="AE78">
        <v>663568</v>
      </c>
      <c r="AF78" t="s">
        <v>3773</v>
      </c>
      <c r="AG78" t="s">
        <v>3774</v>
      </c>
      <c r="AH78" t="s">
        <v>3775</v>
      </c>
      <c r="AI78" t="s">
        <v>1385</v>
      </c>
      <c r="AJ78" t="s">
        <v>3776</v>
      </c>
      <c r="AK78" t="s">
        <v>3777</v>
      </c>
      <c r="AL78" t="s">
        <v>3778</v>
      </c>
      <c r="AM78" t="s">
        <v>19</v>
      </c>
      <c r="AN78">
        <v>0</v>
      </c>
      <c r="AO78" t="s">
        <v>3779</v>
      </c>
      <c r="AP78" t="s">
        <v>3780</v>
      </c>
      <c r="AQ78" t="s">
        <v>3781</v>
      </c>
      <c r="AR78" t="s">
        <v>19</v>
      </c>
      <c r="AS78" t="s">
        <v>107</v>
      </c>
      <c r="AT78" t="s">
        <v>19</v>
      </c>
      <c r="AU78" t="s">
        <v>3782</v>
      </c>
      <c r="AV78" t="s">
        <v>3783</v>
      </c>
      <c r="AW78" t="s">
        <v>3784</v>
      </c>
      <c r="AX78" t="s">
        <v>156</v>
      </c>
      <c r="AY78" t="s">
        <v>461</v>
      </c>
      <c r="AZ78" t="s">
        <v>347</v>
      </c>
      <c r="BA78" t="s">
        <v>104</v>
      </c>
      <c r="BB78" t="s">
        <v>191</v>
      </c>
      <c r="BC78" t="s">
        <v>1460</v>
      </c>
      <c r="BD78" t="s">
        <v>1166</v>
      </c>
      <c r="BE78" t="s">
        <v>796</v>
      </c>
      <c r="BF78" t="s">
        <v>797</v>
      </c>
      <c r="BG78" t="s">
        <v>798</v>
      </c>
      <c r="BH78" t="s">
        <v>18</v>
      </c>
      <c r="BI78" t="s">
        <v>90</v>
      </c>
      <c r="BJ78" t="s">
        <v>156</v>
      </c>
      <c r="BK78" t="s">
        <v>2069</v>
      </c>
      <c r="BL78" t="s">
        <v>3785</v>
      </c>
      <c r="BM78" t="s">
        <v>1460</v>
      </c>
      <c r="BN78" t="s">
        <v>19</v>
      </c>
      <c r="BO78" t="s">
        <v>19</v>
      </c>
      <c r="BP78">
        <v>8.01</v>
      </c>
      <c r="BQ78">
        <v>-3.88</v>
      </c>
      <c r="BR78">
        <v>-24.35</v>
      </c>
      <c r="BS78">
        <v>8.7200000000000006</v>
      </c>
      <c r="BT78" t="s">
        <v>1571</v>
      </c>
      <c r="BU78" t="s">
        <v>1234</v>
      </c>
      <c r="BV78">
        <v>22.28</v>
      </c>
      <c r="BW78">
        <v>-35.08</v>
      </c>
      <c r="BX78">
        <v>45.32</v>
      </c>
      <c r="BY78">
        <v>-72.63</v>
      </c>
      <c r="BZ78">
        <v>-133.35</v>
      </c>
      <c r="CA78">
        <v>13.74</v>
      </c>
      <c r="CB78">
        <v>-3.83</v>
      </c>
      <c r="CC78">
        <v>-12.48</v>
      </c>
      <c r="CD78" t="s">
        <v>3786</v>
      </c>
      <c r="CE78" t="s">
        <v>3787</v>
      </c>
      <c r="CF78" s="8">
        <v>-0.74986249999999999</v>
      </c>
      <c r="CG78" s="9">
        <v>-0.38928462759624288</v>
      </c>
      <c r="CH78" s="8">
        <v>2.2388060092926025</v>
      </c>
      <c r="CI78" s="8">
        <v>-0.60703814029693604</v>
      </c>
      <c r="CJ78" s="8">
        <v>7.232704758644104E-2</v>
      </c>
      <c r="CK78" s="8">
        <v>0.19101123511791229</v>
      </c>
      <c r="CL78" s="8">
        <v>0.10788381844758987</v>
      </c>
      <c r="CM78" s="9">
        <v>0.98155903816223145</v>
      </c>
      <c r="CN78" s="9">
        <v>-4.7961025238037109</v>
      </c>
      <c r="CO78" s="9">
        <v>-0.35694968700408936</v>
      </c>
      <c r="CP78" s="9">
        <v>0.14533977210521698</v>
      </c>
      <c r="CQ78" s="9">
        <v>0.11146745085716248</v>
      </c>
      <c r="CR78">
        <v>122.39768764355544</v>
      </c>
      <c r="CS78">
        <v>3.055374451888428</v>
      </c>
      <c r="CT78">
        <v>0</v>
      </c>
      <c r="CU78" s="8">
        <v>0.40059799402952195</v>
      </c>
      <c r="CV78" s="9">
        <v>-0.78293718993663786</v>
      </c>
      <c r="CW78">
        <v>0.06</v>
      </c>
      <c r="CX78" t="e">
        <v>#VALUE!</v>
      </c>
      <c r="CY78" t="s">
        <v>1249</v>
      </c>
      <c r="CZ78">
        <v>0.40059799402952195</v>
      </c>
      <c r="DA78" t="e">
        <v>#VALUE!</v>
      </c>
      <c r="DB78" t="s">
        <v>1249</v>
      </c>
      <c r="DC78">
        <v>0.38056809432804584</v>
      </c>
      <c r="DD78" t="e">
        <v>#VALUE!</v>
      </c>
      <c r="DE78" t="s">
        <v>1249</v>
      </c>
      <c r="DF78">
        <v>0.35252623474597933</v>
      </c>
      <c r="DG78" t="e">
        <v>#VALUE!</v>
      </c>
      <c r="DH78" t="s">
        <v>1249</v>
      </c>
      <c r="DI78">
        <v>0.3204783952236176</v>
      </c>
      <c r="DJ78" t="e">
        <v>#VALUE!</v>
      </c>
      <c r="DK78" t="s">
        <v>1249</v>
      </c>
      <c r="DL78">
        <v>0.28041859582066536</v>
      </c>
      <c r="DM78">
        <v>-3282500</v>
      </c>
      <c r="DN78">
        <v>0.40059799402952195</v>
      </c>
      <c r="DO78">
        <v>859201800</v>
      </c>
      <c r="DP78">
        <v>389159670</v>
      </c>
      <c r="DQ78">
        <v>2473</v>
      </c>
      <c r="DR78">
        <v>-1.150460494029522</v>
      </c>
      <c r="DS78">
        <v>0.39365256234039497</v>
      </c>
      <c r="DT78" s="10">
        <v>-0.32333333333333336</v>
      </c>
      <c r="DU78">
        <v>-1.3733333333333333</v>
      </c>
      <c r="DV78">
        <v>-1.6966666666666668</v>
      </c>
      <c r="DW78">
        <v>-8.3068910256410255</v>
      </c>
      <c r="DX78">
        <v>0.30480033019221892</v>
      </c>
      <c r="DY78">
        <v>-8.0383001013330286</v>
      </c>
      <c r="DZ78">
        <v>2342</v>
      </c>
      <c r="EA78">
        <v>-8.0207465128160127</v>
      </c>
      <c r="EB78">
        <v>8</v>
      </c>
      <c r="EC78">
        <v>7.3232680663678537E-2</v>
      </c>
      <c r="ED78">
        <v>0.5867987732955886</v>
      </c>
      <c r="EE78" s="11">
        <v>-1.04501</v>
      </c>
      <c r="EF78">
        <v>-1.0626100000000001</v>
      </c>
      <c r="EG78">
        <v>18.124800330192219</v>
      </c>
      <c r="EH78" t="s">
        <v>1265</v>
      </c>
      <c r="EI78">
        <v>0</v>
      </c>
      <c r="EJ78">
        <v>0</v>
      </c>
      <c r="EK78" s="13">
        <v>45470</v>
      </c>
      <c r="EL78" s="14">
        <v>-3.67</v>
      </c>
      <c r="EM78" s="14">
        <v>-4.3899999999999997</v>
      </c>
      <c r="EN78" s="14">
        <v>2.87</v>
      </c>
      <c r="EO78" s="14">
        <v>4.71</v>
      </c>
      <c r="EP78" s="14">
        <v>-1.76</v>
      </c>
    </row>
    <row r="79" spans="1:146" ht="108">
      <c r="A79" s="6"/>
      <c r="B79" s="6"/>
      <c r="C79" s="6" t="str">
        <f>""&amp;CHAR(10)&amp;Basic_Fundamental_Information_Constructure(F79)&amp;CHAR(10)&amp;Basic_Fundamental_Information_Concatenate("")</f>
        <v xml:space="preserve">
市值11.2553173亿, 利润1.63亿; PE152.6; 平均PE10.64; 平均PEG3.39, PB1.19; ROIC9.59%; ROE8.4133%; 股利率.1713%; 毛利36.48%; 净利6.73%; 上一年度营收增13.49%, 利润增197.85%; 当季营收增-56.14%, 利润增-137.08%; 过往5年营收增3.14%, 利润增40.52%
Income profile:
</v>
      </c>
      <c r="D79" t="s">
        <v>799</v>
      </c>
      <c r="E79" t="s">
        <v>800</v>
      </c>
      <c r="F79">
        <v>7.59</v>
      </c>
      <c r="G79">
        <v>-0.26</v>
      </c>
      <c r="H79" t="s">
        <v>3788</v>
      </c>
      <c r="I79">
        <v>1125531730</v>
      </c>
      <c r="J79">
        <v>152.6</v>
      </c>
      <c r="K79">
        <v>1.19</v>
      </c>
      <c r="L79" t="s">
        <v>361</v>
      </c>
      <c r="M79" t="s">
        <v>1883</v>
      </c>
      <c r="N79" t="s">
        <v>3789</v>
      </c>
      <c r="O79" t="s">
        <v>3790</v>
      </c>
      <c r="P79">
        <v>-22.73</v>
      </c>
      <c r="Q79" t="s">
        <v>1495</v>
      </c>
      <c r="R79">
        <v>-14262919</v>
      </c>
      <c r="S79" s="5">
        <v>-6.6180000000000003</v>
      </c>
      <c r="T79" t="s">
        <v>1113</v>
      </c>
      <c r="U79">
        <v>100527900</v>
      </c>
      <c r="V79">
        <v>148291400</v>
      </c>
      <c r="W79">
        <v>2.0499999999999998</v>
      </c>
      <c r="X79">
        <v>0.05</v>
      </c>
      <c r="Y79">
        <v>-14.57</v>
      </c>
      <c r="Z79" t="s">
        <v>3791</v>
      </c>
      <c r="AA79" t="s">
        <v>3792</v>
      </c>
      <c r="AB79" t="s">
        <v>3793</v>
      </c>
      <c r="AC79" t="s">
        <v>3794</v>
      </c>
      <c r="AD79" t="s">
        <v>19</v>
      </c>
      <c r="AE79">
        <v>805629</v>
      </c>
      <c r="AF79" t="s">
        <v>3795</v>
      </c>
      <c r="AG79">
        <v>100.4</v>
      </c>
      <c r="AH79" t="s">
        <v>3796</v>
      </c>
      <c r="AI79" t="s">
        <v>456</v>
      </c>
      <c r="AJ79" t="s">
        <v>3797</v>
      </c>
      <c r="AK79" t="s">
        <v>3798</v>
      </c>
      <c r="AL79" t="s">
        <v>3799</v>
      </c>
      <c r="AM79" t="s">
        <v>19</v>
      </c>
      <c r="AN79" t="s">
        <v>3800</v>
      </c>
      <c r="AO79" t="s">
        <v>98</v>
      </c>
      <c r="AP79" t="s">
        <v>19</v>
      </c>
      <c r="AQ79" t="s">
        <v>3801</v>
      </c>
      <c r="AR79" t="s">
        <v>19</v>
      </c>
      <c r="AS79" t="s">
        <v>3802</v>
      </c>
      <c r="AT79" t="s">
        <v>3803</v>
      </c>
      <c r="AU79" t="s">
        <v>3804</v>
      </c>
      <c r="AV79" t="s">
        <v>3805</v>
      </c>
      <c r="AW79" t="s">
        <v>3806</v>
      </c>
      <c r="AX79" t="s">
        <v>1448</v>
      </c>
      <c r="AY79" t="s">
        <v>1374</v>
      </c>
      <c r="AZ79" t="s">
        <v>801</v>
      </c>
      <c r="BA79" t="s">
        <v>477</v>
      </c>
      <c r="BB79" t="s">
        <v>802</v>
      </c>
      <c r="BC79" t="s">
        <v>3807</v>
      </c>
      <c r="BD79" t="s">
        <v>42</v>
      </c>
      <c r="BE79" t="s">
        <v>52</v>
      </c>
      <c r="BF79" t="s">
        <v>803</v>
      </c>
      <c r="BG79" t="s">
        <v>804</v>
      </c>
      <c r="BH79" t="s">
        <v>3808</v>
      </c>
      <c r="BI79" t="s">
        <v>321</v>
      </c>
      <c r="BJ79" t="s">
        <v>1448</v>
      </c>
      <c r="BK79" t="s">
        <v>3809</v>
      </c>
      <c r="BL79" t="s">
        <v>3810</v>
      </c>
      <c r="BM79" t="s">
        <v>3807</v>
      </c>
      <c r="BN79" t="s">
        <v>19</v>
      </c>
      <c r="BO79">
        <v>4.22</v>
      </c>
      <c r="BP79">
        <v>14.96</v>
      </c>
      <c r="BQ79">
        <v>-1.01</v>
      </c>
      <c r="BR79">
        <v>5.84</v>
      </c>
      <c r="BS79">
        <v>20.41</v>
      </c>
      <c r="BT79" t="s">
        <v>3811</v>
      </c>
      <c r="BU79" t="s">
        <v>1234</v>
      </c>
      <c r="BV79">
        <v>37.35</v>
      </c>
      <c r="BW79">
        <v>36.15</v>
      </c>
      <c r="BX79">
        <v>35.94</v>
      </c>
      <c r="BY79">
        <v>2.72</v>
      </c>
      <c r="BZ79">
        <v>6.3</v>
      </c>
      <c r="CA79">
        <v>11.17</v>
      </c>
      <c r="CB79">
        <v>-14.14</v>
      </c>
      <c r="CC79">
        <v>-10.78</v>
      </c>
      <c r="CD79" t="s">
        <v>3812</v>
      </c>
      <c r="CE79" t="s">
        <v>338</v>
      </c>
      <c r="CF79" s="8">
        <v>-0.56138898678414095</v>
      </c>
      <c r="CG79" s="9">
        <v>-1.370791918078516</v>
      </c>
      <c r="CH79" s="8">
        <v>0.13491123914718628</v>
      </c>
      <c r="CI79" s="8">
        <v>-0.26839831471443176</v>
      </c>
      <c r="CJ79" s="8">
        <v>5.769236758351326E-2</v>
      </c>
      <c r="CK79" s="8">
        <v>0.19736842811107635</v>
      </c>
      <c r="CL79" s="8">
        <v>3.5187285393476486E-2</v>
      </c>
      <c r="CM79" s="9">
        <v>1.9785453081130981</v>
      </c>
      <c r="CN79" s="9">
        <v>-0.5724632740020752</v>
      </c>
      <c r="CO79" s="9">
        <v>5.7851240038871765E-2</v>
      </c>
      <c r="CP79" s="9">
        <v>0.28529790043830872</v>
      </c>
      <c r="CQ79" s="9">
        <v>0.27667105197906494</v>
      </c>
      <c r="CR79">
        <v>10.641544913995483</v>
      </c>
      <c r="CS79">
        <v>3.3941938808826086</v>
      </c>
      <c r="CT79">
        <v>0.17127799736495389</v>
      </c>
      <c r="CU79" s="8">
        <v>3.1352201104164125E-2</v>
      </c>
      <c r="CV79" s="9">
        <v>0.40518044531345365</v>
      </c>
      <c r="CW79">
        <v>0.06</v>
      </c>
      <c r="CX79">
        <v>7.1977912764679983</v>
      </c>
      <c r="CY79">
        <v>158594725.26413086</v>
      </c>
      <c r="CZ79">
        <v>3.1352201104164125E-2</v>
      </c>
      <c r="DA79">
        <v>2.4727318287863369</v>
      </c>
      <c r="DB79">
        <v>461648010.79957187</v>
      </c>
      <c r="DC79">
        <v>2.9784591048955918E-2</v>
      </c>
      <c r="DD79">
        <v>1.2993904668203184</v>
      </c>
      <c r="DE79">
        <v>878513240.74540305</v>
      </c>
      <c r="DF79">
        <v>2.7589936971664428E-2</v>
      </c>
      <c r="DG79">
        <v>0.83811323256433579</v>
      </c>
      <c r="DH79">
        <v>1362025661.5055568</v>
      </c>
      <c r="DI79">
        <v>2.5081760883331302E-2</v>
      </c>
      <c r="DJ79">
        <v>0.5027803567753214</v>
      </c>
      <c r="DK79">
        <v>2270438203.5158124</v>
      </c>
      <c r="DL79">
        <v>2.1946540772914885E-2</v>
      </c>
      <c r="DM79">
        <v>163000000</v>
      </c>
      <c r="DN79">
        <v>3.1352201104164125E-2</v>
      </c>
      <c r="DO79">
        <v>1141531730</v>
      </c>
      <c r="DP79">
        <v>612397200</v>
      </c>
      <c r="DQ79">
        <v>2476</v>
      </c>
      <c r="DR79">
        <v>-0.5927411878883051</v>
      </c>
      <c r="DS79">
        <v>-1.7759723633919697</v>
      </c>
      <c r="DT79" s="10">
        <v>-0.47333333333333338</v>
      </c>
      <c r="DU79">
        <v>-0.53166666666666673</v>
      </c>
      <c r="DV79">
        <v>-1.0050000000000001</v>
      </c>
      <c r="DW79">
        <v>-5.7623762376237622</v>
      </c>
      <c r="DX79">
        <v>0.34547125748502994</v>
      </c>
      <c r="DY79">
        <v>-5.1566464042212603</v>
      </c>
      <c r="DZ79">
        <v>1218</v>
      </c>
      <c r="EA79">
        <v>-5.1193087681466034</v>
      </c>
      <c r="EB79">
        <v>5</v>
      </c>
      <c r="EC79">
        <v>0.4627874576678081</v>
      </c>
      <c r="ED79">
        <v>2.2523221171288421</v>
      </c>
      <c r="EE79" s="11">
        <v>1.0056</v>
      </c>
      <c r="EF79">
        <v>1.0176099999999999</v>
      </c>
      <c r="EG79">
        <v>14.20547125748503</v>
      </c>
      <c r="EH79" t="s">
        <v>1242</v>
      </c>
      <c r="EI79">
        <v>0</v>
      </c>
      <c r="EJ79">
        <v>1</v>
      </c>
      <c r="EK79" s="13">
        <v>45470</v>
      </c>
      <c r="EL79" s="14">
        <v>-0.5</v>
      </c>
      <c r="EM79" s="14">
        <v>-5.26</v>
      </c>
      <c r="EN79" s="14">
        <v>0.35</v>
      </c>
      <c r="EO79" s="14">
        <v>2.42</v>
      </c>
      <c r="EP79" s="14">
        <v>-2.3199999999999998</v>
      </c>
    </row>
    <row r="80" spans="1:146" ht="108">
      <c r="A80" s="6"/>
      <c r="B80" s="6"/>
      <c r="C80" s="6" t="str">
        <f>""&amp;CHAR(10)&amp;Basic_Fundamental_Information_Constructure(F80)&amp;CHAR(10)&amp;Basic_Fundamental_Information_Concatenate("")</f>
        <v xml:space="preserve">
市值23.74944亿, 利润24.56亿; PE; 平均PE5.18; 平均PEG.01, PB2.87; ROIC12.96%; ROE.8533%; 股利率0%; 毛利30.3567%; 净利1.45%; 上一年度营收增2591.74%, 利润增8480.05%; 当季营收增-98.34%, 利润增-102.73%; 过往5年营收增531.75%, 利润增1687%
Income profile:
</v>
      </c>
      <c r="D80" t="s">
        <v>805</v>
      </c>
      <c r="E80" t="s">
        <v>806</v>
      </c>
      <c r="F80">
        <v>13.84</v>
      </c>
      <c r="G80">
        <v>1.24</v>
      </c>
      <c r="H80" t="s">
        <v>3813</v>
      </c>
      <c r="I80">
        <v>2374944000</v>
      </c>
      <c r="K80">
        <v>2.87</v>
      </c>
      <c r="L80" t="s">
        <v>361</v>
      </c>
      <c r="M80" t="s">
        <v>3814</v>
      </c>
      <c r="N80" t="s">
        <v>3815</v>
      </c>
      <c r="O80" t="s">
        <v>151</v>
      </c>
      <c r="P80">
        <v>9.2100000000000009</v>
      </c>
      <c r="Q80" t="s">
        <v>3816</v>
      </c>
      <c r="R80">
        <v>-13079708</v>
      </c>
      <c r="S80" s="5">
        <v>2.1100000000000001E-2</v>
      </c>
      <c r="T80" t="s">
        <v>1627</v>
      </c>
      <c r="U80">
        <v>49335000</v>
      </c>
      <c r="V80">
        <v>171600000</v>
      </c>
      <c r="W80">
        <v>2.13</v>
      </c>
      <c r="X80">
        <v>0.06</v>
      </c>
      <c r="Y80">
        <v>-12.16</v>
      </c>
      <c r="Z80" t="s">
        <v>339</v>
      </c>
      <c r="AA80" t="s">
        <v>91</v>
      </c>
      <c r="AB80" t="s">
        <v>3817</v>
      </c>
      <c r="AC80" t="s">
        <v>3818</v>
      </c>
      <c r="AD80" t="s">
        <v>19</v>
      </c>
      <c r="AE80">
        <v>-1262564</v>
      </c>
      <c r="AF80" t="s">
        <v>3819</v>
      </c>
      <c r="AG80" t="s">
        <v>3820</v>
      </c>
      <c r="AH80" t="s">
        <v>3821</v>
      </c>
      <c r="AI80" t="s">
        <v>1450</v>
      </c>
      <c r="AJ80" t="s">
        <v>3822</v>
      </c>
      <c r="AK80" t="s">
        <v>1940</v>
      </c>
      <c r="AL80" t="s">
        <v>3823</v>
      </c>
      <c r="AM80" t="s">
        <v>19</v>
      </c>
      <c r="AN80" t="s">
        <v>3824</v>
      </c>
      <c r="AO80" t="s">
        <v>3825</v>
      </c>
      <c r="AP80" t="s">
        <v>3826</v>
      </c>
      <c r="AQ80" t="s">
        <v>1681</v>
      </c>
      <c r="AR80" t="s">
        <v>19</v>
      </c>
      <c r="AS80" t="s">
        <v>1914</v>
      </c>
      <c r="AT80" t="s">
        <v>19</v>
      </c>
      <c r="AU80" t="s">
        <v>3827</v>
      </c>
      <c r="AV80" t="s">
        <v>3828</v>
      </c>
      <c r="AW80" t="s">
        <v>3829</v>
      </c>
      <c r="AX80" t="s">
        <v>445</v>
      </c>
      <c r="AY80" t="s">
        <v>216</v>
      </c>
      <c r="AZ80" t="s">
        <v>181</v>
      </c>
      <c r="BA80" t="s">
        <v>248</v>
      </c>
      <c r="BB80" t="s">
        <v>161</v>
      </c>
      <c r="BC80" t="s">
        <v>1704</v>
      </c>
      <c r="BD80" t="s">
        <v>106</v>
      </c>
      <c r="BE80" t="s">
        <v>807</v>
      </c>
      <c r="BF80" t="s">
        <v>809</v>
      </c>
      <c r="BG80" t="s">
        <v>810</v>
      </c>
      <c r="BH80" t="s">
        <v>54</v>
      </c>
      <c r="BI80" t="s">
        <v>3830</v>
      </c>
      <c r="BJ80" t="s">
        <v>445</v>
      </c>
      <c r="BK80" t="s">
        <v>3831</v>
      </c>
      <c r="BL80" t="s">
        <v>2068</v>
      </c>
      <c r="BM80" t="s">
        <v>1704</v>
      </c>
      <c r="BN80" t="s">
        <v>19</v>
      </c>
      <c r="BO80" t="s">
        <v>19</v>
      </c>
      <c r="BP80">
        <v>12.96</v>
      </c>
      <c r="BQ80">
        <v>-7.69</v>
      </c>
      <c r="BR80">
        <v>-3.23</v>
      </c>
      <c r="BS80">
        <v>13.48</v>
      </c>
      <c r="BT80" t="s">
        <v>1571</v>
      </c>
      <c r="BU80" t="s">
        <v>1234</v>
      </c>
      <c r="BV80">
        <v>27.71</v>
      </c>
      <c r="BW80">
        <v>28.38</v>
      </c>
      <c r="BX80">
        <v>34.979999999999997</v>
      </c>
      <c r="BY80">
        <v>-3.85</v>
      </c>
      <c r="BZ80">
        <v>-3.15</v>
      </c>
      <c r="CA80">
        <v>11.35</v>
      </c>
      <c r="CB80">
        <v>-4.55</v>
      </c>
      <c r="CC80">
        <v>-10.94</v>
      </c>
      <c r="CD80" t="s">
        <v>3832</v>
      </c>
      <c r="CE80" t="s">
        <v>28</v>
      </c>
      <c r="CF80" s="8">
        <v>-0.98344471445929527</v>
      </c>
      <c r="CG80" s="9">
        <v>-1.0273062797494781</v>
      </c>
      <c r="CH80" s="8">
        <v>25.917383193969727</v>
      </c>
      <c r="CI80" s="8">
        <v>-3.2085562124848366E-3</v>
      </c>
      <c r="CJ80" s="8">
        <v>8.2175925374031067E-2</v>
      </c>
      <c r="CK80" s="8">
        <v>0.20839160680770874</v>
      </c>
      <c r="CL80" s="8">
        <v>0.38297873735427856</v>
      </c>
      <c r="CM80" s="9">
        <v>84.800498962402344</v>
      </c>
      <c r="CN80" s="9">
        <v>-1.2764877080917358</v>
      </c>
      <c r="CO80" s="9">
        <v>0.13416165113449097</v>
      </c>
      <c r="CP80" s="9">
        <v>0.32426363229751587</v>
      </c>
      <c r="CQ80" s="9">
        <v>0.36738172173500061</v>
      </c>
      <c r="CR80">
        <v>5.1848197124725903</v>
      </c>
      <c r="CS80">
        <v>9.75040269632578E-3</v>
      </c>
      <c r="CT80">
        <v>0</v>
      </c>
      <c r="CU80" s="8">
        <v>5.3175441814586524</v>
      </c>
      <c r="CV80" s="9">
        <v>16.869963651895524</v>
      </c>
      <c r="CW80">
        <v>0.06</v>
      </c>
      <c r="CX80">
        <v>0.17358984232986055</v>
      </c>
      <c r="CY80">
        <v>14637630669.492878</v>
      </c>
      <c r="CZ80">
        <v>5.3175441814586524</v>
      </c>
      <c r="DA80">
        <v>4.6107334143213989E-3</v>
      </c>
      <c r="DB80">
        <v>551093236513.64746</v>
      </c>
      <c r="DC80">
        <v>5.0516669723857195</v>
      </c>
      <c r="DD80">
        <v>3.5568986754877707E-5</v>
      </c>
      <c r="DE80">
        <v>71437064471665.078</v>
      </c>
      <c r="DF80">
        <v>4.6794388796836142</v>
      </c>
      <c r="DG80">
        <v>9.2264499003555337E-8</v>
      </c>
      <c r="DH80">
        <v>2.7539779952656404E+16</v>
      </c>
      <c r="DI80">
        <v>4.2540353451669217</v>
      </c>
      <c r="DJ80">
        <v>8.4615023830233785E-14</v>
      </c>
      <c r="DK80">
        <v>3.0029466222192279E+22</v>
      </c>
      <c r="DL80">
        <v>3.7222809270210564</v>
      </c>
      <c r="DM80">
        <v>2456000000</v>
      </c>
      <c r="DN80">
        <v>5.3175441814586524</v>
      </c>
      <c r="DO80">
        <v>2540944000</v>
      </c>
      <c r="DP80">
        <v>433715400.00000012</v>
      </c>
      <c r="DQ80">
        <v>2486</v>
      </c>
      <c r="DR80">
        <v>-6.3009888959179481</v>
      </c>
      <c r="DS80">
        <v>-17.897269931645003</v>
      </c>
      <c r="DT80" s="10">
        <v>7.6666666666666591E-2</v>
      </c>
      <c r="DU80">
        <v>-1.0983333333333334</v>
      </c>
      <c r="DV80">
        <v>-1.0216666666666667</v>
      </c>
      <c r="DW80">
        <v>-8.4159049360146252</v>
      </c>
      <c r="DX80">
        <v>0.26386499999999991</v>
      </c>
      <c r="DY80">
        <v>-8.0598341636197439</v>
      </c>
      <c r="DZ80">
        <v>4549</v>
      </c>
      <c r="EA80">
        <v>-8.0065688778455328</v>
      </c>
      <c r="EB80">
        <v>8</v>
      </c>
      <c r="EC80">
        <v>0.10060489510489511</v>
      </c>
      <c r="ED80">
        <v>0.69930069930069927</v>
      </c>
      <c r="EE80" s="11">
        <v>-2.0087000000000002</v>
      </c>
      <c r="EF80">
        <v>-2.0042</v>
      </c>
      <c r="EG80">
        <v>12.143865</v>
      </c>
      <c r="EH80" t="s">
        <v>1905</v>
      </c>
      <c r="EI80">
        <v>0</v>
      </c>
      <c r="EJ80">
        <v>0</v>
      </c>
      <c r="EK80" s="13">
        <v>45470</v>
      </c>
      <c r="EL80" s="14">
        <v>-0.8</v>
      </c>
      <c r="EM80" s="14">
        <v>-5.74</v>
      </c>
      <c r="EN80" s="14">
        <v>2.0699999999999998</v>
      </c>
      <c r="EO80" s="14">
        <v>5.37</v>
      </c>
      <c r="EP80" s="14">
        <v>-0.45</v>
      </c>
    </row>
    <row r="81" spans="1:146" ht="108">
      <c r="A81" s="6"/>
      <c r="B81" s="6"/>
      <c r="C81" s="6" t="str">
        <f>""&amp;CHAR(10)&amp;Basic_Fundamental_Information_Constructure(F81)&amp;CHAR(10)&amp;Basic_Fundamental_Information_Concatenate("")</f>
        <v xml:space="preserve">
市值28.351424亿, 利润2.60亿; PE44.35; 平均PE29.53; 平均PEG1.52, PB3.45; ROIC7.4267%; ROE8.5067%; 股利率1.5839%; 毛利25.9967%; 净利11.27%; 上一年度营收增69.11%, 利润增894.54%; 当季营收增56.05%, 利润增-88.1%; 过往5年营收增19.47%, 利润增202.09%
Income profile:
</v>
      </c>
      <c r="D81" t="s">
        <v>811</v>
      </c>
      <c r="E81" t="s">
        <v>812</v>
      </c>
      <c r="F81">
        <v>18.940000000000001</v>
      </c>
      <c r="G81">
        <v>1.07</v>
      </c>
      <c r="H81" t="s">
        <v>3833</v>
      </c>
      <c r="I81">
        <v>2835142400</v>
      </c>
      <c r="J81">
        <v>44.35</v>
      </c>
      <c r="K81">
        <v>3.45</v>
      </c>
      <c r="L81" t="s">
        <v>361</v>
      </c>
      <c r="M81" t="s">
        <v>3834</v>
      </c>
      <c r="N81" t="s">
        <v>3835</v>
      </c>
      <c r="O81" t="s">
        <v>153</v>
      </c>
      <c r="P81">
        <v>246.69</v>
      </c>
      <c r="Q81" t="s">
        <v>3836</v>
      </c>
      <c r="R81">
        <v>9956886</v>
      </c>
      <c r="S81" s="5">
        <v>1.3540000000000001</v>
      </c>
      <c r="T81" t="s">
        <v>47</v>
      </c>
      <c r="U81">
        <v>59041377</v>
      </c>
      <c r="V81">
        <v>149690730</v>
      </c>
      <c r="W81">
        <v>2.09</v>
      </c>
      <c r="X81">
        <v>0.14000000000000001</v>
      </c>
      <c r="Y81">
        <v>4.0599999999999996</v>
      </c>
      <c r="Z81" t="s">
        <v>166</v>
      </c>
      <c r="AA81" t="s">
        <v>92</v>
      </c>
      <c r="AB81" t="s">
        <v>3837</v>
      </c>
      <c r="AC81" t="s">
        <v>3838</v>
      </c>
      <c r="AD81" t="s">
        <v>19</v>
      </c>
      <c r="AE81">
        <v>2612113</v>
      </c>
      <c r="AF81" t="s">
        <v>3839</v>
      </c>
      <c r="AG81">
        <v>218.06</v>
      </c>
      <c r="AH81" t="s">
        <v>3840</v>
      </c>
      <c r="AI81" t="s">
        <v>266</v>
      </c>
      <c r="AJ81" t="s">
        <v>3841</v>
      </c>
      <c r="AK81" t="s">
        <v>3842</v>
      </c>
      <c r="AL81" t="s">
        <v>3843</v>
      </c>
      <c r="AM81" t="s">
        <v>19</v>
      </c>
      <c r="AN81" t="s">
        <v>3844</v>
      </c>
      <c r="AO81" t="s">
        <v>46</v>
      </c>
      <c r="AP81" t="s">
        <v>168</v>
      </c>
      <c r="AQ81" t="s">
        <v>1895</v>
      </c>
      <c r="AR81" t="s">
        <v>19</v>
      </c>
      <c r="AS81" t="s">
        <v>3845</v>
      </c>
      <c r="AT81" t="s">
        <v>19</v>
      </c>
      <c r="AU81" t="s">
        <v>3846</v>
      </c>
      <c r="AV81" t="s">
        <v>3847</v>
      </c>
      <c r="AW81" t="s">
        <v>3848</v>
      </c>
      <c r="AX81" t="s">
        <v>303</v>
      </c>
      <c r="AY81" t="s">
        <v>241</v>
      </c>
      <c r="AZ81" t="s">
        <v>226</v>
      </c>
      <c r="BA81" t="s">
        <v>304</v>
      </c>
      <c r="BB81" t="s">
        <v>93</v>
      </c>
      <c r="BC81" t="s">
        <v>1705</v>
      </c>
      <c r="BD81" t="s">
        <v>90</v>
      </c>
      <c r="BE81" t="s">
        <v>813</v>
      </c>
      <c r="BF81" t="s">
        <v>814</v>
      </c>
      <c r="BG81" t="s">
        <v>815</v>
      </c>
      <c r="BH81" t="s">
        <v>756</v>
      </c>
      <c r="BI81" t="s">
        <v>119</v>
      </c>
      <c r="BJ81" t="s">
        <v>303</v>
      </c>
      <c r="BK81" t="s">
        <v>3849</v>
      </c>
      <c r="BL81" t="s">
        <v>3850</v>
      </c>
      <c r="BM81" t="s">
        <v>1705</v>
      </c>
      <c r="BN81">
        <v>3.37</v>
      </c>
      <c r="BO81">
        <v>2.48</v>
      </c>
      <c r="BP81">
        <v>16.43</v>
      </c>
      <c r="BQ81">
        <v>4</v>
      </c>
      <c r="BR81">
        <v>3.41</v>
      </c>
      <c r="BS81">
        <v>18.11</v>
      </c>
      <c r="BT81" t="s">
        <v>3851</v>
      </c>
      <c r="BU81" t="s">
        <v>1336</v>
      </c>
      <c r="BV81">
        <v>22.79</v>
      </c>
      <c r="BW81">
        <v>25.92</v>
      </c>
      <c r="BX81">
        <v>29.28</v>
      </c>
      <c r="BY81">
        <v>9.7100000000000009</v>
      </c>
      <c r="BZ81">
        <v>6.61</v>
      </c>
      <c r="CA81">
        <v>17.489999999999998</v>
      </c>
      <c r="CB81">
        <v>-3.71</v>
      </c>
      <c r="CC81">
        <v>-10.87</v>
      </c>
      <c r="CD81" t="s">
        <v>3852</v>
      </c>
      <c r="CE81" t="s">
        <v>3853</v>
      </c>
      <c r="CF81" s="8">
        <v>0.5605095541401276</v>
      </c>
      <c r="CG81" s="9">
        <v>-0.88103410824741657</v>
      </c>
      <c r="CH81" s="8">
        <v>0.69109946489334106</v>
      </c>
      <c r="CI81" s="8">
        <v>-0.35581788420677185</v>
      </c>
      <c r="CJ81" s="8">
        <v>0.41190475225448608</v>
      </c>
      <c r="CK81" s="8">
        <v>9.375E-2</v>
      </c>
      <c r="CL81" s="8">
        <v>0.13274335861206055</v>
      </c>
      <c r="CM81" s="9">
        <v>8.9454145431518555</v>
      </c>
      <c r="CN81" s="9">
        <v>-0.74862784147262573</v>
      </c>
      <c r="CO81" s="9">
        <v>0.15307639539241791</v>
      </c>
      <c r="CP81" s="9">
        <v>0.32988157868385315</v>
      </c>
      <c r="CQ81" s="9">
        <v>1.4248960018157959</v>
      </c>
      <c r="CR81">
        <v>29.526305210636433</v>
      </c>
      <c r="CS81">
        <v>1.5162227099313863</v>
      </c>
      <c r="CT81">
        <v>1.5839466737064414</v>
      </c>
      <c r="CU81" s="8">
        <v>0.19473593831062316</v>
      </c>
      <c r="CV81" s="9">
        <v>2.0209281355142594</v>
      </c>
      <c r="CW81">
        <v>0.06</v>
      </c>
      <c r="CX81">
        <v>9.852099614218508</v>
      </c>
      <c r="CY81">
        <v>293048437.69883209</v>
      </c>
      <c r="CZ81">
        <v>0.19473593831062316</v>
      </c>
      <c r="DA81">
        <v>2.9495260426477934</v>
      </c>
      <c r="DB81">
        <v>978849604.39549422</v>
      </c>
      <c r="DC81">
        <v>0.18499914139509199</v>
      </c>
      <c r="DD81">
        <v>1.2858373281483306</v>
      </c>
      <c r="DE81">
        <v>2245340321.670104</v>
      </c>
      <c r="DF81">
        <v>0.17136762571334838</v>
      </c>
      <c r="DG81">
        <v>0.66914538796111822</v>
      </c>
      <c r="DH81">
        <v>4314671298.5605488</v>
      </c>
      <c r="DI81">
        <v>0.15578875064849854</v>
      </c>
      <c r="DJ81">
        <v>0.24722306993152146</v>
      </c>
      <c r="DK81">
        <v>11678288764.878262</v>
      </c>
      <c r="DL81">
        <v>0.13631515681743619</v>
      </c>
      <c r="DM81">
        <v>260000000</v>
      </c>
      <c r="DN81">
        <v>0.19473593831062316</v>
      </c>
      <c r="DO81">
        <v>2887142400</v>
      </c>
      <c r="DP81">
        <v>1006686500</v>
      </c>
      <c r="DQ81">
        <v>2493</v>
      </c>
      <c r="DR81">
        <v>0.36577361582950441</v>
      </c>
      <c r="DS81">
        <v>-2.9019622437616759</v>
      </c>
      <c r="DT81" s="10">
        <v>-0.12333333333333336</v>
      </c>
      <c r="DU81">
        <v>1.0000000000000011E-2</v>
      </c>
      <c r="DV81">
        <v>-0.11333333333333336</v>
      </c>
      <c r="DW81">
        <v>-8.3413063477460909</v>
      </c>
      <c r="DX81">
        <v>0.19921676210205363</v>
      </c>
      <c r="DY81">
        <v>-8.0202110567984004</v>
      </c>
      <c r="DZ81">
        <v>3468</v>
      </c>
      <c r="EA81">
        <v>-8.0064944335152592</v>
      </c>
      <c r="EB81">
        <v>8</v>
      </c>
      <c r="EC81">
        <v>3.2387443096843736E-2</v>
      </c>
      <c r="ED81">
        <v>0.54693032761614568</v>
      </c>
      <c r="EE81" s="11">
        <v>-1.1211</v>
      </c>
      <c r="EF81">
        <v>-1.0945</v>
      </c>
      <c r="EG81">
        <v>14.059216762102054</v>
      </c>
      <c r="EH81" t="s">
        <v>1250</v>
      </c>
      <c r="EI81">
        <v>0</v>
      </c>
      <c r="EJ81">
        <v>0</v>
      </c>
      <c r="EK81" s="13">
        <v>45470</v>
      </c>
      <c r="EL81" s="14">
        <v>-1.84</v>
      </c>
      <c r="EM81" s="14">
        <v>-4.74</v>
      </c>
      <c r="EN81" s="14">
        <v>-0.05</v>
      </c>
      <c r="EO81" s="14">
        <v>4.87</v>
      </c>
      <c r="EP81" s="14">
        <v>-2.66</v>
      </c>
    </row>
    <row r="82" spans="1:146" ht="108">
      <c r="A82" s="6"/>
      <c r="B82" s="6"/>
      <c r="C82" s="6" t="str">
        <f>""&amp;CHAR(10)&amp;Basic_Fundamental_Information_Constructure(F82)&amp;CHAR(10)&amp;Basic_Fundamental_Information_Concatenate("")</f>
        <v xml:space="preserve">
市值46.924321亿, 利润3499.26万; PE21.49; 平均PE44.31; 平均PEG6.13, PB2.32; ROIC7.25%; ROE8.6767%; 股利率1.6376%; 毛利22.29%; 净利7.8333%; 上一年度营收增-89.1%, 利润增-79.29%; 当季营收增334.31%, 利润增133.03%; 过往5年营收增-7.22%, 利润增11.98%
Income profile:
</v>
      </c>
      <c r="D82" t="s">
        <v>816</v>
      </c>
      <c r="E82" t="s">
        <v>1484</v>
      </c>
      <c r="F82">
        <v>9.16</v>
      </c>
      <c r="G82">
        <v>1.55</v>
      </c>
      <c r="H82" t="s">
        <v>3854</v>
      </c>
      <c r="I82">
        <v>4692432100</v>
      </c>
      <c r="J82">
        <v>21.49</v>
      </c>
      <c r="K82">
        <v>2.3199999999999998</v>
      </c>
      <c r="L82" t="s">
        <v>361</v>
      </c>
      <c r="M82" t="s">
        <v>3855</v>
      </c>
      <c r="N82" t="s">
        <v>1912</v>
      </c>
      <c r="O82" t="s">
        <v>1925</v>
      </c>
      <c r="P82">
        <v>-16.12</v>
      </c>
      <c r="Q82" t="s">
        <v>1837</v>
      </c>
      <c r="R82">
        <v>34352262</v>
      </c>
      <c r="S82" s="5">
        <v>1.84E-2</v>
      </c>
      <c r="T82" t="s">
        <v>3856</v>
      </c>
      <c r="U82">
        <v>203413600</v>
      </c>
      <c r="V82">
        <v>512274250</v>
      </c>
      <c r="W82">
        <v>1.82</v>
      </c>
      <c r="X82">
        <v>0.09</v>
      </c>
      <c r="Y82">
        <v>9.2100000000000009</v>
      </c>
      <c r="Z82" t="s">
        <v>1995</v>
      </c>
      <c r="AA82" t="s">
        <v>1600</v>
      </c>
      <c r="AB82" t="s">
        <v>3857</v>
      </c>
      <c r="AC82" t="s">
        <v>3858</v>
      </c>
      <c r="AD82" t="s">
        <v>19</v>
      </c>
      <c r="AE82">
        <v>-1280439</v>
      </c>
      <c r="AF82" t="s">
        <v>3859</v>
      </c>
      <c r="AG82" t="s">
        <v>3860</v>
      </c>
      <c r="AH82" t="s">
        <v>3861</v>
      </c>
      <c r="AI82" t="s">
        <v>3862</v>
      </c>
      <c r="AJ82" t="s">
        <v>3863</v>
      </c>
      <c r="AK82" t="s">
        <v>3864</v>
      </c>
      <c r="AL82" t="s">
        <v>3865</v>
      </c>
      <c r="AM82" t="s">
        <v>19</v>
      </c>
      <c r="AN82" t="s">
        <v>3866</v>
      </c>
      <c r="AO82" t="s">
        <v>3867</v>
      </c>
      <c r="AP82" t="s">
        <v>3868</v>
      </c>
      <c r="AQ82" t="s">
        <v>3869</v>
      </c>
      <c r="AR82" t="s">
        <v>3870</v>
      </c>
      <c r="AS82" t="s">
        <v>3871</v>
      </c>
      <c r="AT82" t="s">
        <v>19</v>
      </c>
      <c r="AU82" t="s">
        <v>3872</v>
      </c>
      <c r="AV82" t="s">
        <v>3873</v>
      </c>
      <c r="AW82" t="s">
        <v>3874</v>
      </c>
      <c r="AX82" t="s">
        <v>1706</v>
      </c>
      <c r="AY82" t="s">
        <v>1406</v>
      </c>
      <c r="AZ82" t="s">
        <v>403</v>
      </c>
      <c r="BA82" t="s">
        <v>314</v>
      </c>
      <c r="BB82" t="s">
        <v>817</v>
      </c>
      <c r="BC82" t="s">
        <v>1645</v>
      </c>
      <c r="BD82" t="s">
        <v>49</v>
      </c>
      <c r="BE82" t="s">
        <v>69</v>
      </c>
      <c r="BF82" t="s">
        <v>818</v>
      </c>
      <c r="BG82" t="s">
        <v>819</v>
      </c>
      <c r="BH82" t="s">
        <v>3875</v>
      </c>
      <c r="BI82" t="s">
        <v>3876</v>
      </c>
      <c r="BJ82" t="s">
        <v>1706</v>
      </c>
      <c r="BK82" t="s">
        <v>116</v>
      </c>
      <c r="BL82" t="s">
        <v>3877</v>
      </c>
      <c r="BM82" t="s">
        <v>1645</v>
      </c>
      <c r="BN82">
        <v>4.76</v>
      </c>
      <c r="BO82">
        <v>8</v>
      </c>
      <c r="BP82">
        <v>8.99</v>
      </c>
      <c r="BQ82">
        <v>5.64</v>
      </c>
      <c r="BR82">
        <v>9.31</v>
      </c>
      <c r="BS82">
        <v>11.08</v>
      </c>
      <c r="BT82" t="s">
        <v>1573</v>
      </c>
      <c r="BU82" t="s">
        <v>1234</v>
      </c>
      <c r="BV82">
        <v>24.74</v>
      </c>
      <c r="BW82">
        <v>20.72</v>
      </c>
      <c r="BX82">
        <v>21.41</v>
      </c>
      <c r="BY82">
        <v>9.2899999999999991</v>
      </c>
      <c r="BZ82">
        <v>6.61</v>
      </c>
      <c r="CA82">
        <v>7.6</v>
      </c>
      <c r="CB82">
        <v>-3.27</v>
      </c>
      <c r="CC82">
        <v>-12.68</v>
      </c>
      <c r="CD82" t="s">
        <v>3878</v>
      </c>
      <c r="CE82" t="s">
        <v>1359</v>
      </c>
      <c r="CF82" s="8">
        <v>3.3430789761009341</v>
      </c>
      <c r="CG82" s="9">
        <v>1.3303098056507139</v>
      </c>
      <c r="CH82" s="8">
        <v>-0.89103031158447266</v>
      </c>
      <c r="CI82" s="8">
        <v>0.24331799149513245</v>
      </c>
      <c r="CJ82" s="8">
        <v>6.3204281032085419E-2</v>
      </c>
      <c r="CK82" s="8">
        <v>4.8279337584972382E-2</v>
      </c>
      <c r="CL82" s="8">
        <v>0.1750151664018631</v>
      </c>
      <c r="CM82" s="9">
        <v>-0.79294317960739136</v>
      </c>
      <c r="CN82" s="9">
        <v>4.9689441919326782E-2</v>
      </c>
      <c r="CO82" s="9">
        <v>0.24806201457977295</v>
      </c>
      <c r="CP82" s="9">
        <v>0.47681578993797302</v>
      </c>
      <c r="CQ82" s="9">
        <v>0.6174236536026001</v>
      </c>
      <c r="CR82">
        <v>44.313627924458451</v>
      </c>
      <c r="CS82">
        <v>6.1339932784937616</v>
      </c>
      <c r="CT82">
        <v>1.6375545851528384</v>
      </c>
      <c r="CU82" s="8">
        <v>-7.2242707014083862E-2</v>
      </c>
      <c r="CV82" s="9">
        <v>0.1198095440864563</v>
      </c>
      <c r="CW82">
        <v>0.06</v>
      </c>
      <c r="CX82">
        <v>131.04005132513731</v>
      </c>
      <c r="CY82" t="s">
        <v>3879</v>
      </c>
      <c r="CZ82">
        <v>-7.2242707014083862E-2</v>
      </c>
      <c r="DA82">
        <v>43.680017108379104</v>
      </c>
      <c r="DB82" t="s">
        <v>3880</v>
      </c>
      <c r="DC82">
        <v>-6.8630571663379672E-2</v>
      </c>
      <c r="DD82">
        <v>21.840008554189552</v>
      </c>
      <c r="DE82" t="s">
        <v>3881</v>
      </c>
      <c r="DF82">
        <v>-6.3573582172393797E-2</v>
      </c>
      <c r="DG82">
        <v>13.104005132513732</v>
      </c>
      <c r="DH82" t="s">
        <v>3882</v>
      </c>
      <c r="DI82">
        <v>-5.7794165611267094E-2</v>
      </c>
      <c r="DJ82">
        <v>6.5520025662568662</v>
      </c>
      <c r="DK82" t="s">
        <v>3883</v>
      </c>
      <c r="DL82">
        <v>-5.0569894909858699E-2</v>
      </c>
      <c r="DM82">
        <v>34992600</v>
      </c>
      <c r="DN82">
        <v>-7.2242707014083862E-2</v>
      </c>
      <c r="DO82">
        <v>4585432100</v>
      </c>
      <c r="DP82">
        <v>1596162500</v>
      </c>
      <c r="DQ82">
        <v>2504</v>
      </c>
      <c r="DR82">
        <v>3.4153216831150179</v>
      </c>
      <c r="DS82">
        <v>1.2105002615642575</v>
      </c>
      <c r="DT82" s="10">
        <v>-0.52333333333333332</v>
      </c>
      <c r="DU82">
        <v>0.1166666666666667</v>
      </c>
      <c r="DV82">
        <v>-0.40666666666666662</v>
      </c>
      <c r="DW82">
        <v>-8.2578864353312298</v>
      </c>
      <c r="DX82">
        <v>0.2749203921568627</v>
      </c>
      <c r="DY82">
        <v>-8.0347941389868254</v>
      </c>
      <c r="DZ82">
        <v>2084</v>
      </c>
      <c r="EA82">
        <v>-8.0206041222258584</v>
      </c>
      <c r="EB82">
        <v>8</v>
      </c>
      <c r="EC82">
        <v>6.7160705422925321E-2</v>
      </c>
      <c r="ED82">
        <v>0.49778024173574986</v>
      </c>
      <c r="EE82" s="11">
        <v>-6.1273</v>
      </c>
      <c r="EF82">
        <v>-6.1074000000000002</v>
      </c>
      <c r="EG82">
        <v>14.134920392156863</v>
      </c>
      <c r="EH82" t="s">
        <v>3029</v>
      </c>
      <c r="EI82">
        <v>0</v>
      </c>
      <c r="EJ82">
        <v>0</v>
      </c>
      <c r="EK82" s="13">
        <v>45470</v>
      </c>
      <c r="EL82" s="14">
        <v>0</v>
      </c>
      <c r="EM82" s="14">
        <v>-4.5599999999999996</v>
      </c>
      <c r="EN82" s="14">
        <v>3.4</v>
      </c>
      <c r="EO82" s="14">
        <v>5.39</v>
      </c>
      <c r="EP82" s="14">
        <v>-1.99</v>
      </c>
    </row>
    <row r="83" spans="1:146" ht="108">
      <c r="A83" s="6"/>
      <c r="B83" s="6"/>
      <c r="C83" s="6" t="str">
        <f>""&amp;CHAR(10)&amp;Basic_Fundamental_Information_Constructure(F83)&amp;CHAR(10)&amp;Basic_Fundamental_Information_Concatenate("")</f>
        <v xml:space="preserve">
市值98.9664亿, 利润1.09亿; PE62.52; 平均PE77.91; 平均PEG18.68, PB4.49; ROIC6.8433%; ROE10.9033%; 股利率.127%; 毛利37.0933%; 净利13.21%; 上一年度营收增-57.1%, 利润增-31.87%; 当季营收增94.07%, 利润增-254.86%; 过往5年营收增4.17%, 利润增13.75%
Income profile:
</v>
      </c>
      <c r="D83" t="s">
        <v>820</v>
      </c>
      <c r="E83" t="s">
        <v>821</v>
      </c>
      <c r="F83">
        <v>24.4</v>
      </c>
      <c r="G83">
        <v>-0.49</v>
      </c>
      <c r="H83" t="s">
        <v>3884</v>
      </c>
      <c r="I83">
        <v>9896640000</v>
      </c>
      <c r="J83">
        <v>62.52</v>
      </c>
      <c r="K83">
        <v>4.49</v>
      </c>
      <c r="L83" t="s">
        <v>361</v>
      </c>
      <c r="M83" t="s">
        <v>1317</v>
      </c>
      <c r="N83" t="s">
        <v>3885</v>
      </c>
      <c r="O83" t="s">
        <v>166</v>
      </c>
      <c r="P83">
        <v>-2.25</v>
      </c>
      <c r="Q83" t="s">
        <v>698</v>
      </c>
      <c r="R83">
        <v>-31966703</v>
      </c>
      <c r="S83" s="5">
        <v>-0.13139999999999999</v>
      </c>
      <c r="T83" t="s">
        <v>151</v>
      </c>
      <c r="U83">
        <v>192660000</v>
      </c>
      <c r="V83">
        <v>405600000</v>
      </c>
      <c r="W83">
        <v>1.35</v>
      </c>
      <c r="X83">
        <v>7.0000000000000007E-2</v>
      </c>
      <c r="Y83">
        <v>-18.77</v>
      </c>
      <c r="Z83" t="s">
        <v>101</v>
      </c>
      <c r="AA83" t="s">
        <v>148</v>
      </c>
      <c r="AB83" t="s">
        <v>3886</v>
      </c>
      <c r="AC83" t="s">
        <v>3887</v>
      </c>
      <c r="AD83" t="s">
        <v>19</v>
      </c>
      <c r="AE83">
        <v>-936447</v>
      </c>
      <c r="AF83" t="s">
        <v>3888</v>
      </c>
      <c r="AG83" t="s">
        <v>3889</v>
      </c>
      <c r="AH83" t="s">
        <v>3890</v>
      </c>
      <c r="AI83" t="s">
        <v>437</v>
      </c>
      <c r="AJ83" t="s">
        <v>3891</v>
      </c>
      <c r="AK83" t="s">
        <v>3892</v>
      </c>
      <c r="AL83" t="s">
        <v>3893</v>
      </c>
      <c r="AM83" t="s">
        <v>19</v>
      </c>
      <c r="AN83" t="s">
        <v>323</v>
      </c>
      <c r="AO83" t="s">
        <v>19</v>
      </c>
      <c r="AP83" t="s">
        <v>3894</v>
      </c>
      <c r="AQ83" t="s">
        <v>29</v>
      </c>
      <c r="AR83" t="s">
        <v>19</v>
      </c>
      <c r="AS83" t="s">
        <v>2947</v>
      </c>
      <c r="AT83" t="s">
        <v>3895</v>
      </c>
      <c r="AU83" t="s">
        <v>2382</v>
      </c>
      <c r="AV83" t="s">
        <v>3896</v>
      </c>
      <c r="AW83" t="s">
        <v>3897</v>
      </c>
      <c r="AX83" t="s">
        <v>1707</v>
      </c>
      <c r="AY83" t="s">
        <v>705</v>
      </c>
      <c r="AZ83" t="s">
        <v>822</v>
      </c>
      <c r="BA83" t="s">
        <v>607</v>
      </c>
      <c r="BB83" t="s">
        <v>230</v>
      </c>
      <c r="BC83" t="s">
        <v>355</v>
      </c>
      <c r="BD83" t="s">
        <v>355</v>
      </c>
      <c r="BE83" t="s">
        <v>112</v>
      </c>
      <c r="BF83" t="s">
        <v>74</v>
      </c>
      <c r="BG83" t="s">
        <v>825</v>
      </c>
      <c r="BH83" t="s">
        <v>3898</v>
      </c>
      <c r="BI83" t="s">
        <v>82</v>
      </c>
      <c r="BJ83" t="s">
        <v>1707</v>
      </c>
      <c r="BK83" t="s">
        <v>1466</v>
      </c>
      <c r="BL83" t="s">
        <v>3899</v>
      </c>
      <c r="BM83" t="s">
        <v>355</v>
      </c>
      <c r="BN83">
        <v>1.9</v>
      </c>
      <c r="BO83">
        <v>7.1</v>
      </c>
      <c r="BP83">
        <v>11.53</v>
      </c>
      <c r="BQ83">
        <v>2.4900000000000002</v>
      </c>
      <c r="BR83">
        <v>7.99</v>
      </c>
      <c r="BS83">
        <v>22.23</v>
      </c>
      <c r="BT83" t="s">
        <v>3900</v>
      </c>
      <c r="BU83" t="s">
        <v>1234</v>
      </c>
      <c r="BV83">
        <v>37.35</v>
      </c>
      <c r="BW83">
        <v>36.369999999999997</v>
      </c>
      <c r="BX83">
        <v>37.56</v>
      </c>
      <c r="BY83">
        <v>12.3</v>
      </c>
      <c r="BZ83">
        <v>13.5</v>
      </c>
      <c r="CA83">
        <v>13.83</v>
      </c>
      <c r="CB83">
        <v>-10.1</v>
      </c>
      <c r="CC83">
        <v>-20.68</v>
      </c>
      <c r="CD83" t="s">
        <v>3901</v>
      </c>
      <c r="CE83" t="s">
        <v>290</v>
      </c>
      <c r="CF83" s="8">
        <v>0.94067796610169496</v>
      </c>
      <c r="CG83" s="9">
        <v>-2.5485567919236152</v>
      </c>
      <c r="CH83" s="8">
        <v>-0.57096248865127563</v>
      </c>
      <c r="CI83" s="8">
        <v>5.7808395475149155E-2</v>
      </c>
      <c r="CJ83" s="8">
        <v>6.4279273152351379E-2</v>
      </c>
      <c r="CK83" s="8">
        <v>0.25028696656227112</v>
      </c>
      <c r="CL83" s="8">
        <v>0.40710824728012085</v>
      </c>
      <c r="CM83" s="9">
        <v>-0.31874999403953552</v>
      </c>
      <c r="CN83" s="9">
        <v>0</v>
      </c>
      <c r="CO83" s="9">
        <v>7.3825500905513763E-2</v>
      </c>
      <c r="CP83" s="9">
        <v>0.30701753497123718</v>
      </c>
      <c r="CQ83" s="9">
        <v>0.62555956840515137</v>
      </c>
      <c r="CR83">
        <v>77.913037636507269</v>
      </c>
      <c r="CS83">
        <v>18.682354327481406</v>
      </c>
      <c r="CT83">
        <v>0.12704918032786885</v>
      </c>
      <c r="CU83" s="8">
        <v>4.1704078763723375E-2</v>
      </c>
      <c r="CV83" s="9">
        <v>0.13753052204847335</v>
      </c>
      <c r="CW83">
        <v>0.06</v>
      </c>
      <c r="CX83">
        <v>79.151873395419329</v>
      </c>
      <c r="CY83">
        <v>107118626.96721306</v>
      </c>
      <c r="CZ83">
        <v>4.1704078763723375E-2</v>
      </c>
      <c r="DA83">
        <v>26.951770340670116</v>
      </c>
      <c r="DB83">
        <v>314585642.90323317</v>
      </c>
      <c r="DC83">
        <v>3.9618874825537206E-2</v>
      </c>
      <c r="DD83">
        <v>14.00299361444914</v>
      </c>
      <c r="DE83">
        <v>605487671.66837978</v>
      </c>
      <c r="DF83">
        <v>3.6699589312076571E-2</v>
      </c>
      <c r="DG83">
        <v>8.9234057869825421</v>
      </c>
      <c r="DH83">
        <v>950157395.32641613</v>
      </c>
      <c r="DI83">
        <v>3.3363263010978701E-2</v>
      </c>
      <c r="DJ83">
        <v>5.2251966616545227</v>
      </c>
      <c r="DK83">
        <v>1622645146.0135658</v>
      </c>
      <c r="DL83">
        <v>2.9192855134606361E-2</v>
      </c>
      <c r="DM83">
        <v>109000000.00000001</v>
      </c>
      <c r="DN83">
        <v>4.1704078763723375E-2</v>
      </c>
      <c r="DO83">
        <v>8478640000</v>
      </c>
      <c r="DP83">
        <v>1636117000</v>
      </c>
      <c r="DQ83">
        <v>2534</v>
      </c>
      <c r="DR83">
        <v>0.89897388733797157</v>
      </c>
      <c r="DS83">
        <v>-2.6860873139720884</v>
      </c>
      <c r="DT83" s="10">
        <v>-0.39000000000000007</v>
      </c>
      <c r="DU83">
        <v>-0.74833333333333341</v>
      </c>
      <c r="DV83">
        <v>-1.1383333333333334</v>
      </c>
      <c r="DW83">
        <v>-9.4883945841392645</v>
      </c>
      <c r="DX83">
        <v>0.27454090909090911</v>
      </c>
      <c r="DY83">
        <v>-9.0559411596623871</v>
      </c>
      <c r="DZ83">
        <v>3634</v>
      </c>
      <c r="EA83">
        <v>-9.016158346704831</v>
      </c>
      <c r="EB83">
        <v>9</v>
      </c>
      <c r="EC83">
        <v>0.14289373767258384</v>
      </c>
      <c r="ED83">
        <v>1.2475345167652858</v>
      </c>
      <c r="EE83" s="11">
        <v>-1.0094099999999999</v>
      </c>
      <c r="EF83">
        <v>-1.0414099999999999</v>
      </c>
      <c r="EG83">
        <v>16.114540909090909</v>
      </c>
      <c r="EH83" t="s">
        <v>1265</v>
      </c>
      <c r="EI83">
        <v>0</v>
      </c>
      <c r="EJ83">
        <v>0</v>
      </c>
      <c r="EK83" s="13">
        <v>45470</v>
      </c>
      <c r="EL83" s="14">
        <v>-0.88</v>
      </c>
      <c r="EM83" s="14">
        <v>-3.55</v>
      </c>
      <c r="EN83" s="14">
        <v>1.69</v>
      </c>
      <c r="EO83" s="14">
        <v>3.77</v>
      </c>
      <c r="EP83" s="14">
        <v>-3.2</v>
      </c>
    </row>
    <row r="84" spans="1:146" ht="108">
      <c r="A84" s="6"/>
      <c r="B84" s="6"/>
      <c r="C84" s="6" t="str">
        <f>""&amp;CHAR(10)&amp;Basic_Fundamental_Information_Constructure(F84)&amp;CHAR(10)&amp;Basic_Fundamental_Information_Concatenate("")</f>
        <v xml:space="preserve">
市值11.880396亿, 利润5326.25万; PE84.56; 平均PE15.67; 平均PEG.41, PB1.07; ROIC6.55%; ROE7.4567%; 股利率1.3333%; 毛利30.57%; 净利6.5967%; 上一年度营收增153.07%, 利润增-29.17%; 当季营收增-68.75%, 利润增37.83%; 过往5年营收增37.79%, 利润增-6.16%
Income profile:
</v>
      </c>
      <c r="D84" t="s">
        <v>1167</v>
      </c>
      <c r="E84" t="s">
        <v>1168</v>
      </c>
      <c r="F84">
        <v>7.5</v>
      </c>
      <c r="G84">
        <v>2.6</v>
      </c>
      <c r="H84" t="s">
        <v>3902</v>
      </c>
      <c r="I84">
        <v>1188039600</v>
      </c>
      <c r="J84">
        <v>84.56</v>
      </c>
      <c r="K84">
        <v>1.07</v>
      </c>
      <c r="L84" t="s">
        <v>361</v>
      </c>
      <c r="M84" t="s">
        <v>3903</v>
      </c>
      <c r="N84" t="s">
        <v>2445</v>
      </c>
      <c r="O84" t="s">
        <v>60</v>
      </c>
      <c r="P84">
        <v>-13.86</v>
      </c>
      <c r="Q84" t="s">
        <v>3904</v>
      </c>
      <c r="R84">
        <v>14702564</v>
      </c>
      <c r="S84" s="5">
        <v>-0.32779999999999998</v>
      </c>
      <c r="T84" t="s">
        <v>3905</v>
      </c>
      <c r="U84">
        <v>109666328</v>
      </c>
      <c r="V84">
        <v>158405280</v>
      </c>
      <c r="W84">
        <v>2.82</v>
      </c>
      <c r="X84">
        <v>0.04</v>
      </c>
      <c r="Y84">
        <v>10.71</v>
      </c>
      <c r="Z84" t="s">
        <v>38</v>
      </c>
      <c r="AA84" t="s">
        <v>3906</v>
      </c>
      <c r="AB84" t="s">
        <v>19</v>
      </c>
      <c r="AC84" t="s">
        <v>3907</v>
      </c>
      <c r="AD84" t="s">
        <v>19</v>
      </c>
      <c r="AE84">
        <v>8869005</v>
      </c>
      <c r="AF84" t="s">
        <v>3908</v>
      </c>
      <c r="AG84">
        <v>1900.23</v>
      </c>
      <c r="AH84" t="s">
        <v>3909</v>
      </c>
      <c r="AI84" t="s">
        <v>3353</v>
      </c>
      <c r="AJ84" t="s">
        <v>3910</v>
      </c>
      <c r="AK84" t="s">
        <v>3911</v>
      </c>
      <c r="AL84" t="s">
        <v>3912</v>
      </c>
      <c r="AM84" t="s">
        <v>19</v>
      </c>
      <c r="AN84" t="s">
        <v>3913</v>
      </c>
      <c r="AO84" t="s">
        <v>271</v>
      </c>
      <c r="AP84" t="s">
        <v>3914</v>
      </c>
      <c r="AQ84" t="s">
        <v>3915</v>
      </c>
      <c r="AR84" t="s">
        <v>19</v>
      </c>
      <c r="AS84" t="s">
        <v>3916</v>
      </c>
      <c r="AT84" t="s">
        <v>3917</v>
      </c>
      <c r="AU84" t="s">
        <v>1969</v>
      </c>
      <c r="AV84" t="s">
        <v>3918</v>
      </c>
      <c r="AW84" t="s">
        <v>3919</v>
      </c>
      <c r="AX84" t="s">
        <v>1708</v>
      </c>
      <c r="AY84" t="s">
        <v>1169</v>
      </c>
      <c r="AZ84" t="s">
        <v>445</v>
      </c>
      <c r="BA84" t="s">
        <v>1131</v>
      </c>
      <c r="BB84" t="s">
        <v>215</v>
      </c>
      <c r="BC84" t="s">
        <v>1709</v>
      </c>
      <c r="BD84" t="s">
        <v>1170</v>
      </c>
      <c r="BE84" t="s">
        <v>1171</v>
      </c>
      <c r="BF84" t="s">
        <v>1172</v>
      </c>
      <c r="BG84" t="s">
        <v>1173</v>
      </c>
      <c r="BH84" t="s">
        <v>1881</v>
      </c>
      <c r="BI84" t="s">
        <v>1668</v>
      </c>
      <c r="BJ84" t="s">
        <v>1708</v>
      </c>
      <c r="BK84" t="s">
        <v>3920</v>
      </c>
      <c r="BL84" t="s">
        <v>3921</v>
      </c>
      <c r="BM84" t="s">
        <v>1709</v>
      </c>
      <c r="BN84">
        <v>3.88</v>
      </c>
      <c r="BO84">
        <v>6.78</v>
      </c>
      <c r="BP84">
        <v>8.99</v>
      </c>
      <c r="BQ84">
        <v>3.78</v>
      </c>
      <c r="BR84">
        <v>7.03</v>
      </c>
      <c r="BS84">
        <v>11.56</v>
      </c>
      <c r="BT84" t="s">
        <v>1572</v>
      </c>
      <c r="BU84" t="s">
        <v>1334</v>
      </c>
      <c r="BV84">
        <v>30.61</v>
      </c>
      <c r="BW84">
        <v>32.21</v>
      </c>
      <c r="BX84">
        <v>28.89</v>
      </c>
      <c r="BY84">
        <v>2.79</v>
      </c>
      <c r="BZ84">
        <v>8.11</v>
      </c>
      <c r="CA84">
        <v>8.89</v>
      </c>
      <c r="CB84">
        <v>0.4</v>
      </c>
      <c r="CC84">
        <v>-14.58</v>
      </c>
      <c r="CD84" t="s">
        <v>3922</v>
      </c>
      <c r="CE84" t="s">
        <v>3923</v>
      </c>
      <c r="CF84" s="8">
        <v>-0.6875</v>
      </c>
      <c r="CG84" s="9">
        <v>0.37828353941484727</v>
      </c>
      <c r="CH84" s="8">
        <v>1.5307378768920898</v>
      </c>
      <c r="CI84" s="8">
        <v>1.8789144232869148E-2</v>
      </c>
      <c r="CJ84" s="8">
        <v>2.7896996587514877E-2</v>
      </c>
      <c r="CK84" s="8">
        <v>0.12019230425357819</v>
      </c>
      <c r="CL84" s="8">
        <v>0.19197708368301392</v>
      </c>
      <c r="CM84" s="9">
        <v>-0.29169946908950806</v>
      </c>
      <c r="CN84" s="9">
        <v>-0.11398812383413315</v>
      </c>
      <c r="CO84" s="9">
        <v>0.11753229051828384</v>
      </c>
      <c r="CP84" s="9">
        <v>-0.12849505245685577</v>
      </c>
      <c r="CQ84" s="9">
        <v>0.10887952893972397</v>
      </c>
      <c r="CR84">
        <v>15.666170485241697</v>
      </c>
      <c r="CS84">
        <v>0.41453813392888206</v>
      </c>
      <c r="CT84">
        <v>1.3333333333333333</v>
      </c>
      <c r="CU84" s="8">
        <v>0.37791868112981319</v>
      </c>
      <c r="CV84" s="9">
        <v>-6.1554165184497835E-2</v>
      </c>
      <c r="CW84">
        <v>0.06</v>
      </c>
      <c r="CX84">
        <v>31.472109437685766</v>
      </c>
      <c r="CY84">
        <v>69237163.918562904</v>
      </c>
      <c r="CZ84">
        <v>0.37791868112981319</v>
      </c>
      <c r="DA84">
        <v>8.1280592152064184</v>
      </c>
      <c r="DB84">
        <v>268088548.85349914</v>
      </c>
      <c r="DC84">
        <v>0.35902274707332249</v>
      </c>
      <c r="DD84">
        <v>2.8392448565430901</v>
      </c>
      <c r="DE84">
        <v>767471532.07951212</v>
      </c>
      <c r="DF84">
        <v>0.33256843939423564</v>
      </c>
      <c r="DG84">
        <v>1.1133974165623166</v>
      </c>
      <c r="DH84">
        <v>1957108546.8546529</v>
      </c>
      <c r="DI84">
        <v>0.3023349449038506</v>
      </c>
      <c r="DJ84">
        <v>0.2000192871148383</v>
      </c>
      <c r="DK84">
        <v>10894147416.63855</v>
      </c>
      <c r="DL84">
        <v>0.26454307679086919</v>
      </c>
      <c r="DM84">
        <v>53262500</v>
      </c>
      <c r="DN84">
        <v>0.37791868112981319</v>
      </c>
      <c r="DO84">
        <v>2179039600</v>
      </c>
      <c r="DP84">
        <v>1431213399.9999998</v>
      </c>
      <c r="DQ84">
        <v>2540</v>
      </c>
      <c r="DR84">
        <v>-1.0654186811298132</v>
      </c>
      <c r="DS84">
        <v>0.43983770459934513</v>
      </c>
      <c r="DT84" s="10">
        <v>-6.6666666666666714E-3</v>
      </c>
      <c r="DU84">
        <v>-0.16666666666666666</v>
      </c>
      <c r="DV84">
        <v>-0.17333333333333334</v>
      </c>
      <c r="DW84">
        <v>-2.1457999999999999</v>
      </c>
      <c r="DX84">
        <v>0.41008384784132912</v>
      </c>
      <c r="DY84">
        <v>-2.0277142250152655</v>
      </c>
      <c r="DZ84">
        <v>3063</v>
      </c>
      <c r="EA84">
        <v>-2.0111019605883071</v>
      </c>
      <c r="EB84">
        <v>2</v>
      </c>
      <c r="EC84">
        <v>8.4895528734900749E-2</v>
      </c>
      <c r="ED84">
        <v>0.44662147625382187</v>
      </c>
      <c r="EE84" s="11">
        <v>2.0634999999999999</v>
      </c>
      <c r="EF84">
        <v>2.0501999999999998</v>
      </c>
      <c r="EG84">
        <v>22.190083847841329</v>
      </c>
      <c r="EH84" t="s">
        <v>1259</v>
      </c>
      <c r="EI84">
        <v>0</v>
      </c>
      <c r="EJ84">
        <v>0</v>
      </c>
      <c r="EK84" s="13">
        <v>45470</v>
      </c>
      <c r="EL84" s="14">
        <v>-1.6</v>
      </c>
      <c r="EM84" s="14">
        <v>-5.49</v>
      </c>
      <c r="EN84" s="14">
        <v>-2.9</v>
      </c>
      <c r="EO84" s="14">
        <v>3.85</v>
      </c>
      <c r="EP84" s="14">
        <v>-1.33</v>
      </c>
    </row>
    <row r="85" spans="1:146" ht="108">
      <c r="A85" s="6"/>
      <c r="B85" s="6"/>
      <c r="C85" s="6" t="str">
        <f>""&amp;CHAR(10)&amp;Basic_Fundamental_Information_Constructure(F85)&amp;CHAR(10)&amp;Basic_Fundamental_Information_Concatenate("")</f>
        <v xml:space="preserve">
市值30.162448亿, 利润5799.08万; PE184; 平均PE39.62; 平均PEG1.42, PB2.05; ROIC4.89%; ROE4.9267%; 股利率.1825%; 毛利39.01%; 净利8.1533%; 上一年度营收增108.59%, 利润增6.64%; 当季营收增-68.67%, 利润增22.2%; 过往5年营收增27.96%, 利润增-8.31%
Income profile:
</v>
      </c>
      <c r="D85" t="s">
        <v>1174</v>
      </c>
      <c r="E85" t="s">
        <v>1175</v>
      </c>
      <c r="F85">
        <v>10.96</v>
      </c>
      <c r="G85">
        <v>1.48</v>
      </c>
      <c r="H85" t="s">
        <v>3924</v>
      </c>
      <c r="I85">
        <v>3016244800</v>
      </c>
      <c r="J85">
        <v>184</v>
      </c>
      <c r="K85">
        <v>2.0499999999999998</v>
      </c>
      <c r="L85" t="s">
        <v>361</v>
      </c>
      <c r="M85" t="s">
        <v>2030</v>
      </c>
      <c r="N85" t="s">
        <v>3925</v>
      </c>
      <c r="O85" t="s">
        <v>90</v>
      </c>
      <c r="P85">
        <v>-3.17</v>
      </c>
      <c r="Q85" t="s">
        <v>755</v>
      </c>
      <c r="R85">
        <v>6976427</v>
      </c>
      <c r="S85" s="5">
        <v>-0.48430000000000001</v>
      </c>
      <c r="T85" t="s">
        <v>3926</v>
      </c>
      <c r="U85">
        <v>103889820</v>
      </c>
      <c r="V85">
        <v>275204820</v>
      </c>
      <c r="W85">
        <v>1.37</v>
      </c>
      <c r="X85">
        <v>0.05</v>
      </c>
      <c r="Y85">
        <v>6.89</v>
      </c>
      <c r="Z85" t="s">
        <v>171</v>
      </c>
      <c r="AA85" t="s">
        <v>3927</v>
      </c>
      <c r="AB85" t="s">
        <v>3928</v>
      </c>
      <c r="AC85" t="s">
        <v>3929</v>
      </c>
      <c r="AD85" t="s">
        <v>19</v>
      </c>
      <c r="AE85">
        <v>-1599040</v>
      </c>
      <c r="AF85" t="s">
        <v>3930</v>
      </c>
      <c r="AG85" t="s">
        <v>3931</v>
      </c>
      <c r="AH85" t="s">
        <v>3932</v>
      </c>
      <c r="AI85" t="s">
        <v>628</v>
      </c>
      <c r="AJ85" t="s">
        <v>3933</v>
      </c>
      <c r="AK85" t="s">
        <v>19</v>
      </c>
      <c r="AL85" t="s">
        <v>3934</v>
      </c>
      <c r="AM85" t="s">
        <v>19</v>
      </c>
      <c r="AN85" t="s">
        <v>3935</v>
      </c>
      <c r="AO85" t="s">
        <v>3936</v>
      </c>
      <c r="AP85" t="s">
        <v>19</v>
      </c>
      <c r="AQ85" t="s">
        <v>81</v>
      </c>
      <c r="AR85" t="s">
        <v>19</v>
      </c>
      <c r="AS85" t="s">
        <v>2255</v>
      </c>
      <c r="AT85" t="s">
        <v>3937</v>
      </c>
      <c r="AU85" t="s">
        <v>3938</v>
      </c>
      <c r="AV85" t="s">
        <v>3939</v>
      </c>
      <c r="AW85" t="s">
        <v>3940</v>
      </c>
      <c r="AX85" t="s">
        <v>3941</v>
      </c>
      <c r="AY85" t="s">
        <v>1148</v>
      </c>
      <c r="AZ85" t="s">
        <v>1114</v>
      </c>
      <c r="BA85" t="s">
        <v>1124</v>
      </c>
      <c r="BB85" t="s">
        <v>249</v>
      </c>
      <c r="BC85" t="s">
        <v>3942</v>
      </c>
      <c r="BD85" t="s">
        <v>1176</v>
      </c>
      <c r="BE85" t="s">
        <v>1178</v>
      </c>
      <c r="BF85" t="s">
        <v>1179</v>
      </c>
      <c r="BG85" t="s">
        <v>1180</v>
      </c>
      <c r="BH85" t="s">
        <v>748</v>
      </c>
      <c r="BI85" t="s">
        <v>1995</v>
      </c>
      <c r="BJ85" t="s">
        <v>3941</v>
      </c>
      <c r="BK85" t="s">
        <v>3943</v>
      </c>
      <c r="BL85" t="s">
        <v>3944</v>
      </c>
      <c r="BM85" t="s">
        <v>3942</v>
      </c>
      <c r="BN85">
        <v>1.33</v>
      </c>
      <c r="BO85">
        <v>3.99</v>
      </c>
      <c r="BP85">
        <v>9.35</v>
      </c>
      <c r="BQ85">
        <v>1.52</v>
      </c>
      <c r="BR85">
        <v>3.53</v>
      </c>
      <c r="BS85">
        <v>9.73</v>
      </c>
      <c r="BT85" t="s">
        <v>3945</v>
      </c>
      <c r="BU85" t="s">
        <v>1234</v>
      </c>
      <c r="BV85">
        <v>39.54</v>
      </c>
      <c r="BW85">
        <v>37.28</v>
      </c>
      <c r="BX85">
        <v>40.21</v>
      </c>
      <c r="BY85">
        <v>4.01</v>
      </c>
      <c r="BZ85">
        <v>7.73</v>
      </c>
      <c r="CA85">
        <v>12.72</v>
      </c>
      <c r="CB85">
        <v>-6.96</v>
      </c>
      <c r="CC85">
        <v>-1.17</v>
      </c>
      <c r="CD85" t="s">
        <v>3946</v>
      </c>
      <c r="CE85" t="s">
        <v>86</v>
      </c>
      <c r="CF85" s="8">
        <v>-0.68674698795180722</v>
      </c>
      <c r="CG85" s="9">
        <v>0.2219836751852306</v>
      </c>
      <c r="CH85" s="8">
        <v>1.0858653783798218</v>
      </c>
      <c r="CI85" s="8">
        <v>0.13493253290653229</v>
      </c>
      <c r="CJ85" s="8">
        <v>2.7734976261854172E-2</v>
      </c>
      <c r="CK85" s="8">
        <v>7.0957094430923462E-2</v>
      </c>
      <c r="CL85" s="8">
        <v>7.8291818499565125E-2</v>
      </c>
      <c r="CM85" s="9">
        <v>6.6409215331077576E-2</v>
      </c>
      <c r="CN85" s="9">
        <v>-0.29529014229774475</v>
      </c>
      <c r="CO85" s="9">
        <v>-7.2788380086421967E-2</v>
      </c>
      <c r="CP85" s="9">
        <v>-7.9061001539230347E-2</v>
      </c>
      <c r="CQ85" s="9">
        <v>-3.491244837641716E-2</v>
      </c>
      <c r="CR85">
        <v>39.620970875826934</v>
      </c>
      <c r="CS85">
        <v>1.4172802529786117</v>
      </c>
      <c r="CT85">
        <v>0.18248175182481752</v>
      </c>
      <c r="CU85" s="8">
        <v>0.27955636009573936</v>
      </c>
      <c r="CV85" s="9">
        <v>-8.3128551393747335E-2</v>
      </c>
      <c r="CW85">
        <v>0.06</v>
      </c>
      <c r="CX85">
        <v>30.61675254687357</v>
      </c>
      <c r="CY85">
        <v>70002355.629283011</v>
      </c>
      <c r="CZ85">
        <v>0.27955636009573936</v>
      </c>
      <c r="DA85">
        <v>8.5524020935152585</v>
      </c>
      <c r="DB85">
        <v>250601500.7906476</v>
      </c>
      <c r="DC85">
        <v>0.26557854209095239</v>
      </c>
      <c r="DD85">
        <v>3.3680862747332916</v>
      </c>
      <c r="DE85">
        <v>636339043.94854522</v>
      </c>
      <c r="DF85">
        <v>0.24600959688425064</v>
      </c>
      <c r="DG85">
        <v>1.5434279041677998</v>
      </c>
      <c r="DH85">
        <v>1388626442.6167772</v>
      </c>
      <c r="DI85">
        <v>0.2236450880765915</v>
      </c>
      <c r="DJ85">
        <v>0.41428535058002247</v>
      </c>
      <c r="DK85">
        <v>5173354058.9821444</v>
      </c>
      <c r="DL85">
        <v>0.19568945206701754</v>
      </c>
      <c r="DM85">
        <v>57990800</v>
      </c>
      <c r="DN85">
        <v>0.27955636009573936</v>
      </c>
      <c r="DO85">
        <v>2143244800</v>
      </c>
      <c r="DP85">
        <v>1332850100</v>
      </c>
      <c r="DQ85">
        <v>2574</v>
      </c>
      <c r="DR85">
        <v>-0.96630334804754658</v>
      </c>
      <c r="DS85">
        <v>0.30511222657897796</v>
      </c>
      <c r="DT85" s="10">
        <v>-0.10666666666666669</v>
      </c>
      <c r="DU85">
        <v>-0.15</v>
      </c>
      <c r="DV85">
        <v>-0.25666666666666671</v>
      </c>
      <c r="DW85">
        <v>-5.1681034482758621</v>
      </c>
      <c r="DX85">
        <v>0.27721526195899771</v>
      </c>
      <c r="DY85">
        <v>-5.0247473931741418</v>
      </c>
      <c r="DZ85">
        <v>2668</v>
      </c>
      <c r="EA85">
        <v>-5.0118264450354708</v>
      </c>
      <c r="EB85">
        <v>5</v>
      </c>
      <c r="EC85">
        <v>0.23483418640705495</v>
      </c>
      <c r="ED85">
        <v>1.5951755496142834</v>
      </c>
      <c r="EE85" s="11">
        <v>1.0079</v>
      </c>
      <c r="EF85">
        <v>1.0106999999999999</v>
      </c>
      <c r="EG85">
        <v>13.147215261958998</v>
      </c>
      <c r="EH85" t="s">
        <v>1262</v>
      </c>
      <c r="EI85">
        <v>0</v>
      </c>
      <c r="EJ85">
        <v>0</v>
      </c>
      <c r="EK85" s="13">
        <v>45470</v>
      </c>
      <c r="EL85" s="14">
        <v>1.8</v>
      </c>
      <c r="EM85" s="14">
        <v>-3.13</v>
      </c>
      <c r="EN85" s="14">
        <v>5.72</v>
      </c>
      <c r="EO85" s="14">
        <v>4.33</v>
      </c>
      <c r="EP85" s="14">
        <v>0.28000000000000003</v>
      </c>
    </row>
    <row r="86" spans="1:146" ht="108">
      <c r="A86" s="6"/>
      <c r="B86" s="6"/>
      <c r="C86" s="6" t="str">
        <f>""&amp;CHAR(10)&amp;Basic_Fundamental_Information_Constructure(F86)&amp;CHAR(10)&amp;Basic_Fundamental_Information_Concatenate("")</f>
        <v xml:space="preserve">
市值12.6112亿, 利润1.65亿; PE28.94; 平均PE14.81; 平均PEG.3, PB1.34; ROIC8.2967%; ROE11.13%; 股利率1.9183%; 毛利29.97%; 净利16.0633%; 上一年度营收增202.55%, 利润增100.47%; 当季营收增-78.99%, 利润增-101.08%; 过往5年营收增49.73%, 利润增29.88%
Income profile:
</v>
      </c>
      <c r="D86" t="s">
        <v>1181</v>
      </c>
      <c r="E86" t="s">
        <v>1182</v>
      </c>
      <c r="F86">
        <v>11.26</v>
      </c>
      <c r="G86">
        <v>0.09</v>
      </c>
      <c r="H86" t="s">
        <v>3947</v>
      </c>
      <c r="I86">
        <v>1261120000</v>
      </c>
      <c r="J86">
        <v>28.94</v>
      </c>
      <c r="K86">
        <v>1.34</v>
      </c>
      <c r="L86" t="s">
        <v>361</v>
      </c>
      <c r="M86" t="s">
        <v>646</v>
      </c>
      <c r="N86" t="s">
        <v>217</v>
      </c>
      <c r="O86" t="s">
        <v>3948</v>
      </c>
      <c r="P86">
        <v>-24.54</v>
      </c>
      <c r="Q86" t="s">
        <v>3949</v>
      </c>
      <c r="R86">
        <v>-401819</v>
      </c>
      <c r="S86" s="5">
        <v>-1.026</v>
      </c>
      <c r="T86" t="s">
        <v>25</v>
      </c>
      <c r="U86">
        <v>71117896</v>
      </c>
      <c r="V86">
        <v>112000000</v>
      </c>
      <c r="W86">
        <v>1.36</v>
      </c>
      <c r="X86">
        <v>0.05</v>
      </c>
      <c r="Y86">
        <v>1.7</v>
      </c>
      <c r="Z86" t="s">
        <v>3950</v>
      </c>
      <c r="AA86" t="s">
        <v>3951</v>
      </c>
      <c r="AB86" t="s">
        <v>3952</v>
      </c>
      <c r="AC86" t="s">
        <v>3953</v>
      </c>
      <c r="AD86" t="s">
        <v>19</v>
      </c>
      <c r="AE86">
        <v>-566313</v>
      </c>
      <c r="AF86" t="s">
        <v>3954</v>
      </c>
      <c r="AG86">
        <v>0.61</v>
      </c>
      <c r="AH86" t="s">
        <v>3955</v>
      </c>
      <c r="AI86" t="s">
        <v>53</v>
      </c>
      <c r="AJ86" t="s">
        <v>3956</v>
      </c>
      <c r="AK86" t="s">
        <v>3957</v>
      </c>
      <c r="AL86" t="s">
        <v>3958</v>
      </c>
      <c r="AM86" t="s">
        <v>19</v>
      </c>
      <c r="AN86" t="s">
        <v>3959</v>
      </c>
      <c r="AO86" t="s">
        <v>3960</v>
      </c>
      <c r="AP86" t="s">
        <v>3961</v>
      </c>
      <c r="AQ86" t="s">
        <v>46</v>
      </c>
      <c r="AR86" t="s">
        <v>19</v>
      </c>
      <c r="AS86" t="s">
        <v>78</v>
      </c>
      <c r="AT86" t="s">
        <v>3962</v>
      </c>
      <c r="AU86" t="s">
        <v>3963</v>
      </c>
      <c r="AV86" t="s">
        <v>3964</v>
      </c>
      <c r="AW86" t="s">
        <v>3965</v>
      </c>
      <c r="AX86" t="s">
        <v>1341</v>
      </c>
      <c r="AY86" t="s">
        <v>1409</v>
      </c>
      <c r="AZ86" t="s">
        <v>50</v>
      </c>
      <c r="BA86" t="s">
        <v>835</v>
      </c>
      <c r="BB86" t="s">
        <v>29</v>
      </c>
      <c r="BC86" t="s">
        <v>3966</v>
      </c>
      <c r="BD86" t="s">
        <v>1183</v>
      </c>
      <c r="BE86" t="s">
        <v>1185</v>
      </c>
      <c r="BF86" t="s">
        <v>1186</v>
      </c>
      <c r="BG86" t="s">
        <v>1187</v>
      </c>
      <c r="BH86" t="s">
        <v>121</v>
      </c>
      <c r="BI86" t="s">
        <v>36</v>
      </c>
      <c r="BJ86" t="s">
        <v>1341</v>
      </c>
      <c r="BK86" t="s">
        <v>3967</v>
      </c>
      <c r="BL86" t="s">
        <v>3968</v>
      </c>
      <c r="BM86" t="s">
        <v>3966</v>
      </c>
      <c r="BN86">
        <v>4.03</v>
      </c>
      <c r="BO86">
        <v>9.31</v>
      </c>
      <c r="BP86">
        <v>11.55</v>
      </c>
      <c r="BQ86">
        <v>3.94</v>
      </c>
      <c r="BR86">
        <v>9.4700000000000006</v>
      </c>
      <c r="BS86">
        <v>19.98</v>
      </c>
      <c r="BT86" t="s">
        <v>3969</v>
      </c>
      <c r="BU86" t="s">
        <v>1234</v>
      </c>
      <c r="BV86">
        <v>27.96</v>
      </c>
      <c r="BW86">
        <v>29.74</v>
      </c>
      <c r="BX86">
        <v>32.21</v>
      </c>
      <c r="BY86">
        <v>13.11</v>
      </c>
      <c r="BZ86">
        <v>17.75</v>
      </c>
      <c r="CA86">
        <v>17.329999999999998</v>
      </c>
      <c r="CB86">
        <v>-3.26</v>
      </c>
      <c r="CC86">
        <v>-13.87</v>
      </c>
      <c r="CD86" t="s">
        <v>3970</v>
      </c>
      <c r="CE86" t="s">
        <v>3971</v>
      </c>
      <c r="CF86" s="8">
        <v>-0.78992431610942249</v>
      </c>
      <c r="CG86" s="9">
        <v>-1.0108082394807556</v>
      </c>
      <c r="CH86" s="8">
        <v>2.0255403518676758</v>
      </c>
      <c r="CI86" s="8">
        <v>0.29516538977622986</v>
      </c>
      <c r="CJ86" s="8">
        <v>-9.447004646062851E-2</v>
      </c>
      <c r="CK86" s="8">
        <v>0.16042780876159668</v>
      </c>
      <c r="CL86" s="8">
        <v>0.10000000149011612</v>
      </c>
      <c r="CM86" s="9">
        <v>1.0047457218170166</v>
      </c>
      <c r="CN86" s="9">
        <v>0.22448638081550598</v>
      </c>
      <c r="CO86" s="9">
        <v>-0.1355661153793335</v>
      </c>
      <c r="CP86" s="9">
        <v>0.20472078025341034</v>
      </c>
      <c r="CQ86" s="9">
        <v>0.19562196731567383</v>
      </c>
      <c r="CR86">
        <v>14.813353066929782</v>
      </c>
      <c r="CS86">
        <v>0.29785600332640294</v>
      </c>
      <c r="CT86">
        <v>1.9182948490230907</v>
      </c>
      <c r="CU86" s="8">
        <v>0.49733270108699801</v>
      </c>
      <c r="CV86" s="9">
        <v>0.29880174696445466</v>
      </c>
      <c r="CW86">
        <v>0.06</v>
      </c>
      <c r="CX86">
        <v>2.8450882247285669</v>
      </c>
      <c r="CY86">
        <v>233075373.28241003</v>
      </c>
      <c r="CZ86">
        <v>0.49733270108699801</v>
      </c>
      <c r="DA86">
        <v>0.66989794163509619</v>
      </c>
      <c r="DB86">
        <v>989882127.98720872</v>
      </c>
      <c r="DC86">
        <v>0.47246606603264807</v>
      </c>
      <c r="DD86">
        <v>0.20207878902470222</v>
      </c>
      <c r="DE86">
        <v>3281492348.6053743</v>
      </c>
      <c r="DF86">
        <v>0.43765277695655824</v>
      </c>
      <c r="DG86">
        <v>6.516095637772272E-2</v>
      </c>
      <c r="DH86">
        <v>10176646213.662819</v>
      </c>
      <c r="DI86">
        <v>0.39786616086959842</v>
      </c>
      <c r="DJ86">
        <v>7.0629811243924385E-3</v>
      </c>
      <c r="DK86">
        <v>93886701425.53183</v>
      </c>
      <c r="DL86">
        <v>0.34813289076089859</v>
      </c>
      <c r="DM86">
        <v>165000000</v>
      </c>
      <c r="DN86">
        <v>0.49733270108699801</v>
      </c>
      <c r="DO86">
        <v>663120000</v>
      </c>
      <c r="DP86">
        <v>743360980</v>
      </c>
      <c r="DQ86">
        <v>2596</v>
      </c>
      <c r="DR86">
        <v>-1.2872570171964206</v>
      </c>
      <c r="DS86">
        <v>-1.3096099864452102</v>
      </c>
      <c r="DT86" s="10">
        <v>0.12666666666666662</v>
      </c>
      <c r="DU86">
        <v>-0.1983333333333335</v>
      </c>
      <c r="DV86">
        <v>-7.1666666666666878E-2</v>
      </c>
      <c r="DW86">
        <v>-8.2350396539293431</v>
      </c>
      <c r="DX86">
        <v>0.28666724768050245</v>
      </c>
      <c r="DY86">
        <v>-8.0368230156768874</v>
      </c>
      <c r="DZ86">
        <v>3081</v>
      </c>
      <c r="EA86">
        <v>-8.014621115226694</v>
      </c>
      <c r="EB86">
        <v>8</v>
      </c>
      <c r="EC86">
        <v>0.11787321428571429</v>
      </c>
      <c r="ED86">
        <v>0.75237946428571434</v>
      </c>
      <c r="EE86" s="11">
        <v>-4.0453000000000001</v>
      </c>
      <c r="EF86">
        <v>-4.0155000000000003</v>
      </c>
      <c r="EG86">
        <v>13.156667247680502</v>
      </c>
      <c r="EH86" t="s">
        <v>1955</v>
      </c>
      <c r="EI86">
        <v>0</v>
      </c>
      <c r="EJ86">
        <v>0</v>
      </c>
      <c r="EK86" s="13">
        <v>45470</v>
      </c>
      <c r="EL86" s="14">
        <v>0.75</v>
      </c>
      <c r="EM86" s="14">
        <v>-6.15</v>
      </c>
      <c r="EN86" s="14">
        <v>-0.3</v>
      </c>
      <c r="EO86" s="14">
        <v>7.7</v>
      </c>
      <c r="EP86" s="14">
        <v>-2.98</v>
      </c>
    </row>
    <row r="87" spans="1:146" ht="108">
      <c r="C87" s="6" t="str">
        <f>""&amp;CHAR(10)&amp;Basic_Fundamental_Information_Constructure(F87)&amp;CHAR(10)&amp;Basic_Fundamental_Information_Concatenate("")</f>
        <v xml:space="preserve">
市值18.468亿, 利润9884.10万; PE85.09; 平均PE17.62; 平均PEG.71, PB1.05; ROIC19.4967%; ROE23.0467%; 股利率1.6569%; 毛利44.1567%; 净利17.3333%; 上一年度营收增-1.01%, 利润增-40.1%; 当季营收增-37.29%, 利润增-84.42%; 过往5年营收增24.98%, 利润增38.32%
Income profile:
</v>
      </c>
      <c r="D87" s="5" t="s">
        <v>1488</v>
      </c>
      <c r="E87" t="s">
        <v>1489</v>
      </c>
      <c r="F87">
        <v>10.26</v>
      </c>
      <c r="G87">
        <v>2.91</v>
      </c>
      <c r="H87" t="s">
        <v>3972</v>
      </c>
      <c r="I87">
        <v>1846800000</v>
      </c>
      <c r="J87">
        <v>85.09</v>
      </c>
      <c r="K87">
        <v>1.05</v>
      </c>
      <c r="L87" t="s">
        <v>361</v>
      </c>
      <c r="M87" t="s">
        <v>67</v>
      </c>
      <c r="N87" t="s">
        <v>1778</v>
      </c>
      <c r="O87" t="s">
        <v>91</v>
      </c>
      <c r="P87">
        <v>4.3899999999999997</v>
      </c>
      <c r="Q87" t="s">
        <v>1920</v>
      </c>
      <c r="R87">
        <v>3496403</v>
      </c>
      <c r="S87">
        <v>-0.77800000000000002</v>
      </c>
      <c r="T87" t="s">
        <v>3973</v>
      </c>
      <c r="U87">
        <v>46350000</v>
      </c>
      <c r="V87">
        <v>180000000</v>
      </c>
      <c r="W87">
        <v>1.1499999999999999</v>
      </c>
      <c r="X87">
        <v>0.05</v>
      </c>
      <c r="Y87">
        <v>3.14</v>
      </c>
      <c r="Z87" t="s">
        <v>85</v>
      </c>
      <c r="AA87" t="s">
        <v>3974</v>
      </c>
      <c r="AB87" t="s">
        <v>3975</v>
      </c>
      <c r="AC87" t="s">
        <v>3976</v>
      </c>
      <c r="AD87" t="s">
        <v>19</v>
      </c>
      <c r="AE87">
        <v>-8441857</v>
      </c>
      <c r="AF87" t="s">
        <v>3977</v>
      </c>
      <c r="AG87" t="s">
        <v>3978</v>
      </c>
      <c r="AH87" t="s">
        <v>3979</v>
      </c>
      <c r="AI87" t="s">
        <v>319</v>
      </c>
      <c r="AJ87" t="s">
        <v>3980</v>
      </c>
      <c r="AK87" t="s">
        <v>3981</v>
      </c>
      <c r="AL87" t="s">
        <v>3982</v>
      </c>
      <c r="AM87" t="s">
        <v>19</v>
      </c>
      <c r="AN87">
        <v>0</v>
      </c>
      <c r="AO87" t="s">
        <v>19</v>
      </c>
      <c r="AP87" t="s">
        <v>19</v>
      </c>
      <c r="AQ87" t="s">
        <v>3983</v>
      </c>
      <c r="AR87" t="s">
        <v>19</v>
      </c>
      <c r="AS87" t="s">
        <v>22</v>
      </c>
      <c r="AT87" t="s">
        <v>19</v>
      </c>
      <c r="AU87" t="s">
        <v>3984</v>
      </c>
      <c r="AV87" t="s">
        <v>3985</v>
      </c>
      <c r="AW87" t="s">
        <v>3986</v>
      </c>
      <c r="AX87" t="s">
        <v>1711</v>
      </c>
      <c r="AY87" t="s">
        <v>1317</v>
      </c>
      <c r="AZ87" t="s">
        <v>188</v>
      </c>
      <c r="BA87" t="s">
        <v>88</v>
      </c>
      <c r="BB87" t="s">
        <v>222</v>
      </c>
      <c r="BC87" t="s">
        <v>25</v>
      </c>
      <c r="BD87" t="s">
        <v>228</v>
      </c>
      <c r="BE87" t="s">
        <v>355</v>
      </c>
      <c r="BF87" t="s">
        <v>107</v>
      </c>
      <c r="BG87" t="s">
        <v>1490</v>
      </c>
      <c r="BH87" t="s">
        <v>328</v>
      </c>
      <c r="BI87" t="s">
        <v>146</v>
      </c>
      <c r="BJ87" t="s">
        <v>1711</v>
      </c>
      <c r="BK87" t="s">
        <v>3987</v>
      </c>
      <c r="BL87" t="s">
        <v>3988</v>
      </c>
      <c r="BM87" t="s">
        <v>25</v>
      </c>
      <c r="BN87">
        <v>1.98</v>
      </c>
      <c r="BO87">
        <v>13.3</v>
      </c>
      <c r="BP87">
        <v>43.21</v>
      </c>
      <c r="BQ87">
        <v>2.5499999999999998</v>
      </c>
      <c r="BR87">
        <v>20.72</v>
      </c>
      <c r="BS87">
        <v>45.87</v>
      </c>
      <c r="BT87" t="s">
        <v>3989</v>
      </c>
      <c r="BU87" t="s">
        <v>1234</v>
      </c>
      <c r="BV87">
        <v>40.54</v>
      </c>
      <c r="BW87">
        <v>42.34</v>
      </c>
      <c r="BX87">
        <v>49.59</v>
      </c>
      <c r="BY87">
        <v>6.41</v>
      </c>
      <c r="BZ87">
        <v>20.79</v>
      </c>
      <c r="CA87">
        <v>24.8</v>
      </c>
      <c r="CB87">
        <v>-6.64</v>
      </c>
      <c r="CC87" s="8">
        <v>-12.16</v>
      </c>
      <c r="CD87" s="9" t="s">
        <v>3990</v>
      </c>
      <c r="CE87" s="8" t="s">
        <v>3991</v>
      </c>
      <c r="CF87" s="8">
        <v>-0.37288135593220328</v>
      </c>
      <c r="CG87" s="8">
        <v>-0.8442096422046963</v>
      </c>
      <c r="CH87" s="8">
        <v>-1.0075566358864307E-2</v>
      </c>
      <c r="CI87" s="8">
        <v>-0.10383747518062592</v>
      </c>
      <c r="CJ87" s="9">
        <v>0.44771242141723633</v>
      </c>
      <c r="CK87" s="9">
        <v>0.3391684889793396</v>
      </c>
      <c r="CL87" s="9">
        <v>0.57586205005645752</v>
      </c>
      <c r="CM87" s="9">
        <v>-0.40096363425254822</v>
      </c>
      <c r="CN87" s="9">
        <v>-0.25</v>
      </c>
      <c r="CO87">
        <v>0.375</v>
      </c>
      <c r="CP87">
        <v>0.30081301927566528</v>
      </c>
      <c r="CQ87">
        <v>1.8913043737411499</v>
      </c>
      <c r="CR87" s="8">
        <v>17.620988453361026</v>
      </c>
      <c r="CS87" s="9">
        <v>0.70549993183583115</v>
      </c>
      <c r="CT87">
        <v>1.6569200779727096</v>
      </c>
      <c r="CU87">
        <v>0.24976598378270864</v>
      </c>
      <c r="CV87">
        <v>0.38323075175285337</v>
      </c>
      <c r="CW87">
        <v>0.06</v>
      </c>
      <c r="CX87">
        <v>3.0874589625869402</v>
      </c>
      <c r="CY87">
        <v>116535961.88968556</v>
      </c>
      <c r="CZ87">
        <v>0.24976598378270864</v>
      </c>
      <c r="DA87">
        <v>0.88353747347032707</v>
      </c>
      <c r="DB87">
        <v>407226643.80808902</v>
      </c>
      <c r="DC87">
        <v>0.23727768459357321</v>
      </c>
      <c r="DD87">
        <v>0.36068543679147536</v>
      </c>
      <c r="DE87">
        <v>997545127.4125396</v>
      </c>
      <c r="DF87">
        <v>0.2197940657287836</v>
      </c>
      <c r="DG87">
        <v>0.17299332130222203</v>
      </c>
      <c r="DH87">
        <v>2079849079.0949297</v>
      </c>
      <c r="DI87">
        <v>0.19981278702616692</v>
      </c>
      <c r="DJ87">
        <v>5.2141830484924538E-2</v>
      </c>
      <c r="DK87">
        <v>6900409837.0506315</v>
      </c>
      <c r="DL87">
        <v>0.17483618864789605</v>
      </c>
      <c r="DM87">
        <v>98841000</v>
      </c>
      <c r="DN87">
        <v>0.24976598378270864</v>
      </c>
      <c r="DO87">
        <v>359799999.99999976</v>
      </c>
      <c r="DP87">
        <v>1583307900</v>
      </c>
      <c r="DQ87" s="10">
        <v>2755</v>
      </c>
      <c r="DR87">
        <v>-0.62264733971491193</v>
      </c>
      <c r="DS87">
        <v>-1.2274403939575498</v>
      </c>
      <c r="DT87">
        <v>-9.000000000000008E-2</v>
      </c>
      <c r="DU87">
        <v>-1.3333333333333343E-2</v>
      </c>
      <c r="DV87">
        <v>-0.10333333333333342</v>
      </c>
      <c r="DW87">
        <v>-9.5460526315789469</v>
      </c>
      <c r="DX87">
        <v>0.41909617655337772</v>
      </c>
      <c r="DY87">
        <v>-9.1414801490390154</v>
      </c>
      <c r="DZ87">
        <v>1360</v>
      </c>
      <c r="EA87">
        <v>-9.1038259410755984</v>
      </c>
      <c r="EB87" s="11">
        <v>9</v>
      </c>
      <c r="EC87">
        <v>7.875055555555556E-2</v>
      </c>
      <c r="ED87">
        <v>0.30394333333333329</v>
      </c>
      <c r="EE87">
        <v>2.3500000000000021E-2</v>
      </c>
      <c r="EF87">
        <v>1.77E-2</v>
      </c>
      <c r="EG87">
        <v>16.259096176553378</v>
      </c>
      <c r="EH87" s="13" t="s">
        <v>1261</v>
      </c>
      <c r="EI87" s="14">
        <v>0</v>
      </c>
      <c r="EJ87" s="14">
        <v>1</v>
      </c>
      <c r="EK87" s="14">
        <v>45470</v>
      </c>
      <c r="EL87" s="14">
        <v>1.77</v>
      </c>
      <c r="EM87" s="14">
        <v>-2.91</v>
      </c>
      <c r="EN87" s="14">
        <v>0.51</v>
      </c>
      <c r="EO87" s="14">
        <v>6.48</v>
      </c>
      <c r="EP87" s="14">
        <v>-0.57999999999999996</v>
      </c>
    </row>
    <row r="88" spans="1:146" ht="108">
      <c r="C88" s="6" t="str">
        <f>""&amp;CHAR(10)&amp;Basic_Fundamental_Information_Constructure(F88)&amp;CHAR(10)&amp;Basic_Fundamental_Information_Concatenate("")</f>
        <v xml:space="preserve">
市值18.6亿, 利润2.03亿; PE31.93; 平均PE23.7; 平均PEG.52, PB1.95; ROIC15.1367%; ROE12.21%; 股利率1.2903%; 毛利39.5767%; 净利15.7467%; 上一年度营收增135.57%, 利润增171.53%; 当季营收增-63.45%, 利润增-94.92%; 过往5年营收增45.61%, 利润增63.58%
Income profile:
</v>
      </c>
      <c r="D88" s="5" t="s">
        <v>1712</v>
      </c>
      <c r="E88" t="s">
        <v>1713</v>
      </c>
      <c r="F88">
        <v>31</v>
      </c>
      <c r="G88">
        <v>0.03</v>
      </c>
      <c r="H88" t="s">
        <v>3992</v>
      </c>
      <c r="I88">
        <v>1860000000</v>
      </c>
      <c r="J88">
        <v>31.93</v>
      </c>
      <c r="K88">
        <v>1.95</v>
      </c>
      <c r="L88" t="s">
        <v>361</v>
      </c>
      <c r="M88" t="s">
        <v>167</v>
      </c>
      <c r="N88" t="s">
        <v>1629</v>
      </c>
      <c r="O88" t="s">
        <v>3993</v>
      </c>
      <c r="P88">
        <v>18.91</v>
      </c>
      <c r="Q88" t="s">
        <v>1911</v>
      </c>
      <c r="R88">
        <v>1486204</v>
      </c>
      <c r="S88">
        <v>3.5830000000000002</v>
      </c>
      <c r="T88" t="s">
        <v>92</v>
      </c>
      <c r="U88">
        <v>29409000</v>
      </c>
      <c r="V88">
        <v>60000000</v>
      </c>
      <c r="W88">
        <v>1.18</v>
      </c>
      <c r="X88">
        <v>0.04</v>
      </c>
      <c r="Y88">
        <v>3.06</v>
      </c>
      <c r="Z88" t="s">
        <v>3994</v>
      </c>
      <c r="AA88" t="s">
        <v>3995</v>
      </c>
      <c r="AB88" t="s">
        <v>3996</v>
      </c>
      <c r="AC88" t="s">
        <v>3997</v>
      </c>
      <c r="AD88" t="s">
        <v>19</v>
      </c>
      <c r="AE88">
        <v>-2085350</v>
      </c>
      <c r="AF88" t="s">
        <v>3998</v>
      </c>
      <c r="AG88" t="s">
        <v>19</v>
      </c>
      <c r="AH88" t="s">
        <v>3999</v>
      </c>
      <c r="AI88" t="s">
        <v>281</v>
      </c>
      <c r="AJ88" t="s">
        <v>4000</v>
      </c>
      <c r="AK88" t="s">
        <v>4001</v>
      </c>
      <c r="AL88" t="s">
        <v>4002</v>
      </c>
      <c r="AM88" t="s">
        <v>19</v>
      </c>
      <c r="AN88" t="s">
        <v>39</v>
      </c>
      <c r="AO88" t="s">
        <v>19</v>
      </c>
      <c r="AP88" t="s">
        <v>19</v>
      </c>
      <c r="AQ88" t="s">
        <v>4003</v>
      </c>
      <c r="AR88" t="s">
        <v>19</v>
      </c>
      <c r="AS88" t="s">
        <v>25</v>
      </c>
      <c r="AT88" t="s">
        <v>19</v>
      </c>
      <c r="AU88" t="s">
        <v>2756</v>
      </c>
      <c r="AV88" t="s">
        <v>39</v>
      </c>
      <c r="AW88" t="s">
        <v>4004</v>
      </c>
      <c r="AX88" t="s">
        <v>1714</v>
      </c>
      <c r="AY88" t="s">
        <v>220</v>
      </c>
      <c r="AZ88" t="s">
        <v>1690</v>
      </c>
      <c r="BA88" t="s">
        <v>296</v>
      </c>
      <c r="BB88" t="s">
        <v>1253</v>
      </c>
      <c r="BC88" t="s">
        <v>4005</v>
      </c>
      <c r="BD88" t="s">
        <v>1715</v>
      </c>
      <c r="BE88" t="s">
        <v>1716</v>
      </c>
      <c r="BF88" t="s">
        <v>1717</v>
      </c>
      <c r="BG88" t="s">
        <v>1718</v>
      </c>
      <c r="BH88" t="s">
        <v>1686</v>
      </c>
      <c r="BI88" t="s">
        <v>38</v>
      </c>
      <c r="BJ88" t="s">
        <v>1714</v>
      </c>
      <c r="BK88" t="s">
        <v>4006</v>
      </c>
      <c r="BL88" t="s">
        <v>4007</v>
      </c>
      <c r="BM88" t="s">
        <v>4005</v>
      </c>
      <c r="BN88">
        <v>3.15</v>
      </c>
      <c r="BO88">
        <v>19.989999999999998</v>
      </c>
      <c r="BP88">
        <v>22.27</v>
      </c>
      <c r="BQ88">
        <v>3.92</v>
      </c>
      <c r="BR88">
        <v>20.5</v>
      </c>
      <c r="BS88" t="s">
        <v>19</v>
      </c>
      <c r="BT88" t="s">
        <v>4008</v>
      </c>
      <c r="BU88" t="s">
        <v>1234</v>
      </c>
      <c r="BV88">
        <v>31.59</v>
      </c>
      <c r="BW88">
        <v>41.25</v>
      </c>
      <c r="BX88">
        <v>45.89</v>
      </c>
      <c r="BY88">
        <v>10.92</v>
      </c>
      <c r="BZ88">
        <v>17.25</v>
      </c>
      <c r="CA88">
        <v>19.07</v>
      </c>
      <c r="CB88">
        <v>-6.46</v>
      </c>
      <c r="CC88" s="8">
        <v>1.54</v>
      </c>
      <c r="CD88" s="9" t="s">
        <v>4009</v>
      </c>
      <c r="CE88" s="8" t="s">
        <v>4010</v>
      </c>
      <c r="CF88" s="8">
        <v>-0.63452180451127815</v>
      </c>
      <c r="CG88" s="8">
        <v>-0.94915971100955088</v>
      </c>
      <c r="CH88" s="8">
        <v>1.3556581735610962</v>
      </c>
      <c r="CI88" s="8">
        <v>0.23011364042758942</v>
      </c>
      <c r="CJ88" s="9">
        <v>4.76190485060215E-2</v>
      </c>
      <c r="CK88" s="9">
        <v>0.18309858441352844</v>
      </c>
      <c r="CL88" s="9">
        <v>0.46391752362251282</v>
      </c>
      <c r="CM88" s="9">
        <v>1.7152540683746338</v>
      </c>
      <c r="CN88" s="9">
        <v>0.11349941045045853</v>
      </c>
      <c r="CO88">
        <v>4.3147671967744827E-2</v>
      </c>
      <c r="CP88">
        <v>0.69007539749145508</v>
      </c>
      <c r="CQ88">
        <v>0.61713176965713501</v>
      </c>
      <c r="CR88" s="8">
        <v>23.699072741925381</v>
      </c>
      <c r="CS88" s="9">
        <v>0.51962375681586326</v>
      </c>
      <c r="CT88">
        <v>1.2903225806451613</v>
      </c>
      <c r="CU88">
        <v>0.45608139410614967</v>
      </c>
      <c r="CV88">
        <v>0.6358216635882854</v>
      </c>
      <c r="CW88">
        <v>0.06</v>
      </c>
      <c r="CX88">
        <v>4.1491346960181588</v>
      </c>
      <c r="CY88">
        <v>278853323.58825314</v>
      </c>
      <c r="CZ88">
        <v>0.45608139410614967</v>
      </c>
      <c r="DA88">
        <v>1.0082994527625677</v>
      </c>
      <c r="DB88">
        <v>1147476572.3912854</v>
      </c>
      <c r="DC88">
        <v>0.43327732440084216</v>
      </c>
      <c r="DD88">
        <v>0.31997626112435268</v>
      </c>
      <c r="DE88">
        <v>3615893241.3750343</v>
      </c>
      <c r="DF88">
        <v>0.40135162681341169</v>
      </c>
      <c r="DG88">
        <v>0.11044553093643718</v>
      </c>
      <c r="DH88">
        <v>10475752076.069681</v>
      </c>
      <c r="DI88">
        <v>0.36486511528491977</v>
      </c>
      <c r="DJ88">
        <v>1.4264739501388839E-2</v>
      </c>
      <c r="DK88">
        <v>81109087192.74913</v>
      </c>
      <c r="DL88">
        <v>0.31925697587430474</v>
      </c>
      <c r="DM88">
        <v>202999999.99999997</v>
      </c>
      <c r="DN88">
        <v>0.45608139410614967</v>
      </c>
      <c r="DO88">
        <v>1157000000</v>
      </c>
      <c r="DP88">
        <v>795979980</v>
      </c>
      <c r="DQ88" s="10">
        <v>2776</v>
      </c>
      <c r="DR88">
        <v>-1.0906031986174278</v>
      </c>
      <c r="DS88">
        <v>-1.5849813745978363</v>
      </c>
      <c r="DT88">
        <v>0.25999999999999984</v>
      </c>
      <c r="DU88">
        <v>0.32666666666666661</v>
      </c>
      <c r="DV88">
        <v>0.58666666666666645</v>
      </c>
      <c r="DW88">
        <v>-5.2383900928792571</v>
      </c>
      <c r="DX88">
        <v>0.27281190139036438</v>
      </c>
      <c r="DY88">
        <v>-5.0411966452230903</v>
      </c>
      <c r="DZ88">
        <v>2228</v>
      </c>
      <c r="EA88">
        <v>-5.0232345854271907</v>
      </c>
      <c r="EB88" s="11">
        <v>5</v>
      </c>
      <c r="EC88" s="11">
        <v>0.12224166666666667</v>
      </c>
      <c r="ED88">
        <v>0.70736833333333338</v>
      </c>
      <c r="EE88">
        <v>-1.00911</v>
      </c>
      <c r="EF88">
        <v>-1.01041</v>
      </c>
      <c r="EG88">
        <v>10.172811901390364</v>
      </c>
      <c r="EH88" s="13" t="s">
        <v>1265</v>
      </c>
      <c r="EI88">
        <v>0</v>
      </c>
      <c r="EJ88">
        <v>0</v>
      </c>
      <c r="EK88">
        <v>45470</v>
      </c>
      <c r="EL88">
        <v>-1.06</v>
      </c>
      <c r="EM88">
        <v>-4.43</v>
      </c>
      <c r="EN88" s="14">
        <v>-2.58</v>
      </c>
      <c r="EO88" s="14">
        <v>3.74</v>
      </c>
      <c r="EP88" s="14">
        <v>-0.13</v>
      </c>
    </row>
    <row r="89" spans="1:146" ht="108">
      <c r="C89" s="6" t="str">
        <f>""&amp;CHAR(10)&amp;Basic_Fundamental_Information_Constructure(F89)&amp;CHAR(10)&amp;Basic_Fundamental_Information_Concatenate("")</f>
        <v xml:space="preserve">
市值23.8744亿, 利润8563.38万; PE30.78; 平均PE33.21; 平均PEG2.15, PB2.37; ROIC12.03%; ROE11.155%; 股利率1.4744%; 毛利45.0633%; 净利19.7133%; 上一年度营收增44.06%, 利润增7.65%; 当季营收增-74.46%, 利润增-93.81%; 过往5年营收增15.48%, 利润增5.14%
Income profile:
</v>
      </c>
      <c r="D89" s="5" t="s">
        <v>1719</v>
      </c>
      <c r="E89" t="s">
        <v>1720</v>
      </c>
      <c r="F89">
        <v>27.13</v>
      </c>
      <c r="G89">
        <v>-1.74</v>
      </c>
      <c r="H89" t="s">
        <v>4011</v>
      </c>
      <c r="I89">
        <v>2387440000</v>
      </c>
      <c r="J89">
        <v>30.78</v>
      </c>
      <c r="K89">
        <v>2.37</v>
      </c>
      <c r="L89" t="s">
        <v>361</v>
      </c>
      <c r="M89" t="s">
        <v>461</v>
      </c>
      <c r="N89" t="s">
        <v>3001</v>
      </c>
      <c r="O89" t="s">
        <v>4012</v>
      </c>
      <c r="P89" s="5">
        <v>-10.58</v>
      </c>
      <c r="Q89" t="s">
        <v>1742</v>
      </c>
      <c r="R89">
        <v>3418915</v>
      </c>
      <c r="S89">
        <v>-0.123</v>
      </c>
      <c r="T89" t="s">
        <v>4013</v>
      </c>
      <c r="U89">
        <v>20861481</v>
      </c>
      <c r="V89">
        <v>88000000</v>
      </c>
      <c r="W89">
        <v>1.33</v>
      </c>
      <c r="X89">
        <v>0.04</v>
      </c>
      <c r="Y89">
        <v>5.93</v>
      </c>
      <c r="Z89" t="s">
        <v>4014</v>
      </c>
      <c r="AA89" t="s">
        <v>4015</v>
      </c>
      <c r="AB89" t="s">
        <v>4016</v>
      </c>
      <c r="AC89" t="s">
        <v>4017</v>
      </c>
      <c r="AD89" t="s">
        <v>19</v>
      </c>
      <c r="AE89">
        <v>-2177092</v>
      </c>
      <c r="AF89" t="s">
        <v>4018</v>
      </c>
      <c r="AG89" t="s">
        <v>4019</v>
      </c>
      <c r="AH89" t="s">
        <v>4020</v>
      </c>
      <c r="AI89" t="s">
        <v>309</v>
      </c>
      <c r="AJ89" t="s">
        <v>4021</v>
      </c>
      <c r="AK89" t="s">
        <v>4022</v>
      </c>
      <c r="AL89" t="s">
        <v>4023</v>
      </c>
      <c r="AM89" t="s">
        <v>19</v>
      </c>
      <c r="AN89" t="s">
        <v>131</v>
      </c>
      <c r="AO89" t="s">
        <v>1976</v>
      </c>
      <c r="AP89" t="s">
        <v>19</v>
      </c>
      <c r="AQ89" t="s">
        <v>39</v>
      </c>
      <c r="AR89" t="s">
        <v>4024</v>
      </c>
      <c r="AS89" t="s">
        <v>429</v>
      </c>
      <c r="AT89" t="s">
        <v>4025</v>
      </c>
      <c r="AU89" t="s">
        <v>4026</v>
      </c>
      <c r="AV89" t="s">
        <v>4027</v>
      </c>
      <c r="AW89" t="s">
        <v>4028</v>
      </c>
      <c r="AX89" t="s">
        <v>246</v>
      </c>
      <c r="AY89" t="s">
        <v>1393</v>
      </c>
      <c r="AZ89" t="s">
        <v>78</v>
      </c>
      <c r="BA89" t="s">
        <v>1611</v>
      </c>
      <c r="BB89" t="s">
        <v>1837</v>
      </c>
      <c r="BC89" t="s">
        <v>4029</v>
      </c>
      <c r="BD89" t="s">
        <v>1721</v>
      </c>
      <c r="BE89" t="s">
        <v>1985</v>
      </c>
      <c r="BF89" t="s">
        <v>1986</v>
      </c>
      <c r="BG89" t="s">
        <v>1987</v>
      </c>
      <c r="BH89" t="s">
        <v>1643</v>
      </c>
      <c r="BI89" t="s">
        <v>184</v>
      </c>
      <c r="BJ89" t="s">
        <v>246</v>
      </c>
      <c r="BK89" t="s">
        <v>4030</v>
      </c>
      <c r="BL89" t="s">
        <v>4031</v>
      </c>
      <c r="BM89" t="s">
        <v>4029</v>
      </c>
      <c r="BN89">
        <v>2.63</v>
      </c>
      <c r="BO89">
        <v>16.190000000000001</v>
      </c>
      <c r="BP89">
        <v>17.27</v>
      </c>
      <c r="BQ89">
        <v>3.98</v>
      </c>
      <c r="BR89">
        <v>18.329999999999998</v>
      </c>
      <c r="BS89" t="s">
        <v>19</v>
      </c>
      <c r="BT89" t="s">
        <v>4008</v>
      </c>
      <c r="BU89" t="s">
        <v>1234</v>
      </c>
      <c r="BV89">
        <v>46.35</v>
      </c>
      <c r="BW89">
        <v>44.43</v>
      </c>
      <c r="BX89">
        <v>44.41</v>
      </c>
      <c r="BY89">
        <v>20.14</v>
      </c>
      <c r="BZ89">
        <v>19.84</v>
      </c>
      <c r="CA89">
        <v>19.16</v>
      </c>
      <c r="CB89">
        <v>-9.57</v>
      </c>
      <c r="CC89" s="8">
        <v>-18.04</v>
      </c>
      <c r="CD89" s="9" t="s">
        <v>4032</v>
      </c>
      <c r="CE89" s="8" t="s">
        <v>4033</v>
      </c>
      <c r="CF89" s="8">
        <v>-0.74463873873873876</v>
      </c>
      <c r="CG89" s="8">
        <v>-0.93814527086314725</v>
      </c>
      <c r="CH89" s="8">
        <v>0.44059404730796814</v>
      </c>
      <c r="CI89" s="8">
        <v>4.3927647173404694E-2</v>
      </c>
      <c r="CJ89" s="9">
        <v>0.10256410390138626</v>
      </c>
      <c r="CK89" s="9">
        <v>0.13592232763767242</v>
      </c>
      <c r="CL89" s="9">
        <v>5.1020409911870956E-2</v>
      </c>
      <c r="CM89" s="9">
        <v>7.652369886636734E-2</v>
      </c>
      <c r="CN89" s="9">
        <v>8.8531278073787689E-2</v>
      </c>
      <c r="CO89">
        <v>8.0132320523262024E-2</v>
      </c>
      <c r="CP89">
        <v>0.32501375675201416</v>
      </c>
      <c r="CQ89">
        <v>-0.31321826577186584</v>
      </c>
      <c r="CR89" s="8">
        <v>33.211127224418966</v>
      </c>
      <c r="CS89" s="9">
        <v>2.1453425605566858</v>
      </c>
      <c r="CT89">
        <v>1.4743826022852931</v>
      </c>
      <c r="CU89">
        <v>0.1548057071864605</v>
      </c>
      <c r="CV89">
        <v>5.1396557688713075E-2</v>
      </c>
      <c r="CW89">
        <v>0.06</v>
      </c>
      <c r="CX89">
        <v>18.430569419863112</v>
      </c>
      <c r="CY89">
        <v>93292831.101947084</v>
      </c>
      <c r="CZ89">
        <v>0.1548057071864605</v>
      </c>
      <c r="DA89">
        <v>5.7036690477159224</v>
      </c>
      <c r="DB89">
        <v>301462091.4389419</v>
      </c>
      <c r="DC89">
        <v>0.14706542182713747</v>
      </c>
      <c r="DD89">
        <v>2.6060369905754572</v>
      </c>
      <c r="DE89">
        <v>659791095.14493823</v>
      </c>
      <c r="DF89">
        <v>0.13622902232408524</v>
      </c>
      <c r="DG89">
        <v>1.4352555032889212</v>
      </c>
      <c r="DH89">
        <v>1198002722.2051151</v>
      </c>
      <c r="DI89">
        <v>0.12384456574916841</v>
      </c>
      <c r="DJ89">
        <v>0.60810712429340341</v>
      </c>
      <c r="DK89">
        <v>2827528130.0115037</v>
      </c>
      <c r="DL89">
        <v>0.10836399503052234</v>
      </c>
      <c r="DM89">
        <v>85633799.999999985</v>
      </c>
      <c r="DN89">
        <v>0.1548057071864605</v>
      </c>
      <c r="DO89">
        <v>1719440000</v>
      </c>
      <c r="DP89">
        <v>713128330</v>
      </c>
      <c r="DQ89" s="10">
        <v>2808</v>
      </c>
      <c r="DR89">
        <v>-0.89944444592519923</v>
      </c>
      <c r="DS89">
        <v>-0.98954182855186035</v>
      </c>
      <c r="DT89">
        <v>-0.27333333333333337</v>
      </c>
      <c r="DU89">
        <v>-0.42333333333333334</v>
      </c>
      <c r="DV89">
        <v>-0.69666666666666677</v>
      </c>
      <c r="DW89">
        <v>-9.5304878048780495</v>
      </c>
      <c r="DX89">
        <v>0.33354132354429133</v>
      </c>
      <c r="DY89">
        <v>-9.1079761899289835</v>
      </c>
      <c r="DZ89">
        <v>148</v>
      </c>
      <c r="EA89">
        <v>-9.1048488951913136</v>
      </c>
      <c r="EB89" s="11">
        <v>9</v>
      </c>
      <c r="EC89" s="11">
        <v>0.21541818181818181</v>
      </c>
      <c r="ED89">
        <v>1.0583511363636364</v>
      </c>
      <c r="EE89">
        <v>-1.0146999999999999</v>
      </c>
      <c r="EF89">
        <v>6.4800000000000024E-2</v>
      </c>
      <c r="EG89">
        <v>13.203541323544291</v>
      </c>
      <c r="EH89" s="13" t="s">
        <v>1261</v>
      </c>
      <c r="EI89">
        <v>0</v>
      </c>
      <c r="EJ89">
        <v>1</v>
      </c>
      <c r="EK89">
        <v>45470</v>
      </c>
      <c r="EL89">
        <v>-1.36</v>
      </c>
      <c r="EM89">
        <v>-5.23</v>
      </c>
      <c r="EN89" s="14">
        <v>-0.22</v>
      </c>
      <c r="EO89" s="14">
        <v>4.22</v>
      </c>
      <c r="EP89" s="14">
        <v>20.010000000000002</v>
      </c>
    </row>
    <row r="90" spans="1:146" ht="108">
      <c r="A90" s="6"/>
      <c r="B90" s="6"/>
      <c r="C90" s="6" t="str">
        <f>""&amp;CHAR(10)&amp;Basic_Fundamental_Information_Constructure(F90)&amp;CHAR(10)&amp;Basic_Fundamental_Information_Concatenate("")</f>
        <v xml:space="preserve">
市值678.72854亿, 利润120.67亿; PE8.46; 平均PE5.83; 平均PEG.08, PB1.45; ROIC10.76%; ROE22.2367%; 股利率6.6367%; 毛利17.11%; 净利7.6567%; 上一年度营收增156.62%, 利润增7.63%; 当季营收增-44.67%, 利润增-35.44%; 过往5年营收增70.28%, 利润增7.63%
Income profile:
</v>
      </c>
      <c r="D90" t="s">
        <v>826</v>
      </c>
      <c r="E90" t="s">
        <v>827</v>
      </c>
      <c r="F90">
        <v>7.79</v>
      </c>
      <c r="G90">
        <v>0.13</v>
      </c>
      <c r="H90" t="s">
        <v>4034</v>
      </c>
      <c r="I90">
        <v>67872854000</v>
      </c>
      <c r="J90">
        <v>8.4600000000000009</v>
      </c>
      <c r="K90">
        <v>1.45</v>
      </c>
      <c r="L90" t="s">
        <v>361</v>
      </c>
      <c r="M90" t="s">
        <v>4035</v>
      </c>
      <c r="N90" t="s">
        <v>4036</v>
      </c>
      <c r="O90" t="s">
        <v>4037</v>
      </c>
      <c r="P90">
        <v>-28.44</v>
      </c>
      <c r="Q90" t="s">
        <v>4038</v>
      </c>
      <c r="R90">
        <v>1756748400</v>
      </c>
      <c r="S90" s="5">
        <v>-0.35730000000000001</v>
      </c>
      <c r="T90" t="s">
        <v>4039</v>
      </c>
      <c r="U90">
        <v>6679602600</v>
      </c>
      <c r="V90">
        <v>8712818200</v>
      </c>
      <c r="W90">
        <v>4.51</v>
      </c>
      <c r="X90" t="s">
        <v>19</v>
      </c>
      <c r="Y90">
        <v>8.08</v>
      </c>
      <c r="Z90" t="s">
        <v>19</v>
      </c>
      <c r="AA90" t="s">
        <v>19</v>
      </c>
      <c r="AB90" t="s">
        <v>19</v>
      </c>
      <c r="AC90" t="s">
        <v>19</v>
      </c>
      <c r="AD90" t="s">
        <v>19</v>
      </c>
      <c r="AE90">
        <v>719398040</v>
      </c>
      <c r="AF90" t="s">
        <v>4040</v>
      </c>
      <c r="AG90" t="s">
        <v>4041</v>
      </c>
      <c r="AH90" t="s">
        <v>4042</v>
      </c>
      <c r="AI90" t="s">
        <v>4043</v>
      </c>
      <c r="AJ90" t="s">
        <v>4044</v>
      </c>
      <c r="AK90" t="s">
        <v>19</v>
      </c>
      <c r="AL90" t="s">
        <v>4045</v>
      </c>
      <c r="AM90" t="s">
        <v>19</v>
      </c>
      <c r="AN90" t="s">
        <v>4046</v>
      </c>
      <c r="AO90" t="s">
        <v>19</v>
      </c>
      <c r="AP90" t="s">
        <v>1452</v>
      </c>
      <c r="AQ90" t="s">
        <v>4047</v>
      </c>
      <c r="AR90" t="s">
        <v>19</v>
      </c>
      <c r="AS90" t="s">
        <v>19</v>
      </c>
      <c r="AT90" t="s">
        <v>19</v>
      </c>
      <c r="AU90" t="s">
        <v>4048</v>
      </c>
      <c r="AV90" t="s">
        <v>2606</v>
      </c>
      <c r="AW90" t="s">
        <v>1809</v>
      </c>
      <c r="AX90" t="s">
        <v>1722</v>
      </c>
      <c r="AY90" t="s">
        <v>19</v>
      </c>
      <c r="AZ90" t="s">
        <v>1188</v>
      </c>
      <c r="BA90" t="s">
        <v>828</v>
      </c>
      <c r="BB90" t="s">
        <v>829</v>
      </c>
      <c r="BC90" t="s">
        <v>4049</v>
      </c>
      <c r="BD90" t="s">
        <v>19</v>
      </c>
      <c r="BE90" t="s">
        <v>19</v>
      </c>
      <c r="BF90" t="s">
        <v>19</v>
      </c>
      <c r="BG90" t="s">
        <v>19</v>
      </c>
      <c r="BH90" t="s">
        <v>4050</v>
      </c>
      <c r="BI90" t="s">
        <v>4051</v>
      </c>
      <c r="BJ90" t="s">
        <v>1722</v>
      </c>
      <c r="BK90" t="s">
        <v>4052</v>
      </c>
      <c r="BL90" t="s">
        <v>4053</v>
      </c>
      <c r="BM90" t="s">
        <v>4049</v>
      </c>
      <c r="BN90">
        <v>8.44</v>
      </c>
      <c r="BO90">
        <v>14.2</v>
      </c>
      <c r="BP90">
        <v>9.64</v>
      </c>
      <c r="BQ90">
        <v>17.57</v>
      </c>
      <c r="BR90">
        <v>26.78</v>
      </c>
      <c r="BS90">
        <v>22.36</v>
      </c>
      <c r="BT90" t="s">
        <v>4054</v>
      </c>
      <c r="BU90" t="s">
        <v>1342</v>
      </c>
      <c r="BV90">
        <v>18.14</v>
      </c>
      <c r="BW90">
        <v>17.05</v>
      </c>
      <c r="BX90">
        <v>16.14</v>
      </c>
      <c r="BY90">
        <v>7.86</v>
      </c>
      <c r="BZ90">
        <v>8.41</v>
      </c>
      <c r="CA90">
        <v>6.7</v>
      </c>
      <c r="CB90">
        <v>-1.27</v>
      </c>
      <c r="CC90">
        <v>2.37</v>
      </c>
      <c r="CD90" t="s">
        <v>4055</v>
      </c>
      <c r="CE90" t="s">
        <v>710</v>
      </c>
      <c r="CF90" s="8">
        <v>-0.44674141555711283</v>
      </c>
      <c r="CG90" s="9">
        <v>-0.35437398015435501</v>
      </c>
      <c r="CH90" s="8">
        <v>1.5662260055541992</v>
      </c>
      <c r="CI90" s="8" t="s">
        <v>19</v>
      </c>
      <c r="CJ90" s="8" t="s">
        <v>19</v>
      </c>
      <c r="CK90" s="8">
        <v>0.224561408162117</v>
      </c>
      <c r="CL90" s="8">
        <v>0.31749910116195679</v>
      </c>
      <c r="CM90" s="9">
        <v>7.6257586479187012E-2</v>
      </c>
      <c r="CN90" s="9" t="s">
        <v>19</v>
      </c>
      <c r="CO90" s="9" t="s">
        <v>19</v>
      </c>
      <c r="CP90" s="9" t="s">
        <v>19</v>
      </c>
      <c r="CQ90" s="9" t="s">
        <v>19</v>
      </c>
      <c r="CR90">
        <v>5.8312516860689891</v>
      </c>
      <c r="CS90">
        <v>8.2976174892514604E-2</v>
      </c>
      <c r="CT90">
        <v>6.6367137355584083</v>
      </c>
      <c r="CU90" s="8">
        <v>0.702762171626091</v>
      </c>
      <c r="CV90" s="9">
        <v>7.6257586479187012E-2</v>
      </c>
      <c r="CW90">
        <v>0.06</v>
      </c>
      <c r="CX90">
        <v>10.5983771689273</v>
      </c>
      <c r="CY90">
        <v>19384180306.615131</v>
      </c>
      <c r="CZ90">
        <v>0.702762171626091</v>
      </c>
      <c r="DA90">
        <v>2.1436380697529671</v>
      </c>
      <c r="DB90">
        <v>95837472238.807098</v>
      </c>
      <c r="DC90">
        <v>0.66762406304478639</v>
      </c>
      <c r="DD90">
        <v>0.50343453815933381</v>
      </c>
      <c r="DE90">
        <v>408078585055.24164</v>
      </c>
      <c r="DF90">
        <v>0.61843071103096003</v>
      </c>
      <c r="DG90">
        <v>0.11560492451054262</v>
      </c>
      <c r="DH90">
        <v>1777094313843.5662</v>
      </c>
      <c r="DI90">
        <v>0.56220973730087287</v>
      </c>
      <c r="DJ90">
        <v>5.3009001658649657E-3</v>
      </c>
      <c r="DK90">
        <v>38755842889276.055</v>
      </c>
      <c r="DL90">
        <v>0.49193352013826369</v>
      </c>
      <c r="DM90">
        <v>12067000000</v>
      </c>
      <c r="DN90">
        <v>0.702762171626091</v>
      </c>
      <c r="DO90">
        <v>205440854000</v>
      </c>
      <c r="DP90">
        <v>141514150000</v>
      </c>
      <c r="DQ90">
        <v>2877</v>
      </c>
      <c r="DR90">
        <v>-1.1495035871832038</v>
      </c>
      <c r="DS90">
        <v>-0.43063156663354202</v>
      </c>
      <c r="DT90" s="10">
        <v>-0.16000000000000003</v>
      </c>
      <c r="DU90">
        <v>-0.66</v>
      </c>
      <c r="DV90">
        <v>-0.82000000000000006</v>
      </c>
      <c r="DW90">
        <v>2.3700000000000002E-2</v>
      </c>
      <c r="DX90">
        <v>0.32226886657101783</v>
      </c>
      <c r="DY90">
        <v>2.6607721377331426E-3</v>
      </c>
      <c r="DZ90">
        <v>1390</v>
      </c>
      <c r="EA90">
        <v>1.9370004603458493E-3</v>
      </c>
      <c r="EB90">
        <v>0</v>
      </c>
      <c r="EC90">
        <v>8.9811813128385948E-3</v>
      </c>
      <c r="ED90">
        <v>7.9997078327652932E-2</v>
      </c>
      <c r="EE90" s="11">
        <v>0.12151000000000001</v>
      </c>
      <c r="EF90">
        <v>0.13311000000000001</v>
      </c>
      <c r="EG90">
        <v>21.112268866571018</v>
      </c>
      <c r="EH90">
        <v>-1</v>
      </c>
      <c r="EI90">
        <v>0</v>
      </c>
      <c r="EJ90">
        <v>1</v>
      </c>
      <c r="EK90" s="13">
        <v>45470</v>
      </c>
      <c r="EL90" s="14">
        <v>0.75</v>
      </c>
      <c r="EM90" s="14">
        <v>0.47</v>
      </c>
      <c r="EN90" s="14">
        <v>-1.43</v>
      </c>
      <c r="EO90" s="14">
        <v>0.92</v>
      </c>
      <c r="EP90" s="14">
        <v>-1.1599999999999999</v>
      </c>
    </row>
    <row r="91" spans="1:146" ht="108">
      <c r="A91" s="6"/>
      <c r="B91" s="6"/>
      <c r="C91" s="6" t="str">
        <f>""&amp;CHAR(10)&amp;Basic_Fundamental_Information_Constructure(F91)&amp;CHAR(10)&amp;Basic_Fundamental_Information_Concatenate("")</f>
        <v xml:space="preserve">
市值105.131252亿, 利润-4666.13万; PE9.99; 平均PE39.5; 平均PEG1.85, PB1.23; ROIC3.4967%; ROE6.9767%; 股利率1.5213%; 毛利12.9033%; 净利6.6333%; 上一年度营收增-84.86%, 利润增-108.06%; 当季营收增-32.07%, 利润增524.47%; 过往5年营收增-21.34%, 利润增-108.06%
Income profile:
</v>
      </c>
      <c r="D91" t="s">
        <v>831</v>
      </c>
      <c r="E91" t="s">
        <v>832</v>
      </c>
      <c r="F91">
        <v>9.86</v>
      </c>
      <c r="G91">
        <v>1.44</v>
      </c>
      <c r="H91" t="s">
        <v>4056</v>
      </c>
      <c r="I91">
        <v>10513125200</v>
      </c>
      <c r="J91">
        <v>9.99</v>
      </c>
      <c r="K91">
        <v>1.23</v>
      </c>
      <c r="L91" t="s">
        <v>361</v>
      </c>
      <c r="M91" t="s">
        <v>4057</v>
      </c>
      <c r="N91" t="s">
        <v>4058</v>
      </c>
      <c r="O91" t="s">
        <v>4059</v>
      </c>
      <c r="P91">
        <v>-87.57</v>
      </c>
      <c r="Q91" t="s">
        <v>2051</v>
      </c>
      <c r="R91">
        <v>34722520</v>
      </c>
      <c r="S91" s="5">
        <v>-0.438</v>
      </c>
      <c r="T91" t="s">
        <v>4060</v>
      </c>
      <c r="U91">
        <v>1066239880</v>
      </c>
      <c r="V91">
        <v>1066239880</v>
      </c>
      <c r="W91">
        <v>1.86</v>
      </c>
      <c r="X91" t="s">
        <v>19</v>
      </c>
      <c r="Y91">
        <v>9.59</v>
      </c>
      <c r="Z91" t="s">
        <v>19</v>
      </c>
      <c r="AA91" t="s">
        <v>19</v>
      </c>
      <c r="AB91" t="s">
        <v>19</v>
      </c>
      <c r="AC91" t="s">
        <v>19</v>
      </c>
      <c r="AD91" t="s">
        <v>19</v>
      </c>
      <c r="AE91">
        <v>10838264</v>
      </c>
      <c r="AF91" t="s">
        <v>4061</v>
      </c>
      <c r="AG91" t="s">
        <v>4062</v>
      </c>
      <c r="AH91" t="s">
        <v>4063</v>
      </c>
      <c r="AI91" t="s">
        <v>4064</v>
      </c>
      <c r="AJ91" t="s">
        <v>4065</v>
      </c>
      <c r="AK91" t="s">
        <v>19</v>
      </c>
      <c r="AL91" t="s">
        <v>4066</v>
      </c>
      <c r="AM91" t="s">
        <v>19</v>
      </c>
      <c r="AN91" t="s">
        <v>4067</v>
      </c>
      <c r="AO91" t="s">
        <v>19</v>
      </c>
      <c r="AP91" t="s">
        <v>1961</v>
      </c>
      <c r="AQ91" t="s">
        <v>4068</v>
      </c>
      <c r="AR91" t="s">
        <v>4069</v>
      </c>
      <c r="AS91" t="s">
        <v>19</v>
      </c>
      <c r="AT91" t="s">
        <v>19</v>
      </c>
      <c r="AU91" t="s">
        <v>4070</v>
      </c>
      <c r="AV91" t="s">
        <v>423</v>
      </c>
      <c r="AW91" t="s">
        <v>3317</v>
      </c>
      <c r="AX91" t="s">
        <v>1724</v>
      </c>
      <c r="AY91" t="s">
        <v>19</v>
      </c>
      <c r="AZ91" t="s">
        <v>833</v>
      </c>
      <c r="BA91" t="s">
        <v>448</v>
      </c>
      <c r="BB91" t="s">
        <v>834</v>
      </c>
      <c r="BC91" t="s">
        <v>1195</v>
      </c>
      <c r="BD91" t="s">
        <v>19</v>
      </c>
      <c r="BE91" t="s">
        <v>19</v>
      </c>
      <c r="BF91" t="s">
        <v>19</v>
      </c>
      <c r="BG91" t="s">
        <v>19</v>
      </c>
      <c r="BH91" t="s">
        <v>4071</v>
      </c>
      <c r="BI91" t="s">
        <v>1421</v>
      </c>
      <c r="BJ91" t="s">
        <v>1724</v>
      </c>
      <c r="BK91" t="s">
        <v>4072</v>
      </c>
      <c r="BL91" t="s">
        <v>4073</v>
      </c>
      <c r="BM91" t="s">
        <v>1195</v>
      </c>
      <c r="BN91">
        <v>1.85</v>
      </c>
      <c r="BO91">
        <v>3.73</v>
      </c>
      <c r="BP91">
        <v>4.91</v>
      </c>
      <c r="BQ91">
        <v>3.11</v>
      </c>
      <c r="BR91">
        <v>8.66</v>
      </c>
      <c r="BS91">
        <v>9.16</v>
      </c>
      <c r="BT91" t="s">
        <v>1573</v>
      </c>
      <c r="BU91" t="s">
        <v>1342</v>
      </c>
      <c r="BV91">
        <v>12.31</v>
      </c>
      <c r="BW91">
        <v>12.61</v>
      </c>
      <c r="BX91">
        <v>13.79</v>
      </c>
      <c r="BY91">
        <v>9.09</v>
      </c>
      <c r="BZ91">
        <v>5.0199999999999996</v>
      </c>
      <c r="CA91">
        <v>5.79</v>
      </c>
      <c r="CB91">
        <v>-5.56</v>
      </c>
      <c r="CC91">
        <v>-3.43</v>
      </c>
      <c r="CD91" t="s">
        <v>51</v>
      </c>
      <c r="CE91" t="s">
        <v>350</v>
      </c>
      <c r="CF91" s="8">
        <v>-0.32065217391304346</v>
      </c>
      <c r="CG91" s="9">
        <v>5.2447206086002556</v>
      </c>
      <c r="CH91" s="8">
        <v>-0.84856289625167847</v>
      </c>
      <c r="CI91" s="8" t="s">
        <v>19</v>
      </c>
      <c r="CJ91" s="8" t="s">
        <v>19</v>
      </c>
      <c r="CK91" s="8">
        <v>0.12427043914794922</v>
      </c>
      <c r="CL91" s="8">
        <v>8.3975538611412048E-2</v>
      </c>
      <c r="CM91" s="9">
        <v>-1.0805895328521729</v>
      </c>
      <c r="CN91" s="9" t="s">
        <v>19</v>
      </c>
      <c r="CO91" s="9" t="s">
        <v>19</v>
      </c>
      <c r="CP91" s="9" t="s">
        <v>19</v>
      </c>
      <c r="CQ91" s="9" t="s">
        <v>19</v>
      </c>
      <c r="CR91">
        <v>39.497880578661665</v>
      </c>
      <c r="CS91">
        <v>1.8505467888461975</v>
      </c>
      <c r="CT91">
        <v>1.5212981744421907</v>
      </c>
      <c r="CU91" s="8">
        <v>-0.2134389728307724</v>
      </c>
      <c r="CV91" s="9">
        <v>-1.0805895328521729</v>
      </c>
      <c r="CW91">
        <v>0.06</v>
      </c>
      <c r="CX91" t="e">
        <v>#VALUE!</v>
      </c>
      <c r="CY91" t="s">
        <v>1249</v>
      </c>
      <c r="CZ91">
        <v>-0.2134389728307724</v>
      </c>
      <c r="DA91" t="e">
        <v>#VALUE!</v>
      </c>
      <c r="DB91" t="s">
        <v>1249</v>
      </c>
      <c r="DC91">
        <v>-0.20276702418923376</v>
      </c>
      <c r="DD91" t="e">
        <v>#VALUE!</v>
      </c>
      <c r="DE91" t="s">
        <v>1249</v>
      </c>
      <c r="DF91">
        <v>-0.1878262960910797</v>
      </c>
      <c r="DG91" t="e">
        <v>#VALUE!</v>
      </c>
      <c r="DH91" t="s">
        <v>1249</v>
      </c>
      <c r="DI91">
        <v>-0.17075117826461794</v>
      </c>
      <c r="DJ91" t="e">
        <v>#VALUE!</v>
      </c>
      <c r="DK91" t="s">
        <v>1249</v>
      </c>
      <c r="DL91">
        <v>-0.14940728098154066</v>
      </c>
      <c r="DM91">
        <v>-46661300</v>
      </c>
      <c r="DN91">
        <v>-0.2134389728307724</v>
      </c>
      <c r="DO91">
        <v>9911125200</v>
      </c>
      <c r="DP91">
        <v>10105437000</v>
      </c>
      <c r="DQ91">
        <v>2948</v>
      </c>
      <c r="DR91">
        <v>-0.10721320108227106</v>
      </c>
      <c r="DS91">
        <v>6.3253101414524284</v>
      </c>
      <c r="DT91" s="10">
        <v>-1.1599999999999999</v>
      </c>
      <c r="DU91">
        <v>-3.57</v>
      </c>
      <c r="DV91">
        <v>-4.7299999999999995</v>
      </c>
      <c r="DW91">
        <v>-4.6169064748201443</v>
      </c>
      <c r="DX91">
        <v>0.31205186020292974</v>
      </c>
      <c r="DY91">
        <v>-4.0876327123194338</v>
      </c>
      <c r="DZ91">
        <v>547</v>
      </c>
      <c r="EA91">
        <v>-4.0782520677717367</v>
      </c>
      <c r="EB91">
        <v>4</v>
      </c>
      <c r="EC91">
        <v>0.11817228220726465</v>
      </c>
      <c r="ED91">
        <v>0.83189535172891849</v>
      </c>
      <c r="EE91" s="11">
        <v>-2.06521</v>
      </c>
      <c r="EF91">
        <v>-2.0846100000000001</v>
      </c>
      <c r="EG91">
        <v>17.14205186020293</v>
      </c>
      <c r="EH91" t="s">
        <v>1295</v>
      </c>
      <c r="EI91">
        <v>0</v>
      </c>
      <c r="EJ91">
        <v>1</v>
      </c>
      <c r="EK91" s="13">
        <v>45470</v>
      </c>
      <c r="EL91" s="14">
        <v>-2.19</v>
      </c>
      <c r="EM91" s="14">
        <v>2.0299999999999998</v>
      </c>
      <c r="EN91" s="14">
        <v>0.27</v>
      </c>
      <c r="EO91" s="14">
        <v>1.18</v>
      </c>
      <c r="EP91" s="14">
        <v>-1.94</v>
      </c>
    </row>
    <row r="92" spans="1:146" ht="108">
      <c r="A92" s="6"/>
      <c r="B92" s="6"/>
      <c r="C92" s="6" t="str">
        <f>""&amp;CHAR(10)&amp;Basic_Fundamental_Information_Constructure(F92)&amp;CHAR(10)&amp;Basic_Fundamental_Information_Concatenate("")</f>
        <v xml:space="preserve">
市值191.0477亿, 利润-6021.98万; PE12; 平均PE29.49; 平均PEG1.34, PB.624; ROIC3.0033%; ROE5.7733%; 股利率2.7907%; 毛利9.1133%; 净利.8567%; 上一年度营收增-99.25%, 利润增-104.44%; 当季营收增18820.76%, 利润增784.5%; 过往5年营收增-22.06%, 利润增-104.44%
Income profile:
</v>
      </c>
      <c r="D92" t="s">
        <v>836</v>
      </c>
      <c r="E92" t="s">
        <v>837</v>
      </c>
      <c r="F92">
        <v>2.15</v>
      </c>
      <c r="G92">
        <v>-0.46</v>
      </c>
      <c r="H92" t="s">
        <v>4074</v>
      </c>
      <c r="I92">
        <v>19104770000</v>
      </c>
      <c r="J92">
        <v>12</v>
      </c>
      <c r="K92">
        <v>0.624</v>
      </c>
      <c r="L92" t="s">
        <v>361</v>
      </c>
      <c r="M92" t="s">
        <v>4075</v>
      </c>
      <c r="N92" t="s">
        <v>4076</v>
      </c>
      <c r="O92" t="s">
        <v>4077</v>
      </c>
      <c r="P92">
        <v>12.89</v>
      </c>
      <c r="Q92" t="s">
        <v>4078</v>
      </c>
      <c r="R92">
        <v>290347120</v>
      </c>
      <c r="S92" s="5">
        <v>0.13350000000000001</v>
      </c>
      <c r="T92" t="s">
        <v>4079</v>
      </c>
      <c r="U92">
        <v>8885939700</v>
      </c>
      <c r="V92">
        <v>8885939700</v>
      </c>
      <c r="W92">
        <v>6.32</v>
      </c>
      <c r="X92" t="s">
        <v>19</v>
      </c>
      <c r="Y92">
        <v>0.44</v>
      </c>
      <c r="Z92" t="s">
        <v>19</v>
      </c>
      <c r="AA92" t="s">
        <v>19</v>
      </c>
      <c r="AB92" t="s">
        <v>19</v>
      </c>
      <c r="AC92" t="s">
        <v>19</v>
      </c>
      <c r="AD92" t="s">
        <v>19</v>
      </c>
      <c r="AE92">
        <v>533410260</v>
      </c>
      <c r="AF92" t="s">
        <v>4080</v>
      </c>
      <c r="AG92" t="s">
        <v>4081</v>
      </c>
      <c r="AH92" t="s">
        <v>4082</v>
      </c>
      <c r="AI92" t="s">
        <v>4083</v>
      </c>
      <c r="AJ92" t="s">
        <v>4084</v>
      </c>
      <c r="AK92" t="s">
        <v>19</v>
      </c>
      <c r="AL92" t="s">
        <v>4085</v>
      </c>
      <c r="AM92" t="s">
        <v>19</v>
      </c>
      <c r="AN92" t="s">
        <v>1710</v>
      </c>
      <c r="AO92" t="s">
        <v>19</v>
      </c>
      <c r="AP92" t="s">
        <v>4086</v>
      </c>
      <c r="AQ92" t="s">
        <v>4087</v>
      </c>
      <c r="AR92" t="s">
        <v>31</v>
      </c>
      <c r="AS92" t="s">
        <v>19</v>
      </c>
      <c r="AT92" t="s">
        <v>19</v>
      </c>
      <c r="AU92" t="s">
        <v>4088</v>
      </c>
      <c r="AV92" t="s">
        <v>4089</v>
      </c>
      <c r="AW92" t="s">
        <v>4090</v>
      </c>
      <c r="AX92" t="s">
        <v>1725</v>
      </c>
      <c r="AY92" t="s">
        <v>19</v>
      </c>
      <c r="AZ92" t="s">
        <v>838</v>
      </c>
      <c r="BA92" t="s">
        <v>840</v>
      </c>
      <c r="BB92" t="s">
        <v>841</v>
      </c>
      <c r="BC92" t="s">
        <v>1603</v>
      </c>
      <c r="BD92" t="s">
        <v>19</v>
      </c>
      <c r="BE92" t="s">
        <v>19</v>
      </c>
      <c r="BF92" t="s">
        <v>19</v>
      </c>
      <c r="BG92" t="s">
        <v>19</v>
      </c>
      <c r="BH92" t="s">
        <v>4091</v>
      </c>
      <c r="BI92" t="s">
        <v>1469</v>
      </c>
      <c r="BJ92" t="s">
        <v>1725</v>
      </c>
      <c r="BK92" t="s">
        <v>2405</v>
      </c>
      <c r="BL92" t="s">
        <v>4092</v>
      </c>
      <c r="BM92" t="s">
        <v>1603</v>
      </c>
      <c r="BN92">
        <v>1.82</v>
      </c>
      <c r="BO92">
        <v>2.72</v>
      </c>
      <c r="BP92">
        <v>4.47</v>
      </c>
      <c r="BQ92">
        <v>3.37</v>
      </c>
      <c r="BR92">
        <v>2.86</v>
      </c>
      <c r="BS92">
        <v>11.09</v>
      </c>
      <c r="BT92" t="s">
        <v>1583</v>
      </c>
      <c r="BU92" t="s">
        <v>1344</v>
      </c>
      <c r="BV92">
        <v>8.8699999999999992</v>
      </c>
      <c r="BW92">
        <v>9.0399999999999991</v>
      </c>
      <c r="BX92">
        <v>9.43</v>
      </c>
      <c r="BY92">
        <v>0.54</v>
      </c>
      <c r="BZ92">
        <v>0.59</v>
      </c>
      <c r="CA92">
        <v>1.44</v>
      </c>
      <c r="CB92">
        <v>0</v>
      </c>
      <c r="CC92">
        <v>-7.73</v>
      </c>
      <c r="CD92" t="s">
        <v>157</v>
      </c>
      <c r="CE92" t="s">
        <v>1887</v>
      </c>
      <c r="CF92" s="8">
        <v>188.20759493670886</v>
      </c>
      <c r="CG92" s="9">
        <v>7.8449541983105009</v>
      </c>
      <c r="CH92" s="8">
        <v>-0.99252897500991821</v>
      </c>
      <c r="CI92" s="8" t="s">
        <v>19</v>
      </c>
      <c r="CJ92" s="8" t="s">
        <v>19</v>
      </c>
      <c r="CK92" s="8">
        <v>0.12569525837898254</v>
      </c>
      <c r="CL92" s="8">
        <v>0.20493593811988831</v>
      </c>
      <c r="CM92" s="9">
        <v>-1.0444098711013794</v>
      </c>
      <c r="CN92" s="9" t="s">
        <v>19</v>
      </c>
      <c r="CO92" s="9" t="s">
        <v>19</v>
      </c>
      <c r="CP92" s="9" t="s">
        <v>19</v>
      </c>
      <c r="CQ92" s="9" t="s">
        <v>19</v>
      </c>
      <c r="CR92">
        <v>29.487670825653918</v>
      </c>
      <c r="CS92">
        <v>1.3365056561446864</v>
      </c>
      <c r="CT92">
        <v>2.7906976744186047</v>
      </c>
      <c r="CU92" s="8">
        <v>-0.22063259283701578</v>
      </c>
      <c r="CV92" s="9">
        <v>-1.0444098711013794</v>
      </c>
      <c r="CW92">
        <v>0.06</v>
      </c>
      <c r="CX92" t="e">
        <v>#VALUE!</v>
      </c>
      <c r="CY92" t="s">
        <v>1249</v>
      </c>
      <c r="CZ92">
        <v>-0.22063259283701578</v>
      </c>
      <c r="DA92" t="e">
        <v>#VALUE!</v>
      </c>
      <c r="DB92" t="s">
        <v>1249</v>
      </c>
      <c r="DC92">
        <v>-0.20960096319516497</v>
      </c>
      <c r="DD92" t="e">
        <v>#VALUE!</v>
      </c>
      <c r="DE92" t="s">
        <v>1249</v>
      </c>
      <c r="DF92">
        <v>-0.19415668169657388</v>
      </c>
      <c r="DG92" t="e">
        <v>#VALUE!</v>
      </c>
      <c r="DH92" t="s">
        <v>1249</v>
      </c>
      <c r="DI92">
        <v>-0.17650607426961262</v>
      </c>
      <c r="DJ92" t="e">
        <v>#VALUE!</v>
      </c>
      <c r="DK92" t="s">
        <v>1249</v>
      </c>
      <c r="DL92">
        <v>-0.15444281498591103</v>
      </c>
      <c r="DM92">
        <v>-60219799.999999993</v>
      </c>
      <c r="DN92">
        <v>-0.22063259283701578</v>
      </c>
      <c r="DO92">
        <v>294585770000</v>
      </c>
      <c r="DP92">
        <v>255296480000</v>
      </c>
      <c r="DQ92">
        <v>2975</v>
      </c>
      <c r="DR92">
        <v>188.42822752954586</v>
      </c>
      <c r="DS92">
        <v>8.8893640694118794</v>
      </c>
      <c r="DT92" s="10">
        <v>-1.1599999999999999</v>
      </c>
      <c r="DU92">
        <v>-3.57</v>
      </c>
      <c r="DV92">
        <v>-4.7299999999999995</v>
      </c>
      <c r="DW92">
        <v>-2.0773000000000001</v>
      </c>
      <c r="DX92">
        <v>0.28899336452346336</v>
      </c>
      <c r="DY92">
        <v>-2.0099711870776638</v>
      </c>
      <c r="DZ92">
        <v>3008</v>
      </c>
      <c r="EA92">
        <v>-2.0041016507313598</v>
      </c>
      <c r="EB92">
        <v>2</v>
      </c>
      <c r="EC92">
        <v>2.4082990344847826E-2</v>
      </c>
      <c r="ED92">
        <v>0.18669944384160067</v>
      </c>
      <c r="EE92" s="11">
        <v>-1.0697000000000001</v>
      </c>
      <c r="EF92">
        <v>-1.0427999999999999</v>
      </c>
      <c r="EG92">
        <v>16.128993364523463</v>
      </c>
      <c r="EH92" t="s">
        <v>1250</v>
      </c>
      <c r="EI92">
        <v>0</v>
      </c>
      <c r="EJ92">
        <v>0</v>
      </c>
      <c r="EK92" s="13">
        <v>45470</v>
      </c>
      <c r="EL92" s="14">
        <v>0.54</v>
      </c>
      <c r="EM92" s="14">
        <v>-2.67</v>
      </c>
      <c r="EN92" s="14">
        <v>0.55000000000000004</v>
      </c>
      <c r="EO92" s="14">
        <v>1.64</v>
      </c>
      <c r="EP92" s="14">
        <v>-2.69</v>
      </c>
    </row>
    <row r="93" spans="1:146" ht="108">
      <c r="A93" s="6"/>
      <c r="B93" s="6"/>
      <c r="C93" s="6" t="str">
        <f>""&amp;CHAR(10)&amp;Basic_Fundamental_Information_Constructure(F93)&amp;CHAR(10)&amp;Basic_Fundamental_Information_Concatenate("")</f>
        <v xml:space="preserve">
市值14.845518亿, 利润4.03亿; PE; 平均PE7.26; 平均PEG.01, PB4.96; ROIC4.315%; ROE2.04%; 股利率0%; 毛利13.2733%; 净利-3.7167%; 上一年度营收增1947.73%, 利润增6374.1%; 当季营收增-98.93%, 利润增-98.22%; 过往5年营收增731.77%, 利润增6374.1%
Income profile:
</v>
      </c>
      <c r="D93" t="s">
        <v>842</v>
      </c>
      <c r="E93" t="s">
        <v>843</v>
      </c>
      <c r="F93">
        <v>3.49</v>
      </c>
      <c r="G93">
        <v>2.0499999999999998</v>
      </c>
      <c r="H93" t="s">
        <v>4093</v>
      </c>
      <c r="I93">
        <v>1484551800</v>
      </c>
      <c r="K93">
        <v>4.96</v>
      </c>
      <c r="L93" t="s">
        <v>361</v>
      </c>
      <c r="M93" t="s">
        <v>1411</v>
      </c>
      <c r="N93" t="s">
        <v>1184</v>
      </c>
      <c r="O93" t="s">
        <v>4094</v>
      </c>
      <c r="P93">
        <v>-61.41</v>
      </c>
      <c r="Q93" t="s">
        <v>4095</v>
      </c>
      <c r="R93">
        <v>2497689</v>
      </c>
      <c r="S93" s="5">
        <v>0.58440000000000003</v>
      </c>
      <c r="T93" t="s">
        <v>170</v>
      </c>
      <c r="U93">
        <v>425373000</v>
      </c>
      <c r="V93">
        <v>425373000</v>
      </c>
      <c r="W93">
        <v>2.2000000000000002</v>
      </c>
      <c r="X93" t="s">
        <v>19</v>
      </c>
      <c r="Y93">
        <v>21.89</v>
      </c>
      <c r="Z93" t="s">
        <v>19</v>
      </c>
      <c r="AA93" t="s">
        <v>19</v>
      </c>
      <c r="AB93" t="s">
        <v>19</v>
      </c>
      <c r="AC93" t="s">
        <v>19</v>
      </c>
      <c r="AD93" t="s">
        <v>19</v>
      </c>
      <c r="AE93">
        <v>459901</v>
      </c>
      <c r="AF93" t="s">
        <v>4096</v>
      </c>
      <c r="AG93">
        <v>1.37</v>
      </c>
      <c r="AH93" t="s">
        <v>4097</v>
      </c>
      <c r="AI93" t="s">
        <v>4098</v>
      </c>
      <c r="AJ93" t="s">
        <v>4099</v>
      </c>
      <c r="AK93" t="s">
        <v>19</v>
      </c>
      <c r="AL93" t="s">
        <v>4100</v>
      </c>
      <c r="AM93" t="s">
        <v>19</v>
      </c>
      <c r="AN93">
        <v>0</v>
      </c>
      <c r="AO93" t="s">
        <v>19</v>
      </c>
      <c r="AP93" t="s">
        <v>19</v>
      </c>
      <c r="AQ93" t="s">
        <v>191</v>
      </c>
      <c r="AR93" t="s">
        <v>4101</v>
      </c>
      <c r="AS93" t="s">
        <v>19</v>
      </c>
      <c r="AT93" t="s">
        <v>19</v>
      </c>
      <c r="AU93" t="s">
        <v>4102</v>
      </c>
      <c r="AV93" t="s">
        <v>4103</v>
      </c>
      <c r="AW93" t="s">
        <v>1677</v>
      </c>
      <c r="AX93" t="s">
        <v>120</v>
      </c>
      <c r="AY93" t="s">
        <v>19</v>
      </c>
      <c r="AZ93" t="s">
        <v>845</v>
      </c>
      <c r="BA93" t="s">
        <v>310</v>
      </c>
      <c r="BB93" t="s">
        <v>184</v>
      </c>
      <c r="BC93" t="s">
        <v>1726</v>
      </c>
      <c r="BD93" t="s">
        <v>19</v>
      </c>
      <c r="BE93" t="s">
        <v>19</v>
      </c>
      <c r="BF93" t="s">
        <v>19</v>
      </c>
      <c r="BG93" t="s">
        <v>19</v>
      </c>
      <c r="BH93" t="s">
        <v>31</v>
      </c>
      <c r="BI93" t="s">
        <v>1480</v>
      </c>
      <c r="BJ93" t="s">
        <v>120</v>
      </c>
      <c r="BK93" t="s">
        <v>4104</v>
      </c>
      <c r="BL93" t="s">
        <v>60</v>
      </c>
      <c r="BM93" t="s">
        <v>1726</v>
      </c>
      <c r="BN93" t="s">
        <v>19</v>
      </c>
      <c r="BO93">
        <v>2.16</v>
      </c>
      <c r="BP93">
        <v>6.47</v>
      </c>
      <c r="BQ93">
        <v>-2.41</v>
      </c>
      <c r="BR93">
        <v>1.98</v>
      </c>
      <c r="BS93">
        <v>6.55</v>
      </c>
      <c r="BT93" t="s">
        <v>1571</v>
      </c>
      <c r="BU93" t="s">
        <v>1334</v>
      </c>
      <c r="BV93">
        <v>15.87</v>
      </c>
      <c r="BW93">
        <v>12.11</v>
      </c>
      <c r="BX93">
        <v>11.84</v>
      </c>
      <c r="BY93">
        <v>-16.22</v>
      </c>
      <c r="BZ93">
        <v>1.74</v>
      </c>
      <c r="CA93">
        <v>3.33</v>
      </c>
      <c r="CB93">
        <v>-0.28999999999999998</v>
      </c>
      <c r="CC93">
        <v>-15.09</v>
      </c>
      <c r="CD93" t="s">
        <v>4105</v>
      </c>
      <c r="CE93" t="s">
        <v>112</v>
      </c>
      <c r="CF93" s="8">
        <v>-0.98925668549905843</v>
      </c>
      <c r="CG93" s="9">
        <v>-0.98215936428571426</v>
      </c>
      <c r="CH93" s="8">
        <v>19.477273941040039</v>
      </c>
      <c r="CI93" s="8" t="s">
        <v>19</v>
      </c>
      <c r="CJ93" s="8" t="s">
        <v>19</v>
      </c>
      <c r="CK93" s="8">
        <v>0.97122299671173096</v>
      </c>
      <c r="CL93" s="8">
        <v>1.5045045614242554</v>
      </c>
      <c r="CM93" s="9">
        <v>63.741035461425781</v>
      </c>
      <c r="CN93" s="9" t="s">
        <v>19</v>
      </c>
      <c r="CO93" s="9" t="s">
        <v>19</v>
      </c>
      <c r="CP93" s="9" t="s">
        <v>19</v>
      </c>
      <c r="CQ93" s="9" t="s">
        <v>19</v>
      </c>
      <c r="CR93">
        <v>7.2554341770097999</v>
      </c>
      <c r="CS93">
        <v>9.9149551517346574E-3</v>
      </c>
      <c r="CT93">
        <v>0</v>
      </c>
      <c r="CU93" s="8">
        <v>7.3176671663920088</v>
      </c>
      <c r="CV93" s="9">
        <v>63.741035461425781</v>
      </c>
      <c r="CW93">
        <v>0.06</v>
      </c>
      <c r="CX93">
        <v>0.50898412752830002</v>
      </c>
      <c r="CY93">
        <v>3162282894.3924336</v>
      </c>
      <c r="CZ93">
        <v>7.3176671663920088</v>
      </c>
      <c r="DA93">
        <v>8.219035637828654E-3</v>
      </c>
      <c r="DB93">
        <v>195832196248.41769</v>
      </c>
      <c r="DC93">
        <v>6.9517838080724079</v>
      </c>
      <c r="DD93">
        <v>2.8655177278856731E-5</v>
      </c>
      <c r="DE93">
        <v>56169668201201.828</v>
      </c>
      <c r="DF93">
        <v>6.4395471064249676</v>
      </c>
      <c r="DG93">
        <v>2.6422187535364746E-8</v>
      </c>
      <c r="DH93">
        <v>6.0916674588192112E+16</v>
      </c>
      <c r="DI93">
        <v>5.8541337331136072</v>
      </c>
      <c r="DJ93">
        <v>1.9344801251817321E-15</v>
      </c>
      <c r="DK93">
        <v>8.3203325743591853E+23</v>
      </c>
      <c r="DL93">
        <v>5.1223670164744055</v>
      </c>
      <c r="DM93">
        <v>403000000</v>
      </c>
      <c r="DN93">
        <v>7.3176671663920088</v>
      </c>
      <c r="DO93">
        <v>1609551800</v>
      </c>
      <c r="DP93">
        <v>468696620</v>
      </c>
      <c r="DQ93">
        <v>2995</v>
      </c>
      <c r="DR93">
        <v>-8.3069238518910673</v>
      </c>
      <c r="DS93">
        <v>-64.723194825711502</v>
      </c>
      <c r="DT93" s="10">
        <v>-0.21000000000000008</v>
      </c>
      <c r="DU93">
        <v>-0.42000000000000015</v>
      </c>
      <c r="DV93">
        <v>-0.63000000000000023</v>
      </c>
      <c r="DW93">
        <v>-2.1509</v>
      </c>
      <c r="DX93">
        <v>0.43456375838926203</v>
      </c>
      <c r="DY93">
        <v>-2.0550126711409398</v>
      </c>
      <c r="DZ93">
        <v>4780</v>
      </c>
      <c r="EA93">
        <v>-2.0035526773926633</v>
      </c>
      <c r="EB93">
        <v>2</v>
      </c>
      <c r="EC93">
        <v>0.12769968944902474</v>
      </c>
      <c r="ED93">
        <v>0.35028081236937936</v>
      </c>
      <c r="EE93" s="11">
        <v>-2.10541</v>
      </c>
      <c r="EF93">
        <v>-2.0047100000000002</v>
      </c>
      <c r="EG93">
        <v>7.364563758389262</v>
      </c>
      <c r="EH93" t="s">
        <v>1295</v>
      </c>
      <c r="EI93">
        <v>0</v>
      </c>
      <c r="EJ93">
        <v>0</v>
      </c>
      <c r="EK93" s="13">
        <v>45470</v>
      </c>
      <c r="EL93" s="14">
        <v>-7.77</v>
      </c>
      <c r="EM93" s="14">
        <v>-6.38</v>
      </c>
      <c r="EN93" s="14">
        <v>-1.22</v>
      </c>
      <c r="EO93" s="14">
        <v>2.71</v>
      </c>
      <c r="EP93" s="14">
        <v>10.07</v>
      </c>
    </row>
    <row r="94" spans="1:146" ht="108">
      <c r="A94" s="6"/>
      <c r="B94" s="6"/>
      <c r="C94" s="6" t="str">
        <f>""&amp;CHAR(10)&amp;Basic_Fundamental_Information_Constructure(F94)&amp;CHAR(10)&amp;Basic_Fundamental_Information_Concatenate("")</f>
        <v xml:space="preserve">
市值5.8542177亿, 利润4672.53万; PE; 平均PE35.4; 平均PEG.11, PB1.39; ROIC4.86%; ROE-.9567%; 股利率0%; 毛利14.6133%; 净利-85.8033%; 上一年度营收增1259.66%, 利润增339.65%; 当季营收增-99.02%, 利润增-317.82%; 过往5年营收增315.65%, 利润增95.02%
Income profile:
</v>
      </c>
      <c r="D94" t="s">
        <v>1189</v>
      </c>
      <c r="E94" t="s">
        <v>4106</v>
      </c>
      <c r="F94">
        <v>2.23</v>
      </c>
      <c r="G94">
        <v>0</v>
      </c>
      <c r="H94" t="s">
        <v>4107</v>
      </c>
      <c r="I94">
        <v>585421770</v>
      </c>
      <c r="K94">
        <v>1.39</v>
      </c>
      <c r="L94" t="s">
        <v>361</v>
      </c>
      <c r="M94" t="s">
        <v>228</v>
      </c>
      <c r="N94" t="s">
        <v>86</v>
      </c>
      <c r="O94" t="s">
        <v>4108</v>
      </c>
      <c r="P94">
        <v>-67.2</v>
      </c>
      <c r="Q94" t="s">
        <v>4109</v>
      </c>
      <c r="R94">
        <v>-7348742</v>
      </c>
      <c r="S94" s="5">
        <v>-0.46339999999999998</v>
      </c>
      <c r="T94" t="s">
        <v>4110</v>
      </c>
      <c r="U94">
        <v>202445880</v>
      </c>
      <c r="V94">
        <v>262520970</v>
      </c>
      <c r="W94">
        <v>1.51</v>
      </c>
      <c r="X94">
        <v>0.01</v>
      </c>
      <c r="Y94">
        <v>-195.42</v>
      </c>
      <c r="Z94" t="s">
        <v>4111</v>
      </c>
      <c r="AA94" t="s">
        <v>4112</v>
      </c>
      <c r="AB94" t="s">
        <v>4113</v>
      </c>
      <c r="AC94" t="s">
        <v>4114</v>
      </c>
      <c r="AD94" t="s">
        <v>19</v>
      </c>
      <c r="AE94">
        <v>-176082</v>
      </c>
      <c r="AF94" t="s">
        <v>20</v>
      </c>
      <c r="AG94" t="s">
        <v>19</v>
      </c>
      <c r="AH94" t="s">
        <v>4115</v>
      </c>
      <c r="AI94" t="s">
        <v>4116</v>
      </c>
      <c r="AJ94" t="s">
        <v>19</v>
      </c>
      <c r="AK94" t="s">
        <v>19</v>
      </c>
      <c r="AL94" t="s">
        <v>4117</v>
      </c>
      <c r="AM94" t="s">
        <v>19</v>
      </c>
      <c r="AN94">
        <v>0</v>
      </c>
      <c r="AO94" t="s">
        <v>19</v>
      </c>
      <c r="AP94" t="s">
        <v>19</v>
      </c>
      <c r="AQ94" t="s">
        <v>4118</v>
      </c>
      <c r="AR94" t="s">
        <v>19</v>
      </c>
      <c r="AS94" t="s">
        <v>42</v>
      </c>
      <c r="AT94" t="s">
        <v>19</v>
      </c>
      <c r="AU94" t="s">
        <v>4119</v>
      </c>
      <c r="AV94" t="s">
        <v>4120</v>
      </c>
      <c r="AW94" t="s">
        <v>4121</v>
      </c>
      <c r="AX94" t="s">
        <v>53</v>
      </c>
      <c r="AY94" t="s">
        <v>1416</v>
      </c>
      <c r="AZ94" t="s">
        <v>1991</v>
      </c>
      <c r="BA94" t="s">
        <v>159</v>
      </c>
      <c r="BB94" t="s">
        <v>122</v>
      </c>
      <c r="BC94" t="s">
        <v>1728</v>
      </c>
      <c r="BD94" t="s">
        <v>1729</v>
      </c>
      <c r="BE94" t="s">
        <v>1992</v>
      </c>
      <c r="BF94" t="s">
        <v>1190</v>
      </c>
      <c r="BG94" t="s">
        <v>1191</v>
      </c>
      <c r="BH94" t="s">
        <v>4122</v>
      </c>
      <c r="BI94" t="s">
        <v>303</v>
      </c>
      <c r="BJ94" t="s">
        <v>53</v>
      </c>
      <c r="BK94" t="s">
        <v>4123</v>
      </c>
      <c r="BL94" t="s">
        <v>4124</v>
      </c>
      <c r="BM94" t="s">
        <v>1728</v>
      </c>
      <c r="BN94" t="s">
        <v>19</v>
      </c>
      <c r="BO94" t="s">
        <v>19</v>
      </c>
      <c r="BP94">
        <v>4.8600000000000003</v>
      </c>
      <c r="BQ94">
        <v>-3.46</v>
      </c>
      <c r="BR94">
        <v>-3.2</v>
      </c>
      <c r="BS94">
        <v>3.79</v>
      </c>
      <c r="BT94" t="s">
        <v>1571</v>
      </c>
      <c r="BU94" t="s">
        <v>1334</v>
      </c>
      <c r="BV94">
        <v>-2.99</v>
      </c>
      <c r="BW94">
        <v>31.02</v>
      </c>
      <c r="BX94">
        <v>15.81</v>
      </c>
      <c r="BY94">
        <v>-243.54</v>
      </c>
      <c r="BZ94">
        <v>-16.420000000000002</v>
      </c>
      <c r="CA94">
        <v>2.5499999999999998</v>
      </c>
      <c r="CB94">
        <v>7.21</v>
      </c>
      <c r="CC94">
        <v>-6.69</v>
      </c>
      <c r="CD94" t="s">
        <v>4125</v>
      </c>
      <c r="CE94" t="s">
        <v>23</v>
      </c>
      <c r="CF94" s="8">
        <v>-0.99015575916230369</v>
      </c>
      <c r="CG94" s="9">
        <v>-3.1782440643803538</v>
      </c>
      <c r="CH94" s="8">
        <v>12.596639633178711</v>
      </c>
      <c r="CI94" s="8">
        <v>-0.80000001192092896</v>
      </c>
      <c r="CJ94" s="8">
        <v>-0.46636775135993958</v>
      </c>
      <c r="CK94" s="8">
        <v>3.8903510570526123</v>
      </c>
      <c r="CL94" s="8">
        <v>0.56164383888244629</v>
      </c>
      <c r="CM94" s="9">
        <v>3.3964641094207764</v>
      </c>
      <c r="CN94" s="9">
        <v>-2.2700364589691162</v>
      </c>
      <c r="CO94" s="9">
        <v>-0.72933614253997803</v>
      </c>
      <c r="CP94" s="9">
        <v>2.3581883907318115</v>
      </c>
      <c r="CQ94" s="9">
        <v>1.9959430694580078</v>
      </c>
      <c r="CR94">
        <v>35.397620091362853</v>
      </c>
      <c r="CS94">
        <v>0.11214365026447062</v>
      </c>
      <c r="CT94">
        <v>0</v>
      </c>
      <c r="CU94" s="8">
        <v>3.1564533531665804</v>
      </c>
      <c r="CV94" s="9">
        <v>0.95024459362030034</v>
      </c>
      <c r="CW94">
        <v>0.06</v>
      </c>
      <c r="CX94">
        <v>1.9999177004298352</v>
      </c>
      <c r="CY94">
        <v>183218424.39878717</v>
      </c>
      <c r="CZ94">
        <v>3.1564533531665804</v>
      </c>
      <c r="DA94">
        <v>0.10939897832857827</v>
      </c>
      <c r="DB94">
        <v>3349407605.0642586</v>
      </c>
      <c r="DC94">
        <v>2.9986306855082514</v>
      </c>
      <c r="DD94">
        <v>2.7548579328834787E-3</v>
      </c>
      <c r="DE94">
        <v>133009316243.20479</v>
      </c>
      <c r="DF94">
        <v>2.7776789507865907</v>
      </c>
      <c r="DG94">
        <v>3.3140970910873324E-5</v>
      </c>
      <c r="DH94">
        <v>11056458514309.236</v>
      </c>
      <c r="DI94">
        <v>2.5251626825332645</v>
      </c>
      <c r="DJ94">
        <v>1.2521407657208817E-9</v>
      </c>
      <c r="DK94">
        <v>2.9263624348900096E+17</v>
      </c>
      <c r="DL94">
        <v>2.2095173472166061</v>
      </c>
      <c r="DM94">
        <v>46725300</v>
      </c>
      <c r="DN94">
        <v>3.1564533531665804</v>
      </c>
      <c r="DO94">
        <v>366421770.00000006</v>
      </c>
      <c r="DP94">
        <v>100327590</v>
      </c>
      <c r="DQ94">
        <v>3030</v>
      </c>
      <c r="DR94">
        <v>-4.1466091123288837</v>
      </c>
      <c r="DS94">
        <v>-4.1284886580006539</v>
      </c>
      <c r="DT94" s="10">
        <v>-6.6666666666666805E-2</v>
      </c>
      <c r="DU94">
        <v>-0.83816666666666695</v>
      </c>
      <c r="DV94">
        <v>-0.90483333333333371</v>
      </c>
      <c r="DW94">
        <v>5.9278779472954231</v>
      </c>
      <c r="DX94">
        <v>0.19226319999999986</v>
      </c>
      <c r="DY94">
        <v>5.0763302091539533</v>
      </c>
      <c r="DZ94">
        <v>1096</v>
      </c>
      <c r="EA94">
        <v>5.0599587983451997</v>
      </c>
      <c r="EB94">
        <v>5</v>
      </c>
      <c r="EC94">
        <v>3.9169823271641882E-2</v>
      </c>
      <c r="ED94">
        <v>0.47615243841282467</v>
      </c>
      <c r="EE94" s="11">
        <v>-1.0033099999999999</v>
      </c>
      <c r="EF94">
        <v>-1.0217099999999999</v>
      </c>
      <c r="EG94">
        <v>11.0822632</v>
      </c>
      <c r="EH94" t="s">
        <v>1265</v>
      </c>
      <c r="EI94">
        <v>1</v>
      </c>
      <c r="EJ94">
        <v>1</v>
      </c>
      <c r="EK94" s="13">
        <v>45470</v>
      </c>
      <c r="EL94" s="14">
        <v>-1.08</v>
      </c>
      <c r="EM94" s="14">
        <v>-0.64</v>
      </c>
      <c r="EN94" s="14">
        <v>2.0699999999999998</v>
      </c>
      <c r="EO94" s="14">
        <v>-0.19</v>
      </c>
      <c r="EP94" s="14">
        <v>-1.84</v>
      </c>
    </row>
    <row r="95" spans="1:146" ht="108">
      <c r="A95" s="6"/>
      <c r="B95" s="6"/>
      <c r="C95" s="6" t="str">
        <f>""&amp;CHAR(10)&amp;Basic_Fundamental_Information_Constructure(F95)&amp;CHAR(10)&amp;Basic_Fundamental_Information_Concatenate("")</f>
        <v xml:space="preserve">
市值136.00972亿, 利润2280.67万; PE3.68; 平均PE7.53; 平均PEG.02, PB.599; ROIC8.4567%; ROE19.7033%; 股利率4.1551%; 毛利9.47%; 净利2.4367%; 上一年度营收增-99.47%, 利润增-99.36%; 当季营收增14670.74%, 利润增11937.4%; 过往5年营收增401.08%, 利润增-99.36%
Income profile:
</v>
      </c>
      <c r="D95" t="s">
        <v>846</v>
      </c>
      <c r="E95" t="s">
        <v>1833</v>
      </c>
      <c r="F95">
        <v>3.61</v>
      </c>
      <c r="G95">
        <v>-0.28000000000000003</v>
      </c>
      <c r="H95" t="s">
        <v>4126</v>
      </c>
      <c r="I95">
        <v>13600972000</v>
      </c>
      <c r="J95">
        <v>3.68</v>
      </c>
      <c r="K95">
        <v>0.59899999999999998</v>
      </c>
      <c r="L95" t="s">
        <v>361</v>
      </c>
      <c r="M95" t="s">
        <v>4127</v>
      </c>
      <c r="N95" t="s">
        <v>4128</v>
      </c>
      <c r="O95" t="s">
        <v>4129</v>
      </c>
      <c r="P95">
        <v>-21.84</v>
      </c>
      <c r="Q95" t="s">
        <v>4130</v>
      </c>
      <c r="R95">
        <v>552227850</v>
      </c>
      <c r="S95" s="5">
        <v>-0.32440000000000002</v>
      </c>
      <c r="T95" t="s">
        <v>4131</v>
      </c>
      <c r="U95">
        <v>3680692300</v>
      </c>
      <c r="V95">
        <v>3767582300</v>
      </c>
      <c r="W95">
        <v>8.7200000000000006</v>
      </c>
      <c r="X95" t="s">
        <v>19</v>
      </c>
      <c r="Y95">
        <v>2.27</v>
      </c>
      <c r="Z95" t="s">
        <v>19</v>
      </c>
      <c r="AA95" t="s">
        <v>19</v>
      </c>
      <c r="AB95" t="s">
        <v>19</v>
      </c>
      <c r="AC95" t="s">
        <v>19</v>
      </c>
      <c r="AD95" t="s">
        <v>19</v>
      </c>
      <c r="AE95">
        <v>480050490</v>
      </c>
      <c r="AF95" t="s">
        <v>4132</v>
      </c>
      <c r="AG95" t="s">
        <v>4133</v>
      </c>
      <c r="AH95" t="s">
        <v>4134</v>
      </c>
      <c r="AI95" t="s">
        <v>4135</v>
      </c>
      <c r="AJ95" t="s">
        <v>4136</v>
      </c>
      <c r="AK95" t="s">
        <v>19</v>
      </c>
      <c r="AL95" t="s">
        <v>4137</v>
      </c>
      <c r="AM95" t="s">
        <v>19</v>
      </c>
      <c r="AN95" t="s">
        <v>151</v>
      </c>
      <c r="AO95" t="s">
        <v>19</v>
      </c>
      <c r="AP95" t="s">
        <v>4138</v>
      </c>
      <c r="AQ95" t="s">
        <v>4139</v>
      </c>
      <c r="AR95" t="s">
        <v>4140</v>
      </c>
      <c r="AS95" t="s">
        <v>19</v>
      </c>
      <c r="AT95" t="s">
        <v>19</v>
      </c>
      <c r="AU95" t="s">
        <v>4141</v>
      </c>
      <c r="AV95" t="s">
        <v>4142</v>
      </c>
      <c r="AW95" t="s">
        <v>1378</v>
      </c>
      <c r="AX95" t="s">
        <v>1730</v>
      </c>
      <c r="AY95" t="s">
        <v>19</v>
      </c>
      <c r="AZ95" t="s">
        <v>847</v>
      </c>
      <c r="BA95" t="s">
        <v>849</v>
      </c>
      <c r="BB95" t="s">
        <v>850</v>
      </c>
      <c r="BC95" t="s">
        <v>4143</v>
      </c>
      <c r="BD95" t="s">
        <v>19</v>
      </c>
      <c r="BE95" t="s">
        <v>19</v>
      </c>
      <c r="BF95" t="s">
        <v>19</v>
      </c>
      <c r="BG95" t="s">
        <v>19</v>
      </c>
      <c r="BH95" t="s">
        <v>4144</v>
      </c>
      <c r="BI95" t="s">
        <v>1899</v>
      </c>
      <c r="BJ95" t="s">
        <v>1730</v>
      </c>
      <c r="BK95" t="s">
        <v>4145</v>
      </c>
      <c r="BL95" t="s">
        <v>4146</v>
      </c>
      <c r="BM95" t="s">
        <v>4143</v>
      </c>
      <c r="BN95">
        <v>6.54</v>
      </c>
      <c r="BO95">
        <v>9.18</v>
      </c>
      <c r="BP95">
        <v>9.65</v>
      </c>
      <c r="BQ95">
        <v>15.31</v>
      </c>
      <c r="BR95">
        <v>20.7</v>
      </c>
      <c r="BS95">
        <v>23.1</v>
      </c>
      <c r="BT95" t="s">
        <v>1573</v>
      </c>
      <c r="BU95" t="s">
        <v>1344</v>
      </c>
      <c r="BV95">
        <v>10.58</v>
      </c>
      <c r="BW95">
        <v>9.11</v>
      </c>
      <c r="BX95">
        <v>8.7200000000000006</v>
      </c>
      <c r="BY95">
        <v>2.63</v>
      </c>
      <c r="BZ95">
        <v>2.41</v>
      </c>
      <c r="CA95">
        <v>2.27</v>
      </c>
      <c r="CB95">
        <v>-0.55000000000000004</v>
      </c>
      <c r="CC95">
        <v>-10.199999999999999</v>
      </c>
      <c r="CD95" t="s">
        <v>4147</v>
      </c>
      <c r="CE95" t="s">
        <v>1156</v>
      </c>
      <c r="CF95" s="8">
        <v>146.70744680851064</v>
      </c>
      <c r="CG95" s="9">
        <v>119.37401909495161</v>
      </c>
      <c r="CH95" s="8">
        <v>-0.99474561214447021</v>
      </c>
      <c r="CI95" s="8" t="s">
        <v>19</v>
      </c>
      <c r="CJ95" s="8" t="s">
        <v>19</v>
      </c>
      <c r="CK95" s="8">
        <v>0.22182048857212067</v>
      </c>
      <c r="CL95" s="8">
        <v>12.805468559265137</v>
      </c>
      <c r="CM95" s="9">
        <v>-0.99364537000656128</v>
      </c>
      <c r="CN95" s="9" t="s">
        <v>19</v>
      </c>
      <c r="CO95" s="9" t="s">
        <v>19</v>
      </c>
      <c r="CP95" s="9" t="s">
        <v>19</v>
      </c>
      <c r="CQ95" s="9" t="s">
        <v>19</v>
      </c>
      <c r="CR95">
        <v>7.5313952986465198</v>
      </c>
      <c r="CS95">
        <v>1.8777564375057395E-2</v>
      </c>
      <c r="CT95">
        <v>4.1551246537396125</v>
      </c>
      <c r="CU95" s="8">
        <v>4.0108478118975954</v>
      </c>
      <c r="CV95" s="9">
        <v>-0.99364537000656128</v>
      </c>
      <c r="CW95">
        <v>0.06</v>
      </c>
      <c r="CX95">
        <v>2639.0152943572548</v>
      </c>
      <c r="CY95">
        <v>107812172.44491027</v>
      </c>
      <c r="CZ95">
        <v>4.0108478118975954</v>
      </c>
      <c r="DA95">
        <v>105.19934667638194</v>
      </c>
      <c r="DB95">
        <v>2704560256.2080975</v>
      </c>
      <c r="DC95">
        <v>3.8103054213027154</v>
      </c>
      <c r="DD95">
        <v>1.5697976433399372</v>
      </c>
      <c r="DE95">
        <v>181244998810.58115</v>
      </c>
      <c r="DF95">
        <v>3.5295460744698839</v>
      </c>
      <c r="DG95">
        <v>9.5858726893483116E-3</v>
      </c>
      <c r="DH95">
        <v>29680967108623.547</v>
      </c>
      <c r="DI95">
        <v>3.2086782495180763</v>
      </c>
      <c r="DJ95">
        <v>7.0380929657081038E-8</v>
      </c>
      <c r="DK95">
        <v>4.0425435325487293E+18</v>
      </c>
      <c r="DL95">
        <v>2.8075934683283168</v>
      </c>
      <c r="DM95">
        <v>22806700</v>
      </c>
      <c r="DN95">
        <v>4.0108478118975954</v>
      </c>
      <c r="DO95">
        <v>284517972000</v>
      </c>
      <c r="DP95">
        <v>291211980000</v>
      </c>
      <c r="DQ95">
        <v>3039</v>
      </c>
      <c r="DR95">
        <v>142.69659899661303</v>
      </c>
      <c r="DS95">
        <v>120.36766446495817</v>
      </c>
      <c r="DT95" s="10">
        <v>-1.1599999999999999</v>
      </c>
      <c r="DU95">
        <v>-2.3199999999999998</v>
      </c>
      <c r="DV95">
        <v>-3.4799999999999995</v>
      </c>
      <c r="DW95">
        <v>-2.1019999999999999</v>
      </c>
      <c r="DX95">
        <v>0.40454569377990368</v>
      </c>
      <c r="DY95">
        <v>-2.0147436607655504</v>
      </c>
      <c r="DZ95">
        <v>4733</v>
      </c>
      <c r="EA95">
        <v>-2.0010877417042296</v>
      </c>
      <c r="EB95">
        <v>2</v>
      </c>
      <c r="EC95">
        <v>1.603683614290257E-2</v>
      </c>
      <c r="ED95">
        <v>0.11094648151415298</v>
      </c>
      <c r="EE95" s="11">
        <v>5.4010000000000009E-2</v>
      </c>
      <c r="EF95">
        <v>-1.0041100000000001</v>
      </c>
      <c r="EG95">
        <v>26.144545693779904</v>
      </c>
      <c r="EH95" t="s">
        <v>1265</v>
      </c>
      <c r="EI95">
        <v>0</v>
      </c>
      <c r="EJ95">
        <v>0</v>
      </c>
      <c r="EK95" s="13">
        <v>45470</v>
      </c>
      <c r="EL95" s="14">
        <v>4.67</v>
      </c>
      <c r="EM95" s="14">
        <v>-10.039999999999999</v>
      </c>
      <c r="EN95" s="14">
        <v>-8.68</v>
      </c>
      <c r="EO95" s="14">
        <v>1.1100000000000001</v>
      </c>
      <c r="EP95" s="14">
        <v>-10.01</v>
      </c>
    </row>
    <row r="96" spans="1:146" ht="108">
      <c r="A96" s="6"/>
      <c r="B96" s="6"/>
      <c r="C96" s="6" t="str">
        <f>""&amp;CHAR(10)&amp;Basic_Fundamental_Information_Constructure(F96)&amp;CHAR(10)&amp;Basic_Fundamental_Information_Concatenate("")</f>
        <v xml:space="preserve">
市值51.81167亿, 利润5.68亿; PE8.61; 平均PE10.47; 平均PEG.56, PB.676; ROIC5.56%; ROE7.61%; 股利率4.0262%; 毛利7.5867%; 净利4.0367%; 上一年度营收增-77.76%, 利润增1.61%; 当季营收增661.85%, 利润增1.67%; 过往5年营收增18.6%, 利润增5.09%
Income profile:
</v>
      </c>
      <c r="D96" t="s">
        <v>851</v>
      </c>
      <c r="E96" t="s">
        <v>852</v>
      </c>
      <c r="F96">
        <v>5.34</v>
      </c>
      <c r="G96">
        <v>0</v>
      </c>
      <c r="H96" t="s">
        <v>4148</v>
      </c>
      <c r="I96">
        <v>5181167000</v>
      </c>
      <c r="J96">
        <v>8.61</v>
      </c>
      <c r="K96">
        <v>0.67600000000000005</v>
      </c>
      <c r="L96" t="s">
        <v>361</v>
      </c>
      <c r="M96" t="s">
        <v>4149</v>
      </c>
      <c r="N96" t="s">
        <v>4150</v>
      </c>
      <c r="O96" t="s">
        <v>4151</v>
      </c>
      <c r="P96">
        <v>45.43</v>
      </c>
      <c r="Q96" t="s">
        <v>388</v>
      </c>
      <c r="R96">
        <v>146399930</v>
      </c>
      <c r="S96" s="5">
        <v>0.20580000000000001</v>
      </c>
      <c r="T96" t="s">
        <v>856</v>
      </c>
      <c r="U96">
        <v>970256000</v>
      </c>
      <c r="V96">
        <v>970256000</v>
      </c>
      <c r="W96">
        <v>3.74</v>
      </c>
      <c r="X96">
        <v>0.2</v>
      </c>
      <c r="Y96">
        <v>2.46</v>
      </c>
      <c r="Z96" t="s">
        <v>4152</v>
      </c>
      <c r="AA96" t="s">
        <v>4153</v>
      </c>
      <c r="AB96" t="s">
        <v>4154</v>
      </c>
      <c r="AC96" t="s">
        <v>4155</v>
      </c>
      <c r="AD96" t="s">
        <v>19</v>
      </c>
      <c r="AE96">
        <v>-3491096</v>
      </c>
      <c r="AF96" t="s">
        <v>4156</v>
      </c>
      <c r="AG96" t="s">
        <v>4157</v>
      </c>
      <c r="AH96" t="s">
        <v>4158</v>
      </c>
      <c r="AI96" t="s">
        <v>2035</v>
      </c>
      <c r="AJ96" t="s">
        <v>4159</v>
      </c>
      <c r="AK96" t="s">
        <v>4160</v>
      </c>
      <c r="AL96" t="s">
        <v>4161</v>
      </c>
      <c r="AM96" t="s">
        <v>19</v>
      </c>
      <c r="AN96" t="s">
        <v>4162</v>
      </c>
      <c r="AO96" t="s">
        <v>4163</v>
      </c>
      <c r="AP96" t="s">
        <v>4164</v>
      </c>
      <c r="AQ96" t="s">
        <v>4165</v>
      </c>
      <c r="AR96" t="s">
        <v>4166</v>
      </c>
      <c r="AS96" t="s">
        <v>4167</v>
      </c>
      <c r="AT96" t="s">
        <v>19</v>
      </c>
      <c r="AU96" t="s">
        <v>4168</v>
      </c>
      <c r="AV96" t="s">
        <v>4169</v>
      </c>
      <c r="AW96" t="s">
        <v>4170</v>
      </c>
      <c r="AX96" t="s">
        <v>4171</v>
      </c>
      <c r="AY96" t="s">
        <v>1410</v>
      </c>
      <c r="AZ96" t="s">
        <v>853</v>
      </c>
      <c r="BA96" t="s">
        <v>854</v>
      </c>
      <c r="BB96" t="s">
        <v>855</v>
      </c>
      <c r="BC96" t="s">
        <v>516</v>
      </c>
      <c r="BD96" t="s">
        <v>56</v>
      </c>
      <c r="BE96" t="s">
        <v>344</v>
      </c>
      <c r="BF96" t="s">
        <v>277</v>
      </c>
      <c r="BG96" t="s">
        <v>149</v>
      </c>
      <c r="BH96" t="s">
        <v>4172</v>
      </c>
      <c r="BI96" t="s">
        <v>1483</v>
      </c>
      <c r="BJ96" t="s">
        <v>4171</v>
      </c>
      <c r="BK96" t="s">
        <v>4173</v>
      </c>
      <c r="BL96" t="s">
        <v>131</v>
      </c>
      <c r="BM96" t="s">
        <v>516</v>
      </c>
      <c r="BN96">
        <v>4.6900000000000004</v>
      </c>
      <c r="BO96">
        <v>5.92</v>
      </c>
      <c r="BP96">
        <v>6.07</v>
      </c>
      <c r="BQ96">
        <v>6.61</v>
      </c>
      <c r="BR96">
        <v>8.1300000000000008</v>
      </c>
      <c r="BS96">
        <v>8.09</v>
      </c>
      <c r="BT96" t="s">
        <v>4174</v>
      </c>
      <c r="BU96" t="s">
        <v>1342</v>
      </c>
      <c r="BV96">
        <v>7.46</v>
      </c>
      <c r="BW96">
        <v>7.61</v>
      </c>
      <c r="BX96">
        <v>7.69</v>
      </c>
      <c r="BY96">
        <v>3.32</v>
      </c>
      <c r="BZ96">
        <v>4.07</v>
      </c>
      <c r="CA96">
        <v>4.72</v>
      </c>
      <c r="CB96">
        <v>0</v>
      </c>
      <c r="CC96">
        <v>-13.59</v>
      </c>
      <c r="CD96" t="s">
        <v>4175</v>
      </c>
      <c r="CE96" t="s">
        <v>320</v>
      </c>
      <c r="CF96" s="8">
        <v>6.6185044359949305</v>
      </c>
      <c r="CG96" s="9">
        <v>1.6666180555555556E-2</v>
      </c>
      <c r="CH96" s="8">
        <v>-0.77760612964630127</v>
      </c>
      <c r="CI96" s="8">
        <v>0.30653786659240723</v>
      </c>
      <c r="CJ96" s="8">
        <v>0.36043462157249451</v>
      </c>
      <c r="CK96" s="8">
        <v>0.3466237485408783</v>
      </c>
      <c r="CL96" s="8">
        <v>0.69389986991882324</v>
      </c>
      <c r="CM96" s="9">
        <v>1.6100179404020309E-2</v>
      </c>
      <c r="CN96" s="9">
        <v>4.4859811663627625E-2</v>
      </c>
      <c r="CO96" s="9">
        <v>0.20224718749523163</v>
      </c>
      <c r="CP96" s="9">
        <v>9.068627655506134E-2</v>
      </c>
      <c r="CQ96" s="9">
        <v>-9.9337749183177948E-2</v>
      </c>
      <c r="CR96">
        <v>10.474057277628033</v>
      </c>
      <c r="CS96">
        <v>0.5631879865865268</v>
      </c>
      <c r="CT96">
        <v>4.0262172284644198</v>
      </c>
      <c r="CU96" s="8">
        <v>0.1859779953956604</v>
      </c>
      <c r="CV96" s="9">
        <v>5.0911141186952592E-2</v>
      </c>
      <c r="CW96">
        <v>0.06</v>
      </c>
      <c r="CX96">
        <v>30.68923323890078</v>
      </c>
      <c r="CY96">
        <v>635505189.98559904</v>
      </c>
      <c r="CZ96">
        <v>0.1859779953956604</v>
      </c>
      <c r="DA96">
        <v>9.2545214965179277</v>
      </c>
      <c r="DB96">
        <v>2107420357.4261715</v>
      </c>
      <c r="DC96">
        <v>0.17667909562587739</v>
      </c>
      <c r="DD96">
        <v>4.0764787122710251</v>
      </c>
      <c r="DE96">
        <v>4784317146.3870335</v>
      </c>
      <c r="DF96">
        <v>0.16366063594818114</v>
      </c>
      <c r="DG96">
        <v>2.1483437172118833</v>
      </c>
      <c r="DH96">
        <v>9078234010.5759125</v>
      </c>
      <c r="DI96">
        <v>0.14878239631652831</v>
      </c>
      <c r="DJ96">
        <v>0.81863402399297203</v>
      </c>
      <c r="DK96">
        <v>23824036661.549061</v>
      </c>
      <c r="DL96">
        <v>0.13018459677696229</v>
      </c>
      <c r="DM96">
        <v>568000000</v>
      </c>
      <c r="DN96">
        <v>0.1859779953956604</v>
      </c>
      <c r="DO96">
        <v>19503167000</v>
      </c>
      <c r="DP96">
        <v>1536862000</v>
      </c>
      <c r="DQ96">
        <v>3067</v>
      </c>
      <c r="DR96">
        <v>6.4325264405992701</v>
      </c>
      <c r="DS96">
        <v>-3.4244960631397037E-2</v>
      </c>
      <c r="DT96" s="10">
        <v>-0.17333333333333334</v>
      </c>
      <c r="DU96">
        <v>0.13333333333333333</v>
      </c>
      <c r="DV96">
        <v>-4.0000000000000008E-2</v>
      </c>
      <c r="DW96">
        <v>-2.1358999999999999</v>
      </c>
      <c r="DX96">
        <v>0.33492457912457763</v>
      </c>
      <c r="DY96">
        <v>-2.0169772503030301</v>
      </c>
      <c r="DZ96">
        <v>1003</v>
      </c>
      <c r="EA96">
        <v>-2.0136449250478563</v>
      </c>
      <c r="EB96">
        <v>2</v>
      </c>
      <c r="EC96">
        <v>3.8240010883725535E-2</v>
      </c>
      <c r="ED96">
        <v>0.30610478059398755</v>
      </c>
      <c r="EE96" s="11">
        <v>5.0053099999999997</v>
      </c>
      <c r="EF96">
        <v>5.0339099999999997</v>
      </c>
      <c r="EG96">
        <v>21.124924579124578</v>
      </c>
      <c r="EH96" t="s">
        <v>2064</v>
      </c>
      <c r="EI96">
        <v>0</v>
      </c>
      <c r="EJ96">
        <v>1</v>
      </c>
      <c r="EK96" s="13">
        <v>45470</v>
      </c>
      <c r="EL96" s="14">
        <v>4.09</v>
      </c>
      <c r="EM96" s="14">
        <v>0.89</v>
      </c>
      <c r="EN96" s="14">
        <v>-2.72</v>
      </c>
      <c r="EO96" s="14">
        <v>-2.19</v>
      </c>
      <c r="EP96" s="14">
        <v>-2.86</v>
      </c>
    </row>
    <row r="97" spans="1:146" ht="108">
      <c r="C97" s="6" t="str">
        <f>""&amp;CHAR(10)&amp;Basic_Fundamental_Information_Constructure(F97)&amp;CHAR(10)&amp;Basic_Fundamental_Information_Concatenate("")</f>
        <v xml:space="preserve">
市值68.704223亿, 利润2.68亿; PE23.4; 平均PE12.85; 平均PEG.76, PB1.31; ROIC8.4167%; ROE10.2033%; 股利率1.2069%; 毛利16.2167%; 净利6.2833%; 上一年度营收增3.73%, 利润增-34.95%; 当季营收增2.3%, 利润增9.68%; 过往5年营收增17%, 利润增-13.43%
Income profile:
</v>
      </c>
      <c r="D97" t="s">
        <v>1840</v>
      </c>
      <c r="E97" t="s">
        <v>1841</v>
      </c>
      <c r="F97">
        <v>2.9</v>
      </c>
      <c r="G97">
        <v>0.35</v>
      </c>
      <c r="H97" t="s">
        <v>1998</v>
      </c>
      <c r="I97">
        <v>6870422300</v>
      </c>
      <c r="J97">
        <v>23.4</v>
      </c>
      <c r="K97">
        <v>1.31</v>
      </c>
      <c r="L97" t="s">
        <v>361</v>
      </c>
      <c r="M97" t="s">
        <v>1999</v>
      </c>
      <c r="N97" t="s">
        <v>2000</v>
      </c>
      <c r="O97" t="s">
        <v>2001</v>
      </c>
      <c r="P97" s="5">
        <v>4.87</v>
      </c>
      <c r="Q97" t="s">
        <v>1842</v>
      </c>
      <c r="R97">
        <v>248163080</v>
      </c>
      <c r="S97">
        <v>8.0600000000000005E-2</v>
      </c>
      <c r="T97" t="s">
        <v>462</v>
      </c>
      <c r="U97">
        <v>2368966200</v>
      </c>
      <c r="V97">
        <v>2369111200</v>
      </c>
      <c r="W97">
        <v>2.76</v>
      </c>
      <c r="X97">
        <v>0.52</v>
      </c>
      <c r="Y97">
        <v>3.58</v>
      </c>
      <c r="Z97" t="s">
        <v>1988</v>
      </c>
      <c r="AA97" t="s">
        <v>2002</v>
      </c>
      <c r="AB97" t="s">
        <v>2003</v>
      </c>
      <c r="AC97" t="s">
        <v>429</v>
      </c>
      <c r="AD97" t="s">
        <v>169</v>
      </c>
      <c r="AE97">
        <v>122887246</v>
      </c>
      <c r="AF97" t="s">
        <v>2004</v>
      </c>
      <c r="AG97" t="s">
        <v>2005</v>
      </c>
      <c r="AH97" t="s">
        <v>2006</v>
      </c>
      <c r="AI97" t="s">
        <v>721</v>
      </c>
      <c r="AJ97" t="s">
        <v>2007</v>
      </c>
      <c r="AK97" t="s">
        <v>2008</v>
      </c>
      <c r="AL97" t="s">
        <v>2009</v>
      </c>
      <c r="AM97" t="s">
        <v>19</v>
      </c>
      <c r="AN97" t="s">
        <v>1436</v>
      </c>
      <c r="AO97" t="s">
        <v>2010</v>
      </c>
      <c r="AP97" t="s">
        <v>1668</v>
      </c>
      <c r="AQ97" t="s">
        <v>2011</v>
      </c>
      <c r="AR97" t="s">
        <v>2012</v>
      </c>
      <c r="AS97" t="s">
        <v>2013</v>
      </c>
      <c r="AT97" t="s">
        <v>2014</v>
      </c>
      <c r="AU97" t="s">
        <v>2015</v>
      </c>
      <c r="AV97" t="s">
        <v>2016</v>
      </c>
      <c r="AW97" t="s">
        <v>1405</v>
      </c>
      <c r="AX97" t="s">
        <v>1844</v>
      </c>
      <c r="AY97" t="s">
        <v>1845</v>
      </c>
      <c r="AZ97" t="s">
        <v>1846</v>
      </c>
      <c r="BA97" t="s">
        <v>1847</v>
      </c>
      <c r="BB97" t="s">
        <v>1848</v>
      </c>
      <c r="BC97" t="s">
        <v>114</v>
      </c>
      <c r="BD97" t="s">
        <v>669</v>
      </c>
      <c r="BE97" t="s">
        <v>209</v>
      </c>
      <c r="BF97" t="s">
        <v>856</v>
      </c>
      <c r="BG97" t="s">
        <v>1849</v>
      </c>
      <c r="BH97" t="s">
        <v>2017</v>
      </c>
      <c r="BI97" t="s">
        <v>2018</v>
      </c>
      <c r="BJ97" t="s">
        <v>2019</v>
      </c>
      <c r="BK97" t="s">
        <v>43</v>
      </c>
      <c r="BL97" t="s">
        <v>21</v>
      </c>
      <c r="BM97" t="s">
        <v>1831</v>
      </c>
      <c r="BN97">
        <v>1.06</v>
      </c>
      <c r="BO97">
        <v>8.91</v>
      </c>
      <c r="BP97">
        <v>15.28</v>
      </c>
      <c r="BQ97">
        <v>1.25</v>
      </c>
      <c r="BR97">
        <v>9.94</v>
      </c>
      <c r="BS97">
        <v>19.420000000000002</v>
      </c>
      <c r="BT97" t="s">
        <v>1586</v>
      </c>
      <c r="BU97" t="s">
        <v>1336</v>
      </c>
      <c r="BV97">
        <v>16.97</v>
      </c>
      <c r="BW97">
        <v>13.9</v>
      </c>
      <c r="BX97">
        <v>17.78</v>
      </c>
      <c r="BY97">
        <v>4.51</v>
      </c>
      <c r="BZ97">
        <v>5.0999999999999996</v>
      </c>
      <c r="CA97">
        <v>9.24</v>
      </c>
      <c r="CB97">
        <v>6.23</v>
      </c>
      <c r="CC97" s="8">
        <v>-1.02</v>
      </c>
      <c r="CD97" s="9" t="s">
        <v>2020</v>
      </c>
      <c r="CE97" s="8" t="s">
        <v>1486</v>
      </c>
      <c r="CF97" s="8">
        <v>2.3017902813299591E-2</v>
      </c>
      <c r="CG97" s="8">
        <v>9.6815813953489829E-2</v>
      </c>
      <c r="CH97" s="8">
        <v>3.7272829562425613E-2</v>
      </c>
      <c r="CI97" s="8">
        <v>0.17680312693119049</v>
      </c>
      <c r="CJ97" s="9">
        <v>0.22704656422138214</v>
      </c>
      <c r="CK97" s="9">
        <v>7.260672003030777E-2</v>
      </c>
      <c r="CL97" s="9">
        <v>0.33621442317962646</v>
      </c>
      <c r="CM97" s="9">
        <v>-0.34951457381248474</v>
      </c>
      <c r="CN97" s="9">
        <v>-0.43093922734260559</v>
      </c>
      <c r="CO97">
        <v>0.54370999336242676</v>
      </c>
      <c r="CP97">
        <v>-0.17429576814174652</v>
      </c>
      <c r="CQ97">
        <v>-0.2604166567325592</v>
      </c>
      <c r="CR97" s="8">
        <v>12.845912683078842</v>
      </c>
      <c r="CS97" s="9">
        <v>0.75569200808898551</v>
      </c>
      <c r="CT97">
        <v>1.2068965517241379</v>
      </c>
      <c r="CU97">
        <v>0.1699887327849865</v>
      </c>
      <c r="CV97">
        <v>-0.13429124653339386</v>
      </c>
      <c r="CW97">
        <v>0.06</v>
      </c>
      <c r="CX97">
        <v>37.694736131964419</v>
      </c>
      <c r="CY97">
        <v>295808472.06261921</v>
      </c>
      <c r="CZ97">
        <v>0.1699887327849865</v>
      </c>
      <c r="DA97">
        <v>11.518797739843784</v>
      </c>
      <c r="DB97">
        <v>968019627.72819901</v>
      </c>
      <c r="DC97">
        <v>0.16148929614573718</v>
      </c>
      <c r="DD97">
        <v>5.1702827597018626</v>
      </c>
      <c r="DE97">
        <v>2156636845.2627869</v>
      </c>
      <c r="DF97">
        <v>0.14959008485078812</v>
      </c>
      <c r="DG97">
        <v>2.7875558168136663</v>
      </c>
      <c r="DH97">
        <v>4000071400.452014</v>
      </c>
      <c r="DI97">
        <v>0.13599098622798919</v>
      </c>
      <c r="DJ97">
        <v>1.1224827333657148</v>
      </c>
      <c r="DK97">
        <v>9933713872.4316521</v>
      </c>
      <c r="DL97">
        <v>0.11899211294949054</v>
      </c>
      <c r="DM97">
        <v>268000000.00000003</v>
      </c>
      <c r="DN97">
        <v>0.1699887327849865</v>
      </c>
      <c r="DO97">
        <v>11150422300</v>
      </c>
      <c r="DP97">
        <v>2015849700</v>
      </c>
      <c r="DQ97" s="10">
        <v>3206</v>
      </c>
      <c r="DR97">
        <v>-0.14697082997168689</v>
      </c>
      <c r="DS97">
        <v>0.23110706048688368</v>
      </c>
      <c r="DT97">
        <v>-5.6666666666666719E-2</v>
      </c>
      <c r="DU97">
        <v>4.0000000000000036E-2</v>
      </c>
      <c r="DV97">
        <v>-1.6666666666666684E-2</v>
      </c>
      <c r="DW97">
        <v>5.1637239165329056</v>
      </c>
      <c r="DX97">
        <v>0.38344812075471735</v>
      </c>
      <c r="DY97">
        <v>5.0251231273145764</v>
      </c>
      <c r="DZ97">
        <v>2314</v>
      </c>
      <c r="EA97">
        <v>5.0137597737950435</v>
      </c>
      <c r="EB97" s="11">
        <v>5</v>
      </c>
      <c r="EC97" s="11">
        <v>3.4328274671108723E-2</v>
      </c>
      <c r="ED97">
        <v>0.2237125889236436</v>
      </c>
      <c r="EE97">
        <v>-1.01251</v>
      </c>
      <c r="EF97">
        <v>-1.00901</v>
      </c>
      <c r="EG97">
        <v>23.153448120754717</v>
      </c>
      <c r="EH97" s="13" t="s">
        <v>1265</v>
      </c>
      <c r="EI97">
        <v>1</v>
      </c>
      <c r="EJ97">
        <v>0</v>
      </c>
      <c r="EK97">
        <v>45385</v>
      </c>
      <c r="EL97">
        <v>1.1000000000000001</v>
      </c>
      <c r="EM97">
        <v>0.36</v>
      </c>
      <c r="EN97" s="14">
        <v>3.61</v>
      </c>
      <c r="EO97" s="14">
        <v>0.7</v>
      </c>
      <c r="EP97" s="14">
        <v>0.35</v>
      </c>
    </row>
    <row r="98" spans="1:146" ht="108">
      <c r="A98" s="6"/>
      <c r="B98" s="6"/>
      <c r="C98" s="6" t="str">
        <f>""&amp;CHAR(10)&amp;Basic_Fundamental_Information_Constructure(F98)&amp;CHAR(10)&amp;Basic_Fundamental_Information_Concatenate("")</f>
        <v xml:space="preserve">
市值39.773707亿, 利润2.71亿; PE; 平均PE5.86; 平均PEG.24, PB.368; ROIC4.135%; ROE1.3333%; 股利率0%; 毛利16.26%; 净利-2.8767%; 上一年度营收增-93.02%, 利润增-28.87%; 当季营收增1185.98%, 利润增37.99%; 过往5年营收增-24.24%, 利润增-19.87%
Income profile:
</v>
      </c>
      <c r="D98" t="s">
        <v>857</v>
      </c>
      <c r="E98" t="s">
        <v>858</v>
      </c>
      <c r="F98">
        <v>2.6</v>
      </c>
      <c r="G98">
        <v>0.78</v>
      </c>
      <c r="H98" t="s">
        <v>4176</v>
      </c>
      <c r="I98">
        <v>3977370700</v>
      </c>
      <c r="K98">
        <v>0.36799999999999999</v>
      </c>
      <c r="L98" t="s">
        <v>361</v>
      </c>
      <c r="M98" t="s">
        <v>4177</v>
      </c>
      <c r="N98" t="s">
        <v>4178</v>
      </c>
      <c r="O98" t="s">
        <v>4179</v>
      </c>
      <c r="P98">
        <v>-16.14</v>
      </c>
      <c r="Q98" t="s">
        <v>4130</v>
      </c>
      <c r="R98">
        <v>-3676414</v>
      </c>
      <c r="S98" s="5">
        <v>-1.0449999999999999</v>
      </c>
      <c r="T98" t="s">
        <v>278</v>
      </c>
      <c r="U98">
        <v>1529758000</v>
      </c>
      <c r="V98">
        <v>1529758000</v>
      </c>
      <c r="W98">
        <v>4.79</v>
      </c>
      <c r="X98">
        <v>0.05</v>
      </c>
      <c r="Y98">
        <v>0.26</v>
      </c>
      <c r="Z98" t="s">
        <v>1755</v>
      </c>
      <c r="AA98" t="s">
        <v>4180</v>
      </c>
      <c r="AB98" t="s">
        <v>4181</v>
      </c>
      <c r="AC98" t="s">
        <v>4182</v>
      </c>
      <c r="AD98" t="s">
        <v>19</v>
      </c>
      <c r="AE98">
        <v>347462810</v>
      </c>
      <c r="AF98" t="s">
        <v>4183</v>
      </c>
      <c r="AG98" t="s">
        <v>19</v>
      </c>
      <c r="AH98" t="s">
        <v>4184</v>
      </c>
      <c r="AI98" t="s">
        <v>4185</v>
      </c>
      <c r="AJ98" t="s">
        <v>4186</v>
      </c>
      <c r="AK98" t="s">
        <v>4187</v>
      </c>
      <c r="AL98" t="s">
        <v>4188</v>
      </c>
      <c r="AM98" t="s">
        <v>19</v>
      </c>
      <c r="AN98" t="s">
        <v>4189</v>
      </c>
      <c r="AO98" t="s">
        <v>4190</v>
      </c>
      <c r="AP98" t="s">
        <v>321</v>
      </c>
      <c r="AQ98" t="s">
        <v>4191</v>
      </c>
      <c r="AR98" t="s">
        <v>19</v>
      </c>
      <c r="AS98" t="s">
        <v>4192</v>
      </c>
      <c r="AT98" t="s">
        <v>4193</v>
      </c>
      <c r="AU98" t="s">
        <v>59</v>
      </c>
      <c r="AV98" t="s">
        <v>4194</v>
      </c>
      <c r="AW98" t="s">
        <v>4195</v>
      </c>
      <c r="AX98" t="s">
        <v>1834</v>
      </c>
      <c r="AY98" t="s">
        <v>1412</v>
      </c>
      <c r="AZ98" t="s">
        <v>859</v>
      </c>
      <c r="BA98" t="s">
        <v>860</v>
      </c>
      <c r="BB98" t="s">
        <v>861</v>
      </c>
      <c r="BC98" t="s">
        <v>185</v>
      </c>
      <c r="BD98" t="s">
        <v>1148</v>
      </c>
      <c r="BE98" t="s">
        <v>233</v>
      </c>
      <c r="BF98" t="s">
        <v>862</v>
      </c>
      <c r="BG98" t="s">
        <v>632</v>
      </c>
      <c r="BH98" t="s">
        <v>4052</v>
      </c>
      <c r="BI98" t="s">
        <v>157</v>
      </c>
      <c r="BJ98" t="s">
        <v>1834</v>
      </c>
      <c r="BK98" t="s">
        <v>4196</v>
      </c>
      <c r="BL98" t="s">
        <v>4197</v>
      </c>
      <c r="BM98" t="s">
        <v>185</v>
      </c>
      <c r="BN98" t="s">
        <v>19</v>
      </c>
      <c r="BO98">
        <v>3.85</v>
      </c>
      <c r="BP98">
        <v>4.42</v>
      </c>
      <c r="BQ98">
        <v>-4.8499999999999996</v>
      </c>
      <c r="BR98">
        <v>3.13</v>
      </c>
      <c r="BS98">
        <v>5.72</v>
      </c>
      <c r="BT98" t="s">
        <v>1571</v>
      </c>
      <c r="BU98" t="s">
        <v>1344</v>
      </c>
      <c r="BV98">
        <v>16.829999999999998</v>
      </c>
      <c r="BW98">
        <v>15.55</v>
      </c>
      <c r="BX98">
        <v>16.399999999999999</v>
      </c>
      <c r="BY98">
        <v>-14.79</v>
      </c>
      <c r="BZ98">
        <v>2.64</v>
      </c>
      <c r="CA98">
        <v>3.52</v>
      </c>
      <c r="CB98">
        <v>-5.1100000000000003</v>
      </c>
      <c r="CC98">
        <v>-5.8</v>
      </c>
      <c r="CD98" t="s">
        <v>82</v>
      </c>
      <c r="CE98" t="s">
        <v>4198</v>
      </c>
      <c r="CF98" s="8">
        <v>11.859813084112149</v>
      </c>
      <c r="CG98" s="9">
        <v>0.379853583658047</v>
      </c>
      <c r="CH98" s="8">
        <v>-0.93015581369400024</v>
      </c>
      <c r="CI98" s="8">
        <v>-0.27122983336448669</v>
      </c>
      <c r="CJ98" s="8">
        <v>9.9004857242107391E-2</v>
      </c>
      <c r="CK98" s="8">
        <v>-0.16987906396389008</v>
      </c>
      <c r="CL98" s="8">
        <v>6.0060311108827591E-2</v>
      </c>
      <c r="CM98" s="9">
        <v>-0.28871390223503113</v>
      </c>
      <c r="CN98" s="9">
        <v>-0.42878559231758118</v>
      </c>
      <c r="CO98" s="9">
        <v>-0.17552533745765686</v>
      </c>
      <c r="CP98" s="9">
        <v>-0.20763957500457764</v>
      </c>
      <c r="CQ98" s="9">
        <v>0.10737527161836624</v>
      </c>
      <c r="CR98">
        <v>5.862005453205601</v>
      </c>
      <c r="CS98">
        <v>0.24179209968545812</v>
      </c>
      <c r="CT98">
        <v>0</v>
      </c>
      <c r="CU98" s="8">
        <v>-0.2424399085342884</v>
      </c>
      <c r="CV98" s="9">
        <v>-0.19865782707929611</v>
      </c>
      <c r="CW98">
        <v>0.06</v>
      </c>
      <c r="CX98" t="e">
        <v>#VALUE!</v>
      </c>
      <c r="CY98" t="s">
        <v>1284</v>
      </c>
      <c r="CZ98">
        <v>-0.2424399085342884</v>
      </c>
      <c r="DA98">
        <v>46.685572816728168</v>
      </c>
      <c r="DB98" t="s">
        <v>4199</v>
      </c>
      <c r="DC98">
        <v>-0.23031791310757396</v>
      </c>
      <c r="DD98">
        <v>23.342786408364084</v>
      </c>
      <c r="DE98" t="s">
        <v>4200</v>
      </c>
      <c r="DF98">
        <v>-0.21334711951017379</v>
      </c>
      <c r="DG98">
        <v>14.005671845018449</v>
      </c>
      <c r="DH98" t="s">
        <v>4201</v>
      </c>
      <c r="DI98">
        <v>-0.19395192682743073</v>
      </c>
      <c r="DJ98">
        <v>7.0028359225092247</v>
      </c>
      <c r="DK98" t="s">
        <v>4202</v>
      </c>
      <c r="DL98">
        <v>-0.16970793597400188</v>
      </c>
      <c r="DM98">
        <v>271000000</v>
      </c>
      <c r="DN98">
        <v>-0.2424399085342884</v>
      </c>
      <c r="DO98">
        <v>37955370700</v>
      </c>
      <c r="DP98">
        <v>2645475000</v>
      </c>
      <c r="DQ98">
        <v>3214</v>
      </c>
      <c r="DR98">
        <v>12.102252992646438</v>
      </c>
      <c r="DS98">
        <v>0.57851141073734313</v>
      </c>
      <c r="DT98" s="10">
        <v>-1.04</v>
      </c>
      <c r="DU98">
        <v>-1.2450000000000001</v>
      </c>
      <c r="DV98">
        <v>-2.2850000000000001</v>
      </c>
      <c r="DW98">
        <v>-8.8810344827586203</v>
      </c>
      <c r="DX98">
        <v>0.27606837606837653</v>
      </c>
      <c r="DY98">
        <v>-8.1110705865016204</v>
      </c>
      <c r="DZ98">
        <v>3432</v>
      </c>
      <c r="EA98">
        <v>-8.036472885352195</v>
      </c>
      <c r="EB98">
        <v>8</v>
      </c>
      <c r="EC98">
        <v>7.7136383663298377E-2</v>
      </c>
      <c r="ED98">
        <v>0.61186148397328199</v>
      </c>
      <c r="EE98" s="11">
        <v>2.0581999999999998</v>
      </c>
      <c r="EF98">
        <v>2.0167999999999999</v>
      </c>
      <c r="EG98">
        <v>15.126068376068377</v>
      </c>
      <c r="EH98" t="s">
        <v>1259</v>
      </c>
      <c r="EI98">
        <v>0</v>
      </c>
      <c r="EJ98">
        <v>0</v>
      </c>
      <c r="EK98" s="13">
        <v>45470</v>
      </c>
      <c r="EL98" s="14">
        <v>0</v>
      </c>
      <c r="EM98" s="14">
        <v>-4.49</v>
      </c>
      <c r="EN98" s="14">
        <v>1.57</v>
      </c>
      <c r="EO98" s="14">
        <v>2.7</v>
      </c>
      <c r="EP98" s="14">
        <v>-4.1399999999999997</v>
      </c>
    </row>
    <row r="99" spans="1:146" ht="276">
      <c r="A99" s="6" t="s">
        <v>1104</v>
      </c>
      <c r="B99" s="6"/>
      <c r="C99" s="6" t="s">
        <v>1105</v>
      </c>
      <c r="D99" t="s">
        <v>863</v>
      </c>
      <c r="E99" t="s">
        <v>864</v>
      </c>
      <c r="F99">
        <v>2.46</v>
      </c>
      <c r="G99">
        <v>-0.81</v>
      </c>
      <c r="H99" t="s">
        <v>4203</v>
      </c>
      <c r="I99">
        <v>4951695700</v>
      </c>
      <c r="J99">
        <v>10.64</v>
      </c>
      <c r="K99">
        <v>0.58699999999999997</v>
      </c>
      <c r="L99" t="s">
        <v>361</v>
      </c>
      <c r="M99" t="s">
        <v>4204</v>
      </c>
      <c r="N99" t="s">
        <v>4205</v>
      </c>
      <c r="O99" t="s">
        <v>2039</v>
      </c>
      <c r="P99">
        <v>-8.25</v>
      </c>
      <c r="Q99" t="s">
        <v>4206</v>
      </c>
      <c r="R99">
        <v>97487688</v>
      </c>
      <c r="S99" s="5">
        <v>-0.45929999999999999</v>
      </c>
      <c r="T99" t="s">
        <v>1074</v>
      </c>
      <c r="U99">
        <v>2012884400</v>
      </c>
      <c r="V99">
        <v>2012884400</v>
      </c>
      <c r="W99">
        <v>2.66</v>
      </c>
      <c r="X99">
        <v>0.15</v>
      </c>
      <c r="Y99">
        <v>2.86</v>
      </c>
      <c r="Z99" t="s">
        <v>4207</v>
      </c>
      <c r="AA99" t="s">
        <v>4208</v>
      </c>
      <c r="AB99" t="s">
        <v>4209</v>
      </c>
      <c r="AC99" t="s">
        <v>122</v>
      </c>
      <c r="AD99" t="s">
        <v>19</v>
      </c>
      <c r="AE99">
        <v>16692360</v>
      </c>
      <c r="AF99" t="s">
        <v>4210</v>
      </c>
      <c r="AG99" t="s">
        <v>4211</v>
      </c>
      <c r="AH99" t="s">
        <v>4212</v>
      </c>
      <c r="AI99" t="s">
        <v>4213</v>
      </c>
      <c r="AJ99" t="s">
        <v>4214</v>
      </c>
      <c r="AK99" t="s">
        <v>243</v>
      </c>
      <c r="AL99" t="s">
        <v>4215</v>
      </c>
      <c r="AM99" t="s">
        <v>19</v>
      </c>
      <c r="AN99" t="s">
        <v>4216</v>
      </c>
      <c r="AO99" t="s">
        <v>2065</v>
      </c>
      <c r="AP99" t="s">
        <v>4217</v>
      </c>
      <c r="AQ99" t="s">
        <v>4218</v>
      </c>
      <c r="AR99" t="s">
        <v>19</v>
      </c>
      <c r="AS99" t="s">
        <v>4219</v>
      </c>
      <c r="AT99" t="s">
        <v>1385</v>
      </c>
      <c r="AU99" t="s">
        <v>101</v>
      </c>
      <c r="AV99" t="s">
        <v>4220</v>
      </c>
      <c r="AW99" t="s">
        <v>4221</v>
      </c>
      <c r="AX99" t="s">
        <v>4222</v>
      </c>
      <c r="AY99" t="s">
        <v>1413</v>
      </c>
      <c r="AZ99" t="s">
        <v>865</v>
      </c>
      <c r="BA99" t="s">
        <v>866</v>
      </c>
      <c r="BB99" t="s">
        <v>867</v>
      </c>
      <c r="BC99" t="s">
        <v>4223</v>
      </c>
      <c r="BD99" t="s">
        <v>1092</v>
      </c>
      <c r="BE99" t="s">
        <v>236</v>
      </c>
      <c r="BF99" t="s">
        <v>170</v>
      </c>
      <c r="BG99" t="s">
        <v>97</v>
      </c>
      <c r="BH99" t="s">
        <v>4224</v>
      </c>
      <c r="BI99" t="s">
        <v>4225</v>
      </c>
      <c r="BJ99" t="s">
        <v>4222</v>
      </c>
      <c r="BK99" t="s">
        <v>4226</v>
      </c>
      <c r="BL99" t="s">
        <v>272</v>
      </c>
      <c r="BM99" t="s">
        <v>4223</v>
      </c>
      <c r="BN99">
        <v>4.99</v>
      </c>
      <c r="BO99">
        <v>7.4</v>
      </c>
      <c r="BP99">
        <v>8.4700000000000006</v>
      </c>
      <c r="BQ99">
        <v>6.49</v>
      </c>
      <c r="BR99">
        <v>9.0299999999999994</v>
      </c>
      <c r="BS99">
        <v>9.56</v>
      </c>
      <c r="BT99" t="s">
        <v>1583</v>
      </c>
      <c r="BU99" t="s">
        <v>1336</v>
      </c>
      <c r="BV99">
        <v>13</v>
      </c>
      <c r="BW99">
        <v>14.13</v>
      </c>
      <c r="BX99">
        <v>13.4</v>
      </c>
      <c r="BY99">
        <v>3.46</v>
      </c>
      <c r="BZ99">
        <v>4.5599999999999996</v>
      </c>
      <c r="CA99">
        <v>4.62</v>
      </c>
      <c r="CB99">
        <v>-1.6</v>
      </c>
      <c r="CC99">
        <v>-12.14</v>
      </c>
      <c r="CD99" t="s">
        <v>4227</v>
      </c>
      <c r="CE99" t="s">
        <v>93</v>
      </c>
      <c r="CF99" s="8">
        <v>-0.41249354672173466</v>
      </c>
      <c r="CG99" s="9">
        <v>-0.84525763809523813</v>
      </c>
      <c r="CH99" s="8">
        <v>0.39700925350189209</v>
      </c>
      <c r="CI99" s="8">
        <v>3.791031613945961E-2</v>
      </c>
      <c r="CJ99" s="8">
        <v>0.31844303011894226</v>
      </c>
      <c r="CK99" s="8">
        <v>0.1220322847366333</v>
      </c>
      <c r="CL99" s="8">
        <v>0.18584170937538147</v>
      </c>
      <c r="CM99" s="9">
        <v>1.0500714778900146</v>
      </c>
      <c r="CN99" s="9">
        <v>1.7467249184846878E-2</v>
      </c>
      <c r="CO99" s="9">
        <v>6.1823803931474686E-2</v>
      </c>
      <c r="CP99" s="9">
        <v>0.60545903444290161</v>
      </c>
      <c r="CQ99" s="9">
        <v>1.251396656036377</v>
      </c>
      <c r="CR99">
        <v>7.3394699110671944</v>
      </c>
      <c r="CS99">
        <v>0.34579800364245178</v>
      </c>
      <c r="CT99">
        <v>2.4390243902439024</v>
      </c>
      <c r="CU99" s="8">
        <v>0.21224731877446174</v>
      </c>
      <c r="CV99" s="9">
        <v>0.59724364429712296</v>
      </c>
      <c r="CW99">
        <v>0.06</v>
      </c>
      <c r="CX99">
        <v>6.7735858617309503</v>
      </c>
      <c r="CY99">
        <v>1638821139.4375508</v>
      </c>
      <c r="CZ99">
        <v>0.21224731877446174</v>
      </c>
      <c r="DA99">
        <v>1.9988278448097279</v>
      </c>
      <c r="DB99">
        <v>5553602692.1101332</v>
      </c>
      <c r="DC99">
        <v>0.20163495283573865</v>
      </c>
      <c r="DD99">
        <v>0.85345142585078604</v>
      </c>
      <c r="DE99">
        <v>13006827762.850092</v>
      </c>
      <c r="DF99">
        <v>0.18677764052152632</v>
      </c>
      <c r="DG99">
        <v>0.43292607739698907</v>
      </c>
      <c r="DH99">
        <v>25641088120.04126</v>
      </c>
      <c r="DI99">
        <v>0.1697978550195694</v>
      </c>
      <c r="DJ99">
        <v>0.15016943482718503</v>
      </c>
      <c r="DK99">
        <v>73921139230.327927</v>
      </c>
      <c r="DL99">
        <v>0.1485731231421232</v>
      </c>
      <c r="DM99">
        <v>1433000000</v>
      </c>
      <c r="DN99">
        <v>0.21224731877446174</v>
      </c>
      <c r="DO99">
        <v>11100695700</v>
      </c>
      <c r="DP99">
        <v>6327912000</v>
      </c>
      <c r="DQ99">
        <v>3217</v>
      </c>
      <c r="DR99">
        <v>-0.62474086549619634</v>
      </c>
      <c r="DS99">
        <v>-1.4425012823923611</v>
      </c>
      <c r="DT99" s="10">
        <v>-4.0000000000000036E-2</v>
      </c>
      <c r="DU99">
        <v>0.32666666666666661</v>
      </c>
      <c r="DV99">
        <v>0.28666666666666657</v>
      </c>
      <c r="DW99">
        <v>-2.1214</v>
      </c>
      <c r="DX99">
        <v>0.48470324483775501</v>
      </c>
      <c r="DY99">
        <v>-2.0187809739233038</v>
      </c>
      <c r="DZ99">
        <v>3631</v>
      </c>
      <c r="EA99">
        <v>-2.0054358239594063</v>
      </c>
      <c r="EB99">
        <v>2</v>
      </c>
      <c r="EC99">
        <v>2.6054352649362275E-2</v>
      </c>
      <c r="ED99">
        <v>0.16841503665088764</v>
      </c>
      <c r="EE99" s="11">
        <v>2.4399999999999998E-2</v>
      </c>
      <c r="EF99">
        <v>1.5000000000000003E-2</v>
      </c>
      <c r="EG99">
        <v>33.154703244837755</v>
      </c>
      <c r="EH99" t="s">
        <v>1261</v>
      </c>
      <c r="EI99">
        <v>0</v>
      </c>
      <c r="EJ99">
        <v>0</v>
      </c>
      <c r="EK99" s="13">
        <v>45470</v>
      </c>
      <c r="EL99" s="14">
        <v>0.31</v>
      </c>
      <c r="EM99" s="14">
        <v>-3.44</v>
      </c>
      <c r="EN99" s="14">
        <v>1.29</v>
      </c>
      <c r="EO99" s="14">
        <v>1.92</v>
      </c>
      <c r="EP99" s="14">
        <v>-0.94</v>
      </c>
    </row>
    <row r="100" spans="1:146" ht="108">
      <c r="A100" s="6"/>
      <c r="B100" s="6"/>
      <c r="C100" s="6" t="str">
        <f>""&amp;CHAR(10)&amp;Basic_Fundamental_Information_Constructure(F100)&amp;CHAR(10)&amp;Basic_Fundamental_Information_Concatenate("")</f>
        <v xml:space="preserve">
市值73.639306亿, 利润5797.34万; PE4.86; 平均PE9.31; 平均PEG2.33, PB.72; ROIC4.1833%; ROE10.09%; 股利率6.0606%; 毛利11.7633%; 净利2.1767%; 上一年度营收增-99.8%, 利润增-95.8%; 当季营收增129365.99%, 利润增2588.2%; 过往5年营收增-4%, 利润增-4.83%
Income profile:
</v>
      </c>
      <c r="D100" t="s">
        <v>869</v>
      </c>
      <c r="E100" t="s">
        <v>870</v>
      </c>
      <c r="F100">
        <v>4.29</v>
      </c>
      <c r="G100">
        <v>-0.23</v>
      </c>
      <c r="H100" t="s">
        <v>4228</v>
      </c>
      <c r="I100">
        <v>7363930600</v>
      </c>
      <c r="J100">
        <v>4.8600000000000003</v>
      </c>
      <c r="K100">
        <v>0.72</v>
      </c>
      <c r="L100" t="s">
        <v>361</v>
      </c>
      <c r="M100" t="s">
        <v>4229</v>
      </c>
      <c r="N100" t="s">
        <v>4230</v>
      </c>
      <c r="O100" t="s">
        <v>4231</v>
      </c>
      <c r="P100">
        <v>-16.25</v>
      </c>
      <c r="Q100" t="s">
        <v>49</v>
      </c>
      <c r="R100">
        <v>310215750</v>
      </c>
      <c r="S100" s="5">
        <v>-0.1075</v>
      </c>
      <c r="T100" t="s">
        <v>4232</v>
      </c>
      <c r="U100">
        <v>1716533900</v>
      </c>
      <c r="V100">
        <v>1716533900</v>
      </c>
      <c r="W100">
        <v>7.01</v>
      </c>
      <c r="X100">
        <v>0.08</v>
      </c>
      <c r="Y100">
        <v>2.93</v>
      </c>
      <c r="Z100" t="s">
        <v>4233</v>
      </c>
      <c r="AA100" t="s">
        <v>4234</v>
      </c>
      <c r="AB100" t="s">
        <v>4235</v>
      </c>
      <c r="AC100" t="s">
        <v>456</v>
      </c>
      <c r="AD100" t="s">
        <v>19</v>
      </c>
      <c r="AE100">
        <v>484177820</v>
      </c>
      <c r="AF100" t="s">
        <v>4236</v>
      </c>
      <c r="AG100" t="s">
        <v>4237</v>
      </c>
      <c r="AH100" t="s">
        <v>4238</v>
      </c>
      <c r="AI100" t="s">
        <v>4239</v>
      </c>
      <c r="AJ100" t="s">
        <v>4240</v>
      </c>
      <c r="AK100" t="s">
        <v>146</v>
      </c>
      <c r="AL100" t="s">
        <v>4241</v>
      </c>
      <c r="AM100" t="s">
        <v>19</v>
      </c>
      <c r="AN100" t="s">
        <v>1882</v>
      </c>
      <c r="AO100" t="s">
        <v>4242</v>
      </c>
      <c r="AP100" t="s">
        <v>4243</v>
      </c>
      <c r="AQ100" t="s">
        <v>4244</v>
      </c>
      <c r="AR100" t="s">
        <v>4245</v>
      </c>
      <c r="AS100" t="s">
        <v>4246</v>
      </c>
      <c r="AT100" t="s">
        <v>4247</v>
      </c>
      <c r="AU100" t="s">
        <v>4248</v>
      </c>
      <c r="AV100" t="s">
        <v>4249</v>
      </c>
      <c r="AW100" t="s">
        <v>4250</v>
      </c>
      <c r="AX100" t="s">
        <v>1731</v>
      </c>
      <c r="AY100" t="s">
        <v>1414</v>
      </c>
      <c r="AZ100" t="s">
        <v>871</v>
      </c>
      <c r="BA100" t="s">
        <v>872</v>
      </c>
      <c r="BB100" t="s">
        <v>873</v>
      </c>
      <c r="BC100" t="s">
        <v>1732</v>
      </c>
      <c r="BD100" t="s">
        <v>845</v>
      </c>
      <c r="BE100" t="s">
        <v>201</v>
      </c>
      <c r="BF100" t="s">
        <v>293</v>
      </c>
      <c r="BG100" t="s">
        <v>214</v>
      </c>
      <c r="BH100" t="s">
        <v>4251</v>
      </c>
      <c r="BI100" t="s">
        <v>4252</v>
      </c>
      <c r="BJ100" t="s">
        <v>1731</v>
      </c>
      <c r="BK100" t="s">
        <v>4253</v>
      </c>
      <c r="BL100" t="s">
        <v>4254</v>
      </c>
      <c r="BM100" t="s">
        <v>1732</v>
      </c>
      <c r="BN100">
        <v>3.32</v>
      </c>
      <c r="BO100">
        <v>4.87</v>
      </c>
      <c r="BP100">
        <v>4.3600000000000003</v>
      </c>
      <c r="BQ100">
        <v>8.1</v>
      </c>
      <c r="BR100">
        <v>11.76</v>
      </c>
      <c r="BS100">
        <v>10.41</v>
      </c>
      <c r="BT100" t="s">
        <v>4255</v>
      </c>
      <c r="BU100" t="s">
        <v>1342</v>
      </c>
      <c r="BV100">
        <v>12.44</v>
      </c>
      <c r="BW100">
        <v>11.67</v>
      </c>
      <c r="BX100">
        <v>11.18</v>
      </c>
      <c r="BY100">
        <v>2.2599999999999998</v>
      </c>
      <c r="BZ100">
        <v>2.29</v>
      </c>
      <c r="CA100">
        <v>1.98</v>
      </c>
      <c r="CB100">
        <v>-0.23</v>
      </c>
      <c r="CC100">
        <v>-9.68</v>
      </c>
      <c r="CD100" t="s">
        <v>4256</v>
      </c>
      <c r="CE100" t="s">
        <v>4257</v>
      </c>
      <c r="CF100" s="8">
        <v>1293.6599342054931</v>
      </c>
      <c r="CG100" s="9">
        <v>25.881953078002809</v>
      </c>
      <c r="CH100" s="8">
        <v>-0.99799054861068726</v>
      </c>
      <c r="CI100" s="8">
        <v>0.12307257205247879</v>
      </c>
      <c r="CJ100" s="8">
        <v>0.25219401717185974</v>
      </c>
      <c r="CK100" s="8">
        <v>0.20534846186637878</v>
      </c>
      <c r="CL100" s="8">
        <v>0.21731744706630707</v>
      </c>
      <c r="CM100" s="9">
        <v>-0.95799028873443604</v>
      </c>
      <c r="CN100" s="9">
        <v>0.25912410020828247</v>
      </c>
      <c r="CO100" s="9">
        <v>0.34313726425170898</v>
      </c>
      <c r="CP100" s="9">
        <v>0.36912751197814941</v>
      </c>
      <c r="CQ100" s="9">
        <v>-0.25499999523162842</v>
      </c>
      <c r="CR100">
        <v>9.3096989544863451</v>
      </c>
      <c r="CS100">
        <v>2.3267493943320825</v>
      </c>
      <c r="CT100">
        <v>6.0606060606060606</v>
      </c>
      <c r="CU100" s="8">
        <v>-4.0011610090732577E-2</v>
      </c>
      <c r="CV100" s="9">
        <v>-4.832028150558472E-2</v>
      </c>
      <c r="CW100">
        <v>0.06</v>
      </c>
      <c r="CX100">
        <v>2250.8069321447424</v>
      </c>
      <c r="CY100" t="s">
        <v>4258</v>
      </c>
      <c r="CZ100">
        <v>-4.0011610090732577E-2</v>
      </c>
      <c r="DA100">
        <v>750.26897738158073</v>
      </c>
      <c r="DB100" t="s">
        <v>4259</v>
      </c>
      <c r="DC100">
        <v>-3.8011029586195948E-2</v>
      </c>
      <c r="DD100">
        <v>375.13448869079036</v>
      </c>
      <c r="DE100" t="s">
        <v>4260</v>
      </c>
      <c r="DF100">
        <v>-3.5210216879844665E-2</v>
      </c>
      <c r="DG100">
        <v>225.08069321447422</v>
      </c>
      <c r="DH100" t="s">
        <v>4261</v>
      </c>
      <c r="DI100">
        <v>-3.2009288072586066E-2</v>
      </c>
      <c r="DJ100">
        <v>112.54034660723711</v>
      </c>
      <c r="DK100" t="s">
        <v>4262</v>
      </c>
      <c r="DL100">
        <v>-2.8008127063512803E-2</v>
      </c>
      <c r="DM100">
        <v>57973400</v>
      </c>
      <c r="DN100">
        <v>-4.0011610090732577E-2</v>
      </c>
      <c r="DO100">
        <v>130486930600</v>
      </c>
      <c r="DP100">
        <v>8218555000</v>
      </c>
      <c r="DQ100">
        <v>3223</v>
      </c>
      <c r="DR100">
        <v>1293.6999458155838</v>
      </c>
      <c r="DS100">
        <v>25.930273359508394</v>
      </c>
      <c r="DT100" s="10">
        <v>-0.42333333333333339</v>
      </c>
      <c r="DU100">
        <v>-3.3333333333333326E-2</v>
      </c>
      <c r="DV100">
        <v>-0.45666666666666672</v>
      </c>
      <c r="DW100">
        <v>-2.0968</v>
      </c>
      <c r="DX100">
        <v>0.31716980204778139</v>
      </c>
      <c r="DY100">
        <v>-2.0123100368382252</v>
      </c>
      <c r="DZ100">
        <v>3302</v>
      </c>
      <c r="EA100">
        <v>-2.0043554885721155</v>
      </c>
      <c r="EB100">
        <v>2</v>
      </c>
      <c r="EC100">
        <v>4.341394014997315E-2</v>
      </c>
      <c r="ED100">
        <v>0.34138562599899719</v>
      </c>
      <c r="EE100" s="11">
        <v>2.4210000000000002E-2</v>
      </c>
      <c r="EF100">
        <v>4.1710000000000004E-2</v>
      </c>
      <c r="EG100">
        <v>19.127169802047781</v>
      </c>
      <c r="EH100">
        <v>-1</v>
      </c>
      <c r="EI100">
        <v>0</v>
      </c>
      <c r="EJ100">
        <v>0</v>
      </c>
      <c r="EK100" s="13">
        <v>45470</v>
      </c>
      <c r="EL100" s="14">
        <v>-0.52</v>
      </c>
      <c r="EM100" s="14">
        <v>-6.14</v>
      </c>
      <c r="EN100" s="14">
        <v>4.3899999999999997</v>
      </c>
      <c r="EO100" s="14">
        <v>0.31</v>
      </c>
      <c r="EP100" s="14">
        <v>-1.75</v>
      </c>
    </row>
    <row r="101" spans="1:146" ht="108">
      <c r="A101" s="6"/>
      <c r="B101" s="6"/>
      <c r="C101" s="6" t="str">
        <f>""&amp;CHAR(10)&amp;Basic_Fundamental_Information_Constructure(F101)&amp;CHAR(10)&amp;Basic_Fundamental_Information_Concatenate("")</f>
        <v xml:space="preserve">
市值30.539044亿, 利润1.35亿; PE96.89; 平均PE8.81; 平均PEG26.85, PB.485; ROIC6.27%; ROE5.6933%; 股利率1.0471%; 毛利14.2133%; 净利4.78%; 上一年度营收增-62.78%, 利润增717.6%; 当季营收增67.26%, 利润增271.66%; 过往5年营收增-.33%, 利润增488.18%
Income profile:
</v>
      </c>
      <c r="D101" t="s">
        <v>874</v>
      </c>
      <c r="E101" t="s">
        <v>875</v>
      </c>
      <c r="F101">
        <v>1.91</v>
      </c>
      <c r="G101">
        <v>0.53</v>
      </c>
      <c r="H101" t="s">
        <v>4263</v>
      </c>
      <c r="I101">
        <v>3053904400</v>
      </c>
      <c r="J101">
        <v>96.89</v>
      </c>
      <c r="K101">
        <v>0.48499999999999999</v>
      </c>
      <c r="L101" t="s">
        <v>361</v>
      </c>
      <c r="M101" t="s">
        <v>4264</v>
      </c>
      <c r="N101" t="s">
        <v>4265</v>
      </c>
      <c r="O101" t="s">
        <v>1843</v>
      </c>
      <c r="P101">
        <v>-7.53</v>
      </c>
      <c r="Q101" t="s">
        <v>4266</v>
      </c>
      <c r="R101">
        <v>115658977</v>
      </c>
      <c r="S101" s="5">
        <v>-0.11849999999999999</v>
      </c>
      <c r="T101" t="s">
        <v>72</v>
      </c>
      <c r="U101">
        <v>1587405200</v>
      </c>
      <c r="V101">
        <v>1598902800</v>
      </c>
      <c r="W101">
        <v>1.68</v>
      </c>
      <c r="X101">
        <v>7.0000000000000007E-2</v>
      </c>
      <c r="Y101">
        <v>15.07</v>
      </c>
      <c r="Z101" t="s">
        <v>2060</v>
      </c>
      <c r="AA101" t="s">
        <v>33</v>
      </c>
      <c r="AB101" t="s">
        <v>4267</v>
      </c>
      <c r="AC101" t="s">
        <v>4268</v>
      </c>
      <c r="AD101" t="s">
        <v>19</v>
      </c>
      <c r="AE101">
        <v>-6171267</v>
      </c>
      <c r="AF101" t="s">
        <v>4269</v>
      </c>
      <c r="AG101">
        <v>1941.75</v>
      </c>
      <c r="AH101" t="s">
        <v>4270</v>
      </c>
      <c r="AI101" t="s">
        <v>4271</v>
      </c>
      <c r="AJ101" t="s">
        <v>4272</v>
      </c>
      <c r="AK101" t="s">
        <v>19</v>
      </c>
      <c r="AL101" t="s">
        <v>4273</v>
      </c>
      <c r="AM101" t="s">
        <v>19</v>
      </c>
      <c r="AN101" t="s">
        <v>4274</v>
      </c>
      <c r="AO101" t="s">
        <v>4275</v>
      </c>
      <c r="AP101" t="s">
        <v>19</v>
      </c>
      <c r="AQ101" t="s">
        <v>4276</v>
      </c>
      <c r="AR101" t="s">
        <v>4277</v>
      </c>
      <c r="AS101" t="s">
        <v>4278</v>
      </c>
      <c r="AT101" t="s">
        <v>19</v>
      </c>
      <c r="AU101" t="s">
        <v>4279</v>
      </c>
      <c r="AV101" t="s">
        <v>1486</v>
      </c>
      <c r="AW101" t="s">
        <v>4280</v>
      </c>
      <c r="AX101" t="s">
        <v>1733</v>
      </c>
      <c r="AY101" t="s">
        <v>1415</v>
      </c>
      <c r="AZ101" t="s">
        <v>876</v>
      </c>
      <c r="BA101" t="s">
        <v>877</v>
      </c>
      <c r="BB101" t="s">
        <v>878</v>
      </c>
      <c r="BC101" t="s">
        <v>1734</v>
      </c>
      <c r="BD101" t="s">
        <v>198</v>
      </c>
      <c r="BE101" t="s">
        <v>245</v>
      </c>
      <c r="BF101" t="s">
        <v>342</v>
      </c>
      <c r="BG101" t="s">
        <v>879</v>
      </c>
      <c r="BH101" t="s">
        <v>4281</v>
      </c>
      <c r="BI101" t="s">
        <v>4282</v>
      </c>
      <c r="BJ101" t="s">
        <v>1733</v>
      </c>
      <c r="BK101" t="s">
        <v>4283</v>
      </c>
      <c r="BL101" t="s">
        <v>4284</v>
      </c>
      <c r="BM101" t="s">
        <v>1734</v>
      </c>
      <c r="BN101">
        <v>2.52</v>
      </c>
      <c r="BO101">
        <v>1.67</v>
      </c>
      <c r="BP101">
        <v>14.62</v>
      </c>
      <c r="BQ101">
        <v>2.39</v>
      </c>
      <c r="BR101">
        <v>0.27</v>
      </c>
      <c r="BS101">
        <v>14.42</v>
      </c>
      <c r="BT101" t="s">
        <v>1579</v>
      </c>
      <c r="BU101" t="s">
        <v>1342</v>
      </c>
      <c r="BV101">
        <v>10.220000000000001</v>
      </c>
      <c r="BW101">
        <v>13.01</v>
      </c>
      <c r="BX101">
        <v>19.41</v>
      </c>
      <c r="BY101">
        <v>0.87</v>
      </c>
      <c r="BZ101">
        <v>1.56</v>
      </c>
      <c r="CA101">
        <v>11.91</v>
      </c>
      <c r="CB101">
        <v>1.06</v>
      </c>
      <c r="CC101">
        <v>-13.96</v>
      </c>
      <c r="CD101" t="s">
        <v>4285</v>
      </c>
      <c r="CE101" t="s">
        <v>1263</v>
      </c>
      <c r="CF101" s="8">
        <v>0.6725663716814162</v>
      </c>
      <c r="CG101" s="9">
        <v>2.7165600467867832</v>
      </c>
      <c r="CH101" s="8">
        <v>-0.62780344486236572</v>
      </c>
      <c r="CI101" s="8">
        <v>-0.15653432905673981</v>
      </c>
      <c r="CJ101" s="8">
        <v>0.17313233017921448</v>
      </c>
      <c r="CK101" s="8">
        <v>0.35141941905021667</v>
      </c>
      <c r="CL101" s="8">
        <v>0.24338175356388092</v>
      </c>
      <c r="CM101" s="9">
        <v>7.1760210990905762</v>
      </c>
      <c r="CN101" s="9">
        <v>-0.97986382246017456</v>
      </c>
      <c r="CO101" s="9">
        <v>0.35090610384941101</v>
      </c>
      <c r="CP101" s="9">
        <v>0.27521008253097534</v>
      </c>
      <c r="CQ101" s="9">
        <v>17.586490631103516</v>
      </c>
      <c r="CR101">
        <v>8.8088242144678368</v>
      </c>
      <c r="CS101">
        <v>26.849178933092535</v>
      </c>
      <c r="CT101">
        <v>1.0471204188481675</v>
      </c>
      <c r="CU101" s="8">
        <v>-3.2808542251586913E-3</v>
      </c>
      <c r="CV101" s="9">
        <v>4.8817528188228607</v>
      </c>
      <c r="CW101">
        <v>0.06</v>
      </c>
      <c r="CX101">
        <v>13.532625185185186</v>
      </c>
      <c r="CY101" t="s">
        <v>4286</v>
      </c>
      <c r="CZ101">
        <v>-3.2808542251586913E-3</v>
      </c>
      <c r="DA101">
        <v>4.5108750617283953</v>
      </c>
      <c r="DB101" t="s">
        <v>4287</v>
      </c>
      <c r="DC101">
        <v>-3.1168115139007567E-3</v>
      </c>
      <c r="DD101">
        <v>2.2554375308641976</v>
      </c>
      <c r="DE101" t="s">
        <v>4288</v>
      </c>
      <c r="DF101">
        <v>-2.8871517181396486E-3</v>
      </c>
      <c r="DG101">
        <v>1.3532625185185185</v>
      </c>
      <c r="DH101" t="s">
        <v>4289</v>
      </c>
      <c r="DI101">
        <v>-2.6246833801269534E-3</v>
      </c>
      <c r="DJ101">
        <v>0.67663125925925927</v>
      </c>
      <c r="DK101" t="s">
        <v>4290</v>
      </c>
      <c r="DL101">
        <v>-2.2965979576110838E-3</v>
      </c>
      <c r="DM101">
        <v>135000000</v>
      </c>
      <c r="DN101">
        <v>-3.2808542251586913E-3</v>
      </c>
      <c r="DO101">
        <v>1826904400</v>
      </c>
      <c r="DP101">
        <v>3015519400</v>
      </c>
      <c r="DQ101">
        <v>3232</v>
      </c>
      <c r="DR101">
        <v>0.67584722590657487</v>
      </c>
      <c r="DS101">
        <v>-2.1651927720360775</v>
      </c>
      <c r="DT101" s="10">
        <v>-0.57333333333333336</v>
      </c>
      <c r="DU101">
        <v>1.345</v>
      </c>
      <c r="DV101">
        <v>0.77166666666666661</v>
      </c>
      <c r="DW101">
        <v>-2.1396000000000002</v>
      </c>
      <c r="DX101">
        <v>0.22649917582417645</v>
      </c>
      <c r="DY101">
        <v>-2.0120752849450549</v>
      </c>
      <c r="DZ101">
        <v>1883</v>
      </c>
      <c r="EA101">
        <v>-2.0076256251502334</v>
      </c>
      <c r="EB101">
        <v>2</v>
      </c>
      <c r="EC101">
        <v>1.9692066334488875E-2</v>
      </c>
      <c r="ED101">
        <v>0.22765611518098536</v>
      </c>
      <c r="EE101" s="11">
        <v>2.0564100000000001</v>
      </c>
      <c r="EF101">
        <v>2.0756100000000002</v>
      </c>
      <c r="EG101">
        <v>14.086499175824176</v>
      </c>
      <c r="EH101" t="s">
        <v>1264</v>
      </c>
      <c r="EI101">
        <v>0</v>
      </c>
      <c r="EJ101">
        <v>0</v>
      </c>
      <c r="EK101" s="13">
        <v>45470</v>
      </c>
      <c r="EL101" s="14">
        <v>-0.45</v>
      </c>
      <c r="EM101" s="14">
        <v>-0.9</v>
      </c>
      <c r="EN101" s="14">
        <v>1.45</v>
      </c>
      <c r="EO101" s="14">
        <v>-0.25</v>
      </c>
      <c r="EP101" s="14">
        <v>-1.92</v>
      </c>
    </row>
    <row r="102" spans="1:146" ht="108">
      <c r="A102" s="6"/>
      <c r="B102" s="6"/>
      <c r="C102" s="6" t="str">
        <f>""&amp;CHAR(10)&amp;Basic_Fundamental_Information_Constructure(F102)&amp;CHAR(10)&amp;Basic_Fundamental_Information_Concatenate("")</f>
        <v xml:space="preserve">
市值42.025076亿, 利润1594.80万; PE10.08; 平均PE17.49; 平均PEG2.01, PB.831; ROIC8.4533%; ROE8.57%; 股利率3.2333%; 毛利22.5767%; 净利4.9833%; 上一年度营收增-77.89%, 利润增-95.86%; 当季营收增269.76%, 利润增534.6%; 过往5年营收增-8.7%, 利润增-4.51%
Income profile:
</v>
      </c>
      <c r="D102" t="s">
        <v>880</v>
      </c>
      <c r="E102" t="s">
        <v>881</v>
      </c>
      <c r="F102">
        <v>4.33</v>
      </c>
      <c r="G102">
        <v>0.7</v>
      </c>
      <c r="H102" t="s">
        <v>4291</v>
      </c>
      <c r="I102">
        <v>4202507600</v>
      </c>
      <c r="J102">
        <v>10.08</v>
      </c>
      <c r="K102">
        <v>0.83099999999999996</v>
      </c>
      <c r="L102" t="s">
        <v>361</v>
      </c>
      <c r="M102" t="s">
        <v>4292</v>
      </c>
      <c r="N102" t="s">
        <v>1928</v>
      </c>
      <c r="O102" t="s">
        <v>4293</v>
      </c>
      <c r="P102">
        <v>-0.68</v>
      </c>
      <c r="Q102" t="s">
        <v>4294</v>
      </c>
      <c r="R102">
        <v>79817474</v>
      </c>
      <c r="S102" s="5">
        <v>-9.4100000000000003E-2</v>
      </c>
      <c r="T102" t="s">
        <v>4295</v>
      </c>
      <c r="U102">
        <v>944658950</v>
      </c>
      <c r="V102">
        <v>970556040</v>
      </c>
      <c r="W102">
        <v>2.79</v>
      </c>
      <c r="X102">
        <v>0.11</v>
      </c>
      <c r="Y102">
        <v>5.28</v>
      </c>
      <c r="Z102" t="s">
        <v>2036</v>
      </c>
      <c r="AA102" t="s">
        <v>4296</v>
      </c>
      <c r="AB102" t="s">
        <v>4297</v>
      </c>
      <c r="AC102" t="s">
        <v>225</v>
      </c>
      <c r="AD102" t="s">
        <v>19</v>
      </c>
      <c r="AE102">
        <v>-805822</v>
      </c>
      <c r="AF102" t="s">
        <v>4298</v>
      </c>
      <c r="AG102" t="s">
        <v>4299</v>
      </c>
      <c r="AH102" t="s">
        <v>4300</v>
      </c>
      <c r="AI102" t="s">
        <v>4301</v>
      </c>
      <c r="AJ102" t="s">
        <v>4302</v>
      </c>
      <c r="AK102" t="s">
        <v>4303</v>
      </c>
      <c r="AL102" t="s">
        <v>4304</v>
      </c>
      <c r="AM102" t="s">
        <v>19</v>
      </c>
      <c r="AN102" t="s">
        <v>4305</v>
      </c>
      <c r="AO102" t="s">
        <v>22</v>
      </c>
      <c r="AP102" t="s">
        <v>4306</v>
      </c>
      <c r="AQ102" t="s">
        <v>4307</v>
      </c>
      <c r="AR102" t="s">
        <v>19</v>
      </c>
      <c r="AS102" t="s">
        <v>4308</v>
      </c>
      <c r="AT102" t="s">
        <v>19</v>
      </c>
      <c r="AU102" t="s">
        <v>4309</v>
      </c>
      <c r="AV102" t="s">
        <v>4310</v>
      </c>
      <c r="AW102" t="s">
        <v>4311</v>
      </c>
      <c r="AX102" t="s">
        <v>1735</v>
      </c>
      <c r="AY102" t="s">
        <v>1417</v>
      </c>
      <c r="AZ102" t="s">
        <v>882</v>
      </c>
      <c r="BA102" t="s">
        <v>883</v>
      </c>
      <c r="BB102" t="s">
        <v>884</v>
      </c>
      <c r="BC102" t="s">
        <v>595</v>
      </c>
      <c r="BD102" t="s">
        <v>823</v>
      </c>
      <c r="BE102" t="s">
        <v>83</v>
      </c>
      <c r="BF102" t="s">
        <v>396</v>
      </c>
      <c r="BG102" t="s">
        <v>120</v>
      </c>
      <c r="BH102" t="s">
        <v>4312</v>
      </c>
      <c r="BI102" t="s">
        <v>149</v>
      </c>
      <c r="BJ102" t="s">
        <v>1735</v>
      </c>
      <c r="BK102" t="s">
        <v>508</v>
      </c>
      <c r="BL102" t="s">
        <v>4313</v>
      </c>
      <c r="BM102" t="s">
        <v>595</v>
      </c>
      <c r="BN102">
        <v>5.29</v>
      </c>
      <c r="BO102">
        <v>9.8000000000000007</v>
      </c>
      <c r="BP102">
        <v>10.27</v>
      </c>
      <c r="BQ102">
        <v>5.66</v>
      </c>
      <c r="BR102">
        <v>9.51</v>
      </c>
      <c r="BS102">
        <v>10.54</v>
      </c>
      <c r="BT102" t="s">
        <v>1671</v>
      </c>
      <c r="BU102" t="s">
        <v>1234</v>
      </c>
      <c r="BV102">
        <v>23.42</v>
      </c>
      <c r="BW102">
        <v>23.88</v>
      </c>
      <c r="BX102">
        <v>20.43</v>
      </c>
      <c r="BY102">
        <v>5.1100000000000003</v>
      </c>
      <c r="BZ102">
        <v>5.52</v>
      </c>
      <c r="CA102">
        <v>4.32</v>
      </c>
      <c r="CB102">
        <v>-0.69</v>
      </c>
      <c r="CC102">
        <v>-14.6</v>
      </c>
      <c r="CD102" t="s">
        <v>4314</v>
      </c>
      <c r="CE102" t="s">
        <v>36</v>
      </c>
      <c r="CF102" s="8">
        <v>2.6975717439293598</v>
      </c>
      <c r="CG102" s="9">
        <v>5.3459514855657231</v>
      </c>
      <c r="CH102" s="8">
        <v>-0.77885574102401733</v>
      </c>
      <c r="CI102" s="8">
        <v>-0.11209272593259811</v>
      </c>
      <c r="CJ102" s="8">
        <v>5.1195722073316574E-2</v>
      </c>
      <c r="CK102" s="8">
        <v>0.19489522278308868</v>
      </c>
      <c r="CL102" s="8">
        <v>0.20976671576499939</v>
      </c>
      <c r="CM102" s="9">
        <v>-0.95857661962509155</v>
      </c>
      <c r="CN102" s="9">
        <v>0.17378048598766327</v>
      </c>
      <c r="CO102" s="9">
        <v>0.88505744934082031</v>
      </c>
      <c r="CP102" s="9">
        <v>-0.36727273464202881</v>
      </c>
      <c r="CQ102" s="9">
        <v>4.1666667908430099E-2</v>
      </c>
      <c r="CR102">
        <v>17.48679258891444</v>
      </c>
      <c r="CS102">
        <v>2.00955666429802</v>
      </c>
      <c r="CT102">
        <v>3.2332563510392607</v>
      </c>
      <c r="CU102" s="8">
        <v>-8.7018161267042163E-2</v>
      </c>
      <c r="CV102" s="9">
        <v>-4.5068950206041333E-2</v>
      </c>
      <c r="CW102">
        <v>0.06</v>
      </c>
      <c r="CX102">
        <v>582.0483822422874</v>
      </c>
      <c r="CY102" t="s">
        <v>4315</v>
      </c>
      <c r="CZ102">
        <v>-8.7018161267042163E-2</v>
      </c>
      <c r="DA102">
        <v>194.01612741409582</v>
      </c>
      <c r="DB102" t="s">
        <v>4316</v>
      </c>
      <c r="DC102">
        <v>-8.2667253203690047E-2</v>
      </c>
      <c r="DD102">
        <v>97.00806370704791</v>
      </c>
      <c r="DE102" t="s">
        <v>4317</v>
      </c>
      <c r="DF102">
        <v>-7.6575981914997107E-2</v>
      </c>
      <c r="DG102">
        <v>58.204838224228745</v>
      </c>
      <c r="DH102" t="s">
        <v>4318</v>
      </c>
      <c r="DI102">
        <v>-6.9614529013633727E-2</v>
      </c>
      <c r="DJ102">
        <v>29.102419112114372</v>
      </c>
      <c r="DK102" t="s">
        <v>4319</v>
      </c>
      <c r="DL102">
        <v>-6.091271288692951E-2</v>
      </c>
      <c r="DM102">
        <v>15948000</v>
      </c>
      <c r="DN102">
        <v>-8.7018161267042163E-2</v>
      </c>
      <c r="DO102">
        <v>9282507600</v>
      </c>
      <c r="DP102">
        <v>2917267000</v>
      </c>
      <c r="DQ102">
        <v>3332</v>
      </c>
      <c r="DR102">
        <v>2.7845899051964018</v>
      </c>
      <c r="DS102">
        <v>5.3910204357717646</v>
      </c>
      <c r="DT102" s="10">
        <v>-0.55666666666666675</v>
      </c>
      <c r="DU102">
        <v>-3.3333333333333291E-2</v>
      </c>
      <c r="DV102">
        <v>-0.59000000000000008</v>
      </c>
      <c r="DW102">
        <v>-2.1459999999999999</v>
      </c>
      <c r="DX102">
        <v>0.30272127659574394</v>
      </c>
      <c r="DY102">
        <v>-2.0179173063829787</v>
      </c>
      <c r="DZ102">
        <v>2649</v>
      </c>
      <c r="EA102">
        <v>-2.0086290589057749</v>
      </c>
      <c r="EB102">
        <v>2</v>
      </c>
      <c r="EC102">
        <v>4.160017385497905E-2</v>
      </c>
      <c r="ED102">
        <v>0.33898094127568357</v>
      </c>
      <c r="EE102" s="11">
        <v>-2.0040100000000001</v>
      </c>
      <c r="EF102">
        <v>-2.02041</v>
      </c>
      <c r="EG102">
        <v>18.122721276595744</v>
      </c>
      <c r="EH102" t="s">
        <v>1295</v>
      </c>
      <c r="EI102">
        <v>0</v>
      </c>
      <c r="EJ102">
        <v>0</v>
      </c>
      <c r="EK102" s="13">
        <v>45470</v>
      </c>
      <c r="EL102" s="14">
        <v>0.54</v>
      </c>
      <c r="EM102" s="14">
        <v>-3.06</v>
      </c>
      <c r="EN102" s="14">
        <v>0.74</v>
      </c>
      <c r="EO102" s="14">
        <v>1.29</v>
      </c>
      <c r="EP102" s="14">
        <v>-1.64</v>
      </c>
    </row>
    <row r="103" spans="1:146" ht="108">
      <c r="A103" s="6"/>
      <c r="B103" s="6"/>
      <c r="C103" s="6" t="str">
        <f>""&amp;CHAR(10)&amp;Basic_Fundamental_Information_Constructure(F103)&amp;CHAR(10)&amp;Basic_Fundamental_Information_Concatenate("")</f>
        <v xml:space="preserve">
市值115.84046亿, 利润9375.62万; PE16.28; 平均PE30.38; 平均PEG54.29, PB1.43; ROIC6.745%; ROE3.2433%; 股利率1.9091%; 毛利8.7333%; 净利1.47%; 上一年度营收增-91.78%, 利润增112.62%; 当季营收增1008.07%, 利润增540.66%; 过往5年营收增.56%, 利润增-3.5%
Income profile:
</v>
      </c>
      <c r="D103" t="s">
        <v>1306</v>
      </c>
      <c r="E103" t="s">
        <v>1307</v>
      </c>
      <c r="F103">
        <v>5.5</v>
      </c>
      <c r="G103">
        <v>0.18</v>
      </c>
      <c r="H103" t="s">
        <v>4320</v>
      </c>
      <c r="I103">
        <v>11584046000</v>
      </c>
      <c r="J103">
        <v>16.28</v>
      </c>
      <c r="K103">
        <v>1.43</v>
      </c>
      <c r="L103" t="s">
        <v>361</v>
      </c>
      <c r="M103" t="s">
        <v>4321</v>
      </c>
      <c r="N103" t="s">
        <v>4322</v>
      </c>
      <c r="O103" t="s">
        <v>4323</v>
      </c>
      <c r="P103">
        <v>-22.33</v>
      </c>
      <c r="Q103" t="s">
        <v>4324</v>
      </c>
      <c r="R103">
        <v>148339620</v>
      </c>
      <c r="S103" s="5">
        <v>-0.1116</v>
      </c>
      <c r="T103" t="s">
        <v>4325</v>
      </c>
      <c r="U103">
        <v>2106190200</v>
      </c>
      <c r="V103">
        <v>2106190200</v>
      </c>
      <c r="W103">
        <v>3.51</v>
      </c>
      <c r="X103">
        <v>0.21</v>
      </c>
      <c r="Y103">
        <v>2.74</v>
      </c>
      <c r="Z103" t="s">
        <v>4326</v>
      </c>
      <c r="AA103" t="s">
        <v>4327</v>
      </c>
      <c r="AB103" t="s">
        <v>4328</v>
      </c>
      <c r="AC103" t="s">
        <v>168</v>
      </c>
      <c r="AD103" t="s">
        <v>19</v>
      </c>
      <c r="AE103">
        <v>25634417</v>
      </c>
      <c r="AF103" t="s">
        <v>4329</v>
      </c>
      <c r="AG103" t="s">
        <v>4330</v>
      </c>
      <c r="AH103" t="s">
        <v>4331</v>
      </c>
      <c r="AI103" t="s">
        <v>2886</v>
      </c>
      <c r="AJ103" t="s">
        <v>4332</v>
      </c>
      <c r="AK103" t="s">
        <v>77</v>
      </c>
      <c r="AL103" t="s">
        <v>4333</v>
      </c>
      <c r="AM103" t="s">
        <v>19</v>
      </c>
      <c r="AN103" t="s">
        <v>4334</v>
      </c>
      <c r="AO103" t="s">
        <v>4335</v>
      </c>
      <c r="AP103" t="s">
        <v>4336</v>
      </c>
      <c r="AQ103" t="s">
        <v>4337</v>
      </c>
      <c r="AR103" t="s">
        <v>4338</v>
      </c>
      <c r="AS103" t="s">
        <v>4339</v>
      </c>
      <c r="AT103" t="s">
        <v>4296</v>
      </c>
      <c r="AU103" t="s">
        <v>4340</v>
      </c>
      <c r="AV103" t="s">
        <v>4341</v>
      </c>
      <c r="AW103" t="s">
        <v>4342</v>
      </c>
      <c r="AX103" t="s">
        <v>1736</v>
      </c>
      <c r="AY103" t="s">
        <v>1418</v>
      </c>
      <c r="AZ103" t="s">
        <v>1308</v>
      </c>
      <c r="BA103" t="s">
        <v>1309</v>
      </c>
      <c r="BB103" t="s">
        <v>1310</v>
      </c>
      <c r="BC103" t="s">
        <v>1737</v>
      </c>
      <c r="BD103" t="s">
        <v>1313</v>
      </c>
      <c r="BE103" t="s">
        <v>1311</v>
      </c>
      <c r="BF103" t="s">
        <v>1312</v>
      </c>
      <c r="BG103" t="s">
        <v>147</v>
      </c>
      <c r="BH103" t="s">
        <v>4343</v>
      </c>
      <c r="BI103" t="s">
        <v>245</v>
      </c>
      <c r="BJ103" t="s">
        <v>1736</v>
      </c>
      <c r="BK103" t="s">
        <v>187</v>
      </c>
      <c r="BL103" t="s">
        <v>4344</v>
      </c>
      <c r="BM103" t="s">
        <v>1737</v>
      </c>
      <c r="BN103">
        <v>5.35</v>
      </c>
      <c r="BO103" t="s">
        <v>19</v>
      </c>
      <c r="BP103">
        <v>8.14</v>
      </c>
      <c r="BQ103">
        <v>7.77</v>
      </c>
      <c r="BR103">
        <v>-9.81</v>
      </c>
      <c r="BS103">
        <v>11.77</v>
      </c>
      <c r="BT103" t="s">
        <v>4345</v>
      </c>
      <c r="BU103" t="s">
        <v>1234</v>
      </c>
      <c r="BV103">
        <v>8.16</v>
      </c>
      <c r="BW103">
        <v>7.06</v>
      </c>
      <c r="BX103">
        <v>10.98</v>
      </c>
      <c r="BY103">
        <v>2.11</v>
      </c>
      <c r="BZ103">
        <v>-1.85</v>
      </c>
      <c r="CA103">
        <v>4.1500000000000004</v>
      </c>
      <c r="CB103">
        <v>-3.68</v>
      </c>
      <c r="CC103">
        <v>-5.58</v>
      </c>
      <c r="CD103" t="s">
        <v>4346</v>
      </c>
      <c r="CE103" t="s">
        <v>2040</v>
      </c>
      <c r="CF103" s="8">
        <v>10.080724876441517</v>
      </c>
      <c r="CG103" s="9">
        <v>5.4065966433735566</v>
      </c>
      <c r="CH103" s="8">
        <v>-0.91780078411102295</v>
      </c>
      <c r="CI103" s="8">
        <v>0.44900983572006226</v>
      </c>
      <c r="CJ103" s="8">
        <v>0.36103329062461853</v>
      </c>
      <c r="CK103" s="8">
        <v>5.4915137588977814E-2</v>
      </c>
      <c r="CL103" s="8">
        <v>8.0820374190807343E-2</v>
      </c>
      <c r="CM103" s="9">
        <v>1.1261860132217407</v>
      </c>
      <c r="CN103" s="9">
        <v>-1.817381739616394</v>
      </c>
      <c r="CO103" s="9">
        <v>9.1236494481563568E-2</v>
      </c>
      <c r="CP103" s="9">
        <v>0.3392283022403717</v>
      </c>
      <c r="CQ103" s="9">
        <v>8.5514836013317108E-2</v>
      </c>
      <c r="CR103">
        <v>30.380980281028197</v>
      </c>
      <c r="CS103">
        <v>54.294693700293337</v>
      </c>
      <c r="CT103">
        <v>1.9090909090909092</v>
      </c>
      <c r="CU103" s="8">
        <v>5.595570802688599E-3</v>
      </c>
      <c r="CV103" s="9">
        <v>-3.5043218731880189E-2</v>
      </c>
      <c r="CW103">
        <v>0.06</v>
      </c>
      <c r="CX103">
        <v>298.65977961034548</v>
      </c>
      <c r="CY103">
        <v>88944169.297444388</v>
      </c>
      <c r="CZ103">
        <v>5.595570802688599E-3</v>
      </c>
      <c r="DA103">
        <v>104.89955521014782</v>
      </c>
      <c r="DB103">
        <v>253233161.44461817</v>
      </c>
      <c r="DC103">
        <v>5.3157922625541691E-3</v>
      </c>
      <c r="DD103">
        <v>56.682051006375872</v>
      </c>
      <c r="DE103">
        <v>468650049.32534897</v>
      </c>
      <c r="DF103">
        <v>4.924102306365967E-3</v>
      </c>
      <c r="DG103">
        <v>37.638699886178543</v>
      </c>
      <c r="DH103">
        <v>705764175.71093333</v>
      </c>
      <c r="DI103">
        <v>4.4764566421508795E-3</v>
      </c>
      <c r="DJ103">
        <v>23.879254267005145</v>
      </c>
      <c r="DK103">
        <v>1112431975.5958431</v>
      </c>
      <c r="DL103">
        <v>3.9168995618820189E-3</v>
      </c>
      <c r="DM103">
        <v>93756200.000000015</v>
      </c>
      <c r="DN103">
        <v>5.595570802688599E-3</v>
      </c>
      <c r="DO103">
        <v>26564046000</v>
      </c>
      <c r="DP103">
        <v>2433803000</v>
      </c>
      <c r="DQ103">
        <v>3362</v>
      </c>
      <c r="DR103">
        <v>10.075129305638828</v>
      </c>
      <c r="DS103">
        <v>5.4416398621054372</v>
      </c>
      <c r="DT103" s="10">
        <v>-0.49</v>
      </c>
      <c r="DU103">
        <v>0.33333333333333331</v>
      </c>
      <c r="DV103">
        <v>-0.15666666666666668</v>
      </c>
      <c r="DW103">
        <v>-8.6594982078853047</v>
      </c>
      <c r="DX103">
        <v>0.28722897539150011</v>
      </c>
      <c r="DY103">
        <v>-8.0707173171040711</v>
      </c>
      <c r="DZ103">
        <v>4885</v>
      </c>
      <c r="EA103">
        <v>-8.0031137761934286</v>
      </c>
      <c r="EB103">
        <v>8</v>
      </c>
      <c r="EC103">
        <v>4.5514740311677453E-2</v>
      </c>
      <c r="ED103">
        <v>0.42446308980072173</v>
      </c>
      <c r="EE103" s="11">
        <v>-1.0477000000000001</v>
      </c>
      <c r="EF103">
        <v>-1.0477000000000001</v>
      </c>
      <c r="EG103">
        <v>18.1072289753915</v>
      </c>
      <c r="EH103" t="s">
        <v>1250</v>
      </c>
      <c r="EI103">
        <v>0</v>
      </c>
      <c r="EJ103">
        <v>0</v>
      </c>
      <c r="EK103" s="13">
        <v>45470</v>
      </c>
      <c r="EL103" s="14">
        <v>3.68</v>
      </c>
      <c r="EM103" s="14">
        <v>-4.96</v>
      </c>
      <c r="EN103" s="14">
        <v>-3.73</v>
      </c>
      <c r="EO103" s="14">
        <v>3.1</v>
      </c>
      <c r="EP103" s="14">
        <v>0</v>
      </c>
    </row>
    <row r="104" spans="1:146" ht="108">
      <c r="C104" s="6" t="str">
        <f>""&amp;CHAR(10)&amp;Basic_Fundamental_Information_Constructure(F104)&amp;CHAR(10)&amp;Basic_Fundamental_Information_Concatenate("")</f>
        <v xml:space="preserve">
市值179.78098亿, 利润1297.23万; PE10.02; 平均PE18.03; 平均PEG14.76, PB1.43; ROIC7.93%; ROE8.97%; 股利率2.9472%; 毛利26.8633%; 净利12.3133%; 上一年度营收增-97.21%, 利润增-99.23%; 当季营收增2726.56%, 利润增1275.71%; 过往5年营收增1.22%, 利润增10.08%
Income profile:
</v>
      </c>
      <c r="D104" t="s">
        <v>2024</v>
      </c>
      <c r="E104" t="s">
        <v>2025</v>
      </c>
      <c r="F104">
        <v>8.7200000000000006</v>
      </c>
      <c r="G104">
        <v>0</v>
      </c>
      <c r="H104" t="s">
        <v>4347</v>
      </c>
      <c r="I104">
        <v>17978098000</v>
      </c>
      <c r="J104">
        <v>10.02</v>
      </c>
      <c r="K104">
        <v>1.43</v>
      </c>
      <c r="L104" t="s">
        <v>361</v>
      </c>
      <c r="M104" t="s">
        <v>4348</v>
      </c>
      <c r="N104" t="s">
        <v>4349</v>
      </c>
      <c r="O104" t="s">
        <v>4350</v>
      </c>
      <c r="P104" s="5">
        <v>-22.08</v>
      </c>
      <c r="Q104" t="s">
        <v>315</v>
      </c>
      <c r="R104">
        <v>91992057</v>
      </c>
      <c r="S104">
        <v>0.42380000000000001</v>
      </c>
      <c r="T104" t="s">
        <v>4351</v>
      </c>
      <c r="U104">
        <v>776162690</v>
      </c>
      <c r="V104">
        <v>2061708500</v>
      </c>
      <c r="W104">
        <v>2.09</v>
      </c>
      <c r="X104">
        <v>0.08</v>
      </c>
      <c r="Y104">
        <v>4.5599999999999996</v>
      </c>
      <c r="Z104" t="s">
        <v>4352</v>
      </c>
      <c r="AA104" t="s">
        <v>1739</v>
      </c>
      <c r="AB104" t="s">
        <v>4353</v>
      </c>
      <c r="AC104" t="s">
        <v>99</v>
      </c>
      <c r="AD104" t="s">
        <v>19</v>
      </c>
      <c r="AE104">
        <v>-40427350</v>
      </c>
      <c r="AF104" t="s">
        <v>4354</v>
      </c>
      <c r="AG104" t="s">
        <v>4355</v>
      </c>
      <c r="AH104" t="s">
        <v>4356</v>
      </c>
      <c r="AI104" t="s">
        <v>4357</v>
      </c>
      <c r="AJ104" t="s">
        <v>4358</v>
      </c>
      <c r="AK104" t="s">
        <v>4359</v>
      </c>
      <c r="AL104" t="s">
        <v>4360</v>
      </c>
      <c r="AM104" t="s">
        <v>19</v>
      </c>
      <c r="AN104" t="s">
        <v>4361</v>
      </c>
      <c r="AO104" t="s">
        <v>4362</v>
      </c>
      <c r="AP104" t="s">
        <v>207</v>
      </c>
      <c r="AQ104" t="s">
        <v>4363</v>
      </c>
      <c r="AR104" t="s">
        <v>19</v>
      </c>
      <c r="AS104" t="s">
        <v>4364</v>
      </c>
      <c r="AT104" t="s">
        <v>1459</v>
      </c>
      <c r="AU104" t="s">
        <v>4365</v>
      </c>
      <c r="AV104" t="s">
        <v>4366</v>
      </c>
      <c r="AW104" t="s">
        <v>4367</v>
      </c>
      <c r="AX104" t="s">
        <v>4368</v>
      </c>
      <c r="AY104" t="s">
        <v>2026</v>
      </c>
      <c r="AZ104" t="s">
        <v>2027</v>
      </c>
      <c r="BA104" t="s">
        <v>2028</v>
      </c>
      <c r="BB104" t="s">
        <v>2029</v>
      </c>
      <c r="BC104" t="s">
        <v>4369</v>
      </c>
      <c r="BD104" t="s">
        <v>330</v>
      </c>
      <c r="BE104" t="s">
        <v>1967</v>
      </c>
      <c r="BF104" t="s">
        <v>1959</v>
      </c>
      <c r="BG104" t="s">
        <v>2030</v>
      </c>
      <c r="BH104" t="s">
        <v>4370</v>
      </c>
      <c r="BI104" t="s">
        <v>4371</v>
      </c>
      <c r="BJ104" t="s">
        <v>4368</v>
      </c>
      <c r="BK104" t="s">
        <v>4372</v>
      </c>
      <c r="BL104" t="s">
        <v>4373</v>
      </c>
      <c r="BM104" t="s">
        <v>4369</v>
      </c>
      <c r="BN104">
        <v>5.45</v>
      </c>
      <c r="BO104">
        <v>7.29</v>
      </c>
      <c r="BP104">
        <v>11.05</v>
      </c>
      <c r="BQ104">
        <v>6.07</v>
      </c>
      <c r="BR104">
        <v>8.9700000000000006</v>
      </c>
      <c r="BS104">
        <v>11.87</v>
      </c>
      <c r="BT104" t="s">
        <v>4374</v>
      </c>
      <c r="BU104" t="s">
        <v>1234</v>
      </c>
      <c r="BV104">
        <v>27.17</v>
      </c>
      <c r="BW104">
        <v>25.81</v>
      </c>
      <c r="BX104">
        <v>27.61</v>
      </c>
      <c r="BY104">
        <v>13.28</v>
      </c>
      <c r="BZ104">
        <v>10.26</v>
      </c>
      <c r="CA104">
        <v>13.4</v>
      </c>
      <c r="CB104">
        <v>-2.02</v>
      </c>
      <c r="CC104" s="8">
        <v>-10.95</v>
      </c>
      <c r="CD104" s="9" t="s">
        <v>4375</v>
      </c>
      <c r="CE104" s="8" t="s">
        <v>711</v>
      </c>
      <c r="CF104" s="8">
        <v>27.265601555400576</v>
      </c>
      <c r="CG104" s="8">
        <v>12.757055885387846</v>
      </c>
      <c r="CH104" s="8">
        <v>-0.97210037708282471</v>
      </c>
      <c r="CI104" s="8">
        <v>0.72370654344558716</v>
      </c>
      <c r="CJ104" s="9">
        <v>-1.7793115228414536E-2</v>
      </c>
      <c r="CK104" s="9">
        <v>0.1271100789308548</v>
      </c>
      <c r="CL104" s="9">
        <v>0.20017310976982117</v>
      </c>
      <c r="CM104" s="9">
        <v>-0.99234670400619507</v>
      </c>
      <c r="CN104" s="9">
        <v>0.7879747748374939</v>
      </c>
      <c r="CO104">
        <v>-0.34029224514961243</v>
      </c>
      <c r="CP104">
        <v>0.16450561583042145</v>
      </c>
      <c r="CQ104">
        <v>0.88396948575973511</v>
      </c>
      <c r="CR104" s="8">
        <v>18.032278083266952</v>
      </c>
      <c r="CS104" s="9">
        <v>14.757273223326759</v>
      </c>
      <c r="CT104">
        <v>2.9472477064220182</v>
      </c>
      <c r="CU104">
        <v>1.2219247967004776E-2</v>
      </c>
      <c r="CV104">
        <v>0.10076218545436859</v>
      </c>
      <c r="CW104">
        <v>0.06</v>
      </c>
      <c r="CX104">
        <v>1596.6906142994194</v>
      </c>
      <c r="CY104">
        <v>12387558.255096579</v>
      </c>
      <c r="CZ104">
        <v>1.2219247967004776E-2</v>
      </c>
      <c r="DA104">
        <v>557.62108674954163</v>
      </c>
      <c r="DB104">
        <v>35470498.641461678</v>
      </c>
      <c r="DC104">
        <v>1.1608285568654536E-2</v>
      </c>
      <c r="DD104">
        <v>299.17054094578776</v>
      </c>
      <c r="DE104">
        <v>66113120.421118401</v>
      </c>
      <c r="DF104">
        <v>1.0752938210964203E-2</v>
      </c>
      <c r="DG104">
        <v>197.20716041504076</v>
      </c>
      <c r="DH104">
        <v>100296043.80679208</v>
      </c>
      <c r="DI104">
        <v>9.7753983736038209E-3</v>
      </c>
      <c r="DJ104">
        <v>123.39747141644671</v>
      </c>
      <c r="DK104">
        <v>160287709.08318463</v>
      </c>
      <c r="DL104">
        <v>8.5534735769033417E-3</v>
      </c>
      <c r="DM104">
        <v>12972300</v>
      </c>
      <c r="DN104">
        <v>1.2219247967004776E-2</v>
      </c>
      <c r="DO104">
        <v>19779098000</v>
      </c>
      <c r="DP104">
        <v>6307070000</v>
      </c>
      <c r="DQ104" s="10">
        <v>3405</v>
      </c>
      <c r="DR104">
        <v>27.253382307433572</v>
      </c>
      <c r="DS104">
        <v>12.656293699933478</v>
      </c>
      <c r="DT104">
        <v>-0.37333333333333335</v>
      </c>
      <c r="DU104">
        <v>0.15</v>
      </c>
      <c r="DV104">
        <v>-0.22333333333333336</v>
      </c>
      <c r="DW104">
        <v>-2.1095000000000002</v>
      </c>
      <c r="DX104">
        <v>0.28778286852589702</v>
      </c>
      <c r="DY104">
        <v>-2.0107072241035855</v>
      </c>
      <c r="DZ104">
        <v>3810</v>
      </c>
      <c r="EA104">
        <v>-2.002723951337507</v>
      </c>
      <c r="EB104" s="11">
        <v>2</v>
      </c>
      <c r="EC104" s="11">
        <v>1.1904447209680709E-2</v>
      </c>
      <c r="ED104">
        <v>0.12174368976021585</v>
      </c>
      <c r="EE104">
        <v>5.0740100000000004</v>
      </c>
      <c r="EF104">
        <v>5.1070099999999998</v>
      </c>
      <c r="EG104">
        <v>19.097782868525897</v>
      </c>
      <c r="EH104" s="13" t="s">
        <v>2064</v>
      </c>
      <c r="EI104">
        <v>0</v>
      </c>
      <c r="EJ104">
        <v>0</v>
      </c>
      <c r="EK104">
        <v>45470</v>
      </c>
      <c r="EL104">
        <v>3.43</v>
      </c>
      <c r="EM104">
        <v>2.41</v>
      </c>
      <c r="EN104" s="14">
        <v>-8.74</v>
      </c>
      <c r="EO104" s="14">
        <v>1.08</v>
      </c>
      <c r="EP104" s="14">
        <v>-3.3</v>
      </c>
    </row>
    <row r="105" spans="1:146" ht="108">
      <c r="A105" s="6"/>
      <c r="B105" s="6"/>
      <c r="C105" s="6" t="str">
        <f>""&amp;CHAR(10)&amp;Basic_Fundamental_Information_Constructure(F105)&amp;CHAR(10)&amp;Basic_Fundamental_Information_Concatenate("")</f>
        <v xml:space="preserve">
市值203.42302亿, 利润8.02亿; PE6.89; 平均PE9.76; 平均PEG2.12, PB.693; ROIC5.2267%; ROE8.6833%; 股利率3.5549%; 毛利12.1033%; 净利4.2567%; 上一年度营收增-95.4%, 利润增-71.91%; 当季营收增1717.89%, 利润增162.83%; 过往5年营收增-4.61%, 利润增-6.55%
Income profile:
</v>
      </c>
      <c r="D105" t="s">
        <v>887</v>
      </c>
      <c r="E105" t="s">
        <v>888</v>
      </c>
      <c r="F105">
        <v>6.47</v>
      </c>
      <c r="G105">
        <v>-0.31</v>
      </c>
      <c r="H105" t="s">
        <v>4376</v>
      </c>
      <c r="I105">
        <v>20342302000</v>
      </c>
      <c r="J105">
        <v>6.89</v>
      </c>
      <c r="K105">
        <v>0.69299999999999995</v>
      </c>
      <c r="L105" t="s">
        <v>361</v>
      </c>
      <c r="M105" t="s">
        <v>4377</v>
      </c>
      <c r="N105" t="s">
        <v>4378</v>
      </c>
      <c r="O105" t="s">
        <v>4379</v>
      </c>
      <c r="P105">
        <v>5.34</v>
      </c>
      <c r="Q105" t="s">
        <v>4380</v>
      </c>
      <c r="R105">
        <v>444187480</v>
      </c>
      <c r="S105" s="5">
        <v>3.0599999999999999E-2</v>
      </c>
      <c r="T105" t="s">
        <v>1068</v>
      </c>
      <c r="U105">
        <v>3144096100</v>
      </c>
      <c r="V105">
        <v>3144096100</v>
      </c>
      <c r="W105">
        <v>4.45</v>
      </c>
      <c r="X105">
        <v>0.09</v>
      </c>
      <c r="Y105">
        <v>3.26</v>
      </c>
      <c r="Z105" t="s">
        <v>4381</v>
      </c>
      <c r="AA105" t="s">
        <v>4382</v>
      </c>
      <c r="AB105" t="s">
        <v>4383</v>
      </c>
      <c r="AC105" t="s">
        <v>4384</v>
      </c>
      <c r="AD105" t="s">
        <v>19</v>
      </c>
      <c r="AE105">
        <v>406582840</v>
      </c>
      <c r="AF105" t="s">
        <v>4385</v>
      </c>
      <c r="AG105" t="s">
        <v>4386</v>
      </c>
      <c r="AH105" t="s">
        <v>4387</v>
      </c>
      <c r="AI105" t="s">
        <v>4388</v>
      </c>
      <c r="AJ105" t="s">
        <v>4389</v>
      </c>
      <c r="AK105" t="s">
        <v>4390</v>
      </c>
      <c r="AL105" t="s">
        <v>4391</v>
      </c>
      <c r="AM105" t="s">
        <v>19</v>
      </c>
      <c r="AN105" t="s">
        <v>4392</v>
      </c>
      <c r="AO105" t="s">
        <v>4393</v>
      </c>
      <c r="AP105" t="s">
        <v>99</v>
      </c>
      <c r="AQ105" t="s">
        <v>4394</v>
      </c>
      <c r="AR105" t="s">
        <v>19</v>
      </c>
      <c r="AS105" t="s">
        <v>4395</v>
      </c>
      <c r="AT105" t="s">
        <v>4396</v>
      </c>
      <c r="AU105" t="s">
        <v>4397</v>
      </c>
      <c r="AV105" t="s">
        <v>4398</v>
      </c>
      <c r="AW105" t="s">
        <v>4399</v>
      </c>
      <c r="AX105" t="s">
        <v>4400</v>
      </c>
      <c r="AY105" t="s">
        <v>1419</v>
      </c>
      <c r="AZ105" t="s">
        <v>1193</v>
      </c>
      <c r="BA105" t="s">
        <v>889</v>
      </c>
      <c r="BB105" t="s">
        <v>890</v>
      </c>
      <c r="BC105" t="s">
        <v>4401</v>
      </c>
      <c r="BD105" t="s">
        <v>1192</v>
      </c>
      <c r="BE105" t="s">
        <v>1194</v>
      </c>
      <c r="BF105" t="s">
        <v>891</v>
      </c>
      <c r="BG105" t="s">
        <v>455</v>
      </c>
      <c r="BH105" t="s">
        <v>4402</v>
      </c>
      <c r="BI105" t="s">
        <v>4403</v>
      </c>
      <c r="BJ105" t="s">
        <v>4400</v>
      </c>
      <c r="BK105" t="s">
        <v>4404</v>
      </c>
      <c r="BL105" t="s">
        <v>1645</v>
      </c>
      <c r="BM105" t="s">
        <v>4401</v>
      </c>
      <c r="BN105">
        <v>3.53</v>
      </c>
      <c r="BO105">
        <v>6.09</v>
      </c>
      <c r="BP105">
        <v>6.06</v>
      </c>
      <c r="BQ105">
        <v>5.37</v>
      </c>
      <c r="BR105">
        <v>10.77</v>
      </c>
      <c r="BS105">
        <v>9.91</v>
      </c>
      <c r="BT105" t="s">
        <v>4405</v>
      </c>
      <c r="BU105" t="s">
        <v>1342</v>
      </c>
      <c r="BV105">
        <v>10.28</v>
      </c>
      <c r="BW105">
        <v>12.97</v>
      </c>
      <c r="BX105">
        <v>13.06</v>
      </c>
      <c r="BY105">
        <v>4.28</v>
      </c>
      <c r="BZ105">
        <v>4.59</v>
      </c>
      <c r="CA105">
        <v>3.9</v>
      </c>
      <c r="CB105">
        <v>-0.92</v>
      </c>
      <c r="CC105">
        <v>-6.23</v>
      </c>
      <c r="CD105" t="s">
        <v>4406</v>
      </c>
      <c r="CE105" t="s">
        <v>1868</v>
      </c>
      <c r="CF105" s="8">
        <v>17.17889317889318</v>
      </c>
      <c r="CG105" s="9">
        <v>1.6283282840236686</v>
      </c>
      <c r="CH105" s="8">
        <v>-0.9539676308631897</v>
      </c>
      <c r="CI105" s="8">
        <v>0.16184544563293457</v>
      </c>
      <c r="CJ105" s="8">
        <v>0.15203467011451721</v>
      </c>
      <c r="CK105" s="8">
        <v>0.15989519655704498</v>
      </c>
      <c r="CL105" s="8">
        <v>0.24961088597774506</v>
      </c>
      <c r="CM105" s="9">
        <v>-0.7190893292427063</v>
      </c>
      <c r="CN105" s="9">
        <v>0.1930631548166275</v>
      </c>
      <c r="CO105" s="9">
        <v>5.8849528431892395E-2</v>
      </c>
      <c r="CP105" s="9">
        <v>1.8936038017272949E-2</v>
      </c>
      <c r="CQ105" s="9">
        <v>0.12076796591281891</v>
      </c>
      <c r="CR105">
        <v>9.7588400095946266</v>
      </c>
      <c r="CS105">
        <v>2.1161374314405585</v>
      </c>
      <c r="CT105">
        <v>3.5548686244204015</v>
      </c>
      <c r="CU105" s="8">
        <v>-4.6116286516189577E-2</v>
      </c>
      <c r="CV105" s="9">
        <v>-6.5494528412818914E-2</v>
      </c>
      <c r="CW105">
        <v>0.06</v>
      </c>
      <c r="CX105">
        <v>137.77718453865336</v>
      </c>
      <c r="CY105" t="s">
        <v>4407</v>
      </c>
      <c r="CZ105">
        <v>-4.6116286516189577E-2</v>
      </c>
      <c r="DA105">
        <v>45.925728179551122</v>
      </c>
      <c r="DB105" t="s">
        <v>4408</v>
      </c>
      <c r="DC105">
        <v>-4.3810472190380097E-2</v>
      </c>
      <c r="DD105">
        <v>22.962864089775561</v>
      </c>
      <c r="DE105" t="s">
        <v>4409</v>
      </c>
      <c r="DF105">
        <v>-4.0582332134246828E-2</v>
      </c>
      <c r="DG105">
        <v>13.777718453865337</v>
      </c>
      <c r="DH105" t="s">
        <v>4410</v>
      </c>
      <c r="DI105">
        <v>-3.6893029212951664E-2</v>
      </c>
      <c r="DJ105">
        <v>6.8888592269326683</v>
      </c>
      <c r="DK105" t="s">
        <v>4411</v>
      </c>
      <c r="DL105">
        <v>-3.2281400561332704E-2</v>
      </c>
      <c r="DM105">
        <v>802000000</v>
      </c>
      <c r="DN105">
        <v>-4.6116286516189577E-2</v>
      </c>
      <c r="DO105">
        <v>110497302000</v>
      </c>
      <c r="DP105">
        <v>-7862532000</v>
      </c>
      <c r="DQ105">
        <v>3492</v>
      </c>
      <c r="DR105">
        <v>17.225009465409368</v>
      </c>
      <c r="DS105">
        <v>1.6938228124364876</v>
      </c>
      <c r="DT105" s="10">
        <v>-0.27333333333333343</v>
      </c>
      <c r="DU105">
        <v>-0.18333333333333335</v>
      </c>
      <c r="DV105">
        <v>-0.45666666666666678</v>
      </c>
      <c r="DW105">
        <v>-2.0623</v>
      </c>
      <c r="DX105">
        <v>0.45830939384116859</v>
      </c>
      <c r="DY105">
        <v>-2.0098626752363047</v>
      </c>
      <c r="DZ105">
        <v>2969</v>
      </c>
      <c r="EA105">
        <v>-2.004132287217403</v>
      </c>
      <c r="EB105">
        <v>2</v>
      </c>
      <c r="EC105">
        <v>3.1066766693295413E-2</v>
      </c>
      <c r="ED105">
        <v>0.19624082101052828</v>
      </c>
      <c r="EE105" s="11">
        <v>4.5100000000000036E-3</v>
      </c>
      <c r="EF105">
        <v>2.5309999999999999E-2</v>
      </c>
      <c r="EG105">
        <v>30.158309393841169</v>
      </c>
      <c r="EH105">
        <v>-1</v>
      </c>
      <c r="EI105">
        <v>0</v>
      </c>
      <c r="EJ105">
        <v>0</v>
      </c>
      <c r="EK105" s="13">
        <v>45470</v>
      </c>
      <c r="EL105" s="14">
        <v>0.23</v>
      </c>
      <c r="EM105" s="14">
        <v>-3.5</v>
      </c>
      <c r="EN105" s="14">
        <v>0.97</v>
      </c>
      <c r="EO105" s="14">
        <v>3.84</v>
      </c>
      <c r="EP105" s="14">
        <v>-2.08</v>
      </c>
    </row>
    <row r="106" spans="1:146" ht="181.5" customHeight="1">
      <c r="A106" s="6"/>
      <c r="B106" s="6"/>
      <c r="C106" s="6" t="str">
        <f>"东北地区最具实力、最具规模的大型综合建筑集团之一；"&amp;CHAR(10)&amp;Basic_Fundamental_Information_Constructure(F106)&amp;CHAR(10)&amp;Basic_Fundamental_Information_Concatenate("建造工程项目 116.30亿 98.25% 毛利9.02%
其他业务 1.42亿 1.20% 毛利29.01%
设计咨询收入 3325.08万 0.28% 毛利29.00%
公路收费收入 3186.07万 0.27% 毛利25.45%")</f>
        <v>东北地区最具实力、最具规模的大型综合建筑集团之一；
市值31.458104亿, 利润1.48亿; PE9.37; 平均PE14.11; 平均PEG1.51, PB1.14; ROIC3.6333%; ROE10.3767%; 股利率1.129%; 毛利11.74%; 净利2.2733%; 上一年度营收增-98.98%, 利润增-57.59%; 当季营收增1988.49%, 利润增-72.23%; 过往5年营收增-9.34%, 利润增15.23%
Income profile:
建造工程项目 116.30亿 98.25% 毛利9.02%
其他业务 1.42亿 1.20% 毛利29.01%
设计咨询收入 3325.08万 0.28% 毛利29.00%
公路收费收入 3186.07万 0.27% 毛利25.45%</v>
      </c>
      <c r="D106" t="s">
        <v>892</v>
      </c>
      <c r="E106" t="s">
        <v>893</v>
      </c>
      <c r="F106">
        <v>3.1</v>
      </c>
      <c r="G106">
        <v>1.31</v>
      </c>
      <c r="H106" t="s">
        <v>4412</v>
      </c>
      <c r="I106">
        <v>3145810400</v>
      </c>
      <c r="J106">
        <v>9.3699999999999992</v>
      </c>
      <c r="K106">
        <v>1.1399999999999999</v>
      </c>
      <c r="L106" t="s">
        <v>361</v>
      </c>
      <c r="M106" t="s">
        <v>4413</v>
      </c>
      <c r="N106" t="s">
        <v>4414</v>
      </c>
      <c r="O106" t="s">
        <v>4415</v>
      </c>
      <c r="P106">
        <v>0.2</v>
      </c>
      <c r="Q106" t="s">
        <v>207</v>
      </c>
      <c r="R106">
        <v>6536286</v>
      </c>
      <c r="S106" s="5">
        <v>0.29820000000000002</v>
      </c>
      <c r="T106" t="s">
        <v>197</v>
      </c>
      <c r="U106">
        <v>1008851950</v>
      </c>
      <c r="V106">
        <v>1014777550</v>
      </c>
      <c r="W106">
        <v>6.28</v>
      </c>
      <c r="X106">
        <v>0.05</v>
      </c>
      <c r="Y106">
        <v>0.39</v>
      </c>
      <c r="Z106" t="s">
        <v>4415</v>
      </c>
      <c r="AA106" t="s">
        <v>1896</v>
      </c>
      <c r="AB106" t="s">
        <v>4416</v>
      </c>
      <c r="AC106" t="s">
        <v>4417</v>
      </c>
      <c r="AD106" t="s">
        <v>19</v>
      </c>
      <c r="AE106">
        <v>85992061</v>
      </c>
      <c r="AF106" t="s">
        <v>4418</v>
      </c>
      <c r="AG106" t="s">
        <v>4419</v>
      </c>
      <c r="AH106" t="s">
        <v>4420</v>
      </c>
      <c r="AI106" t="s">
        <v>4421</v>
      </c>
      <c r="AJ106" t="s">
        <v>4422</v>
      </c>
      <c r="AK106" t="s">
        <v>4423</v>
      </c>
      <c r="AL106" t="s">
        <v>4424</v>
      </c>
      <c r="AM106" t="s">
        <v>19</v>
      </c>
      <c r="AN106" t="s">
        <v>4425</v>
      </c>
      <c r="AO106" t="s">
        <v>4426</v>
      </c>
      <c r="AP106" t="s">
        <v>1981</v>
      </c>
      <c r="AQ106" t="s">
        <v>4427</v>
      </c>
      <c r="AR106" t="s">
        <v>19</v>
      </c>
      <c r="AS106" t="s">
        <v>4428</v>
      </c>
      <c r="AT106" t="s">
        <v>4429</v>
      </c>
      <c r="AU106" t="s">
        <v>4430</v>
      </c>
      <c r="AV106" t="s">
        <v>4431</v>
      </c>
      <c r="AW106" t="s">
        <v>4432</v>
      </c>
      <c r="AX106" t="s">
        <v>1738</v>
      </c>
      <c r="AY106" t="s">
        <v>1420</v>
      </c>
      <c r="AZ106" t="s">
        <v>894</v>
      </c>
      <c r="BA106" t="s">
        <v>896</v>
      </c>
      <c r="BB106" t="s">
        <v>897</v>
      </c>
      <c r="BC106" t="s">
        <v>150</v>
      </c>
      <c r="BD106" t="s">
        <v>101</v>
      </c>
      <c r="BE106" t="s">
        <v>1984</v>
      </c>
      <c r="BF106" t="s">
        <v>159</v>
      </c>
      <c r="BG106" t="s">
        <v>107</v>
      </c>
      <c r="BH106" t="s">
        <v>4433</v>
      </c>
      <c r="BI106" t="s">
        <v>4434</v>
      </c>
      <c r="BJ106" t="s">
        <v>1738</v>
      </c>
      <c r="BK106" t="s">
        <v>338</v>
      </c>
      <c r="BL106" t="s">
        <v>4435</v>
      </c>
      <c r="BM106" t="s">
        <v>150</v>
      </c>
      <c r="BN106">
        <v>2.44</v>
      </c>
      <c r="BO106">
        <v>3.69</v>
      </c>
      <c r="BP106">
        <v>4.7699999999999996</v>
      </c>
      <c r="BQ106">
        <v>6.4</v>
      </c>
      <c r="BR106">
        <v>14.15</v>
      </c>
      <c r="BS106">
        <v>10.58</v>
      </c>
      <c r="BT106" t="s">
        <v>1586</v>
      </c>
      <c r="BU106" t="s">
        <v>1342</v>
      </c>
      <c r="BV106">
        <v>11.72</v>
      </c>
      <c r="BW106">
        <v>10.95</v>
      </c>
      <c r="BX106">
        <v>12.55</v>
      </c>
      <c r="BY106">
        <v>2.36</v>
      </c>
      <c r="BZ106">
        <v>2.36</v>
      </c>
      <c r="CA106">
        <v>2.1</v>
      </c>
      <c r="CB106">
        <v>0.98</v>
      </c>
      <c r="CC106">
        <v>-13.65</v>
      </c>
      <c r="CD106" t="s">
        <v>4436</v>
      </c>
      <c r="CE106" t="s">
        <v>203</v>
      </c>
      <c r="CF106" s="8">
        <v>19.884921439209016</v>
      </c>
      <c r="CG106" s="9">
        <v>-0.72228206511809723</v>
      </c>
      <c r="CH106" s="8">
        <v>-0.98979896306991577</v>
      </c>
      <c r="CI106" s="8">
        <v>0.11587046831846237</v>
      </c>
      <c r="CJ106" s="8">
        <v>0.28394022583961487</v>
      </c>
      <c r="CK106" s="8">
        <v>6.5820261836051941E-2</v>
      </c>
      <c r="CL106" s="8">
        <v>5.7210847735404968E-2</v>
      </c>
      <c r="CM106" s="9">
        <v>-0.57593125104904175</v>
      </c>
      <c r="CN106" s="9">
        <v>0.29739776253700256</v>
      </c>
      <c r="CO106" s="9">
        <v>0.2171945720911026</v>
      </c>
      <c r="CP106" s="9">
        <v>-3.0701754614710808E-2</v>
      </c>
      <c r="CQ106" s="9">
        <v>0.85365855693817139</v>
      </c>
      <c r="CR106">
        <v>14.106773094170403</v>
      </c>
      <c r="CS106">
        <v>1.5104997120182793</v>
      </c>
      <c r="CT106">
        <v>1.129032258064516</v>
      </c>
      <c r="CU106" s="8">
        <v>-9.339143186807633E-2</v>
      </c>
      <c r="CV106" s="9">
        <v>0.15232357718050479</v>
      </c>
      <c r="CW106">
        <v>0.06</v>
      </c>
      <c r="CX106">
        <v>191.09331351351352</v>
      </c>
      <c r="CY106" t="s">
        <v>4437</v>
      </c>
      <c r="CZ106">
        <v>-9.339143186807633E-2</v>
      </c>
      <c r="DA106">
        <v>63.697771171171169</v>
      </c>
      <c r="DB106" t="s">
        <v>4438</v>
      </c>
      <c r="DC106">
        <v>-8.8721860274672507E-2</v>
      </c>
      <c r="DD106">
        <v>31.848885585585585</v>
      </c>
      <c r="DE106" t="s">
        <v>4439</v>
      </c>
      <c r="DF106">
        <v>-8.218446004390717E-2</v>
      </c>
      <c r="DG106">
        <v>19.109331351351351</v>
      </c>
      <c r="DH106" t="s">
        <v>4440</v>
      </c>
      <c r="DI106">
        <v>-7.4713145494461064E-2</v>
      </c>
      <c r="DJ106">
        <v>9.5546656756756754</v>
      </c>
      <c r="DK106" t="s">
        <v>4441</v>
      </c>
      <c r="DL106">
        <v>-6.5374002307653431E-2</v>
      </c>
      <c r="DM106">
        <v>148000000</v>
      </c>
      <c r="DN106">
        <v>-9.339143186807633E-2</v>
      </c>
      <c r="DO106">
        <v>28281810400</v>
      </c>
      <c r="DP106">
        <v>-1751817000</v>
      </c>
      <c r="DQ106">
        <v>3519</v>
      </c>
      <c r="DR106">
        <v>19.978312871077094</v>
      </c>
      <c r="DS106">
        <v>-0.87460564229860205</v>
      </c>
      <c r="DT106" s="10">
        <v>-0.64</v>
      </c>
      <c r="DU106">
        <v>-0.12333333333333336</v>
      </c>
      <c r="DV106">
        <v>-0.76333333333333342</v>
      </c>
      <c r="DW106">
        <v>-2.1364999999999998</v>
      </c>
      <c r="DX106">
        <v>0.28490138888888922</v>
      </c>
      <c r="DY106">
        <v>-2.0129540395833332</v>
      </c>
      <c r="DZ106">
        <v>2684</v>
      </c>
      <c r="EA106">
        <v>-2.0061500000057078</v>
      </c>
      <c r="EB106">
        <v>2</v>
      </c>
      <c r="EC106">
        <v>3.3666984453883511E-2</v>
      </c>
      <c r="ED106">
        <v>0.35475755252961599</v>
      </c>
      <c r="EE106" s="11">
        <v>-3.1126100000000001</v>
      </c>
      <c r="EF106">
        <v>-3.14011</v>
      </c>
      <c r="EG106">
        <v>19.094901388888889</v>
      </c>
      <c r="EH106" t="s">
        <v>1897</v>
      </c>
      <c r="EI106">
        <v>0</v>
      </c>
      <c r="EJ106">
        <v>0</v>
      </c>
      <c r="EK106" s="13">
        <v>45470</v>
      </c>
      <c r="EL106" s="14">
        <v>4.72</v>
      </c>
      <c r="EM106" s="14">
        <v>-6.35</v>
      </c>
      <c r="EN106" s="14">
        <v>0.66</v>
      </c>
      <c r="EO106" s="14">
        <v>2.61</v>
      </c>
      <c r="EP106" s="14">
        <v>-2.75</v>
      </c>
    </row>
    <row r="107" spans="1:146" ht="108">
      <c r="A107" s="6"/>
      <c r="B107" s="6"/>
      <c r="C107" s="6" t="str">
        <f>""&amp;CHAR(10)&amp;Basic_Fundamental_Information_Constructure(F107)&amp;CHAR(10)&amp;Basic_Fundamental_Information_Concatenate("")</f>
        <v xml:space="preserve">
市值43.931415亿, 利润1317.66亿; PE181; 平均PE.2; 平均PEG0, PB.546; ROIC2.24%; ROE2.1033%; 股利率.4329%; 毛利5.1033%; 净利.3033%; 上一年度营收增1946.7%, 利润增87162.25%; 当季营收增-97.04%, 利润增-99.84%; 过往5年营收增390.89%, 利润增17418.9%
Income profile:
</v>
      </c>
      <c r="D107" t="s">
        <v>898</v>
      </c>
      <c r="E107" t="s">
        <v>899</v>
      </c>
      <c r="F107">
        <v>2.31</v>
      </c>
      <c r="G107">
        <v>2.21</v>
      </c>
      <c r="H107" t="s">
        <v>4442</v>
      </c>
      <c r="I107">
        <v>4393141500</v>
      </c>
      <c r="J107">
        <v>181</v>
      </c>
      <c r="K107">
        <v>0.54600000000000004</v>
      </c>
      <c r="L107" t="s">
        <v>361</v>
      </c>
      <c r="M107" t="s">
        <v>4443</v>
      </c>
      <c r="N107" t="s">
        <v>1890</v>
      </c>
      <c r="O107" t="s">
        <v>2034</v>
      </c>
      <c r="P107">
        <v>-32.6</v>
      </c>
      <c r="Q107" t="s">
        <v>4444</v>
      </c>
      <c r="R107">
        <v>44636018</v>
      </c>
      <c r="S107" s="5">
        <v>-0.22989999999999999</v>
      </c>
      <c r="T107" t="s">
        <v>4445</v>
      </c>
      <c r="U107">
        <v>1901792900</v>
      </c>
      <c r="V107">
        <v>1901792900</v>
      </c>
      <c r="W107">
        <v>9.6</v>
      </c>
      <c r="X107">
        <v>0.09</v>
      </c>
      <c r="Y107">
        <v>0.62</v>
      </c>
      <c r="Z107" t="s">
        <v>4446</v>
      </c>
      <c r="AA107" t="s">
        <v>4447</v>
      </c>
      <c r="AB107" t="s">
        <v>4448</v>
      </c>
      <c r="AC107" t="s">
        <v>1133</v>
      </c>
      <c r="AD107" t="s">
        <v>19</v>
      </c>
      <c r="AE107">
        <v>164774090</v>
      </c>
      <c r="AF107" t="s">
        <v>4449</v>
      </c>
      <c r="AG107" t="s">
        <v>4450</v>
      </c>
      <c r="AH107" t="s">
        <v>4451</v>
      </c>
      <c r="AI107" t="s">
        <v>2650</v>
      </c>
      <c r="AJ107" t="s">
        <v>4452</v>
      </c>
      <c r="AK107" t="s">
        <v>132</v>
      </c>
      <c r="AL107" t="s">
        <v>4453</v>
      </c>
      <c r="AM107" t="s">
        <v>19</v>
      </c>
      <c r="AN107" t="s">
        <v>129</v>
      </c>
      <c r="AO107" t="s">
        <v>4454</v>
      </c>
      <c r="AP107" t="s">
        <v>4455</v>
      </c>
      <c r="AQ107" t="s">
        <v>4456</v>
      </c>
      <c r="AR107" t="s">
        <v>19</v>
      </c>
      <c r="AS107" t="s">
        <v>4457</v>
      </c>
      <c r="AT107" t="s">
        <v>4458</v>
      </c>
      <c r="AU107" t="s">
        <v>4459</v>
      </c>
      <c r="AV107" t="s">
        <v>4460</v>
      </c>
      <c r="AW107" t="s">
        <v>220</v>
      </c>
      <c r="AX107" t="s">
        <v>4461</v>
      </c>
      <c r="AY107" t="s">
        <v>1740</v>
      </c>
      <c r="AZ107" t="s">
        <v>1741</v>
      </c>
      <c r="BA107" t="s">
        <v>900</v>
      </c>
      <c r="BB107" t="s">
        <v>901</v>
      </c>
      <c r="BC107" t="s">
        <v>489</v>
      </c>
      <c r="BD107" t="s">
        <v>67</v>
      </c>
      <c r="BE107" t="s">
        <v>104</v>
      </c>
      <c r="BF107" t="s">
        <v>808</v>
      </c>
      <c r="BG107" t="s">
        <v>73</v>
      </c>
      <c r="BH107" t="s">
        <v>4462</v>
      </c>
      <c r="BI107" t="s">
        <v>4463</v>
      </c>
      <c r="BJ107" t="s">
        <v>4461</v>
      </c>
      <c r="BK107" t="s">
        <v>4464</v>
      </c>
      <c r="BL107" t="s">
        <v>4465</v>
      </c>
      <c r="BM107" t="s">
        <v>489</v>
      </c>
      <c r="BN107">
        <v>1.98</v>
      </c>
      <c r="BO107">
        <v>1.99</v>
      </c>
      <c r="BP107">
        <v>2.75</v>
      </c>
      <c r="BQ107">
        <v>2.0699999999999998</v>
      </c>
      <c r="BR107">
        <v>1.53</v>
      </c>
      <c r="BS107">
        <v>2.71</v>
      </c>
      <c r="BT107" t="s">
        <v>3430</v>
      </c>
      <c r="BU107" t="s">
        <v>1344</v>
      </c>
      <c r="BV107">
        <v>5.61</v>
      </c>
      <c r="BW107">
        <v>4.87</v>
      </c>
      <c r="BX107">
        <v>4.83</v>
      </c>
      <c r="BY107">
        <v>0.1</v>
      </c>
      <c r="BZ107">
        <v>0.32</v>
      </c>
      <c r="CA107">
        <v>0.49</v>
      </c>
      <c r="CB107">
        <v>-0.43</v>
      </c>
      <c r="CC107">
        <v>-16.3</v>
      </c>
      <c r="CD107" t="s">
        <v>4466</v>
      </c>
      <c r="CE107" t="s">
        <v>1951</v>
      </c>
      <c r="CF107" s="8">
        <v>-0.97042425402598642</v>
      </c>
      <c r="CG107" s="9">
        <v>-0.99840966195175829</v>
      </c>
      <c r="CH107" s="8">
        <v>19.466985702514648</v>
      </c>
      <c r="CI107" s="8">
        <v>-0.1469493955373764</v>
      </c>
      <c r="CJ107" s="8">
        <v>4.5484088361263275E-2</v>
      </c>
      <c r="CK107" s="8">
        <v>6.112188845872879E-2</v>
      </c>
      <c r="CL107" s="8">
        <v>0.11773917824029922</v>
      </c>
      <c r="CM107" s="9">
        <v>871.62249755859375</v>
      </c>
      <c r="CN107" s="9">
        <v>-0.44688645005226135</v>
      </c>
      <c r="CO107" s="9">
        <v>2.247191034257412E-2</v>
      </c>
      <c r="CP107" s="9">
        <v>-0.41830065846443176</v>
      </c>
      <c r="CQ107" s="9">
        <v>0.16497461497783661</v>
      </c>
      <c r="CR107">
        <v>0.19772596954467028</v>
      </c>
      <c r="CS107">
        <v>5.0583839127558842E-4</v>
      </c>
      <c r="CT107">
        <v>0.4329004329004329</v>
      </c>
      <c r="CU107" s="8">
        <v>3.9088762924075127</v>
      </c>
      <c r="CV107" s="9">
        <v>174.1889513950795</v>
      </c>
      <c r="CW107">
        <v>0.06</v>
      </c>
      <c r="CX107">
        <v>0.12109945189279349</v>
      </c>
      <c r="CY107">
        <v>610210371269.21533</v>
      </c>
      <c r="CZ107">
        <v>3.9088762924075127</v>
      </c>
      <c r="DA107">
        <v>5.0009879354869814E-3</v>
      </c>
      <c r="DB107">
        <v>14776308692055.305</v>
      </c>
      <c r="DC107">
        <v>3.713432477787137</v>
      </c>
      <c r="DD107">
        <v>7.9081516746393001E-5</v>
      </c>
      <c r="DE107">
        <v>934429997555281.87</v>
      </c>
      <c r="DF107">
        <v>3.4398111373186113</v>
      </c>
      <c r="DG107">
        <v>5.2060647899292827E-7</v>
      </c>
      <c r="DH107">
        <v>1.4194241616613414E+17</v>
      </c>
      <c r="DI107">
        <v>3.1271010339260101</v>
      </c>
      <c r="DJ107">
        <v>4.5855484603728161E-12</v>
      </c>
      <c r="DK107">
        <v>1.6115006119462549E+22</v>
      </c>
      <c r="DL107">
        <v>2.7362134046852589</v>
      </c>
      <c r="DM107">
        <v>131766000000.00002</v>
      </c>
      <c r="DN107">
        <v>3.9088762924075127</v>
      </c>
      <c r="DO107">
        <v>73896141500</v>
      </c>
      <c r="DP107">
        <v>-2026760000</v>
      </c>
      <c r="DQ107">
        <v>3579</v>
      </c>
      <c r="DR107">
        <v>-4.8793005464334991</v>
      </c>
      <c r="DS107">
        <v>-175.18736105703127</v>
      </c>
      <c r="DT107" s="10">
        <v>-0.14000000000000004</v>
      </c>
      <c r="DU107">
        <v>-0.3066666666666667</v>
      </c>
      <c r="DV107">
        <v>-0.44666666666666677</v>
      </c>
      <c r="DW107">
        <v>-3.003392857142857</v>
      </c>
      <c r="DX107">
        <v>0.34213032786885111</v>
      </c>
      <c r="DY107">
        <v>-3.0006179421838408</v>
      </c>
      <c r="DZ107">
        <v>345</v>
      </c>
      <c r="EA107">
        <v>-3.0005762220168299</v>
      </c>
      <c r="EB107">
        <v>3</v>
      </c>
      <c r="EC107">
        <v>3.5050977422410187E-2</v>
      </c>
      <c r="ED107">
        <v>0.19244997707163594</v>
      </c>
      <c r="EE107" s="11">
        <v>2.0327000000000002</v>
      </c>
      <c r="EF107">
        <v>2.0358000000000001</v>
      </c>
      <c r="EG107">
        <v>16.182130327868851</v>
      </c>
      <c r="EH107" t="s">
        <v>1259</v>
      </c>
      <c r="EI107">
        <v>0</v>
      </c>
      <c r="EJ107">
        <v>1</v>
      </c>
      <c r="EK107" s="13">
        <v>45470</v>
      </c>
      <c r="EL107" s="14">
        <v>-0.12</v>
      </c>
      <c r="EM107" s="14">
        <v>1.47</v>
      </c>
      <c r="EN107" s="14">
        <v>-0.65</v>
      </c>
      <c r="EO107" s="14">
        <v>-0.87</v>
      </c>
      <c r="EP107" s="14">
        <v>0.31</v>
      </c>
    </row>
    <row r="108" spans="1:146" ht="108">
      <c r="A108" s="6"/>
      <c r="B108" s="6"/>
      <c r="C108" s="6" t="str">
        <f>""&amp;CHAR(10)&amp;Basic_Fundamental_Information_Constructure(F108)&amp;CHAR(10)&amp;Basic_Fundamental_Information_Concatenate("")</f>
        <v xml:space="preserve">
市值309.90915亿, 利润20.36亿; PE10.56; 平均PE17.11; 平均PEG13.55, PB1.57; ROIC10.3267%; ROE13.7967%; 股利率3.4101%; 毛利17.86%; 净利6.1933%; 上一年度营收增-81.82%, 利润增-19.87%; 当季营收增359.7%, 利润增4.67%; 过往5年营收增-1.26%, 利润增10.28%
Income profile:
</v>
      </c>
      <c r="D108" t="s">
        <v>902</v>
      </c>
      <c r="E108" t="s">
        <v>903</v>
      </c>
      <c r="F108">
        <v>11.73</v>
      </c>
      <c r="G108">
        <v>1.56</v>
      </c>
      <c r="H108" t="s">
        <v>4467</v>
      </c>
      <c r="I108">
        <v>30990915000</v>
      </c>
      <c r="J108">
        <v>10.56</v>
      </c>
      <c r="K108">
        <v>1.57</v>
      </c>
      <c r="L108" t="s">
        <v>361</v>
      </c>
      <c r="M108" t="s">
        <v>4468</v>
      </c>
      <c r="N108" t="s">
        <v>4469</v>
      </c>
      <c r="O108" t="s">
        <v>4470</v>
      </c>
      <c r="P108">
        <v>2.74</v>
      </c>
      <c r="Q108" t="s">
        <v>4471</v>
      </c>
      <c r="R108">
        <v>636393600</v>
      </c>
      <c r="S108" s="5">
        <v>3.0800000000000001E-2</v>
      </c>
      <c r="T108" t="s">
        <v>2052</v>
      </c>
      <c r="U108">
        <v>1757663900</v>
      </c>
      <c r="V108">
        <v>2642021800</v>
      </c>
      <c r="W108">
        <v>2.67</v>
      </c>
      <c r="X108">
        <v>0.19</v>
      </c>
      <c r="Y108">
        <v>6.59</v>
      </c>
      <c r="Z108" t="s">
        <v>4472</v>
      </c>
      <c r="AA108" t="s">
        <v>4473</v>
      </c>
      <c r="AB108" t="s">
        <v>72</v>
      </c>
      <c r="AC108" t="s">
        <v>378</v>
      </c>
      <c r="AD108" t="s">
        <v>19</v>
      </c>
      <c r="AE108">
        <v>237604150</v>
      </c>
      <c r="AF108" t="s">
        <v>4474</v>
      </c>
      <c r="AG108" t="s">
        <v>4475</v>
      </c>
      <c r="AH108" t="s">
        <v>4476</v>
      </c>
      <c r="AI108" t="s">
        <v>4477</v>
      </c>
      <c r="AJ108" t="s">
        <v>4478</v>
      </c>
      <c r="AK108" t="s">
        <v>4479</v>
      </c>
      <c r="AL108" t="s">
        <v>4480</v>
      </c>
      <c r="AM108" t="s">
        <v>19</v>
      </c>
      <c r="AN108" t="s">
        <v>4481</v>
      </c>
      <c r="AO108" t="s">
        <v>4482</v>
      </c>
      <c r="AP108" t="s">
        <v>4483</v>
      </c>
      <c r="AQ108" t="s">
        <v>4484</v>
      </c>
      <c r="AR108" t="s">
        <v>4485</v>
      </c>
      <c r="AS108" t="s">
        <v>4486</v>
      </c>
      <c r="AT108" t="s">
        <v>4487</v>
      </c>
      <c r="AU108" t="s">
        <v>4488</v>
      </c>
      <c r="AV108" t="s">
        <v>4489</v>
      </c>
      <c r="AW108" t="s">
        <v>4490</v>
      </c>
      <c r="AX108" t="s">
        <v>4491</v>
      </c>
      <c r="AY108" t="s">
        <v>1743</v>
      </c>
      <c r="AZ108" t="s">
        <v>1196</v>
      </c>
      <c r="BA108" t="s">
        <v>904</v>
      </c>
      <c r="BB108" t="s">
        <v>905</v>
      </c>
      <c r="BC108" t="s">
        <v>548</v>
      </c>
      <c r="BD108" t="s">
        <v>1744</v>
      </c>
      <c r="BE108" t="s">
        <v>1197</v>
      </c>
      <c r="BF108" t="s">
        <v>906</v>
      </c>
      <c r="BG108" t="s">
        <v>907</v>
      </c>
      <c r="BH108" t="s">
        <v>4492</v>
      </c>
      <c r="BI108" t="s">
        <v>1968</v>
      </c>
      <c r="BJ108" t="s">
        <v>4491</v>
      </c>
      <c r="BK108" t="s">
        <v>4493</v>
      </c>
      <c r="BL108" t="s">
        <v>4494</v>
      </c>
      <c r="BM108" t="s">
        <v>548</v>
      </c>
      <c r="BN108">
        <v>9.0299999999999994</v>
      </c>
      <c r="BO108">
        <v>10.85</v>
      </c>
      <c r="BP108">
        <v>11.1</v>
      </c>
      <c r="BQ108">
        <v>11.45</v>
      </c>
      <c r="BR108">
        <v>15.81</v>
      </c>
      <c r="BS108">
        <v>14.13</v>
      </c>
      <c r="BT108" t="s">
        <v>4008</v>
      </c>
      <c r="BU108" t="s">
        <v>1336</v>
      </c>
      <c r="BV108">
        <v>19.43</v>
      </c>
      <c r="BW108">
        <v>16.97</v>
      </c>
      <c r="BX108">
        <v>17.18</v>
      </c>
      <c r="BY108">
        <v>6.96</v>
      </c>
      <c r="BZ108">
        <v>6.01</v>
      </c>
      <c r="CA108">
        <v>5.61</v>
      </c>
      <c r="CB108">
        <v>-2.74</v>
      </c>
      <c r="CC108">
        <v>-4.87</v>
      </c>
      <c r="CD108" t="s">
        <v>4495</v>
      </c>
      <c r="CE108" t="s">
        <v>320</v>
      </c>
      <c r="CF108" s="8">
        <v>3.5969615728328863</v>
      </c>
      <c r="CG108" s="9">
        <v>4.6699999999999998E-2</v>
      </c>
      <c r="CH108" s="8">
        <v>-0.81819456815719604</v>
      </c>
      <c r="CI108" s="8">
        <v>0.17219096422195435</v>
      </c>
      <c r="CJ108" s="8">
        <v>0.19637830555438995</v>
      </c>
      <c r="CK108" s="8">
        <v>0.25289246439933777</v>
      </c>
      <c r="CL108" s="8">
        <v>0.1336216926574707</v>
      </c>
      <c r="CM108" s="9">
        <v>-0.1987406313419342</v>
      </c>
      <c r="CN108" s="9">
        <v>0.40231785178184509</v>
      </c>
      <c r="CO108" s="9">
        <v>0.19132155179977417</v>
      </c>
      <c r="CP108" s="9">
        <v>-4.4598031789064407E-2</v>
      </c>
      <c r="CQ108" s="9">
        <v>0.16374269127845764</v>
      </c>
      <c r="CR108">
        <v>17.10630082796688</v>
      </c>
      <c r="CS108">
        <v>13.552520576465902</v>
      </c>
      <c r="CT108">
        <v>3.4100596760443307</v>
      </c>
      <c r="CU108" s="8">
        <v>-1.2622228264808655E-2</v>
      </c>
      <c r="CV108" s="9">
        <v>0.10280868634581566</v>
      </c>
      <c r="CW108">
        <v>0.06</v>
      </c>
      <c r="CX108">
        <v>21.403691060903732</v>
      </c>
      <c r="CY108" t="s">
        <v>4496</v>
      </c>
      <c r="CZ108">
        <v>-1.2622228264808655E-2</v>
      </c>
      <c r="DA108">
        <v>7.134563686967911</v>
      </c>
      <c r="DB108" t="s">
        <v>4497</v>
      </c>
      <c r="DC108">
        <v>-1.1991116851568222E-2</v>
      </c>
      <c r="DD108">
        <v>3.5672818434839555</v>
      </c>
      <c r="DE108" t="s">
        <v>4498</v>
      </c>
      <c r="DF108">
        <v>-1.1107560873031616E-2</v>
      </c>
      <c r="DG108">
        <v>2.1403691060903731</v>
      </c>
      <c r="DH108" t="s">
        <v>4499</v>
      </c>
      <c r="DI108">
        <v>-1.0097782611846925E-2</v>
      </c>
      <c r="DJ108">
        <v>1.0701845530451866</v>
      </c>
      <c r="DK108" t="s">
        <v>4500</v>
      </c>
      <c r="DL108">
        <v>-8.8355597853660584E-3</v>
      </c>
      <c r="DM108">
        <v>2036000000</v>
      </c>
      <c r="DN108">
        <v>-1.2622228264808655E-2</v>
      </c>
      <c r="DO108">
        <v>43577915000</v>
      </c>
      <c r="DP108">
        <v>9115148000</v>
      </c>
      <c r="DQ108">
        <v>3594</v>
      </c>
      <c r="DR108">
        <v>3.6095838010976951</v>
      </c>
      <c r="DS108">
        <v>-5.6108686345815666E-2</v>
      </c>
      <c r="DT108" s="10">
        <v>-0.37333333333333335</v>
      </c>
      <c r="DU108">
        <v>0.21666666666666665</v>
      </c>
      <c r="DV108">
        <v>-0.1566666666666667</v>
      </c>
      <c r="DW108">
        <v>-8.5626283367556475</v>
      </c>
      <c r="DX108">
        <v>0.41538013468013402</v>
      </c>
      <c r="DY108">
        <v>-8.1043001168426212</v>
      </c>
      <c r="DZ108">
        <v>3910</v>
      </c>
      <c r="EA108">
        <v>-8.024493178123512</v>
      </c>
      <c r="EB108">
        <v>8</v>
      </c>
      <c r="EC108">
        <v>2.0839305716553892E-2</v>
      </c>
      <c r="ED108">
        <v>0.11241390968083609</v>
      </c>
      <c r="EE108" s="11">
        <v>-3.0416099999999999</v>
      </c>
      <c r="EF108">
        <v>-3.0563099999999999</v>
      </c>
      <c r="EG108">
        <v>23.185380134680134</v>
      </c>
      <c r="EH108" t="s">
        <v>1897</v>
      </c>
      <c r="EI108">
        <v>0</v>
      </c>
      <c r="EJ108">
        <v>0</v>
      </c>
      <c r="EK108" s="13">
        <v>45470</v>
      </c>
      <c r="EL108" s="14">
        <v>-1.26</v>
      </c>
      <c r="EM108" s="14">
        <v>-0.18</v>
      </c>
      <c r="EN108" s="14">
        <v>-3.11</v>
      </c>
      <c r="EO108" s="14">
        <v>2.4500000000000002</v>
      </c>
      <c r="EP108" s="14">
        <v>-1.47</v>
      </c>
    </row>
    <row r="109" spans="1:146" ht="108">
      <c r="A109" s="6"/>
      <c r="B109" s="6"/>
      <c r="C109" s="6" t="str">
        <f>""&amp;CHAR(10)&amp;Basic_Fundamental_Information_Constructure(F109)&amp;CHAR(10)&amp;Basic_Fundamental_Information_Concatenate("")</f>
        <v xml:space="preserve">
市值125.760333亿, 利润-2.74亿; PE; 平均PE-26.32; 平均PEG-1.18, PB5.32; ROIC1.57%; ROE-12.2233%; 股利率0%; 毛利11.6967%; 净利-5.1733%; 上一年度营收增-81.15%, 利润增-344.64%; 当季营收增423.08%, 利润增281.24%; 过往5年营收增-22.34%, 利润增-1209.31%
Income profile:
</v>
      </c>
      <c r="D109" t="s">
        <v>908</v>
      </c>
      <c r="E109" t="s">
        <v>909</v>
      </c>
      <c r="F109">
        <v>4.25</v>
      </c>
      <c r="G109">
        <v>-0.23</v>
      </c>
      <c r="H109" t="s">
        <v>4501</v>
      </c>
      <c r="I109">
        <v>12576033300</v>
      </c>
      <c r="K109">
        <v>5.32</v>
      </c>
      <c r="L109" t="s">
        <v>361</v>
      </c>
      <c r="M109" t="s">
        <v>2022</v>
      </c>
      <c r="N109" t="s">
        <v>4502</v>
      </c>
      <c r="O109" t="s">
        <v>4503</v>
      </c>
      <c r="P109">
        <v>15.77</v>
      </c>
      <c r="Q109" t="s">
        <v>4504</v>
      </c>
      <c r="R109">
        <v>103961000</v>
      </c>
      <c r="S109" s="7">
        <v>33.44</v>
      </c>
      <c r="T109" t="s">
        <v>4505</v>
      </c>
      <c r="U109">
        <v>2559590700</v>
      </c>
      <c r="V109">
        <v>2959066700</v>
      </c>
      <c r="W109">
        <v>5.55</v>
      </c>
      <c r="X109">
        <v>0.12</v>
      </c>
      <c r="Y109">
        <v>2.31</v>
      </c>
      <c r="Z109" t="s">
        <v>4506</v>
      </c>
      <c r="AA109" t="s">
        <v>2144</v>
      </c>
      <c r="AB109" t="s">
        <v>4507</v>
      </c>
      <c r="AC109" t="s">
        <v>62</v>
      </c>
      <c r="AD109" t="s">
        <v>19</v>
      </c>
      <c r="AE109">
        <v>43280000</v>
      </c>
      <c r="AF109" t="s">
        <v>4508</v>
      </c>
      <c r="AG109" t="s">
        <v>4509</v>
      </c>
      <c r="AH109" t="s">
        <v>4510</v>
      </c>
      <c r="AI109" t="s">
        <v>4511</v>
      </c>
      <c r="AJ109" t="s">
        <v>4512</v>
      </c>
      <c r="AK109" t="s">
        <v>27</v>
      </c>
      <c r="AL109" t="s">
        <v>4513</v>
      </c>
      <c r="AM109" t="s">
        <v>19</v>
      </c>
      <c r="AN109" t="s">
        <v>4514</v>
      </c>
      <c r="AO109" t="s">
        <v>1826</v>
      </c>
      <c r="AP109" t="s">
        <v>4515</v>
      </c>
      <c r="AQ109" t="s">
        <v>4516</v>
      </c>
      <c r="AR109" t="s">
        <v>4517</v>
      </c>
      <c r="AS109" t="s">
        <v>4518</v>
      </c>
      <c r="AT109" t="s">
        <v>4519</v>
      </c>
      <c r="AU109" t="s">
        <v>4520</v>
      </c>
      <c r="AV109" t="s">
        <v>748</v>
      </c>
      <c r="AW109" t="s">
        <v>1280</v>
      </c>
      <c r="AX109" t="s">
        <v>1745</v>
      </c>
      <c r="AY109" t="s">
        <v>1746</v>
      </c>
      <c r="AZ109" t="s">
        <v>910</v>
      </c>
      <c r="BA109" t="s">
        <v>912</v>
      </c>
      <c r="BB109" t="s">
        <v>913</v>
      </c>
      <c r="BC109" t="s">
        <v>55</v>
      </c>
      <c r="BD109" t="s">
        <v>1747</v>
      </c>
      <c r="BE109" t="s">
        <v>911</v>
      </c>
      <c r="BF109" t="s">
        <v>914</v>
      </c>
      <c r="BG109" t="s">
        <v>30</v>
      </c>
      <c r="BH109" t="s">
        <v>4521</v>
      </c>
      <c r="BI109" t="s">
        <v>329</v>
      </c>
      <c r="BJ109" t="s">
        <v>1745</v>
      </c>
      <c r="BK109" t="s">
        <v>4522</v>
      </c>
      <c r="BL109" t="s">
        <v>4523</v>
      </c>
      <c r="BM109" t="s">
        <v>55</v>
      </c>
      <c r="BN109" t="s">
        <v>19</v>
      </c>
      <c r="BO109">
        <v>1.57</v>
      </c>
      <c r="BP109" t="s">
        <v>19</v>
      </c>
      <c r="BQ109">
        <v>-17.55</v>
      </c>
      <c r="BR109">
        <v>-0.21</v>
      </c>
      <c r="BS109">
        <v>-18.91</v>
      </c>
      <c r="BT109" t="s">
        <v>1571</v>
      </c>
      <c r="BU109" t="s">
        <v>1336</v>
      </c>
      <c r="BV109">
        <v>8.76</v>
      </c>
      <c r="BW109">
        <v>12.76</v>
      </c>
      <c r="BX109">
        <v>13.57</v>
      </c>
      <c r="BY109">
        <v>-12.69</v>
      </c>
      <c r="BZ109">
        <v>0.86</v>
      </c>
      <c r="CA109">
        <v>-3.69</v>
      </c>
      <c r="CB109">
        <v>0.95</v>
      </c>
      <c r="CC109">
        <v>-7.41</v>
      </c>
      <c r="CD109" t="s">
        <v>4524</v>
      </c>
      <c r="CE109" t="s">
        <v>89</v>
      </c>
      <c r="CF109" s="8">
        <v>4.2308499475341037</v>
      </c>
      <c r="CG109" s="9">
        <v>2.8123765509041747</v>
      </c>
      <c r="CH109" s="8">
        <v>-0.81145292520523071</v>
      </c>
      <c r="CI109" s="8">
        <v>-8.452252484858036E-3</v>
      </c>
      <c r="CJ109" s="8">
        <v>3.791370615363121E-2</v>
      </c>
      <c r="CK109" s="8">
        <v>-0.25866067409515381</v>
      </c>
      <c r="CL109" s="8">
        <v>-7.6557144522666931E-2</v>
      </c>
      <c r="CM109" s="9">
        <v>-3.4464285373687744</v>
      </c>
      <c r="CN109" s="9">
        <v>1.104672908782959</v>
      </c>
      <c r="CO109" s="9">
        <v>0.45850202441215515</v>
      </c>
      <c r="CP109" s="9">
        <v>-57.695915222167969</v>
      </c>
      <c r="CQ109" s="9">
        <v>-0.88610261678695679</v>
      </c>
      <c r="CR109">
        <v>-26.317516776430818</v>
      </c>
      <c r="CS109">
        <v>-1.1778239318434491</v>
      </c>
      <c r="CT109">
        <v>0</v>
      </c>
      <c r="CU109" s="8">
        <v>-0.22344185803085564</v>
      </c>
      <c r="CV109" s="9">
        <v>-12.093054288625718</v>
      </c>
      <c r="CW109">
        <v>0.06</v>
      </c>
      <c r="CX109" t="e">
        <v>#VALUE!</v>
      </c>
      <c r="CY109" t="s">
        <v>1249</v>
      </c>
      <c r="CZ109">
        <v>-0.22344185803085564</v>
      </c>
      <c r="DA109" t="e">
        <v>#VALUE!</v>
      </c>
      <c r="DB109" t="s">
        <v>1249</v>
      </c>
      <c r="DC109">
        <v>-0.21226976512931287</v>
      </c>
      <c r="DD109" t="e">
        <v>#VALUE!</v>
      </c>
      <c r="DE109" t="s">
        <v>1249</v>
      </c>
      <c r="DF109">
        <v>-0.19662883506715298</v>
      </c>
      <c r="DG109" t="e">
        <v>#VALUE!</v>
      </c>
      <c r="DH109" t="s">
        <v>1249</v>
      </c>
      <c r="DI109">
        <v>-0.17875348642468453</v>
      </c>
      <c r="DJ109" t="e">
        <v>#VALUE!</v>
      </c>
      <c r="DK109" t="s">
        <v>1249</v>
      </c>
      <c r="DL109">
        <v>-0.15640930062159894</v>
      </c>
      <c r="DM109">
        <v>-274000000</v>
      </c>
      <c r="DN109">
        <v>-0.22344185803085564</v>
      </c>
      <c r="DO109">
        <v>38911033300</v>
      </c>
      <c r="DP109">
        <v>4833999999.9999962</v>
      </c>
      <c r="DQ109">
        <v>3646</v>
      </c>
      <c r="DR109">
        <v>4.4542918055649592</v>
      </c>
      <c r="DS109">
        <v>14.905430839529892</v>
      </c>
      <c r="DT109" s="10">
        <v>-0.89</v>
      </c>
      <c r="DU109">
        <v>-0.98333333333333339</v>
      </c>
      <c r="DV109">
        <v>-1.8733333333333335</v>
      </c>
      <c r="DW109">
        <v>-2.0741000000000001</v>
      </c>
      <c r="DX109">
        <v>0.30205365853658572</v>
      </c>
      <c r="DY109">
        <v>-2.0112671760975611</v>
      </c>
      <c r="DZ109">
        <v>1895</v>
      </c>
      <c r="EA109">
        <v>-2.0070888397560975</v>
      </c>
      <c r="EB109">
        <v>2</v>
      </c>
      <c r="EC109">
        <v>1.264087761184971E-2</v>
      </c>
      <c r="ED109">
        <v>8.3134320696454725E-2</v>
      </c>
      <c r="EE109" s="11">
        <v>4.6399999999999997E-2</v>
      </c>
      <c r="EF109">
        <v>4.0399999999999998E-2</v>
      </c>
      <c r="EG109">
        <v>15.152053658536586</v>
      </c>
      <c r="EH109" t="s">
        <v>1261</v>
      </c>
      <c r="EI109">
        <v>0</v>
      </c>
      <c r="EJ109">
        <v>0</v>
      </c>
      <c r="EK109" s="13">
        <v>45470</v>
      </c>
      <c r="EL109" s="14">
        <v>-2.72</v>
      </c>
      <c r="EM109" s="14">
        <v>-2.8</v>
      </c>
      <c r="EN109" s="14">
        <v>-2.23</v>
      </c>
      <c r="EO109" s="14">
        <v>1.47</v>
      </c>
      <c r="EP109" s="14">
        <v>-0.6</v>
      </c>
    </row>
    <row r="110" spans="1:146" ht="288">
      <c r="A110" s="6" t="s">
        <v>2075</v>
      </c>
      <c r="B110" s="6" t="s">
        <v>2076</v>
      </c>
      <c r="C110" s="6" t="str">
        <f>"公司是一家集研发、投资、勘察、设计、采购、建造和运营一体化的知识密集型工程建设企业，是目前行业内资质最齐全、功能最完备、业务链最完整、知识技术相对密集的工程公司，业务领域主要包括建筑工程（化学工程、基础设施、环境治理）、实业和现代服务业业务，工程业绩遍布全国所有省份和全球80多个国家和地区。"&amp;CHAR(10)&amp;Basic_Fundamental_Information_Constructure(F110)&amp;CHAR(10)&amp;Basic_Fundamental_Information_Concatenate("(国内占比78.78%）
化学工程 708.57亿 77.93% 64.15亿 84.63% 9.05%
基础设施 126.91亿 13.96% 8.16亿 10.76% 6.43%
实业 41.66亿 4.58% 1.60亿 2.12% 3.85%
现代服务业 15.87亿 1.75% 7448.09万 0.98% 4.69%
环境治理 14.49亿 1.59% 1.24亿 1.63% 8.55%")</f>
        <v>公司是一家集研发、投资、勘察、设计、采购、建造和运营一体化的知识密集型工程建设企业，是目前行业内资质最齐全、功能最完备、业务链最完整、知识技术相对密集的工程公司，业务领域主要包括建筑工程（化学工程、基础设施、环境治理）、实业和现代服务业业务，工程业绩遍布全国所有省份和全球80多个国家和地区。
市值477.72932亿, 利润2.97亿; PE8.64; 平均PE15.09; 平均PEG25.68, PB.813; ROIC7.1%; ROE9.5933%; 股利率2.2762%; 毛利9.4133%; 净利3.55%; 上一年度营收增-76.1%, 利润增-94.52%; 当季营收增667.4%, 利润增2337.96%; 过往5年营收增-.59%, 利润增5.39%
Income profile:
(国内占比78.78%）
化学工程 708.57亿 77.93% 64.15亿 84.63% 9.05%
基础设施 126.91亿 13.96% 8.16亿 10.76% 6.43%
实业 41.66亿 4.58% 1.60亿 2.12% 3.85%
现代服务业 15.87亿 1.75% 7448.09万 0.98% 4.69%
环境治理 14.49亿 1.59% 1.24亿 1.63% 8.55%</v>
      </c>
      <c r="D110" t="s">
        <v>915</v>
      </c>
      <c r="E110" t="s">
        <v>916</v>
      </c>
      <c r="F110">
        <v>7.82</v>
      </c>
      <c r="G110">
        <v>0.39</v>
      </c>
      <c r="H110" t="s">
        <v>4525</v>
      </c>
      <c r="I110">
        <v>47772932000</v>
      </c>
      <c r="J110">
        <v>8.64</v>
      </c>
      <c r="K110">
        <v>0.81299999999999994</v>
      </c>
      <c r="L110" t="s">
        <v>361</v>
      </c>
      <c r="M110" t="s">
        <v>4526</v>
      </c>
      <c r="N110" t="s">
        <v>4527</v>
      </c>
      <c r="O110" t="s">
        <v>4528</v>
      </c>
      <c r="P110">
        <v>5.51</v>
      </c>
      <c r="Q110" t="s">
        <v>4529</v>
      </c>
      <c r="R110">
        <v>1216457280</v>
      </c>
      <c r="S110" s="5">
        <v>9.5000000000000001E-2</v>
      </c>
      <c r="T110" t="s">
        <v>320</v>
      </c>
      <c r="U110">
        <v>6049510600</v>
      </c>
      <c r="V110">
        <v>6109070600</v>
      </c>
      <c r="W110">
        <v>3.34</v>
      </c>
      <c r="X110">
        <v>0.2</v>
      </c>
      <c r="Y110">
        <v>3</v>
      </c>
      <c r="Z110" t="s">
        <v>4530</v>
      </c>
      <c r="AA110" t="s">
        <v>4531</v>
      </c>
      <c r="AB110" t="s">
        <v>4532</v>
      </c>
      <c r="AC110" t="s">
        <v>1680</v>
      </c>
      <c r="AD110" t="s">
        <v>19</v>
      </c>
      <c r="AE110">
        <v>173356100</v>
      </c>
      <c r="AF110" t="s">
        <v>4533</v>
      </c>
      <c r="AG110" t="s">
        <v>4534</v>
      </c>
      <c r="AH110" t="s">
        <v>4535</v>
      </c>
      <c r="AI110" t="s">
        <v>4536</v>
      </c>
      <c r="AJ110" t="s">
        <v>4537</v>
      </c>
      <c r="AK110" t="s">
        <v>4538</v>
      </c>
      <c r="AL110" t="s">
        <v>4539</v>
      </c>
      <c r="AM110" t="s">
        <v>19</v>
      </c>
      <c r="AN110" t="s">
        <v>4540</v>
      </c>
      <c r="AO110" t="s">
        <v>1587</v>
      </c>
      <c r="AP110" t="s">
        <v>4541</v>
      </c>
      <c r="AQ110" t="s">
        <v>4542</v>
      </c>
      <c r="AR110" t="s">
        <v>306</v>
      </c>
      <c r="AS110" t="s">
        <v>4543</v>
      </c>
      <c r="AT110" t="s">
        <v>4544</v>
      </c>
      <c r="AU110" t="s">
        <v>4545</v>
      </c>
      <c r="AV110" t="s">
        <v>1894</v>
      </c>
      <c r="AW110" t="s">
        <v>4546</v>
      </c>
      <c r="AX110" t="s">
        <v>4547</v>
      </c>
      <c r="AY110" t="s">
        <v>1750</v>
      </c>
      <c r="AZ110" t="s">
        <v>1751</v>
      </c>
      <c r="BA110" t="s">
        <v>918</v>
      </c>
      <c r="BB110" t="s">
        <v>919</v>
      </c>
      <c r="BC110" t="s">
        <v>1749</v>
      </c>
      <c r="BD110" t="s">
        <v>1198</v>
      </c>
      <c r="BE110" t="s">
        <v>917</v>
      </c>
      <c r="BF110" t="s">
        <v>920</v>
      </c>
      <c r="BG110" t="s">
        <v>921</v>
      </c>
      <c r="BH110" t="s">
        <v>4548</v>
      </c>
      <c r="BI110" t="s">
        <v>4549</v>
      </c>
      <c r="BJ110" t="s">
        <v>4547</v>
      </c>
      <c r="BK110" t="s">
        <v>4550</v>
      </c>
      <c r="BL110" t="s">
        <v>4551</v>
      </c>
      <c r="BM110" t="s">
        <v>1749</v>
      </c>
      <c r="BN110">
        <v>5.25</v>
      </c>
      <c r="BO110">
        <v>8.18</v>
      </c>
      <c r="BP110">
        <v>7.87</v>
      </c>
      <c r="BQ110">
        <v>6.86</v>
      </c>
      <c r="BR110">
        <v>10.71</v>
      </c>
      <c r="BS110">
        <v>11.21</v>
      </c>
      <c r="BT110" t="s">
        <v>4552</v>
      </c>
      <c r="BU110" t="s">
        <v>1336</v>
      </c>
      <c r="BV110">
        <v>9.41</v>
      </c>
      <c r="BW110">
        <v>9.34</v>
      </c>
      <c r="BX110">
        <v>9.49</v>
      </c>
      <c r="BY110">
        <v>3.35</v>
      </c>
      <c r="BZ110">
        <v>3.66</v>
      </c>
      <c r="CA110">
        <v>3.64</v>
      </c>
      <c r="CB110">
        <v>-5.0999999999999996</v>
      </c>
      <c r="CC110">
        <v>-2.37</v>
      </c>
      <c r="CD110" t="s">
        <v>1184</v>
      </c>
      <c r="CE110" t="s">
        <v>4553</v>
      </c>
      <c r="CF110" s="8">
        <v>6.6740095628415297</v>
      </c>
      <c r="CG110" s="9">
        <v>23.37957159966664</v>
      </c>
      <c r="CH110" s="8">
        <v>-0.76104515790939331</v>
      </c>
      <c r="CI110" s="8">
        <v>0.14878836274147034</v>
      </c>
      <c r="CJ110" s="8">
        <v>0.25427338480949402</v>
      </c>
      <c r="CK110" s="8">
        <v>5.6310415267944336E-2</v>
      </c>
      <c r="CL110" s="8">
        <v>0.27229413390159607</v>
      </c>
      <c r="CM110" s="9">
        <v>-0.94515234231948853</v>
      </c>
      <c r="CN110" s="9">
        <v>0.16878914833068848</v>
      </c>
      <c r="CO110" s="9">
        <v>0.26619291305541992</v>
      </c>
      <c r="CP110" s="9">
        <v>0.19536103308200836</v>
      </c>
      <c r="CQ110" s="9">
        <v>0.58436846733093262</v>
      </c>
      <c r="CR110">
        <v>15.088571458651368</v>
      </c>
      <c r="CS110">
        <v>25.67929941470647</v>
      </c>
      <c r="CT110">
        <v>2.2762148337595907</v>
      </c>
      <c r="CU110" s="8">
        <v>-5.8757722377777103E-3</v>
      </c>
      <c r="CV110" s="9">
        <v>5.3911843895912172E-2</v>
      </c>
      <c r="CW110">
        <v>0.06</v>
      </c>
      <c r="CX110">
        <v>461.38360942760943</v>
      </c>
      <c r="CY110" t="s">
        <v>4554</v>
      </c>
      <c r="CZ110">
        <v>-5.8757722377777103E-3</v>
      </c>
      <c r="DA110">
        <v>153.79453647586982</v>
      </c>
      <c r="DB110" t="s">
        <v>4555</v>
      </c>
      <c r="DC110">
        <v>-5.5819836258888247E-3</v>
      </c>
      <c r="DD110">
        <v>76.89726823793491</v>
      </c>
      <c r="DE110" t="s">
        <v>4556</v>
      </c>
      <c r="DF110">
        <v>-5.1706795692443852E-3</v>
      </c>
      <c r="DG110">
        <v>46.13836094276094</v>
      </c>
      <c r="DH110" t="s">
        <v>4557</v>
      </c>
      <c r="DI110">
        <v>-4.7006177902221688E-3</v>
      </c>
      <c r="DJ110">
        <v>23.06918047138047</v>
      </c>
      <c r="DK110" t="s">
        <v>4558</v>
      </c>
      <c r="DL110">
        <v>-4.1130405664443967E-3</v>
      </c>
      <c r="DM110">
        <v>297000000</v>
      </c>
      <c r="DN110">
        <v>-5.8757722377777103E-3</v>
      </c>
      <c r="DO110">
        <v>137030932000</v>
      </c>
      <c r="DP110">
        <v>25884750000</v>
      </c>
      <c r="DQ110">
        <v>3664</v>
      </c>
      <c r="DR110">
        <v>6.679885335079307</v>
      </c>
      <c r="DS110">
        <v>23.325659755770729</v>
      </c>
      <c r="DT110" s="10">
        <v>-0.54</v>
      </c>
      <c r="DU110">
        <v>0.1666666666666666</v>
      </c>
      <c r="DV110">
        <v>-0.37333333333333341</v>
      </c>
      <c r="DW110">
        <v>-4.4647058823529413</v>
      </c>
      <c r="DX110">
        <v>0.31184060721062512</v>
      </c>
      <c r="DY110">
        <v>-4.0659141645272907</v>
      </c>
      <c r="DZ110">
        <v>2420</v>
      </c>
      <c r="EA110">
        <v>-4.0346984545163229</v>
      </c>
      <c r="EB110">
        <v>4</v>
      </c>
      <c r="EC110">
        <v>4.8943615089339448E-2</v>
      </c>
      <c r="ED110">
        <v>0.34506067093086135</v>
      </c>
      <c r="EE110" s="11">
        <v>1.0170999999999999</v>
      </c>
      <c r="EF110">
        <v>1.0074099999999999</v>
      </c>
      <c r="EG110">
        <v>17.141840607210625</v>
      </c>
      <c r="EH110" t="s">
        <v>1242</v>
      </c>
      <c r="EI110">
        <v>0</v>
      </c>
      <c r="EJ110">
        <v>0</v>
      </c>
      <c r="EK110" s="13">
        <v>45470</v>
      </c>
      <c r="EL110" s="14">
        <v>-1.1399999999999999</v>
      </c>
      <c r="EM110" s="14">
        <v>-4.76</v>
      </c>
      <c r="EN110" s="14">
        <v>1.75</v>
      </c>
      <c r="EO110" s="14">
        <v>3.05</v>
      </c>
      <c r="EP110" s="14">
        <v>-2.4500000000000002</v>
      </c>
    </row>
    <row r="111" spans="1:146" ht="108">
      <c r="C111" s="6" t="str">
        <f>""&amp;CHAR(10)&amp;Basic_Fundamental_Information_Constructure(F111)&amp;CHAR(10)&amp;Basic_Fundamental_Information_Concatenate("")</f>
        <v xml:space="preserve">
市值53.55625亿, 利润7.01亿; PE23.36; 平均PE20.89; 平均PEG2.11, PB1.89; ROIC13.9467%; ROE14.355%; 股利率1.561%; 毛利12.8%; 净利6.68%; 上一年度营收增-29.95%, 利润增179.28%; 当季营收增163.82%, 利润增-68.37%; 过往5年营收增9.89%, 利润增51%
Income profile:
</v>
      </c>
      <c r="D111" s="5" t="s">
        <v>1752</v>
      </c>
      <c r="E111" t="s">
        <v>1753</v>
      </c>
      <c r="F111">
        <v>10.25</v>
      </c>
      <c r="G111">
        <v>0.89</v>
      </c>
      <c r="H111" t="s">
        <v>4559</v>
      </c>
      <c r="I111">
        <v>5355625000</v>
      </c>
      <c r="J111">
        <v>23.36</v>
      </c>
      <c r="K111">
        <v>1.89</v>
      </c>
      <c r="L111" t="s">
        <v>361</v>
      </c>
      <c r="M111" t="s">
        <v>4560</v>
      </c>
      <c r="N111" t="s">
        <v>848</v>
      </c>
      <c r="O111" t="s">
        <v>4561</v>
      </c>
      <c r="P111" s="5">
        <v>111.11</v>
      </c>
      <c r="Q111" t="s">
        <v>390</v>
      </c>
      <c r="R111">
        <v>55672173</v>
      </c>
      <c r="S111">
        <v>0.37769999999999998</v>
      </c>
      <c r="T111" t="s">
        <v>3808</v>
      </c>
      <c r="U111">
        <v>147500000</v>
      </c>
      <c r="V111">
        <v>522500000</v>
      </c>
      <c r="W111">
        <v>1.72</v>
      </c>
      <c r="X111">
        <v>0.23</v>
      </c>
      <c r="Y111">
        <v>4.8600000000000003</v>
      </c>
      <c r="Z111" t="s">
        <v>4562</v>
      </c>
      <c r="AA111" t="s">
        <v>2193</v>
      </c>
      <c r="AB111" t="s">
        <v>4563</v>
      </c>
      <c r="AC111" t="s">
        <v>4564</v>
      </c>
      <c r="AD111" t="s">
        <v>19</v>
      </c>
      <c r="AE111">
        <v>-8597472</v>
      </c>
      <c r="AF111" t="s">
        <v>20</v>
      </c>
      <c r="AG111" t="s">
        <v>4565</v>
      </c>
      <c r="AH111" t="s">
        <v>4566</v>
      </c>
      <c r="AI111" t="s">
        <v>4567</v>
      </c>
      <c r="AJ111" t="s">
        <v>4568</v>
      </c>
      <c r="AK111" t="s">
        <v>4569</v>
      </c>
      <c r="AL111" t="s">
        <v>4570</v>
      </c>
      <c r="AM111" t="s">
        <v>19</v>
      </c>
      <c r="AN111" t="s">
        <v>4571</v>
      </c>
      <c r="AO111" t="s">
        <v>19</v>
      </c>
      <c r="AP111" t="s">
        <v>1934</v>
      </c>
      <c r="AQ111" t="s">
        <v>4572</v>
      </c>
      <c r="AR111" t="s">
        <v>19</v>
      </c>
      <c r="AS111" t="s">
        <v>4352</v>
      </c>
      <c r="AT111" t="s">
        <v>19</v>
      </c>
      <c r="AU111" t="s">
        <v>4573</v>
      </c>
      <c r="AV111" t="s">
        <v>1852</v>
      </c>
      <c r="AW111" t="s">
        <v>4574</v>
      </c>
      <c r="AX111" t="s">
        <v>1754</v>
      </c>
      <c r="AY111" t="s">
        <v>1755</v>
      </c>
      <c r="AZ111" t="s">
        <v>314</v>
      </c>
      <c r="BA111" t="s">
        <v>1756</v>
      </c>
      <c r="BB111" t="s">
        <v>1669</v>
      </c>
      <c r="BC111" t="s">
        <v>711</v>
      </c>
      <c r="BD111" t="s">
        <v>71</v>
      </c>
      <c r="BE111" t="s">
        <v>82</v>
      </c>
      <c r="BF111" t="s">
        <v>186</v>
      </c>
      <c r="BG111" t="s">
        <v>35</v>
      </c>
      <c r="BH111" t="s">
        <v>4575</v>
      </c>
      <c r="BI111" t="s">
        <v>50</v>
      </c>
      <c r="BJ111" t="s">
        <v>1754</v>
      </c>
      <c r="BK111" t="s">
        <v>157</v>
      </c>
      <c r="BL111" t="s">
        <v>3513</v>
      </c>
      <c r="BM111" t="s">
        <v>711</v>
      </c>
      <c r="BN111">
        <v>6.6</v>
      </c>
      <c r="BO111">
        <v>20.399999999999999</v>
      </c>
      <c r="BP111">
        <v>14.84</v>
      </c>
      <c r="BQ111">
        <v>7.16</v>
      </c>
      <c r="BR111">
        <v>21.55</v>
      </c>
      <c r="BS111" t="s">
        <v>19</v>
      </c>
      <c r="BT111" t="s">
        <v>1581</v>
      </c>
      <c r="BU111" t="s">
        <v>1336</v>
      </c>
      <c r="BV111">
        <v>11.43</v>
      </c>
      <c r="BW111">
        <v>14.67</v>
      </c>
      <c r="BX111">
        <v>12.3</v>
      </c>
      <c r="BY111">
        <v>5.38</v>
      </c>
      <c r="BZ111">
        <v>9.1199999999999992</v>
      </c>
      <c r="CA111">
        <v>5.54</v>
      </c>
      <c r="CB111">
        <v>-4.12</v>
      </c>
      <c r="CC111" s="8">
        <v>-4.5599999999999996</v>
      </c>
      <c r="CD111" s="9" t="s">
        <v>4576</v>
      </c>
      <c r="CE111" s="8" t="s">
        <v>1390</v>
      </c>
      <c r="CF111" s="8">
        <v>1.6382488479262673</v>
      </c>
      <c r="CG111" s="8">
        <v>-0.68368083522727274</v>
      </c>
      <c r="CH111" s="8">
        <v>-0.29952743649482727</v>
      </c>
      <c r="CI111" s="8">
        <v>3.2822522334754467E-3</v>
      </c>
      <c r="CJ111" s="9">
        <v>0.40832051634788513</v>
      </c>
      <c r="CK111" s="9">
        <v>4.8465337604284286E-2</v>
      </c>
      <c r="CL111" s="9">
        <v>0.33405166864395142</v>
      </c>
      <c r="CM111" s="9">
        <v>1.7928286790847778</v>
      </c>
      <c r="CN111" s="9">
        <v>0.65131580829620361</v>
      </c>
      <c r="CO111">
        <v>0.2881355881690979</v>
      </c>
      <c r="CP111">
        <v>-0.28915661573410034</v>
      </c>
      <c r="CQ111">
        <v>0.10666666924953461</v>
      </c>
      <c r="CR111" s="8">
        <v>20.893205461638491</v>
      </c>
      <c r="CS111" s="9">
        <v>2.1121642858422875</v>
      </c>
      <c r="CT111">
        <v>1.5609756097560976</v>
      </c>
      <c r="CU111">
        <v>9.8918467666953808E-2</v>
      </c>
      <c r="CV111">
        <v>0.50995802581310268</v>
      </c>
      <c r="CW111">
        <v>0.06</v>
      </c>
      <c r="CX111">
        <v>6.6511283629534663</v>
      </c>
      <c r="CY111">
        <v>726737590.40993834</v>
      </c>
      <c r="CZ111">
        <v>9.8918467666953808E-2</v>
      </c>
      <c r="DA111">
        <v>2.1571905532339963</v>
      </c>
      <c r="DB111">
        <v>2240703767.5710068</v>
      </c>
      <c r="DC111">
        <v>9.3972544283606116E-2</v>
      </c>
      <c r="DD111">
        <v>1.0512386244463705</v>
      </c>
      <c r="DE111">
        <v>4598028352.0743008</v>
      </c>
      <c r="DF111">
        <v>8.704825154691935E-2</v>
      </c>
      <c r="DG111">
        <v>0.6240906308733668</v>
      </c>
      <c r="DH111">
        <v>7745069002.6153955</v>
      </c>
      <c r="DI111">
        <v>7.9134774133563054E-2</v>
      </c>
      <c r="DJ111">
        <v>0.31433329152233164</v>
      </c>
      <c r="DK111">
        <v>15377388047.541882</v>
      </c>
      <c r="DL111">
        <v>6.9242927366867657E-2</v>
      </c>
      <c r="DM111">
        <v>701000000</v>
      </c>
      <c r="DN111">
        <v>9.8918467666953808E-2</v>
      </c>
      <c r="DO111">
        <v>4833625000</v>
      </c>
      <c r="DP111">
        <v>2485791500</v>
      </c>
      <c r="DQ111" s="10">
        <v>3670</v>
      </c>
      <c r="DR111">
        <v>1.5393303802593135</v>
      </c>
      <c r="DS111">
        <v>-1.1936388610403754</v>
      </c>
      <c r="DT111">
        <v>-0.37333333333333335</v>
      </c>
      <c r="DU111">
        <v>0.21000000000000005</v>
      </c>
      <c r="DV111">
        <v>-0.1633333333333333</v>
      </c>
      <c r="DW111">
        <v>-8.9035087719298254</v>
      </c>
      <c r="DX111">
        <v>0.24717355072463718</v>
      </c>
      <c r="DY111">
        <v>-8.0877971554792776</v>
      </c>
      <c r="DZ111">
        <v>553</v>
      </c>
      <c r="EA111">
        <v>-8.0782958194753558</v>
      </c>
      <c r="EB111" s="11">
        <v>8</v>
      </c>
      <c r="EC111" s="11">
        <v>5.1329952153110044E-2</v>
      </c>
      <c r="ED111">
        <v>0.52822966507177038</v>
      </c>
      <c r="EE111">
        <v>2.0611000000000002</v>
      </c>
      <c r="EF111">
        <v>2.0788000000000002</v>
      </c>
      <c r="EG111">
        <v>15.097173550724637</v>
      </c>
      <c r="EH111" s="13" t="s">
        <v>1259</v>
      </c>
      <c r="EI111">
        <v>0</v>
      </c>
      <c r="EJ111">
        <v>1</v>
      </c>
      <c r="EK111">
        <v>45470</v>
      </c>
      <c r="EL111">
        <v>0.96</v>
      </c>
      <c r="EM111">
        <v>-0.95</v>
      </c>
      <c r="EN111" s="14">
        <v>0.55000000000000004</v>
      </c>
      <c r="EO111" s="14">
        <v>0.41</v>
      </c>
      <c r="EP111" s="14">
        <v>1.77</v>
      </c>
    </row>
    <row r="112" spans="1:146" ht="216">
      <c r="A112" s="6"/>
      <c r="B112" s="6"/>
      <c r="C112" s="6" t="str">
        <f>"公司主要业务为工程承包、勘察设计咨询、工业制造、房地产开发、物流与物资贸易。公司具有科研、规划、勘察、设计、施工、监理、维护、运营和投融资等完善的行业产业链,具备为业主提供一站式综合服务的能力。"&amp;CHAR(10)&amp;Basic_Fundamental_Information_Constructure(F112)&amp;CHAR(10)&amp;Basic_Fundamental_Information_Concatenate("工程承包业务 4846.68亿 89.67% 73.51% 7.10%
物流与物资贸易及其他业务 445.19亿 8.24% 7.44% 7.83%
房地产开发业务 213.83亿 3.96% 7.39% 16.18%
工业制造业务 108.03亿 2.00% 5.84% 25.31%
勘察设计咨询业务 91.08亿 1.69% 7.05% 36.24%")</f>
        <v>公司主要业务为工程承包、勘察设计咨询、工业制造、房地产开发、物流与物资贸易。公司具有科研、规划、勘察、设计、施工、监理、维护、运营和投融资等完善的行业产业链,具备为业主提供一站式综合服务的能力。
市值1150.18717亿, 利润26.64亿; PE4.39; 平均PE6.02; 平均PEG.53, PB.449; ROIC4.6733%; ROE9.8333%; 股利率4.1322%; 毛利10.03%; 净利2.87%; 上一年度营收增-99.49%, 利润增-90.02%; 当季营收增19046.87%, 利润增735.65%; 过往5年营收增-11.32%, 利润增-9.64%
Income profile:
工程承包业务 4846.68亿 89.67% 73.51% 7.10%
物流与物资贸易及其他业务 445.19亿 8.24% 7.44% 7.83%
房地产开发业务 213.83亿 3.96% 7.39% 16.18%
工业制造业务 108.03亿 2.00% 5.84% 25.31%
勘察设计咨询业务 91.08亿 1.69% 7.05% 36.24%</v>
      </c>
      <c r="D112" t="s">
        <v>923</v>
      </c>
      <c r="E112" t="s">
        <v>924</v>
      </c>
      <c r="F112">
        <v>8.4700000000000006</v>
      </c>
      <c r="G112">
        <v>-1.17</v>
      </c>
      <c r="H112" t="s">
        <v>4577</v>
      </c>
      <c r="I112">
        <v>115018717000</v>
      </c>
      <c r="J112">
        <v>4.3899999999999997</v>
      </c>
      <c r="K112">
        <v>0.44900000000000001</v>
      </c>
      <c r="L112" t="s">
        <v>361</v>
      </c>
      <c r="M112" t="s">
        <v>4578</v>
      </c>
      <c r="N112" t="s">
        <v>4579</v>
      </c>
      <c r="O112" t="s">
        <v>4580</v>
      </c>
      <c r="P112">
        <v>0.52</v>
      </c>
      <c r="Q112" t="s">
        <v>4581</v>
      </c>
      <c r="R112">
        <v>6025004000</v>
      </c>
      <c r="S112" s="5">
        <v>1.9800000000000002E-2</v>
      </c>
      <c r="T112" t="s">
        <v>1891</v>
      </c>
      <c r="U112">
        <v>11503245500</v>
      </c>
      <c r="V112">
        <v>13579542000</v>
      </c>
      <c r="W112">
        <v>4.09</v>
      </c>
      <c r="X112">
        <v>0.16</v>
      </c>
      <c r="Y112">
        <v>2.58</v>
      </c>
      <c r="Z112" t="s">
        <v>4582</v>
      </c>
      <c r="AA112" t="s">
        <v>4583</v>
      </c>
      <c r="AB112" t="s">
        <v>4584</v>
      </c>
      <c r="AC112" t="s">
        <v>4549</v>
      </c>
      <c r="AD112" t="s">
        <v>19</v>
      </c>
      <c r="AE112">
        <v>1411838000</v>
      </c>
      <c r="AF112" t="s">
        <v>4585</v>
      </c>
      <c r="AG112" t="s">
        <v>98</v>
      </c>
      <c r="AH112" t="s">
        <v>4586</v>
      </c>
      <c r="AI112" t="s">
        <v>4587</v>
      </c>
      <c r="AJ112" t="s">
        <v>4588</v>
      </c>
      <c r="AK112" t="s">
        <v>4589</v>
      </c>
      <c r="AL112" t="s">
        <v>4590</v>
      </c>
      <c r="AM112" t="s">
        <v>19</v>
      </c>
      <c r="AN112" t="s">
        <v>4591</v>
      </c>
      <c r="AO112" t="s">
        <v>4592</v>
      </c>
      <c r="AP112" t="s">
        <v>4593</v>
      </c>
      <c r="AQ112" t="s">
        <v>4594</v>
      </c>
      <c r="AR112" t="s">
        <v>2046</v>
      </c>
      <c r="AS112" t="s">
        <v>4595</v>
      </c>
      <c r="AT112" t="s">
        <v>4596</v>
      </c>
      <c r="AU112" t="s">
        <v>4597</v>
      </c>
      <c r="AV112" t="s">
        <v>4598</v>
      </c>
      <c r="AW112" t="s">
        <v>4599</v>
      </c>
      <c r="AX112" t="s">
        <v>1757</v>
      </c>
      <c r="AY112" t="s">
        <v>1422</v>
      </c>
      <c r="AZ112" t="s">
        <v>925</v>
      </c>
      <c r="BA112" t="s">
        <v>927</v>
      </c>
      <c r="BB112" t="s">
        <v>928</v>
      </c>
      <c r="BC112" t="s">
        <v>4600</v>
      </c>
      <c r="BD112" t="s">
        <v>1199</v>
      </c>
      <c r="BE112" t="s">
        <v>926</v>
      </c>
      <c r="BF112" t="s">
        <v>929</v>
      </c>
      <c r="BG112" t="s">
        <v>930</v>
      </c>
      <c r="BH112" t="s">
        <v>4601</v>
      </c>
      <c r="BI112" t="s">
        <v>2885</v>
      </c>
      <c r="BJ112" t="s">
        <v>1757</v>
      </c>
      <c r="BK112" t="s">
        <v>4602</v>
      </c>
      <c r="BL112" t="s">
        <v>4603</v>
      </c>
      <c r="BM112" t="s">
        <v>4600</v>
      </c>
      <c r="BN112">
        <v>3.45</v>
      </c>
      <c r="BO112">
        <v>5.18</v>
      </c>
      <c r="BP112">
        <v>5.39</v>
      </c>
      <c r="BQ112">
        <v>7.35</v>
      </c>
      <c r="BR112">
        <v>11.05</v>
      </c>
      <c r="BS112">
        <v>11.1</v>
      </c>
      <c r="BT112" t="s">
        <v>4604</v>
      </c>
      <c r="BU112" t="s">
        <v>1342</v>
      </c>
      <c r="BV112">
        <v>10.4</v>
      </c>
      <c r="BW112">
        <v>10.09</v>
      </c>
      <c r="BX112">
        <v>9.6</v>
      </c>
      <c r="BY112">
        <v>2.84</v>
      </c>
      <c r="BZ112">
        <v>2.9</v>
      </c>
      <c r="CA112">
        <v>2.87</v>
      </c>
      <c r="CB112">
        <v>-1.17</v>
      </c>
      <c r="CC112">
        <v>-4.08</v>
      </c>
      <c r="CD112" t="s">
        <v>1895</v>
      </c>
      <c r="CE112" t="s">
        <v>4605</v>
      </c>
      <c r="CF112" s="8">
        <v>190.46866295264624</v>
      </c>
      <c r="CG112" s="9">
        <v>7.3564549237170596</v>
      </c>
      <c r="CH112" s="8">
        <v>-0.99488925933837891</v>
      </c>
      <c r="CI112" s="8">
        <v>7.4806168675422668E-2</v>
      </c>
      <c r="CJ112" s="8">
        <v>0.12048991769552231</v>
      </c>
      <c r="CK112" s="8">
        <v>9.6180133521556854E-2</v>
      </c>
      <c r="CL112" s="8">
        <v>0.13741382956504822</v>
      </c>
      <c r="CM112" s="9">
        <v>-0.90015369653701782</v>
      </c>
      <c r="CN112" s="9">
        <v>8.0596193671226501E-2</v>
      </c>
      <c r="CO112" s="9">
        <v>0.10262132436037064</v>
      </c>
      <c r="CP112" s="9">
        <v>0.10872906446456909</v>
      </c>
      <c r="CQ112" s="9">
        <v>0.12612208724021912</v>
      </c>
      <c r="CR112">
        <v>6.0239723989839478</v>
      </c>
      <c r="CS112">
        <v>0.53215378165035732</v>
      </c>
      <c r="CT112">
        <v>4.1322314049586772</v>
      </c>
      <c r="CU112" s="8">
        <v>-0.11319984197616577</v>
      </c>
      <c r="CV112" s="9">
        <v>-9.6417005360126498E-2</v>
      </c>
      <c r="CW112">
        <v>0.06</v>
      </c>
      <c r="CX112">
        <v>354.1504192942943</v>
      </c>
      <c r="CY112" t="s">
        <v>4606</v>
      </c>
      <c r="CZ112">
        <v>-0.11319984197616577</v>
      </c>
      <c r="DA112">
        <v>118.05013976476477</v>
      </c>
      <c r="DB112" t="s">
        <v>4607</v>
      </c>
      <c r="DC112">
        <v>-0.10753984987735747</v>
      </c>
      <c r="DD112">
        <v>59.025069882382383</v>
      </c>
      <c r="DE112" t="s">
        <v>4608</v>
      </c>
      <c r="DF112">
        <v>-9.9615860939025871E-2</v>
      </c>
      <c r="DG112">
        <v>35.415041929429428</v>
      </c>
      <c r="DH112" t="s">
        <v>4609</v>
      </c>
      <c r="DI112">
        <v>-9.0559873580932621E-2</v>
      </c>
      <c r="DJ112">
        <v>17.707520964714714</v>
      </c>
      <c r="DK112" t="s">
        <v>4610</v>
      </c>
      <c r="DL112">
        <v>-7.9239889383316039E-2</v>
      </c>
      <c r="DM112">
        <v>2664000000</v>
      </c>
      <c r="DN112">
        <v>-0.11319984197616577</v>
      </c>
      <c r="DO112">
        <v>943456717000</v>
      </c>
      <c r="DP112">
        <v>70977490000</v>
      </c>
      <c r="DQ112">
        <v>3685</v>
      </c>
      <c r="DR112">
        <v>190.5818627946224</v>
      </c>
      <c r="DS112">
        <v>7.4528719290771859</v>
      </c>
      <c r="DT112" s="10">
        <v>-0.77333333333333332</v>
      </c>
      <c r="DU112">
        <v>-0.33333333333333331</v>
      </c>
      <c r="DV112">
        <v>-1.1066666666666667</v>
      </c>
      <c r="DW112">
        <v>-1.0407999999999999</v>
      </c>
      <c r="DX112">
        <v>0.39737204741925836</v>
      </c>
      <c r="DY112">
        <v>-1.0064207795347058</v>
      </c>
      <c r="DZ112">
        <v>1877</v>
      </c>
      <c r="EA112">
        <v>-1.0040623053298834</v>
      </c>
      <c r="EB112">
        <v>1</v>
      </c>
      <c r="EC112">
        <v>1.516987833610294E-2</v>
      </c>
      <c r="ED112">
        <v>9.6395003601741497E-2</v>
      </c>
      <c r="EE112" s="11">
        <v>5.0850099999999996</v>
      </c>
      <c r="EF112">
        <v>5.1090099999999996</v>
      </c>
      <c r="EG112">
        <v>24.157372047419258</v>
      </c>
      <c r="EH112" t="s">
        <v>2064</v>
      </c>
      <c r="EI112">
        <v>0</v>
      </c>
      <c r="EJ112">
        <v>0</v>
      </c>
      <c r="EK112" s="13">
        <v>45470</v>
      </c>
      <c r="EL112" s="14">
        <v>-0.13</v>
      </c>
      <c r="EM112" s="14">
        <v>-1.31</v>
      </c>
      <c r="EN112" s="14">
        <v>-1.46</v>
      </c>
      <c r="EO112" s="14">
        <v>0.94</v>
      </c>
      <c r="EP112" s="14">
        <v>-2.4</v>
      </c>
    </row>
    <row r="113" spans="1:146" ht="108">
      <c r="A113" s="6"/>
      <c r="B113" s="6"/>
      <c r="C113" s="6" t="str">
        <f>""&amp;CHAR(10)&amp;Basic_Fundamental_Information_Constructure(F113)&amp;CHAR(10)&amp;Basic_Fundamental_Information_Concatenate("")</f>
        <v xml:space="preserve">
市值55.9968亿, 利润10.79亿; PE50.82; 平均PE17.43; 平均PEG.84, PB1.37; ROIC5.3%; ROE5.8133%; 股利率.5417%; 毛利10.8467%; 净利2.7%; 上一年度营收增60.78%, 利润增248.06%; 当季营收增-57.13%, 利润增-128.57%; 过往5年营收增20.66%, 利润增105.09%
Income profile:
</v>
      </c>
      <c r="D113" t="s">
        <v>931</v>
      </c>
      <c r="E113" t="s">
        <v>932</v>
      </c>
      <c r="F113">
        <v>4.8</v>
      </c>
      <c r="G113">
        <v>0</v>
      </c>
      <c r="H113" t="s">
        <v>4611</v>
      </c>
      <c r="I113">
        <v>5599680000</v>
      </c>
      <c r="J113">
        <v>50.82</v>
      </c>
      <c r="K113">
        <v>1.37</v>
      </c>
      <c r="L113" t="s">
        <v>361</v>
      </c>
      <c r="M113" t="s">
        <v>4612</v>
      </c>
      <c r="N113" t="s">
        <v>4613</v>
      </c>
      <c r="O113" t="s">
        <v>4614</v>
      </c>
      <c r="P113">
        <v>41.55</v>
      </c>
      <c r="Q113" t="s">
        <v>4615</v>
      </c>
      <c r="R113">
        <v>-97125654</v>
      </c>
      <c r="S113" s="5">
        <v>0.1153</v>
      </c>
      <c r="T113" t="s">
        <v>4072</v>
      </c>
      <c r="U113">
        <v>1158828000</v>
      </c>
      <c r="V113">
        <v>1166600000</v>
      </c>
      <c r="W113">
        <v>2.4300000000000002</v>
      </c>
      <c r="X113">
        <v>0.12</v>
      </c>
      <c r="Y113">
        <v>-7.59</v>
      </c>
      <c r="Z113" t="s">
        <v>4185</v>
      </c>
      <c r="AA113" t="s">
        <v>549</v>
      </c>
      <c r="AB113" t="s">
        <v>4616</v>
      </c>
      <c r="AC113" t="s">
        <v>23</v>
      </c>
      <c r="AD113" t="s">
        <v>19</v>
      </c>
      <c r="AE113">
        <v>-1940391</v>
      </c>
      <c r="AF113" t="s">
        <v>20</v>
      </c>
      <c r="AG113" t="s">
        <v>4617</v>
      </c>
      <c r="AH113" t="s">
        <v>4618</v>
      </c>
      <c r="AI113" t="s">
        <v>4619</v>
      </c>
      <c r="AJ113" t="s">
        <v>4620</v>
      </c>
      <c r="AK113" t="s">
        <v>4621</v>
      </c>
      <c r="AL113" t="s">
        <v>4622</v>
      </c>
      <c r="AM113" t="s">
        <v>19</v>
      </c>
      <c r="AN113" t="s">
        <v>4623</v>
      </c>
      <c r="AO113" t="s">
        <v>2864</v>
      </c>
      <c r="AP113" t="s">
        <v>1033</v>
      </c>
      <c r="AQ113" t="s">
        <v>4624</v>
      </c>
      <c r="AR113" t="s">
        <v>19</v>
      </c>
      <c r="AS113" t="s">
        <v>4625</v>
      </c>
      <c r="AT113" t="s">
        <v>4626</v>
      </c>
      <c r="AU113" t="s">
        <v>4627</v>
      </c>
      <c r="AV113" t="s">
        <v>4628</v>
      </c>
      <c r="AW113" t="s">
        <v>4629</v>
      </c>
      <c r="AX113" t="s">
        <v>1758</v>
      </c>
      <c r="AY113" t="s">
        <v>1423</v>
      </c>
      <c r="AZ113" t="s">
        <v>933</v>
      </c>
      <c r="BA113" t="s">
        <v>936</v>
      </c>
      <c r="BB113" t="s">
        <v>895</v>
      </c>
      <c r="BC113" t="s">
        <v>57</v>
      </c>
      <c r="BD113" t="s">
        <v>182</v>
      </c>
      <c r="BE113" t="s">
        <v>934</v>
      </c>
      <c r="BF113" t="s">
        <v>937</v>
      </c>
      <c r="BG113" t="s">
        <v>938</v>
      </c>
      <c r="BH113" t="s">
        <v>4630</v>
      </c>
      <c r="BI113" t="s">
        <v>4631</v>
      </c>
      <c r="BJ113" t="s">
        <v>1758</v>
      </c>
      <c r="BK113" t="s">
        <v>4632</v>
      </c>
      <c r="BL113" t="s">
        <v>29</v>
      </c>
      <c r="BM113" t="s">
        <v>57</v>
      </c>
      <c r="BN113">
        <v>1.72</v>
      </c>
      <c r="BO113">
        <v>6.84</v>
      </c>
      <c r="BP113">
        <v>7.34</v>
      </c>
      <c r="BQ113">
        <v>1.96</v>
      </c>
      <c r="BR113">
        <v>7.58</v>
      </c>
      <c r="BS113">
        <v>7.9</v>
      </c>
      <c r="BT113" t="s">
        <v>1678</v>
      </c>
      <c r="BU113" t="s">
        <v>1336</v>
      </c>
      <c r="BV113">
        <v>10.73</v>
      </c>
      <c r="BW113">
        <v>12.86</v>
      </c>
      <c r="BX113">
        <v>8.9499999999999993</v>
      </c>
      <c r="BY113">
        <v>1.38</v>
      </c>
      <c r="BZ113">
        <v>3.78</v>
      </c>
      <c r="CA113">
        <v>2.94</v>
      </c>
      <c r="CB113">
        <v>-2.04</v>
      </c>
      <c r="CC113">
        <v>-13.2</v>
      </c>
      <c r="CD113" t="s">
        <v>4633</v>
      </c>
      <c r="CE113" t="s">
        <v>125</v>
      </c>
      <c r="CF113" s="8">
        <v>-0.57128446536650979</v>
      </c>
      <c r="CG113" s="9">
        <v>-1.2856636882352941</v>
      </c>
      <c r="CH113" s="8">
        <v>0.60784792900085449</v>
      </c>
      <c r="CI113" s="8">
        <v>-0.20553779602050781</v>
      </c>
      <c r="CJ113" s="8">
        <v>0.1597798615694046</v>
      </c>
      <c r="CK113" s="8">
        <v>0.24108143150806427</v>
      </c>
      <c r="CL113" s="8">
        <v>0.22982008755207062</v>
      </c>
      <c r="CM113" s="9">
        <v>2.4806454181671143</v>
      </c>
      <c r="CN113" s="9">
        <v>2.3102309554815292E-2</v>
      </c>
      <c r="CO113" s="9">
        <v>2.1332530975341797</v>
      </c>
      <c r="CP113" s="9">
        <v>0.17600151896476746</v>
      </c>
      <c r="CQ113" s="9">
        <v>0.44158139824867249</v>
      </c>
      <c r="CR113">
        <v>17.426579853826208</v>
      </c>
      <c r="CS113">
        <v>0.84350063017107391</v>
      </c>
      <c r="CT113">
        <v>0.54166666666666674</v>
      </c>
      <c r="CU113" s="8">
        <v>0.20659830272197724</v>
      </c>
      <c r="CV113" s="9">
        <v>1.0509167484939099</v>
      </c>
      <c r="CW113">
        <v>0.06</v>
      </c>
      <c r="CX113">
        <v>6.904820402546969</v>
      </c>
      <c r="CY113">
        <v>1228226008.1481259</v>
      </c>
      <c r="CZ113">
        <v>0.20659830272197724</v>
      </c>
      <c r="DA113">
        <v>2.0470464403010191</v>
      </c>
      <c r="DB113">
        <v>4142885981.0102367</v>
      </c>
      <c r="DC113">
        <v>0.19626838758587836</v>
      </c>
      <c r="DD113">
        <v>0.87993289671787089</v>
      </c>
      <c r="DE113">
        <v>9637871287.2683105</v>
      </c>
      <c r="DF113">
        <v>0.18180650639533996</v>
      </c>
      <c r="DG113">
        <v>0.45007419876367283</v>
      </c>
      <c r="DH113">
        <v>18842848630.95002</v>
      </c>
      <c r="DI113">
        <v>0.16527864217758181</v>
      </c>
      <c r="DJ113">
        <v>0.15935722409789418</v>
      </c>
      <c r="DK113">
        <v>53218045482.458092</v>
      </c>
      <c r="DL113">
        <v>0.14461881190538406</v>
      </c>
      <c r="DM113">
        <v>1079000000</v>
      </c>
      <c r="DN113">
        <v>0.20659830272197724</v>
      </c>
      <c r="DO113">
        <v>8480680000</v>
      </c>
      <c r="DP113">
        <v>875213300</v>
      </c>
      <c r="DQ113">
        <v>3698</v>
      </c>
      <c r="DR113">
        <v>-0.777882768088487</v>
      </c>
      <c r="DS113">
        <v>-2.336580436729204</v>
      </c>
      <c r="DT113" s="10">
        <v>9.3333333333333268E-2</v>
      </c>
      <c r="DU113">
        <v>1.8333333333333316E-2</v>
      </c>
      <c r="DV113">
        <v>0.11166666666666658</v>
      </c>
      <c r="DW113">
        <v>-2.1320000000000001</v>
      </c>
      <c r="DX113">
        <v>0.31878222222222274</v>
      </c>
      <c r="DY113">
        <v>-2.0130392533333334</v>
      </c>
      <c r="DZ113">
        <v>1256</v>
      </c>
      <c r="EA113">
        <v>-2.0098343018290934</v>
      </c>
      <c r="EB113">
        <v>2</v>
      </c>
      <c r="EC113">
        <v>1.5241556660380594E-2</v>
      </c>
      <c r="ED113">
        <v>0.15429453111606378</v>
      </c>
      <c r="EE113" s="11">
        <v>3.02101</v>
      </c>
      <c r="EF113">
        <v>3.0273099999999999</v>
      </c>
      <c r="EG113">
        <v>22.098782222222223</v>
      </c>
      <c r="EH113" t="s">
        <v>1303</v>
      </c>
      <c r="EI113">
        <v>0</v>
      </c>
      <c r="EJ113">
        <v>1</v>
      </c>
      <c r="EK113" s="13">
        <v>45470</v>
      </c>
      <c r="EL113" s="14">
        <v>-1.01</v>
      </c>
      <c r="EM113" s="14">
        <v>-1.1000000000000001</v>
      </c>
      <c r="EN113" s="14">
        <v>-0.78</v>
      </c>
      <c r="EO113" s="14">
        <v>0</v>
      </c>
      <c r="EP113" s="14">
        <v>-0.63</v>
      </c>
    </row>
    <row r="114" spans="1:146" ht="216">
      <c r="A114" s="6"/>
      <c r="B114" s="6"/>
      <c r="C114" s="6" t="str">
        <f>"公司主营业务为基建建设、勘察设计与咨询服务、工程设备和零部件制造、房地产开发以及其他业务。公司是全球最大的多功能综合型建设集团之一,能够为客户提供全套工程和工业产品及相关服务。"&amp;CHAR(10)&amp;Basic_Fundamental_Information_Constructure(F114)&amp;CHAR(10)&amp;Basic_Fundamental_Information_Concatenate("基础设施建设 4837.01亿 86.28% 73.24% 7.68%
其他 319.79亿 5.70% 10.38% 16.47%
房地产开发 234.47亿 4.18% 6.63% 14.35%
工程设备与零部件制造 127.56亿 2.28% 4.97% 19.77%
勘察设计与咨询服务 87.05亿 1.55% 4.77% 27.81%")</f>
        <v>公司主营业务为基建建设、勘察设计与咨询服务、工程设备和零部件制造、房地产开发以及其他业务。公司是全球最大的多功能综合型建设集团之一,能够为客户提供全套工程和工业产品及相关服务。
市值1581.5652亿, 利润3639.93亿; PE4.78; 平均PE1.94; 平均PEG.47, PB.546; ROIC4.4567%; ROE10.7267%; 股利率3.2864%; 毛利9.94%; 净利2.9567%; 上一年度营收增-26.79%, 利润增1063.92%; 当季营收增16.44%, 利润增-91.7%; 过往5年营收增4.1%, 利润增226.17%
Income profile:
基础设施建设 4837.01亿 86.28% 73.24% 7.68%
其他 319.79亿 5.70% 10.38% 16.47%
房地产开发 234.47亿 4.18% 6.63% 14.35%
工程设备与零部件制造 127.56亿 2.28% 4.97% 19.77%
勘察设计与咨询服务 87.05亿 1.55% 4.77% 27.81%</v>
      </c>
      <c r="D114" t="s">
        <v>939</v>
      </c>
      <c r="E114" t="s">
        <v>940</v>
      </c>
      <c r="F114">
        <v>6.39</v>
      </c>
      <c r="G114">
        <v>-1.54</v>
      </c>
      <c r="H114" t="s">
        <v>4634</v>
      </c>
      <c r="I114">
        <v>158156520000</v>
      </c>
      <c r="J114">
        <v>4.78</v>
      </c>
      <c r="K114">
        <v>0.54600000000000004</v>
      </c>
      <c r="L114" t="s">
        <v>361</v>
      </c>
      <c r="M114" t="s">
        <v>4635</v>
      </c>
      <c r="N114" t="s">
        <v>4636</v>
      </c>
      <c r="O114" t="s">
        <v>4637</v>
      </c>
      <c r="P114">
        <v>-2.56</v>
      </c>
      <c r="Q114" t="s">
        <v>4638</v>
      </c>
      <c r="R114">
        <v>7481215000</v>
      </c>
      <c r="S114" s="5">
        <v>-5.04E-2</v>
      </c>
      <c r="T114" t="s">
        <v>4639</v>
      </c>
      <c r="U114">
        <v>20419450000</v>
      </c>
      <c r="V114">
        <v>24750630000</v>
      </c>
      <c r="W114">
        <v>3.94</v>
      </c>
      <c r="X114">
        <v>0.14000000000000001</v>
      </c>
      <c r="Y114">
        <v>3.02</v>
      </c>
      <c r="Z114" t="s">
        <v>4640</v>
      </c>
      <c r="AA114" t="s">
        <v>4641</v>
      </c>
      <c r="AB114" t="s">
        <v>2063</v>
      </c>
      <c r="AC114" t="s">
        <v>2041</v>
      </c>
      <c r="AD114" t="s">
        <v>19</v>
      </c>
      <c r="AE114">
        <v>1021611000</v>
      </c>
      <c r="AF114" t="s">
        <v>4642</v>
      </c>
      <c r="AG114" t="s">
        <v>26</v>
      </c>
      <c r="AH114" t="s">
        <v>4643</v>
      </c>
      <c r="AI114" t="s">
        <v>4644</v>
      </c>
      <c r="AJ114" t="s">
        <v>4645</v>
      </c>
      <c r="AK114" t="s">
        <v>403</v>
      </c>
      <c r="AL114" t="s">
        <v>4646</v>
      </c>
      <c r="AM114" t="s">
        <v>19</v>
      </c>
      <c r="AN114" t="s">
        <v>4647</v>
      </c>
      <c r="AO114" t="s">
        <v>4648</v>
      </c>
      <c r="AP114" t="s">
        <v>4649</v>
      </c>
      <c r="AQ114" t="s">
        <v>4650</v>
      </c>
      <c r="AR114" t="s">
        <v>4651</v>
      </c>
      <c r="AS114" t="s">
        <v>4652</v>
      </c>
      <c r="AT114" t="s">
        <v>4653</v>
      </c>
      <c r="AU114" t="s">
        <v>4654</v>
      </c>
      <c r="AV114" t="s">
        <v>4655</v>
      </c>
      <c r="AW114" t="s">
        <v>4656</v>
      </c>
      <c r="AX114" t="s">
        <v>4657</v>
      </c>
      <c r="AY114" t="s">
        <v>1759</v>
      </c>
      <c r="AZ114" t="s">
        <v>1760</v>
      </c>
      <c r="BA114" t="s">
        <v>942</v>
      </c>
      <c r="BB114" t="s">
        <v>943</v>
      </c>
      <c r="BC114" t="s">
        <v>4658</v>
      </c>
      <c r="BD114" t="s">
        <v>1200</v>
      </c>
      <c r="BE114" t="s">
        <v>941</v>
      </c>
      <c r="BF114" t="s">
        <v>944</v>
      </c>
      <c r="BG114" t="s">
        <v>945</v>
      </c>
      <c r="BH114" t="s">
        <v>4659</v>
      </c>
      <c r="BI114" t="s">
        <v>4660</v>
      </c>
      <c r="BJ114" t="s">
        <v>4657</v>
      </c>
      <c r="BK114" t="s">
        <v>4661</v>
      </c>
      <c r="BL114" t="s">
        <v>4662</v>
      </c>
      <c r="BM114" t="s">
        <v>4658</v>
      </c>
      <c r="BN114">
        <v>3.27</v>
      </c>
      <c r="BO114">
        <v>4.8499999999999996</v>
      </c>
      <c r="BP114">
        <v>5.25</v>
      </c>
      <c r="BQ114">
        <v>8.42</v>
      </c>
      <c r="BR114">
        <v>12.13</v>
      </c>
      <c r="BS114">
        <v>11.63</v>
      </c>
      <c r="BT114" t="s">
        <v>1584</v>
      </c>
      <c r="BU114" t="s">
        <v>1342</v>
      </c>
      <c r="BV114">
        <v>10.01</v>
      </c>
      <c r="BW114">
        <v>9.81</v>
      </c>
      <c r="BX114">
        <v>10</v>
      </c>
      <c r="BY114">
        <v>2.98</v>
      </c>
      <c r="BZ114">
        <v>3.04</v>
      </c>
      <c r="CA114">
        <v>2.85</v>
      </c>
      <c r="CB114">
        <v>-1.99</v>
      </c>
      <c r="CC114">
        <v>-6.3</v>
      </c>
      <c r="CD114" t="s">
        <v>93</v>
      </c>
      <c r="CE114" t="s">
        <v>4663</v>
      </c>
      <c r="CF114" s="8">
        <v>0.16439216857941263</v>
      </c>
      <c r="CG114" s="9">
        <v>-0.91702658488975641</v>
      </c>
      <c r="CH114" s="8">
        <v>-0.26785123348236084</v>
      </c>
      <c r="CI114" s="8">
        <v>7.5749881565570831E-2</v>
      </c>
      <c r="CJ114" s="8">
        <v>0.10192657262086868</v>
      </c>
      <c r="CK114" s="8">
        <v>0.14493069052696228</v>
      </c>
      <c r="CL114" s="8">
        <v>0.1500934362411499</v>
      </c>
      <c r="CM114" s="9">
        <v>10.639209747314453</v>
      </c>
      <c r="CN114" s="9">
        <v>0.13234122097492218</v>
      </c>
      <c r="CO114" s="9">
        <v>9.6474558115005493E-2</v>
      </c>
      <c r="CP114" s="9">
        <v>6.3772305846214294E-2</v>
      </c>
      <c r="CQ114" s="9">
        <v>0.376787930727005</v>
      </c>
      <c r="CR114">
        <v>1.9407771787592956</v>
      </c>
      <c r="CS114">
        <v>0.47370841125641466</v>
      </c>
      <c r="CT114">
        <v>3.286384976525822</v>
      </c>
      <c r="CU114" s="8">
        <v>4.096986949443817E-2</v>
      </c>
      <c r="CV114" s="9">
        <v>2.2617171525955202</v>
      </c>
      <c r="CW114">
        <v>0.06</v>
      </c>
      <c r="CX114">
        <v>2.9562851550594313</v>
      </c>
      <c r="CY114">
        <v>357458250666.87646</v>
      </c>
      <c r="CZ114">
        <v>4.096986949443817E-2</v>
      </c>
      <c r="DA114">
        <v>1.0072686700426015</v>
      </c>
      <c r="DB114">
        <v>1049122792586.5161</v>
      </c>
      <c r="DC114">
        <v>3.8921376019716257E-2</v>
      </c>
      <c r="DD114">
        <v>0.5237567626892865</v>
      </c>
      <c r="DE114">
        <v>2017632220296.3242</v>
      </c>
      <c r="DF114">
        <v>3.6053485155105591E-2</v>
      </c>
      <c r="DG114">
        <v>0.33405292715213891</v>
      </c>
      <c r="DH114">
        <v>3163416435260.6353</v>
      </c>
      <c r="DI114">
        <v>3.2775895595550539E-2</v>
      </c>
      <c r="DJ114">
        <v>0.19595033743109264</v>
      </c>
      <c r="DK114">
        <v>5392940547354.8281</v>
      </c>
      <c r="DL114">
        <v>2.8678908646106716E-2</v>
      </c>
      <c r="DM114">
        <v>363993000000</v>
      </c>
      <c r="DN114">
        <v>4.096986949443817E-2</v>
      </c>
      <c r="DO114">
        <v>1056748520000</v>
      </c>
      <c r="DP114">
        <v>-8429940000</v>
      </c>
      <c r="DQ114">
        <v>3724</v>
      </c>
      <c r="DR114">
        <v>0.12342229908497446</v>
      </c>
      <c r="DS114">
        <v>-3.1787437374852767</v>
      </c>
      <c r="DT114" s="10">
        <v>-0.50666666666666671</v>
      </c>
      <c r="DU114">
        <v>-4.0000000000000036E-2</v>
      </c>
      <c r="DV114">
        <v>-0.54666666666666675</v>
      </c>
      <c r="DW114">
        <v>-2.0630000000000002</v>
      </c>
      <c r="DX114">
        <v>0.4598302735639514</v>
      </c>
      <c r="DY114">
        <v>-2.010069307234529</v>
      </c>
      <c r="DZ114">
        <v>2746</v>
      </c>
      <c r="EA114">
        <v>-2.0046582861648585</v>
      </c>
      <c r="EB114">
        <v>2</v>
      </c>
      <c r="EC114">
        <v>1.3696621055706461E-2</v>
      </c>
      <c r="ED114">
        <v>8.5694788375083791E-2</v>
      </c>
      <c r="EE114" s="11">
        <v>-2.11321</v>
      </c>
      <c r="EF114">
        <v>-2.1400100000000002</v>
      </c>
      <c r="EG114">
        <v>30.159830273563951</v>
      </c>
      <c r="EH114" t="s">
        <v>1295</v>
      </c>
      <c r="EI114">
        <v>0</v>
      </c>
      <c r="EJ114">
        <v>0</v>
      </c>
      <c r="EK114" s="13">
        <v>45470</v>
      </c>
      <c r="EL114" s="14">
        <v>0.44</v>
      </c>
      <c r="EM114" s="14">
        <v>-4.82</v>
      </c>
      <c r="EN114" s="14">
        <v>0.92</v>
      </c>
      <c r="EO114" s="14">
        <v>2.2799999999999998</v>
      </c>
      <c r="EP114" s="14">
        <v>-2.68</v>
      </c>
    </row>
    <row r="115" spans="1:146" ht="168">
      <c r="A115" s="6"/>
      <c r="B115" s="6"/>
      <c r="C115" s="6" t="str">
        <f>"公司是我国国防军工工程重要承包商之一，是我国核电工程建设领域历史最久、规模最大、专业一体化程度最高的企业，是国内唯一一家30余年来不间断从事核电工程建设的企业，一直是核电工程建设领军企业，代表了我国核电工程建设的最高水平。"&amp;CHAR(10)&amp;Basic_Fundamental_Information_Constructure(F115)&amp;CHAR(10)&amp;Basic_Fundamental_Information_Concatenate("工业与民用工程 414.32亿 78.47% 63.51% 6.71%
核电工程 84.03亿 15.91% 23.80% 12.40%")</f>
        <v>公司是我国国防军工工程重要承包商之一，是我国核电工程建设领域历史最久、规模最大、专业一体化程度最高的企业，是国内唯一一家30余年来不间断从事核电工程建设的企业，一直是核电工程建设领军企业，代表了我国核电工程建设的最高水平。
市值242.37108亿, 利润3.72亿; PE11.48; 平均PE20.17; 平均PEG578.24, PB1.25; ROIC3.59%; ROE9.7867%; 股利率1.0834%; 毛利10.4533%; 净利2.55%; 上一年度营收增-71.9%, 利润增-79.07%; 当季营收增956.24%, 利润增345.38%; 过往5年营收增-.03%, 利润增-2.43%
Income profile:
工业与民用工程 414.32亿 78.47% 63.51% 6.71%
核电工程 84.03亿 15.91% 23.80% 12.40%</v>
      </c>
      <c r="D115" t="s">
        <v>946</v>
      </c>
      <c r="E115" t="s">
        <v>947</v>
      </c>
      <c r="F115">
        <v>8.0299999999999994</v>
      </c>
      <c r="G115">
        <v>-0.99</v>
      </c>
      <c r="H115" t="s">
        <v>4664</v>
      </c>
      <c r="I115">
        <v>24237108000</v>
      </c>
      <c r="J115">
        <v>11.48</v>
      </c>
      <c r="K115">
        <v>1.25</v>
      </c>
      <c r="L115" t="s">
        <v>361</v>
      </c>
      <c r="M115" t="s">
        <v>4665</v>
      </c>
      <c r="N115" t="s">
        <v>4666</v>
      </c>
      <c r="O115" t="s">
        <v>4667</v>
      </c>
      <c r="P115">
        <v>0.37</v>
      </c>
      <c r="Q115" t="s">
        <v>4668</v>
      </c>
      <c r="R115">
        <v>557004360</v>
      </c>
      <c r="S115" s="5">
        <v>9.6000000000000002E-2</v>
      </c>
      <c r="T115" t="s">
        <v>65</v>
      </c>
      <c r="U115">
        <v>2922646100</v>
      </c>
      <c r="V115">
        <v>3018319800</v>
      </c>
      <c r="W115">
        <v>5.65</v>
      </c>
      <c r="X115">
        <v>0.13</v>
      </c>
      <c r="Y115">
        <v>2.57</v>
      </c>
      <c r="Z115" t="s">
        <v>4669</v>
      </c>
      <c r="AA115" t="s">
        <v>4670</v>
      </c>
      <c r="AB115" t="s">
        <v>4671</v>
      </c>
      <c r="AC115" t="s">
        <v>1599</v>
      </c>
      <c r="AD115" t="s">
        <v>19</v>
      </c>
      <c r="AE115">
        <v>615572570</v>
      </c>
      <c r="AF115" t="s">
        <v>4672</v>
      </c>
      <c r="AG115" t="s">
        <v>4673</v>
      </c>
      <c r="AH115" t="s">
        <v>4674</v>
      </c>
      <c r="AI115" t="s">
        <v>4675</v>
      </c>
      <c r="AJ115" t="s">
        <v>4676</v>
      </c>
      <c r="AK115" t="s">
        <v>4677</v>
      </c>
      <c r="AL115" t="s">
        <v>4678</v>
      </c>
      <c r="AM115" t="s">
        <v>19</v>
      </c>
      <c r="AN115" t="s">
        <v>2049</v>
      </c>
      <c r="AO115" t="s">
        <v>4679</v>
      </c>
      <c r="AP115" t="s">
        <v>4680</v>
      </c>
      <c r="AQ115" t="s">
        <v>4681</v>
      </c>
      <c r="AR115" t="s">
        <v>19</v>
      </c>
      <c r="AS115" t="s">
        <v>4682</v>
      </c>
      <c r="AT115" t="s">
        <v>4683</v>
      </c>
      <c r="AU115" t="s">
        <v>4684</v>
      </c>
      <c r="AV115" t="s">
        <v>4685</v>
      </c>
      <c r="AW115" t="s">
        <v>4686</v>
      </c>
      <c r="AX115" t="s">
        <v>1761</v>
      </c>
      <c r="AY115" t="s">
        <v>1424</v>
      </c>
      <c r="AZ115" t="s">
        <v>1762</v>
      </c>
      <c r="BA115" t="s">
        <v>949</v>
      </c>
      <c r="BB115" t="s">
        <v>950</v>
      </c>
      <c r="BC115" t="s">
        <v>4687</v>
      </c>
      <c r="BD115" t="s">
        <v>1165</v>
      </c>
      <c r="BE115" t="s">
        <v>948</v>
      </c>
      <c r="BF115" t="s">
        <v>951</v>
      </c>
      <c r="BG115" t="s">
        <v>952</v>
      </c>
      <c r="BH115" t="s">
        <v>4688</v>
      </c>
      <c r="BI115" t="s">
        <v>4689</v>
      </c>
      <c r="BJ115" t="s">
        <v>1761</v>
      </c>
      <c r="BK115" t="s">
        <v>4690</v>
      </c>
      <c r="BL115" t="s">
        <v>3004</v>
      </c>
      <c r="BM115" t="s">
        <v>4687</v>
      </c>
      <c r="BN115">
        <v>3.03</v>
      </c>
      <c r="BO115">
        <v>4.0999999999999996</v>
      </c>
      <c r="BP115">
        <v>3.64</v>
      </c>
      <c r="BQ115">
        <v>7.74</v>
      </c>
      <c r="BR115">
        <v>10.85</v>
      </c>
      <c r="BS115">
        <v>10.77</v>
      </c>
      <c r="BT115" t="s">
        <v>4691</v>
      </c>
      <c r="BU115" t="s">
        <v>1342</v>
      </c>
      <c r="BV115">
        <v>11.35</v>
      </c>
      <c r="BW115">
        <v>10.07</v>
      </c>
      <c r="BX115">
        <v>9.94</v>
      </c>
      <c r="BY115">
        <v>2.54</v>
      </c>
      <c r="BZ115">
        <v>2.48</v>
      </c>
      <c r="CA115">
        <v>2.63</v>
      </c>
      <c r="CB115">
        <v>-0.74</v>
      </c>
      <c r="CC115">
        <v>5.38</v>
      </c>
      <c r="CD115" t="s">
        <v>34</v>
      </c>
      <c r="CE115" t="s">
        <v>349</v>
      </c>
      <c r="CF115" s="8">
        <v>9.5623863222990177</v>
      </c>
      <c r="CG115" s="9">
        <v>3.4537637004405286</v>
      </c>
      <c r="CH115" s="8">
        <v>-0.71898764371871948</v>
      </c>
      <c r="CI115" s="8">
        <v>0.1841614693403244</v>
      </c>
      <c r="CJ115" s="8">
        <v>0.15000002086162567</v>
      </c>
      <c r="CK115" s="8">
        <v>0.14478009939193726</v>
      </c>
      <c r="CL115" s="8">
        <v>0.23830200731754303</v>
      </c>
      <c r="CM115" s="9">
        <v>-0.79065841436386108</v>
      </c>
      <c r="CN115" s="9">
        <v>0.15916503965854645</v>
      </c>
      <c r="CO115" s="9">
        <v>0.12720583379268646</v>
      </c>
      <c r="CP115" s="9">
        <v>0.12676049768924713</v>
      </c>
      <c r="CQ115" s="9">
        <v>0.25598341226577759</v>
      </c>
      <c r="CR115">
        <v>20.169576699029125</v>
      </c>
      <c r="CS115">
        <v>578.2406932753114</v>
      </c>
      <c r="CT115">
        <v>1.0834371108343712</v>
      </c>
      <c r="CU115" s="8">
        <v>-3.4880936145782472E-4</v>
      </c>
      <c r="CV115" s="9">
        <v>-2.4308726191520691E-2</v>
      </c>
      <c r="CW115">
        <v>0.06</v>
      </c>
      <c r="CX115">
        <v>436.27986021505376</v>
      </c>
      <c r="CY115" t="s">
        <v>4692</v>
      </c>
      <c r="CZ115">
        <v>-3.4880936145782472E-4</v>
      </c>
      <c r="DA115">
        <v>145.4266200716846</v>
      </c>
      <c r="DB115" t="s">
        <v>4693</v>
      </c>
      <c r="DC115">
        <v>-3.3136889338493348E-4</v>
      </c>
      <c r="DD115">
        <v>72.713310035842298</v>
      </c>
      <c r="DE115" t="s">
        <v>4694</v>
      </c>
      <c r="DF115">
        <v>-3.0695223808288575E-4</v>
      </c>
      <c r="DG115">
        <v>43.627986021505379</v>
      </c>
      <c r="DH115" t="s">
        <v>4695</v>
      </c>
      <c r="DI115">
        <v>-2.7904748916625979E-4</v>
      </c>
      <c r="DJ115">
        <v>21.813993010752689</v>
      </c>
      <c r="DK115" t="s">
        <v>4696</v>
      </c>
      <c r="DL115">
        <v>-2.4416655302047726E-4</v>
      </c>
      <c r="DM115">
        <v>372000000</v>
      </c>
      <c r="DN115">
        <v>-3.4880936145782472E-4</v>
      </c>
      <c r="DO115">
        <v>162296108000</v>
      </c>
      <c r="DP115">
        <v>15222880000</v>
      </c>
      <c r="DQ115">
        <v>3750</v>
      </c>
      <c r="DR115">
        <v>9.5627351316604763</v>
      </c>
      <c r="DS115">
        <v>3.4780724266320493</v>
      </c>
      <c r="DT115" s="10">
        <v>-0.39000000000000007</v>
      </c>
      <c r="DU115">
        <v>-8.3333333333333329E-2</v>
      </c>
      <c r="DV115">
        <v>-0.47333333333333338</v>
      </c>
      <c r="DW115">
        <v>1.0538000000000001</v>
      </c>
      <c r="DX115">
        <v>0.45787158145065421</v>
      </c>
      <c r="DY115">
        <v>1.0101074910820451</v>
      </c>
      <c r="DZ115">
        <v>1205</v>
      </c>
      <c r="EA115">
        <v>1.0077240220499777</v>
      </c>
      <c r="EB115">
        <v>1</v>
      </c>
      <c r="EC115">
        <v>5.2347004449296596E-2</v>
      </c>
      <c r="ED115">
        <v>0.27863184013834452</v>
      </c>
      <c r="EE115" s="11">
        <v>7.9200000000000007E-2</v>
      </c>
      <c r="EF115">
        <v>3.5900000000000008E-2</v>
      </c>
      <c r="EG115">
        <v>27.187871581450654</v>
      </c>
      <c r="EH115" t="s">
        <v>1261</v>
      </c>
      <c r="EI115">
        <v>0</v>
      </c>
      <c r="EJ115">
        <v>1</v>
      </c>
      <c r="EK115" s="13">
        <v>45470</v>
      </c>
      <c r="EL115" s="14">
        <v>-0.52</v>
      </c>
      <c r="EM115" s="14">
        <v>-3.3</v>
      </c>
      <c r="EN115" s="14">
        <v>0.9</v>
      </c>
      <c r="EO115" s="14">
        <v>2.85</v>
      </c>
      <c r="EP115" s="14">
        <v>-4.33</v>
      </c>
    </row>
    <row r="116" spans="1:146" ht="108">
      <c r="A116" s="6"/>
      <c r="B116" s="6"/>
      <c r="C116" s="6" t="str">
        <f>""&amp;CHAR(10)&amp;Basic_Fundamental_Information_Constructure(F116)&amp;CHAR(10)&amp;Basic_Fundamental_Information_Concatenate("")</f>
        <v xml:space="preserve">
市值646.57692亿, 利润8.03亿; PE8.11; 平均PE9.63; 平均PEG2.3, PB.642; ROIC5.25%; ROE8.7533%; 股利率2.3077%; 毛利9.9833%; 净利2.1%; 上一年度营收增-99.59%, 利润增-92.19%; 当季营收增23256.54%, 利润增988.88%; 过往5年营收增-4.2%, 利润增-8.05%
Income profile:
</v>
      </c>
      <c r="D116" t="s">
        <v>953</v>
      </c>
      <c r="E116" t="s">
        <v>954</v>
      </c>
      <c r="F116">
        <v>3.12</v>
      </c>
      <c r="G116">
        <v>-0.95</v>
      </c>
      <c r="H116" t="s">
        <v>4697</v>
      </c>
      <c r="I116">
        <v>64657692000</v>
      </c>
      <c r="J116">
        <v>8.11</v>
      </c>
      <c r="K116">
        <v>0.64200000000000002</v>
      </c>
      <c r="L116" t="s">
        <v>361</v>
      </c>
      <c r="M116" t="s">
        <v>4698</v>
      </c>
      <c r="N116" t="s">
        <v>4699</v>
      </c>
      <c r="O116" t="s">
        <v>4700</v>
      </c>
      <c r="P116">
        <v>3.81</v>
      </c>
      <c r="Q116" t="s">
        <v>4701</v>
      </c>
      <c r="R116">
        <v>2678657000</v>
      </c>
      <c r="S116" s="5">
        <v>-0.2056</v>
      </c>
      <c r="T116" t="s">
        <v>1461</v>
      </c>
      <c r="U116">
        <v>17852619000</v>
      </c>
      <c r="V116">
        <v>20723619000</v>
      </c>
      <c r="W116">
        <v>4.0199999999999996</v>
      </c>
      <c r="X116">
        <v>0.22</v>
      </c>
      <c r="Y116">
        <v>2.1</v>
      </c>
      <c r="Z116" t="s">
        <v>4702</v>
      </c>
      <c r="AA116" t="s">
        <v>4703</v>
      </c>
      <c r="AB116" t="s">
        <v>1622</v>
      </c>
      <c r="AC116" t="s">
        <v>4704</v>
      </c>
      <c r="AD116" t="s">
        <v>19</v>
      </c>
      <c r="AE116">
        <v>222820000</v>
      </c>
      <c r="AF116" t="s">
        <v>4705</v>
      </c>
      <c r="AG116" t="s">
        <v>4706</v>
      </c>
      <c r="AH116" t="s">
        <v>4707</v>
      </c>
      <c r="AI116" t="s">
        <v>4708</v>
      </c>
      <c r="AJ116" t="s">
        <v>4709</v>
      </c>
      <c r="AK116" t="s">
        <v>4710</v>
      </c>
      <c r="AL116" t="s">
        <v>4711</v>
      </c>
      <c r="AM116" t="s">
        <v>19</v>
      </c>
      <c r="AN116" t="s">
        <v>4712</v>
      </c>
      <c r="AO116" t="s">
        <v>4713</v>
      </c>
      <c r="AP116" t="s">
        <v>4714</v>
      </c>
      <c r="AQ116" t="s">
        <v>4715</v>
      </c>
      <c r="AR116" t="s">
        <v>175</v>
      </c>
      <c r="AS116" t="s">
        <v>4716</v>
      </c>
      <c r="AT116" t="s">
        <v>4717</v>
      </c>
      <c r="AU116" t="s">
        <v>4718</v>
      </c>
      <c r="AV116" t="s">
        <v>2015</v>
      </c>
      <c r="AW116" t="s">
        <v>4719</v>
      </c>
      <c r="AX116" t="s">
        <v>1763</v>
      </c>
      <c r="AY116" t="s">
        <v>1426</v>
      </c>
      <c r="AZ116" t="s">
        <v>955</v>
      </c>
      <c r="BA116" t="s">
        <v>957</v>
      </c>
      <c r="BB116" t="s">
        <v>958</v>
      </c>
      <c r="BC116" t="s">
        <v>4720</v>
      </c>
      <c r="BD116" t="s">
        <v>1201</v>
      </c>
      <c r="BE116" t="s">
        <v>956</v>
      </c>
      <c r="BF116" t="s">
        <v>959</v>
      </c>
      <c r="BG116" t="s">
        <v>960</v>
      </c>
      <c r="BH116" t="s">
        <v>4721</v>
      </c>
      <c r="BI116" t="s">
        <v>1340</v>
      </c>
      <c r="BJ116" t="s">
        <v>1763</v>
      </c>
      <c r="BK116" t="s">
        <v>4722</v>
      </c>
      <c r="BL116" t="s">
        <v>89</v>
      </c>
      <c r="BM116" t="s">
        <v>4720</v>
      </c>
      <c r="BN116">
        <v>4.4400000000000004</v>
      </c>
      <c r="BO116">
        <v>6</v>
      </c>
      <c r="BP116">
        <v>5.31</v>
      </c>
      <c r="BQ116">
        <v>6.74</v>
      </c>
      <c r="BR116">
        <v>10.47</v>
      </c>
      <c r="BS116">
        <v>9.0500000000000007</v>
      </c>
      <c r="BT116" t="s">
        <v>4723</v>
      </c>
      <c r="BU116" t="s">
        <v>1336</v>
      </c>
      <c r="BV116">
        <v>9.69</v>
      </c>
      <c r="BW116">
        <v>9.64</v>
      </c>
      <c r="BX116">
        <v>10.62</v>
      </c>
      <c r="BY116">
        <v>1.8</v>
      </c>
      <c r="BZ116">
        <v>2.1800000000000002</v>
      </c>
      <c r="CA116">
        <v>2.3199999999999998</v>
      </c>
      <c r="CB116">
        <v>0.65</v>
      </c>
      <c r="CC116">
        <v>-5.74</v>
      </c>
      <c r="CD116" t="s">
        <v>1619</v>
      </c>
      <c r="CE116" t="s">
        <v>4724</v>
      </c>
      <c r="CF116" s="8">
        <v>232.56542056074767</v>
      </c>
      <c r="CG116" s="9">
        <v>9.8888495934959355</v>
      </c>
      <c r="CH116" s="8">
        <v>-0.99594545364379883</v>
      </c>
      <c r="CI116" s="8">
        <v>0.18398350477218628</v>
      </c>
      <c r="CJ116" s="8">
        <v>0.2510702908039093</v>
      </c>
      <c r="CK116" s="8">
        <v>0.18154191970825195</v>
      </c>
      <c r="CL116" s="8">
        <v>0.16959266364574432</v>
      </c>
      <c r="CM116" s="9">
        <v>-0.92185670137405396</v>
      </c>
      <c r="CN116" s="9">
        <v>0.22698503732681274</v>
      </c>
      <c r="CO116" s="9">
        <v>6.5250560641288757E-2</v>
      </c>
      <c r="CP116" s="9">
        <v>0.19121214747428894</v>
      </c>
      <c r="CQ116" s="9">
        <v>3.5781584680080414E-2</v>
      </c>
      <c r="CR116">
        <v>9.6293226767275613</v>
      </c>
      <c r="CS116">
        <v>2.2953511079114786</v>
      </c>
      <c r="CT116">
        <v>2.3076923076923075</v>
      </c>
      <c r="CU116" s="8">
        <v>-4.1951414942741391E-2</v>
      </c>
      <c r="CV116" s="9">
        <v>-8.0525474250316614E-2</v>
      </c>
      <c r="CW116">
        <v>0.06</v>
      </c>
      <c r="CX116">
        <v>477.23871980074722</v>
      </c>
      <c r="CY116" t="s">
        <v>4725</v>
      </c>
      <c r="CZ116">
        <v>-4.1951414942741391E-2</v>
      </c>
      <c r="DA116">
        <v>159.07957326691573</v>
      </c>
      <c r="DB116" t="s">
        <v>4726</v>
      </c>
      <c r="DC116">
        <v>-3.9853844195604317E-2</v>
      </c>
      <c r="DD116">
        <v>79.539786633457865</v>
      </c>
      <c r="DE116" t="s">
        <v>4727</v>
      </c>
      <c r="DF116">
        <v>-3.6917245149612428E-2</v>
      </c>
      <c r="DG116">
        <v>47.723871980074719</v>
      </c>
      <c r="DH116" t="s">
        <v>4728</v>
      </c>
      <c r="DI116">
        <v>-3.3561131954193114E-2</v>
      </c>
      <c r="DJ116">
        <v>23.86193599003736</v>
      </c>
      <c r="DK116" t="s">
        <v>4729</v>
      </c>
      <c r="DL116">
        <v>-2.9365990459918972E-2</v>
      </c>
      <c r="DM116">
        <v>802999999.99999988</v>
      </c>
      <c r="DN116">
        <v>-4.1951414942741391E-2</v>
      </c>
      <c r="DO116">
        <v>383222692000</v>
      </c>
      <c r="DP116">
        <v>46697460000</v>
      </c>
      <c r="DQ116">
        <v>3753</v>
      </c>
      <c r="DR116">
        <v>232.6073719756904</v>
      </c>
      <c r="DS116">
        <v>9.9693750677462525</v>
      </c>
      <c r="DT116" s="10">
        <v>-0.27333333333333343</v>
      </c>
      <c r="DU116">
        <v>-6.6666666666666652E-2</v>
      </c>
      <c r="DV116">
        <v>-0.34000000000000008</v>
      </c>
      <c r="DW116">
        <v>-1.0573999999999999</v>
      </c>
      <c r="DX116">
        <v>0.39545296167247401</v>
      </c>
      <c r="DY116">
        <v>-1.0077750000000001</v>
      </c>
      <c r="DZ116">
        <v>3678</v>
      </c>
      <c r="EA116">
        <v>-1.0021788258317026</v>
      </c>
      <c r="EB116">
        <v>1</v>
      </c>
      <c r="EC116">
        <v>1.5007031349109438E-2</v>
      </c>
      <c r="ED116">
        <v>0.11079145973490441</v>
      </c>
      <c r="EE116" s="11">
        <v>-1.0556099999999999</v>
      </c>
      <c r="EF116">
        <v>-1.0767100000000001</v>
      </c>
      <c r="EG116">
        <v>26.135452961672474</v>
      </c>
      <c r="EH116" t="s">
        <v>1265</v>
      </c>
      <c r="EI116">
        <v>0</v>
      </c>
      <c r="EJ116">
        <v>0</v>
      </c>
      <c r="EK116" s="13">
        <v>45470</v>
      </c>
      <c r="EL116" s="14">
        <v>-0.35</v>
      </c>
      <c r="EM116" s="14">
        <v>-3.5</v>
      </c>
      <c r="EN116" s="14">
        <v>0.72</v>
      </c>
      <c r="EO116" s="14">
        <v>2.52</v>
      </c>
      <c r="EP116" s="14">
        <v>-2.11</v>
      </c>
    </row>
    <row r="117" spans="1:146" ht="216">
      <c r="A117" s="6"/>
      <c r="B117" s="6"/>
      <c r="C117" s="6" t="str">
        <f>"公司是一家建筑房地产综合企业,主要从事于房建、基建、地产和设计。其主要产品是房屋建筑工程和基础设施建设与投资。"&amp;CHAR(10)&amp;Basic_Fundamental_Information_Constructure(F117)&amp;CHAR(10)&amp;Basic_Fundamental_Information_Concatenate("房屋建筑工程 7366.38亿 66.17% 522.21亿 48.98% 7.09%
基础设施建设与投资 2412.80亿 21.67% 252.16亿 23.65% 10.45%
房地产开发与投资 1275.45亿 11.46% 230.85亿 21.65% 18.10%
其他 213.71亿 1.92% 60.75亿 5.70% 28.43%
勘察设计 52.78亿 0.47% 9.03亿 0.85% 17.11%")</f>
        <v>公司是一家建筑房地产综合企业,主要从事于房建、基建、地产和设计。其主要产品是房屋建筑工程和基础设施建设与投资。
市值2230.8295亿, 利润129.88亿; PE4.1; 平均PE5.56; 平均PEG2.23, PB.515; ROIC6.0533%; ROE13.55%; 股利率5.0644%; 毛利10.54%; 净利3.5767%; 上一年度营收增-70.39%, 利润增-74.51%; 当季营收增312.13%, 利润增393.94%; 过往5年营收增-2.5%, 利润增-8.83%
Income profile:
房屋建筑工程 7366.38亿 66.17% 522.21亿 48.98% 7.09%
基础设施建设与投资 2412.80亿 21.67% 252.16亿 23.65% 10.45%
房地产开发与投资 1275.45亿 11.46% 230.85亿 21.65% 18.10%
其他 213.71亿 1.92% 60.75亿 5.70% 28.43%
勘察设计 52.78亿 0.47% 9.03亿 0.85% 17.11%</v>
      </c>
      <c r="D117" t="s">
        <v>961</v>
      </c>
      <c r="E117" t="s">
        <v>962</v>
      </c>
      <c r="F117">
        <v>5.36</v>
      </c>
      <c r="G117">
        <v>-1.29</v>
      </c>
      <c r="H117" t="s">
        <v>132</v>
      </c>
      <c r="I117">
        <v>223082950000</v>
      </c>
      <c r="J117">
        <v>4.0999999999999996</v>
      </c>
      <c r="K117">
        <v>0.51500000000000001</v>
      </c>
      <c r="L117" t="s">
        <v>361</v>
      </c>
      <c r="M117" t="s">
        <v>4730</v>
      </c>
      <c r="N117" t="s">
        <v>4731</v>
      </c>
      <c r="O117" t="s">
        <v>4732</v>
      </c>
      <c r="P117">
        <v>4.67</v>
      </c>
      <c r="Q117" t="s">
        <v>4733</v>
      </c>
      <c r="R117">
        <v>14921852000</v>
      </c>
      <c r="S117" s="5">
        <v>1.2E-2</v>
      </c>
      <c r="T117" t="s">
        <v>4734</v>
      </c>
      <c r="U117">
        <v>41320390000</v>
      </c>
      <c r="V117">
        <v>41619952000</v>
      </c>
      <c r="W117">
        <v>3.96</v>
      </c>
      <c r="X117">
        <v>0.19</v>
      </c>
      <c r="Y117">
        <v>3.25</v>
      </c>
      <c r="Z117" t="s">
        <v>4735</v>
      </c>
      <c r="AA117" t="s">
        <v>4736</v>
      </c>
      <c r="AB117" t="s">
        <v>4737</v>
      </c>
      <c r="AC117" t="s">
        <v>4738</v>
      </c>
      <c r="AD117" t="s">
        <v>19</v>
      </c>
      <c r="AE117">
        <v>4586535000</v>
      </c>
      <c r="AF117" t="s">
        <v>4739</v>
      </c>
      <c r="AG117" t="s">
        <v>91</v>
      </c>
      <c r="AH117" t="s">
        <v>4740</v>
      </c>
      <c r="AI117" t="s">
        <v>4741</v>
      </c>
      <c r="AJ117" t="s">
        <v>4742</v>
      </c>
      <c r="AK117" t="s">
        <v>4743</v>
      </c>
      <c r="AL117" t="s">
        <v>4744</v>
      </c>
      <c r="AM117" t="s">
        <v>19</v>
      </c>
      <c r="AN117" t="s">
        <v>4745</v>
      </c>
      <c r="AO117" t="s">
        <v>4746</v>
      </c>
      <c r="AP117" t="s">
        <v>4747</v>
      </c>
      <c r="AQ117" t="s">
        <v>4748</v>
      </c>
      <c r="AR117" t="s">
        <v>1317</v>
      </c>
      <c r="AS117" t="s">
        <v>4749</v>
      </c>
      <c r="AT117" t="s">
        <v>4750</v>
      </c>
      <c r="AU117" t="s">
        <v>4751</v>
      </c>
      <c r="AV117" t="s">
        <v>4752</v>
      </c>
      <c r="AW117" t="s">
        <v>4753</v>
      </c>
      <c r="AX117" t="s">
        <v>1764</v>
      </c>
      <c r="AY117" t="s">
        <v>1766</v>
      </c>
      <c r="AZ117" t="s">
        <v>1202</v>
      </c>
      <c r="BA117" t="s">
        <v>963</v>
      </c>
      <c r="BB117" t="s">
        <v>964</v>
      </c>
      <c r="BC117" t="s">
        <v>1765</v>
      </c>
      <c r="BD117" t="s">
        <v>1767</v>
      </c>
      <c r="BE117" t="s">
        <v>1203</v>
      </c>
      <c r="BF117" t="s">
        <v>965</v>
      </c>
      <c r="BG117" t="s">
        <v>966</v>
      </c>
      <c r="BH117" t="s">
        <v>4754</v>
      </c>
      <c r="BI117" t="s">
        <v>4755</v>
      </c>
      <c r="BJ117" t="s">
        <v>1764</v>
      </c>
      <c r="BK117" t="s">
        <v>4756</v>
      </c>
      <c r="BL117" t="s">
        <v>4757</v>
      </c>
      <c r="BM117" t="s">
        <v>1765</v>
      </c>
      <c r="BN117">
        <v>4.7</v>
      </c>
      <c r="BO117">
        <v>6.09</v>
      </c>
      <c r="BP117">
        <v>7.37</v>
      </c>
      <c r="BQ117">
        <v>10.78</v>
      </c>
      <c r="BR117">
        <v>13.94</v>
      </c>
      <c r="BS117">
        <v>15.93</v>
      </c>
      <c r="BT117" t="s">
        <v>4758</v>
      </c>
      <c r="BU117" t="s">
        <v>1344</v>
      </c>
      <c r="BV117">
        <v>9.83</v>
      </c>
      <c r="BW117">
        <v>10.46</v>
      </c>
      <c r="BX117">
        <v>11.33</v>
      </c>
      <c r="BY117">
        <v>3.25</v>
      </c>
      <c r="BZ117">
        <v>3.37</v>
      </c>
      <c r="CA117">
        <v>4.1100000000000003</v>
      </c>
      <c r="CB117">
        <v>0.94</v>
      </c>
      <c r="CC117">
        <v>-2.87</v>
      </c>
      <c r="CD117" t="s">
        <v>1622</v>
      </c>
      <c r="CE117" t="s">
        <v>4759</v>
      </c>
      <c r="CF117" s="8">
        <v>3.1213246603194609</v>
      </c>
      <c r="CG117" s="9">
        <v>3.9393750413770277</v>
      </c>
      <c r="CH117" s="8">
        <v>-0.70393013954162598</v>
      </c>
      <c r="CI117" s="8">
        <v>8.57744961977005E-2</v>
      </c>
      <c r="CJ117" s="8">
        <v>0.17191721498966217</v>
      </c>
      <c r="CK117" s="8">
        <v>0.13749036192893982</v>
      </c>
      <c r="CL117" s="8">
        <v>0.18386341631412506</v>
      </c>
      <c r="CM117" s="9">
        <v>-0.74508339166641235</v>
      </c>
      <c r="CN117" s="9">
        <v>-1.1619993485510349E-2</v>
      </c>
      <c r="CO117" s="9">
        <v>0.14744569361209869</v>
      </c>
      <c r="CP117" s="9">
        <v>7.2682112455368042E-2</v>
      </c>
      <c r="CQ117" s="9">
        <v>9.5185801386833191E-2</v>
      </c>
      <c r="CR117">
        <v>5.5646923096111154</v>
      </c>
      <c r="CS117">
        <v>2.2279328583041482</v>
      </c>
      <c r="CT117">
        <v>5.0643656716417906</v>
      </c>
      <c r="CU117" s="8">
        <v>-2.4976930022239684E-2</v>
      </c>
      <c r="CV117" s="9">
        <v>-8.8277955539524555E-2</v>
      </c>
      <c r="CW117">
        <v>0.06</v>
      </c>
      <c r="CX117">
        <v>126.78864721281182</v>
      </c>
      <c r="CY117" t="s">
        <v>4760</v>
      </c>
      <c r="CZ117">
        <v>-2.4976930022239684E-2</v>
      </c>
      <c r="DA117">
        <v>42.262882404270606</v>
      </c>
      <c r="DB117" t="s">
        <v>4761</v>
      </c>
      <c r="DC117">
        <v>-2.3728083521127697E-2</v>
      </c>
      <c r="DD117">
        <v>21.131441202135303</v>
      </c>
      <c r="DE117" t="s">
        <v>4762</v>
      </c>
      <c r="DF117">
        <v>-2.1979698419570922E-2</v>
      </c>
      <c r="DG117">
        <v>12.678864721281183</v>
      </c>
      <c r="DH117" t="s">
        <v>4763</v>
      </c>
      <c r="DI117">
        <v>-1.9981544017791748E-2</v>
      </c>
      <c r="DJ117">
        <v>6.3394323606405916</v>
      </c>
      <c r="DK117" t="s">
        <v>4764</v>
      </c>
      <c r="DL117">
        <v>-1.7483851015567778E-2</v>
      </c>
      <c r="DM117">
        <v>12988000000</v>
      </c>
      <c r="DN117">
        <v>-2.4976930022239684E-2</v>
      </c>
      <c r="DO117">
        <v>1646730950000</v>
      </c>
      <c r="DP117">
        <v>527285700000</v>
      </c>
      <c r="DQ117">
        <v>3761</v>
      </c>
      <c r="DR117">
        <v>3.1463015903417006</v>
      </c>
      <c r="DS117">
        <v>4.0276529969165527</v>
      </c>
      <c r="DT117" s="10">
        <v>-0.54</v>
      </c>
      <c r="DU117">
        <v>-0.33333333333333331</v>
      </c>
      <c r="DV117">
        <v>-0.87333333333333329</v>
      </c>
      <c r="DW117">
        <v>-1.0286999999999999</v>
      </c>
      <c r="DX117">
        <v>0.43702109019710522</v>
      </c>
      <c r="DY117">
        <v>-1.004506505288657</v>
      </c>
      <c r="DZ117">
        <v>980</v>
      </c>
      <c r="EA117">
        <v>-1.0036422440004213</v>
      </c>
      <c r="EB117">
        <v>1</v>
      </c>
      <c r="EC117">
        <v>1.6818856494596631E-2</v>
      </c>
      <c r="ED117">
        <v>0.10711208893273111</v>
      </c>
      <c r="EE117" s="11">
        <v>-1.01231</v>
      </c>
      <c r="EF117">
        <v>-1.03671</v>
      </c>
      <c r="EG117">
        <v>28.157021090197105</v>
      </c>
      <c r="EH117" t="s">
        <v>1265</v>
      </c>
      <c r="EI117">
        <v>0</v>
      </c>
      <c r="EJ117">
        <v>1</v>
      </c>
      <c r="EK117" s="13">
        <v>45470</v>
      </c>
      <c r="EL117" s="14">
        <v>-1.51</v>
      </c>
      <c r="EM117" s="14">
        <v>-3.4</v>
      </c>
      <c r="EN117" s="14">
        <v>0.35</v>
      </c>
      <c r="EO117" s="14">
        <v>0.79</v>
      </c>
      <c r="EP117" s="14">
        <v>-2.44</v>
      </c>
    </row>
    <row r="118" spans="1:146" ht="180">
      <c r="A118" s="6"/>
      <c r="B118" s="6"/>
      <c r="C118" s="6" t="str">
        <f>"公司主营业务是工程承包与勘察设计、电力投资与运营、房地产开发、设备制造与租赁等。主要产品是工程承包与勘测设计、电力投资与运营、房地产开发、设备制造与租赁。"&amp;CHAR(10)&amp;Basic_Fundamental_Information_Constructure(F118)&amp;CHAR(10)&amp;Basic_Fundamental_Information_Concatenate("工程承包与勘测设计 2346.44亿 88.33% 68.92% 9.01%
其他 180.46亿 6.79% 13.64% 23.20%
电力投资与运营 119.86亿 4.51% 16.28% 41.69%")</f>
        <v>公司主营业务是工程承包与勘察设计、电力投资与运营、房地产开发、设备制造与租赁等。主要产品是工程承包与勘测设计、电力投资与运营、房地产开发、设备制造与租赁。
市值961.21969亿, 利润13.47亿; PE7.39; 平均PE12.66; 平均PEG3.17, PB.723; ROIC3.1867%; ROE8.43%; 股利率2.4461%; 毛利12.85%; 净利2.8533%; 上一年度营收增-95.37%, 利润增-88.22%; 当季营收增2200.25%, 利润增760.04%; 过往5年营收增-4%, 利润增-8.88%
Income profile:
工程承包与勘测设计 2346.44亿 88.33% 68.92% 9.01%
其他 180.46亿 6.79% 13.64% 23.20%
电力投资与运营 119.86亿 4.51% 16.28% 41.69%</v>
      </c>
      <c r="D118" t="s">
        <v>967</v>
      </c>
      <c r="E118" t="s">
        <v>968</v>
      </c>
      <c r="F118">
        <v>5.58</v>
      </c>
      <c r="G118">
        <v>-0.71</v>
      </c>
      <c r="H118" t="s">
        <v>87</v>
      </c>
      <c r="I118">
        <v>96121969000</v>
      </c>
      <c r="J118">
        <v>7.39</v>
      </c>
      <c r="K118">
        <v>0.72299999999999998</v>
      </c>
      <c r="L118" t="s">
        <v>361</v>
      </c>
      <c r="M118" t="s">
        <v>4765</v>
      </c>
      <c r="N118" t="s">
        <v>4766</v>
      </c>
      <c r="O118" t="s">
        <v>4767</v>
      </c>
      <c r="P118">
        <v>5.15</v>
      </c>
      <c r="Q118" t="s">
        <v>4768</v>
      </c>
      <c r="R118">
        <v>3044537900</v>
      </c>
      <c r="S118" s="5">
        <v>7.9500000000000005E-3</v>
      </c>
      <c r="T118" t="s">
        <v>2063</v>
      </c>
      <c r="U118">
        <v>13071525900</v>
      </c>
      <c r="V118">
        <v>17226159000</v>
      </c>
      <c r="W118">
        <v>4.59</v>
      </c>
      <c r="X118">
        <v>0.12</v>
      </c>
      <c r="Y118">
        <v>2.86</v>
      </c>
      <c r="Z118" t="s">
        <v>4769</v>
      </c>
      <c r="AA118" t="s">
        <v>4770</v>
      </c>
      <c r="AB118" t="s">
        <v>229</v>
      </c>
      <c r="AC118" t="s">
        <v>4771</v>
      </c>
      <c r="AD118" t="s">
        <v>19</v>
      </c>
      <c r="AE118">
        <v>2158330000</v>
      </c>
      <c r="AF118" t="s">
        <v>4772</v>
      </c>
      <c r="AG118" t="s">
        <v>4773</v>
      </c>
      <c r="AH118" t="s">
        <v>4774</v>
      </c>
      <c r="AI118" t="s">
        <v>4775</v>
      </c>
      <c r="AJ118" t="s">
        <v>4776</v>
      </c>
      <c r="AK118" t="s">
        <v>2366</v>
      </c>
      <c r="AL118" t="s">
        <v>4777</v>
      </c>
      <c r="AM118" t="s">
        <v>19</v>
      </c>
      <c r="AN118" t="s">
        <v>4778</v>
      </c>
      <c r="AO118" t="s">
        <v>4779</v>
      </c>
      <c r="AP118" t="s">
        <v>4780</v>
      </c>
      <c r="AQ118" t="s">
        <v>4781</v>
      </c>
      <c r="AR118" t="s">
        <v>633</v>
      </c>
      <c r="AS118" t="s">
        <v>4782</v>
      </c>
      <c r="AT118" t="s">
        <v>4783</v>
      </c>
      <c r="AU118" t="s">
        <v>4784</v>
      </c>
      <c r="AV118" t="s">
        <v>4785</v>
      </c>
      <c r="AW118" t="s">
        <v>4786</v>
      </c>
      <c r="AX118" t="s">
        <v>4787</v>
      </c>
      <c r="AY118" t="s">
        <v>1769</v>
      </c>
      <c r="AZ118" t="s">
        <v>1770</v>
      </c>
      <c r="BA118" t="s">
        <v>970</v>
      </c>
      <c r="BB118" t="s">
        <v>971</v>
      </c>
      <c r="BC118" t="s">
        <v>1768</v>
      </c>
      <c r="BD118" t="s">
        <v>1771</v>
      </c>
      <c r="BE118" t="s">
        <v>969</v>
      </c>
      <c r="BF118" t="s">
        <v>972</v>
      </c>
      <c r="BG118" t="s">
        <v>973</v>
      </c>
      <c r="BH118" t="s">
        <v>4733</v>
      </c>
      <c r="BI118" t="s">
        <v>4788</v>
      </c>
      <c r="BJ118" t="s">
        <v>4787</v>
      </c>
      <c r="BK118" t="s">
        <v>4734</v>
      </c>
      <c r="BL118" t="s">
        <v>2067</v>
      </c>
      <c r="BM118" t="s">
        <v>1768</v>
      </c>
      <c r="BN118">
        <v>2.75</v>
      </c>
      <c r="BO118">
        <v>3.69</v>
      </c>
      <c r="BP118">
        <v>3.12</v>
      </c>
      <c r="BQ118">
        <v>7.45</v>
      </c>
      <c r="BR118">
        <v>9.9499999999999993</v>
      </c>
      <c r="BS118">
        <v>7.89</v>
      </c>
      <c r="BT118" t="s">
        <v>4789</v>
      </c>
      <c r="BU118" t="s">
        <v>1342</v>
      </c>
      <c r="BV118">
        <v>13.23</v>
      </c>
      <c r="BW118">
        <v>12.21</v>
      </c>
      <c r="BX118">
        <v>13.11</v>
      </c>
      <c r="BY118">
        <v>2.82</v>
      </c>
      <c r="BZ118">
        <v>2.74</v>
      </c>
      <c r="CA118">
        <v>3</v>
      </c>
      <c r="CB118">
        <v>-0.18</v>
      </c>
      <c r="CC118">
        <v>4.0999999999999996</v>
      </c>
      <c r="CD118" t="s">
        <v>2796</v>
      </c>
      <c r="CE118" t="s">
        <v>4790</v>
      </c>
      <c r="CF118" s="8">
        <v>22.002461841457411</v>
      </c>
      <c r="CG118" s="9">
        <v>7.6003895480225987</v>
      </c>
      <c r="CH118" s="8">
        <v>-0.95374435186386108</v>
      </c>
      <c r="CI118" s="8">
        <v>1.1642854660749435E-2</v>
      </c>
      <c r="CJ118" s="8">
        <v>0.40851631760597229</v>
      </c>
      <c r="CK118" s="8">
        <v>0.15272623300552368</v>
      </c>
      <c r="CL118" s="8">
        <v>0.18104510009288788</v>
      </c>
      <c r="CM118" s="9">
        <v>-0.88220375776290894</v>
      </c>
      <c r="CN118" s="9">
        <v>0.15926605463027954</v>
      </c>
      <c r="CO118" s="9">
        <v>0.23500685393810272</v>
      </c>
      <c r="CP118" s="9">
        <v>0.1031767725944519</v>
      </c>
      <c r="CQ118" s="9">
        <v>-5.9129312634468079E-2</v>
      </c>
      <c r="CR118">
        <v>12.656509260884832</v>
      </c>
      <c r="CS118">
        <v>3.1670751258385428</v>
      </c>
      <c r="CT118">
        <v>2.446057347670251</v>
      </c>
      <c r="CU118" s="8">
        <v>-3.9962769299745557E-2</v>
      </c>
      <c r="CV118" s="9">
        <v>-8.8776677846908569E-2</v>
      </c>
      <c r="CW118">
        <v>0.06</v>
      </c>
      <c r="CX118">
        <v>538.68965775798074</v>
      </c>
      <c r="CY118" t="s">
        <v>4791</v>
      </c>
      <c r="CZ118">
        <v>-3.9962769299745557E-2</v>
      </c>
      <c r="DA118">
        <v>179.56321925266025</v>
      </c>
      <c r="DB118" t="s">
        <v>4792</v>
      </c>
      <c r="DC118">
        <v>-3.7964630834758276E-2</v>
      </c>
      <c r="DD118">
        <v>89.781609626330123</v>
      </c>
      <c r="DE118" t="s">
        <v>4793</v>
      </c>
      <c r="DF118">
        <v>-3.5167236983776093E-2</v>
      </c>
      <c r="DG118">
        <v>53.868965775798067</v>
      </c>
      <c r="DH118" t="s">
        <v>4794</v>
      </c>
      <c r="DI118">
        <v>-3.1970215439796446E-2</v>
      </c>
      <c r="DJ118">
        <v>26.934482887899033</v>
      </c>
      <c r="DK118" t="s">
        <v>4795</v>
      </c>
      <c r="DL118">
        <v>-2.7973938509821886E-2</v>
      </c>
      <c r="DM118">
        <v>1347000000</v>
      </c>
      <c r="DN118">
        <v>-3.9962769299745557E-2</v>
      </c>
      <c r="DO118">
        <v>725614969000</v>
      </c>
      <c r="DP118">
        <v>-61038430000</v>
      </c>
      <c r="DQ118">
        <v>3762</v>
      </c>
      <c r="DR118">
        <v>22.042424610757156</v>
      </c>
      <c r="DS118">
        <v>7.6891662258695073</v>
      </c>
      <c r="DT118" s="10">
        <v>-0.42333333333333339</v>
      </c>
      <c r="DU118">
        <v>-4.9999999999999968E-2</v>
      </c>
      <c r="DV118">
        <v>-0.47333333333333338</v>
      </c>
      <c r="DW118">
        <v>1.0409999999999999</v>
      </c>
      <c r="DX118">
        <v>0.36929000008970103</v>
      </c>
      <c r="DY118">
        <v>1.0065308900036778</v>
      </c>
      <c r="DZ118">
        <v>2216</v>
      </c>
      <c r="EA118">
        <v>1.0036987075676407</v>
      </c>
      <c r="EB118">
        <v>1</v>
      </c>
      <c r="EC118">
        <v>4.0113411236944931E-2</v>
      </c>
      <c r="ED118">
        <v>0.25182630672339668</v>
      </c>
      <c r="EE118" s="11">
        <v>3.0360999999999998</v>
      </c>
      <c r="EF118">
        <v>3.0476999999999999</v>
      </c>
      <c r="EG118">
        <v>21.159290000089701</v>
      </c>
      <c r="EH118" t="s">
        <v>1296</v>
      </c>
      <c r="EI118">
        <v>0</v>
      </c>
      <c r="EJ118">
        <v>0</v>
      </c>
      <c r="EK118" s="13">
        <v>45470</v>
      </c>
      <c r="EL118" s="14">
        <v>0.37</v>
      </c>
      <c r="EM118" s="14">
        <v>-0.18</v>
      </c>
      <c r="EN118" s="14">
        <v>0.18</v>
      </c>
      <c r="EO118" s="14">
        <v>-0.36</v>
      </c>
      <c r="EP118" s="14">
        <v>1.1599999999999999</v>
      </c>
    </row>
    <row r="119" spans="1:146" ht="108">
      <c r="A119" s="6"/>
      <c r="B119" s="6"/>
      <c r="C119" s="6" t="str">
        <f>""&amp;CHAR(10)&amp;Basic_Fundamental_Information_Constructure(F119)&amp;CHAR(10)&amp;Basic_Fundamental_Information_Concatenate("")</f>
        <v xml:space="preserve">
市值39.016069亿, 利润-1.40亿; PE12.33; 平均PE17.15; 平均PEG1.46, PB.89; ROIC5.7267%; ROE8.5167%; 股利率2.7855%; 毛利8.3167%; 净利1.7633%; 上一年度营收增-94.9%, 利润增-140.11%; 当季营收增4964.29%, 利润增611.87%; 过往5年营收增-11.71%, 利润增-16.38%
Income profile:
</v>
      </c>
      <c r="D119" t="s">
        <v>974</v>
      </c>
      <c r="E119" t="s">
        <v>975</v>
      </c>
      <c r="F119">
        <v>3.59</v>
      </c>
      <c r="G119">
        <v>0.56000000000000005</v>
      </c>
      <c r="H119" t="s">
        <v>4796</v>
      </c>
      <c r="I119">
        <v>3901606900</v>
      </c>
      <c r="J119">
        <v>12.33</v>
      </c>
      <c r="K119">
        <v>0.89</v>
      </c>
      <c r="L119" t="s">
        <v>361</v>
      </c>
      <c r="M119" t="s">
        <v>4797</v>
      </c>
      <c r="N119" t="s">
        <v>4798</v>
      </c>
      <c r="O119" t="s">
        <v>4799</v>
      </c>
      <c r="P119">
        <v>-0.43</v>
      </c>
      <c r="Q119" t="s">
        <v>1991</v>
      </c>
      <c r="R119">
        <v>84313083</v>
      </c>
      <c r="S119" s="5">
        <v>-0.13300000000000001</v>
      </c>
      <c r="T119" t="s">
        <v>4800</v>
      </c>
      <c r="U119">
        <v>1086798590</v>
      </c>
      <c r="V119">
        <v>1086798590</v>
      </c>
      <c r="W119">
        <v>5.22</v>
      </c>
      <c r="X119">
        <v>0.2</v>
      </c>
      <c r="Y119">
        <v>1.48</v>
      </c>
      <c r="Z119" t="s">
        <v>4801</v>
      </c>
      <c r="AA119" t="s">
        <v>4802</v>
      </c>
      <c r="AB119" t="s">
        <v>4803</v>
      </c>
      <c r="AC119" t="s">
        <v>71</v>
      </c>
      <c r="AD119" t="s">
        <v>19</v>
      </c>
      <c r="AE119">
        <v>50207087</v>
      </c>
      <c r="AF119" t="s">
        <v>4804</v>
      </c>
      <c r="AG119" t="s">
        <v>4805</v>
      </c>
      <c r="AH119" t="s">
        <v>4806</v>
      </c>
      <c r="AI119" t="s">
        <v>4807</v>
      </c>
      <c r="AJ119" t="s">
        <v>4808</v>
      </c>
      <c r="AK119" t="s">
        <v>4809</v>
      </c>
      <c r="AL119" t="s">
        <v>4810</v>
      </c>
      <c r="AM119" t="s">
        <v>19</v>
      </c>
      <c r="AN119" t="s">
        <v>4811</v>
      </c>
      <c r="AO119" t="s">
        <v>4812</v>
      </c>
      <c r="AP119" t="s">
        <v>1857</v>
      </c>
      <c r="AQ119" t="s">
        <v>1615</v>
      </c>
      <c r="AR119" t="s">
        <v>19</v>
      </c>
      <c r="AS119" t="s">
        <v>4813</v>
      </c>
      <c r="AT119" t="s">
        <v>4814</v>
      </c>
      <c r="AU119" t="s">
        <v>4815</v>
      </c>
      <c r="AV119" t="s">
        <v>4816</v>
      </c>
      <c r="AW119" t="s">
        <v>4817</v>
      </c>
      <c r="AX119" t="s">
        <v>1772</v>
      </c>
      <c r="AY119" t="s">
        <v>1427</v>
      </c>
      <c r="AZ119" t="s">
        <v>976</v>
      </c>
      <c r="BA119" t="s">
        <v>977</v>
      </c>
      <c r="BB119" t="s">
        <v>978</v>
      </c>
      <c r="BC119" t="s">
        <v>150</v>
      </c>
      <c r="BD119" t="s">
        <v>115</v>
      </c>
      <c r="BE119" t="s">
        <v>341</v>
      </c>
      <c r="BF119" t="s">
        <v>179</v>
      </c>
      <c r="BG119" t="s">
        <v>228</v>
      </c>
      <c r="BH119" t="s">
        <v>4818</v>
      </c>
      <c r="BI119" t="s">
        <v>55</v>
      </c>
      <c r="BJ119" t="s">
        <v>1772</v>
      </c>
      <c r="BK119" t="s">
        <v>36</v>
      </c>
      <c r="BL119" t="s">
        <v>4819</v>
      </c>
      <c r="BM119" t="s">
        <v>150</v>
      </c>
      <c r="BN119">
        <v>3.49</v>
      </c>
      <c r="BO119">
        <v>5.85</v>
      </c>
      <c r="BP119">
        <v>7.84</v>
      </c>
      <c r="BQ119">
        <v>5.22</v>
      </c>
      <c r="BR119">
        <v>8.27</v>
      </c>
      <c r="BS119">
        <v>12.06</v>
      </c>
      <c r="BT119" t="s">
        <v>1572</v>
      </c>
      <c r="BU119" t="s">
        <v>1344</v>
      </c>
      <c r="BV119">
        <v>8.82</v>
      </c>
      <c r="BW119">
        <v>8.0500000000000007</v>
      </c>
      <c r="BX119">
        <v>8.08</v>
      </c>
      <c r="BY119">
        <v>1.53</v>
      </c>
      <c r="BZ119">
        <v>1.68</v>
      </c>
      <c r="CA119">
        <v>2.08</v>
      </c>
      <c r="CB119">
        <v>0.28000000000000003</v>
      </c>
      <c r="CC119">
        <v>-12.65</v>
      </c>
      <c r="CD119" t="s">
        <v>4820</v>
      </c>
      <c r="CE119" t="s">
        <v>1953</v>
      </c>
      <c r="CF119" s="8">
        <v>49.642857142857139</v>
      </c>
      <c r="CG119" s="9">
        <v>6.1186941766434346</v>
      </c>
      <c r="CH119" s="8">
        <v>-0.94900989532470703</v>
      </c>
      <c r="CI119" s="8">
        <v>2.5656675919890404E-2</v>
      </c>
      <c r="CJ119" s="8">
        <v>7.6930813491344452E-2</v>
      </c>
      <c r="CK119" s="8">
        <v>6.6936098039150238E-2</v>
      </c>
      <c r="CL119" s="8">
        <v>0.19386187195777893</v>
      </c>
      <c r="CM119" s="9">
        <v>-1.4011461734771729</v>
      </c>
      <c r="CN119" s="9">
        <v>-0.16105769574642181</v>
      </c>
      <c r="CO119" s="9">
        <v>0.48571428656578064</v>
      </c>
      <c r="CP119" s="9">
        <v>0.1666666716337204</v>
      </c>
      <c r="CQ119" s="9">
        <v>9.0909093618392944E-2</v>
      </c>
      <c r="CR119">
        <v>17.149920439560439</v>
      </c>
      <c r="CS119">
        <v>1.4642422163207398</v>
      </c>
      <c r="CT119">
        <v>2.785515320334262</v>
      </c>
      <c r="CU119" s="8">
        <v>-0.1171248871833086</v>
      </c>
      <c r="CV119" s="9">
        <v>-0.16378276348114013</v>
      </c>
      <c r="CW119">
        <v>0.06</v>
      </c>
      <c r="CX119" t="e">
        <v>#VALUE!</v>
      </c>
      <c r="CY119" t="s">
        <v>1249</v>
      </c>
      <c r="CZ119">
        <v>-0.1171248871833086</v>
      </c>
      <c r="DA119" t="e">
        <v>#VALUE!</v>
      </c>
      <c r="DB119" t="s">
        <v>1249</v>
      </c>
      <c r="DC119">
        <v>-0.11126864282414317</v>
      </c>
      <c r="DD119" t="e">
        <v>#VALUE!</v>
      </c>
      <c r="DE119" t="s">
        <v>1249</v>
      </c>
      <c r="DF119">
        <v>-0.10306990072131157</v>
      </c>
      <c r="DG119" t="e">
        <v>#VALUE!</v>
      </c>
      <c r="DH119" t="s">
        <v>1249</v>
      </c>
      <c r="DI119">
        <v>-9.3699909746646881E-2</v>
      </c>
      <c r="DJ119" t="e">
        <v>#VALUE!</v>
      </c>
      <c r="DK119" t="s">
        <v>1249</v>
      </c>
      <c r="DL119">
        <v>-8.1987421028316021E-2</v>
      </c>
      <c r="DM119">
        <v>-140000000</v>
      </c>
      <c r="DN119">
        <v>-0.1171248871833086</v>
      </c>
      <c r="DO119">
        <v>21803606900</v>
      </c>
      <c r="DP119">
        <v>555031000</v>
      </c>
      <c r="DQ119">
        <v>3781</v>
      </c>
      <c r="DR119">
        <v>49.759982030040447</v>
      </c>
      <c r="DS119">
        <v>6.2824769401245746</v>
      </c>
      <c r="DT119" s="10">
        <v>-0.67333333333333334</v>
      </c>
      <c r="DU119">
        <v>-0.87</v>
      </c>
      <c r="DV119">
        <v>-1.5433333333333334</v>
      </c>
      <c r="DW119">
        <v>-2.1265000000000001</v>
      </c>
      <c r="DX119">
        <v>0.26619361022364141</v>
      </c>
      <c r="DY119">
        <v>-2.0146984916932906</v>
      </c>
      <c r="DZ119">
        <v>441</v>
      </c>
      <c r="EA119">
        <v>-2.0134299917252396</v>
      </c>
      <c r="EB119">
        <v>2</v>
      </c>
      <c r="EC119">
        <v>3.3463974221755295E-2</v>
      </c>
      <c r="ED119">
        <v>0.28800184586179856</v>
      </c>
      <c r="EE119" s="11">
        <v>2.93E-2</v>
      </c>
      <c r="EF119">
        <v>2.41E-2</v>
      </c>
      <c r="EG119">
        <v>15.116193610223641</v>
      </c>
      <c r="EH119" t="s">
        <v>1261</v>
      </c>
      <c r="EI119">
        <v>0</v>
      </c>
      <c r="EJ119">
        <v>1</v>
      </c>
      <c r="EK119" s="13">
        <v>45470</v>
      </c>
      <c r="EL119" s="14">
        <v>0.57999999999999996</v>
      </c>
      <c r="EM119" s="14">
        <v>-1.21</v>
      </c>
      <c r="EN119" s="14">
        <v>-2.39</v>
      </c>
      <c r="EO119" s="14">
        <v>0.92</v>
      </c>
      <c r="EP119" s="14">
        <v>-0.52</v>
      </c>
    </row>
    <row r="120" spans="1:146" ht="156">
      <c r="A120" s="6" t="s">
        <v>1498</v>
      </c>
      <c r="B120" s="6" t="s">
        <v>1499</v>
      </c>
      <c r="C120" s="6" t="str">
        <f>"公司的主营业务是基建设计、基建建设、疏浚（为疏通、扩宽或挖深河湖等水域，用人力或机械进行水下土石方开挖工程）和装备制造业务。"&amp;CHAR(10)&amp;Basic_Fundamental_Information_Constructure(F120)&amp;CHAR(10)&amp;Basic_Fundamental_Information_Concatenate("基建建设业务 3232.32亿 88.82% 82.94% 9.61%
疏浚业务 262.24亿 7.21% 6.75% 9.64%
基建设计业务 220.19亿 6.05% 7.44% 12.66%")</f>
        <v>公司的主营业务是基建设计、基建建设、疏浚（为疏通、扩宽或挖深河湖等水域，用人力或机械进行水下土石方开挖工程）和装备制造业务。
市值1424.3785亿, 利润9.36亿; PE5.84; 平均PE9.08; 平均PEG.79, PB.519; ROIC2.6533%; ROE7.0767%; 股利率3.3435%; 毛利12.2533%; 净利3.6167%; 上一年度营收增-98.44%, 利润增-95.14%; 当季营收增5612.11%, 利润增1716.77%; 过往5年营收增-11.55%, 利润增-18.88%
Income profile:
基建建设业务 3232.32亿 88.82% 82.94% 9.61%
疏浚业务 262.24亿 7.21% 6.75% 9.64%
基建设计业务 220.19亿 6.05% 7.44% 12.66%</v>
      </c>
      <c r="D120" t="s">
        <v>979</v>
      </c>
      <c r="E120" t="s">
        <v>980</v>
      </c>
      <c r="F120">
        <v>8.75</v>
      </c>
      <c r="G120">
        <v>-1.8</v>
      </c>
      <c r="H120" t="s">
        <v>4821</v>
      </c>
      <c r="I120">
        <v>142437850000</v>
      </c>
      <c r="J120">
        <v>5.84</v>
      </c>
      <c r="K120">
        <v>0.51900000000000002</v>
      </c>
      <c r="L120" t="s">
        <v>361</v>
      </c>
      <c r="M120" t="s">
        <v>4822</v>
      </c>
      <c r="N120" t="s">
        <v>4823</v>
      </c>
      <c r="O120" t="s">
        <v>4824</v>
      </c>
      <c r="P120">
        <v>0.18</v>
      </c>
      <c r="Q120" t="s">
        <v>4825</v>
      </c>
      <c r="R120">
        <v>6140683100</v>
      </c>
      <c r="S120" s="5">
        <v>0.1</v>
      </c>
      <c r="T120" t="s">
        <v>4198</v>
      </c>
      <c r="U120">
        <v>11747235400</v>
      </c>
      <c r="V120">
        <v>16278611000</v>
      </c>
      <c r="W120">
        <v>3.87</v>
      </c>
      <c r="X120">
        <v>0.1</v>
      </c>
      <c r="Y120">
        <v>4.25</v>
      </c>
      <c r="Z120" t="s">
        <v>4826</v>
      </c>
      <c r="AA120" t="s">
        <v>4827</v>
      </c>
      <c r="AB120" t="s">
        <v>669</v>
      </c>
      <c r="AC120" t="s">
        <v>4828</v>
      </c>
      <c r="AD120" t="s">
        <v>19</v>
      </c>
      <c r="AE120">
        <v>1475695600</v>
      </c>
      <c r="AF120" t="s">
        <v>4829</v>
      </c>
      <c r="AG120" t="s">
        <v>4830</v>
      </c>
      <c r="AH120" t="s">
        <v>4831</v>
      </c>
      <c r="AI120" t="s">
        <v>4832</v>
      </c>
      <c r="AJ120" t="s">
        <v>4833</v>
      </c>
      <c r="AK120" t="s">
        <v>4834</v>
      </c>
      <c r="AL120" t="s">
        <v>4835</v>
      </c>
      <c r="AM120" t="s">
        <v>19</v>
      </c>
      <c r="AN120" t="s">
        <v>4836</v>
      </c>
      <c r="AO120" t="s">
        <v>4837</v>
      </c>
      <c r="AP120" t="s">
        <v>4838</v>
      </c>
      <c r="AQ120" t="s">
        <v>4839</v>
      </c>
      <c r="AR120" t="s">
        <v>19</v>
      </c>
      <c r="AS120" t="s">
        <v>4840</v>
      </c>
      <c r="AT120" t="s">
        <v>4841</v>
      </c>
      <c r="AU120" t="s">
        <v>4842</v>
      </c>
      <c r="AV120" t="s">
        <v>4843</v>
      </c>
      <c r="AW120" t="s">
        <v>4844</v>
      </c>
      <c r="AX120" t="s">
        <v>4845</v>
      </c>
      <c r="AY120" t="s">
        <v>1773</v>
      </c>
      <c r="AZ120" t="s">
        <v>981</v>
      </c>
      <c r="BA120" t="s">
        <v>983</v>
      </c>
      <c r="BB120" t="s">
        <v>984</v>
      </c>
      <c r="BC120" t="s">
        <v>4846</v>
      </c>
      <c r="BD120" t="s">
        <v>1774</v>
      </c>
      <c r="BE120" t="s">
        <v>982</v>
      </c>
      <c r="BF120" t="s">
        <v>985</v>
      </c>
      <c r="BG120" t="s">
        <v>986</v>
      </c>
      <c r="BH120" t="s">
        <v>4847</v>
      </c>
      <c r="BI120" t="s">
        <v>4848</v>
      </c>
      <c r="BJ120" t="s">
        <v>4845</v>
      </c>
      <c r="BK120" t="s">
        <v>4849</v>
      </c>
      <c r="BL120" t="s">
        <v>124</v>
      </c>
      <c r="BM120" t="s">
        <v>4846</v>
      </c>
      <c r="BN120">
        <v>2.1</v>
      </c>
      <c r="BO120">
        <v>2.66</v>
      </c>
      <c r="BP120">
        <v>3.2</v>
      </c>
      <c r="BQ120">
        <v>6.1</v>
      </c>
      <c r="BR120">
        <v>7.54</v>
      </c>
      <c r="BS120">
        <v>7.59</v>
      </c>
      <c r="BT120" t="s">
        <v>4850</v>
      </c>
      <c r="BU120" t="s">
        <v>1342</v>
      </c>
      <c r="BV120">
        <v>12.59</v>
      </c>
      <c r="BW120">
        <v>11.65</v>
      </c>
      <c r="BX120">
        <v>12.52</v>
      </c>
      <c r="BY120">
        <v>3.98</v>
      </c>
      <c r="BZ120">
        <v>3.44</v>
      </c>
      <c r="CA120">
        <v>3.43</v>
      </c>
      <c r="CB120">
        <v>-2.13</v>
      </c>
      <c r="CC120">
        <v>-2.4500000000000002</v>
      </c>
      <c r="CD120" t="s">
        <v>1831</v>
      </c>
      <c r="CE120" t="s">
        <v>1958</v>
      </c>
      <c r="CF120" s="8">
        <v>56.121084920891185</v>
      </c>
      <c r="CG120" s="9">
        <v>17.167701479289942</v>
      </c>
      <c r="CH120" s="8">
        <v>-0.98442411422729492</v>
      </c>
      <c r="CI120" s="8">
        <v>5.2572630345821381E-2</v>
      </c>
      <c r="CJ120" s="8">
        <v>9.2808090150356293E-2</v>
      </c>
      <c r="CK120" s="8">
        <v>0.12987761199474335</v>
      </c>
      <c r="CL120" s="8">
        <v>0.13154949247837067</v>
      </c>
      <c r="CM120" s="9">
        <v>-0.95140945911407471</v>
      </c>
      <c r="CN120" s="9">
        <v>7.0464059710502625E-2</v>
      </c>
      <c r="CO120" s="9">
        <v>0.11039119213819504</v>
      </c>
      <c r="CP120" s="9">
        <v>-0.19022637605667114</v>
      </c>
      <c r="CQ120" s="9">
        <v>1.6920767724514008E-2</v>
      </c>
      <c r="CR120">
        <v>9.0827914935223664</v>
      </c>
      <c r="CS120">
        <v>0.78623055326140268</v>
      </c>
      <c r="CT120">
        <v>3.3435428571428574</v>
      </c>
      <c r="CU120" s="8">
        <v>-0.11552325785160064</v>
      </c>
      <c r="CV120" s="9">
        <v>-0.18877196311950684</v>
      </c>
      <c r="CW120">
        <v>0.06</v>
      </c>
      <c r="CX120">
        <v>958.93680555555557</v>
      </c>
      <c r="CY120" t="s">
        <v>4851</v>
      </c>
      <c r="CZ120">
        <v>-0.11552325785160064</v>
      </c>
      <c r="DA120">
        <v>319.64560185185184</v>
      </c>
      <c r="DB120" t="s">
        <v>4852</v>
      </c>
      <c r="DC120">
        <v>-0.1097470949590206</v>
      </c>
      <c r="DD120">
        <v>159.82280092592592</v>
      </c>
      <c r="DE120" t="s">
        <v>4853</v>
      </c>
      <c r="DF120">
        <v>-0.10166046690940857</v>
      </c>
      <c r="DG120">
        <v>95.893680555555562</v>
      </c>
      <c r="DH120" t="s">
        <v>4854</v>
      </c>
      <c r="DI120">
        <v>-9.2418606281280513E-2</v>
      </c>
      <c r="DJ120">
        <v>47.946840277777781</v>
      </c>
      <c r="DK120" t="s">
        <v>4855</v>
      </c>
      <c r="DL120">
        <v>-8.0866280496120449E-2</v>
      </c>
      <c r="DM120">
        <v>936000000</v>
      </c>
      <c r="DN120">
        <v>-0.11552325785160064</v>
      </c>
      <c r="DO120">
        <v>897564850000</v>
      </c>
      <c r="DP120">
        <v>-55887600000</v>
      </c>
      <c r="DQ120">
        <v>3784</v>
      </c>
      <c r="DR120">
        <v>56.236608178742785</v>
      </c>
      <c r="DS120">
        <v>17.356473442409449</v>
      </c>
      <c r="DT120" s="10">
        <v>-0.77333333333333332</v>
      </c>
      <c r="DU120">
        <v>-0.67</v>
      </c>
      <c r="DV120">
        <v>-1.4433333333333334</v>
      </c>
      <c r="DW120">
        <v>-2.4500000000000001E-2</v>
      </c>
      <c r="DX120">
        <v>0.44816546762590082</v>
      </c>
      <c r="DY120">
        <v>-4.1200539568345329E-3</v>
      </c>
      <c r="DZ120">
        <v>851</v>
      </c>
      <c r="EA120">
        <v>-3.4339158125554358E-3</v>
      </c>
      <c r="EB120">
        <v>0</v>
      </c>
      <c r="EC120">
        <v>1.148746659036204E-2</v>
      </c>
      <c r="ED120">
        <v>6.831049651594967E-2</v>
      </c>
      <c r="EE120" s="11">
        <v>7.4509999999999993E-2</v>
      </c>
      <c r="EF120">
        <v>0.12150999999999999</v>
      </c>
      <c r="EG120">
        <v>28.168165467625901</v>
      </c>
      <c r="EH120">
        <v>-1</v>
      </c>
      <c r="EI120">
        <v>0</v>
      </c>
      <c r="EJ120">
        <v>1</v>
      </c>
      <c r="EK120" s="13">
        <v>45470</v>
      </c>
      <c r="EL120" s="14">
        <v>0.53</v>
      </c>
      <c r="EM120" s="14">
        <v>-3.69</v>
      </c>
      <c r="EN120" s="14">
        <v>-0.22</v>
      </c>
      <c r="EO120" s="14">
        <v>0.1</v>
      </c>
      <c r="EP120" s="14">
        <v>-4.7</v>
      </c>
    </row>
    <row r="121" spans="1:146" ht="108">
      <c r="B121" s="6"/>
      <c r="C121" s="6" t="str">
        <f>""&amp;CHAR(10)&amp;Basic_Fundamental_Information_Constructure(F121)&amp;CHAR(10)&amp;Basic_Fundamental_Information_Concatenate("")</f>
        <v xml:space="preserve">
市值879.68355亿, 利润12.97亿; PE10.54; 平均PE17.53; 平均PEG2.01, PB.856; ROIC3.7467%; ROE6.8733%; 股利率1.2322%; 毛利12.74%; 净利2.8633%; 上一年度营收增-96.36%, 利润增-83.42%; 当季营收增2948.64%, 利润增514.49%; 过往5年营收增-8.73%, 利润增-4.76%
Income profile:
</v>
      </c>
      <c r="D121" t="s">
        <v>987</v>
      </c>
      <c r="E121" t="s">
        <v>988</v>
      </c>
      <c r="F121">
        <v>2.11</v>
      </c>
      <c r="G121">
        <v>-0.47</v>
      </c>
      <c r="H121" t="s">
        <v>162</v>
      </c>
      <c r="I121">
        <v>87968355000</v>
      </c>
      <c r="J121">
        <v>10.54</v>
      </c>
      <c r="K121">
        <v>0.85599999999999998</v>
      </c>
      <c r="L121" t="s">
        <v>361</v>
      </c>
      <c r="M121" t="s">
        <v>4856</v>
      </c>
      <c r="N121" t="s">
        <v>4857</v>
      </c>
      <c r="O121" t="s">
        <v>4858</v>
      </c>
      <c r="P121">
        <v>10.039999999999999</v>
      </c>
      <c r="Q121" t="s">
        <v>4859</v>
      </c>
      <c r="R121">
        <v>1480915000</v>
      </c>
      <c r="S121" s="5">
        <v>0.31709999999999999</v>
      </c>
      <c r="T121" t="s">
        <v>4860</v>
      </c>
      <c r="U121">
        <v>14222501000</v>
      </c>
      <c r="V121">
        <v>41691164000</v>
      </c>
      <c r="W121">
        <v>4.2699999999999996</v>
      </c>
      <c r="X121">
        <v>0.12</v>
      </c>
      <c r="Y121">
        <v>2.41</v>
      </c>
      <c r="Z121" t="s">
        <v>4861</v>
      </c>
      <c r="AA121" t="s">
        <v>4862</v>
      </c>
      <c r="AB121" t="s">
        <v>4863</v>
      </c>
      <c r="AC121" t="s">
        <v>4864</v>
      </c>
      <c r="AD121" t="s">
        <v>19</v>
      </c>
      <c r="AE121">
        <v>1367409000</v>
      </c>
      <c r="AF121" t="s">
        <v>4865</v>
      </c>
      <c r="AG121" t="s">
        <v>58</v>
      </c>
      <c r="AH121" t="s">
        <v>4866</v>
      </c>
      <c r="AI121" t="s">
        <v>4867</v>
      </c>
      <c r="AJ121" t="s">
        <v>4868</v>
      </c>
      <c r="AK121" t="s">
        <v>4869</v>
      </c>
      <c r="AL121" t="s">
        <v>4870</v>
      </c>
      <c r="AM121" t="s">
        <v>19</v>
      </c>
      <c r="AN121" t="s">
        <v>4871</v>
      </c>
      <c r="AO121" t="s">
        <v>4872</v>
      </c>
      <c r="AP121" t="s">
        <v>4873</v>
      </c>
      <c r="AQ121" t="s">
        <v>4874</v>
      </c>
      <c r="AR121" t="s">
        <v>4875</v>
      </c>
      <c r="AS121" t="s">
        <v>4876</v>
      </c>
      <c r="AT121" t="s">
        <v>4877</v>
      </c>
      <c r="AU121" t="s">
        <v>4878</v>
      </c>
      <c r="AV121" t="s">
        <v>4879</v>
      </c>
      <c r="AW121" t="s">
        <v>4880</v>
      </c>
      <c r="AX121" t="s">
        <v>4881</v>
      </c>
      <c r="AY121" t="s">
        <v>1428</v>
      </c>
      <c r="AZ121" t="s">
        <v>989</v>
      </c>
      <c r="BA121" t="s">
        <v>991</v>
      </c>
      <c r="BB121" t="s">
        <v>992</v>
      </c>
      <c r="BC121" t="s">
        <v>4882</v>
      </c>
      <c r="BD121" t="s">
        <v>1204</v>
      </c>
      <c r="BE121" t="s">
        <v>990</v>
      </c>
      <c r="BF121" t="s">
        <v>993</v>
      </c>
      <c r="BG121" t="s">
        <v>994</v>
      </c>
      <c r="BH121" t="s">
        <v>4883</v>
      </c>
      <c r="BI121" t="s">
        <v>4884</v>
      </c>
      <c r="BJ121" t="s">
        <v>4881</v>
      </c>
      <c r="BK121" t="s">
        <v>4885</v>
      </c>
      <c r="BL121" t="s">
        <v>191</v>
      </c>
      <c r="BM121" t="s">
        <v>4882</v>
      </c>
      <c r="BN121">
        <v>2.13</v>
      </c>
      <c r="BO121">
        <v>4.5199999999999996</v>
      </c>
      <c r="BP121">
        <v>4.59</v>
      </c>
      <c r="BQ121">
        <v>2.96</v>
      </c>
      <c r="BR121">
        <v>8.4600000000000009</v>
      </c>
      <c r="BS121">
        <v>9.1999999999999993</v>
      </c>
      <c r="BT121" t="s">
        <v>1678</v>
      </c>
      <c r="BU121" t="s">
        <v>1342</v>
      </c>
      <c r="BV121">
        <v>12.64</v>
      </c>
      <c r="BW121">
        <v>12.42</v>
      </c>
      <c r="BX121">
        <v>13.16</v>
      </c>
      <c r="BY121">
        <v>2.77</v>
      </c>
      <c r="BZ121">
        <v>2.84</v>
      </c>
      <c r="CA121">
        <v>2.98</v>
      </c>
      <c r="CB121">
        <v>-0.47</v>
      </c>
      <c r="CC121">
        <v>-4.95</v>
      </c>
      <c r="CD121" t="s">
        <v>1946</v>
      </c>
      <c r="CE121" t="s">
        <v>4886</v>
      </c>
      <c r="CF121" s="8">
        <v>29.486384976525823</v>
      </c>
      <c r="CG121" s="9">
        <v>5.1448755186721993</v>
      </c>
      <c r="CH121" s="8">
        <v>-0.96355587244033813</v>
      </c>
      <c r="CI121" s="8">
        <v>0.13674969971179962</v>
      </c>
      <c r="CJ121" s="8">
        <v>0.19232556223869324</v>
      </c>
      <c r="CK121" s="8">
        <v>9.4813235104084015E-2</v>
      </c>
      <c r="CL121" s="8">
        <v>0.10338684171438217</v>
      </c>
      <c r="CM121" s="9">
        <v>-0.8342280387878418</v>
      </c>
      <c r="CN121" s="9">
        <v>0.20295202732086182</v>
      </c>
      <c r="CO121" s="9">
        <v>0.39242130517959595</v>
      </c>
      <c r="CP121" s="9">
        <v>-8.6267590522766113E-2</v>
      </c>
      <c r="CQ121" s="9">
        <v>8.6965754628181458E-2</v>
      </c>
      <c r="CR121">
        <v>17.528814386768953</v>
      </c>
      <c r="CS121">
        <v>2.0088925626890606</v>
      </c>
      <c r="CT121">
        <v>1.2322274881516588</v>
      </c>
      <c r="CU121" s="8">
        <v>-8.7256106734275821E-2</v>
      </c>
      <c r="CV121" s="9">
        <v>-4.7631308436393738E-2</v>
      </c>
      <c r="CW121">
        <v>0.06</v>
      </c>
      <c r="CX121">
        <v>379.26627216653816</v>
      </c>
      <c r="CY121" t="s">
        <v>4887</v>
      </c>
      <c r="CZ121">
        <v>-8.7256106734275821E-2</v>
      </c>
      <c r="DA121">
        <v>126.42209072217939</v>
      </c>
      <c r="DB121" t="s">
        <v>4888</v>
      </c>
      <c r="DC121">
        <v>-8.2893301397562028E-2</v>
      </c>
      <c r="DD121">
        <v>63.211045361089695</v>
      </c>
      <c r="DE121" t="s">
        <v>4889</v>
      </c>
      <c r="DF121">
        <v>-7.678537392616272E-2</v>
      </c>
      <c r="DG121">
        <v>37.926627216653813</v>
      </c>
      <c r="DH121" t="s">
        <v>4890</v>
      </c>
      <c r="DI121">
        <v>-6.9804885387420662E-2</v>
      </c>
      <c r="DJ121">
        <v>18.963313608326906</v>
      </c>
      <c r="DK121" t="s">
        <v>4891</v>
      </c>
      <c r="DL121">
        <v>-6.1079274713993069E-2</v>
      </c>
      <c r="DM121">
        <v>1297000000</v>
      </c>
      <c r="DN121">
        <v>-8.7256106734275821E-2</v>
      </c>
      <c r="DO121">
        <v>491908355000</v>
      </c>
      <c r="DP121">
        <v>26709250000</v>
      </c>
      <c r="DQ121">
        <v>3799</v>
      </c>
      <c r="DR121">
        <v>29.5736410832601</v>
      </c>
      <c r="DS121">
        <v>5.192506827108593</v>
      </c>
      <c r="DT121" s="10">
        <v>-0.64</v>
      </c>
      <c r="DU121">
        <v>-4.9999999999999968E-2</v>
      </c>
      <c r="DV121">
        <v>-0.69</v>
      </c>
      <c r="DW121">
        <v>-1.0495000000000001</v>
      </c>
      <c r="DX121">
        <v>0.38580943605824158</v>
      </c>
      <c r="DY121">
        <v>-1.007712567084883</v>
      </c>
      <c r="DZ121">
        <v>2405</v>
      </c>
      <c r="EA121">
        <v>-1.0040826798365183</v>
      </c>
      <c r="EB121">
        <v>1</v>
      </c>
      <c r="EC121">
        <v>1.5374960507219227E-2</v>
      </c>
      <c r="ED121">
        <v>9.8677983660998281E-2</v>
      </c>
      <c r="EE121" s="11">
        <v>4.8010000000000004E-2</v>
      </c>
      <c r="EF121">
        <v>6.7510000000000001E-2</v>
      </c>
      <c r="EG121">
        <v>23.155809436058242</v>
      </c>
      <c r="EH121">
        <v>-1</v>
      </c>
      <c r="EI121">
        <v>0</v>
      </c>
      <c r="EJ121">
        <v>0</v>
      </c>
      <c r="EK121" s="13">
        <v>45470</v>
      </c>
      <c r="EL121" s="14">
        <v>0</v>
      </c>
      <c r="EM121" s="14">
        <v>-1.95</v>
      </c>
      <c r="EN121" s="14">
        <v>0.79</v>
      </c>
      <c r="EO121" s="14">
        <v>1.18</v>
      </c>
      <c r="EP121" s="14">
        <v>-1.95</v>
      </c>
    </row>
    <row r="122" spans="1:146" ht="108">
      <c r="A122" s="6"/>
      <c r="B122" s="6"/>
      <c r="C122" s="6" t="str">
        <f>""&amp;CHAR(10)&amp;Basic_Fundamental_Information_Constructure(F122)&amp;CHAR(10)&amp;Basic_Fundamental_Information_Concatenate("")</f>
        <v xml:space="preserve">
市值55.403801亿, 利润67.14亿; PE8.03; 平均PE4.1; 平均PEG.07, PB.764; ROIC6.295%; ROE.11%; 股利率4.09%; 毛利17.0367%; 净利.6267%; 上一年度营收增274.06%, 利润增1267.41%; 当季营收增-80.33%, 利润增-92.1%; 过往5年营收增57.87%, 利润增267.29%
Income profile:
</v>
      </c>
      <c r="D122" t="s">
        <v>995</v>
      </c>
      <c r="E122" t="s">
        <v>996</v>
      </c>
      <c r="F122">
        <v>4.8899999999999997</v>
      </c>
      <c r="G122">
        <v>0.41</v>
      </c>
      <c r="H122" t="s">
        <v>4892</v>
      </c>
      <c r="I122">
        <v>5540380100</v>
      </c>
      <c r="J122">
        <v>8.0299999999999994</v>
      </c>
      <c r="K122">
        <v>0.76400000000000001</v>
      </c>
      <c r="L122" t="s">
        <v>361</v>
      </c>
      <c r="M122" t="s">
        <v>4893</v>
      </c>
      <c r="N122" t="s">
        <v>1864</v>
      </c>
      <c r="O122" t="s">
        <v>1636</v>
      </c>
      <c r="P122">
        <v>19.5</v>
      </c>
      <c r="Q122" t="s">
        <v>4894</v>
      </c>
      <c r="R122">
        <v>181719390</v>
      </c>
      <c r="S122" s="5">
        <v>0.111</v>
      </c>
      <c r="T122" t="s">
        <v>4895</v>
      </c>
      <c r="U122">
        <v>1133002060</v>
      </c>
      <c r="V122">
        <v>1133002060</v>
      </c>
      <c r="W122">
        <v>3.14</v>
      </c>
      <c r="X122">
        <v>0.15</v>
      </c>
      <c r="Y122">
        <v>5.18</v>
      </c>
      <c r="Z122" t="s">
        <v>4896</v>
      </c>
      <c r="AA122" t="s">
        <v>2042</v>
      </c>
      <c r="AB122" t="s">
        <v>4897</v>
      </c>
      <c r="AC122" t="s">
        <v>341</v>
      </c>
      <c r="AD122" t="s">
        <v>19</v>
      </c>
      <c r="AE122">
        <v>36347490</v>
      </c>
      <c r="AF122" t="s">
        <v>4898</v>
      </c>
      <c r="AG122" t="s">
        <v>4899</v>
      </c>
      <c r="AH122" t="s">
        <v>4900</v>
      </c>
      <c r="AI122" t="s">
        <v>2498</v>
      </c>
      <c r="AJ122" t="s">
        <v>4901</v>
      </c>
      <c r="AK122" t="s">
        <v>320</v>
      </c>
      <c r="AL122" t="s">
        <v>4902</v>
      </c>
      <c r="AM122" t="s">
        <v>19</v>
      </c>
      <c r="AN122" t="s">
        <v>95</v>
      </c>
      <c r="AO122" t="s">
        <v>4903</v>
      </c>
      <c r="AP122" t="s">
        <v>4095</v>
      </c>
      <c r="AQ122" t="s">
        <v>4904</v>
      </c>
      <c r="AR122" t="s">
        <v>19</v>
      </c>
      <c r="AS122" t="s">
        <v>4905</v>
      </c>
      <c r="AT122" t="s">
        <v>274</v>
      </c>
      <c r="AU122" t="s">
        <v>1865</v>
      </c>
      <c r="AV122" t="s">
        <v>1664</v>
      </c>
      <c r="AW122" t="s">
        <v>2062</v>
      </c>
      <c r="AX122" t="s">
        <v>1775</v>
      </c>
      <c r="AY122" t="s">
        <v>1429</v>
      </c>
      <c r="AZ122" t="s">
        <v>997</v>
      </c>
      <c r="BA122" t="s">
        <v>998</v>
      </c>
      <c r="BB122" t="s">
        <v>999</v>
      </c>
      <c r="BC122" t="s">
        <v>777</v>
      </c>
      <c r="BD122" t="s">
        <v>1205</v>
      </c>
      <c r="BE122" t="s">
        <v>330</v>
      </c>
      <c r="BF122" t="s">
        <v>95</v>
      </c>
      <c r="BG122" t="s">
        <v>662</v>
      </c>
      <c r="BH122" t="s">
        <v>4906</v>
      </c>
      <c r="BI122" t="s">
        <v>4907</v>
      </c>
      <c r="BJ122" t="s">
        <v>1775</v>
      </c>
      <c r="BK122" t="s">
        <v>1471</v>
      </c>
      <c r="BL122" t="s">
        <v>594</v>
      </c>
      <c r="BM122" t="s">
        <v>777</v>
      </c>
      <c r="BN122">
        <v>5.57</v>
      </c>
      <c r="BO122">
        <v>7.02</v>
      </c>
      <c r="BP122" t="s">
        <v>19</v>
      </c>
      <c r="BQ122">
        <v>6.04</v>
      </c>
      <c r="BR122">
        <v>7.73</v>
      </c>
      <c r="BS122">
        <v>-13.44</v>
      </c>
      <c r="BT122" t="s">
        <v>1578</v>
      </c>
      <c r="BU122" t="s">
        <v>1334</v>
      </c>
      <c r="BV122">
        <v>17.18</v>
      </c>
      <c r="BW122">
        <v>16.690000000000001</v>
      </c>
      <c r="BX122">
        <v>17.239999999999998</v>
      </c>
      <c r="BY122">
        <v>3.55</v>
      </c>
      <c r="BZ122">
        <v>3.03</v>
      </c>
      <c r="CA122">
        <v>-4.7</v>
      </c>
      <c r="CB122">
        <v>0.2</v>
      </c>
      <c r="CC122">
        <v>-18.91</v>
      </c>
      <c r="CD122" t="s">
        <v>4908</v>
      </c>
      <c r="CE122" t="s">
        <v>75</v>
      </c>
      <c r="CF122" s="8">
        <v>-0.8032644807164524</v>
      </c>
      <c r="CG122" s="9">
        <v>-0.92102590612777058</v>
      </c>
      <c r="CH122" s="8">
        <v>2.7405850887298584</v>
      </c>
      <c r="CI122" s="8">
        <v>-0.13146378099918365</v>
      </c>
      <c r="CJ122" s="8">
        <v>0.15174511075019836</v>
      </c>
      <c r="CK122" s="8">
        <v>-4.0148857980966568E-2</v>
      </c>
      <c r="CL122" s="8">
        <v>0.17260086536407471</v>
      </c>
      <c r="CM122" s="9">
        <v>12.674134254455566</v>
      </c>
      <c r="CN122" s="9">
        <v>1.4875868558883667</v>
      </c>
      <c r="CO122" s="9">
        <v>-2.0622363090515137</v>
      </c>
      <c r="CP122" s="9">
        <v>1.6855523586273193</v>
      </c>
      <c r="CQ122" s="9">
        <v>-0.42036125063896179</v>
      </c>
      <c r="CR122">
        <v>4.0999359398125312</v>
      </c>
      <c r="CS122">
        <v>7.0851792584638168E-2</v>
      </c>
      <c r="CT122">
        <v>4.0899795501022496</v>
      </c>
      <c r="CU122" s="8">
        <v>0.5786636851727962</v>
      </c>
      <c r="CV122" s="9">
        <v>2.6729351818561553</v>
      </c>
      <c r="CW122">
        <v>0.06</v>
      </c>
      <c r="CX122">
        <v>1.7363775783506783</v>
      </c>
      <c r="CY122">
        <v>9999196209.6699562</v>
      </c>
      <c r="CZ122">
        <v>0.5786636851727962</v>
      </c>
      <c r="DA122">
        <v>0.38456397774358242</v>
      </c>
      <c r="DB122">
        <v>45148222675.127411</v>
      </c>
      <c r="DC122">
        <v>0.54973050091415632</v>
      </c>
      <c r="DD122">
        <v>0.10499905343735591</v>
      </c>
      <c r="DE122">
        <v>165357491630.7095</v>
      </c>
      <c r="DF122">
        <v>0.5092240429520607</v>
      </c>
      <c r="DG122">
        <v>2.958913656010697E-2</v>
      </c>
      <c r="DH122">
        <v>586782249111.26746</v>
      </c>
      <c r="DI122">
        <v>0.46293094813823699</v>
      </c>
      <c r="DJ122">
        <v>2.2728726763133751E-3</v>
      </c>
      <c r="DK122">
        <v>7638958521936.2021</v>
      </c>
      <c r="DL122">
        <v>0.40506457962095732</v>
      </c>
      <c r="DM122">
        <v>6714000000</v>
      </c>
      <c r="DN122">
        <v>0.5786636851727962</v>
      </c>
      <c r="DO122">
        <v>17362380100</v>
      </c>
      <c r="DP122">
        <v>4391249000</v>
      </c>
      <c r="DQ122">
        <v>3807</v>
      </c>
      <c r="DR122">
        <v>-1.3819281658892486</v>
      </c>
      <c r="DS122">
        <v>-3.5939610879839261</v>
      </c>
      <c r="DT122" s="10">
        <v>9.3333333333333268E-2</v>
      </c>
      <c r="DU122">
        <v>-0.39000000000000007</v>
      </c>
      <c r="DV122">
        <v>-0.2966666666666668</v>
      </c>
      <c r="DW122">
        <v>-3.0329107142857143</v>
      </c>
      <c r="DX122">
        <v>0.37254733333333445</v>
      </c>
      <c r="DY122">
        <v>-3.0050204417023809</v>
      </c>
      <c r="DZ122">
        <v>347</v>
      </c>
      <c r="EA122">
        <v>-3.0046795232540977</v>
      </c>
      <c r="EB122">
        <v>3</v>
      </c>
      <c r="EC122">
        <v>4.0391983047232939E-2</v>
      </c>
      <c r="ED122">
        <v>0.26478327850524824</v>
      </c>
      <c r="EE122" s="11">
        <v>4.701000000000001E-2</v>
      </c>
      <c r="EF122">
        <v>8.0009999999999998E-2</v>
      </c>
      <c r="EG122">
        <v>22.152547333333334</v>
      </c>
      <c r="EH122">
        <v>-1</v>
      </c>
      <c r="EI122">
        <v>0</v>
      </c>
      <c r="EJ122">
        <v>1</v>
      </c>
      <c r="EK122" s="13">
        <v>45470</v>
      </c>
      <c r="EL122" s="14">
        <v>-0.38</v>
      </c>
      <c r="EM122" s="14">
        <v>-2.06</v>
      </c>
      <c r="EN122" s="14">
        <v>0.43</v>
      </c>
      <c r="EO122" s="14">
        <v>1.96</v>
      </c>
      <c r="EP122" s="14">
        <v>-3.3</v>
      </c>
    </row>
    <row r="123" spans="1:146" ht="108">
      <c r="A123" s="6"/>
      <c r="B123" s="6"/>
      <c r="C123" s="6" t="str">
        <f>""&amp;CHAR(10)&amp;Basic_Fundamental_Information_Constructure(F123)&amp;CHAR(10)&amp;Basic_Fundamental_Information_Concatenate("")</f>
        <v xml:space="preserve">
市值22.539327亿, 利润4.29亿; PE; 平均PE-54.84; 平均PEG-.06, PB5.33; ROIC0%; ROE-47.9067%; 股利率0%; 毛利-5.9%; 净利-212.6567%; 上一年度营收增4327.55%, 利润增288.16%; 当季营收增-97.96%, 利润增-135.34%; 过往5年营收增843.73%, 利润增-169.6%
Income profile:
</v>
      </c>
      <c r="D123" t="s">
        <v>1000</v>
      </c>
      <c r="E123" t="s">
        <v>1001</v>
      </c>
      <c r="F123">
        <v>5.54</v>
      </c>
      <c r="G123">
        <v>-0.89</v>
      </c>
      <c r="H123" t="s">
        <v>4909</v>
      </c>
      <c r="I123">
        <v>2253932700</v>
      </c>
      <c r="K123">
        <v>5.33</v>
      </c>
      <c r="L123" t="s">
        <v>361</v>
      </c>
      <c r="M123" t="s">
        <v>4910</v>
      </c>
      <c r="N123" t="s">
        <v>275</v>
      </c>
      <c r="O123" t="s">
        <v>4911</v>
      </c>
      <c r="P123">
        <v>92.92</v>
      </c>
      <c r="Q123" t="s">
        <v>4912</v>
      </c>
      <c r="R123">
        <v>-21780926</v>
      </c>
      <c r="S123" s="5">
        <v>0.1104</v>
      </c>
      <c r="T123" t="s">
        <v>1971</v>
      </c>
      <c r="U123">
        <v>406847050</v>
      </c>
      <c r="V123">
        <v>406847050</v>
      </c>
      <c r="W123">
        <v>5.66</v>
      </c>
      <c r="X123">
        <v>0.01</v>
      </c>
      <c r="Y123">
        <v>-76.400000000000006</v>
      </c>
      <c r="Z123" t="s">
        <v>4913</v>
      </c>
      <c r="AA123" t="s">
        <v>4914</v>
      </c>
      <c r="AB123" t="s">
        <v>4915</v>
      </c>
      <c r="AC123" t="s">
        <v>4916</v>
      </c>
      <c r="AD123" t="s">
        <v>19</v>
      </c>
      <c r="AE123">
        <v>8651457</v>
      </c>
      <c r="AF123" t="s">
        <v>4917</v>
      </c>
      <c r="AG123" t="s">
        <v>4918</v>
      </c>
      <c r="AH123" t="s">
        <v>4919</v>
      </c>
      <c r="AI123" t="s">
        <v>4920</v>
      </c>
      <c r="AJ123" t="s">
        <v>19</v>
      </c>
      <c r="AK123" t="s">
        <v>19</v>
      </c>
      <c r="AL123" t="s">
        <v>4921</v>
      </c>
      <c r="AM123" t="s">
        <v>19</v>
      </c>
      <c r="AN123" t="s">
        <v>4922</v>
      </c>
      <c r="AO123" t="s">
        <v>89</v>
      </c>
      <c r="AP123" t="s">
        <v>19</v>
      </c>
      <c r="AQ123" t="s">
        <v>1910</v>
      </c>
      <c r="AR123" t="s">
        <v>19</v>
      </c>
      <c r="AS123" t="s">
        <v>4923</v>
      </c>
      <c r="AT123" t="s">
        <v>4924</v>
      </c>
      <c r="AU123" t="s">
        <v>4925</v>
      </c>
      <c r="AV123" t="s">
        <v>4926</v>
      </c>
      <c r="AW123" t="s">
        <v>4927</v>
      </c>
      <c r="AX123" t="s">
        <v>358</v>
      </c>
      <c r="AY123" t="s">
        <v>186</v>
      </c>
      <c r="AZ123" t="s">
        <v>492</v>
      </c>
      <c r="BA123" t="s">
        <v>308</v>
      </c>
      <c r="BB123" t="s">
        <v>1587</v>
      </c>
      <c r="BC123" t="s">
        <v>1481</v>
      </c>
      <c r="BD123" t="s">
        <v>1206</v>
      </c>
      <c r="BE123" t="s">
        <v>1588</v>
      </c>
      <c r="BF123" t="s">
        <v>1589</v>
      </c>
      <c r="BG123" t="s">
        <v>1590</v>
      </c>
      <c r="BH123" t="s">
        <v>211</v>
      </c>
      <c r="BI123" t="s">
        <v>4928</v>
      </c>
      <c r="BJ123" t="s">
        <v>358</v>
      </c>
      <c r="BK123" t="s">
        <v>1901</v>
      </c>
      <c r="BL123" t="s">
        <v>4929</v>
      </c>
      <c r="BM123" t="s">
        <v>1481</v>
      </c>
      <c r="BN123" t="s">
        <v>19</v>
      </c>
      <c r="BO123" t="s">
        <v>19</v>
      </c>
      <c r="BP123" t="s">
        <v>19</v>
      </c>
      <c r="BQ123">
        <v>-11.99</v>
      </c>
      <c r="BR123">
        <v>-58.26</v>
      </c>
      <c r="BS123">
        <v>-73.47</v>
      </c>
      <c r="BT123" t="s">
        <v>1571</v>
      </c>
      <c r="BU123" t="s">
        <v>1334</v>
      </c>
      <c r="BV123">
        <v>23.7</v>
      </c>
      <c r="BW123">
        <v>28.94</v>
      </c>
      <c r="BX123">
        <v>-70.34</v>
      </c>
      <c r="BY123">
        <v>-122.6</v>
      </c>
      <c r="BZ123">
        <v>-127.93</v>
      </c>
      <c r="CA123">
        <v>-387.44</v>
      </c>
      <c r="CB123">
        <v>1.28</v>
      </c>
      <c r="CC123">
        <v>-5.94</v>
      </c>
      <c r="CD123" t="s">
        <v>4930</v>
      </c>
      <c r="CE123" t="s">
        <v>74</v>
      </c>
      <c r="CF123" s="8">
        <v>-0.97961942740286301</v>
      </c>
      <c r="CG123" s="9">
        <v>-1.3534057421935213</v>
      </c>
      <c r="CH123" s="8">
        <v>43.275508880615234</v>
      </c>
      <c r="CI123" s="8">
        <v>0.18072289228439331</v>
      </c>
      <c r="CJ123" s="8">
        <v>-0.70979022979736328</v>
      </c>
      <c r="CK123" s="8">
        <v>-0.53684210777282715</v>
      </c>
      <c r="CL123" s="8">
        <v>-2.2942988201975822E-2</v>
      </c>
      <c r="CM123" s="9">
        <v>2.8815789222717285</v>
      </c>
      <c r="CN123" s="9">
        <v>0.61551433801651001</v>
      </c>
      <c r="CO123" s="9">
        <v>-10.418316841125488</v>
      </c>
      <c r="CP123" s="9">
        <v>-1.5332427024841309</v>
      </c>
      <c r="CQ123" s="9">
        <v>-2.5394637137651443E-2</v>
      </c>
      <c r="CR123">
        <v>-54.837898969386529</v>
      </c>
      <c r="CS123">
        <v>-6.4994365028803444E-2</v>
      </c>
      <c r="CT123">
        <v>0</v>
      </c>
      <c r="CU123" s="8">
        <v>8.4373312894254919</v>
      </c>
      <c r="CV123" s="9">
        <v>-1.6959721840918065</v>
      </c>
      <c r="CW123">
        <v>0.06</v>
      </c>
      <c r="CX123">
        <v>1.0071959269898938</v>
      </c>
      <c r="CY123">
        <v>3819448229.3995619</v>
      </c>
      <c r="CZ123">
        <v>8.4373312894254919</v>
      </c>
      <c r="DA123">
        <v>1.2882330531838432E-2</v>
      </c>
      <c r="DB123">
        <v>298620866037.5838</v>
      </c>
      <c r="DC123">
        <v>8.0154647249542172</v>
      </c>
      <c r="DD123">
        <v>3.1097280638987408E-5</v>
      </c>
      <c r="DE123">
        <v>123706402005357.61</v>
      </c>
      <c r="DF123">
        <v>7.424851534694433</v>
      </c>
      <c r="DG123">
        <v>1.7737719229351428E-8</v>
      </c>
      <c r="DH123">
        <v>2.1687865560721594E+17</v>
      </c>
      <c r="DI123">
        <v>6.7498650315403941</v>
      </c>
      <c r="DJ123">
        <v>3.9967866501691077E-16</v>
      </c>
      <c r="DK123">
        <v>9.625063924383436E+24</v>
      </c>
      <c r="DL123">
        <v>5.9061319025978438</v>
      </c>
      <c r="DM123">
        <v>429000000</v>
      </c>
      <c r="DN123">
        <v>8.4373312894254919</v>
      </c>
      <c r="DO123">
        <v>3846932700</v>
      </c>
      <c r="DP123">
        <v>-662889510</v>
      </c>
      <c r="DQ123">
        <v>3851</v>
      </c>
      <c r="DR123">
        <v>-9.4169507168283548</v>
      </c>
      <c r="DS123">
        <v>0.34256644189828522</v>
      </c>
      <c r="DT123" s="10">
        <v>-0.37333333333333335</v>
      </c>
      <c r="DU123">
        <v>-2.0483333333333333</v>
      </c>
      <c r="DV123">
        <v>-2.4216666666666669</v>
      </c>
      <c r="DW123">
        <v>-1.0593999999999999</v>
      </c>
      <c r="DX123">
        <v>0.300704385964912</v>
      </c>
      <c r="DY123">
        <v>-1.0107338405263158</v>
      </c>
      <c r="DZ123">
        <v>3189</v>
      </c>
      <c r="EA123">
        <v>-1.0040351678377795</v>
      </c>
      <c r="EB123">
        <v>1</v>
      </c>
      <c r="EC123">
        <v>5.0634015903519528E-2</v>
      </c>
      <c r="ED123">
        <v>0.28020358019063918</v>
      </c>
      <c r="EE123" s="11">
        <v>2.0531000000000001</v>
      </c>
      <c r="EF123">
        <v>2.0106000000000002</v>
      </c>
      <c r="EG123">
        <v>12.180704385964912</v>
      </c>
      <c r="EH123" t="s">
        <v>1259</v>
      </c>
      <c r="EI123">
        <v>0</v>
      </c>
      <c r="EJ123">
        <v>0</v>
      </c>
      <c r="EK123" s="13">
        <v>45470</v>
      </c>
      <c r="EL123" s="14">
        <v>-0.72</v>
      </c>
      <c r="EM123" s="14">
        <v>-5.37</v>
      </c>
      <c r="EN123" s="14">
        <v>10.039999999999999</v>
      </c>
      <c r="EO123" s="14">
        <v>0.4</v>
      </c>
      <c r="EP123" s="14">
        <v>-4.25</v>
      </c>
    </row>
    <row r="124" spans="1:146" ht="108">
      <c r="A124" s="6"/>
      <c r="B124" s="6"/>
      <c r="C124" s="6" t="str">
        <f>""&amp;CHAR(10)&amp;Basic_Fundamental_Information_Constructure(F124)&amp;CHAR(10)&amp;Basic_Fundamental_Information_Concatenate("")</f>
        <v xml:space="preserve">
市值23.589944亿, 利润6.98亿; PE22; 平均PE14.87; 平均PEG.37, PB1.59; ROIC5.655%; ROE-4.1033%; 股利率0%; 毛利25.68%; 净利-3.9067%; 上一年度营收增204.15%, 利润增703.1%; 当季营收增-62.31%, 利润增-68.51%; 过往5年营收增39.72%, 利润增112.2%
Income profile:
</v>
      </c>
      <c r="D124" t="s">
        <v>1002</v>
      </c>
      <c r="E124" t="s">
        <v>1003</v>
      </c>
      <c r="F124">
        <v>8.5500000000000007</v>
      </c>
      <c r="G124">
        <v>1.18</v>
      </c>
      <c r="H124" t="s">
        <v>4931</v>
      </c>
      <c r="I124">
        <v>2358994400</v>
      </c>
      <c r="J124">
        <v>22</v>
      </c>
      <c r="K124">
        <v>1.59</v>
      </c>
      <c r="L124" t="s">
        <v>361</v>
      </c>
      <c r="M124" t="s">
        <v>4932</v>
      </c>
      <c r="N124" t="s">
        <v>566</v>
      </c>
      <c r="O124" t="s">
        <v>36</v>
      </c>
      <c r="P124">
        <v>2.62</v>
      </c>
      <c r="Q124" t="s">
        <v>4933</v>
      </c>
      <c r="R124">
        <v>29936229</v>
      </c>
      <c r="S124" s="5">
        <v>2.1999999999999999E-2</v>
      </c>
      <c r="T124" t="s">
        <v>215</v>
      </c>
      <c r="U124">
        <v>275905780</v>
      </c>
      <c r="V124">
        <v>275905780</v>
      </c>
      <c r="W124">
        <v>2.19</v>
      </c>
      <c r="X124">
        <v>0.1</v>
      </c>
      <c r="Y124">
        <v>9.48</v>
      </c>
      <c r="Z124" t="s">
        <v>204</v>
      </c>
      <c r="AA124" t="s">
        <v>47</v>
      </c>
      <c r="AB124" t="s">
        <v>19</v>
      </c>
      <c r="AC124" t="s">
        <v>4934</v>
      </c>
      <c r="AD124" t="s">
        <v>19</v>
      </c>
      <c r="AE124">
        <v>2097582</v>
      </c>
      <c r="AF124" t="s">
        <v>4935</v>
      </c>
      <c r="AG124" t="s">
        <v>4936</v>
      </c>
      <c r="AH124" t="s">
        <v>4937</v>
      </c>
      <c r="AI124" t="s">
        <v>93</v>
      </c>
      <c r="AJ124" t="s">
        <v>4938</v>
      </c>
      <c r="AK124" t="s">
        <v>4939</v>
      </c>
      <c r="AL124" t="s">
        <v>4940</v>
      </c>
      <c r="AM124" t="s">
        <v>19</v>
      </c>
      <c r="AN124" t="s">
        <v>71</v>
      </c>
      <c r="AO124" t="s">
        <v>835</v>
      </c>
      <c r="AP124" t="s">
        <v>19</v>
      </c>
      <c r="AQ124" t="s">
        <v>283</v>
      </c>
      <c r="AR124" t="s">
        <v>4941</v>
      </c>
      <c r="AS124" t="s">
        <v>4942</v>
      </c>
      <c r="AT124" t="s">
        <v>19</v>
      </c>
      <c r="AU124" t="s">
        <v>4943</v>
      </c>
      <c r="AV124" t="s">
        <v>4944</v>
      </c>
      <c r="AW124" t="s">
        <v>63</v>
      </c>
      <c r="AX124" t="s">
        <v>1778</v>
      </c>
      <c r="AY124" t="s">
        <v>1391</v>
      </c>
      <c r="AZ124" t="s">
        <v>1004</v>
      </c>
      <c r="BA124" t="s">
        <v>886</v>
      </c>
      <c r="BB124" t="s">
        <v>754</v>
      </c>
      <c r="BC124" t="s">
        <v>4945</v>
      </c>
      <c r="BD124" t="s">
        <v>1207</v>
      </c>
      <c r="BE124" t="s">
        <v>299</v>
      </c>
      <c r="BF124" t="s">
        <v>307</v>
      </c>
      <c r="BG124" t="s">
        <v>218</v>
      </c>
      <c r="BH124" t="s">
        <v>1893</v>
      </c>
      <c r="BI124" t="s">
        <v>1294</v>
      </c>
      <c r="BJ124" t="s">
        <v>1778</v>
      </c>
      <c r="BK124" t="s">
        <v>85</v>
      </c>
      <c r="BL124" t="s">
        <v>4946</v>
      </c>
      <c r="BM124" t="s">
        <v>4945</v>
      </c>
      <c r="BN124">
        <v>5.71</v>
      </c>
      <c r="BO124">
        <v>5.6</v>
      </c>
      <c r="BP124" t="s">
        <v>19</v>
      </c>
      <c r="BQ124">
        <v>6.45</v>
      </c>
      <c r="BR124">
        <v>6.13</v>
      </c>
      <c r="BS124">
        <v>-24.89</v>
      </c>
      <c r="BT124" t="s">
        <v>1571</v>
      </c>
      <c r="BU124" t="s">
        <v>1234</v>
      </c>
      <c r="BV124">
        <v>26.12</v>
      </c>
      <c r="BW124">
        <v>25.23</v>
      </c>
      <c r="BX124">
        <v>25.69</v>
      </c>
      <c r="BY124">
        <v>6.4</v>
      </c>
      <c r="BZ124">
        <v>5.03</v>
      </c>
      <c r="CA124">
        <v>-23.15</v>
      </c>
      <c r="CB124">
        <v>-3.5</v>
      </c>
      <c r="CC124">
        <v>-20.54</v>
      </c>
      <c r="CD124" t="s">
        <v>4947</v>
      </c>
      <c r="CE124" t="s">
        <v>278</v>
      </c>
      <c r="CF124" s="8">
        <v>-0.62313860252004583</v>
      </c>
      <c r="CG124" s="9">
        <v>-0.68506313733040025</v>
      </c>
      <c r="CH124" s="8">
        <v>2.0414772033691406</v>
      </c>
      <c r="CI124" s="8">
        <v>-1.8952062353491783E-2</v>
      </c>
      <c r="CJ124" s="8">
        <v>-2.2343358024954796E-2</v>
      </c>
      <c r="CK124" s="8">
        <v>-5.5097803473472595E-2</v>
      </c>
      <c r="CL124" s="8">
        <v>4.072883352637291E-2</v>
      </c>
      <c r="CM124" s="9">
        <v>7.0310192108154297</v>
      </c>
      <c r="CN124" s="9">
        <v>1.2074295282363892</v>
      </c>
      <c r="CO124" s="9">
        <v>-2.9132421016693115</v>
      </c>
      <c r="CP124" s="9">
        <v>0.10050251334905624</v>
      </c>
      <c r="CQ124" s="9">
        <v>0.184523805975914</v>
      </c>
      <c r="CR124">
        <v>14.868970588698758</v>
      </c>
      <c r="CS124">
        <v>0.3743799639883868</v>
      </c>
      <c r="CT124">
        <v>0</v>
      </c>
      <c r="CU124" s="8">
        <v>0.39716256260871885</v>
      </c>
      <c r="CV124" s="9">
        <v>1.1220465913414954</v>
      </c>
      <c r="CW124">
        <v>0.06</v>
      </c>
      <c r="CX124">
        <v>3.0021078925957876</v>
      </c>
      <c r="CY124">
        <v>920018366.69894886</v>
      </c>
      <c r="CZ124">
        <v>0.39716256260871885</v>
      </c>
      <c r="DA124">
        <v>0.76370836971023603</v>
      </c>
      <c r="DB124">
        <v>3616556410.2013807</v>
      </c>
      <c r="DC124">
        <v>0.37730443447828288</v>
      </c>
      <c r="DD124">
        <v>0.26055082625414883</v>
      </c>
      <c r="DE124">
        <v>10600597356.409342</v>
      </c>
      <c r="DF124">
        <v>0.34950305509567259</v>
      </c>
      <c r="DG124">
        <v>9.9036566404333781E-2</v>
      </c>
      <c r="DH124">
        <v>27888632454.437927</v>
      </c>
      <c r="DI124">
        <v>0.31773005008697508</v>
      </c>
      <c r="DJ124">
        <v>1.6411753366084001E-2</v>
      </c>
      <c r="DK124">
        <v>168293681874.83542</v>
      </c>
      <c r="DL124">
        <v>0.27801379382610319</v>
      </c>
      <c r="DM124">
        <v>698000000</v>
      </c>
      <c r="DN124">
        <v>0.39716256260871885</v>
      </c>
      <c r="DO124">
        <v>2761994400</v>
      </c>
      <c r="DP124">
        <v>172527099.99999976</v>
      </c>
      <c r="DQ124">
        <v>3860</v>
      </c>
      <c r="DR124">
        <v>-1.0203011651287648</v>
      </c>
      <c r="DS124">
        <v>-1.8071097286718958</v>
      </c>
      <c r="DT124" s="10">
        <v>-0.14000000000000004</v>
      </c>
      <c r="DU124">
        <v>-0.42333333333333334</v>
      </c>
      <c r="DV124">
        <v>-0.56333333333333335</v>
      </c>
      <c r="DW124">
        <v>-8.1703992210321328</v>
      </c>
      <c r="DX124">
        <v>0.27324612546125465</v>
      </c>
      <c r="DY124">
        <v>-8.0141850749325414</v>
      </c>
      <c r="DZ124">
        <v>2095</v>
      </c>
      <c r="EA124">
        <v>-8.0083694718046203</v>
      </c>
      <c r="EB124">
        <v>8</v>
      </c>
      <c r="EC124">
        <v>8.1765956479780869E-2</v>
      </c>
      <c r="ED124">
        <v>0.98221936488608541</v>
      </c>
      <c r="EE124" s="11">
        <v>8.3009999999999987E-2</v>
      </c>
      <c r="EF124">
        <v>0.10801000000000001</v>
      </c>
      <c r="EG124">
        <v>19.083246125461255</v>
      </c>
      <c r="EH124">
        <v>-1</v>
      </c>
      <c r="EI124">
        <v>0</v>
      </c>
      <c r="EJ124">
        <v>0</v>
      </c>
      <c r="EK124" s="13">
        <v>45470</v>
      </c>
      <c r="EL124" s="14">
        <v>-0.82</v>
      </c>
      <c r="EM124" s="14">
        <v>-6.37</v>
      </c>
      <c r="EN124" s="14">
        <v>1.9</v>
      </c>
      <c r="EO124" s="14">
        <v>4</v>
      </c>
      <c r="EP124" s="14">
        <v>-2.5</v>
      </c>
    </row>
    <row r="125" spans="1:146" ht="108">
      <c r="A125" s="6"/>
      <c r="B125" s="6"/>
      <c r="C125" s="6" t="str">
        <f>""&amp;CHAR(10)&amp;Basic_Fundamental_Information_Constructure(F125)&amp;CHAR(10)&amp;Basic_Fundamental_Information_Concatenate("")</f>
        <v xml:space="preserve">
市值58.532479亿, 利润18.36亿; PE8.41; 平均PE7.58; 平均PEG.21, PB1.17; ROIC12.7933%; ROE13.8233%; 股利率3.6215%; 毛利35.9367%; 净利12.1367%; 上一年度营收增145.81%, 利润增168.42%; 当季营收增-65.62%, 利润增-29.09%; 过往5年营收增36.14%, 利润增45.69%
Income profile:
</v>
      </c>
      <c r="D125" t="s">
        <v>1005</v>
      </c>
      <c r="E125" t="s">
        <v>4948</v>
      </c>
      <c r="F125">
        <v>8.56</v>
      </c>
      <c r="G125">
        <v>1.54</v>
      </c>
      <c r="H125" t="s">
        <v>4949</v>
      </c>
      <c r="I125">
        <v>5853247900</v>
      </c>
      <c r="J125">
        <v>8.41</v>
      </c>
      <c r="K125">
        <v>1.17</v>
      </c>
      <c r="L125" t="s">
        <v>361</v>
      </c>
      <c r="M125" t="s">
        <v>4950</v>
      </c>
      <c r="N125" t="s">
        <v>4951</v>
      </c>
      <c r="O125" t="s">
        <v>4952</v>
      </c>
      <c r="P125">
        <v>-9.48</v>
      </c>
      <c r="Q125" t="s">
        <v>4953</v>
      </c>
      <c r="R125">
        <v>92891541</v>
      </c>
      <c r="S125" s="5">
        <v>-2.2800000000000001E-2</v>
      </c>
      <c r="T125" t="s">
        <v>4954</v>
      </c>
      <c r="U125">
        <v>668630650</v>
      </c>
      <c r="V125">
        <v>683790650</v>
      </c>
      <c r="W125">
        <v>2.44</v>
      </c>
      <c r="X125">
        <v>0.06</v>
      </c>
      <c r="Y125">
        <v>12.04</v>
      </c>
      <c r="Z125" t="s">
        <v>3808</v>
      </c>
      <c r="AA125" t="s">
        <v>328</v>
      </c>
      <c r="AB125" t="s">
        <v>4955</v>
      </c>
      <c r="AC125" t="s">
        <v>4956</v>
      </c>
      <c r="AD125" t="s">
        <v>19</v>
      </c>
      <c r="AE125">
        <v>-5840340</v>
      </c>
      <c r="AF125" t="s">
        <v>4957</v>
      </c>
      <c r="AG125" t="s">
        <v>4958</v>
      </c>
      <c r="AH125" t="s">
        <v>4959</v>
      </c>
      <c r="AI125" t="s">
        <v>753</v>
      </c>
      <c r="AJ125" t="s">
        <v>4960</v>
      </c>
      <c r="AK125" t="s">
        <v>4961</v>
      </c>
      <c r="AL125" t="s">
        <v>4962</v>
      </c>
      <c r="AM125" t="s">
        <v>19</v>
      </c>
      <c r="AN125" t="s">
        <v>4963</v>
      </c>
      <c r="AO125" t="s">
        <v>151</v>
      </c>
      <c r="AP125" t="s">
        <v>3513</v>
      </c>
      <c r="AQ125" t="s">
        <v>4964</v>
      </c>
      <c r="AR125" t="s">
        <v>4965</v>
      </c>
      <c r="AS125" t="s">
        <v>4966</v>
      </c>
      <c r="AT125" t="s">
        <v>19</v>
      </c>
      <c r="AU125" t="s">
        <v>4967</v>
      </c>
      <c r="AV125" t="s">
        <v>354</v>
      </c>
      <c r="AW125" t="s">
        <v>4968</v>
      </c>
      <c r="AX125" t="s">
        <v>1779</v>
      </c>
      <c r="AY125" t="s">
        <v>1430</v>
      </c>
      <c r="AZ125" t="s">
        <v>205</v>
      </c>
      <c r="BA125" t="s">
        <v>1006</v>
      </c>
      <c r="BB125" t="s">
        <v>1007</v>
      </c>
      <c r="BC125" t="s">
        <v>1425</v>
      </c>
      <c r="BD125" t="s">
        <v>1208</v>
      </c>
      <c r="BE125" t="s">
        <v>824</v>
      </c>
      <c r="BF125" t="s">
        <v>559</v>
      </c>
      <c r="BG125" t="s">
        <v>281</v>
      </c>
      <c r="BH125" t="s">
        <v>4933</v>
      </c>
      <c r="BI125" t="s">
        <v>4969</v>
      </c>
      <c r="BJ125" t="s">
        <v>1779</v>
      </c>
      <c r="BK125" t="s">
        <v>215</v>
      </c>
      <c r="BL125" t="s">
        <v>158</v>
      </c>
      <c r="BM125" t="s">
        <v>1425</v>
      </c>
      <c r="BN125">
        <v>7</v>
      </c>
      <c r="BO125">
        <v>15.58</v>
      </c>
      <c r="BP125">
        <v>15.8</v>
      </c>
      <c r="BQ125">
        <v>7.74</v>
      </c>
      <c r="BR125">
        <v>16.63</v>
      </c>
      <c r="BS125">
        <v>17.100000000000001</v>
      </c>
      <c r="BT125" t="s">
        <v>4970</v>
      </c>
      <c r="BU125" t="s">
        <v>1234</v>
      </c>
      <c r="BV125">
        <v>39</v>
      </c>
      <c r="BW125">
        <v>36.950000000000003</v>
      </c>
      <c r="BX125">
        <v>31.86</v>
      </c>
      <c r="BY125">
        <v>13.33</v>
      </c>
      <c r="BZ125">
        <v>12.15</v>
      </c>
      <c r="CA125">
        <v>10.93</v>
      </c>
      <c r="CB125">
        <v>-2.5099999999999998</v>
      </c>
      <c r="CC125">
        <v>-14.31</v>
      </c>
      <c r="CD125" t="s">
        <v>4971</v>
      </c>
      <c r="CE125" t="s">
        <v>1497</v>
      </c>
      <c r="CF125" s="8">
        <v>-0.65622280243690168</v>
      </c>
      <c r="CG125" s="9">
        <v>-0.2909042671755725</v>
      </c>
      <c r="CH125" s="8">
        <v>1.458126425743103</v>
      </c>
      <c r="CI125" s="8">
        <v>2.9199477285146713E-3</v>
      </c>
      <c r="CJ125" s="8">
        <v>8.741132915019989E-2</v>
      </c>
      <c r="CK125" s="8">
        <v>0.14206482470035553</v>
      </c>
      <c r="CL125" s="8">
        <v>0.11672228574752808</v>
      </c>
      <c r="CM125" s="9">
        <v>1.6842105388641357</v>
      </c>
      <c r="CN125" s="9">
        <v>0.10679611563682556</v>
      </c>
      <c r="CO125" s="9">
        <v>6.0034304857254028E-2</v>
      </c>
      <c r="CP125" s="9">
        <v>0.12548261880874634</v>
      </c>
      <c r="CQ125" s="9">
        <v>0.30808082222938538</v>
      </c>
      <c r="CR125">
        <v>7.5770199352750813</v>
      </c>
      <c r="CS125">
        <v>0.2096290408604109</v>
      </c>
      <c r="CT125">
        <v>3.6214953271028034</v>
      </c>
      <c r="CU125" s="8">
        <v>0.36144896261394022</v>
      </c>
      <c r="CV125" s="9">
        <v>0.4569208800792694</v>
      </c>
      <c r="CW125">
        <v>0.06</v>
      </c>
      <c r="CX125">
        <v>3.7611323573643105</v>
      </c>
      <c r="CY125">
        <v>2358132354.1124473</v>
      </c>
      <c r="CZ125">
        <v>0.36144896261394022</v>
      </c>
      <c r="DA125">
        <v>0.98405907001409898</v>
      </c>
      <c r="DB125">
        <v>9012922262.7590103</v>
      </c>
      <c r="DC125">
        <v>0.34337651448324319</v>
      </c>
      <c r="DD125">
        <v>0.35075110763721884</v>
      </c>
      <c r="DE125">
        <v>25286443027.211891</v>
      </c>
      <c r="DF125">
        <v>0.31807508710026738</v>
      </c>
      <c r="DG125">
        <v>0.14124467426333423</v>
      </c>
      <c r="DH125">
        <v>62793503162.210007</v>
      </c>
      <c r="DI125">
        <v>0.28915917009115216</v>
      </c>
      <c r="DJ125">
        <v>2.7178391648214919E-2</v>
      </c>
      <c r="DK125">
        <v>326334538658.49097</v>
      </c>
      <c r="DL125">
        <v>0.25301427382975816</v>
      </c>
      <c r="DM125">
        <v>1836000000</v>
      </c>
      <c r="DN125">
        <v>0.36144896261394022</v>
      </c>
      <c r="DO125">
        <v>8869247900</v>
      </c>
      <c r="DP125">
        <v>3925758100</v>
      </c>
      <c r="DQ125">
        <v>3861</v>
      </c>
      <c r="DR125">
        <v>-1.0176717650508418</v>
      </c>
      <c r="DS125">
        <v>-0.74782514725484184</v>
      </c>
      <c r="DT125" s="10">
        <v>-0.10666666666666669</v>
      </c>
      <c r="DU125">
        <v>0.21333333333333335</v>
      </c>
      <c r="DV125">
        <v>0.10666666666666666</v>
      </c>
      <c r="DW125">
        <v>-8.1754018169112506</v>
      </c>
      <c r="DX125">
        <v>0.30718305555555531</v>
      </c>
      <c r="DY125">
        <v>-8.0223081390247692</v>
      </c>
      <c r="DZ125">
        <v>2965</v>
      </c>
      <c r="EA125">
        <v>-8.0093641796884789</v>
      </c>
      <c r="EB125">
        <v>8</v>
      </c>
      <c r="EC125">
        <v>0.13391788846483935</v>
      </c>
      <c r="ED125">
        <v>1.0529538536392682</v>
      </c>
      <c r="EE125" s="11">
        <v>2.0865999999999998</v>
      </c>
      <c r="EF125">
        <v>2.0743</v>
      </c>
      <c r="EG125">
        <v>18.127183055555555</v>
      </c>
      <c r="EH125" t="s">
        <v>1259</v>
      </c>
      <c r="EI125">
        <v>0</v>
      </c>
      <c r="EJ125">
        <v>0</v>
      </c>
      <c r="EK125" s="13">
        <v>45470</v>
      </c>
      <c r="EL125" s="14">
        <v>2.23</v>
      </c>
      <c r="EM125" s="14">
        <v>-5.13</v>
      </c>
      <c r="EN125" s="14">
        <v>0.69</v>
      </c>
      <c r="EO125" s="14">
        <v>2.0499999999999998</v>
      </c>
      <c r="EP125" s="14">
        <v>-1.23</v>
      </c>
    </row>
    <row r="126" spans="1:146" ht="108">
      <c r="A126" s="6"/>
      <c r="B126" s="6"/>
      <c r="C126" s="6" t="str">
        <f>""&amp;CHAR(10)&amp;Basic_Fundamental_Information_Constructure(F126)&amp;CHAR(10)&amp;Basic_Fundamental_Information_Concatenate("")</f>
        <v xml:space="preserve">
市值26.33867亿, 利润1.16亿; PE23.64; 平均PE-8.92; 平均PEG-1.88, PB2.56; ROIC5.75%; ROE-76.05%; 股利率0%; 毛利1.74%; 净利-28.4567%; 上一年度营收增114.93%, 利润增109.69%; 当季营收增-82.82%, 利润增-122%; 过往5年营收增4.74%, 利润增-202.21%
Income profile:
</v>
      </c>
      <c r="D126" t="s">
        <v>1009</v>
      </c>
      <c r="E126" t="s">
        <v>4972</v>
      </c>
      <c r="F126">
        <v>2</v>
      </c>
      <c r="G126">
        <v>5.26</v>
      </c>
      <c r="H126" t="s">
        <v>4973</v>
      </c>
      <c r="I126">
        <v>2633867000</v>
      </c>
      <c r="J126">
        <v>23.64</v>
      </c>
      <c r="K126">
        <v>2.56</v>
      </c>
      <c r="L126" t="s">
        <v>361</v>
      </c>
      <c r="M126" t="s">
        <v>4974</v>
      </c>
      <c r="N126" t="s">
        <v>3340</v>
      </c>
      <c r="O126" t="s">
        <v>98</v>
      </c>
      <c r="P126">
        <v>-29.25</v>
      </c>
      <c r="Q126" t="s">
        <v>4975</v>
      </c>
      <c r="R126">
        <v>-9862313</v>
      </c>
      <c r="S126" s="5">
        <v>-1.321</v>
      </c>
      <c r="T126" t="s">
        <v>105</v>
      </c>
      <c r="U126">
        <v>1316933520</v>
      </c>
      <c r="V126">
        <v>1316933520</v>
      </c>
      <c r="W126">
        <v>2.42</v>
      </c>
      <c r="X126">
        <v>7.0000000000000007E-2</v>
      </c>
      <c r="Y126">
        <v>-13.3</v>
      </c>
      <c r="Z126" t="s">
        <v>1823</v>
      </c>
      <c r="AA126" t="s">
        <v>675</v>
      </c>
      <c r="AB126" t="s">
        <v>4976</v>
      </c>
      <c r="AC126" t="s">
        <v>4977</v>
      </c>
      <c r="AD126" t="s">
        <v>19</v>
      </c>
      <c r="AE126">
        <v>8305570</v>
      </c>
      <c r="AF126" t="s">
        <v>4978</v>
      </c>
      <c r="AG126" t="s">
        <v>4979</v>
      </c>
      <c r="AH126" t="s">
        <v>4980</v>
      </c>
      <c r="AI126" t="s">
        <v>1577</v>
      </c>
      <c r="AJ126" t="s">
        <v>19</v>
      </c>
      <c r="AK126" t="s">
        <v>4981</v>
      </c>
      <c r="AL126" t="s">
        <v>4982</v>
      </c>
      <c r="AM126" t="s">
        <v>19</v>
      </c>
      <c r="AN126">
        <v>0</v>
      </c>
      <c r="AO126" t="s">
        <v>4983</v>
      </c>
      <c r="AP126" t="s">
        <v>4984</v>
      </c>
      <c r="AQ126" t="s">
        <v>1312</v>
      </c>
      <c r="AR126" t="s">
        <v>19</v>
      </c>
      <c r="AS126" t="s">
        <v>4985</v>
      </c>
      <c r="AT126" t="s">
        <v>355</v>
      </c>
      <c r="AU126" t="s">
        <v>4986</v>
      </c>
      <c r="AV126" t="s">
        <v>4987</v>
      </c>
      <c r="AW126" t="s">
        <v>225</v>
      </c>
      <c r="AX126" t="s">
        <v>1781</v>
      </c>
      <c r="AY126" t="s">
        <v>1431</v>
      </c>
      <c r="AZ126" t="s">
        <v>1010</v>
      </c>
      <c r="BA126" t="s">
        <v>1011</v>
      </c>
      <c r="BB126" t="s">
        <v>1012</v>
      </c>
      <c r="BC126" t="s">
        <v>1782</v>
      </c>
      <c r="BD126" t="s">
        <v>1209</v>
      </c>
      <c r="BE126" t="s">
        <v>38</v>
      </c>
      <c r="BF126" t="s">
        <v>111</v>
      </c>
      <c r="BG126" t="s">
        <v>47</v>
      </c>
      <c r="BH126" t="s">
        <v>4988</v>
      </c>
      <c r="BI126" t="s">
        <v>1464</v>
      </c>
      <c r="BJ126" t="s">
        <v>1781</v>
      </c>
      <c r="BK126" t="s">
        <v>4989</v>
      </c>
      <c r="BL126" t="s">
        <v>4990</v>
      </c>
      <c r="BM126" t="s">
        <v>1782</v>
      </c>
      <c r="BN126">
        <v>5.75</v>
      </c>
      <c r="BO126" t="s">
        <v>19</v>
      </c>
      <c r="BP126" t="s">
        <v>19</v>
      </c>
      <c r="BQ126" t="s">
        <v>19</v>
      </c>
      <c r="BR126" t="s">
        <v>19</v>
      </c>
      <c r="BS126">
        <v>-76.05</v>
      </c>
      <c r="BT126" t="s">
        <v>1571</v>
      </c>
      <c r="BU126" t="s">
        <v>1334</v>
      </c>
      <c r="BV126">
        <v>1.65</v>
      </c>
      <c r="BW126">
        <v>3.04</v>
      </c>
      <c r="BX126">
        <v>0.53</v>
      </c>
      <c r="BY126">
        <v>5.88</v>
      </c>
      <c r="BZ126">
        <v>-59.45</v>
      </c>
      <c r="CA126">
        <v>-31.8</v>
      </c>
      <c r="CB126">
        <v>19.05</v>
      </c>
      <c r="CC126">
        <v>9.89</v>
      </c>
      <c r="CD126" t="s">
        <v>4991</v>
      </c>
      <c r="CE126" t="s">
        <v>1359</v>
      </c>
      <c r="CF126" s="8">
        <v>-0.82817869415807566</v>
      </c>
      <c r="CG126" s="9">
        <v>-1.2199617053070602</v>
      </c>
      <c r="CH126" s="8">
        <v>1.1493281126022339</v>
      </c>
      <c r="CI126" s="8">
        <v>-0.50296884775161743</v>
      </c>
      <c r="CJ126" s="8">
        <v>-0.25479352474212646</v>
      </c>
      <c r="CK126" s="8">
        <v>-0.21799308061599731</v>
      </c>
      <c r="CL126" s="8">
        <v>6.364055722951889E-2</v>
      </c>
      <c r="CM126" s="9">
        <v>1.0969089269638062</v>
      </c>
      <c r="CN126" s="9">
        <v>7.4245944619178772E-2</v>
      </c>
      <c r="CO126" s="9">
        <v>-10.721803665161133</v>
      </c>
      <c r="CP126" s="9">
        <v>-0.36363637447357178</v>
      </c>
      <c r="CQ126" s="9">
        <v>-0.19615384936332703</v>
      </c>
      <c r="CR126">
        <v>-8.9182855530474043</v>
      </c>
      <c r="CS126">
        <v>-1.8798036796361726</v>
      </c>
      <c r="CT126">
        <v>0</v>
      </c>
      <c r="CU126" s="8">
        <v>4.7442643344402312E-2</v>
      </c>
      <c r="CV126" s="9">
        <v>-2.0220878034830094</v>
      </c>
      <c r="CW126">
        <v>0.06</v>
      </c>
      <c r="CX126">
        <v>28.796894218180391</v>
      </c>
      <c r="CY126">
        <v>114625798.70561382</v>
      </c>
      <c r="CZ126">
        <v>4.7442643344402312E-2</v>
      </c>
      <c r="DA126">
        <v>9.7575368315974824</v>
      </c>
      <c r="DB126">
        <v>338288961.34021449</v>
      </c>
      <c r="DC126">
        <v>4.5070511177182193E-2</v>
      </c>
      <c r="DD126">
        <v>5.0376351261741483</v>
      </c>
      <c r="DE126">
        <v>655241381.58589828</v>
      </c>
      <c r="DF126">
        <v>4.1749526143074034E-2</v>
      </c>
      <c r="DG126">
        <v>3.1884631155686392</v>
      </c>
      <c r="DH126">
        <v>1035253311.8173815</v>
      </c>
      <c r="DI126">
        <v>3.7954114675521851E-2</v>
      </c>
      <c r="DJ126">
        <v>1.8414122195445879</v>
      </c>
      <c r="DK126">
        <v>1792573637.2143548</v>
      </c>
      <c r="DL126">
        <v>3.3209850341081613E-2</v>
      </c>
      <c r="DM126">
        <v>115999999.99999999</v>
      </c>
      <c r="DN126">
        <v>4.7442643344402312E-2</v>
      </c>
      <c r="DO126">
        <v>3300867000</v>
      </c>
      <c r="DP126">
        <v>638985100</v>
      </c>
      <c r="DQ126">
        <v>3872</v>
      </c>
      <c r="DR126">
        <v>-0.87562133750247795</v>
      </c>
      <c r="DS126">
        <v>0.80212609817594926</v>
      </c>
      <c r="DT126" s="10">
        <v>-0.50666666666666671</v>
      </c>
      <c r="DU126">
        <v>-1.8816666666666668</v>
      </c>
      <c r="DV126">
        <v>-2.3883333333333336</v>
      </c>
      <c r="DW126">
        <v>5.5191601049868764</v>
      </c>
      <c r="DX126">
        <v>0.62559372549019854</v>
      </c>
      <c r="DY126">
        <v>5.1378856664093462</v>
      </c>
      <c r="DZ126">
        <v>588</v>
      </c>
      <c r="EA126">
        <v>5.1220193705485446</v>
      </c>
      <c r="EB126">
        <v>5</v>
      </c>
      <c r="EC126">
        <v>5.1427349195272969E-2</v>
      </c>
      <c r="ED126">
        <v>0.19363164208926809</v>
      </c>
      <c r="EE126" s="11">
        <v>2.0415999999999999</v>
      </c>
      <c r="EF126">
        <v>2.0314000000000001</v>
      </c>
      <c r="EG126">
        <v>36.265593725490199</v>
      </c>
      <c r="EH126" t="s">
        <v>1259</v>
      </c>
      <c r="EI126">
        <v>1</v>
      </c>
      <c r="EJ126">
        <v>1</v>
      </c>
      <c r="EK126" s="13">
        <v>45470</v>
      </c>
      <c r="EL126" s="14">
        <v>-0.57999999999999996</v>
      </c>
      <c r="EM126" s="14">
        <v>-2.2400000000000002</v>
      </c>
      <c r="EN126" s="14">
        <v>-0.81</v>
      </c>
      <c r="EO126" s="14">
        <v>2.09</v>
      </c>
      <c r="EP126" s="14">
        <v>-1.02</v>
      </c>
    </row>
    <row r="127" spans="1:146" ht="108">
      <c r="A127" s="6"/>
      <c r="B127" s="6"/>
      <c r="C127" s="6" t="str">
        <f>""&amp;CHAR(10)&amp;Basic_Fundamental_Information_Constructure(F127)&amp;CHAR(10)&amp;Basic_Fundamental_Information_Concatenate("")</f>
        <v xml:space="preserve">
市值41.448958亿, 利润1.38亿; PE73.44; 平均PE29.63; 平均PEG3.49, PB1.52; ROIC2.36%; ROE1.99%; 股利率.651%; 毛利15.69%; 净利1.3067%; 上一年度营收增-85.36%, 利润增158.22%; 当季营收增787.82%, 利润增617.91%; 过往5年营收增-8.49%, 利润增24.28%
Income profile:
</v>
      </c>
      <c r="D127" t="s">
        <v>1013</v>
      </c>
      <c r="E127" t="s">
        <v>1014</v>
      </c>
      <c r="F127">
        <v>7.68</v>
      </c>
      <c r="G127">
        <v>2.54</v>
      </c>
      <c r="H127" t="s">
        <v>4992</v>
      </c>
      <c r="I127">
        <v>4144895800</v>
      </c>
      <c r="J127">
        <v>73.44</v>
      </c>
      <c r="K127">
        <v>1.52</v>
      </c>
      <c r="L127" t="s">
        <v>361</v>
      </c>
      <c r="M127" t="s">
        <v>4993</v>
      </c>
      <c r="N127" t="s">
        <v>2048</v>
      </c>
      <c r="O127" t="s">
        <v>1208</v>
      </c>
      <c r="P127">
        <v>-37.270000000000003</v>
      </c>
      <c r="Q127" t="s">
        <v>298</v>
      </c>
      <c r="R127">
        <v>21422389</v>
      </c>
      <c r="S127" s="5">
        <v>-5.9900000000000002E-2</v>
      </c>
      <c r="T127" t="s">
        <v>81</v>
      </c>
      <c r="U127">
        <v>538799980</v>
      </c>
      <c r="V127">
        <v>539699980</v>
      </c>
      <c r="W127">
        <v>2.21</v>
      </c>
      <c r="X127">
        <v>0.1</v>
      </c>
      <c r="Y127">
        <v>3.28</v>
      </c>
      <c r="Z127" t="s">
        <v>210</v>
      </c>
      <c r="AA127" t="s">
        <v>290</v>
      </c>
      <c r="AB127" t="s">
        <v>4994</v>
      </c>
      <c r="AC127" t="s">
        <v>4995</v>
      </c>
      <c r="AD127" t="s">
        <v>19</v>
      </c>
      <c r="AE127">
        <v>10287027</v>
      </c>
      <c r="AF127" t="s">
        <v>4996</v>
      </c>
      <c r="AG127" t="s">
        <v>4997</v>
      </c>
      <c r="AH127" t="s">
        <v>4998</v>
      </c>
      <c r="AI127" t="s">
        <v>4999</v>
      </c>
      <c r="AJ127" t="s">
        <v>5000</v>
      </c>
      <c r="AK127" t="s">
        <v>5001</v>
      </c>
      <c r="AL127" t="s">
        <v>5002</v>
      </c>
      <c r="AM127" t="s">
        <v>19</v>
      </c>
      <c r="AN127" t="s">
        <v>5003</v>
      </c>
      <c r="AO127" t="s">
        <v>1128</v>
      </c>
      <c r="AP127" t="s">
        <v>5004</v>
      </c>
      <c r="AQ127" t="s">
        <v>422</v>
      </c>
      <c r="AR127" t="s">
        <v>19</v>
      </c>
      <c r="AS127" t="s">
        <v>5005</v>
      </c>
      <c r="AT127" t="s">
        <v>21</v>
      </c>
      <c r="AU127" t="s">
        <v>5006</v>
      </c>
      <c r="AV127" t="s">
        <v>5007</v>
      </c>
      <c r="AW127" t="s">
        <v>5008</v>
      </c>
      <c r="AX127" t="s">
        <v>1784</v>
      </c>
      <c r="AY127" t="s">
        <v>1432</v>
      </c>
      <c r="AZ127" t="s">
        <v>1015</v>
      </c>
      <c r="BA127" t="s">
        <v>288</v>
      </c>
      <c r="BB127" t="s">
        <v>935</v>
      </c>
      <c r="BC127" t="s">
        <v>5009</v>
      </c>
      <c r="BD127" t="s">
        <v>1210</v>
      </c>
      <c r="BE127" t="s">
        <v>306</v>
      </c>
      <c r="BF127" t="s">
        <v>225</v>
      </c>
      <c r="BG127" t="s">
        <v>228</v>
      </c>
      <c r="BH127" t="s">
        <v>5010</v>
      </c>
      <c r="BI127" t="s">
        <v>5011</v>
      </c>
      <c r="BJ127" t="s">
        <v>1784</v>
      </c>
      <c r="BK127" t="s">
        <v>5012</v>
      </c>
      <c r="BL127" t="s">
        <v>5013</v>
      </c>
      <c r="BM127" t="s">
        <v>5009</v>
      </c>
      <c r="BN127">
        <v>2.87</v>
      </c>
      <c r="BO127">
        <v>2.41</v>
      </c>
      <c r="BP127">
        <v>1.8</v>
      </c>
      <c r="BQ127">
        <v>2.97</v>
      </c>
      <c r="BR127">
        <v>1.72</v>
      </c>
      <c r="BS127">
        <v>1.28</v>
      </c>
      <c r="BT127" t="s">
        <v>1576</v>
      </c>
      <c r="BU127" t="s">
        <v>1336</v>
      </c>
      <c r="BV127">
        <v>14.48</v>
      </c>
      <c r="BW127">
        <v>15.28</v>
      </c>
      <c r="BX127">
        <v>17.309999999999999</v>
      </c>
      <c r="BY127">
        <v>1.63</v>
      </c>
      <c r="BZ127">
        <v>1.29</v>
      </c>
      <c r="CA127">
        <v>1</v>
      </c>
      <c r="CB127">
        <v>-2.29</v>
      </c>
      <c r="CC127">
        <v>-27.89</v>
      </c>
      <c r="CD127" t="s">
        <v>5014</v>
      </c>
      <c r="CE127" t="s">
        <v>1222</v>
      </c>
      <c r="CF127" s="8">
        <v>7.8781623065982851</v>
      </c>
      <c r="CG127" s="9">
        <v>6.1791187776515244</v>
      </c>
      <c r="CH127" s="8">
        <v>-0.85356634855270386</v>
      </c>
      <c r="CI127" s="8">
        <v>0.34840768575668335</v>
      </c>
      <c r="CJ127" s="8">
        <v>-4.1230372153222561E-3</v>
      </c>
      <c r="CK127" s="8">
        <v>-6.0768544673919678E-2</v>
      </c>
      <c r="CL127" s="8">
        <v>0.14534284174442291</v>
      </c>
      <c r="CM127" s="9">
        <v>1.5821759700775146</v>
      </c>
      <c r="CN127" s="9">
        <v>0.62866878509521484</v>
      </c>
      <c r="CO127" s="9">
        <v>-0.81970274448394775</v>
      </c>
      <c r="CP127" s="9">
        <v>-0.14553990960121155</v>
      </c>
      <c r="CQ127" s="9">
        <v>-3.1818181276321411E-2</v>
      </c>
      <c r="CR127">
        <v>29.632595196658379</v>
      </c>
      <c r="CS127">
        <v>3.4885894372773754</v>
      </c>
      <c r="CT127">
        <v>0.65104166666666674</v>
      </c>
      <c r="CU127" s="8">
        <v>-8.4941480588167903E-2</v>
      </c>
      <c r="CV127" s="9">
        <v>0.24275678396224976</v>
      </c>
      <c r="CW127">
        <v>0.06</v>
      </c>
      <c r="CX127">
        <v>36.984752173913044</v>
      </c>
      <c r="CY127" t="s">
        <v>5015</v>
      </c>
      <c r="CZ127">
        <v>-8.4941480588167903E-2</v>
      </c>
      <c r="DA127">
        <v>12.328250724637682</v>
      </c>
      <c r="DB127" t="s">
        <v>5016</v>
      </c>
      <c r="DC127">
        <v>-8.0694406558759507E-2</v>
      </c>
      <c r="DD127">
        <v>6.164125362318841</v>
      </c>
      <c r="DE127" t="s">
        <v>5017</v>
      </c>
      <c r="DF127">
        <v>-7.474850291758775E-2</v>
      </c>
      <c r="DG127">
        <v>3.6984752173913042</v>
      </c>
      <c r="DH127" t="s">
        <v>5018</v>
      </c>
      <c r="DI127">
        <v>-6.795318447053432E-2</v>
      </c>
      <c r="DJ127">
        <v>1.8492376086956521</v>
      </c>
      <c r="DK127" t="s">
        <v>5019</v>
      </c>
      <c r="DL127">
        <v>-5.9459036411717528E-2</v>
      </c>
      <c r="DM127">
        <v>138000000</v>
      </c>
      <c r="DN127">
        <v>-8.4941480588167903E-2</v>
      </c>
      <c r="DO127">
        <v>5103895800</v>
      </c>
      <c r="DP127">
        <v>2222251800</v>
      </c>
      <c r="DQ127">
        <v>3927</v>
      </c>
      <c r="DR127">
        <v>7.9631037871864532</v>
      </c>
      <c r="DS127">
        <v>5.9363619936892746</v>
      </c>
      <c r="DT127" s="10">
        <v>-0.62333333333333341</v>
      </c>
      <c r="DU127">
        <v>0.58666666666666667</v>
      </c>
      <c r="DV127">
        <v>-3.6666666666666736E-2</v>
      </c>
      <c r="DW127">
        <v>-3.1344702380952381</v>
      </c>
      <c r="DX127">
        <v>0.52321864406779461</v>
      </c>
      <c r="DY127">
        <v>-3.0138798356436642</v>
      </c>
      <c r="DZ127">
        <v>387</v>
      </c>
      <c r="EA127">
        <v>-3.0128286621810227</v>
      </c>
      <c r="EB127">
        <v>3</v>
      </c>
      <c r="EC127">
        <v>4.5135447290548351E-2</v>
      </c>
      <c r="ED127">
        <v>0.4372799865584579</v>
      </c>
      <c r="EE127" s="11">
        <v>-3.0380099999999999</v>
      </c>
      <c r="EF127">
        <v>-3.0557099999999999</v>
      </c>
      <c r="EG127">
        <v>42.103218644067795</v>
      </c>
      <c r="EH127" t="s">
        <v>1897</v>
      </c>
      <c r="EI127">
        <v>0</v>
      </c>
      <c r="EJ127">
        <v>1</v>
      </c>
      <c r="EK127" s="13">
        <v>45470</v>
      </c>
      <c r="EL127" s="14">
        <v>0.04</v>
      </c>
      <c r="EM127" s="14">
        <v>-3.36</v>
      </c>
      <c r="EN127" s="14">
        <v>-2.33</v>
      </c>
      <c r="EO127" s="14">
        <v>1.84</v>
      </c>
      <c r="EP127" s="14">
        <v>-1.77</v>
      </c>
    </row>
    <row r="128" spans="1:146" ht="108">
      <c r="C128" s="6" t="str">
        <f>""&amp;CHAR(10)&amp;Basic_Fundamental_Information_Constructure(F128)&amp;CHAR(10)&amp;Basic_Fundamental_Information_Concatenate("")</f>
        <v xml:space="preserve">
市值18.60432亿, 利润-8118.27万; PE16.6; 平均PE35.84; 平均PEG7.44, PB1.56; ROIC12.1967%; ROE16.835%; 股利率1.9666%; 毛利15.1067%; 净利5.3733%; 上一年度营收增-86.52%, 利润增-168.8%; 当季营收增665.47%, 利润增270.36%; 过往5年营收增-4.82%, 利润增-15.91%
Income profile:
</v>
      </c>
      <c r="D128" s="5" t="s">
        <v>1785</v>
      </c>
      <c r="E128" t="s">
        <v>1786</v>
      </c>
      <c r="F128">
        <v>10.17</v>
      </c>
      <c r="G128">
        <v>2.73</v>
      </c>
      <c r="H128" t="s">
        <v>5020</v>
      </c>
      <c r="I128">
        <v>1860432000</v>
      </c>
      <c r="J128">
        <v>16.600000000000001</v>
      </c>
      <c r="K128">
        <v>1.56</v>
      </c>
      <c r="L128" t="s">
        <v>361</v>
      </c>
      <c r="M128" t="s">
        <v>1482</v>
      </c>
      <c r="N128" t="s">
        <v>5021</v>
      </c>
      <c r="O128" t="s">
        <v>1971</v>
      </c>
      <c r="P128" s="5">
        <v>-9.0299999999999994</v>
      </c>
      <c r="Q128" t="s">
        <v>1600</v>
      </c>
      <c r="R128">
        <v>50102070</v>
      </c>
      <c r="S128">
        <v>-0.23200000000000001</v>
      </c>
      <c r="T128" t="s">
        <v>5022</v>
      </c>
      <c r="U128">
        <v>73733334</v>
      </c>
      <c r="V128">
        <v>182933330</v>
      </c>
      <c r="W128">
        <v>2.5499999999999998</v>
      </c>
      <c r="X128">
        <v>0.13</v>
      </c>
      <c r="Y128">
        <v>11.68</v>
      </c>
      <c r="Z128" t="s">
        <v>3070</v>
      </c>
      <c r="AA128" t="s">
        <v>1925</v>
      </c>
      <c r="AB128" t="s">
        <v>5023</v>
      </c>
      <c r="AC128" t="s">
        <v>5024</v>
      </c>
      <c r="AD128" t="s">
        <v>19</v>
      </c>
      <c r="AE128">
        <v>3212814</v>
      </c>
      <c r="AF128" t="s">
        <v>5025</v>
      </c>
      <c r="AG128">
        <v>0.41</v>
      </c>
      <c r="AH128" t="s">
        <v>5026</v>
      </c>
      <c r="AI128" t="s">
        <v>247</v>
      </c>
      <c r="AJ128" t="s">
        <v>5027</v>
      </c>
      <c r="AK128" t="s">
        <v>19</v>
      </c>
      <c r="AL128" t="s">
        <v>5028</v>
      </c>
      <c r="AM128" t="s">
        <v>19</v>
      </c>
      <c r="AN128" t="s">
        <v>5029</v>
      </c>
      <c r="AO128" t="s">
        <v>1263</v>
      </c>
      <c r="AP128" t="s">
        <v>240</v>
      </c>
      <c r="AQ128" t="s">
        <v>224</v>
      </c>
      <c r="AR128" t="s">
        <v>19</v>
      </c>
      <c r="AS128" t="s">
        <v>5030</v>
      </c>
      <c r="AT128" t="s">
        <v>5031</v>
      </c>
      <c r="AU128" t="s">
        <v>5032</v>
      </c>
      <c r="AV128" t="s">
        <v>5033</v>
      </c>
      <c r="AW128" t="s">
        <v>5034</v>
      </c>
      <c r="AX128" t="s">
        <v>1787</v>
      </c>
      <c r="AY128" t="s">
        <v>1788</v>
      </c>
      <c r="AZ128" t="s">
        <v>1789</v>
      </c>
      <c r="BA128" t="s">
        <v>1790</v>
      </c>
      <c r="BB128" t="s">
        <v>1338</v>
      </c>
      <c r="BC128" t="s">
        <v>82</v>
      </c>
      <c r="BD128" t="s">
        <v>1791</v>
      </c>
      <c r="BE128" t="s">
        <v>1792</v>
      </c>
      <c r="BF128" t="s">
        <v>1793</v>
      </c>
      <c r="BG128" t="s">
        <v>1794</v>
      </c>
      <c r="BH128" t="s">
        <v>5035</v>
      </c>
      <c r="BI128" t="s">
        <v>5036</v>
      </c>
      <c r="BJ128" t="s">
        <v>1787</v>
      </c>
      <c r="BK128" t="s">
        <v>175</v>
      </c>
      <c r="BL128" t="s">
        <v>5037</v>
      </c>
      <c r="BM128" t="s">
        <v>82</v>
      </c>
      <c r="BN128">
        <v>7.67</v>
      </c>
      <c r="BO128">
        <v>14.17</v>
      </c>
      <c r="BP128">
        <v>14.75</v>
      </c>
      <c r="BQ128">
        <v>9.93</v>
      </c>
      <c r="BR128">
        <v>23.74</v>
      </c>
      <c r="BS128" t="s">
        <v>19</v>
      </c>
      <c r="BT128" t="s">
        <v>5038</v>
      </c>
      <c r="BU128" t="s">
        <v>1334</v>
      </c>
      <c r="BV128">
        <v>14.81</v>
      </c>
      <c r="BW128">
        <v>16.39</v>
      </c>
      <c r="BX128">
        <v>14.12</v>
      </c>
      <c r="BY128">
        <v>5.76</v>
      </c>
      <c r="BZ128">
        <v>6.06</v>
      </c>
      <c r="CA128">
        <v>4.3</v>
      </c>
      <c r="CB128">
        <v>-0.28999999999999998</v>
      </c>
      <c r="CC128" s="8">
        <v>-10.73</v>
      </c>
      <c r="CD128" s="9" t="s">
        <v>5039</v>
      </c>
      <c r="CE128" s="8" t="s">
        <v>5040</v>
      </c>
      <c r="CF128" s="8">
        <v>6.6547408540121369</v>
      </c>
      <c r="CG128" s="8">
        <v>2.7036421071243981</v>
      </c>
      <c r="CH128" s="8">
        <v>-0.86522632837295532</v>
      </c>
      <c r="CI128" s="8">
        <v>-5.9506561607122421E-2</v>
      </c>
      <c r="CJ128" s="9">
        <v>0.23476706445217133</v>
      </c>
      <c r="CK128" s="9">
        <v>0.28472748398780823</v>
      </c>
      <c r="CL128" s="9">
        <v>0.16443252563476563</v>
      </c>
      <c r="CM128" s="9">
        <v>-1.6879889965057373</v>
      </c>
      <c r="CN128" s="9">
        <v>0.32609444856643677</v>
      </c>
      <c r="CO128">
        <v>0.15029905736446381</v>
      </c>
      <c r="CP128">
        <v>0.46750599145889282</v>
      </c>
      <c r="CQ128">
        <v>-5.1216378808021545E-2</v>
      </c>
      <c r="CR128" s="8">
        <v>35.843228069905038</v>
      </c>
      <c r="CS128" s="9">
        <v>7.4423509945449169</v>
      </c>
      <c r="CT128">
        <v>1.9665683382497543</v>
      </c>
      <c r="CU128">
        <v>-4.8161163181066516E-2</v>
      </c>
      <c r="CV128">
        <v>-0.1590611755847931</v>
      </c>
      <c r="CW128">
        <v>0.06</v>
      </c>
      <c r="CX128" t="e">
        <v>#VALUE!</v>
      </c>
      <c r="CY128" t="s">
        <v>1249</v>
      </c>
      <c r="CZ128">
        <v>-4.8161163181066516E-2</v>
      </c>
      <c r="DA128" t="e">
        <v>#VALUE!</v>
      </c>
      <c r="DB128" t="s">
        <v>1249</v>
      </c>
      <c r="DC128">
        <v>-4.5753105022013185E-2</v>
      </c>
      <c r="DD128" t="e">
        <v>#VALUE!</v>
      </c>
      <c r="DE128" t="s">
        <v>1249</v>
      </c>
      <c r="DF128">
        <v>-4.2381823599338536E-2</v>
      </c>
      <c r="DG128" t="e">
        <v>#VALUE!</v>
      </c>
      <c r="DH128" t="s">
        <v>1249</v>
      </c>
      <c r="DI128">
        <v>-3.8528930544853214E-2</v>
      </c>
      <c r="DJ128" t="e">
        <v>#VALUE!</v>
      </c>
      <c r="DK128" t="s">
        <v>1249</v>
      </c>
      <c r="DL128">
        <v>-3.371281422674656E-2</v>
      </c>
      <c r="DM128">
        <v>-81182700</v>
      </c>
      <c r="DN128">
        <v>-4.8161163181066516E-2</v>
      </c>
      <c r="DO128">
        <v>2977432000</v>
      </c>
      <c r="DP128">
        <v>1041077000</v>
      </c>
      <c r="DQ128" s="10">
        <v>3960</v>
      </c>
      <c r="DR128">
        <v>6.7029020171932032</v>
      </c>
      <c r="DS128">
        <v>2.8627032827091914</v>
      </c>
      <c r="DT128">
        <v>-0.42333333333333339</v>
      </c>
      <c r="DU128">
        <v>9.0000000000000011E-2</v>
      </c>
      <c r="DV128">
        <v>-0.33333333333333337</v>
      </c>
      <c r="DW128">
        <v>-2.1073</v>
      </c>
      <c r="DX128">
        <v>0.39931581038412589</v>
      </c>
      <c r="DY128">
        <v>-2.0149485864542167</v>
      </c>
      <c r="DZ128">
        <v>2813</v>
      </c>
      <c r="EA128">
        <v>-2.0067195505059368</v>
      </c>
      <c r="EB128" s="11">
        <v>2</v>
      </c>
      <c r="EC128" s="11">
        <v>2.1852223430251883E-2</v>
      </c>
      <c r="ED128">
        <v>0.15685386583188532</v>
      </c>
      <c r="EE128">
        <v>3.700000000000001E-3</v>
      </c>
      <c r="EF128">
        <v>1.9000000000000002E-3</v>
      </c>
      <c r="EG128">
        <v>26.139315810384126</v>
      </c>
      <c r="EH128" s="13" t="s">
        <v>1261</v>
      </c>
      <c r="EI128">
        <v>0</v>
      </c>
      <c r="EJ128">
        <v>0</v>
      </c>
      <c r="EK128">
        <v>45470</v>
      </c>
      <c r="EL128">
        <v>-0.09</v>
      </c>
      <c r="EM128">
        <v>-4.7</v>
      </c>
      <c r="EN128" s="14">
        <v>4.0599999999999996</v>
      </c>
      <c r="EO128" s="14">
        <v>0.56000000000000005</v>
      </c>
      <c r="EP128" s="14">
        <v>-0.18</v>
      </c>
    </row>
    <row r="129" spans="1:146" ht="108">
      <c r="C129" s="6" t="str">
        <f>""&amp;CHAR(10)&amp;Basic_Fundamental_Information_Constructure(F129)&amp;CHAR(10)&amp;Basic_Fundamental_Information_Concatenate("")</f>
        <v xml:space="preserve">
市值67.504124亿, 利润1.23亿; PE21.3; 平均PE32.74; 平均PEG8.32, PB1.94; ROIC8.9633%; ROE7.66%; 股利率1.4572%; 毛利33.0567%; 净利8.71%; 上一年度营收增-81.03%, 利润增-55.43%; 当季营收增240.97%, 利润增-62.08%; 过往5年营收增-3.93%, 利润增3.02%
Income profile:
</v>
      </c>
      <c r="D129" s="5" t="s">
        <v>1795</v>
      </c>
      <c r="E129" t="s">
        <v>1796</v>
      </c>
      <c r="F129">
        <v>16.47</v>
      </c>
      <c r="G129">
        <v>0.06</v>
      </c>
      <c r="H129" t="s">
        <v>5041</v>
      </c>
      <c r="I129">
        <v>6750412400</v>
      </c>
      <c r="J129">
        <v>21.3</v>
      </c>
      <c r="K129">
        <v>1.94</v>
      </c>
      <c r="L129" t="s">
        <v>361</v>
      </c>
      <c r="M129" t="s">
        <v>5042</v>
      </c>
      <c r="N129" t="s">
        <v>5043</v>
      </c>
      <c r="O129" t="s">
        <v>1602</v>
      </c>
      <c r="P129" s="5">
        <v>1.04</v>
      </c>
      <c r="Q129" t="s">
        <v>466</v>
      </c>
      <c r="R129">
        <v>20815558</v>
      </c>
      <c r="S129">
        <v>5.5300000000000002E-2</v>
      </c>
      <c r="T129" t="s">
        <v>107</v>
      </c>
      <c r="U129">
        <v>135000000</v>
      </c>
      <c r="V129">
        <v>409861110</v>
      </c>
      <c r="W129">
        <v>1.23</v>
      </c>
      <c r="X129">
        <v>0.16</v>
      </c>
      <c r="Y129">
        <v>1.79</v>
      </c>
      <c r="Z129" t="s">
        <v>283</v>
      </c>
      <c r="AA129" t="s">
        <v>1485</v>
      </c>
      <c r="AB129" t="s">
        <v>5044</v>
      </c>
      <c r="AC129" t="s">
        <v>151</v>
      </c>
      <c r="AD129" t="s">
        <v>19</v>
      </c>
      <c r="AE129">
        <v>-4468303</v>
      </c>
      <c r="AF129" t="s">
        <v>5045</v>
      </c>
      <c r="AG129" t="s">
        <v>5046</v>
      </c>
      <c r="AH129" t="s">
        <v>5047</v>
      </c>
      <c r="AI129" t="s">
        <v>1660</v>
      </c>
      <c r="AJ129" t="s">
        <v>5048</v>
      </c>
      <c r="AK129" t="s">
        <v>5049</v>
      </c>
      <c r="AL129" t="s">
        <v>5050</v>
      </c>
      <c r="AM129" t="s">
        <v>19</v>
      </c>
      <c r="AN129" t="s">
        <v>5051</v>
      </c>
      <c r="AO129" t="s">
        <v>19</v>
      </c>
      <c r="AP129" t="s">
        <v>19</v>
      </c>
      <c r="AQ129" t="s">
        <v>158</v>
      </c>
      <c r="AR129" t="s">
        <v>19</v>
      </c>
      <c r="AS129" t="s">
        <v>2060</v>
      </c>
      <c r="AT129" t="s">
        <v>19</v>
      </c>
      <c r="AU129" t="s">
        <v>1983</v>
      </c>
      <c r="AV129" t="s">
        <v>5052</v>
      </c>
      <c r="AW129" t="s">
        <v>5053</v>
      </c>
      <c r="AX129" t="s">
        <v>1797</v>
      </c>
      <c r="AY129" t="s">
        <v>1799</v>
      </c>
      <c r="AZ129" t="s">
        <v>1800</v>
      </c>
      <c r="BA129" t="s">
        <v>1801</v>
      </c>
      <c r="BB129" t="s">
        <v>1802</v>
      </c>
      <c r="BC129" t="s">
        <v>1390</v>
      </c>
      <c r="BD129" t="s">
        <v>117</v>
      </c>
      <c r="BE129" t="s">
        <v>199</v>
      </c>
      <c r="BF129" t="s">
        <v>125</v>
      </c>
      <c r="BG129" t="s">
        <v>339</v>
      </c>
      <c r="BH129" t="s">
        <v>5054</v>
      </c>
      <c r="BI129" t="s">
        <v>321</v>
      </c>
      <c r="BJ129" t="s">
        <v>1797</v>
      </c>
      <c r="BK129" t="s">
        <v>130</v>
      </c>
      <c r="BL129" t="s">
        <v>5055</v>
      </c>
      <c r="BM129" t="s">
        <v>1390</v>
      </c>
      <c r="BN129">
        <v>4</v>
      </c>
      <c r="BO129">
        <v>10.78</v>
      </c>
      <c r="BP129">
        <v>12.11</v>
      </c>
      <c r="BQ129">
        <v>4.2699999999999996</v>
      </c>
      <c r="BR129">
        <v>11.05</v>
      </c>
      <c r="BS129" t="s">
        <v>19</v>
      </c>
      <c r="BT129" t="s">
        <v>3026</v>
      </c>
      <c r="BU129" t="s">
        <v>1234</v>
      </c>
      <c r="BV129">
        <v>33.74</v>
      </c>
      <c r="BW129">
        <v>32.92</v>
      </c>
      <c r="BX129">
        <v>32.51</v>
      </c>
      <c r="BY129">
        <v>8.65</v>
      </c>
      <c r="BZ129">
        <v>8.6300000000000008</v>
      </c>
      <c r="CA129">
        <v>8.85</v>
      </c>
      <c r="CB129">
        <v>-2.6</v>
      </c>
      <c r="CC129" s="8">
        <v>-8.35</v>
      </c>
      <c r="CD129" s="9" t="s">
        <v>5056</v>
      </c>
      <c r="CE129" s="8" t="s">
        <v>5057</v>
      </c>
      <c r="CF129" s="8">
        <v>2.409691629955947</v>
      </c>
      <c r="CG129" s="8">
        <v>-0.62084041297505244</v>
      </c>
      <c r="CH129" s="8">
        <v>-0.81028664112091064</v>
      </c>
      <c r="CI129" s="8">
        <v>3.5807877779006958E-2</v>
      </c>
      <c r="CJ129" s="9">
        <v>0.23783783614635468</v>
      </c>
      <c r="CK129" s="9">
        <v>8.908950537443161E-2</v>
      </c>
      <c r="CL129" s="9">
        <v>0.25085914134979248</v>
      </c>
      <c r="CM129" s="9">
        <v>-0.55434781312942505</v>
      </c>
      <c r="CN129" s="9">
        <v>-1.075268816202879E-2</v>
      </c>
      <c r="CO129">
        <v>0.20258620381355286</v>
      </c>
      <c r="CP129">
        <v>0.28888890147209167</v>
      </c>
      <c r="CQ129">
        <v>0.22448979318141937</v>
      </c>
      <c r="CR129" s="8">
        <v>32.742501535974135</v>
      </c>
      <c r="CS129" s="9">
        <v>8.3232807758176222</v>
      </c>
      <c r="CT129">
        <v>1.4571948998178508</v>
      </c>
      <c r="CU129">
        <v>-3.9338456094264986E-2</v>
      </c>
      <c r="CV129">
        <v>3.0172879435122014E-2</v>
      </c>
      <c r="CW129">
        <v>0.06</v>
      </c>
      <c r="CX129">
        <v>35.588718699186991</v>
      </c>
      <c r="CY129" t="s">
        <v>5058</v>
      </c>
      <c r="CZ129">
        <v>-3.9338456094264986E-2</v>
      </c>
      <c r="DA129">
        <v>11.862906233062331</v>
      </c>
      <c r="DB129" t="s">
        <v>5059</v>
      </c>
      <c r="DC129">
        <v>-3.7371533289551735E-2</v>
      </c>
      <c r="DD129">
        <v>5.9314531165311655</v>
      </c>
      <c r="DE129" t="s">
        <v>5060</v>
      </c>
      <c r="DF129">
        <v>-3.4617841362953185E-2</v>
      </c>
      <c r="DG129">
        <v>3.5588718699186992</v>
      </c>
      <c r="DH129" t="s">
        <v>5061</v>
      </c>
      <c r="DI129">
        <v>-3.1470764875411991E-2</v>
      </c>
      <c r="DJ129">
        <v>1.7794359349593496</v>
      </c>
      <c r="DK129" t="s">
        <v>5062</v>
      </c>
      <c r="DL129">
        <v>-2.7536919265985487E-2</v>
      </c>
      <c r="DM129">
        <v>123000000</v>
      </c>
      <c r="DN129">
        <v>-3.9338456094264986E-2</v>
      </c>
      <c r="DO129">
        <v>4377412400</v>
      </c>
      <c r="DP129">
        <v>2331593800</v>
      </c>
      <c r="DQ129" s="10">
        <v>3965</v>
      </c>
      <c r="DR129">
        <v>2.4490300860502119</v>
      </c>
      <c r="DS129">
        <v>-0.65101329241017447</v>
      </c>
      <c r="DT129">
        <v>-0.54</v>
      </c>
      <c r="DU129">
        <v>-0.25666666666666677</v>
      </c>
      <c r="DV129">
        <v>-0.79666666666666686</v>
      </c>
      <c r="DW129">
        <v>-8.3113772455089823</v>
      </c>
      <c r="DX129">
        <v>0.25897694885579459</v>
      </c>
      <c r="DY129">
        <v>-8.0277053972485106</v>
      </c>
      <c r="DZ129">
        <v>1878</v>
      </c>
      <c r="EA129">
        <v>-8.0175232571246937</v>
      </c>
      <c r="EB129" s="11">
        <v>8</v>
      </c>
      <c r="EC129" s="11">
        <v>1.2994645917979386E-2</v>
      </c>
      <c r="ED129">
        <v>0.14604508341862443</v>
      </c>
      <c r="EE129">
        <v>-1.0591999999999999</v>
      </c>
      <c r="EF129">
        <v>-1.0522</v>
      </c>
      <c r="EG129">
        <v>17.088976948855795</v>
      </c>
      <c r="EH129" s="13" t="s">
        <v>1250</v>
      </c>
      <c r="EI129">
        <v>0</v>
      </c>
      <c r="EJ129">
        <v>0</v>
      </c>
      <c r="EK129">
        <v>45470</v>
      </c>
      <c r="EL129">
        <v>0.69</v>
      </c>
      <c r="EM129">
        <v>-4.79</v>
      </c>
      <c r="EN129" s="14">
        <v>1.17</v>
      </c>
      <c r="EO129" s="14">
        <v>2.2200000000000002</v>
      </c>
      <c r="EP129" s="14">
        <v>-0.7</v>
      </c>
    </row>
    <row r="130" spans="1:146" ht="108">
      <c r="A130" s="6"/>
      <c r="B130" s="6"/>
      <c r="C130" s="6" t="str">
        <f>""&amp;CHAR(10)&amp;Basic_Fundamental_Information_Constructure(F130)&amp;CHAR(10)&amp;Basic_Fundamental_Information_Concatenate("")</f>
        <v xml:space="preserve">
市值25.14亿, 利润2.71亿; PE20.92; 平均PE21.32; 平均PEG.98, PB2.3; ROIC17.4267%; ROE22.0567%; 股利率3.1822%; 毛利14.6633%; 净利7.2767%; 上一年度营收增40.72%, 利润增120.33%; 当季营收增-34.75%, 利润增-78.16%; 过往5年营收增21.82%, 利润增58.97%
Income profile:
</v>
      </c>
      <c r="D130" t="s">
        <v>1434</v>
      </c>
      <c r="E130" t="s">
        <v>1435</v>
      </c>
      <c r="F130">
        <v>25.14</v>
      </c>
      <c r="G130">
        <v>-0.12</v>
      </c>
      <c r="H130" t="s">
        <v>5063</v>
      </c>
      <c r="I130">
        <v>2514000000</v>
      </c>
      <c r="J130">
        <v>20.92</v>
      </c>
      <c r="K130">
        <v>2.2999999999999998</v>
      </c>
      <c r="L130" t="s">
        <v>361</v>
      </c>
      <c r="M130" t="s">
        <v>417</v>
      </c>
      <c r="N130" t="s">
        <v>4817</v>
      </c>
      <c r="O130" t="s">
        <v>95</v>
      </c>
      <c r="P130">
        <v>-15.91</v>
      </c>
      <c r="Q130" t="s">
        <v>5064</v>
      </c>
      <c r="R130">
        <v>17806680</v>
      </c>
      <c r="S130">
        <v>-0.50839999999999996</v>
      </c>
      <c r="T130" t="s">
        <v>278</v>
      </c>
      <c r="U130">
        <v>35002750</v>
      </c>
      <c r="V130">
        <v>100000000</v>
      </c>
      <c r="W130">
        <v>1.68</v>
      </c>
      <c r="X130">
        <v>0.19</v>
      </c>
      <c r="Y130">
        <v>5.0199999999999996</v>
      </c>
      <c r="Z130" t="s">
        <v>2919</v>
      </c>
      <c r="AA130" t="s">
        <v>1619</v>
      </c>
      <c r="AB130" t="s">
        <v>1954</v>
      </c>
      <c r="AC130" t="s">
        <v>5065</v>
      </c>
      <c r="AD130" t="s">
        <v>19</v>
      </c>
      <c r="AE130">
        <v>-1019556</v>
      </c>
      <c r="AF130" t="s">
        <v>5066</v>
      </c>
      <c r="AG130">
        <v>2465.8200000000002</v>
      </c>
      <c r="AH130" t="s">
        <v>5067</v>
      </c>
      <c r="AI130" t="s">
        <v>3233</v>
      </c>
      <c r="AJ130" t="s">
        <v>5068</v>
      </c>
      <c r="AK130" t="s">
        <v>5069</v>
      </c>
      <c r="AL130" t="s">
        <v>5070</v>
      </c>
      <c r="AM130" t="s">
        <v>19</v>
      </c>
      <c r="AN130" t="s">
        <v>5071</v>
      </c>
      <c r="AO130" t="s">
        <v>19</v>
      </c>
      <c r="AP130" t="s">
        <v>19</v>
      </c>
      <c r="AQ130" t="s">
        <v>1128</v>
      </c>
      <c r="AR130" t="s">
        <v>19</v>
      </c>
      <c r="AS130" t="s">
        <v>318</v>
      </c>
      <c r="AT130" t="s">
        <v>19</v>
      </c>
      <c r="AU130" t="s">
        <v>5072</v>
      </c>
      <c r="AV130" t="s">
        <v>5073</v>
      </c>
      <c r="AW130" t="s">
        <v>5074</v>
      </c>
      <c r="AX130" t="s">
        <v>1473</v>
      </c>
      <c r="AY130" t="s">
        <v>830</v>
      </c>
      <c r="AZ130" t="s">
        <v>845</v>
      </c>
      <c r="BA130" t="s">
        <v>1436</v>
      </c>
      <c r="BB130" t="s">
        <v>1335</v>
      </c>
      <c r="BC130" t="s">
        <v>107</v>
      </c>
      <c r="BD130" t="s">
        <v>87</v>
      </c>
      <c r="BE130" t="s">
        <v>1437</v>
      </c>
      <c r="BF130" t="s">
        <v>1438</v>
      </c>
      <c r="BG130" t="s">
        <v>1439</v>
      </c>
      <c r="BH130" t="s">
        <v>1781</v>
      </c>
      <c r="BI130" t="s">
        <v>2226</v>
      </c>
      <c r="BJ130" t="s">
        <v>1473</v>
      </c>
      <c r="BK130" t="s">
        <v>68</v>
      </c>
      <c r="BL130" t="s">
        <v>5075</v>
      </c>
      <c r="BM130" t="s">
        <v>107</v>
      </c>
      <c r="BN130">
        <v>10.37</v>
      </c>
      <c r="BO130">
        <v>15.67</v>
      </c>
      <c r="BP130">
        <v>26.24</v>
      </c>
      <c r="BQ130">
        <v>11.39</v>
      </c>
      <c r="BR130">
        <v>21.19</v>
      </c>
      <c r="BS130">
        <v>33.590000000000003</v>
      </c>
      <c r="BT130" t="s">
        <v>5076</v>
      </c>
      <c r="BU130" t="s">
        <v>1336</v>
      </c>
      <c r="BV130">
        <v>13.44</v>
      </c>
      <c r="BW130">
        <v>15.44</v>
      </c>
      <c r="BX130">
        <v>15.11</v>
      </c>
      <c r="BY130">
        <v>6.97</v>
      </c>
      <c r="BZ130">
        <v>7.56</v>
      </c>
      <c r="CA130">
        <v>7.3</v>
      </c>
      <c r="CB130">
        <v>-2.56</v>
      </c>
      <c r="CC130">
        <v>-8.35</v>
      </c>
      <c r="CD130" t="s">
        <v>5077</v>
      </c>
      <c r="CE130" t="s">
        <v>5078</v>
      </c>
      <c r="CF130" s="8">
        <v>-0.34750462107208874</v>
      </c>
      <c r="CG130" s="9">
        <v>-0.78159057708370894</v>
      </c>
      <c r="CH130" s="8">
        <v>0.40724819898605347</v>
      </c>
      <c r="CI130" s="8">
        <v>-4.3478261679410934E-2</v>
      </c>
      <c r="CJ130" s="8">
        <v>0.55291968584060669</v>
      </c>
      <c r="CK130" s="8">
        <v>0.17344753444194794</v>
      </c>
      <c r="CL130" s="8">
        <v>1.0718113044276834E-3</v>
      </c>
      <c r="CM130" s="9">
        <v>1.2032520771026611</v>
      </c>
      <c r="CN130" s="9">
        <v>-8.0645158886909485E-3</v>
      </c>
      <c r="CO130" s="9">
        <v>0.51710343360900879</v>
      </c>
      <c r="CP130" s="9">
        <v>0.11435343325138092</v>
      </c>
      <c r="CQ130" s="9">
        <v>1.1217008829116821</v>
      </c>
      <c r="CR130">
        <v>21.315564898504476</v>
      </c>
      <c r="CS130">
        <v>0.97669490932228575</v>
      </c>
      <c r="CT130">
        <v>3.1821797931583133</v>
      </c>
      <c r="CU130" s="8">
        <v>0.21824179377872496</v>
      </c>
      <c r="CV130" s="9">
        <v>0.58966906219720838</v>
      </c>
      <c r="CW130">
        <v>0.06</v>
      </c>
      <c r="CX130">
        <v>7.1470733585882504</v>
      </c>
      <c r="CY130">
        <v>311456156.71135324</v>
      </c>
      <c r="CZ130">
        <v>0.21824179377872496</v>
      </c>
      <c r="DA130">
        <v>2.0986796262427272</v>
      </c>
      <c r="DB130">
        <v>1060666893.6817263</v>
      </c>
      <c r="DC130">
        <v>0.20732970408978871</v>
      </c>
      <c r="DD130">
        <v>0.88970766238215337</v>
      </c>
      <c r="DE130">
        <v>2501945407.5959988</v>
      </c>
      <c r="DF130">
        <v>0.19205277852527797</v>
      </c>
      <c r="DG130">
        <v>0.44734574796779536</v>
      </c>
      <c r="DH130">
        <v>4976016895.4601326</v>
      </c>
      <c r="DI130">
        <v>0.17459343502297997</v>
      </c>
      <c r="DJ130">
        <v>0.15179768437656341</v>
      </c>
      <c r="DK130">
        <v>14664255315.502562</v>
      </c>
      <c r="DL130">
        <v>0.15276925564510746</v>
      </c>
      <c r="DM130">
        <v>271000000</v>
      </c>
      <c r="DN130">
        <v>0.21824179377872496</v>
      </c>
      <c r="DO130">
        <v>2226000000</v>
      </c>
      <c r="DP130">
        <v>1002146600</v>
      </c>
      <c r="DQ130">
        <v>3973</v>
      </c>
      <c r="DR130">
        <v>-0.56574641485081367</v>
      </c>
      <c r="DS130">
        <v>-1.3712596392809173</v>
      </c>
      <c r="DT130" s="10">
        <v>-2.3333333333333355E-2</v>
      </c>
      <c r="DU130">
        <v>0.22666666666666666</v>
      </c>
      <c r="DV130">
        <v>0.20333333333333331</v>
      </c>
      <c r="DW130">
        <v>-8.3065868263473046</v>
      </c>
      <c r="DX130">
        <v>0.27625561637121021</v>
      </c>
      <c r="DY130">
        <v>-8.0172472308874614</v>
      </c>
      <c r="DZ130">
        <v>1106</v>
      </c>
      <c r="EA130">
        <v>-8.0135142685857925</v>
      </c>
      <c r="EB130">
        <v>8</v>
      </c>
      <c r="EC130">
        <v>1.1018E-2</v>
      </c>
      <c r="ED130">
        <v>0.195856</v>
      </c>
      <c r="EE130" s="11">
        <v>1.0851999999999999</v>
      </c>
      <c r="EF130">
        <v>1.06</v>
      </c>
      <c r="EG130">
        <v>22.05625561637121</v>
      </c>
      <c r="EH130" t="s">
        <v>1262</v>
      </c>
      <c r="EI130">
        <v>0</v>
      </c>
      <c r="EJ130">
        <v>1</v>
      </c>
      <c r="EK130" s="13">
        <v>45470</v>
      </c>
      <c r="EL130" s="14">
        <v>1.75</v>
      </c>
      <c r="EM130" s="14">
        <v>-3.54</v>
      </c>
      <c r="EN130" s="14">
        <v>-0.33</v>
      </c>
      <c r="EO130" s="14">
        <v>1.9</v>
      </c>
      <c r="EP130" s="14">
        <v>-2.52</v>
      </c>
    </row>
    <row r="131" spans="1:146" ht="180">
      <c r="A131" s="6"/>
      <c r="B131" s="6"/>
      <c r="C131" s="6" t="str">
        <f>"公司主要从事公路、市政、房屋建筑工程施工及相关建筑材料销售、勘察设计、试验检测。公司以河北省为重点，深耕京津冀协同发展、雄安新区基础设施建设过程中的业务机会，与此同时不断开拓省外市场，工程施工项目覆盖十余个省市，具备全国范围内公路、市政工程施工能力和经验。"&amp;CHAR(10)&amp;Basic_Fundamental_Information_Constructure(F131)&amp;CHAR(10)&amp;Basic_Fundamental_Information_Concatenate("建造合同 20.51亿 86.60% 87.13% 14.63%
商品销售 3.03亿 12.79% 11.43% 12.99%")</f>
        <v>公司主要从事公路、市政、房屋建筑工程施工及相关建筑材料销售、勘察设计、试验检测。公司以河北省为重点，深耕京津冀协同发展、雄安新区基础设施建设过程中的业务机会，与此同时不断开拓省外市场，工程施工项目覆盖十余个省市，具备全国范围内公路、市政工程施工能力和经验。
市值17.266749亿, 利润-4842.48万; PE41.48; 平均PE32.14; 平均PEG14.98, PB1.73; ROIC3.7967%; ROE7.0167%; 股利率.5405%; 毛利15.8333%; 净利2.77%; 上一年度营收增-70.1%, 利润增-165.54%; 当季营收增52.13%, 利润增-3553.46%; 过往5年营收增-2.15%, 利润增12.85%
Income profile:
建造合同 20.51亿 86.60% 87.13% 14.63%
商品销售 3.03亿 12.79% 11.43% 12.99%</v>
      </c>
      <c r="D131" t="s">
        <v>1212</v>
      </c>
      <c r="E131" t="s">
        <v>1213</v>
      </c>
      <c r="F131">
        <v>3.7</v>
      </c>
      <c r="G131">
        <v>1.37</v>
      </c>
      <c r="H131" t="s">
        <v>5079</v>
      </c>
      <c r="I131">
        <v>1726674900</v>
      </c>
      <c r="J131">
        <v>41.48</v>
      </c>
      <c r="K131">
        <v>1.73</v>
      </c>
      <c r="L131" t="s">
        <v>361</v>
      </c>
      <c r="M131" t="s">
        <v>5080</v>
      </c>
      <c r="N131" t="s">
        <v>1855</v>
      </c>
      <c r="O131" t="s">
        <v>1125</v>
      </c>
      <c r="P131">
        <v>-29.14</v>
      </c>
      <c r="Q131" t="s">
        <v>2054</v>
      </c>
      <c r="R131">
        <v>-40098114</v>
      </c>
      <c r="S131" s="5">
        <v>-0.8296</v>
      </c>
      <c r="T131" t="s">
        <v>5081</v>
      </c>
      <c r="U131">
        <v>150002220</v>
      </c>
      <c r="V131">
        <v>466668880</v>
      </c>
      <c r="W131">
        <v>4.93</v>
      </c>
      <c r="X131">
        <v>0.06</v>
      </c>
      <c r="Y131">
        <v>-13.11</v>
      </c>
      <c r="Z131" t="s">
        <v>316</v>
      </c>
      <c r="AA131" t="s">
        <v>1835</v>
      </c>
      <c r="AB131" t="s">
        <v>19</v>
      </c>
      <c r="AC131" t="s">
        <v>5082</v>
      </c>
      <c r="AD131" t="s">
        <v>19</v>
      </c>
      <c r="AE131">
        <v>18748407</v>
      </c>
      <c r="AF131" t="s">
        <v>5083</v>
      </c>
      <c r="AG131" t="s">
        <v>1656</v>
      </c>
      <c r="AH131" t="s">
        <v>5084</v>
      </c>
      <c r="AI131" t="s">
        <v>1937</v>
      </c>
      <c r="AJ131" t="s">
        <v>5085</v>
      </c>
      <c r="AK131" t="s">
        <v>1982</v>
      </c>
      <c r="AL131" t="s">
        <v>5086</v>
      </c>
      <c r="AM131" t="s">
        <v>19</v>
      </c>
      <c r="AN131">
        <v>0</v>
      </c>
      <c r="AO131" t="s">
        <v>2423</v>
      </c>
      <c r="AP131" t="s">
        <v>106</v>
      </c>
      <c r="AQ131" t="s">
        <v>1855</v>
      </c>
      <c r="AR131">
        <v>9537.84</v>
      </c>
      <c r="AS131" t="s">
        <v>5087</v>
      </c>
      <c r="AT131" t="s">
        <v>1967</v>
      </c>
      <c r="AU131" t="s">
        <v>5088</v>
      </c>
      <c r="AV131" t="s">
        <v>5089</v>
      </c>
      <c r="AW131" t="s">
        <v>185</v>
      </c>
      <c r="AX131" t="s">
        <v>1803</v>
      </c>
      <c r="AY131" t="s">
        <v>1440</v>
      </c>
      <c r="AZ131" t="s">
        <v>1215</v>
      </c>
      <c r="BA131" t="s">
        <v>1216</v>
      </c>
      <c r="BB131" t="s">
        <v>1217</v>
      </c>
      <c r="BC131" t="s">
        <v>5090</v>
      </c>
      <c r="BD131" t="s">
        <v>1214</v>
      </c>
      <c r="BE131" t="s">
        <v>1218</v>
      </c>
      <c r="BF131" t="s">
        <v>1219</v>
      </c>
      <c r="BG131" t="s">
        <v>1220</v>
      </c>
      <c r="BH131" t="s">
        <v>1008</v>
      </c>
      <c r="BI131" t="s">
        <v>1698</v>
      </c>
      <c r="BJ131" t="s">
        <v>1803</v>
      </c>
      <c r="BK131" t="s">
        <v>5091</v>
      </c>
      <c r="BL131" t="s">
        <v>5092</v>
      </c>
      <c r="BM131" t="s">
        <v>5090</v>
      </c>
      <c r="BN131">
        <v>1.64</v>
      </c>
      <c r="BO131">
        <v>4.1100000000000003</v>
      </c>
      <c r="BP131">
        <v>5.64</v>
      </c>
      <c r="BQ131">
        <v>2.7</v>
      </c>
      <c r="BR131">
        <v>7.5</v>
      </c>
      <c r="BS131">
        <v>10.85</v>
      </c>
      <c r="BT131" t="s">
        <v>1579</v>
      </c>
      <c r="BU131" t="s">
        <v>1342</v>
      </c>
      <c r="BV131">
        <v>16.73</v>
      </c>
      <c r="BW131">
        <v>16.23</v>
      </c>
      <c r="BX131">
        <v>14.54</v>
      </c>
      <c r="BY131">
        <v>1.98</v>
      </c>
      <c r="BZ131">
        <v>2.82</v>
      </c>
      <c r="CA131">
        <v>3.51</v>
      </c>
      <c r="CB131">
        <v>-0.27</v>
      </c>
      <c r="CC131">
        <v>-20.43</v>
      </c>
      <c r="CD131" t="s">
        <v>5093</v>
      </c>
      <c r="CE131" t="s">
        <v>5094</v>
      </c>
      <c r="CF131" s="8">
        <v>0.52132701421800953</v>
      </c>
      <c r="CG131" s="9">
        <v>-35.534591335802254</v>
      </c>
      <c r="CH131" s="8">
        <v>-0.70097672939300537</v>
      </c>
      <c r="CI131" s="8">
        <v>0.12415546178817749</v>
      </c>
      <c r="CJ131" s="8">
        <v>-1.2510478496551514E-2</v>
      </c>
      <c r="CK131" s="8">
        <v>-3.7390675861388445E-3</v>
      </c>
      <c r="CL131" s="8">
        <v>0.48580250144004822</v>
      </c>
      <c r="CM131" s="9">
        <v>-1.6554183959960937</v>
      </c>
      <c r="CN131" s="9">
        <v>-0.11792855709791183</v>
      </c>
      <c r="CO131" s="9">
        <v>-0.13048852980136871</v>
      </c>
      <c r="CP131" s="9">
        <v>6.1651308089494705E-2</v>
      </c>
      <c r="CQ131" s="9">
        <v>2.4845812320709229</v>
      </c>
      <c r="CR131">
        <v>32.141106852538172</v>
      </c>
      <c r="CS131">
        <v>14.981640980044522</v>
      </c>
      <c r="CT131">
        <v>0.54054054054054057</v>
      </c>
      <c r="CU131" s="8">
        <v>-2.1453662449494003E-2</v>
      </c>
      <c r="CV131" s="9">
        <v>0.12847941145300865</v>
      </c>
      <c r="CW131">
        <v>0.06</v>
      </c>
      <c r="CX131" t="e">
        <v>#VALUE!</v>
      </c>
      <c r="CY131" t="s">
        <v>1248</v>
      </c>
      <c r="CZ131">
        <v>-2.1453662449494003E-2</v>
      </c>
      <c r="DA131" t="e">
        <v>#VALUE!</v>
      </c>
      <c r="DB131" t="s">
        <v>1249</v>
      </c>
      <c r="DC131">
        <v>-2.0380979327019301E-2</v>
      </c>
      <c r="DD131" t="e">
        <v>#VALUE!</v>
      </c>
      <c r="DE131" t="s">
        <v>1249</v>
      </c>
      <c r="DF131">
        <v>-1.8879222955554723E-2</v>
      </c>
      <c r="DG131" t="e">
        <v>#VALUE!</v>
      </c>
      <c r="DH131" t="s">
        <v>1249</v>
      </c>
      <c r="DI131">
        <v>-1.7162929959595202E-2</v>
      </c>
      <c r="DJ131" t="e">
        <v>#VALUE!</v>
      </c>
      <c r="DK131" t="s">
        <v>1249</v>
      </c>
      <c r="DL131">
        <v>-1.50175637146458E-2</v>
      </c>
      <c r="DM131">
        <v>-48424799.999999993</v>
      </c>
      <c r="DN131">
        <v>-2.1453662449494003E-2</v>
      </c>
      <c r="DO131">
        <v>4892674900</v>
      </c>
      <c r="DP131">
        <v>1126059000</v>
      </c>
      <c r="DQ131">
        <v>3983</v>
      </c>
      <c r="DR131">
        <v>0.54278067666750351</v>
      </c>
      <c r="DS131">
        <v>-35.663070747255261</v>
      </c>
      <c r="DT131" s="10">
        <v>-0.67333333333333334</v>
      </c>
      <c r="DU131">
        <v>-1.2233333333333334</v>
      </c>
      <c r="DV131">
        <v>-1.8966666666666667</v>
      </c>
      <c r="DW131">
        <v>-3.0501011904761905</v>
      </c>
      <c r="DX131">
        <v>0.33369382866361846</v>
      </c>
      <c r="DY131">
        <v>-3.0071992318801293</v>
      </c>
      <c r="DZ131">
        <v>63</v>
      </c>
      <c r="EA131">
        <v>-3.0071104742268124</v>
      </c>
      <c r="EB131">
        <v>3</v>
      </c>
      <c r="EC131">
        <v>2.4893453362478338E-2</v>
      </c>
      <c r="ED131">
        <v>0.1732395354924888</v>
      </c>
      <c r="EE131" s="11">
        <v>4.0862100000000003</v>
      </c>
      <c r="EF131">
        <v>4.1055099999999998</v>
      </c>
      <c r="EG131">
        <v>19.143693828663618</v>
      </c>
      <c r="EH131" t="s">
        <v>1260</v>
      </c>
      <c r="EI131">
        <v>0</v>
      </c>
      <c r="EJ131">
        <v>1</v>
      </c>
      <c r="EK131" s="13">
        <v>45470</v>
      </c>
      <c r="EL131" s="14">
        <v>0.4</v>
      </c>
      <c r="EM131" s="14">
        <v>-5.6</v>
      </c>
      <c r="EN131" s="14">
        <v>1.21</v>
      </c>
      <c r="EO131" s="14">
        <v>2.2400000000000002</v>
      </c>
      <c r="EP131" s="14">
        <v>-1.93</v>
      </c>
    </row>
    <row r="132" spans="1:146" ht="108">
      <c r="A132" s="6"/>
      <c r="B132" s="6"/>
      <c r="C132" s="6" t="str">
        <f>""&amp;CHAR(10)&amp;Basic_Fundamental_Information_Constructure(F132)&amp;CHAR(10)&amp;Basic_Fundamental_Information_Concatenate("")</f>
        <v xml:space="preserve">
市值9.6984888亿, 利润4.57亿; PE; 平均PE10.53; 平均PEG.17, PB1.3; ROIC2.02%; ROE-2.7167%; 股利率0%; 毛利9.09%; 净利-9.7433%; 上一年度营收增293.62%, 利润增925.03%; 当季营收增-93.37%, 利润增-102.26%; 过往5年营收增62.63%, 利润增102.59%
Income profile:
</v>
      </c>
      <c r="D132" t="s">
        <v>1016</v>
      </c>
      <c r="E132" t="s">
        <v>1017</v>
      </c>
      <c r="F132">
        <v>3.67</v>
      </c>
      <c r="G132">
        <v>1.66</v>
      </c>
      <c r="H132" t="s">
        <v>5095</v>
      </c>
      <c r="I132">
        <v>969848880</v>
      </c>
      <c r="K132">
        <v>1.3</v>
      </c>
      <c r="L132" t="s">
        <v>361</v>
      </c>
      <c r="M132" t="s">
        <v>5096</v>
      </c>
      <c r="N132" t="s">
        <v>224</v>
      </c>
      <c r="O132" t="s">
        <v>5097</v>
      </c>
      <c r="P132">
        <v>-53.24</v>
      </c>
      <c r="Q132" t="s">
        <v>3684</v>
      </c>
      <c r="R132">
        <v>-2889934</v>
      </c>
      <c r="S132" s="5">
        <v>7.8799999999999995E-2</v>
      </c>
      <c r="T132" t="s">
        <v>88</v>
      </c>
      <c r="U132">
        <v>264264000</v>
      </c>
      <c r="V132">
        <v>264264000</v>
      </c>
      <c r="W132">
        <v>3.53</v>
      </c>
      <c r="X132">
        <v>0.02</v>
      </c>
      <c r="Y132">
        <v>-5.45</v>
      </c>
      <c r="Z132" t="s">
        <v>5098</v>
      </c>
      <c r="AA132" t="s">
        <v>5099</v>
      </c>
      <c r="AB132">
        <v>0</v>
      </c>
      <c r="AC132" t="s">
        <v>5100</v>
      </c>
      <c r="AD132" t="s">
        <v>19</v>
      </c>
      <c r="AE132">
        <v>-7374349</v>
      </c>
      <c r="AF132" t="s">
        <v>5101</v>
      </c>
      <c r="AG132">
        <v>0</v>
      </c>
      <c r="AH132" t="s">
        <v>5102</v>
      </c>
      <c r="AI132" t="s">
        <v>5103</v>
      </c>
      <c r="AJ132" t="s">
        <v>5104</v>
      </c>
      <c r="AK132" t="s">
        <v>5105</v>
      </c>
      <c r="AL132" t="s">
        <v>5106</v>
      </c>
      <c r="AM132" t="s">
        <v>19</v>
      </c>
      <c r="AN132">
        <v>0</v>
      </c>
      <c r="AO132" t="s">
        <v>43</v>
      </c>
      <c r="AP132" t="s">
        <v>19</v>
      </c>
      <c r="AQ132" t="s">
        <v>5107</v>
      </c>
      <c r="AR132" t="s">
        <v>19</v>
      </c>
      <c r="AS132" t="s">
        <v>1629</v>
      </c>
      <c r="AT132" t="s">
        <v>1932</v>
      </c>
      <c r="AU132" t="s">
        <v>5108</v>
      </c>
      <c r="AV132" t="s">
        <v>5109</v>
      </c>
      <c r="AW132" t="s">
        <v>5110</v>
      </c>
      <c r="AX132" t="s">
        <v>214</v>
      </c>
      <c r="AY132" t="s">
        <v>1442</v>
      </c>
      <c r="AZ132" t="s">
        <v>364</v>
      </c>
      <c r="BA132" t="s">
        <v>1019</v>
      </c>
      <c r="BB132" t="s">
        <v>224</v>
      </c>
      <c r="BC132" t="s">
        <v>1805</v>
      </c>
      <c r="BD132" t="s">
        <v>1221</v>
      </c>
      <c r="BE132" t="s">
        <v>1018</v>
      </c>
      <c r="BF132" t="s">
        <v>1020</v>
      </c>
      <c r="BG132" t="s">
        <v>1021</v>
      </c>
      <c r="BH132" t="s">
        <v>1668</v>
      </c>
      <c r="BI132" t="s">
        <v>2750</v>
      </c>
      <c r="BJ132" t="s">
        <v>214</v>
      </c>
      <c r="BK132" t="s">
        <v>1997</v>
      </c>
      <c r="BL132" t="s">
        <v>42</v>
      </c>
      <c r="BM132" t="s">
        <v>1805</v>
      </c>
      <c r="BN132" t="s">
        <v>19</v>
      </c>
      <c r="BO132" t="s">
        <v>19</v>
      </c>
      <c r="BP132">
        <v>2.02</v>
      </c>
      <c r="BQ132">
        <v>-4.29</v>
      </c>
      <c r="BR132">
        <v>-6.25</v>
      </c>
      <c r="BS132">
        <v>2.39</v>
      </c>
      <c r="BT132" t="s">
        <v>1571</v>
      </c>
      <c r="BU132" t="s">
        <v>1334</v>
      </c>
      <c r="BV132">
        <v>3.87</v>
      </c>
      <c r="BW132">
        <v>9.35</v>
      </c>
      <c r="BX132">
        <v>14.05</v>
      </c>
      <c r="BY132">
        <v>-24.17</v>
      </c>
      <c r="BZ132">
        <v>-6.7</v>
      </c>
      <c r="CA132">
        <v>1.64</v>
      </c>
      <c r="CB132">
        <v>1.66</v>
      </c>
      <c r="CC132">
        <v>-19.16</v>
      </c>
      <c r="CD132" t="s">
        <v>5111</v>
      </c>
      <c r="CE132" t="s">
        <v>60</v>
      </c>
      <c r="CF132" s="8">
        <v>-0.93370130548302877</v>
      </c>
      <c r="CG132" s="9">
        <v>-1.0225776093750001</v>
      </c>
      <c r="CH132" s="8">
        <v>2.9362499713897705</v>
      </c>
      <c r="CI132" s="8">
        <v>-0.39117199182510376</v>
      </c>
      <c r="CJ132" s="8">
        <v>0.14559714496135712</v>
      </c>
      <c r="CK132" s="8">
        <v>0.26460868120193481</v>
      </c>
      <c r="CL132" s="8">
        <v>0.17639429867267609</v>
      </c>
      <c r="CM132" s="9">
        <v>9.2503042221069336</v>
      </c>
      <c r="CN132" s="9">
        <v>-3.5257008075714111</v>
      </c>
      <c r="CO132" s="9">
        <v>-0.47051295638084412</v>
      </c>
      <c r="CP132" s="9">
        <v>0.31352886557579041</v>
      </c>
      <c r="CQ132" s="9">
        <v>-0.43794816732406616</v>
      </c>
      <c r="CR132">
        <v>10.530456273248202</v>
      </c>
      <c r="CS132">
        <v>0.16812801191876653</v>
      </c>
      <c r="CT132">
        <v>0</v>
      </c>
      <c r="CU132" s="8">
        <v>0.62633562088012695</v>
      </c>
      <c r="CV132" s="9">
        <v>1.0259342312812805</v>
      </c>
      <c r="CW132">
        <v>0.06</v>
      </c>
      <c r="CX132">
        <v>3.2714801829197224</v>
      </c>
      <c r="CY132">
        <v>701165451.64360178</v>
      </c>
      <c r="CZ132">
        <v>0.62633562088012695</v>
      </c>
      <c r="DA132">
        <v>0.69946315167909479</v>
      </c>
      <c r="DB132">
        <v>3279442061.3773661</v>
      </c>
      <c r="DC132">
        <v>0.59501883983612058</v>
      </c>
      <c r="DD132">
        <v>0.18019174183198075</v>
      </c>
      <c r="DE132">
        <v>12730044433.106665</v>
      </c>
      <c r="DF132">
        <v>0.55117534637451171</v>
      </c>
      <c r="DG132">
        <v>4.6925646425344088E-2</v>
      </c>
      <c r="DH132">
        <v>48882627192.98661</v>
      </c>
      <c r="DI132">
        <v>0.50106849670410158</v>
      </c>
      <c r="DJ132">
        <v>2.9514269757226859E-3</v>
      </c>
      <c r="DK132">
        <v>777199943914.69861</v>
      </c>
      <c r="DL132">
        <v>0.43843493461608884</v>
      </c>
      <c r="DM132">
        <v>457000000</v>
      </c>
      <c r="DN132">
        <v>0.62633562088012695</v>
      </c>
      <c r="DO132">
        <v>2293848880</v>
      </c>
      <c r="DP132">
        <v>284863110</v>
      </c>
      <c r="DQ132">
        <v>4082</v>
      </c>
      <c r="DR132">
        <v>-1.5600369263631557</v>
      </c>
      <c r="DS132">
        <v>-2.0485118406562806</v>
      </c>
      <c r="DT132" s="10">
        <v>-7.3333333333333403E-2</v>
      </c>
      <c r="DU132">
        <v>-1.4316666666666666</v>
      </c>
      <c r="DV132">
        <v>-1.5050000000000001</v>
      </c>
      <c r="DW132">
        <v>-3.035738095238095</v>
      </c>
      <c r="DX132">
        <v>0.2911264285714289</v>
      </c>
      <c r="DY132">
        <v>-3.0050435897448979</v>
      </c>
      <c r="DZ132">
        <v>4495</v>
      </c>
      <c r="EA132">
        <v>-3.0006070073763431</v>
      </c>
      <c r="EB132">
        <v>3</v>
      </c>
      <c r="EC132">
        <v>7.4765007719553175E-2</v>
      </c>
      <c r="ED132">
        <v>0.52977325704598432</v>
      </c>
      <c r="EE132" s="11">
        <v>-5.0305999999999997</v>
      </c>
      <c r="EF132">
        <v>-5.0012100000000004</v>
      </c>
      <c r="EG132">
        <v>15.141126428571429</v>
      </c>
      <c r="EH132" t="s">
        <v>1939</v>
      </c>
      <c r="EI132">
        <v>0</v>
      </c>
      <c r="EJ132">
        <v>0</v>
      </c>
      <c r="EK132" s="13">
        <v>45470</v>
      </c>
      <c r="EL132" s="14">
        <v>1.9</v>
      </c>
      <c r="EM132" s="14">
        <v>-4.79</v>
      </c>
      <c r="EN132" s="14">
        <v>0.28000000000000003</v>
      </c>
      <c r="EO132" s="14">
        <v>5.01</v>
      </c>
      <c r="EP132" s="14">
        <v>-3.18</v>
      </c>
    </row>
    <row r="133" spans="1:146" ht="108">
      <c r="A133" s="6"/>
      <c r="B133" s="6"/>
      <c r="C133" s="6" t="str">
        <f>""&amp;CHAR(10)&amp;Basic_Fundamental_Information_Constructure(F133)&amp;CHAR(10)&amp;Basic_Fundamental_Information_Concatenate("")</f>
        <v xml:space="preserve">
市值48.339564亿, 利润3.25亿; PE10.14; 平均PE12.72; 平均PEG.42, PB1.37; ROIC12.7933%; ROE13.5267%; 股利率4.0603%; 毛利32.9033%; 净利15.6733%; 上一年度营收增91.89%, 利润增-26.64%; 当季营收增-24.09%, 利润增-6.58%; 过往5年营收增30.03%, 利润增-3.9%
Income profile:
</v>
      </c>
      <c r="D133" t="s">
        <v>1022</v>
      </c>
      <c r="E133" t="s">
        <v>5112</v>
      </c>
      <c r="F133">
        <v>8.6199999999999992</v>
      </c>
      <c r="G133">
        <v>0.94</v>
      </c>
      <c r="H133" t="s">
        <v>5113</v>
      </c>
      <c r="I133">
        <v>4833956400</v>
      </c>
      <c r="J133">
        <v>10.14</v>
      </c>
      <c r="K133">
        <v>1.37</v>
      </c>
      <c r="L133" t="s">
        <v>361</v>
      </c>
      <c r="M133" t="s">
        <v>1444</v>
      </c>
      <c r="N133" t="s">
        <v>5114</v>
      </c>
      <c r="O133" t="s">
        <v>5115</v>
      </c>
      <c r="P133">
        <v>19.54</v>
      </c>
      <c r="Q133" t="s">
        <v>5116</v>
      </c>
      <c r="R133">
        <v>112098717</v>
      </c>
      <c r="S133" s="5">
        <v>-9.3399999999999997E-2</v>
      </c>
      <c r="T133" t="s">
        <v>94</v>
      </c>
      <c r="U133">
        <v>550589280</v>
      </c>
      <c r="V133">
        <v>560783810</v>
      </c>
      <c r="W133">
        <v>1.69</v>
      </c>
      <c r="X133">
        <v>0.13</v>
      </c>
      <c r="Y133">
        <v>14.11</v>
      </c>
      <c r="Z133" t="s">
        <v>5117</v>
      </c>
      <c r="AA133" t="s">
        <v>147</v>
      </c>
      <c r="AB133" t="s">
        <v>5118</v>
      </c>
      <c r="AC133" t="s">
        <v>5119</v>
      </c>
      <c r="AD133" t="s">
        <v>19</v>
      </c>
      <c r="AE133">
        <v>-793009</v>
      </c>
      <c r="AF133" t="s">
        <v>5120</v>
      </c>
      <c r="AG133" t="s">
        <v>5121</v>
      </c>
      <c r="AH133" t="s">
        <v>5122</v>
      </c>
      <c r="AI133" t="s">
        <v>1452</v>
      </c>
      <c r="AJ133" t="s">
        <v>5123</v>
      </c>
      <c r="AK133" t="s">
        <v>5124</v>
      </c>
      <c r="AL133" t="s">
        <v>5125</v>
      </c>
      <c r="AM133" t="s">
        <v>19</v>
      </c>
      <c r="AN133">
        <v>0</v>
      </c>
      <c r="AO133" t="s">
        <v>75</v>
      </c>
      <c r="AP133" t="s">
        <v>19</v>
      </c>
      <c r="AQ133" t="s">
        <v>5126</v>
      </c>
      <c r="AR133" t="s">
        <v>19</v>
      </c>
      <c r="AS133" t="s">
        <v>1627</v>
      </c>
      <c r="AT133" t="s">
        <v>19</v>
      </c>
      <c r="AU133" t="s">
        <v>5127</v>
      </c>
      <c r="AV133" t="s">
        <v>5128</v>
      </c>
      <c r="AW133" t="s">
        <v>5129</v>
      </c>
      <c r="AX133" t="s">
        <v>1029</v>
      </c>
      <c r="AY133" t="s">
        <v>1443</v>
      </c>
      <c r="AZ133" t="s">
        <v>1023</v>
      </c>
      <c r="BA133" t="s">
        <v>1024</v>
      </c>
      <c r="BB133" t="s">
        <v>269</v>
      </c>
      <c r="BC133" t="s">
        <v>1691</v>
      </c>
      <c r="BD133" t="s">
        <v>343</v>
      </c>
      <c r="BE133" t="s">
        <v>100</v>
      </c>
      <c r="BF133" t="s">
        <v>94</v>
      </c>
      <c r="BG133" t="s">
        <v>231</v>
      </c>
      <c r="BH133" t="s">
        <v>5130</v>
      </c>
      <c r="BI133" t="s">
        <v>5131</v>
      </c>
      <c r="BJ133" t="s">
        <v>1029</v>
      </c>
      <c r="BK133" t="s">
        <v>5132</v>
      </c>
      <c r="BL133" t="s">
        <v>28</v>
      </c>
      <c r="BM133" t="s">
        <v>1691</v>
      </c>
      <c r="BN133">
        <v>10.7</v>
      </c>
      <c r="BO133">
        <v>13.85</v>
      </c>
      <c r="BP133">
        <v>13.83</v>
      </c>
      <c r="BQ133">
        <v>11.76</v>
      </c>
      <c r="BR133">
        <v>14.68</v>
      </c>
      <c r="BS133">
        <v>14.14</v>
      </c>
      <c r="BT133" t="s">
        <v>4604</v>
      </c>
      <c r="BU133" t="s">
        <v>1234</v>
      </c>
      <c r="BV133">
        <v>33.85</v>
      </c>
      <c r="BW133">
        <v>31.78</v>
      </c>
      <c r="BX133">
        <v>33.08</v>
      </c>
      <c r="BY133">
        <v>14.58</v>
      </c>
      <c r="BZ133">
        <v>15.88</v>
      </c>
      <c r="CA133">
        <v>16.559999999999999</v>
      </c>
      <c r="CB133">
        <v>-2.4900000000000002</v>
      </c>
      <c r="CC133">
        <v>-12.49</v>
      </c>
      <c r="CD133" t="s">
        <v>5133</v>
      </c>
      <c r="CE133" t="s">
        <v>1824</v>
      </c>
      <c r="CF133" s="8">
        <v>-0.24089635854341734</v>
      </c>
      <c r="CG133" s="9">
        <v>-6.5844025E-2</v>
      </c>
      <c r="CH133" s="8">
        <v>0.91887050867080688</v>
      </c>
      <c r="CI133" s="8">
        <v>0.18710233271121979</v>
      </c>
      <c r="CJ133" s="8">
        <v>0.23403137922286987</v>
      </c>
      <c r="CK133" s="8">
        <v>0.1797405332326889</v>
      </c>
      <c r="CL133" s="8">
        <v>-1.8192768096923828E-2</v>
      </c>
      <c r="CM133" s="9">
        <v>-0.26636567711830139</v>
      </c>
      <c r="CN133" s="9">
        <v>0.14175257086753845</v>
      </c>
      <c r="CO133" s="9">
        <v>6.8870522081851959E-2</v>
      </c>
      <c r="CP133" s="9">
        <v>0.11692307889461517</v>
      </c>
      <c r="CQ133" s="9">
        <v>-0.2562929093837738</v>
      </c>
      <c r="CR133">
        <v>12.715360982025427</v>
      </c>
      <c r="CS133">
        <v>0.42340728468862815</v>
      </c>
      <c r="CT133">
        <v>4.0603248259860791</v>
      </c>
      <c r="CU133" s="8">
        <v>0.30031039714813235</v>
      </c>
      <c r="CV133" s="9">
        <v>-3.9022482931613922E-2</v>
      </c>
      <c r="CW133">
        <v>0.06</v>
      </c>
      <c r="CX133">
        <v>10.730298985523772</v>
      </c>
      <c r="CY133">
        <v>398680074.59730464</v>
      </c>
      <c r="CZ133">
        <v>0.30031039714813235</v>
      </c>
      <c r="DA133">
        <v>2.947662789677993</v>
      </c>
      <c r="DB133">
        <v>1451304543.7152362</v>
      </c>
      <c r="DC133">
        <v>0.28529487729072572</v>
      </c>
      <c r="DD133">
        <v>1.1319953638763058</v>
      </c>
      <c r="DE133">
        <v>3779128905.0433388</v>
      </c>
      <c r="DF133">
        <v>0.26427314949035646</v>
      </c>
      <c r="DG133">
        <v>0.50227161611534432</v>
      </c>
      <c r="DH133">
        <v>8517217104.7339993</v>
      </c>
      <c r="DI133">
        <v>0.24024831771850588</v>
      </c>
      <c r="DJ133">
        <v>0.12412539856667706</v>
      </c>
      <c r="DK133">
        <v>34464794871.953529</v>
      </c>
      <c r="DL133">
        <v>0.21021727800369264</v>
      </c>
      <c r="DM133">
        <v>325000000</v>
      </c>
      <c r="DN133">
        <v>0.30031039714813235</v>
      </c>
      <c r="DO133">
        <v>4277956399.9999995</v>
      </c>
      <c r="DP133">
        <v>2362426100</v>
      </c>
      <c r="DQ133">
        <v>4114</v>
      </c>
      <c r="DR133">
        <v>-0.54120675569154963</v>
      </c>
      <c r="DS133">
        <v>-2.6821542068386078E-2</v>
      </c>
      <c r="DT133" s="10">
        <v>0.29333333333333339</v>
      </c>
      <c r="DU133">
        <v>-0.26666666666666666</v>
      </c>
      <c r="DV133">
        <v>2.6666666666666727E-2</v>
      </c>
      <c r="DW133">
        <v>-2.1248999999999998</v>
      </c>
      <c r="DX133">
        <v>0.33454853658536576</v>
      </c>
      <c r="DY133">
        <v>-2.0130581122195124</v>
      </c>
      <c r="DZ133">
        <v>1325</v>
      </c>
      <c r="EA133">
        <v>-2.0096722024952749</v>
      </c>
      <c r="EB133">
        <v>2</v>
      </c>
      <c r="EC133">
        <v>7.6437477751007107E-2</v>
      </c>
      <c r="ED133">
        <v>0.7311195378482841</v>
      </c>
      <c r="EE133" s="11">
        <v>3.0611999999999999</v>
      </c>
      <c r="EF133">
        <v>3.0394000000000001</v>
      </c>
      <c r="EG133">
        <v>23.104548536585366</v>
      </c>
      <c r="EH133" t="s">
        <v>1296</v>
      </c>
      <c r="EI133">
        <v>0</v>
      </c>
      <c r="EJ133">
        <v>1</v>
      </c>
      <c r="EK133" s="13">
        <v>45470</v>
      </c>
      <c r="EL133" s="14">
        <v>-0.03</v>
      </c>
      <c r="EM133" s="14">
        <v>-2.41</v>
      </c>
      <c r="EN133" s="14">
        <v>0.28000000000000003</v>
      </c>
      <c r="EO133" s="14">
        <v>3.56</v>
      </c>
      <c r="EP133" s="14">
        <v>-2.1800000000000002</v>
      </c>
    </row>
    <row r="134" spans="1:146" ht="108">
      <c r="A134" s="6"/>
      <c r="B134" s="6"/>
      <c r="C134" s="6" t="str">
        <f>""&amp;CHAR(10)&amp;Basic_Fundamental_Information_Constructure(F134)&amp;CHAR(10)&amp;Basic_Fundamental_Information_Concatenate("")</f>
        <v xml:space="preserve">
市值5.9609244亿, 利润-1.29亿; PE; 平均PE16.49; 平均PEG.56, PB.519; ROIC2.1%; ROE-.05%; 股利率0%; 毛利17.67%; 净利-25.9567%; 上一年度营收增-32.65%, 利润增-97.01%; 当季营收增-37.94%, 利润增16.25%; 过往5年营收增-29.38%, 利润增-83.41%
Income profile:
</v>
      </c>
      <c r="D134" t="s">
        <v>1025</v>
      </c>
      <c r="E134" t="s">
        <v>5134</v>
      </c>
      <c r="F134">
        <v>1.83</v>
      </c>
      <c r="G134">
        <v>1.67</v>
      </c>
      <c r="H134" t="s">
        <v>5135</v>
      </c>
      <c r="I134">
        <v>596092440</v>
      </c>
      <c r="K134">
        <v>0.51900000000000002</v>
      </c>
      <c r="L134" t="s">
        <v>361</v>
      </c>
      <c r="M134" t="s">
        <v>4415</v>
      </c>
      <c r="N134" t="s">
        <v>273</v>
      </c>
      <c r="O134" t="s">
        <v>5136</v>
      </c>
      <c r="P134">
        <v>-67.98</v>
      </c>
      <c r="Q134" t="s">
        <v>302</v>
      </c>
      <c r="R134">
        <v>-22457884</v>
      </c>
      <c r="S134" s="5">
        <v>-6.8390000000000004</v>
      </c>
      <c r="T134" t="s">
        <v>5137</v>
      </c>
      <c r="U134">
        <v>325733570</v>
      </c>
      <c r="V134">
        <v>325733570</v>
      </c>
      <c r="W134">
        <v>2.27</v>
      </c>
      <c r="X134">
        <v>0.01</v>
      </c>
      <c r="Y134">
        <v>-89.11</v>
      </c>
      <c r="Z134" t="s">
        <v>5138</v>
      </c>
      <c r="AA134" t="s">
        <v>5139</v>
      </c>
      <c r="AB134" t="s">
        <v>5140</v>
      </c>
      <c r="AC134" t="s">
        <v>5141</v>
      </c>
      <c r="AD134" t="s">
        <v>19</v>
      </c>
      <c r="AE134">
        <v>7112778</v>
      </c>
      <c r="AF134" t="s">
        <v>5142</v>
      </c>
      <c r="AG134" t="s">
        <v>5143</v>
      </c>
      <c r="AH134" t="s">
        <v>5144</v>
      </c>
      <c r="AI134" t="s">
        <v>5145</v>
      </c>
      <c r="AJ134" t="s">
        <v>19</v>
      </c>
      <c r="AK134" t="s">
        <v>5146</v>
      </c>
      <c r="AL134" t="s">
        <v>5147</v>
      </c>
      <c r="AM134" t="s">
        <v>19</v>
      </c>
      <c r="AN134" t="s">
        <v>64</v>
      </c>
      <c r="AO134" t="s">
        <v>1927</v>
      </c>
      <c r="AP134" t="s">
        <v>19</v>
      </c>
      <c r="AQ134" t="s">
        <v>5148</v>
      </c>
      <c r="AR134" t="s">
        <v>5149</v>
      </c>
      <c r="AS134" t="s">
        <v>4293</v>
      </c>
      <c r="AT134" t="s">
        <v>5150</v>
      </c>
      <c r="AU134" t="s">
        <v>5151</v>
      </c>
      <c r="AV134" t="s">
        <v>5152</v>
      </c>
      <c r="AW134" t="s">
        <v>5153</v>
      </c>
      <c r="AX134" t="s">
        <v>1837</v>
      </c>
      <c r="AY134" t="s">
        <v>721</v>
      </c>
      <c r="AZ134" t="s">
        <v>210</v>
      </c>
      <c r="BA134" t="s">
        <v>472</v>
      </c>
      <c r="BB134" t="s">
        <v>1026</v>
      </c>
      <c r="BC134" t="s">
        <v>5154</v>
      </c>
      <c r="BD134" t="s">
        <v>5155</v>
      </c>
      <c r="BE134" t="s">
        <v>5156</v>
      </c>
      <c r="BF134" t="s">
        <v>174</v>
      </c>
      <c r="BG134" t="s">
        <v>72</v>
      </c>
      <c r="BH134" t="s">
        <v>5157</v>
      </c>
      <c r="BI134" t="s">
        <v>5158</v>
      </c>
      <c r="BJ134" t="s">
        <v>1837</v>
      </c>
      <c r="BK134" t="s">
        <v>1594</v>
      </c>
      <c r="BL134" t="s">
        <v>5159</v>
      </c>
      <c r="BM134" t="s">
        <v>5154</v>
      </c>
      <c r="BN134">
        <v>0.55000000000000004</v>
      </c>
      <c r="BO134" t="s">
        <v>19</v>
      </c>
      <c r="BP134">
        <v>3.65</v>
      </c>
      <c r="BQ134">
        <v>0.02</v>
      </c>
      <c r="BR134">
        <v>-4.6100000000000003</v>
      </c>
      <c r="BS134">
        <v>4.4400000000000004</v>
      </c>
      <c r="BT134" t="s">
        <v>1571</v>
      </c>
      <c r="BU134" t="s">
        <v>1334</v>
      </c>
      <c r="BV134">
        <v>5.29</v>
      </c>
      <c r="BW134">
        <v>20.149999999999999</v>
      </c>
      <c r="BX134">
        <v>27.57</v>
      </c>
      <c r="BY134">
        <v>-63.12</v>
      </c>
      <c r="BZ134">
        <v>-22.95</v>
      </c>
      <c r="CA134">
        <v>8.1999999999999993</v>
      </c>
      <c r="CB134">
        <v>10.24</v>
      </c>
      <c r="CC134">
        <v>-24.07</v>
      </c>
      <c r="CD134" t="s">
        <v>5160</v>
      </c>
      <c r="CE134" t="s">
        <v>1884</v>
      </c>
      <c r="CF134" s="8">
        <v>-0.37940553255185544</v>
      </c>
      <c r="CG134" s="9">
        <v>0.16248176380207946</v>
      </c>
      <c r="CH134" s="8">
        <v>-0.32653060555458069</v>
      </c>
      <c r="CI134" s="8">
        <v>-0.46448087692260742</v>
      </c>
      <c r="CJ134" s="8">
        <v>-8.0402009189128876E-2</v>
      </c>
      <c r="CK134" s="8">
        <v>-0.4077380895614624</v>
      </c>
      <c r="CL134" s="8">
        <v>-0.18971061706542969</v>
      </c>
      <c r="CM134" s="9">
        <v>-0.97011834383010864</v>
      </c>
      <c r="CN134" s="9">
        <v>-2.3972756862640381</v>
      </c>
      <c r="CO134" s="9">
        <v>-0.49355781078338623</v>
      </c>
      <c r="CP134" s="9">
        <v>-0.3245941698551178</v>
      </c>
      <c r="CQ134" s="9">
        <v>1.4814814552664757E-2</v>
      </c>
      <c r="CR134">
        <v>16.488375976252307</v>
      </c>
      <c r="CS134">
        <v>0.56126354110724264</v>
      </c>
      <c r="CT134">
        <v>0</v>
      </c>
      <c r="CU134" s="8">
        <v>-0.2937724396586418</v>
      </c>
      <c r="CV134" s="9">
        <v>-0.83414623923599718</v>
      </c>
      <c r="CW134">
        <v>0.06</v>
      </c>
      <c r="CX134" t="e">
        <v>#VALUE!</v>
      </c>
      <c r="CY134" t="s">
        <v>1248</v>
      </c>
      <c r="CZ134">
        <v>-0.2937724396586418</v>
      </c>
      <c r="DA134" t="e">
        <v>#VALUE!</v>
      </c>
      <c r="DB134" t="s">
        <v>1249</v>
      </c>
      <c r="DC134">
        <v>-0.27908381767570972</v>
      </c>
      <c r="DD134" t="e">
        <v>#VALUE!</v>
      </c>
      <c r="DE134" t="s">
        <v>1249</v>
      </c>
      <c r="DF134">
        <v>-0.25851974689960477</v>
      </c>
      <c r="DG134" t="e">
        <v>#VALUE!</v>
      </c>
      <c r="DH134" t="s">
        <v>1249</v>
      </c>
      <c r="DI134">
        <v>-0.23501795172691345</v>
      </c>
      <c r="DJ134" t="e">
        <v>#VALUE!</v>
      </c>
      <c r="DK134" t="s">
        <v>1249</v>
      </c>
      <c r="DL134">
        <v>-0.20564070776104926</v>
      </c>
      <c r="DM134">
        <v>-129000000</v>
      </c>
      <c r="DN134">
        <v>-0.2937724396586418</v>
      </c>
      <c r="DO134">
        <v>1045092440</v>
      </c>
      <c r="DP134">
        <v>-210448200</v>
      </c>
      <c r="DQ134">
        <v>4135</v>
      </c>
      <c r="DR134">
        <v>-8.5633092893213636E-2</v>
      </c>
      <c r="DS134">
        <v>0.99662800303807664</v>
      </c>
      <c r="DT134" s="10">
        <v>-0.97333333333333327</v>
      </c>
      <c r="DU134">
        <v>-2.6150000000000002</v>
      </c>
      <c r="DV134">
        <v>-3.5883333333333334</v>
      </c>
      <c r="DW134">
        <v>7.2984552608568931</v>
      </c>
      <c r="DX134">
        <v>0.24716536697247768</v>
      </c>
      <c r="DY134">
        <v>7.028999514946026</v>
      </c>
      <c r="DZ134">
        <v>5052</v>
      </c>
      <c r="EA134">
        <v>7.0003291530072156</v>
      </c>
      <c r="EB134">
        <v>7</v>
      </c>
      <c r="EC134">
        <v>0.13005751909451641</v>
      </c>
      <c r="ED134">
        <v>1.3385172427883318</v>
      </c>
      <c r="EE134" s="11">
        <v>-1.0257000000000001</v>
      </c>
      <c r="EF134">
        <v>-1.0457099999999999</v>
      </c>
      <c r="EG134">
        <v>15.097165366972478</v>
      </c>
      <c r="EH134" t="s">
        <v>1265</v>
      </c>
      <c r="EI134">
        <v>1</v>
      </c>
      <c r="EJ134">
        <v>0</v>
      </c>
      <c r="EK134" s="13">
        <v>45470</v>
      </c>
      <c r="EL134" s="14">
        <v>5.01</v>
      </c>
      <c r="EM134" s="14">
        <v>-4.5999999999999996</v>
      </c>
      <c r="EN134" s="14">
        <v>4.1100000000000003</v>
      </c>
      <c r="EO134" s="14">
        <v>-3.95</v>
      </c>
      <c r="EP134" s="14">
        <v>-7.14</v>
      </c>
    </row>
    <row r="135" spans="1:146" ht="108">
      <c r="A135" s="6"/>
      <c r="B135" s="6"/>
      <c r="C135" s="6" t="str">
        <f>""&amp;CHAR(10)&amp;Basic_Fundamental_Information_Constructure(F135)&amp;CHAR(10)&amp;Basic_Fundamental_Information_Concatenate("")</f>
        <v xml:space="preserve">
市值16.219764亿, 利润2.82亿; PE; 平均PE4.68; 平均PEG1.39, PB.488; ROIC4.3967%; ROE5.96%; 股利率1.0557%; 毛利34.0033%; 净利7.3533%; 上一年度营收增9%, 利润增74.07%; 当季营收增-37.91%, 利润增-166.03%; 过往5年营收增3.36%, 利润增5.82%
Income profile:
</v>
      </c>
      <c r="D135" t="s">
        <v>1027</v>
      </c>
      <c r="E135" t="s">
        <v>1028</v>
      </c>
      <c r="F135">
        <v>5.21</v>
      </c>
      <c r="G135">
        <v>0.19</v>
      </c>
      <c r="H135" t="s">
        <v>5161</v>
      </c>
      <c r="I135">
        <v>1621976400</v>
      </c>
      <c r="K135">
        <v>0.48799999999999999</v>
      </c>
      <c r="L135" t="s">
        <v>361</v>
      </c>
      <c r="M135" t="s">
        <v>5162</v>
      </c>
      <c r="N135" t="s">
        <v>5163</v>
      </c>
      <c r="O135" t="s">
        <v>1600</v>
      </c>
      <c r="P135">
        <v>-22.48</v>
      </c>
      <c r="Q135" t="s">
        <v>5164</v>
      </c>
      <c r="R135">
        <v>-29132246</v>
      </c>
      <c r="S135" s="5">
        <v>-1.9139999999999999</v>
      </c>
      <c r="T135" t="s">
        <v>177</v>
      </c>
      <c r="U135">
        <v>311319850</v>
      </c>
      <c r="V135">
        <v>311319850</v>
      </c>
      <c r="W135">
        <v>1.94</v>
      </c>
      <c r="X135">
        <v>0.04</v>
      </c>
      <c r="Y135">
        <v>-11.43</v>
      </c>
      <c r="Z135" t="s">
        <v>192</v>
      </c>
      <c r="AA135" t="s">
        <v>43</v>
      </c>
      <c r="AB135" t="s">
        <v>5165</v>
      </c>
      <c r="AC135" t="s">
        <v>5166</v>
      </c>
      <c r="AD135" t="s">
        <v>19</v>
      </c>
      <c r="AE135">
        <v>20258842</v>
      </c>
      <c r="AF135" t="s">
        <v>5167</v>
      </c>
      <c r="AG135">
        <v>0.63</v>
      </c>
      <c r="AH135" t="s">
        <v>5168</v>
      </c>
      <c r="AI135" t="s">
        <v>1602</v>
      </c>
      <c r="AJ135" t="s">
        <v>5169</v>
      </c>
      <c r="AK135" t="s">
        <v>5170</v>
      </c>
      <c r="AL135" t="s">
        <v>5171</v>
      </c>
      <c r="AM135" t="s">
        <v>19</v>
      </c>
      <c r="AN135" t="s">
        <v>5172</v>
      </c>
      <c r="AO135" t="s">
        <v>5173</v>
      </c>
      <c r="AP135" t="s">
        <v>132</v>
      </c>
      <c r="AQ135" t="s">
        <v>5174</v>
      </c>
      <c r="AR135" t="s">
        <v>5175</v>
      </c>
      <c r="AS135" t="s">
        <v>5176</v>
      </c>
      <c r="AT135" t="s">
        <v>5177</v>
      </c>
      <c r="AU135" t="s">
        <v>1908</v>
      </c>
      <c r="AV135" t="s">
        <v>5178</v>
      </c>
      <c r="AW135" t="s">
        <v>270</v>
      </c>
      <c r="AX135" t="s">
        <v>1806</v>
      </c>
      <c r="AY135" t="s">
        <v>1444</v>
      </c>
      <c r="AZ135" t="s">
        <v>1029</v>
      </c>
      <c r="BA135" t="s">
        <v>668</v>
      </c>
      <c r="BB135" t="s">
        <v>659</v>
      </c>
      <c r="BC135" t="s">
        <v>1466</v>
      </c>
      <c r="BD135" t="s">
        <v>124</v>
      </c>
      <c r="BE135" t="s">
        <v>121</v>
      </c>
      <c r="BF135" t="s">
        <v>247</v>
      </c>
      <c r="BG135" t="s">
        <v>95</v>
      </c>
      <c r="BH135" t="s">
        <v>5179</v>
      </c>
      <c r="BI135" t="s">
        <v>1496</v>
      </c>
      <c r="BJ135" t="s">
        <v>1806</v>
      </c>
      <c r="BK135" t="s">
        <v>5180</v>
      </c>
      <c r="BL135" t="s">
        <v>5181</v>
      </c>
      <c r="BM135" t="s">
        <v>1466</v>
      </c>
      <c r="BN135">
        <v>2.0099999999999998</v>
      </c>
      <c r="BO135">
        <v>3.93</v>
      </c>
      <c r="BP135">
        <v>7.25</v>
      </c>
      <c r="BQ135">
        <v>2.0299999999999998</v>
      </c>
      <c r="BR135">
        <v>5.14</v>
      </c>
      <c r="BS135">
        <v>10.71</v>
      </c>
      <c r="BT135" t="s">
        <v>5182</v>
      </c>
      <c r="BU135" t="s">
        <v>1234</v>
      </c>
      <c r="BV135">
        <v>32.020000000000003</v>
      </c>
      <c r="BW135">
        <v>33.36</v>
      </c>
      <c r="BX135">
        <v>36.630000000000003</v>
      </c>
      <c r="BY135">
        <v>2.7</v>
      </c>
      <c r="BZ135">
        <v>7.97</v>
      </c>
      <c r="CA135">
        <v>11.39</v>
      </c>
      <c r="CB135">
        <v>-7.79</v>
      </c>
      <c r="CC135">
        <v>-5.53</v>
      </c>
      <c r="CD135" t="s">
        <v>5183</v>
      </c>
      <c r="CE135" t="s">
        <v>103</v>
      </c>
      <c r="CF135" s="8">
        <v>-0.37914691943127959</v>
      </c>
      <c r="CG135" s="9">
        <v>-1.6603420911260767</v>
      </c>
      <c r="CH135" s="8">
        <v>8.9981503784656525E-2</v>
      </c>
      <c r="CI135" s="8">
        <v>-0.29055613279342651</v>
      </c>
      <c r="CJ135" s="8">
        <v>8.6132928729057312E-2</v>
      </c>
      <c r="CK135" s="8">
        <v>9.1689452528953552E-2</v>
      </c>
      <c r="CL135" s="8">
        <v>0.19098515808582306</v>
      </c>
      <c r="CM135" s="9">
        <v>0.74074071645736694</v>
      </c>
      <c r="CN135" s="9">
        <v>-0.5207100510597229</v>
      </c>
      <c r="CO135" s="9">
        <v>-0.34241244196891785</v>
      </c>
      <c r="CP135" s="9">
        <v>0.19534884393215179</v>
      </c>
      <c r="CQ135" s="9">
        <v>0.21813030540943146</v>
      </c>
      <c r="CR135">
        <v>4.6810285714285715</v>
      </c>
      <c r="CS135">
        <v>1.39123449808528</v>
      </c>
      <c r="CT135">
        <v>1.0556621880998081</v>
      </c>
      <c r="CU135" s="8">
        <v>3.3646582067012785E-2</v>
      </c>
      <c r="CV135" s="9">
        <v>5.8219474554061887E-2</v>
      </c>
      <c r="CW135">
        <v>0.06</v>
      </c>
      <c r="CX135">
        <v>5.9456066302096797</v>
      </c>
      <c r="CY135">
        <v>274988996.36122417</v>
      </c>
      <c r="CZ135">
        <v>3.3646582067012785E-2</v>
      </c>
      <c r="DA135">
        <v>2.0385414236124975</v>
      </c>
      <c r="DB135">
        <v>802032463.53594315</v>
      </c>
      <c r="DC135">
        <v>3.1964252963662142E-2</v>
      </c>
      <c r="DD135">
        <v>1.0685447278045341</v>
      </c>
      <c r="DE135">
        <v>1530096361.3935697</v>
      </c>
      <c r="DF135">
        <v>2.9608992218971251E-2</v>
      </c>
      <c r="DG135">
        <v>0.6873850341966774</v>
      </c>
      <c r="DH135">
        <v>2378545238.3477321</v>
      </c>
      <c r="DI135">
        <v>2.6917265653610231E-2</v>
      </c>
      <c r="DJ135">
        <v>0.41018876897604734</v>
      </c>
      <c r="DK135">
        <v>3985912154.7413044</v>
      </c>
      <c r="DL135">
        <v>2.3552607446908947E-2</v>
      </c>
      <c r="DM135">
        <v>282000000</v>
      </c>
      <c r="DN135">
        <v>3.3646582067012785E-2</v>
      </c>
      <c r="DO135">
        <v>1634976400</v>
      </c>
      <c r="DP135">
        <v>1930047600</v>
      </c>
      <c r="DQ135">
        <v>4150</v>
      </c>
      <c r="DR135">
        <v>-0.41279350149829236</v>
      </c>
      <c r="DS135">
        <v>-1.7185615656801385</v>
      </c>
      <c r="DT135" s="10">
        <v>-0.49</v>
      </c>
      <c r="DU135">
        <v>-0.63166666666666671</v>
      </c>
      <c r="DV135">
        <v>-1.1216666666666666</v>
      </c>
      <c r="DW135">
        <v>-5.7098844672657254</v>
      </c>
      <c r="DX135">
        <v>0.36182948717948704</v>
      </c>
      <c r="DY135">
        <v>-5.1716709966755534</v>
      </c>
      <c r="DZ135">
        <v>3255</v>
      </c>
      <c r="EA135">
        <v>-5.0623189234507144</v>
      </c>
      <c r="EB135">
        <v>5</v>
      </c>
      <c r="EC135">
        <v>0.24235781945802684</v>
      </c>
      <c r="ED135">
        <v>1.0021847305913838</v>
      </c>
      <c r="EE135" s="11">
        <v>-6.0160099999999996</v>
      </c>
      <c r="EF135">
        <v>-6.0240099999999996</v>
      </c>
      <c r="EG135">
        <v>12.241829487179487</v>
      </c>
      <c r="EH135" t="s">
        <v>1856</v>
      </c>
      <c r="EI135">
        <v>0</v>
      </c>
      <c r="EJ135">
        <v>0</v>
      </c>
      <c r="EK135" s="13">
        <v>45470</v>
      </c>
      <c r="EL135" s="14">
        <v>-0.92</v>
      </c>
      <c r="EM135" s="14">
        <v>-4.41</v>
      </c>
      <c r="EN135" s="14">
        <v>0.24</v>
      </c>
      <c r="EO135" s="14">
        <v>6.05</v>
      </c>
      <c r="EP135" s="14">
        <v>-0.8</v>
      </c>
    </row>
    <row r="136" spans="1:146" ht="108">
      <c r="A136" s="6"/>
      <c r="B136" s="6"/>
      <c r="C136" s="6" t="str">
        <f>""&amp;CHAR(10)&amp;Basic_Fundamental_Information_Constructure(F136)&amp;CHAR(10)&amp;Basic_Fundamental_Information_Concatenate("")</f>
        <v xml:space="preserve">
市值14.392758亿, 利润2.79亿; PE16; 平均PE13.64; 平均PEG.22, PB1.52; ROIC7.4667%; ROE9.2167%; 股利率2.1559%; 毛利22.07%; 净利14.0167%; 上一年度营收增289.37%, 利润增170.87%; 当季营收增-83.81%, 利润增-89.15%; 过往5年营收增62.19%, 利润增48.76%
Income profile:
</v>
      </c>
      <c r="D136" t="s">
        <v>1030</v>
      </c>
      <c r="E136" t="s">
        <v>1031</v>
      </c>
      <c r="F136">
        <v>6.03</v>
      </c>
      <c r="G136">
        <v>1.17</v>
      </c>
      <c r="H136" t="s">
        <v>5184</v>
      </c>
      <c r="I136">
        <v>1439275800</v>
      </c>
      <c r="J136">
        <v>16</v>
      </c>
      <c r="K136">
        <v>1.52</v>
      </c>
      <c r="L136" t="s">
        <v>361</v>
      </c>
      <c r="M136" t="s">
        <v>1949</v>
      </c>
      <c r="N136" t="s">
        <v>3789</v>
      </c>
      <c r="O136" t="s">
        <v>171</v>
      </c>
      <c r="P136">
        <v>-24.45</v>
      </c>
      <c r="Q136" t="s">
        <v>5185</v>
      </c>
      <c r="R136">
        <v>8415349</v>
      </c>
      <c r="S136" s="5">
        <v>-0.57279999999999998</v>
      </c>
      <c r="T136" t="s">
        <v>117</v>
      </c>
      <c r="U136">
        <v>238685880</v>
      </c>
      <c r="V136">
        <v>238685880</v>
      </c>
      <c r="W136">
        <v>1.43</v>
      </c>
      <c r="X136">
        <v>7.0000000000000007E-2</v>
      </c>
      <c r="Y136">
        <v>8.2799999999999994</v>
      </c>
      <c r="Z136" t="s">
        <v>5186</v>
      </c>
      <c r="AA136" t="s">
        <v>5187</v>
      </c>
      <c r="AB136" t="s">
        <v>5188</v>
      </c>
      <c r="AC136" t="s">
        <v>5189</v>
      </c>
      <c r="AD136" t="s">
        <v>19</v>
      </c>
      <c r="AE136">
        <v>-6974099</v>
      </c>
      <c r="AF136" t="s">
        <v>5190</v>
      </c>
      <c r="AG136">
        <v>5000</v>
      </c>
      <c r="AH136" t="s">
        <v>5191</v>
      </c>
      <c r="AI136" t="s">
        <v>5192</v>
      </c>
      <c r="AJ136" t="s">
        <v>5193</v>
      </c>
      <c r="AK136" t="s">
        <v>19</v>
      </c>
      <c r="AL136" t="s">
        <v>5194</v>
      </c>
      <c r="AM136" t="s">
        <v>19</v>
      </c>
      <c r="AN136">
        <v>0</v>
      </c>
      <c r="AO136" t="s">
        <v>19</v>
      </c>
      <c r="AP136" t="s">
        <v>19</v>
      </c>
      <c r="AQ136" t="s">
        <v>118</v>
      </c>
      <c r="AR136" t="s">
        <v>19</v>
      </c>
      <c r="AS136" t="s">
        <v>2044</v>
      </c>
      <c r="AT136" t="s">
        <v>19</v>
      </c>
      <c r="AU136" t="s">
        <v>5195</v>
      </c>
      <c r="AV136" t="s">
        <v>1948</v>
      </c>
      <c r="AW136" t="s">
        <v>19</v>
      </c>
      <c r="AX136" t="s">
        <v>1574</v>
      </c>
      <c r="AY136" t="s">
        <v>1445</v>
      </c>
      <c r="AZ136" t="s">
        <v>845</v>
      </c>
      <c r="BA136" t="s">
        <v>1033</v>
      </c>
      <c r="BB136" t="s">
        <v>319</v>
      </c>
      <c r="BC136" t="s">
        <v>99</v>
      </c>
      <c r="BD136" t="s">
        <v>1223</v>
      </c>
      <c r="BE136" t="s">
        <v>1032</v>
      </c>
      <c r="BF136" t="s">
        <v>1034</v>
      </c>
      <c r="BG136" t="s">
        <v>1035</v>
      </c>
      <c r="BH136" t="s">
        <v>1459</v>
      </c>
      <c r="BI136" t="s">
        <v>272</v>
      </c>
      <c r="BJ136" t="s">
        <v>1574</v>
      </c>
      <c r="BK136" t="s">
        <v>202</v>
      </c>
      <c r="BL136" t="s">
        <v>5196</v>
      </c>
      <c r="BM136" t="s">
        <v>99</v>
      </c>
      <c r="BN136">
        <v>5</v>
      </c>
      <c r="BO136">
        <v>10.210000000000001</v>
      </c>
      <c r="BP136">
        <v>7.19</v>
      </c>
      <c r="BQ136">
        <v>6.3</v>
      </c>
      <c r="BR136">
        <v>12.1</v>
      </c>
      <c r="BS136">
        <v>9.25</v>
      </c>
      <c r="BT136" t="s">
        <v>1807</v>
      </c>
      <c r="BU136" t="s">
        <v>1336</v>
      </c>
      <c r="BV136">
        <v>27.21</v>
      </c>
      <c r="BW136">
        <v>28.32</v>
      </c>
      <c r="BX136">
        <v>10.68</v>
      </c>
      <c r="BY136">
        <v>17.3</v>
      </c>
      <c r="BZ136">
        <v>17.940000000000001</v>
      </c>
      <c r="CA136">
        <v>6.81</v>
      </c>
      <c r="CB136">
        <v>-1.1499999999999999</v>
      </c>
      <c r="CC136">
        <v>-10.27</v>
      </c>
      <c r="CD136" t="s">
        <v>5197</v>
      </c>
      <c r="CE136" t="s">
        <v>5198</v>
      </c>
      <c r="CF136" s="8">
        <v>-0.83809523809523812</v>
      </c>
      <c r="CG136" s="9">
        <v>-0.89153856762093298</v>
      </c>
      <c r="CH136" s="8">
        <v>2.8937282562255859</v>
      </c>
      <c r="CI136" s="8">
        <v>-0.47818180918693542</v>
      </c>
      <c r="CJ136" s="8">
        <v>3.6496350076049566E-3</v>
      </c>
      <c r="CK136" s="8">
        <v>6.0987416654825211E-2</v>
      </c>
      <c r="CL136" s="8">
        <v>0.62933754920959473</v>
      </c>
      <c r="CM136" s="9">
        <v>1.708737850189209</v>
      </c>
      <c r="CN136" s="9">
        <v>0.37535610795021057</v>
      </c>
      <c r="CO136" s="9">
        <v>0.14995364844799042</v>
      </c>
      <c r="CP136" s="9">
        <v>0.13255168497562408</v>
      </c>
      <c r="CQ136" s="9">
        <v>7.1315325796604156E-2</v>
      </c>
      <c r="CR136">
        <v>13.638326682882964</v>
      </c>
      <c r="CS136">
        <v>0.21929947526881544</v>
      </c>
      <c r="CT136">
        <v>2.1558872305140961</v>
      </c>
      <c r="CU136" s="8">
        <v>0.6219042095821351</v>
      </c>
      <c r="CV136" s="9">
        <v>0.48758292347192767</v>
      </c>
      <c r="CW136">
        <v>0.06</v>
      </c>
      <c r="CX136">
        <v>2.1627579315871732</v>
      </c>
      <c r="CY136">
        <v>426897428.74850535</v>
      </c>
      <c r="CZ136">
        <v>0.6219042095821351</v>
      </c>
      <c r="DA136">
        <v>0.46391923638106236</v>
      </c>
      <c r="DB136">
        <v>1990164941.6443322</v>
      </c>
      <c r="DC136">
        <v>0.59080899910302831</v>
      </c>
      <c r="DD136">
        <v>0.12015835106589789</v>
      </c>
      <c r="DE136">
        <v>7683825483.7040186</v>
      </c>
      <c r="DF136">
        <v>0.54727570443227891</v>
      </c>
      <c r="DG136">
        <v>3.1521784650483733E-2</v>
      </c>
      <c r="DH136">
        <v>29290086530.23177</v>
      </c>
      <c r="DI136">
        <v>0.49752336766570809</v>
      </c>
      <c r="DJ136">
        <v>2.0196118918209267E-3</v>
      </c>
      <c r="DK136">
        <v>457155062187.49493</v>
      </c>
      <c r="DL136">
        <v>0.43533294670749456</v>
      </c>
      <c r="DM136">
        <v>279000000</v>
      </c>
      <c r="DN136">
        <v>0.6219042095821351</v>
      </c>
      <c r="DO136">
        <v>923275800.00000012</v>
      </c>
      <c r="DP136">
        <v>889659280</v>
      </c>
      <c r="DQ136">
        <v>4227</v>
      </c>
      <c r="DR136">
        <v>-1.4599994476773732</v>
      </c>
      <c r="DS136">
        <v>-1.3791214910928606</v>
      </c>
      <c r="DT136" s="10">
        <v>-9.000000000000008E-2</v>
      </c>
      <c r="DU136">
        <v>4.33333333333333E-2</v>
      </c>
      <c r="DV136">
        <v>-4.666666666666678E-2</v>
      </c>
      <c r="DW136">
        <v>-2.1027</v>
      </c>
      <c r="DX136">
        <v>0.32490997407253347</v>
      </c>
      <c r="DY136">
        <v>-2.0128282543372493</v>
      </c>
      <c r="DZ136">
        <v>2141</v>
      </c>
      <c r="EA136">
        <v>-2.0074534417078853</v>
      </c>
      <c r="EB136">
        <v>2</v>
      </c>
      <c r="EC136">
        <v>2.6158648345683457E-2</v>
      </c>
      <c r="ED136">
        <v>0.20942001261239251</v>
      </c>
      <c r="EE136" s="11">
        <v>1.2699999999999999E-2</v>
      </c>
      <c r="EF136">
        <v>4.6099999999999995E-3</v>
      </c>
      <c r="EG136">
        <v>20.124909974072533</v>
      </c>
      <c r="EH136">
        <v>-1</v>
      </c>
      <c r="EI136">
        <v>0</v>
      </c>
      <c r="EJ136">
        <v>0</v>
      </c>
      <c r="EK136" s="13">
        <v>45470</v>
      </c>
      <c r="EL136" s="14">
        <v>-0.99</v>
      </c>
      <c r="EM136" s="14">
        <v>-1.85</v>
      </c>
      <c r="EN136" s="14">
        <v>2.1</v>
      </c>
      <c r="EO136" s="14">
        <v>2.48</v>
      </c>
      <c r="EP136" s="14">
        <v>-1.73</v>
      </c>
    </row>
    <row r="137" spans="1:146" ht="108">
      <c r="A137" s="6"/>
      <c r="B137" s="6"/>
      <c r="C137" s="6" t="str">
        <f>""&amp;CHAR(10)&amp;Basic_Fundamental_Information_Constructure(F137)&amp;CHAR(10)&amp;Basic_Fundamental_Information_Concatenate("")</f>
        <v xml:space="preserve">
市值35.897606亿, 利润20.06亿; PE21.08; 平均PE8; 平均PEG.14, PB1.55; ROIC5.6667%; ROE7.7233%; 股利率1.4655%; 毛利8.9667%; 净利3.15%; 上一年度营收增195.61%, 利润增1002.2%; 当季营收增-80.35%, 利润增-91.83%; 过往5年营收增59.13%, 利润增209.76%
Income profile:
</v>
      </c>
      <c r="D137" t="s">
        <v>1036</v>
      </c>
      <c r="E137" t="s">
        <v>1037</v>
      </c>
      <c r="F137">
        <v>5.8</v>
      </c>
      <c r="G137">
        <v>1.75</v>
      </c>
      <c r="H137" t="s">
        <v>5199</v>
      </c>
      <c r="I137">
        <v>3589760600</v>
      </c>
      <c r="J137">
        <v>21.08</v>
      </c>
      <c r="K137">
        <v>1.55</v>
      </c>
      <c r="L137" t="s">
        <v>361</v>
      </c>
      <c r="M137" t="s">
        <v>5200</v>
      </c>
      <c r="N137" t="s">
        <v>5201</v>
      </c>
      <c r="O137" t="s">
        <v>4403</v>
      </c>
      <c r="P137">
        <v>-14.08</v>
      </c>
      <c r="Q137" t="s">
        <v>5202</v>
      </c>
      <c r="R137">
        <v>32666645</v>
      </c>
      <c r="S137" s="5">
        <v>-9.2399999999999996E-2</v>
      </c>
      <c r="T137" t="s">
        <v>1941</v>
      </c>
      <c r="U137">
        <v>618924240</v>
      </c>
      <c r="V137">
        <v>618924240</v>
      </c>
      <c r="W137">
        <v>4.13</v>
      </c>
      <c r="X137">
        <v>7.0000000000000007E-2</v>
      </c>
      <c r="Y137">
        <v>4.17</v>
      </c>
      <c r="Z137" t="s">
        <v>465</v>
      </c>
      <c r="AA137" t="s">
        <v>1433</v>
      </c>
      <c r="AB137" t="s">
        <v>5203</v>
      </c>
      <c r="AC137" t="s">
        <v>5204</v>
      </c>
      <c r="AD137" t="s">
        <v>19</v>
      </c>
      <c r="AE137">
        <v>10814380</v>
      </c>
      <c r="AF137" t="s">
        <v>20</v>
      </c>
      <c r="AG137" t="s">
        <v>5205</v>
      </c>
      <c r="AH137" t="s">
        <v>5206</v>
      </c>
      <c r="AI137" t="s">
        <v>351</v>
      </c>
      <c r="AJ137" t="s">
        <v>5207</v>
      </c>
      <c r="AK137" t="s">
        <v>5208</v>
      </c>
      <c r="AL137" t="s">
        <v>5209</v>
      </c>
      <c r="AM137" t="s">
        <v>19</v>
      </c>
      <c r="AN137" t="s">
        <v>5210</v>
      </c>
      <c r="AO137" t="s">
        <v>722</v>
      </c>
      <c r="AP137" t="s">
        <v>250</v>
      </c>
      <c r="AQ137" t="s">
        <v>5211</v>
      </c>
      <c r="AR137" t="s">
        <v>19</v>
      </c>
      <c r="AS137" t="s">
        <v>5212</v>
      </c>
      <c r="AT137" t="s">
        <v>1472</v>
      </c>
      <c r="AU137" t="s">
        <v>5213</v>
      </c>
      <c r="AV137" t="s">
        <v>5214</v>
      </c>
      <c r="AW137" t="s">
        <v>5215</v>
      </c>
      <c r="AX137" t="s">
        <v>1808</v>
      </c>
      <c r="AY137" t="s">
        <v>1446</v>
      </c>
      <c r="AZ137" t="s">
        <v>1224</v>
      </c>
      <c r="BA137" t="s">
        <v>534</v>
      </c>
      <c r="BB137" t="s">
        <v>322</v>
      </c>
      <c r="BC137" t="s">
        <v>306</v>
      </c>
      <c r="BD137" t="s">
        <v>112</v>
      </c>
      <c r="BE137" t="s">
        <v>42</v>
      </c>
      <c r="BF137" t="s">
        <v>85</v>
      </c>
      <c r="BG137" t="s">
        <v>52</v>
      </c>
      <c r="BH137" t="s">
        <v>5216</v>
      </c>
      <c r="BI137" t="s">
        <v>5217</v>
      </c>
      <c r="BJ137" t="s">
        <v>1808</v>
      </c>
      <c r="BK137" t="s">
        <v>83</v>
      </c>
      <c r="BL137" t="s">
        <v>523</v>
      </c>
      <c r="BM137" t="s">
        <v>306</v>
      </c>
      <c r="BN137">
        <v>4.07</v>
      </c>
      <c r="BO137">
        <v>6.36</v>
      </c>
      <c r="BP137">
        <v>6.57</v>
      </c>
      <c r="BQ137">
        <v>5.87</v>
      </c>
      <c r="BR137">
        <v>8.61</v>
      </c>
      <c r="BS137">
        <v>8.69</v>
      </c>
      <c r="BT137" t="s">
        <v>5218</v>
      </c>
      <c r="BU137" t="s">
        <v>1342</v>
      </c>
      <c r="BV137">
        <v>10.79</v>
      </c>
      <c r="BW137">
        <v>7.79</v>
      </c>
      <c r="BX137">
        <v>8.32</v>
      </c>
      <c r="BY137">
        <v>3.7</v>
      </c>
      <c r="BZ137">
        <v>2.82</v>
      </c>
      <c r="CA137">
        <v>2.93</v>
      </c>
      <c r="CB137">
        <v>1.4</v>
      </c>
      <c r="CC137">
        <v>-14.33</v>
      </c>
      <c r="CD137" t="s">
        <v>5219</v>
      </c>
      <c r="CE137" t="s">
        <v>5220</v>
      </c>
      <c r="CF137" s="8">
        <v>-0.80349013657056145</v>
      </c>
      <c r="CG137" s="9">
        <v>-0.91833338750000004</v>
      </c>
      <c r="CH137" s="8">
        <v>1.9561469554901123</v>
      </c>
      <c r="CI137" s="8">
        <v>0.2676028311252594</v>
      </c>
      <c r="CJ137" s="8">
        <v>0.27696138620376587</v>
      </c>
      <c r="CK137" s="8">
        <v>0.40778404474258423</v>
      </c>
      <c r="CL137" s="8">
        <v>4.7759048640727997E-2</v>
      </c>
      <c r="CM137" s="9">
        <v>10.021978378295898</v>
      </c>
      <c r="CN137" s="9">
        <v>0.22147651016712189</v>
      </c>
      <c r="CO137" s="9">
        <v>0.1640625</v>
      </c>
      <c r="CP137" s="9">
        <v>0.1962616890668869</v>
      </c>
      <c r="CQ137" s="9">
        <v>-0.11570248007774353</v>
      </c>
      <c r="CR137">
        <v>7.9979812848124769</v>
      </c>
      <c r="CS137">
        <v>0.13527221552370963</v>
      </c>
      <c r="CT137">
        <v>1.4655172413793103</v>
      </c>
      <c r="CU137" s="8">
        <v>0.59125085324048998</v>
      </c>
      <c r="CV137" s="9">
        <v>2.0976153194904326</v>
      </c>
      <c r="CW137">
        <v>0.06</v>
      </c>
      <c r="CX137">
        <v>3.1871771271656466</v>
      </c>
      <c r="CY137">
        <v>3011367180.755115</v>
      </c>
      <c r="CZ137">
        <v>0.59125085324048998</v>
      </c>
      <c r="DA137">
        <v>0.69931009736551741</v>
      </c>
      <c r="DB137">
        <v>13724613209.729496</v>
      </c>
      <c r="DC137">
        <v>0.56168831057846547</v>
      </c>
      <c r="DD137">
        <v>0.18802210648032874</v>
      </c>
      <c r="DE137">
        <v>51045915715.257332</v>
      </c>
      <c r="DF137">
        <v>0.52030075085163119</v>
      </c>
      <c r="DG137">
        <v>5.1891794954996906E-2</v>
      </c>
      <c r="DH137">
        <v>184957190405.99088</v>
      </c>
      <c r="DI137">
        <v>0.47300068259239203</v>
      </c>
      <c r="DJ137">
        <v>3.7804247522090937E-3</v>
      </c>
      <c r="DK137">
        <v>2538804824614.3618</v>
      </c>
      <c r="DL137">
        <v>0.41387559726834294</v>
      </c>
      <c r="DM137">
        <v>2005999999.9999998</v>
      </c>
      <c r="DN137">
        <v>0.59125085324048998</v>
      </c>
      <c r="DO137">
        <v>9597760600</v>
      </c>
      <c r="DP137">
        <v>439813200</v>
      </c>
      <c r="DQ137">
        <v>4320</v>
      </c>
      <c r="DR137">
        <v>-1.3947409898110514</v>
      </c>
      <c r="DS137">
        <v>-3.0159487069904327</v>
      </c>
      <c r="DT137" s="10">
        <v>0.26</v>
      </c>
      <c r="DU137">
        <v>0.26</v>
      </c>
      <c r="DV137">
        <v>0.52</v>
      </c>
      <c r="DW137">
        <v>-2.1433</v>
      </c>
      <c r="DX137">
        <v>0.33183164668494386</v>
      </c>
      <c r="DY137">
        <v>-2.0188914749699522</v>
      </c>
      <c r="DZ137">
        <v>1608</v>
      </c>
      <c r="EA137">
        <v>-2.0129467603414426</v>
      </c>
      <c r="EB137">
        <v>2</v>
      </c>
      <c r="EC137">
        <v>2.033350640782788E-2</v>
      </c>
      <c r="ED137">
        <v>0.15423842504536581</v>
      </c>
      <c r="EE137" s="11">
        <v>-1.0685</v>
      </c>
      <c r="EF137">
        <v>-1.0522</v>
      </c>
      <c r="EG137">
        <v>20.131831646684944</v>
      </c>
      <c r="EH137" t="s">
        <v>1250</v>
      </c>
      <c r="EI137">
        <v>0</v>
      </c>
      <c r="EJ137">
        <v>0</v>
      </c>
      <c r="EK137" s="13">
        <v>45470</v>
      </c>
      <c r="EL137" s="14">
        <v>1.07</v>
      </c>
      <c r="EM137" s="14">
        <v>0.91</v>
      </c>
      <c r="EN137" s="14">
        <v>1.8</v>
      </c>
      <c r="EO137" s="14">
        <v>-2.1800000000000002</v>
      </c>
      <c r="EP137" s="14">
        <v>-1.63</v>
      </c>
    </row>
    <row r="138" spans="1:146" ht="108">
      <c r="A138" s="6"/>
      <c r="B138" s="6"/>
      <c r="C138" s="6" t="str">
        <f>""&amp;CHAR(10)&amp;Basic_Fundamental_Information_Constructure(F138)&amp;CHAR(10)&amp;Basic_Fundamental_Information_Concatenate("")</f>
        <v xml:space="preserve">
市值8.9394024亿, 利润1.09亿; PE; 平均PE-10.92; 平均PEG-3.45, PB1.19; ROIC1.81%; ROE-19.7067%; 股利率0%; 毛利7.0167%; 净利-12.0133%; 上一年度营收增-5.85%, 利润增131.78%; 当季营收增61.54%, 利润增11.02%; 过往5年营收增-3.17%, 利润增-398.45%
Income profile:
</v>
      </c>
      <c r="D138" t="s">
        <v>1039</v>
      </c>
      <c r="E138" t="s">
        <v>5221</v>
      </c>
      <c r="F138">
        <v>1.5</v>
      </c>
      <c r="G138">
        <v>2.74</v>
      </c>
      <c r="H138" t="s">
        <v>5222</v>
      </c>
      <c r="I138">
        <v>893940240</v>
      </c>
      <c r="K138">
        <v>1.19</v>
      </c>
      <c r="L138" t="s">
        <v>361</v>
      </c>
      <c r="M138" t="s">
        <v>5223</v>
      </c>
      <c r="N138" t="s">
        <v>1711</v>
      </c>
      <c r="O138" t="s">
        <v>662</v>
      </c>
      <c r="P138">
        <v>68.03</v>
      </c>
      <c r="Q138" t="s">
        <v>5224</v>
      </c>
      <c r="R138">
        <v>19581385</v>
      </c>
      <c r="S138" s="5">
        <v>2.258</v>
      </c>
      <c r="T138" t="s">
        <v>151</v>
      </c>
      <c r="U138">
        <v>595939630</v>
      </c>
      <c r="V138">
        <v>595960160</v>
      </c>
      <c r="W138">
        <v>6.37</v>
      </c>
      <c r="X138">
        <v>0.12</v>
      </c>
      <c r="Y138">
        <v>3.09</v>
      </c>
      <c r="Z138" t="s">
        <v>4494</v>
      </c>
      <c r="AA138" t="s">
        <v>2740</v>
      </c>
      <c r="AB138" t="s">
        <v>5225</v>
      </c>
      <c r="AC138" t="s">
        <v>5226</v>
      </c>
      <c r="AD138" t="s">
        <v>19</v>
      </c>
      <c r="AE138">
        <v>21869010</v>
      </c>
      <c r="AF138" t="s">
        <v>5227</v>
      </c>
      <c r="AG138">
        <v>0.3</v>
      </c>
      <c r="AH138" t="s">
        <v>5228</v>
      </c>
      <c r="AI138" t="s">
        <v>5229</v>
      </c>
      <c r="AJ138" t="s">
        <v>19</v>
      </c>
      <c r="AK138" t="s">
        <v>105</v>
      </c>
      <c r="AL138" t="s">
        <v>5230</v>
      </c>
      <c r="AM138" t="s">
        <v>19</v>
      </c>
      <c r="AN138">
        <v>0</v>
      </c>
      <c r="AO138" t="s">
        <v>5231</v>
      </c>
      <c r="AP138" t="s">
        <v>162</v>
      </c>
      <c r="AQ138" t="s">
        <v>5232</v>
      </c>
      <c r="AR138" t="s">
        <v>5233</v>
      </c>
      <c r="AS138" t="s">
        <v>1919</v>
      </c>
      <c r="AT138" t="s">
        <v>1996</v>
      </c>
      <c r="AU138" t="s">
        <v>653</v>
      </c>
      <c r="AV138" t="s">
        <v>5234</v>
      </c>
      <c r="AW138" t="s">
        <v>5235</v>
      </c>
      <c r="AX138" t="s">
        <v>1777</v>
      </c>
      <c r="AY138" t="s">
        <v>1447</v>
      </c>
      <c r="AZ138" t="s">
        <v>1040</v>
      </c>
      <c r="BA138" t="s">
        <v>1042</v>
      </c>
      <c r="BB138" t="s">
        <v>1043</v>
      </c>
      <c r="BC138" t="s">
        <v>1810</v>
      </c>
      <c r="BD138" t="s">
        <v>1225</v>
      </c>
      <c r="BE138" t="s">
        <v>1041</v>
      </c>
      <c r="BF138" t="s">
        <v>1044</v>
      </c>
      <c r="BG138" t="s">
        <v>1045</v>
      </c>
      <c r="BH138" t="s">
        <v>5236</v>
      </c>
      <c r="BI138" t="s">
        <v>1285</v>
      </c>
      <c r="BJ138" t="s">
        <v>1777</v>
      </c>
      <c r="BK138" t="s">
        <v>3628</v>
      </c>
      <c r="BL138" t="s">
        <v>5237</v>
      </c>
      <c r="BM138" t="s">
        <v>1810</v>
      </c>
      <c r="BN138">
        <v>1.81</v>
      </c>
      <c r="BO138" t="s">
        <v>19</v>
      </c>
      <c r="BP138" t="s">
        <v>19</v>
      </c>
      <c r="BQ138">
        <v>0.38</v>
      </c>
      <c r="BR138">
        <v>-33</v>
      </c>
      <c r="BS138">
        <v>-26.5</v>
      </c>
      <c r="BT138" t="s">
        <v>1571</v>
      </c>
      <c r="BU138" t="s">
        <v>1334</v>
      </c>
      <c r="BV138">
        <v>12.97</v>
      </c>
      <c r="BW138">
        <v>2.25</v>
      </c>
      <c r="BX138">
        <v>5.83</v>
      </c>
      <c r="BY138">
        <v>-5.0999999999999996</v>
      </c>
      <c r="BZ138">
        <v>-16.55</v>
      </c>
      <c r="CA138">
        <v>-14.39</v>
      </c>
      <c r="CB138">
        <v>3.45</v>
      </c>
      <c r="CC138">
        <v>-12.28</v>
      </c>
      <c r="CD138" t="s">
        <v>5238</v>
      </c>
      <c r="CE138" t="s">
        <v>89</v>
      </c>
      <c r="CF138" s="8">
        <v>0.61538461538461542</v>
      </c>
      <c r="CG138" s="9">
        <v>0.11024465612065544</v>
      </c>
      <c r="CH138" s="8">
        <v>-5.8485139161348343E-2</v>
      </c>
      <c r="CI138" s="8">
        <v>-0.19084557890892029</v>
      </c>
      <c r="CJ138" s="8">
        <v>-2.9732806608080864E-2</v>
      </c>
      <c r="CK138" s="8">
        <v>0.16178393363952637</v>
      </c>
      <c r="CL138" s="8">
        <v>-4.1090093553066254E-2</v>
      </c>
      <c r="CM138" s="9">
        <v>1.317784309387207</v>
      </c>
      <c r="CN138" s="9">
        <v>7.7956989407539368E-2</v>
      </c>
      <c r="CO138" s="9">
        <v>-20.469406127929687</v>
      </c>
      <c r="CP138" s="9">
        <v>-0.48752671480178833</v>
      </c>
      <c r="CQ138" s="9">
        <v>-0.36129283905029297</v>
      </c>
      <c r="CR138">
        <v>-10.918671912485188</v>
      </c>
      <c r="CS138">
        <v>-3.4472102222789833</v>
      </c>
      <c r="CT138">
        <v>0</v>
      </c>
      <c r="CU138" s="8">
        <v>-3.1673936918377874E-2</v>
      </c>
      <c r="CV138" s="9">
        <v>-3.9844968765974045</v>
      </c>
      <c r="CW138">
        <v>0.06</v>
      </c>
      <c r="CX138">
        <v>41.889360000000003</v>
      </c>
      <c r="CY138" t="s">
        <v>5239</v>
      </c>
      <c r="CZ138">
        <v>-3.1673936918377874E-2</v>
      </c>
      <c r="DA138">
        <v>13.96312</v>
      </c>
      <c r="DB138" t="s">
        <v>5240</v>
      </c>
      <c r="DC138">
        <v>-3.0090240072458977E-2</v>
      </c>
      <c r="DD138">
        <v>6.98156</v>
      </c>
      <c r="DE138" t="s">
        <v>5241</v>
      </c>
      <c r="DF138">
        <v>-2.787306448817253E-2</v>
      </c>
      <c r="DG138">
        <v>4.188936</v>
      </c>
      <c r="DH138" t="s">
        <v>5242</v>
      </c>
      <c r="DI138">
        <v>-2.5339149534702302E-2</v>
      </c>
      <c r="DJ138">
        <v>2.094468</v>
      </c>
      <c r="DK138" t="s">
        <v>5243</v>
      </c>
      <c r="DL138">
        <v>-2.2171755842864509E-2</v>
      </c>
      <c r="DM138">
        <v>109000000.00000001</v>
      </c>
      <c r="DN138">
        <v>-3.1673936918377874E-2</v>
      </c>
      <c r="DO138">
        <v>4565940240</v>
      </c>
      <c r="DP138">
        <v>-57876400.000000477</v>
      </c>
      <c r="DQ138">
        <v>4329</v>
      </c>
      <c r="DR138">
        <v>0.64705855230299325</v>
      </c>
      <c r="DS138">
        <v>4.0947415327180599</v>
      </c>
      <c r="DT138" s="10">
        <v>-0.47333333333333338</v>
      </c>
      <c r="DU138">
        <v>-1.4233333333333336</v>
      </c>
      <c r="DV138">
        <v>-1.8966666666666669</v>
      </c>
      <c r="DW138">
        <v>6.2193261284170376</v>
      </c>
      <c r="DX138">
        <v>0.48320650406504145</v>
      </c>
      <c r="DY138">
        <v>6.0314089281007242</v>
      </c>
      <c r="DZ138">
        <v>799</v>
      </c>
      <c r="EA138">
        <v>6.0264978256442703</v>
      </c>
      <c r="EB138">
        <v>6</v>
      </c>
      <c r="EC138">
        <v>5.9112676256748438E-2</v>
      </c>
      <c r="ED138">
        <v>0.41277927034585665</v>
      </c>
      <c r="EE138" s="11">
        <v>0.11111</v>
      </c>
      <c r="EF138">
        <v>0.13731000000000002</v>
      </c>
      <c r="EG138">
        <v>34.143206504065041</v>
      </c>
      <c r="EH138">
        <v>-1</v>
      </c>
      <c r="EI138">
        <v>0</v>
      </c>
      <c r="EJ138">
        <v>1</v>
      </c>
      <c r="EK138" s="13">
        <v>45470</v>
      </c>
      <c r="EL138" s="14">
        <v>-1.77</v>
      </c>
      <c r="EM138" s="14">
        <v>-5.34</v>
      </c>
      <c r="EN138" s="14">
        <v>1.3</v>
      </c>
      <c r="EO138" s="14">
        <v>1.46</v>
      </c>
      <c r="EP138" s="14">
        <v>-2.62</v>
      </c>
    </row>
    <row r="139" spans="1:146" ht="156">
      <c r="A139" s="6"/>
      <c r="B139" s="6"/>
      <c r="C139" s="6" t="str">
        <f>"公司主营业务包括交通、城镇、水利、电力等基础设施的投资、建设、运营、设施制造、综合开发等业务,可为客户提供投资、咨询、设计、建造、运营管理等一站式综合服务。"&amp;CHAR(10)&amp;Basic_Fundamental_Information_Constructure(F139)&amp;CHAR(10)&amp;Basic_Fundamental_Information_Concatenate("建筑业 49.85亿 97.25% 89.39% 10.22%
制造业 7058.81万 1.38% 2.98% 24.06%")</f>
        <v>公司主营业务包括交通、城镇、水利、电力等基础设施的投资、建设、运营、设施制造、综合开发等业务,可为客户提供投资、咨询、设计、建造、运营管理等一站式综合服务。
市值18.260166亿, 利润3.27亿; PE; 平均PE24.05; 平均PEG9.13, PB1.91; ROIC4.9%; ROE-4.41%; 股利率0%; 毛利7.1333%; 净利-12.2233%; 上一年度营收增-24.03%, 利润增252.8%; 当季营收增-13.77%, 利润增-134.31%; 过往5年营收增-2.63%, 利润增-7.26%
Income profile:
建筑业 49.85亿 97.25% 89.39% 10.22%
制造业 7058.81万 1.38% 2.98% 24.06%</v>
      </c>
      <c r="D139" t="s">
        <v>1046</v>
      </c>
      <c r="E139" t="s">
        <v>1047</v>
      </c>
      <c r="F139">
        <v>2.61</v>
      </c>
      <c r="G139">
        <v>3.57</v>
      </c>
      <c r="H139" t="s">
        <v>5244</v>
      </c>
      <c r="I139">
        <v>1826016600</v>
      </c>
      <c r="K139">
        <v>1.91</v>
      </c>
      <c r="L139" t="s">
        <v>361</v>
      </c>
      <c r="M139" t="s">
        <v>4966</v>
      </c>
      <c r="N139" t="s">
        <v>5245</v>
      </c>
      <c r="O139" t="s">
        <v>1456</v>
      </c>
      <c r="P139">
        <v>-16.07</v>
      </c>
      <c r="Q139" t="s">
        <v>5246</v>
      </c>
      <c r="R139">
        <v>-16561239</v>
      </c>
      <c r="S139" s="5">
        <v>0.48010000000000003</v>
      </c>
      <c r="T139" t="s">
        <v>229</v>
      </c>
      <c r="U139">
        <v>699623240</v>
      </c>
      <c r="V139">
        <v>699623240</v>
      </c>
      <c r="W139">
        <v>6.79</v>
      </c>
      <c r="X139">
        <v>0.03</v>
      </c>
      <c r="Y139">
        <v>-8.39</v>
      </c>
      <c r="Z139" t="s">
        <v>707</v>
      </c>
      <c r="AA139" t="s">
        <v>199</v>
      </c>
      <c r="AB139" t="s">
        <v>5247</v>
      </c>
      <c r="AC139" t="s">
        <v>5248</v>
      </c>
      <c r="AD139" t="s">
        <v>19</v>
      </c>
      <c r="AE139">
        <v>25743210</v>
      </c>
      <c r="AF139" t="s">
        <v>5249</v>
      </c>
      <c r="AG139" t="s">
        <v>5250</v>
      </c>
      <c r="AH139" t="s">
        <v>5251</v>
      </c>
      <c r="AI139" t="s">
        <v>1944</v>
      </c>
      <c r="AJ139" t="s">
        <v>5252</v>
      </c>
      <c r="AK139" t="s">
        <v>5253</v>
      </c>
      <c r="AL139" t="s">
        <v>5254</v>
      </c>
      <c r="AM139" t="s">
        <v>19</v>
      </c>
      <c r="AN139" t="s">
        <v>1364</v>
      </c>
      <c r="AO139" t="s">
        <v>5255</v>
      </c>
      <c r="AP139" t="s">
        <v>316</v>
      </c>
      <c r="AQ139" t="s">
        <v>5256</v>
      </c>
      <c r="AR139" t="s">
        <v>5257</v>
      </c>
      <c r="AS139" t="s">
        <v>5258</v>
      </c>
      <c r="AT139" t="s">
        <v>610</v>
      </c>
      <c r="AU139" t="s">
        <v>5259</v>
      </c>
      <c r="AV139" t="s">
        <v>5260</v>
      </c>
      <c r="AW139" t="s">
        <v>218</v>
      </c>
      <c r="AX139" t="s">
        <v>1811</v>
      </c>
      <c r="AY139" t="s">
        <v>1813</v>
      </c>
      <c r="AZ139" t="s">
        <v>1226</v>
      </c>
      <c r="BA139" t="s">
        <v>1048</v>
      </c>
      <c r="BB139" t="s">
        <v>1049</v>
      </c>
      <c r="BC139" t="s">
        <v>1812</v>
      </c>
      <c r="BD139" t="s">
        <v>1814</v>
      </c>
      <c r="BE139" t="s">
        <v>63</v>
      </c>
      <c r="BF139" t="s">
        <v>1050</v>
      </c>
      <c r="BG139" t="s">
        <v>1051</v>
      </c>
      <c r="BH139" t="s">
        <v>5261</v>
      </c>
      <c r="BI139" t="s">
        <v>1390</v>
      </c>
      <c r="BJ139" t="s">
        <v>1811</v>
      </c>
      <c r="BK139" t="s">
        <v>5262</v>
      </c>
      <c r="BL139" t="s">
        <v>5263</v>
      </c>
      <c r="BM139" t="s">
        <v>1812</v>
      </c>
      <c r="BN139" t="s">
        <v>19</v>
      </c>
      <c r="BO139" t="s">
        <v>19</v>
      </c>
      <c r="BP139">
        <v>4.9000000000000004</v>
      </c>
      <c r="BQ139">
        <v>-7.79</v>
      </c>
      <c r="BR139">
        <v>-12.19</v>
      </c>
      <c r="BS139">
        <v>6.75</v>
      </c>
      <c r="BT139" t="s">
        <v>1571</v>
      </c>
      <c r="BU139" t="s">
        <v>1342</v>
      </c>
      <c r="BV139">
        <v>1.65</v>
      </c>
      <c r="BW139">
        <v>8.8800000000000008</v>
      </c>
      <c r="BX139">
        <v>10.87</v>
      </c>
      <c r="BY139">
        <v>-28.99</v>
      </c>
      <c r="BZ139">
        <v>-9.6</v>
      </c>
      <c r="CA139">
        <v>1.92</v>
      </c>
      <c r="CB139">
        <v>8.75</v>
      </c>
      <c r="CC139">
        <v>-14.71</v>
      </c>
      <c r="CD139" t="s">
        <v>105</v>
      </c>
      <c r="CE139" t="s">
        <v>1651</v>
      </c>
      <c r="CF139" s="8">
        <v>-0.13768115942028986</v>
      </c>
      <c r="CG139" s="9">
        <v>-1.3430759972489683</v>
      </c>
      <c r="CH139" s="8">
        <v>-0.24032407999038696</v>
      </c>
      <c r="CI139" s="8">
        <v>-0.55868911743164063</v>
      </c>
      <c r="CJ139" s="8">
        <v>2.9020970687270164E-2</v>
      </c>
      <c r="CK139" s="8">
        <v>0.31214809417724609</v>
      </c>
      <c r="CL139" s="8">
        <v>0.32610240578651428</v>
      </c>
      <c r="CM139" s="9">
        <v>2.5280373096466064</v>
      </c>
      <c r="CN139" s="9">
        <v>-3.2914903163909912</v>
      </c>
      <c r="CO139" s="9">
        <v>-0.13528703153133392</v>
      </c>
      <c r="CP139" s="9">
        <v>0.51240593194961548</v>
      </c>
      <c r="CQ139" s="9">
        <v>2.3396054282784462E-2</v>
      </c>
      <c r="CR139">
        <v>24.048932415782854</v>
      </c>
      <c r="CS139">
        <v>9.1273027176827739</v>
      </c>
      <c r="CT139">
        <v>0</v>
      </c>
      <c r="CU139" s="8">
        <v>-2.6348345354199408E-2</v>
      </c>
      <c r="CV139" s="9">
        <v>-7.2587610408663752E-2</v>
      </c>
      <c r="CW139">
        <v>0.06</v>
      </c>
      <c r="CX139" t="e">
        <v>#VALUE!</v>
      </c>
      <c r="CY139" t="s">
        <v>1284</v>
      </c>
      <c r="CZ139">
        <v>-2.6348345354199408E-2</v>
      </c>
      <c r="DA139">
        <v>7.6289669724770643</v>
      </c>
      <c r="DB139" t="s">
        <v>5264</v>
      </c>
      <c r="DC139">
        <v>-2.5030928086489438E-2</v>
      </c>
      <c r="DD139">
        <v>3.8144834862385322</v>
      </c>
      <c r="DE139" t="s">
        <v>5265</v>
      </c>
      <c r="DF139">
        <v>-2.318654391169548E-2</v>
      </c>
      <c r="DG139">
        <v>2.2886900917431192</v>
      </c>
      <c r="DH139" t="s">
        <v>5266</v>
      </c>
      <c r="DI139">
        <v>-2.1078676283359528E-2</v>
      </c>
      <c r="DJ139">
        <v>1.1443450458715596</v>
      </c>
      <c r="DK139" t="s">
        <v>5267</v>
      </c>
      <c r="DL139">
        <v>-1.8443841747939584E-2</v>
      </c>
      <c r="DM139">
        <v>327000000</v>
      </c>
      <c r="DN139">
        <v>-2.6348345354199408E-2</v>
      </c>
      <c r="DO139">
        <v>7484016600</v>
      </c>
      <c r="DP139">
        <v>-1390548700</v>
      </c>
      <c r="DQ139">
        <v>4335</v>
      </c>
      <c r="DR139">
        <v>-0.11133281406609044</v>
      </c>
      <c r="DS139">
        <v>-1.2704883868403045</v>
      </c>
      <c r="DT139" s="10">
        <v>-0.54</v>
      </c>
      <c r="DU139">
        <v>-1.1983333333333335</v>
      </c>
      <c r="DV139">
        <v>-1.7383333333333335</v>
      </c>
      <c r="DW139">
        <v>7.3729752770673489</v>
      </c>
      <c r="DX139">
        <v>0.41791411042944815</v>
      </c>
      <c r="DY139">
        <v>7.0663575646316144</v>
      </c>
      <c r="DZ139">
        <v>1996</v>
      </c>
      <c r="EA139">
        <v>7.0404378583684633</v>
      </c>
      <c r="EB139">
        <v>7</v>
      </c>
      <c r="EC139">
        <v>0.1658035259091736</v>
      </c>
      <c r="ED139">
        <v>0.93193016286880348</v>
      </c>
      <c r="EE139" s="11">
        <v>3.0842999999999998</v>
      </c>
      <c r="EF139">
        <v>3.0773000000000001</v>
      </c>
      <c r="EG139">
        <v>24.177914110429448</v>
      </c>
      <c r="EH139" t="s">
        <v>1296</v>
      </c>
      <c r="EI139">
        <v>1</v>
      </c>
      <c r="EJ139">
        <v>0</v>
      </c>
      <c r="EK139" s="13">
        <v>45470</v>
      </c>
      <c r="EL139" s="14">
        <v>0.16</v>
      </c>
      <c r="EM139" s="14">
        <v>-2.4900000000000002</v>
      </c>
      <c r="EN139">
        <v>1.76</v>
      </c>
      <c r="EO139">
        <v>1.65</v>
      </c>
      <c r="EP139">
        <v>-0.7</v>
      </c>
    </row>
    <row r="140" spans="1:146" ht="108">
      <c r="A140" s="6"/>
      <c r="B140" s="6"/>
      <c r="C140" s="6" t="str">
        <f>""&amp;CHAR(10)&amp;Basic_Fundamental_Information_Constructure(F140)&amp;CHAR(10)&amp;Basic_Fundamental_Information_Concatenate("")</f>
        <v xml:space="preserve">
市值18.87044亿, 利润1.10亿; PE43.72; 平均PE34.93; 平均PEG.1, PB2.46; ROIC3.6533%; ROE4.1833%; 股利率.5466%; 毛利48.9933%; 净利18.09%; 上一年度营收增1824.44%, 利润增186.1%; 当季营收增-96.9%, 利润增-112.55%; 过往5年营收增366.97%, 利润增34.88%
Income profile:
</v>
      </c>
      <c r="D140" t="s">
        <v>1052</v>
      </c>
      <c r="E140" t="s">
        <v>1053</v>
      </c>
      <c r="F140">
        <v>28.3</v>
      </c>
      <c r="G140">
        <v>3.1</v>
      </c>
      <c r="H140" t="s">
        <v>5268</v>
      </c>
      <c r="I140">
        <v>1887044000</v>
      </c>
      <c r="J140">
        <v>43.72</v>
      </c>
      <c r="K140">
        <v>2.46</v>
      </c>
      <c r="L140" t="s">
        <v>361</v>
      </c>
      <c r="M140" t="s">
        <v>72</v>
      </c>
      <c r="N140" t="s">
        <v>1304</v>
      </c>
      <c r="O140" t="s">
        <v>5269</v>
      </c>
      <c r="P140">
        <v>-16.64</v>
      </c>
      <c r="Q140" t="s">
        <v>5270</v>
      </c>
      <c r="R140">
        <v>-4387243</v>
      </c>
      <c r="S140" s="5">
        <v>-2.089</v>
      </c>
      <c r="T140" t="s">
        <v>46</v>
      </c>
      <c r="U140">
        <v>66680000</v>
      </c>
      <c r="V140">
        <v>66680000</v>
      </c>
      <c r="W140">
        <v>1.1200000000000001</v>
      </c>
      <c r="X140">
        <v>0.03</v>
      </c>
      <c r="Y140">
        <v>-17.97</v>
      </c>
      <c r="Z140" t="s">
        <v>5271</v>
      </c>
      <c r="AA140" t="s">
        <v>5272</v>
      </c>
      <c r="AB140" t="s">
        <v>5273</v>
      </c>
      <c r="AC140" t="s">
        <v>5274</v>
      </c>
      <c r="AD140" t="s">
        <v>19</v>
      </c>
      <c r="AE140">
        <v>-816608</v>
      </c>
      <c r="AF140" t="s">
        <v>20</v>
      </c>
      <c r="AG140" t="s">
        <v>19</v>
      </c>
      <c r="AH140" t="s">
        <v>5275</v>
      </c>
      <c r="AI140" t="s">
        <v>1831</v>
      </c>
      <c r="AJ140" t="s">
        <v>5276</v>
      </c>
      <c r="AK140" t="s">
        <v>19</v>
      </c>
      <c r="AL140" t="s">
        <v>5277</v>
      </c>
      <c r="AM140" t="s">
        <v>19</v>
      </c>
      <c r="AN140" t="s">
        <v>5278</v>
      </c>
      <c r="AO140" t="s">
        <v>19</v>
      </c>
      <c r="AP140" t="s">
        <v>19</v>
      </c>
      <c r="AQ140" t="s">
        <v>5279</v>
      </c>
      <c r="AR140" t="s">
        <v>19</v>
      </c>
      <c r="AS140" t="s">
        <v>5280</v>
      </c>
      <c r="AT140" t="s">
        <v>19</v>
      </c>
      <c r="AU140" t="s">
        <v>5281</v>
      </c>
      <c r="AV140" t="s">
        <v>5282</v>
      </c>
      <c r="AW140" t="s">
        <v>19</v>
      </c>
      <c r="AX140" t="s">
        <v>22</v>
      </c>
      <c r="AY140" t="s">
        <v>92</v>
      </c>
      <c r="AZ140" t="s">
        <v>125</v>
      </c>
      <c r="BA140" t="s">
        <v>183</v>
      </c>
      <c r="BB140" t="s">
        <v>111</v>
      </c>
      <c r="BC140" t="s">
        <v>1815</v>
      </c>
      <c r="BD140" t="s">
        <v>1227</v>
      </c>
      <c r="BE140" t="s">
        <v>1054</v>
      </c>
      <c r="BF140" t="s">
        <v>1055</v>
      </c>
      <c r="BG140" t="s">
        <v>1056</v>
      </c>
      <c r="BH140" t="s">
        <v>1727</v>
      </c>
      <c r="BI140" t="s">
        <v>2285</v>
      </c>
      <c r="BJ140" t="s">
        <v>22</v>
      </c>
      <c r="BK140" t="s">
        <v>5283</v>
      </c>
      <c r="BL140" t="s">
        <v>5284</v>
      </c>
      <c r="BM140" t="s">
        <v>1815</v>
      </c>
      <c r="BN140">
        <v>1.31</v>
      </c>
      <c r="BO140">
        <v>4.9000000000000004</v>
      </c>
      <c r="BP140">
        <v>4.75</v>
      </c>
      <c r="BQ140">
        <v>1.62</v>
      </c>
      <c r="BR140">
        <v>5.37</v>
      </c>
      <c r="BS140">
        <v>5.56</v>
      </c>
      <c r="BT140" t="s">
        <v>5285</v>
      </c>
      <c r="BU140" t="s">
        <v>1234</v>
      </c>
      <c r="BV140">
        <v>49.77</v>
      </c>
      <c r="BW140">
        <v>48.58</v>
      </c>
      <c r="BX140">
        <v>48.63</v>
      </c>
      <c r="BY140">
        <v>19.91</v>
      </c>
      <c r="BZ140">
        <v>16.559999999999999</v>
      </c>
      <c r="CA140">
        <v>17.8</v>
      </c>
      <c r="CB140">
        <v>-2.41</v>
      </c>
      <c r="CC140">
        <v>4.37</v>
      </c>
      <c r="CD140" t="s">
        <v>5286</v>
      </c>
      <c r="CE140" t="s">
        <v>131</v>
      </c>
      <c r="CF140" s="8">
        <v>-0.96899149484536085</v>
      </c>
      <c r="CG140" s="9">
        <v>-1.1254666632348989</v>
      </c>
      <c r="CH140" s="8">
        <v>18.244443893432617</v>
      </c>
      <c r="CI140" s="8">
        <v>0.10837438702583313</v>
      </c>
      <c r="CJ140" s="8">
        <v>0.12777778506278992</v>
      </c>
      <c r="CK140" s="8">
        <v>-0.17050690948963165</v>
      </c>
      <c r="CL140" s="8">
        <v>3.8277510553598404E-2</v>
      </c>
      <c r="CM140" s="9">
        <v>1.8610368967056274</v>
      </c>
      <c r="CN140" s="9">
        <v>1.7581840977072716E-2</v>
      </c>
      <c r="CO140" s="9">
        <v>7.8281290829181671E-2</v>
      </c>
      <c r="CP140" s="9">
        <v>-0.36320465803146362</v>
      </c>
      <c r="CQ140" s="9">
        <v>0.15018738806247711</v>
      </c>
      <c r="CR140">
        <v>34.930370727785473</v>
      </c>
      <c r="CS140">
        <v>9.5186594432403293E-2</v>
      </c>
      <c r="CT140">
        <v>0.546643109540636</v>
      </c>
      <c r="CU140" s="8">
        <v>3.6696733333170415</v>
      </c>
      <c r="CV140" s="9">
        <v>0.34877655170857907</v>
      </c>
      <c r="CW140">
        <v>0.06</v>
      </c>
      <c r="CX140">
        <v>2.5837249014069577</v>
      </c>
      <c r="CY140">
        <v>484588742.13667417</v>
      </c>
      <c r="CZ140">
        <v>3.6696733333170415</v>
      </c>
      <c r="DA140">
        <v>0.11620167058095136</v>
      </c>
      <c r="DB140">
        <v>10774750429.493776</v>
      </c>
      <c r="DC140">
        <v>3.4861896666511893</v>
      </c>
      <c r="DD140">
        <v>2.1146883383664017E-3</v>
      </c>
      <c r="DE140">
        <v>592070224857.43921</v>
      </c>
      <c r="DF140">
        <v>3.2293125333189967</v>
      </c>
      <c r="DG140">
        <v>1.6701176242981063E-5</v>
      </c>
      <c r="DH140">
        <v>74967414377546.703</v>
      </c>
      <c r="DI140">
        <v>2.9357386666536334</v>
      </c>
      <c r="DJ140">
        <v>2.2851364304703727E-10</v>
      </c>
      <c r="DK140">
        <v>5.4790776747727012E+18</v>
      </c>
      <c r="DL140">
        <v>2.5687713333219291</v>
      </c>
      <c r="DM140">
        <v>110000000.00000001</v>
      </c>
      <c r="DN140">
        <v>3.6696733333170415</v>
      </c>
      <c r="DO140">
        <v>1252044000</v>
      </c>
      <c r="DP140">
        <v>331818410</v>
      </c>
      <c r="DQ140">
        <v>4341</v>
      </c>
      <c r="DR140">
        <v>-4.6386648281624021</v>
      </c>
      <c r="DS140">
        <v>-1.4742432149434779</v>
      </c>
      <c r="DT140" s="10">
        <v>-0.25666666666666665</v>
      </c>
      <c r="DU140">
        <v>-0.6150000000000001</v>
      </c>
      <c r="DV140">
        <v>-0.87166666666666681</v>
      </c>
      <c r="DW140">
        <v>1.0437000000000001</v>
      </c>
      <c r="DX140">
        <v>0.45577569444444621</v>
      </c>
      <c r="DY140">
        <v>1.0085553978472221</v>
      </c>
      <c r="DZ140">
        <v>2290</v>
      </c>
      <c r="EA140">
        <v>1.0047213741544356</v>
      </c>
      <c r="EB140">
        <v>1</v>
      </c>
      <c r="EC140">
        <v>0.42279094181163768</v>
      </c>
      <c r="ED140">
        <v>2.1595680863827234</v>
      </c>
      <c r="EE140" s="11">
        <v>3.08121</v>
      </c>
      <c r="EF140">
        <v>3.1030099999999998</v>
      </c>
      <c r="EG140">
        <v>26.195775694444446</v>
      </c>
      <c r="EH140" t="s">
        <v>1303</v>
      </c>
      <c r="EI140">
        <v>0</v>
      </c>
      <c r="EJ140">
        <v>0</v>
      </c>
      <c r="EK140" s="13">
        <v>45470</v>
      </c>
      <c r="EL140" s="14">
        <v>-0.12</v>
      </c>
      <c r="EM140" s="14">
        <v>-3.54</v>
      </c>
      <c r="EN140">
        <v>0.38</v>
      </c>
      <c r="EO140">
        <v>3.91</v>
      </c>
      <c r="EP140">
        <v>-2.1800000000000002</v>
      </c>
    </row>
    <row r="141" spans="1:146" ht="108">
      <c r="A141" s="6"/>
      <c r="B141" s="6"/>
      <c r="C141" s="6" t="str">
        <f>""&amp;CHAR(10)&amp;Basic_Fundamental_Information_Constructure(F141)&amp;CHAR(10)&amp;Basic_Fundamental_Information_Concatenate("")</f>
        <v xml:space="preserve">
市值21.688005亿, 利润3536.84万; PE26.66; 平均PE40.45; 平均PEG6.45, PB2.13; ROIC4.48%; ROE4.67%; 股利率.9615%; 毛利20.5133%; 净利4.0967%; 上一年度营收增-49.64%, 利润增-37.58%; 当季营收增1368.47%, 利润增420.92%; 过往5年营收增6.27%, 利润增-7.78%
Income profile:
</v>
      </c>
      <c r="D141" t="s">
        <v>1057</v>
      </c>
      <c r="E141" t="s">
        <v>1319</v>
      </c>
      <c r="F141">
        <v>8.32</v>
      </c>
      <c r="G141">
        <v>0.36</v>
      </c>
      <c r="H141" t="s">
        <v>5287</v>
      </c>
      <c r="I141">
        <v>2168800500</v>
      </c>
      <c r="J141">
        <v>26.66</v>
      </c>
      <c r="K141">
        <v>2.13</v>
      </c>
      <c r="L141" t="s">
        <v>361</v>
      </c>
      <c r="M141" t="s">
        <v>5288</v>
      </c>
      <c r="N141" t="s">
        <v>1937</v>
      </c>
      <c r="O141" t="s">
        <v>2043</v>
      </c>
      <c r="P141">
        <v>465.82</v>
      </c>
      <c r="Q141" t="s">
        <v>1850</v>
      </c>
      <c r="R141">
        <v>22350805</v>
      </c>
      <c r="S141" s="5">
        <v>2.2320000000000002</v>
      </c>
      <c r="T141" t="s">
        <v>5289</v>
      </c>
      <c r="U141">
        <v>260673140</v>
      </c>
      <c r="V141">
        <v>260673140</v>
      </c>
      <c r="W141">
        <v>2.74</v>
      </c>
      <c r="X141">
        <v>0.53</v>
      </c>
      <c r="Y141">
        <v>1.82</v>
      </c>
      <c r="Z141" t="s">
        <v>5290</v>
      </c>
      <c r="AA141" t="s">
        <v>1816</v>
      </c>
      <c r="AB141" t="s">
        <v>5291</v>
      </c>
      <c r="AC141" t="s">
        <v>5292</v>
      </c>
      <c r="AD141" t="s">
        <v>19</v>
      </c>
      <c r="AE141">
        <v>-615842</v>
      </c>
      <c r="AF141" t="s">
        <v>5293</v>
      </c>
      <c r="AG141" t="s">
        <v>5294</v>
      </c>
      <c r="AH141" t="s">
        <v>5295</v>
      </c>
      <c r="AI141" t="s">
        <v>1574</v>
      </c>
      <c r="AJ141" t="s">
        <v>5296</v>
      </c>
      <c r="AK141" t="s">
        <v>5297</v>
      </c>
      <c r="AL141" t="s">
        <v>5298</v>
      </c>
      <c r="AM141" t="s">
        <v>19</v>
      </c>
      <c r="AN141">
        <v>0</v>
      </c>
      <c r="AO141" t="s">
        <v>5299</v>
      </c>
      <c r="AP141" t="s">
        <v>19</v>
      </c>
      <c r="AQ141" t="s">
        <v>1780</v>
      </c>
      <c r="AR141" t="s">
        <v>5300</v>
      </c>
      <c r="AS141" t="s">
        <v>5301</v>
      </c>
      <c r="AT141" t="s">
        <v>19</v>
      </c>
      <c r="AU141" t="s">
        <v>5302</v>
      </c>
      <c r="AV141" t="s">
        <v>5303</v>
      </c>
      <c r="AW141" t="s">
        <v>5304</v>
      </c>
      <c r="AX141" t="s">
        <v>1467</v>
      </c>
      <c r="AY141" t="s">
        <v>349</v>
      </c>
      <c r="AZ141" t="s">
        <v>1058</v>
      </c>
      <c r="BA141" t="s">
        <v>283</v>
      </c>
      <c r="BB141" t="s">
        <v>272</v>
      </c>
      <c r="BC141" t="s">
        <v>5305</v>
      </c>
      <c r="BD141" t="s">
        <v>1228</v>
      </c>
      <c r="BE141" t="s">
        <v>1059</v>
      </c>
      <c r="BF141" t="s">
        <v>1060</v>
      </c>
      <c r="BG141" t="s">
        <v>1061</v>
      </c>
      <c r="BH141" t="s">
        <v>5306</v>
      </c>
      <c r="BI141" t="s">
        <v>91</v>
      </c>
      <c r="BJ141" t="s">
        <v>1467</v>
      </c>
      <c r="BK141" t="s">
        <v>5307</v>
      </c>
      <c r="BL141" t="s">
        <v>5308</v>
      </c>
      <c r="BM141" t="s">
        <v>5305</v>
      </c>
      <c r="BN141">
        <v>3.32</v>
      </c>
      <c r="BO141">
        <v>5.6</v>
      </c>
      <c r="BP141">
        <v>4.5199999999999996</v>
      </c>
      <c r="BQ141">
        <v>3.1</v>
      </c>
      <c r="BR141">
        <v>6.22</v>
      </c>
      <c r="BS141">
        <v>4.6900000000000004</v>
      </c>
      <c r="BT141" t="s">
        <v>1596</v>
      </c>
      <c r="BU141" t="s">
        <v>1234</v>
      </c>
      <c r="BV141">
        <v>8.86</v>
      </c>
      <c r="BW141">
        <v>22.57</v>
      </c>
      <c r="BX141">
        <v>30.11</v>
      </c>
      <c r="BY141">
        <v>2.0299999999999998</v>
      </c>
      <c r="BZ141">
        <v>4.91</v>
      </c>
      <c r="CA141">
        <v>5.35</v>
      </c>
      <c r="CB141">
        <v>0</v>
      </c>
      <c r="CC141">
        <v>-18.829999999999998</v>
      </c>
      <c r="CD141" t="s">
        <v>5309</v>
      </c>
      <c r="CE141" t="s">
        <v>5310</v>
      </c>
      <c r="CF141" s="8">
        <v>13.684684684684683</v>
      </c>
      <c r="CG141" s="9">
        <v>4.2092492891437097</v>
      </c>
      <c r="CH141" s="8">
        <v>-0.4964313805103302</v>
      </c>
      <c r="CI141" s="8">
        <v>0.4994053840637207</v>
      </c>
      <c r="CJ141" s="8">
        <v>5.52070252597332E-2</v>
      </c>
      <c r="CK141" s="8">
        <v>4.5931760221719742E-2</v>
      </c>
      <c r="CL141" s="8">
        <v>0.20952381193637848</v>
      </c>
      <c r="CM141" s="9">
        <v>-0.37578383088111877</v>
      </c>
      <c r="CN141" s="9">
        <v>0.4015544056892395</v>
      </c>
      <c r="CO141" s="9">
        <v>-0.14343617856502533</v>
      </c>
      <c r="CP141" s="9">
        <v>-0.36369740962982178</v>
      </c>
      <c r="CQ141" s="9">
        <v>9.2456378042697906E-2</v>
      </c>
      <c r="CR141">
        <v>40.447427494720586</v>
      </c>
      <c r="CS141">
        <v>6.4481357356681537</v>
      </c>
      <c r="CT141">
        <v>0.96153846153846156</v>
      </c>
      <c r="CU141" s="8">
        <v>6.2727320194244388E-2</v>
      </c>
      <c r="CV141" s="9">
        <v>-7.7781327068805695E-2</v>
      </c>
      <c r="CW141">
        <v>0.06</v>
      </c>
      <c r="CX141">
        <v>82.003655628285273</v>
      </c>
      <c r="CY141">
        <v>35459400.897696339</v>
      </c>
      <c r="CZ141">
        <v>6.2727320194244388E-2</v>
      </c>
      <c r="DA141">
        <v>27.426043687905363</v>
      </c>
      <c r="DB141">
        <v>106023330.71037562</v>
      </c>
      <c r="DC141">
        <v>5.9590954184532162E-2</v>
      </c>
      <c r="DD141">
        <v>13.921422898034093</v>
      </c>
      <c r="DE141">
        <v>208872363.21300343</v>
      </c>
      <c r="DF141">
        <v>5.5200041770935064E-2</v>
      </c>
      <c r="DG141">
        <v>8.6501079061691328</v>
      </c>
      <c r="DH141">
        <v>336157714.04726619</v>
      </c>
      <c r="DI141">
        <v>5.0181856155395513E-2</v>
      </c>
      <c r="DJ141">
        <v>4.8082211725630044</v>
      </c>
      <c r="DK141">
        <v>604755978.48798788</v>
      </c>
      <c r="DL141">
        <v>4.3909124135971069E-2</v>
      </c>
      <c r="DM141">
        <v>35368400</v>
      </c>
      <c r="DN141">
        <v>6.2727320194244388E-2</v>
      </c>
      <c r="DO141">
        <v>2907800500</v>
      </c>
      <c r="DP141">
        <v>738819400</v>
      </c>
      <c r="DQ141">
        <v>4374</v>
      </c>
      <c r="DR141">
        <v>13.621957364490438</v>
      </c>
      <c r="DS141">
        <v>4.2870306162125154</v>
      </c>
      <c r="DT141" s="10">
        <v>-0.35666666666666669</v>
      </c>
      <c r="DU141">
        <v>-0.13333333333333333</v>
      </c>
      <c r="DV141">
        <v>-0.49</v>
      </c>
      <c r="DW141">
        <v>-3.0320059523809522</v>
      </c>
      <c r="DX141">
        <v>0.36674735249621659</v>
      </c>
      <c r="DY141">
        <v>-3.004696788776025</v>
      </c>
      <c r="DZ141">
        <v>3380</v>
      </c>
      <c r="EA141">
        <v>-3.0015901065719222</v>
      </c>
      <c r="EB141">
        <v>3</v>
      </c>
      <c r="EC141">
        <v>2.4633915101494538E-2</v>
      </c>
      <c r="ED141">
        <v>0.16786616373286484</v>
      </c>
      <c r="EE141" s="11">
        <v>-1.0805100000000001</v>
      </c>
      <c r="EF141">
        <v>-1.08551</v>
      </c>
      <c r="EG141">
        <v>22.146747352496217</v>
      </c>
      <c r="EH141" t="s">
        <v>1265</v>
      </c>
      <c r="EI141">
        <v>0</v>
      </c>
      <c r="EJ141">
        <v>0</v>
      </c>
      <c r="EK141" s="13">
        <v>45470</v>
      </c>
      <c r="EL141" s="14">
        <v>-0.33</v>
      </c>
      <c r="EM141" s="14">
        <v>-5.1100000000000003</v>
      </c>
      <c r="EN141">
        <v>-0.52</v>
      </c>
      <c r="EO141">
        <v>5.0599999999999996</v>
      </c>
      <c r="EP141">
        <v>-0.5</v>
      </c>
    </row>
    <row r="142" spans="1:146" ht="108">
      <c r="A142" s="6"/>
      <c r="B142" s="6"/>
      <c r="C142" s="6" t="str">
        <f>""&amp;CHAR(10)&amp;Basic_Fundamental_Information_Constructure(F142)&amp;CHAR(10)&amp;Basic_Fundamental_Information_Concatenate("")</f>
        <v xml:space="preserve">
市值49.307496亿, 利润1.75亿; PE13.29; 平均PE50.57; 平均PEG8.08, PB3.2; ROIC9.88%; ROE11.4567%; 股利率4.3271%; 毛利10.95%; 净利5.1%; 上一年度营收增-77.13%, 利润增15.89%; 当季营收增580.75%, 利润增319.09%; 过往5年营收增6.26%, 利润增106.38%
Income profile:
</v>
      </c>
      <c r="D142" t="s">
        <v>1062</v>
      </c>
      <c r="E142" t="s">
        <v>1063</v>
      </c>
      <c r="F142">
        <v>23.11</v>
      </c>
      <c r="G142">
        <v>0</v>
      </c>
      <c r="H142" t="s">
        <v>5311</v>
      </c>
      <c r="I142">
        <v>4930749600</v>
      </c>
      <c r="J142">
        <v>13.29</v>
      </c>
      <c r="K142">
        <v>3.2</v>
      </c>
      <c r="L142" t="s">
        <v>361</v>
      </c>
      <c r="M142" t="s">
        <v>5312</v>
      </c>
      <c r="N142" t="s">
        <v>5313</v>
      </c>
      <c r="O142" t="s">
        <v>845</v>
      </c>
      <c r="P142">
        <v>239.64</v>
      </c>
      <c r="Q142" t="s">
        <v>2146</v>
      </c>
      <c r="R142">
        <v>116836672</v>
      </c>
      <c r="S142" s="5">
        <v>2.581</v>
      </c>
      <c r="T142" t="s">
        <v>336</v>
      </c>
      <c r="U142">
        <v>213360000</v>
      </c>
      <c r="V142">
        <v>213360000</v>
      </c>
      <c r="W142">
        <v>2.4500000000000002</v>
      </c>
      <c r="X142">
        <v>0.3</v>
      </c>
      <c r="Y142">
        <v>10.62</v>
      </c>
      <c r="Z142" t="s">
        <v>746</v>
      </c>
      <c r="AA142" t="s">
        <v>1495</v>
      </c>
      <c r="AB142" t="s">
        <v>5314</v>
      </c>
      <c r="AC142" t="s">
        <v>5315</v>
      </c>
      <c r="AD142" t="s">
        <v>19</v>
      </c>
      <c r="AE142">
        <v>-10506437</v>
      </c>
      <c r="AF142" t="s">
        <v>5316</v>
      </c>
      <c r="AG142" t="s">
        <v>19</v>
      </c>
      <c r="AH142" t="s">
        <v>5317</v>
      </c>
      <c r="AI142" t="s">
        <v>1674</v>
      </c>
      <c r="AJ142" t="s">
        <v>5318</v>
      </c>
      <c r="AK142" t="s">
        <v>5319</v>
      </c>
      <c r="AL142" t="s">
        <v>5320</v>
      </c>
      <c r="AM142" t="s">
        <v>19</v>
      </c>
      <c r="AN142">
        <v>0</v>
      </c>
      <c r="AO142" t="s">
        <v>19</v>
      </c>
      <c r="AP142" t="s">
        <v>19</v>
      </c>
      <c r="AQ142" t="s">
        <v>5321</v>
      </c>
      <c r="AR142" t="s">
        <v>5322</v>
      </c>
      <c r="AS142" t="s">
        <v>4180</v>
      </c>
      <c r="AT142" t="s">
        <v>19</v>
      </c>
      <c r="AU142" t="s">
        <v>3233</v>
      </c>
      <c r="AV142" t="s">
        <v>5323</v>
      </c>
      <c r="AW142" t="s">
        <v>5324</v>
      </c>
      <c r="AX142" t="s">
        <v>1444</v>
      </c>
      <c r="AY142" t="s">
        <v>1449</v>
      </c>
      <c r="AZ142" t="s">
        <v>844</v>
      </c>
      <c r="BA142" t="s">
        <v>285</v>
      </c>
      <c r="BB142" t="s">
        <v>1065</v>
      </c>
      <c r="BC142" t="s">
        <v>489</v>
      </c>
      <c r="BD142" t="s">
        <v>1229</v>
      </c>
      <c r="BE142" t="s">
        <v>1064</v>
      </c>
      <c r="BF142" t="s">
        <v>106</v>
      </c>
      <c r="BG142" t="s">
        <v>49</v>
      </c>
      <c r="BH142" t="s">
        <v>5325</v>
      </c>
      <c r="BI142" t="s">
        <v>49</v>
      </c>
      <c r="BJ142" t="s">
        <v>1444</v>
      </c>
      <c r="BK142" t="s">
        <v>707</v>
      </c>
      <c r="BL142" t="s">
        <v>5326</v>
      </c>
      <c r="BM142" t="s">
        <v>489</v>
      </c>
      <c r="BN142">
        <v>14.99</v>
      </c>
      <c r="BO142">
        <v>12.5</v>
      </c>
      <c r="BP142">
        <v>2.15</v>
      </c>
      <c r="BQ142">
        <v>18.27</v>
      </c>
      <c r="BR142">
        <v>13.68</v>
      </c>
      <c r="BS142">
        <v>2.42</v>
      </c>
      <c r="BT142" t="s">
        <v>5327</v>
      </c>
      <c r="BU142" t="s">
        <v>1336</v>
      </c>
      <c r="BV142">
        <v>14.17</v>
      </c>
      <c r="BW142">
        <v>10.79</v>
      </c>
      <c r="BX142">
        <v>7.89</v>
      </c>
      <c r="BY142">
        <v>9.15</v>
      </c>
      <c r="BZ142">
        <v>4.99</v>
      </c>
      <c r="CA142">
        <v>1.1599999999999999</v>
      </c>
      <c r="CB142">
        <v>-3.31</v>
      </c>
      <c r="CC142">
        <v>-6.93</v>
      </c>
      <c r="CD142" t="s">
        <v>5328</v>
      </c>
      <c r="CE142" t="s">
        <v>5329</v>
      </c>
      <c r="CF142" s="8">
        <v>5.8074534161490687</v>
      </c>
      <c r="CG142" s="9">
        <v>3.190938934802571</v>
      </c>
      <c r="CH142" s="8">
        <v>-0.77130633592605591</v>
      </c>
      <c r="CI142" s="8">
        <v>0.37386983633041382</v>
      </c>
      <c r="CJ142" s="8">
        <v>1.3810549974441528</v>
      </c>
      <c r="CK142" s="8">
        <v>-0.50872558355331421</v>
      </c>
      <c r="CL142" s="8">
        <v>-0.16179075837135315</v>
      </c>
      <c r="CM142" s="9">
        <v>0.15894040465354919</v>
      </c>
      <c r="CN142" s="9">
        <v>5.0553808212280273</v>
      </c>
      <c r="CO142" s="9">
        <v>1.7571336030960083</v>
      </c>
      <c r="CP142" s="9">
        <v>-1.3107112646102905</v>
      </c>
      <c r="CQ142" s="9">
        <v>-0.34161490201950073</v>
      </c>
      <c r="CR142">
        <v>50.571695677153429</v>
      </c>
      <c r="CS142">
        <v>8.0759098460909531</v>
      </c>
      <c r="CT142">
        <v>4.3271311120726956</v>
      </c>
      <c r="CU142" s="8">
        <v>6.2620431184768677E-2</v>
      </c>
      <c r="CV142" s="9">
        <v>1.0638257324695588</v>
      </c>
      <c r="CW142">
        <v>0.06</v>
      </c>
      <c r="CX142">
        <v>31.11023281272303</v>
      </c>
      <c r="CY142">
        <v>175432618.35597596</v>
      </c>
      <c r="CZ142">
        <v>6.2620431184768677E-2</v>
      </c>
      <c r="DA142">
        <v>10.405734961831843</v>
      </c>
      <c r="DB142">
        <v>524494388.91332364</v>
      </c>
      <c r="DC142">
        <v>5.9489409625530239E-2</v>
      </c>
      <c r="DD142">
        <v>5.2825665569853903</v>
      </c>
      <c r="DE142">
        <v>1033162486.6671971</v>
      </c>
      <c r="DF142">
        <v>5.5105979442596438E-2</v>
      </c>
      <c r="DG142">
        <v>3.2827640203841759</v>
      </c>
      <c r="DH142">
        <v>1662547038.4439297</v>
      </c>
      <c r="DI142">
        <v>5.0096344947814946E-2</v>
      </c>
      <c r="DJ142">
        <v>1.825247713433799</v>
      </c>
      <c r="DK142">
        <v>2990141863.9404588</v>
      </c>
      <c r="DL142">
        <v>4.383430182933807E-2</v>
      </c>
      <c r="DM142">
        <v>175000000</v>
      </c>
      <c r="DN142">
        <v>6.2620431184768677E-2</v>
      </c>
      <c r="DO142">
        <v>5457749600</v>
      </c>
      <c r="DP142">
        <v>1381029100</v>
      </c>
      <c r="DQ142">
        <v>4386</v>
      </c>
      <c r="DR142">
        <v>5.7448329849643001</v>
      </c>
      <c r="DS142">
        <v>2.1271132023330122</v>
      </c>
      <c r="DT142" s="10">
        <v>-0.57333333333333336</v>
      </c>
      <c r="DU142">
        <v>0.49</v>
      </c>
      <c r="DV142">
        <v>-8.333333333333337E-2</v>
      </c>
      <c r="DW142">
        <v>-8.4776334776334785</v>
      </c>
      <c r="DX142">
        <v>0.3208005069446227</v>
      </c>
      <c r="DY142">
        <v>-8.0481456966791782</v>
      </c>
      <c r="DZ142">
        <v>1641</v>
      </c>
      <c r="EA142">
        <v>-8.032684426962831</v>
      </c>
      <c r="EB142">
        <v>8</v>
      </c>
      <c r="EC142">
        <v>4.3838582677165353E-2</v>
      </c>
      <c r="ED142">
        <v>0.43490438695163114</v>
      </c>
      <c r="EE142" s="11">
        <v>-3.0515099999999999</v>
      </c>
      <c r="EF142">
        <v>-3.0998100000000002</v>
      </c>
      <c r="EG142">
        <v>22.100800506944623</v>
      </c>
      <c r="EH142" t="s">
        <v>1897</v>
      </c>
      <c r="EI142">
        <v>0</v>
      </c>
      <c r="EJ142">
        <v>0</v>
      </c>
      <c r="EK142" s="13">
        <v>45470</v>
      </c>
      <c r="EL142" s="14">
        <v>-1.6</v>
      </c>
      <c r="EM142" s="14">
        <v>-3.6</v>
      </c>
      <c r="EN142">
        <v>-4.83</v>
      </c>
      <c r="EO142">
        <v>2.11</v>
      </c>
      <c r="EP142">
        <v>-4.83</v>
      </c>
    </row>
    <row r="143" spans="1:146" ht="108">
      <c r="A143" s="6"/>
      <c r="B143" s="6"/>
      <c r="C143" s="6" t="str">
        <f>""&amp;CHAR(10)&amp;Basic_Fundamental_Information_Constructure(F143)&amp;CHAR(10)&amp;Basic_Fundamental_Information_Concatenate("")</f>
        <v xml:space="preserve">
市值11.346192亿, 利润2333.76万; PE; 平均PE17.96; 平均PEG.23, PB.736; ROIC1.69%; ROE1.7933%; 股利率0%; 毛利15.8467%; 净利-12.0333%; 上一年度营收增462.3%, 利润增117.14%; 当季营收增-83.95%, 利润增120%; 过往5年营收增76.77%, 利润增1.15%
Income profile:
</v>
      </c>
      <c r="D143" t="s">
        <v>1066</v>
      </c>
      <c r="E143" t="s">
        <v>1067</v>
      </c>
      <c r="F143">
        <v>8.36</v>
      </c>
      <c r="G143">
        <v>1.33</v>
      </c>
      <c r="H143" t="s">
        <v>5330</v>
      </c>
      <c r="I143">
        <v>1134619200</v>
      </c>
      <c r="K143">
        <v>0.73599999999999999</v>
      </c>
      <c r="L143" t="s">
        <v>361</v>
      </c>
      <c r="M143" t="s">
        <v>2050</v>
      </c>
      <c r="N143" t="s">
        <v>1836</v>
      </c>
      <c r="O143" t="s">
        <v>5331</v>
      </c>
      <c r="P143">
        <v>-18.48</v>
      </c>
      <c r="Q143" t="s">
        <v>1710</v>
      </c>
      <c r="R143">
        <v>8885446</v>
      </c>
      <c r="S143" s="5">
        <v>7.4189999999999996</v>
      </c>
      <c r="T143" t="s">
        <v>5332</v>
      </c>
      <c r="U143">
        <v>135720000</v>
      </c>
      <c r="V143">
        <v>135720000</v>
      </c>
      <c r="W143">
        <v>1.6</v>
      </c>
      <c r="X143">
        <v>0.01</v>
      </c>
      <c r="Y143">
        <v>49.06</v>
      </c>
      <c r="Z143" t="s">
        <v>5333</v>
      </c>
      <c r="AA143" t="s">
        <v>5334</v>
      </c>
      <c r="AB143" t="s">
        <v>5335</v>
      </c>
      <c r="AC143" t="s">
        <v>5336</v>
      </c>
      <c r="AD143" t="s">
        <v>19</v>
      </c>
      <c r="AE143">
        <v>-14106891</v>
      </c>
      <c r="AF143" t="s">
        <v>5337</v>
      </c>
      <c r="AG143" t="s">
        <v>5338</v>
      </c>
      <c r="AH143" t="s">
        <v>5339</v>
      </c>
      <c r="AI143" t="s">
        <v>366</v>
      </c>
      <c r="AJ143" t="s">
        <v>5340</v>
      </c>
      <c r="AK143" t="s">
        <v>5341</v>
      </c>
      <c r="AL143" t="s">
        <v>5342</v>
      </c>
      <c r="AM143" t="s">
        <v>19</v>
      </c>
      <c r="AN143">
        <v>0</v>
      </c>
      <c r="AO143" t="s">
        <v>5343</v>
      </c>
      <c r="AP143" t="s">
        <v>19</v>
      </c>
      <c r="AQ143" t="s">
        <v>1895</v>
      </c>
      <c r="AR143">
        <v>2000</v>
      </c>
      <c r="AS143" t="s">
        <v>1875</v>
      </c>
      <c r="AT143" t="s">
        <v>1973</v>
      </c>
      <c r="AU143" t="s">
        <v>5344</v>
      </c>
      <c r="AV143" t="s">
        <v>5345</v>
      </c>
      <c r="AW143" t="s">
        <v>5346</v>
      </c>
      <c r="AX143" t="s">
        <v>113</v>
      </c>
      <c r="AY143" t="s">
        <v>310</v>
      </c>
      <c r="AZ143" t="s">
        <v>611</v>
      </c>
      <c r="BA143" t="s">
        <v>305</v>
      </c>
      <c r="BB143" t="s">
        <v>1068</v>
      </c>
      <c r="BC143" t="s">
        <v>1817</v>
      </c>
      <c r="BD143" t="s">
        <v>1230</v>
      </c>
      <c r="BE143" t="s">
        <v>171</v>
      </c>
      <c r="BF143" t="s">
        <v>1069</v>
      </c>
      <c r="BG143" t="s">
        <v>1070</v>
      </c>
      <c r="BH143" t="s">
        <v>42</v>
      </c>
      <c r="BI143" t="s">
        <v>193</v>
      </c>
      <c r="BJ143" t="s">
        <v>113</v>
      </c>
      <c r="BK143" t="s">
        <v>5347</v>
      </c>
      <c r="BL143" t="s">
        <v>5348</v>
      </c>
      <c r="BM143" t="s">
        <v>1817</v>
      </c>
      <c r="BN143">
        <v>-0.23</v>
      </c>
      <c r="BO143">
        <v>1.68</v>
      </c>
      <c r="BP143">
        <v>3.62</v>
      </c>
      <c r="BQ143">
        <v>1</v>
      </c>
      <c r="BR143">
        <v>0.67</v>
      </c>
      <c r="BS143">
        <v>3.71</v>
      </c>
      <c r="BT143" t="s">
        <v>1571</v>
      </c>
      <c r="BU143" t="s">
        <v>1334</v>
      </c>
      <c r="BV143">
        <v>3.3</v>
      </c>
      <c r="BW143">
        <v>22.33</v>
      </c>
      <c r="BX143">
        <v>21.91</v>
      </c>
      <c r="BY143">
        <v>-57.94</v>
      </c>
      <c r="BZ143">
        <v>8.9600000000000009</v>
      </c>
      <c r="CA143">
        <v>12.88</v>
      </c>
      <c r="CB143">
        <v>-2.79</v>
      </c>
      <c r="CC143">
        <v>-23.72</v>
      </c>
      <c r="CD143" t="s">
        <v>5349</v>
      </c>
      <c r="CE143" t="s">
        <v>5350</v>
      </c>
      <c r="CF143" s="8">
        <v>-0.8395173076923077</v>
      </c>
      <c r="CG143" s="9">
        <v>1.2000352548661171</v>
      </c>
      <c r="CH143" s="8">
        <v>4.6230154037475586</v>
      </c>
      <c r="CI143" s="8">
        <v>-0.54676258563995361</v>
      </c>
      <c r="CJ143" s="8">
        <v>-0.41101694107055664</v>
      </c>
      <c r="CK143" s="8">
        <v>2.7203481644392014E-2</v>
      </c>
      <c r="CL143" s="8">
        <v>0.14588528871536255</v>
      </c>
      <c r="CM143" s="9">
        <v>1.1713637113571167</v>
      </c>
      <c r="CN143" s="9">
        <v>-0.81664413213729858</v>
      </c>
      <c r="CO143" s="9">
        <v>-0.42531666159629822</v>
      </c>
      <c r="CP143" s="9">
        <v>8.3429329097270966E-2</v>
      </c>
      <c r="CQ143" s="9">
        <v>4.464276134967804E-2</v>
      </c>
      <c r="CR143">
        <v>17.963688504842985</v>
      </c>
      <c r="CS143">
        <v>0.23400428774343215</v>
      </c>
      <c r="CT143">
        <v>0</v>
      </c>
      <c r="CU143" s="8">
        <v>0.7676649294793606</v>
      </c>
      <c r="CV143" s="9">
        <v>1.1495001614093781E-2</v>
      </c>
      <c r="CW143">
        <v>0.06</v>
      </c>
      <c r="CX143">
        <v>14.970438460559622</v>
      </c>
      <c r="CY143">
        <v>38917978.35680899</v>
      </c>
      <c r="CZ143">
        <v>0.7676649294793606</v>
      </c>
      <c r="DA143">
        <v>2.8912030499723196</v>
      </c>
      <c r="DB143">
        <v>201514452.6101611</v>
      </c>
      <c r="DC143">
        <v>0.72928168300539253</v>
      </c>
      <c r="DD143">
        <v>0.62820891041169447</v>
      </c>
      <c r="DE143">
        <v>927429061.16722035</v>
      </c>
      <c r="DF143">
        <v>0.67554513794183735</v>
      </c>
      <c r="DG143">
        <v>0.12977709878417673</v>
      </c>
      <c r="DH143">
        <v>4489383762.2993383</v>
      </c>
      <c r="DI143">
        <v>0.61413194358348855</v>
      </c>
      <c r="DJ143">
        <v>4.5733409570380195E-3</v>
      </c>
      <c r="DK143">
        <v>127394656438.94189</v>
      </c>
      <c r="DL143">
        <v>0.53736545063555241</v>
      </c>
      <c r="DM143">
        <v>23337600.000000004</v>
      </c>
      <c r="DN143">
        <v>0.7676649294793606</v>
      </c>
      <c r="DO143">
        <v>582619200.00000024</v>
      </c>
      <c r="DP143">
        <v>646414460</v>
      </c>
      <c r="DQ143">
        <v>4396</v>
      </c>
      <c r="DR143">
        <v>-1.6071822371716684</v>
      </c>
      <c r="DS143">
        <v>1.1885402532520233</v>
      </c>
      <c r="DT143" s="10">
        <v>-0.42333333333333339</v>
      </c>
      <c r="DU143">
        <v>0.12</v>
      </c>
      <c r="DV143">
        <v>-0.3033333333333334</v>
      </c>
      <c r="DW143">
        <v>-8.1176222596964589</v>
      </c>
      <c r="DX143">
        <v>0.3840548207935417</v>
      </c>
      <c r="DY143">
        <v>-8.0192964987358337</v>
      </c>
      <c r="DZ143">
        <v>3341</v>
      </c>
      <c r="EA143">
        <v>-8.0066801382120723</v>
      </c>
      <c r="EB143">
        <v>8</v>
      </c>
      <c r="EC143">
        <v>7.5629973474801063E-2</v>
      </c>
      <c r="ED143">
        <v>0.46100427350427353</v>
      </c>
      <c r="EE143" s="11">
        <v>0.1157</v>
      </c>
      <c r="EF143">
        <v>8.9899999999999994E-2</v>
      </c>
      <c r="EG143">
        <v>22.164054820793542</v>
      </c>
      <c r="EH143" t="s">
        <v>1261</v>
      </c>
      <c r="EI143">
        <v>0</v>
      </c>
      <c r="EJ143">
        <v>0</v>
      </c>
      <c r="EK143" s="13">
        <v>45470</v>
      </c>
      <c r="EL143" s="14">
        <v>-0.18</v>
      </c>
      <c r="EM143" s="14">
        <v>-4.58</v>
      </c>
      <c r="EN143">
        <v>1.73</v>
      </c>
      <c r="EO143">
        <v>2.4500000000000002</v>
      </c>
      <c r="EP143">
        <v>-2.58</v>
      </c>
    </row>
    <row r="144" spans="1:146" ht="108">
      <c r="A144" s="6"/>
      <c r="B144" s="6"/>
      <c r="C144" s="6" t="str">
        <f>""&amp;CHAR(10)&amp;Basic_Fundamental_Information_Constructure(F144)&amp;CHAR(10)&amp;Basic_Fundamental_Information_Concatenate("")</f>
        <v xml:space="preserve">
市值33.320994亿, 利润5.28亿; PE17.08; 平均PE18.82; 平均PEG.41, PB2.03; ROIC9.1367%; ROE10.1233%; 股利率.5795%; 毛利16.43%; 净利6.4533%; 上一年度营收增207.03%, 利润增285.4%; 当季营收增-29.32%, 利润增-72.33%; 过往5年营收增46.14%, 利润增67.72%
Income profile:
</v>
      </c>
      <c r="D144" t="s">
        <v>1071</v>
      </c>
      <c r="E144" t="s">
        <v>1072</v>
      </c>
      <c r="F144">
        <v>7.42</v>
      </c>
      <c r="G144">
        <v>0.95</v>
      </c>
      <c r="H144" t="s">
        <v>5351</v>
      </c>
      <c r="I144">
        <v>3332099400</v>
      </c>
      <c r="J144">
        <v>17.079999999999998</v>
      </c>
      <c r="K144">
        <v>2.0299999999999998</v>
      </c>
      <c r="L144" t="s">
        <v>361</v>
      </c>
      <c r="M144" t="s">
        <v>1790</v>
      </c>
      <c r="N144" t="s">
        <v>1867</v>
      </c>
      <c r="O144" t="s">
        <v>5352</v>
      </c>
      <c r="P144">
        <v>14.21</v>
      </c>
      <c r="Q144" t="s">
        <v>5353</v>
      </c>
      <c r="R144">
        <v>39016475</v>
      </c>
      <c r="S144" s="5">
        <v>0.14230000000000001</v>
      </c>
      <c r="T144" t="s">
        <v>1618</v>
      </c>
      <c r="U144">
        <v>222515330</v>
      </c>
      <c r="V144">
        <v>449070000</v>
      </c>
      <c r="W144">
        <v>1.63</v>
      </c>
      <c r="X144">
        <v>0.23</v>
      </c>
      <c r="Y144">
        <v>5.93</v>
      </c>
      <c r="Z144" t="s">
        <v>356</v>
      </c>
      <c r="AA144" t="s">
        <v>147</v>
      </c>
      <c r="AB144" t="s">
        <v>5354</v>
      </c>
      <c r="AC144" t="s">
        <v>5355</v>
      </c>
      <c r="AD144" t="s">
        <v>19</v>
      </c>
      <c r="AE144">
        <v>1325645</v>
      </c>
      <c r="AF144" t="s">
        <v>5356</v>
      </c>
      <c r="AG144" t="s">
        <v>19</v>
      </c>
      <c r="AH144" t="s">
        <v>5357</v>
      </c>
      <c r="AI144" t="s">
        <v>30</v>
      </c>
      <c r="AJ144" t="s">
        <v>5358</v>
      </c>
      <c r="AK144" t="s">
        <v>5359</v>
      </c>
      <c r="AL144" t="s">
        <v>5360</v>
      </c>
      <c r="AM144" t="s">
        <v>19</v>
      </c>
      <c r="AN144" t="s">
        <v>5361</v>
      </c>
      <c r="AO144" t="s">
        <v>19</v>
      </c>
      <c r="AP144" t="s">
        <v>82</v>
      </c>
      <c r="AQ144" t="s">
        <v>332</v>
      </c>
      <c r="AR144" t="s">
        <v>19</v>
      </c>
      <c r="AS144" t="s">
        <v>802</v>
      </c>
      <c r="AT144" t="s">
        <v>38</v>
      </c>
      <c r="AU144" t="s">
        <v>5362</v>
      </c>
      <c r="AV144" t="s">
        <v>5363</v>
      </c>
      <c r="AW144" t="s">
        <v>5364</v>
      </c>
      <c r="AX144" t="s">
        <v>1838</v>
      </c>
      <c r="AY144" t="s">
        <v>1407</v>
      </c>
      <c r="AZ144" t="s">
        <v>566</v>
      </c>
      <c r="BA144" t="s">
        <v>1073</v>
      </c>
      <c r="BB144" t="s">
        <v>1074</v>
      </c>
      <c r="BC144" t="s">
        <v>174</v>
      </c>
      <c r="BD144" t="s">
        <v>151</v>
      </c>
      <c r="BE144" t="s">
        <v>90</v>
      </c>
      <c r="BF144" t="s">
        <v>1076</v>
      </c>
      <c r="BG144" t="s">
        <v>1077</v>
      </c>
      <c r="BH144" t="s">
        <v>5365</v>
      </c>
      <c r="BI144" t="s">
        <v>1862</v>
      </c>
      <c r="BJ144" t="s">
        <v>1838</v>
      </c>
      <c r="BK144" t="s">
        <v>250</v>
      </c>
      <c r="BL144" t="s">
        <v>163</v>
      </c>
      <c r="BM144" t="s">
        <v>174</v>
      </c>
      <c r="BN144">
        <v>9.0299999999999994</v>
      </c>
      <c r="BO144">
        <v>8.92</v>
      </c>
      <c r="BP144">
        <v>9.4600000000000009</v>
      </c>
      <c r="BQ144">
        <v>10.220000000000001</v>
      </c>
      <c r="BR144">
        <v>9.69</v>
      </c>
      <c r="BS144">
        <v>10.46</v>
      </c>
      <c r="BT144" t="s">
        <v>5366</v>
      </c>
      <c r="BU144" t="s">
        <v>1336</v>
      </c>
      <c r="BV144">
        <v>14.54</v>
      </c>
      <c r="BW144">
        <v>19.8</v>
      </c>
      <c r="BX144">
        <v>14.95</v>
      </c>
      <c r="BY144">
        <v>5.87</v>
      </c>
      <c r="BZ144">
        <v>7.97</v>
      </c>
      <c r="CA144">
        <v>5.52</v>
      </c>
      <c r="CB144">
        <v>-4.99</v>
      </c>
      <c r="CC144">
        <v>-12.88</v>
      </c>
      <c r="CD144" t="s">
        <v>5367</v>
      </c>
      <c r="CE144" t="s">
        <v>5368</v>
      </c>
      <c r="CF144" s="8">
        <v>-0.2932330827067669</v>
      </c>
      <c r="CG144" s="9">
        <v>-0.72328741134751773</v>
      </c>
      <c r="CH144" s="8">
        <v>2.0703079700469971</v>
      </c>
      <c r="CI144" s="8">
        <v>-0.13212305307388306</v>
      </c>
      <c r="CJ144" s="8">
        <v>0.31760799884796143</v>
      </c>
      <c r="CK144" s="8">
        <v>6.2853060662746429E-2</v>
      </c>
      <c r="CL144" s="8">
        <v>-1.1863179504871368E-2</v>
      </c>
      <c r="CM144" s="9">
        <v>2.8540146350860596</v>
      </c>
      <c r="CN144" s="9">
        <v>0.25688073039054871</v>
      </c>
      <c r="CO144" s="9">
        <v>4.8076923936605453E-2</v>
      </c>
      <c r="CP144" s="9">
        <v>4.1801314800977707E-2</v>
      </c>
      <c r="CQ144" s="9">
        <v>0.18525847792625427</v>
      </c>
      <c r="CR144">
        <v>18.824516336786086</v>
      </c>
      <c r="CS144">
        <v>0.40802533210841047</v>
      </c>
      <c r="CT144">
        <v>0.57951482479784366</v>
      </c>
      <c r="CU144" s="8">
        <v>0.46135655939579012</v>
      </c>
      <c r="CV144" s="9">
        <v>0.6772064164280891</v>
      </c>
      <c r="CW144">
        <v>0.06</v>
      </c>
      <c r="CX144">
        <v>4.1118464599351201</v>
      </c>
      <c r="CY144">
        <v>727921003.17073309</v>
      </c>
      <c r="CZ144">
        <v>0.46135655939579012</v>
      </c>
      <c r="DA144">
        <v>0.99518930508306946</v>
      </c>
      <c r="DB144">
        <v>3007567891.5682912</v>
      </c>
      <c r="DC144">
        <v>0.43828873142600061</v>
      </c>
      <c r="DD144">
        <v>0.31377467595831476</v>
      </c>
      <c r="DE144">
        <v>9539008815.3501453</v>
      </c>
      <c r="DF144">
        <v>0.40599377226829531</v>
      </c>
      <c r="DG144">
        <v>0.10736837263839798</v>
      </c>
      <c r="DH144">
        <v>27876918746.643856</v>
      </c>
      <c r="DI144">
        <v>0.36908524751663213</v>
      </c>
      <c r="DJ144">
        <v>1.3560113905636436E-2</v>
      </c>
      <c r="DK144">
        <v>220728190104.353</v>
      </c>
      <c r="DL144">
        <v>0.32294959157705305</v>
      </c>
      <c r="DM144">
        <v>528000000</v>
      </c>
      <c r="DN144">
        <v>0.46135655939579012</v>
      </c>
      <c r="DO144">
        <v>2993099400</v>
      </c>
      <c r="DP144">
        <v>565686000</v>
      </c>
      <c r="DQ144">
        <v>4474</v>
      </c>
      <c r="DR144">
        <v>-0.75458964210255708</v>
      </c>
      <c r="DS144">
        <v>-1.4004938277756067</v>
      </c>
      <c r="DT144" s="10">
        <v>-6.6666666666666714E-3</v>
      </c>
      <c r="DU144">
        <v>0.10999999999999995</v>
      </c>
      <c r="DV144">
        <v>0.10333333333333328</v>
      </c>
      <c r="DW144">
        <v>-8.387422360248447</v>
      </c>
      <c r="DX144">
        <v>0.26852545417191298</v>
      </c>
      <c r="DY144">
        <v>-8.038170963999832</v>
      </c>
      <c r="DZ144">
        <v>1290</v>
      </c>
      <c r="EA144">
        <v>-8.0285348498002662</v>
      </c>
      <c r="EB144">
        <v>8</v>
      </c>
      <c r="EC144">
        <v>2.1571692609170062E-2</v>
      </c>
      <c r="ED144">
        <v>0.21894537599928743</v>
      </c>
      <c r="EE144" s="11">
        <v>-6.07681</v>
      </c>
      <c r="EF144">
        <v>-6.0937099999999997</v>
      </c>
      <c r="EG144">
        <v>17.098525454171913</v>
      </c>
      <c r="EH144" t="s">
        <v>1856</v>
      </c>
      <c r="EI144">
        <v>0</v>
      </c>
      <c r="EJ144">
        <v>1</v>
      </c>
      <c r="EK144" s="13">
        <v>45470</v>
      </c>
      <c r="EL144" s="14">
        <v>-1.51</v>
      </c>
      <c r="EM144" s="14">
        <v>-5.57</v>
      </c>
      <c r="EN144">
        <v>-2.19</v>
      </c>
      <c r="EO144">
        <v>5.42</v>
      </c>
      <c r="EP144">
        <v>-1.69</v>
      </c>
    </row>
    <row r="145" spans="1:146" ht="108">
      <c r="A145" s="6"/>
      <c r="B145" s="6"/>
      <c r="C145" s="6" t="str">
        <f>""&amp;CHAR(10)&amp;Basic_Fundamental_Information_Constructure(F145)&amp;CHAR(10)&amp;Basic_Fundamental_Information_Concatenate("")</f>
        <v xml:space="preserve">
市值12.158321亿, 利润2223.72万; PE; 平均PE20.12; 平均PEG.17, PB.781; ROIC0%; ROE-6.2733%; 股利率0%; 毛利17.0033%; 净利-55.9067%; 上一年度营收增700.91%, 利润增110.64%; 当季营收增-89.6%, 利润增-877.66%; 过往5年营收增120.86%, 利润增-225.63%
Income profile:
</v>
      </c>
      <c r="D145" t="s">
        <v>1078</v>
      </c>
      <c r="E145" t="s">
        <v>1079</v>
      </c>
      <c r="F145">
        <v>12.25</v>
      </c>
      <c r="G145">
        <v>-2.78</v>
      </c>
      <c r="H145" t="s">
        <v>5369</v>
      </c>
      <c r="I145">
        <v>1215832100</v>
      </c>
      <c r="K145">
        <v>0.78100000000000003</v>
      </c>
      <c r="L145" t="s">
        <v>361</v>
      </c>
      <c r="M145" t="s">
        <v>1315</v>
      </c>
      <c r="N145" t="s">
        <v>4169</v>
      </c>
      <c r="O145" t="s">
        <v>5370</v>
      </c>
      <c r="P145">
        <v>48.86</v>
      </c>
      <c r="Q145" t="s">
        <v>5371</v>
      </c>
      <c r="R145">
        <v>-35599743</v>
      </c>
      <c r="S145" s="5">
        <v>0.21870000000000001</v>
      </c>
      <c r="T145" t="s">
        <v>5372</v>
      </c>
      <c r="U145">
        <v>99251600</v>
      </c>
      <c r="V145">
        <v>99251600</v>
      </c>
      <c r="W145">
        <v>1.26</v>
      </c>
      <c r="X145">
        <v>0.03</v>
      </c>
      <c r="Y145">
        <v>-62.78</v>
      </c>
      <c r="Z145" t="s">
        <v>5373</v>
      </c>
      <c r="AA145" t="s">
        <v>5374</v>
      </c>
      <c r="AB145" t="s">
        <v>5375</v>
      </c>
      <c r="AC145" t="s">
        <v>5376</v>
      </c>
      <c r="AD145" t="s">
        <v>19</v>
      </c>
      <c r="AE145">
        <v>-1969872</v>
      </c>
      <c r="AF145" t="s">
        <v>5377</v>
      </c>
      <c r="AG145" t="s">
        <v>3152</v>
      </c>
      <c r="AH145" t="s">
        <v>5378</v>
      </c>
      <c r="AI145" t="s">
        <v>77</v>
      </c>
      <c r="AJ145" t="s">
        <v>5379</v>
      </c>
      <c r="AK145" t="s">
        <v>5380</v>
      </c>
      <c r="AL145" t="s">
        <v>5381</v>
      </c>
      <c r="AM145" t="s">
        <v>19</v>
      </c>
      <c r="AN145" t="s">
        <v>5382</v>
      </c>
      <c r="AO145" t="s">
        <v>5383</v>
      </c>
      <c r="AP145" t="s">
        <v>5384</v>
      </c>
      <c r="AQ145" t="s">
        <v>270</v>
      </c>
      <c r="AR145" t="s">
        <v>19</v>
      </c>
      <c r="AS145" t="s">
        <v>1960</v>
      </c>
      <c r="AT145" t="s">
        <v>19</v>
      </c>
      <c r="AU145" t="s">
        <v>5385</v>
      </c>
      <c r="AV145" t="s">
        <v>5386</v>
      </c>
      <c r="AW145" t="s">
        <v>5387</v>
      </c>
      <c r="AX145" t="s">
        <v>44</v>
      </c>
      <c r="AY145" t="s">
        <v>1452</v>
      </c>
      <c r="AZ145" t="s">
        <v>353</v>
      </c>
      <c r="BA145" t="s">
        <v>1080</v>
      </c>
      <c r="BB145" t="s">
        <v>705</v>
      </c>
      <c r="BC145" t="s">
        <v>1818</v>
      </c>
      <c r="BD145" t="s">
        <v>1231</v>
      </c>
      <c r="BE145" t="s">
        <v>38</v>
      </c>
      <c r="BF145" t="s">
        <v>457</v>
      </c>
      <c r="BG145" t="s">
        <v>166</v>
      </c>
      <c r="BH145" t="s">
        <v>92</v>
      </c>
      <c r="BI145" t="s">
        <v>3339</v>
      </c>
      <c r="BJ145" t="s">
        <v>44</v>
      </c>
      <c r="BK145" t="s">
        <v>5388</v>
      </c>
      <c r="BL145" t="s">
        <v>5389</v>
      </c>
      <c r="BM145" t="s">
        <v>1818</v>
      </c>
      <c r="BN145" t="s">
        <v>19</v>
      </c>
      <c r="BO145" t="s">
        <v>19</v>
      </c>
      <c r="BP145" t="s">
        <v>19</v>
      </c>
      <c r="BQ145">
        <v>-7.12</v>
      </c>
      <c r="BR145">
        <v>-10.84</v>
      </c>
      <c r="BS145">
        <v>-0.86</v>
      </c>
      <c r="BT145" t="s">
        <v>1571</v>
      </c>
      <c r="BU145" t="s">
        <v>1334</v>
      </c>
      <c r="BV145">
        <v>10.19</v>
      </c>
      <c r="BW145">
        <v>12.03</v>
      </c>
      <c r="BX145">
        <v>28.79</v>
      </c>
      <c r="BY145">
        <v>-100.73</v>
      </c>
      <c r="BZ145">
        <v>-64.25</v>
      </c>
      <c r="CA145">
        <v>-2.74</v>
      </c>
      <c r="CB145">
        <v>-25.4</v>
      </c>
      <c r="CC145">
        <v>-10.39</v>
      </c>
      <c r="CD145" t="s">
        <v>5390</v>
      </c>
      <c r="CE145" t="s">
        <v>1645</v>
      </c>
      <c r="CF145" s="8">
        <v>-0.89603546712802773</v>
      </c>
      <c r="CG145" s="9">
        <v>-8.7766051378391374</v>
      </c>
      <c r="CH145" s="8">
        <v>7.0090909004211426</v>
      </c>
      <c r="CI145" s="8">
        <v>-0.55764073133468628</v>
      </c>
      <c r="CJ145" s="8">
        <v>-0.1674107164144516</v>
      </c>
      <c r="CK145" s="8">
        <v>-0.14176245033740997</v>
      </c>
      <c r="CL145" s="8">
        <v>-9.9223516881465912E-2</v>
      </c>
      <c r="CM145" s="9">
        <v>1.1063981056213379</v>
      </c>
      <c r="CN145" s="9">
        <v>-10.798577308654785</v>
      </c>
      <c r="CO145" s="9">
        <v>-1.133188009262085</v>
      </c>
      <c r="CP145" s="9">
        <v>-0.35121950507164001</v>
      </c>
      <c r="CQ145" s="9">
        <v>-0.10480349510908127</v>
      </c>
      <c r="CR145">
        <v>20.122829656143384</v>
      </c>
      <c r="CS145">
        <v>0.16649554488126878</v>
      </c>
      <c r="CT145">
        <v>0</v>
      </c>
      <c r="CU145" s="8">
        <v>1.2086106970906259</v>
      </c>
      <c r="CV145" s="9">
        <v>-2.2562780424952509</v>
      </c>
      <c r="CW145">
        <v>0.06</v>
      </c>
      <c r="CX145">
        <v>2.32731224717813</v>
      </c>
      <c r="CY145">
        <v>46333318.672965713</v>
      </c>
      <c r="CZ145">
        <v>1.2086106970906259</v>
      </c>
      <c r="DA145">
        <v>0.33542267578658808</v>
      </c>
      <c r="DB145">
        <v>321481246.74972236</v>
      </c>
      <c r="DC145">
        <v>1.1481801622360945</v>
      </c>
      <c r="DD145">
        <v>4.4132738344378156E-2</v>
      </c>
      <c r="DE145">
        <v>2443358469.1382837</v>
      </c>
      <c r="DF145">
        <v>1.0635774134397507</v>
      </c>
      <c r="DG145">
        <v>4.6302207309872872E-3</v>
      </c>
      <c r="DH145">
        <v>23288760140.168858</v>
      </c>
      <c r="DI145">
        <v>0.9668885576725007</v>
      </c>
      <c r="DJ145">
        <v>3.134932252676271E-5</v>
      </c>
      <c r="DK145">
        <v>3439694746447.7002</v>
      </c>
      <c r="DL145">
        <v>0.84602748796343807</v>
      </c>
      <c r="DM145">
        <v>22237199.999999996</v>
      </c>
      <c r="DN145">
        <v>1.2086106970906259</v>
      </c>
      <c r="DO145">
        <v>107832100.00000024</v>
      </c>
      <c r="DP145">
        <v>1225313200</v>
      </c>
      <c r="DQ145">
        <v>4478</v>
      </c>
      <c r="DR145">
        <v>-2.1046461642186536</v>
      </c>
      <c r="DS145">
        <v>-6.5203270953438865</v>
      </c>
      <c r="DT145" s="10">
        <v>-0.42333333333333339</v>
      </c>
      <c r="DU145">
        <v>-2.081666666666667</v>
      </c>
      <c r="DV145">
        <v>-2.5050000000000003</v>
      </c>
      <c r="DW145">
        <v>-5.4090551181102366</v>
      </c>
      <c r="DX145">
        <v>0.45677041420118314</v>
      </c>
      <c r="DY145">
        <v>-5.1377576615570986</v>
      </c>
      <c r="DZ145">
        <v>3085</v>
      </c>
      <c r="EA145">
        <v>-5.0545908541395548</v>
      </c>
      <c r="EB145">
        <v>5</v>
      </c>
      <c r="EC145">
        <v>0.57343357688944052</v>
      </c>
      <c r="ED145">
        <v>1.7027433310898767</v>
      </c>
      <c r="EE145" s="11">
        <v>3.1034999999999999</v>
      </c>
      <c r="EF145">
        <v>3.0834999999999999</v>
      </c>
      <c r="EG145">
        <v>12.336770414201183</v>
      </c>
      <c r="EH145" t="s">
        <v>1296</v>
      </c>
      <c r="EI145">
        <v>0</v>
      </c>
      <c r="EJ145">
        <v>0</v>
      </c>
      <c r="EK145" s="13">
        <v>45470</v>
      </c>
      <c r="EL145" s="14">
        <v>0.32</v>
      </c>
      <c r="EM145" s="14">
        <v>-3.93</v>
      </c>
      <c r="EN145">
        <v>1.33</v>
      </c>
      <c r="EO145">
        <v>3.49</v>
      </c>
      <c r="EP145">
        <v>-2</v>
      </c>
    </row>
    <row r="146" spans="1:146" ht="108">
      <c r="A146" s="6"/>
      <c r="B146" s="6"/>
      <c r="C146" s="6" t="str">
        <f>""&amp;CHAR(10)&amp;Basic_Fundamental_Information_Constructure(F146)&amp;CHAR(10)&amp;Basic_Fundamental_Information_Concatenate("")</f>
        <v xml:space="preserve">
市值16.198亿, 利润1.08亿; PE11.07; 平均PE11.21; 平均PEG2.99, PB.859; ROIC7.14%; ROE11.1033%; 股利率1.0372%; 毛利14.3633%; 净利3.1067%; 上一年度营收增-78.11%, 利润增-46%; 当季营收增188.11%, 利润增91.44%; 过往5年营收增-3.75%, 利润增12.08%
Income profile:
</v>
      </c>
      <c r="D146" t="s">
        <v>1081</v>
      </c>
      <c r="E146" t="s">
        <v>1082</v>
      </c>
      <c r="F146">
        <v>11.57</v>
      </c>
      <c r="G146">
        <v>2.39</v>
      </c>
      <c r="H146" t="s">
        <v>5391</v>
      </c>
      <c r="I146">
        <v>1619800000</v>
      </c>
      <c r="J146">
        <v>11.07</v>
      </c>
      <c r="K146">
        <v>0.85899999999999999</v>
      </c>
      <c r="L146" t="s">
        <v>361</v>
      </c>
      <c r="M146" t="s">
        <v>5392</v>
      </c>
      <c r="N146" t="s">
        <v>1492</v>
      </c>
      <c r="O146" t="s">
        <v>1931</v>
      </c>
      <c r="P146">
        <v>-26.64</v>
      </c>
      <c r="Q146" t="s">
        <v>1959</v>
      </c>
      <c r="R146">
        <v>37398515</v>
      </c>
      <c r="S146" s="5">
        <v>-0.2114</v>
      </c>
      <c r="T146" t="s">
        <v>63</v>
      </c>
      <c r="U146">
        <v>87956273</v>
      </c>
      <c r="V146">
        <v>140000000</v>
      </c>
      <c r="W146">
        <v>5.67</v>
      </c>
      <c r="X146">
        <v>0.06</v>
      </c>
      <c r="Y146">
        <v>5.87</v>
      </c>
      <c r="Z146" t="s">
        <v>287</v>
      </c>
      <c r="AA146" t="s">
        <v>1459</v>
      </c>
      <c r="AB146" t="s">
        <v>5393</v>
      </c>
      <c r="AC146" t="s">
        <v>5394</v>
      </c>
      <c r="AD146" t="s">
        <v>19</v>
      </c>
      <c r="AE146">
        <v>26104619</v>
      </c>
      <c r="AF146" t="s">
        <v>20</v>
      </c>
      <c r="AG146" t="s">
        <v>5395</v>
      </c>
      <c r="AH146" t="s">
        <v>5396</v>
      </c>
      <c r="AI146" t="s">
        <v>5397</v>
      </c>
      <c r="AJ146" t="s">
        <v>5398</v>
      </c>
      <c r="AK146" t="s">
        <v>212</v>
      </c>
      <c r="AL146" t="s">
        <v>5399</v>
      </c>
      <c r="AM146" t="s">
        <v>19</v>
      </c>
      <c r="AN146" t="s">
        <v>5400</v>
      </c>
      <c r="AO146" t="s">
        <v>5401</v>
      </c>
      <c r="AP146" t="s">
        <v>5402</v>
      </c>
      <c r="AQ146" t="s">
        <v>5403</v>
      </c>
      <c r="AR146" t="s">
        <v>19</v>
      </c>
      <c r="AS146" t="s">
        <v>5404</v>
      </c>
      <c r="AT146" t="s">
        <v>823</v>
      </c>
      <c r="AU146" t="s">
        <v>5405</v>
      </c>
      <c r="AV146" t="s">
        <v>5406</v>
      </c>
      <c r="AW146" t="s">
        <v>5407</v>
      </c>
      <c r="AX146" t="s">
        <v>1819</v>
      </c>
      <c r="AY146" t="s">
        <v>1453</v>
      </c>
      <c r="AZ146" t="s">
        <v>1083</v>
      </c>
      <c r="BA146" t="s">
        <v>1084</v>
      </c>
      <c r="BB146" t="s">
        <v>839</v>
      </c>
      <c r="BC146" t="s">
        <v>98</v>
      </c>
      <c r="BD146" t="s">
        <v>60</v>
      </c>
      <c r="BE146" t="s">
        <v>77</v>
      </c>
      <c r="BF146" t="s">
        <v>122</v>
      </c>
      <c r="BG146" t="s">
        <v>1085</v>
      </c>
      <c r="BH146" t="s">
        <v>5408</v>
      </c>
      <c r="BI146" t="s">
        <v>321</v>
      </c>
      <c r="BJ146" t="s">
        <v>1819</v>
      </c>
      <c r="BK146" t="s">
        <v>193</v>
      </c>
      <c r="BL146" t="s">
        <v>5409</v>
      </c>
      <c r="BM146" t="s">
        <v>98</v>
      </c>
      <c r="BN146">
        <v>5.58</v>
      </c>
      <c r="BO146">
        <v>7.7</v>
      </c>
      <c r="BP146">
        <v>8.14</v>
      </c>
      <c r="BQ146">
        <v>8.19</v>
      </c>
      <c r="BR146">
        <v>12.38</v>
      </c>
      <c r="BS146">
        <v>12.74</v>
      </c>
      <c r="BT146" t="s">
        <v>1591</v>
      </c>
      <c r="BU146" t="s">
        <v>1334</v>
      </c>
      <c r="BV146">
        <v>14.87</v>
      </c>
      <c r="BW146">
        <v>14.21</v>
      </c>
      <c r="BX146">
        <v>14.01</v>
      </c>
      <c r="BY146">
        <v>2.74</v>
      </c>
      <c r="BZ146">
        <v>3.64</v>
      </c>
      <c r="CA146">
        <v>2.94</v>
      </c>
      <c r="CB146">
        <v>-8.1</v>
      </c>
      <c r="CC146">
        <v>-15.24</v>
      </c>
      <c r="CD146" t="s">
        <v>5410</v>
      </c>
      <c r="CE146" t="s">
        <v>5411</v>
      </c>
      <c r="CF146" s="8">
        <v>1.8810572687224669</v>
      </c>
      <c r="CG146" s="9">
        <v>0.91436779844080329</v>
      </c>
      <c r="CH146" s="8">
        <v>-0.78112810850143433</v>
      </c>
      <c r="CI146" s="8">
        <v>0.11865081638097763</v>
      </c>
      <c r="CJ146" s="8">
        <v>8.7378688156604767E-2</v>
      </c>
      <c r="CK146" s="8">
        <v>-2.9116110876202583E-2</v>
      </c>
      <c r="CL146" s="8">
        <v>0.41661718487739563</v>
      </c>
      <c r="CM146" s="9">
        <v>-0.46000000834465027</v>
      </c>
      <c r="CN146" s="9">
        <v>0.4285714328289032</v>
      </c>
      <c r="CO146" s="9">
        <v>-0.23497267067432404</v>
      </c>
      <c r="CP146" s="9">
        <v>0.25342464447021484</v>
      </c>
      <c r="CQ146" s="9">
        <v>0.61687576770782471</v>
      </c>
      <c r="CR146">
        <v>11.205842146917044</v>
      </c>
      <c r="CS146">
        <v>2.9866710263049727</v>
      </c>
      <c r="CT146">
        <v>1.0371650821089022</v>
      </c>
      <c r="CU146" s="8">
        <v>-3.7519505992531774E-2</v>
      </c>
      <c r="CV146" s="9">
        <v>0.12077983319759369</v>
      </c>
      <c r="CW146">
        <v>0.06</v>
      </c>
      <c r="CX146">
        <v>86.711111111111109</v>
      </c>
      <c r="CY146" t="s">
        <v>5412</v>
      </c>
      <c r="CZ146">
        <v>-3.7519505992531774E-2</v>
      </c>
      <c r="DA146">
        <v>28.903703703703705</v>
      </c>
      <c r="DB146" t="s">
        <v>5413</v>
      </c>
      <c r="DC146">
        <v>-3.5643530692905184E-2</v>
      </c>
      <c r="DD146">
        <v>14.451851851851853</v>
      </c>
      <c r="DE146" t="s">
        <v>5414</v>
      </c>
      <c r="DF146">
        <v>-3.3017165273427962E-2</v>
      </c>
      <c r="DG146">
        <v>8.6711111111111112</v>
      </c>
      <c r="DH146" t="s">
        <v>5415</v>
      </c>
      <c r="DI146">
        <v>-3.001560479402542E-2</v>
      </c>
      <c r="DJ146">
        <v>4.3355555555555556</v>
      </c>
      <c r="DK146" t="s">
        <v>5416</v>
      </c>
      <c r="DL146">
        <v>-2.6263654194772241E-2</v>
      </c>
      <c r="DM146">
        <v>108000000</v>
      </c>
      <c r="DN146">
        <v>-3.7519505992531774E-2</v>
      </c>
      <c r="DO146">
        <v>9364800000</v>
      </c>
      <c r="DP146">
        <v>846846900</v>
      </c>
      <c r="DQ146">
        <v>4499</v>
      </c>
      <c r="DR146">
        <v>1.9185767747149987</v>
      </c>
      <c r="DS146">
        <v>0.79358796524320963</v>
      </c>
      <c r="DT146" s="10">
        <v>-0.67333333333333334</v>
      </c>
      <c r="DU146">
        <v>0.16666666666666666</v>
      </c>
      <c r="DV146">
        <v>-0.50666666666666671</v>
      </c>
      <c r="DW146">
        <v>-9.5314960629921259</v>
      </c>
      <c r="DX146">
        <v>0.33877923683642774</v>
      </c>
      <c r="DY146">
        <v>-9.0631306967437695</v>
      </c>
      <c r="DZ146">
        <v>3068</v>
      </c>
      <c r="EA146">
        <v>-9.0252275700099371</v>
      </c>
      <c r="EB146">
        <v>9</v>
      </c>
      <c r="EC146">
        <v>5.2288571428571427E-2</v>
      </c>
      <c r="ED146">
        <v>0.44021642857142856</v>
      </c>
      <c r="EE146" s="11">
        <v>1.0788</v>
      </c>
      <c r="EF146">
        <v>1.0554999999999999</v>
      </c>
      <c r="EG146">
        <v>22.118779236836428</v>
      </c>
      <c r="EH146" t="s">
        <v>1262</v>
      </c>
      <c r="EI146">
        <v>0</v>
      </c>
      <c r="EJ146">
        <v>0</v>
      </c>
      <c r="EK146" s="13">
        <v>45470</v>
      </c>
      <c r="EL146" s="14">
        <v>-2.57</v>
      </c>
      <c r="EM146" s="14">
        <v>-4.76</v>
      </c>
      <c r="EN146">
        <v>0.93</v>
      </c>
      <c r="EO146">
        <v>3.67</v>
      </c>
      <c r="EP146">
        <v>-2.33</v>
      </c>
    </row>
    <row r="147" spans="1:146" ht="108">
      <c r="A147" s="6"/>
      <c r="B147" s="6"/>
      <c r="C147" s="6" t="str">
        <f>""&amp;CHAR(10)&amp;Basic_Fundamental_Information_Constructure(F147)&amp;CHAR(10)&amp;Basic_Fundamental_Information_Concatenate("")</f>
        <v xml:space="preserve">
市值24.963404亿, 利润-4.01亿; PE29; 平均PE202.7; 平均PEG.91, PB1.86; ROIC8.26%; ROE5.2%; 股利率1.0994%; 毛利33.0467%; 净利7.6833%; 上一年度营收增1147.12%, 利润增-2554.26%; 当季营收增-86.5%, 利润增117.15%; 过往5年营收增222.39%, 利润增-532.7%
Income profile:
</v>
      </c>
      <c r="D147" t="s">
        <v>1086</v>
      </c>
      <c r="E147" t="s">
        <v>1087</v>
      </c>
      <c r="F147">
        <v>22.74</v>
      </c>
      <c r="G147">
        <v>-2.11</v>
      </c>
      <c r="H147" t="s">
        <v>5417</v>
      </c>
      <c r="I147">
        <v>2496340400</v>
      </c>
      <c r="J147">
        <v>29</v>
      </c>
      <c r="K147">
        <v>1.86</v>
      </c>
      <c r="L147" t="s">
        <v>361</v>
      </c>
      <c r="M147" t="s">
        <v>3869</v>
      </c>
      <c r="N147" t="s">
        <v>5418</v>
      </c>
      <c r="O147" t="s">
        <v>52</v>
      </c>
      <c r="P147">
        <v>13.85</v>
      </c>
      <c r="Q147" t="s">
        <v>5419</v>
      </c>
      <c r="R147">
        <v>18175641</v>
      </c>
      <c r="S147" s="5">
        <v>0.43890000000000001</v>
      </c>
      <c r="T147" t="s">
        <v>5420</v>
      </c>
      <c r="U147">
        <v>50610000</v>
      </c>
      <c r="V147">
        <v>109777500</v>
      </c>
      <c r="W147">
        <v>1.48</v>
      </c>
      <c r="X147">
        <v>0.06</v>
      </c>
      <c r="Y147">
        <v>13.75</v>
      </c>
      <c r="Z147" t="s">
        <v>91</v>
      </c>
      <c r="AA147" t="s">
        <v>5421</v>
      </c>
      <c r="AB147" t="s">
        <v>5422</v>
      </c>
      <c r="AC147" t="s">
        <v>5423</v>
      </c>
      <c r="AD147" t="s">
        <v>19</v>
      </c>
      <c r="AE147">
        <v>-247929</v>
      </c>
      <c r="AF147" t="s">
        <v>5424</v>
      </c>
      <c r="AG147" t="s">
        <v>5425</v>
      </c>
      <c r="AH147" t="s">
        <v>5426</v>
      </c>
      <c r="AI147" t="s">
        <v>5107</v>
      </c>
      <c r="AJ147" t="s">
        <v>5427</v>
      </c>
      <c r="AK147" t="s">
        <v>5428</v>
      </c>
      <c r="AL147" t="s">
        <v>5429</v>
      </c>
      <c r="AM147" t="s">
        <v>19</v>
      </c>
      <c r="AN147">
        <v>0</v>
      </c>
      <c r="AO147" t="s">
        <v>5430</v>
      </c>
      <c r="AP147" t="s">
        <v>19</v>
      </c>
      <c r="AQ147" t="s">
        <v>150</v>
      </c>
      <c r="AR147" t="s">
        <v>19</v>
      </c>
      <c r="AS147" t="s">
        <v>1783</v>
      </c>
      <c r="AT147" t="s">
        <v>37</v>
      </c>
      <c r="AU147" t="s">
        <v>1950</v>
      </c>
      <c r="AV147" t="s">
        <v>5431</v>
      </c>
      <c r="AW147" t="s">
        <v>5432</v>
      </c>
      <c r="AX147" t="s">
        <v>103</v>
      </c>
      <c r="AY147" t="s">
        <v>1454</v>
      </c>
      <c r="AZ147" t="s">
        <v>219</v>
      </c>
      <c r="BA147" t="s">
        <v>180</v>
      </c>
      <c r="BB147" t="s">
        <v>188</v>
      </c>
      <c r="BC147" t="s">
        <v>1820</v>
      </c>
      <c r="BD147" t="s">
        <v>270</v>
      </c>
      <c r="BE147" t="s">
        <v>63</v>
      </c>
      <c r="BF147" t="s">
        <v>18</v>
      </c>
      <c r="BG147" t="s">
        <v>28</v>
      </c>
      <c r="BH147" t="s">
        <v>5229</v>
      </c>
      <c r="BI147" t="s">
        <v>353</v>
      </c>
      <c r="BJ147" t="s">
        <v>103</v>
      </c>
      <c r="BK147" t="s">
        <v>5433</v>
      </c>
      <c r="BL147" t="s">
        <v>1950</v>
      </c>
      <c r="BM147" t="s">
        <v>1820</v>
      </c>
      <c r="BN147">
        <v>4.97</v>
      </c>
      <c r="BO147" t="s">
        <v>19</v>
      </c>
      <c r="BP147">
        <v>11.55</v>
      </c>
      <c r="BQ147">
        <v>5.88</v>
      </c>
      <c r="BR147">
        <v>-1.23</v>
      </c>
      <c r="BS147">
        <v>10.95</v>
      </c>
      <c r="BT147" t="s">
        <v>1585</v>
      </c>
      <c r="BU147" t="s">
        <v>1334</v>
      </c>
      <c r="BV147">
        <v>29.82</v>
      </c>
      <c r="BW147">
        <v>34.299999999999997</v>
      </c>
      <c r="BX147">
        <v>35.020000000000003</v>
      </c>
      <c r="BY147">
        <v>12.65</v>
      </c>
      <c r="BZ147">
        <v>-5.59</v>
      </c>
      <c r="CA147">
        <v>15.99</v>
      </c>
      <c r="CB147">
        <v>-10.47</v>
      </c>
      <c r="CC147">
        <v>-21.78</v>
      </c>
      <c r="CD147" t="s">
        <v>5434</v>
      </c>
      <c r="CE147" t="s">
        <v>5435</v>
      </c>
      <c r="CF147" s="8">
        <v>-0.86495535714285721</v>
      </c>
      <c r="CG147" s="9">
        <v>1.1714683113207547</v>
      </c>
      <c r="CH147" s="8">
        <v>11.47115421295166</v>
      </c>
      <c r="CI147" s="8">
        <v>-0.57608693838119507</v>
      </c>
      <c r="CJ147" s="8">
        <v>0.22462561726570129</v>
      </c>
      <c r="CK147" s="8">
        <v>-0.13275612890720367</v>
      </c>
      <c r="CL147" s="8">
        <v>0.13235294818878174</v>
      </c>
      <c r="CM147" s="9">
        <v>-25.542579650878906</v>
      </c>
      <c r="CN147" s="9">
        <v>-1.1291265487670898</v>
      </c>
      <c r="CO147" s="9">
        <v>8.3333335816860199E-2</v>
      </c>
      <c r="CP147" s="9">
        <v>-0.25517240166664124</v>
      </c>
      <c r="CQ147" s="9">
        <v>0.2083333283662796</v>
      </c>
      <c r="CR147">
        <v>202.7012648155015</v>
      </c>
      <c r="CS147">
        <v>0.9114847714275689</v>
      </c>
      <c r="CT147">
        <v>1.0993843447669307</v>
      </c>
      <c r="CU147" s="8">
        <v>2.2238579422235487</v>
      </c>
      <c r="CV147" s="9">
        <v>-5.3270423874258999</v>
      </c>
      <c r="CW147">
        <v>0.06</v>
      </c>
      <c r="CX147" t="e">
        <v>#VALUE!</v>
      </c>
      <c r="CY147" t="s">
        <v>1249</v>
      </c>
      <c r="CZ147">
        <v>2.2238579422235487</v>
      </c>
      <c r="DA147" t="e">
        <v>#VALUE!</v>
      </c>
      <c r="DB147" t="s">
        <v>1249</v>
      </c>
      <c r="DC147">
        <v>2.112665045112371</v>
      </c>
      <c r="DD147" t="e">
        <v>#VALUE!</v>
      </c>
      <c r="DE147" t="s">
        <v>1249</v>
      </c>
      <c r="DF147">
        <v>1.9569949891567229</v>
      </c>
      <c r="DG147" t="e">
        <v>#VALUE!</v>
      </c>
      <c r="DH147" t="s">
        <v>1249</v>
      </c>
      <c r="DI147">
        <v>1.7790863537788391</v>
      </c>
      <c r="DJ147" t="e">
        <v>#VALUE!</v>
      </c>
      <c r="DK147" t="s">
        <v>1249</v>
      </c>
      <c r="DL147">
        <v>1.556700559556484</v>
      </c>
      <c r="DM147">
        <v>-401000000</v>
      </c>
      <c r="DN147">
        <v>2.2238579422235487</v>
      </c>
      <c r="DO147">
        <v>1854340400</v>
      </c>
      <c r="DP147">
        <v>1037566400</v>
      </c>
      <c r="DQ147">
        <v>4501</v>
      </c>
      <c r="DR147">
        <v>-3.0888132993664059</v>
      </c>
      <c r="DS147">
        <v>6.4985106987466548</v>
      </c>
      <c r="DT147" s="10">
        <v>-0.1566666666666667</v>
      </c>
      <c r="DU147">
        <v>-0.88333333333333341</v>
      </c>
      <c r="DV147">
        <v>-1.04</v>
      </c>
      <c r="DW147">
        <v>-9.4807162534435268</v>
      </c>
      <c r="DX147">
        <v>0.651945607386194</v>
      </c>
      <c r="DY147">
        <v>-9.0778498856443264</v>
      </c>
      <c r="DZ147">
        <v>2404</v>
      </c>
      <c r="EA147">
        <v>-9.0412253993255476</v>
      </c>
      <c r="EB147">
        <v>9</v>
      </c>
      <c r="EC147">
        <v>4.9084739586891669E-2</v>
      </c>
      <c r="ED147">
        <v>0.30309398556170436</v>
      </c>
      <c r="EE147" s="11">
        <v>3.0249100000000002</v>
      </c>
      <c r="EF147">
        <v>3.0150100000000002</v>
      </c>
      <c r="EG147">
        <v>49.161945607386194</v>
      </c>
      <c r="EH147" t="s">
        <v>1303</v>
      </c>
      <c r="EI147">
        <v>0</v>
      </c>
      <c r="EJ147">
        <v>0</v>
      </c>
      <c r="EK147" s="13">
        <v>45470</v>
      </c>
      <c r="EL147" s="14">
        <v>0.91</v>
      </c>
      <c r="EM147" s="14">
        <v>-7.17</v>
      </c>
      <c r="EN147">
        <v>0.51</v>
      </c>
      <c r="EO147">
        <v>-2.73</v>
      </c>
      <c r="EP147">
        <v>0.99</v>
      </c>
    </row>
    <row r="148" spans="1:146" ht="108">
      <c r="A148" s="6"/>
      <c r="B148" s="6"/>
      <c r="C148" s="6" t="str">
        <f>""&amp;CHAR(10)&amp;Basic_Fundamental_Information_Constructure(F148)&amp;CHAR(10)&amp;Basic_Fundamental_Information_Concatenate("")</f>
        <v xml:space="preserve">
市值10.7061639亿, 利润2.07亿; PE; 平均PE17.19; 平均PEG2.07, PB.891; ROIC4.16%; ROE-6.9667%; 股利率0%; 毛利17.9733%; 净利-23.6033%; 上一年度营收增114.98%, 利润增179.01%; 当季营收增-21.71%, 利润增-217.81%; 过往5年营收增8.29%, 利润增-77.66%
Income profile:
</v>
      </c>
      <c r="D148" t="s">
        <v>1088</v>
      </c>
      <c r="E148" t="s">
        <v>1089</v>
      </c>
      <c r="F148">
        <v>6.64</v>
      </c>
      <c r="G148">
        <v>1.68</v>
      </c>
      <c r="H148" t="s">
        <v>5436</v>
      </c>
      <c r="I148">
        <v>1070616390</v>
      </c>
      <c r="K148">
        <v>0.89100000000000001</v>
      </c>
      <c r="L148" t="s">
        <v>361</v>
      </c>
      <c r="M148" t="s">
        <v>1861</v>
      </c>
      <c r="N148" t="s">
        <v>5437</v>
      </c>
      <c r="O148" t="s">
        <v>174</v>
      </c>
      <c r="P148">
        <v>57.51</v>
      </c>
      <c r="Q148" t="s">
        <v>2921</v>
      </c>
      <c r="R148">
        <v>-17824902</v>
      </c>
      <c r="S148" s="5">
        <v>0.22259999999999999</v>
      </c>
      <c r="T148" t="s">
        <v>148</v>
      </c>
      <c r="U148">
        <v>67984808</v>
      </c>
      <c r="V148">
        <v>161237410</v>
      </c>
      <c r="W148">
        <v>1.98</v>
      </c>
      <c r="X148">
        <v>0.05</v>
      </c>
      <c r="Y148">
        <v>-13.21</v>
      </c>
      <c r="Z148" t="s">
        <v>197</v>
      </c>
      <c r="AA148" t="s">
        <v>28</v>
      </c>
      <c r="AB148" t="s">
        <v>5438</v>
      </c>
      <c r="AC148" t="s">
        <v>5439</v>
      </c>
      <c r="AD148" t="s">
        <v>19</v>
      </c>
      <c r="AE148">
        <v>-343655</v>
      </c>
      <c r="AF148" t="s">
        <v>5440</v>
      </c>
      <c r="AG148" t="s">
        <v>5441</v>
      </c>
      <c r="AH148" t="s">
        <v>5442</v>
      </c>
      <c r="AI148" t="s">
        <v>21</v>
      </c>
      <c r="AJ148" t="s">
        <v>5443</v>
      </c>
      <c r="AK148" t="s">
        <v>5444</v>
      </c>
      <c r="AL148" t="s">
        <v>5445</v>
      </c>
      <c r="AM148" t="s">
        <v>19</v>
      </c>
      <c r="AN148" t="s">
        <v>5446</v>
      </c>
      <c r="AO148" t="s">
        <v>18</v>
      </c>
      <c r="AP148" t="s">
        <v>5447</v>
      </c>
      <c r="AQ148" t="s">
        <v>5448</v>
      </c>
      <c r="AR148" t="s">
        <v>19</v>
      </c>
      <c r="AS148" t="s">
        <v>1445</v>
      </c>
      <c r="AT148" t="s">
        <v>3374</v>
      </c>
      <c r="AU148" t="s">
        <v>5449</v>
      </c>
      <c r="AV148" t="s">
        <v>5450</v>
      </c>
      <c r="AW148" t="s">
        <v>5451</v>
      </c>
      <c r="AX148" t="s">
        <v>121</v>
      </c>
      <c r="AY148" t="s">
        <v>1455</v>
      </c>
      <c r="AZ148" t="s">
        <v>1090</v>
      </c>
      <c r="BA148" t="s">
        <v>1091</v>
      </c>
      <c r="BB148" t="s">
        <v>273</v>
      </c>
      <c r="BC148" t="s">
        <v>1821</v>
      </c>
      <c r="BD148" t="s">
        <v>1232</v>
      </c>
      <c r="BE148" t="s">
        <v>46</v>
      </c>
      <c r="BF148" t="s">
        <v>27</v>
      </c>
      <c r="BG148" t="s">
        <v>79</v>
      </c>
      <c r="BH148" t="s">
        <v>1942</v>
      </c>
      <c r="BI148" t="s">
        <v>336</v>
      </c>
      <c r="BJ148" t="s">
        <v>121</v>
      </c>
      <c r="BK148" t="s">
        <v>1980</v>
      </c>
      <c r="BL148" t="s">
        <v>5452</v>
      </c>
      <c r="BM148" t="s">
        <v>1821</v>
      </c>
      <c r="BN148" t="s">
        <v>19</v>
      </c>
      <c r="BO148" t="s">
        <v>19</v>
      </c>
      <c r="BP148">
        <v>4.16</v>
      </c>
      <c r="BQ148">
        <v>-7.77</v>
      </c>
      <c r="BR148">
        <v>-17.11</v>
      </c>
      <c r="BS148">
        <v>3.98</v>
      </c>
      <c r="BT148" t="s">
        <v>1571</v>
      </c>
      <c r="BU148" t="s">
        <v>1334</v>
      </c>
      <c r="BV148">
        <v>12.86</v>
      </c>
      <c r="BW148">
        <v>17.940000000000001</v>
      </c>
      <c r="BX148">
        <v>23.12</v>
      </c>
      <c r="BY148">
        <v>-25.13</v>
      </c>
      <c r="BZ148">
        <v>-50.82</v>
      </c>
      <c r="CA148">
        <v>5.14</v>
      </c>
      <c r="CB148">
        <v>-0.9</v>
      </c>
      <c r="CC148">
        <v>-23.06</v>
      </c>
      <c r="CD148" t="s">
        <v>5453</v>
      </c>
      <c r="CE148" t="s">
        <v>99</v>
      </c>
      <c r="CF148" s="8">
        <v>-0.21714285714285714</v>
      </c>
      <c r="CG148" s="9">
        <v>-2.1781086707953019</v>
      </c>
      <c r="CH148" s="8">
        <v>1.1498053073883057</v>
      </c>
      <c r="CI148" s="8">
        <v>-0.58006536960601807</v>
      </c>
      <c r="CJ148" s="8">
        <v>-0.14105258882045746</v>
      </c>
      <c r="CK148" s="8">
        <v>-4.2981870472431183E-2</v>
      </c>
      <c r="CL148" s="8">
        <v>2.9025480151176453E-2</v>
      </c>
      <c r="CM148" s="9">
        <v>1.7900763750076294</v>
      </c>
      <c r="CN148" s="9">
        <v>-5.2437329292297363</v>
      </c>
      <c r="CO148" s="9">
        <v>-0.43874454498291016</v>
      </c>
      <c r="CP148" s="9">
        <v>-0.22535210847854614</v>
      </c>
      <c r="CQ148" s="9">
        <v>0.23478260636329651</v>
      </c>
      <c r="CR148">
        <v>17.187699996334331</v>
      </c>
      <c r="CS148">
        <v>2.0721505880189146</v>
      </c>
      <c r="CT148">
        <v>0</v>
      </c>
      <c r="CU148" s="8">
        <v>8.2946191728115085E-2</v>
      </c>
      <c r="CV148" s="9">
        <v>-0.77659412026405339</v>
      </c>
      <c r="CW148">
        <v>0.06</v>
      </c>
      <c r="CX148">
        <v>6.0838391170525083</v>
      </c>
      <c r="CY148">
        <v>211481001.59218848</v>
      </c>
      <c r="CZ148">
        <v>8.2946191728115085E-2</v>
      </c>
      <c r="DA148">
        <v>2.0000621824812432</v>
      </c>
      <c r="DB148">
        <v>643288194.37195969</v>
      </c>
      <c r="DC148">
        <v>7.8798882141709325E-2</v>
      </c>
      <c r="DD148">
        <v>0.99246546472937069</v>
      </c>
      <c r="DE148">
        <v>1296384041.2833302</v>
      </c>
      <c r="DF148">
        <v>7.2992648720741279E-2</v>
      </c>
      <c r="DG148">
        <v>0.6013573448309657</v>
      </c>
      <c r="DH148">
        <v>2139520538.0947869</v>
      </c>
      <c r="DI148">
        <v>6.6356953382492076E-2</v>
      </c>
      <c r="DJ148">
        <v>0.31678746121347845</v>
      </c>
      <c r="DK148">
        <v>4061449860.0150337</v>
      </c>
      <c r="DL148">
        <v>5.8062334209680558E-2</v>
      </c>
      <c r="DM148">
        <v>206999999.99999997</v>
      </c>
      <c r="DN148">
        <v>8.2946191728115085E-2</v>
      </c>
      <c r="DO148">
        <v>1286616390</v>
      </c>
      <c r="DP148">
        <v>946319500</v>
      </c>
      <c r="DQ148">
        <v>4506</v>
      </c>
      <c r="DR148">
        <v>-0.30008904887097221</v>
      </c>
      <c r="DS148">
        <v>-1.4015145505312485</v>
      </c>
      <c r="DT148" s="10">
        <v>-0.25666666666666665</v>
      </c>
      <c r="DU148">
        <v>-1.4316666666666666</v>
      </c>
      <c r="DV148">
        <v>-1.6883333333333332</v>
      </c>
      <c r="DW148">
        <v>-3.0798452380952379</v>
      </c>
      <c r="DX148">
        <v>0.34335339805825371</v>
      </c>
      <c r="DY148">
        <v>-3.0066553719140083</v>
      </c>
      <c r="DZ148">
        <v>504</v>
      </c>
      <c r="EA148">
        <v>-3.0059989516704348</v>
      </c>
      <c r="EB148">
        <v>3</v>
      </c>
      <c r="EC148">
        <v>5.3246948087295624E-2</v>
      </c>
      <c r="ED148">
        <v>0.63880956658879595</v>
      </c>
      <c r="EE148" s="11">
        <v>2.0898099999999999</v>
      </c>
      <c r="EF148">
        <v>2.12981</v>
      </c>
      <c r="EG148">
        <v>26.083353398058254</v>
      </c>
      <c r="EH148" t="s">
        <v>1264</v>
      </c>
      <c r="EI148">
        <v>0</v>
      </c>
      <c r="EJ148">
        <v>1</v>
      </c>
      <c r="EK148" s="13">
        <v>45470</v>
      </c>
      <c r="EL148" s="14">
        <v>0</v>
      </c>
      <c r="EM148" s="14">
        <v>-4.01</v>
      </c>
      <c r="EN148">
        <v>0.85</v>
      </c>
      <c r="EO148">
        <v>-0.08</v>
      </c>
      <c r="EP148">
        <v>-4</v>
      </c>
    </row>
    <row r="149" spans="1:146" ht="108">
      <c r="A149" s="6"/>
      <c r="B149" s="6"/>
      <c r="C149" s="6" t="str">
        <f>""&amp;CHAR(10)&amp;Basic_Fundamental_Information_Constructure(F149)&amp;CHAR(10)&amp;Basic_Fundamental_Information_Concatenate("")</f>
        <v xml:space="preserve">
市值53.084342亿, 利润7.07亿; PE30.22; 平均PE24.91; 平均PEG.07, PB2.97; ROIC8.0233%; ROE8.5067%; 股利率.9861%; 毛利33.61%; 净利13.22%; 上一年度营收增1770.28%, 利润增350.32%; 当季营收增-94.3%, 利润增-87.19%; 过往5年营收增353.34%, 利润增96.89%
Income profile:
</v>
      </c>
      <c r="D149" t="s">
        <v>1093</v>
      </c>
      <c r="E149" t="s">
        <v>1094</v>
      </c>
      <c r="F149">
        <v>21.6</v>
      </c>
      <c r="G149">
        <v>2.61</v>
      </c>
      <c r="H149" t="s">
        <v>5454</v>
      </c>
      <c r="I149">
        <v>5308434200</v>
      </c>
      <c r="J149">
        <v>30.22</v>
      </c>
      <c r="K149">
        <v>2.97</v>
      </c>
      <c r="L149" t="s">
        <v>361</v>
      </c>
      <c r="M149" t="s">
        <v>5455</v>
      </c>
      <c r="N149" t="s">
        <v>5456</v>
      </c>
      <c r="O149" t="s">
        <v>243</v>
      </c>
      <c r="P149">
        <v>42.42</v>
      </c>
      <c r="Q149" t="s">
        <v>5457</v>
      </c>
      <c r="R149">
        <v>30101424</v>
      </c>
      <c r="S149" s="5">
        <v>5.5199999999999999E-2</v>
      </c>
      <c r="T149" t="s">
        <v>4481</v>
      </c>
      <c r="U149">
        <v>73700841</v>
      </c>
      <c r="V149">
        <v>245760840</v>
      </c>
      <c r="W149">
        <v>1.21</v>
      </c>
      <c r="X149">
        <v>0.13</v>
      </c>
      <c r="Y149">
        <v>10.34</v>
      </c>
      <c r="Z149" t="s">
        <v>206</v>
      </c>
      <c r="AA149" t="s">
        <v>125</v>
      </c>
      <c r="AB149" t="s">
        <v>1952</v>
      </c>
      <c r="AC149" t="s">
        <v>5458</v>
      </c>
      <c r="AD149" t="s">
        <v>19</v>
      </c>
      <c r="AE149">
        <v>-2229431</v>
      </c>
      <c r="AF149" t="s">
        <v>5459</v>
      </c>
      <c r="AG149" t="s">
        <v>5460</v>
      </c>
      <c r="AH149" t="s">
        <v>5461</v>
      </c>
      <c r="AI149" t="s">
        <v>33</v>
      </c>
      <c r="AJ149" t="s">
        <v>5462</v>
      </c>
      <c r="AK149" t="s">
        <v>5463</v>
      </c>
      <c r="AL149" t="s">
        <v>5464</v>
      </c>
      <c r="AM149" t="s">
        <v>19</v>
      </c>
      <c r="AN149" t="s">
        <v>5465</v>
      </c>
      <c r="AO149" t="s">
        <v>19</v>
      </c>
      <c r="AP149" t="s">
        <v>19</v>
      </c>
      <c r="AQ149" t="s">
        <v>334</v>
      </c>
      <c r="AR149" t="s">
        <v>19</v>
      </c>
      <c r="AS149" t="s">
        <v>331</v>
      </c>
      <c r="AT149" t="s">
        <v>5466</v>
      </c>
      <c r="AU149" t="s">
        <v>5467</v>
      </c>
      <c r="AV149" t="s">
        <v>5468</v>
      </c>
      <c r="AW149" t="s">
        <v>5469</v>
      </c>
      <c r="AX149" t="s">
        <v>1822</v>
      </c>
      <c r="AY149" t="s">
        <v>1211</v>
      </c>
      <c r="AZ149" t="s">
        <v>160</v>
      </c>
      <c r="BA149" t="s">
        <v>327</v>
      </c>
      <c r="BB149" t="s">
        <v>351</v>
      </c>
      <c r="BC149" t="s">
        <v>119</v>
      </c>
      <c r="BD149" t="s">
        <v>1233</v>
      </c>
      <c r="BE149" t="s">
        <v>63</v>
      </c>
      <c r="BF149" t="s">
        <v>122</v>
      </c>
      <c r="BG149" t="s">
        <v>1095</v>
      </c>
      <c r="BH149" t="s">
        <v>5470</v>
      </c>
      <c r="BI149" t="s">
        <v>5471</v>
      </c>
      <c r="BJ149" t="s">
        <v>1822</v>
      </c>
      <c r="BK149" t="s">
        <v>83</v>
      </c>
      <c r="BL149" t="s">
        <v>1882</v>
      </c>
      <c r="BM149" t="s">
        <v>119</v>
      </c>
      <c r="BN149">
        <v>8.49</v>
      </c>
      <c r="BO149">
        <v>10.18</v>
      </c>
      <c r="BP149">
        <v>5.4</v>
      </c>
      <c r="BQ149">
        <v>8.8000000000000007</v>
      </c>
      <c r="BR149">
        <v>10.56</v>
      </c>
      <c r="BS149">
        <v>6.16</v>
      </c>
      <c r="BT149" t="s">
        <v>5472</v>
      </c>
      <c r="BU149" t="s">
        <v>1336</v>
      </c>
      <c r="BV149">
        <v>34.26</v>
      </c>
      <c r="BW149">
        <v>36.340000000000003</v>
      </c>
      <c r="BX149">
        <v>30.23</v>
      </c>
      <c r="BY149">
        <v>13.6</v>
      </c>
      <c r="BZ149">
        <v>17.71</v>
      </c>
      <c r="CA149">
        <v>8.35</v>
      </c>
      <c r="CB149">
        <v>-2.2200000000000002</v>
      </c>
      <c r="CC149">
        <v>15.22</v>
      </c>
      <c r="CD149" t="s">
        <v>5473</v>
      </c>
      <c r="CE149" t="s">
        <v>46</v>
      </c>
      <c r="CF149" s="8">
        <v>-0.94299287410926369</v>
      </c>
      <c r="CG149" s="9">
        <v>-0.87190883404255315</v>
      </c>
      <c r="CH149" s="8">
        <v>17.702825546264648</v>
      </c>
      <c r="CI149" s="8">
        <v>0.20408163964748383</v>
      </c>
      <c r="CJ149" s="8">
        <v>-7.1969695389270782E-2</v>
      </c>
      <c r="CK149" s="8">
        <v>-0.21272365748882294</v>
      </c>
      <c r="CL149" s="8">
        <v>4.4652130454778671E-2</v>
      </c>
      <c r="CM149" s="9">
        <v>3.5031847953796387</v>
      </c>
      <c r="CN149" s="9">
        <v>1.5595377683639526</v>
      </c>
      <c r="CO149" s="9">
        <v>-0.43204444646835327</v>
      </c>
      <c r="CP149" s="9">
        <v>-0.26027396321296692</v>
      </c>
      <c r="CQ149" s="9">
        <v>0.47417116165161133</v>
      </c>
      <c r="CR149">
        <v>24.914859056934571</v>
      </c>
      <c r="CS149">
        <v>7.0512956594635398E-2</v>
      </c>
      <c r="CT149">
        <v>0.98611111111111105</v>
      </c>
      <c r="CU149" s="8">
        <v>3.5333731926977636</v>
      </c>
      <c r="CV149" s="9">
        <v>0.96891506314277653</v>
      </c>
      <c r="CW149">
        <v>0.06</v>
      </c>
      <c r="CX149">
        <v>1.3018710680579875</v>
      </c>
      <c r="CY149">
        <v>3023674384.1861496</v>
      </c>
      <c r="CZ149">
        <v>3.5333731926977636</v>
      </c>
      <c r="DA149">
        <v>6.1567179591233527E-2</v>
      </c>
      <c r="DB149">
        <v>63937218273.362389</v>
      </c>
      <c r="DC149">
        <v>3.3567045330628753</v>
      </c>
      <c r="DD149">
        <v>1.2173937640171373E-3</v>
      </c>
      <c r="DE149">
        <v>3233492988341.4341</v>
      </c>
      <c r="DF149">
        <v>3.1093684095740319</v>
      </c>
      <c r="DG149">
        <v>1.0706276571778577E-5</v>
      </c>
      <c r="DH149">
        <v>367675370013915.25</v>
      </c>
      <c r="DI149">
        <v>2.8266985541582113</v>
      </c>
      <c r="DJ149">
        <v>1.8996526962883934E-10</v>
      </c>
      <c r="DK149">
        <v>2.0721862515664785E+19</v>
      </c>
      <c r="DL149">
        <v>2.4733612348884342</v>
      </c>
      <c r="DM149">
        <v>707000000</v>
      </c>
      <c r="DN149">
        <v>3.5333731926977636</v>
      </c>
      <c r="DO149">
        <v>3936434200</v>
      </c>
      <c r="DP149">
        <v>1499504700</v>
      </c>
      <c r="DQ149">
        <v>4538</v>
      </c>
      <c r="DR149">
        <v>-4.4763660668070271</v>
      </c>
      <c r="DS149">
        <v>-1.8408238971853297</v>
      </c>
      <c r="DT149" s="10">
        <v>-0.10666666666666669</v>
      </c>
      <c r="DU149">
        <v>1.0000000000000011E-2</v>
      </c>
      <c r="DV149">
        <v>-9.6666666666666679E-2</v>
      </c>
      <c r="DW149">
        <v>2.1522000000000001</v>
      </c>
      <c r="DX149">
        <v>0.22199999999999961</v>
      </c>
      <c r="DY149">
        <v>2.0079144000000002</v>
      </c>
      <c r="DZ149">
        <v>1091</v>
      </c>
      <c r="EA149">
        <v>2.0062246523679064</v>
      </c>
      <c r="EB149">
        <v>2</v>
      </c>
      <c r="EC149">
        <v>2.3274660031272678E-2</v>
      </c>
      <c r="ED149">
        <v>0.44758961598601316</v>
      </c>
      <c r="EE149" s="11">
        <v>1.03661</v>
      </c>
      <c r="EF149">
        <v>1.0497099999999999</v>
      </c>
      <c r="EG149">
        <v>17.052</v>
      </c>
      <c r="EH149" t="s">
        <v>1242</v>
      </c>
      <c r="EI149">
        <v>1</v>
      </c>
      <c r="EJ149">
        <v>1</v>
      </c>
      <c r="EK149" s="13">
        <v>45470</v>
      </c>
      <c r="EL149" s="14">
        <v>-0.55000000000000004</v>
      </c>
      <c r="EM149" s="14">
        <v>-2.0499999999999998</v>
      </c>
      <c r="EN149">
        <v>0.97</v>
      </c>
      <c r="EO149">
        <v>3.51</v>
      </c>
      <c r="EP149">
        <v>-1.31</v>
      </c>
    </row>
  </sheetData>
  <autoFilter ref="BU1:BU149"/>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建筑装饰&quot;,&quot;&quot;'" altText="更新基本面按钮_x000a_">
                <anchor moveWithCells="1" sizeWithCells="1">
                  <from>
                    <xdr:col>147</xdr:col>
                    <xdr:colOff>393700</xdr:colOff>
                    <xdr:row>0</xdr:row>
                    <xdr:rowOff>69850</xdr:rowOff>
                  </from>
                  <to>
                    <xdr:col>147</xdr:col>
                    <xdr:colOff>1403350</xdr:colOff>
                    <xdr:row>0</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
  <sheetViews>
    <sheetView workbookViewId="0">
      <selection activeCell="A6" sqref="A6"/>
    </sheetView>
  </sheetViews>
  <sheetFormatPr defaultRowHeight="14"/>
  <sheetData>
    <row r="1" spans="1:30">
      <c r="A1">
        <f>A6</f>
        <v>6.62</v>
      </c>
      <c r="B1">
        <f>A1+A1*$A$2</f>
        <v>6.9510000000000005</v>
      </c>
      <c r="C1">
        <f t="shared" ref="C1:AD1" si="0">B1+B1*$A$2</f>
        <v>7.2985500000000005</v>
      </c>
      <c r="D1">
        <f t="shared" si="0"/>
        <v>7.6634775000000008</v>
      </c>
      <c r="E1">
        <f t="shared" si="0"/>
        <v>8.0466513750000015</v>
      </c>
      <c r="F1">
        <f t="shared" si="0"/>
        <v>8.4489839437500009</v>
      </c>
      <c r="G1">
        <f t="shared" si="0"/>
        <v>8.8714331409375013</v>
      </c>
      <c r="H1">
        <f t="shared" si="0"/>
        <v>9.3150047979843755</v>
      </c>
      <c r="I1">
        <f t="shared" si="0"/>
        <v>9.7807550378835941</v>
      </c>
      <c r="J1">
        <f t="shared" si="0"/>
        <v>10.269792789777775</v>
      </c>
      <c r="K1">
        <f t="shared" si="0"/>
        <v>10.783282429266663</v>
      </c>
      <c r="L1">
        <f t="shared" si="0"/>
        <v>11.322446550729996</v>
      </c>
      <c r="M1">
        <f t="shared" si="0"/>
        <v>11.888568878266495</v>
      </c>
      <c r="N1">
        <f t="shared" si="0"/>
        <v>12.48299732217982</v>
      </c>
      <c r="O1">
        <f t="shared" si="0"/>
        <v>13.107147188288812</v>
      </c>
      <c r="P1">
        <f t="shared" si="0"/>
        <v>13.762504547703251</v>
      </c>
      <c r="Q1">
        <f t="shared" si="0"/>
        <v>14.450629775088414</v>
      </c>
      <c r="R1">
        <f t="shared" si="0"/>
        <v>15.173161263842834</v>
      </c>
      <c r="S1">
        <f t="shared" si="0"/>
        <v>15.931819327034976</v>
      </c>
      <c r="T1">
        <f t="shared" si="0"/>
        <v>16.728410293386723</v>
      </c>
      <c r="U1">
        <f t="shared" si="0"/>
        <v>17.564830808056058</v>
      </c>
      <c r="V1">
        <f t="shared" si="0"/>
        <v>18.443072348458863</v>
      </c>
      <c r="W1">
        <f t="shared" si="0"/>
        <v>19.365225965881805</v>
      </c>
      <c r="X1">
        <f t="shared" si="0"/>
        <v>20.333487264175897</v>
      </c>
      <c r="Y1">
        <f t="shared" si="0"/>
        <v>21.350161627384693</v>
      </c>
      <c r="Z1">
        <f t="shared" si="0"/>
        <v>22.417669708753927</v>
      </c>
      <c r="AA1">
        <f t="shared" si="0"/>
        <v>23.538553194191621</v>
      </c>
      <c r="AB1">
        <f t="shared" si="0"/>
        <v>24.715480853901202</v>
      </c>
      <c r="AC1">
        <f t="shared" si="0"/>
        <v>25.951254896596261</v>
      </c>
      <c r="AD1">
        <f t="shared" si="0"/>
        <v>27.248817641426072</v>
      </c>
    </row>
    <row r="2" spans="1:30">
      <c r="A2">
        <v>0.05</v>
      </c>
      <c r="B2" t="s">
        <v>2072</v>
      </c>
    </row>
    <row r="3" spans="1:30" s="2" customFormat="1">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c r="A4">
        <v>0.15</v>
      </c>
      <c r="B4" t="s">
        <v>2073</v>
      </c>
    </row>
    <row r="5" spans="1:30">
      <c r="A5" s="1">
        <v>1</v>
      </c>
      <c r="B5" s="1">
        <f>A5*$A$4+A5</f>
        <v>1.1499999999999999</v>
      </c>
      <c r="C5" s="1">
        <f t="shared" ref="C5:AD5" si="1">B5*$A$4+B5</f>
        <v>1.3224999999999998</v>
      </c>
      <c r="D5" s="1">
        <f t="shared" si="1"/>
        <v>1.5208749999999998</v>
      </c>
      <c r="E5" s="1">
        <f t="shared" si="1"/>
        <v>1.7490062499999997</v>
      </c>
      <c r="F5" s="1">
        <f t="shared" si="1"/>
        <v>2.0113571874999998</v>
      </c>
      <c r="G5" s="1">
        <f t="shared" si="1"/>
        <v>2.313060765625</v>
      </c>
      <c r="H5" s="1">
        <f t="shared" si="1"/>
        <v>2.66001988046875</v>
      </c>
      <c r="I5" s="1">
        <f t="shared" si="1"/>
        <v>3.0590228625390625</v>
      </c>
      <c r="J5" s="1">
        <f t="shared" si="1"/>
        <v>3.5178762919199218</v>
      </c>
      <c r="K5" s="1">
        <f t="shared" si="1"/>
        <v>4.0455577357079102</v>
      </c>
      <c r="L5" s="1">
        <f t="shared" si="1"/>
        <v>4.6523913960640968</v>
      </c>
      <c r="M5" s="1">
        <f t="shared" si="1"/>
        <v>5.3502501054737115</v>
      </c>
      <c r="N5" s="1">
        <f t="shared" si="1"/>
        <v>6.1527876212947685</v>
      </c>
      <c r="O5" s="1">
        <f t="shared" si="1"/>
        <v>7.0757057644889834</v>
      </c>
      <c r="P5">
        <f t="shared" si="1"/>
        <v>8.1370616291623303</v>
      </c>
      <c r="Q5">
        <f t="shared" si="1"/>
        <v>9.3576208735366802</v>
      </c>
      <c r="R5">
        <f t="shared" si="1"/>
        <v>10.761264004567183</v>
      </c>
      <c r="S5" s="1">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c r="A6">
        <v>6.62</v>
      </c>
      <c r="B6" t="s">
        <v>0</v>
      </c>
    </row>
    <row r="7" spans="1:30">
      <c r="A7" s="12">
        <f>SUM($A$5:A5)</f>
        <v>1</v>
      </c>
      <c r="B7" s="12">
        <f>SUM($A$5:B5)</f>
        <v>2.15</v>
      </c>
      <c r="C7" s="12">
        <f>SUM($A$5:C5)</f>
        <v>3.4724999999999997</v>
      </c>
      <c r="D7" s="12">
        <f>SUM($A$5:D5)</f>
        <v>4.9933749999999995</v>
      </c>
      <c r="E7" s="12">
        <f>SUM($A$5:E5)</f>
        <v>6.7423812499999993</v>
      </c>
      <c r="F7" s="12">
        <f>SUM($A$5:F5)</f>
        <v>8.7537384374999991</v>
      </c>
      <c r="G7" s="12">
        <f>SUM($A$5:G5)</f>
        <v>11.066799203124999</v>
      </c>
      <c r="H7" s="12">
        <f>SUM($A$5:H5)</f>
        <v>13.72681908359375</v>
      </c>
      <c r="I7" s="12">
        <f>SUM($A$5:I5)</f>
        <v>16.785841946132813</v>
      </c>
      <c r="J7" s="12">
        <f>SUM($A$5:J5)</f>
        <v>20.303718238052735</v>
      </c>
      <c r="K7" s="12">
        <f>SUM($A$5:K5)</f>
        <v>24.349275973760644</v>
      </c>
      <c r="L7" s="12">
        <f>SUM($A$5:L5)</f>
        <v>29.001667369824741</v>
      </c>
      <c r="M7" s="12">
        <f>SUM($A$5:M5)</f>
        <v>34.35191747529845</v>
      </c>
      <c r="N7" s="12">
        <f>SUM($A$5:N5)</f>
        <v>40.50470509659322</v>
      </c>
      <c r="O7" s="12">
        <f>SUM($A$5:O5)</f>
        <v>47.5804108610822</v>
      </c>
      <c r="P7" s="12">
        <f>SUM($A$5:P5)</f>
        <v>55.717472490244532</v>
      </c>
      <c r="Q7" s="12">
        <f>SUM($A$5:Q5)</f>
        <v>65.075093363781207</v>
      </c>
      <c r="R7" s="12">
        <f>SUM($A$5:R5)</f>
        <v>75.836357368348388</v>
      </c>
      <c r="S7" s="12">
        <f>SUM($A$5:S5)</f>
        <v>88.211810973600649</v>
      </c>
      <c r="T7" s="12">
        <f>SUM($A$5:T5)</f>
        <v>102.44358261964075</v>
      </c>
      <c r="U7" s="12">
        <f>SUM($A$5:U5)</f>
        <v>118.81012001258686</v>
      </c>
      <c r="V7" s="12">
        <f>SUM($A$5:V5)</f>
        <v>137.6316380144749</v>
      </c>
      <c r="W7" s="12">
        <f>SUM($A$5:W5)</f>
        <v>159.27638371664614</v>
      </c>
      <c r="X7" s="12">
        <f>SUM($A$5:X5)</f>
        <v>184.16784127414306</v>
      </c>
      <c r="Y7" s="12">
        <f>SUM($A$5:Y5)</f>
        <v>212.79301746526451</v>
      </c>
      <c r="Z7" s="12">
        <f>SUM($A$5:Z5)</f>
        <v>245.71197008505419</v>
      </c>
      <c r="AA7" s="12">
        <f>SUM($A$5:AA5)</f>
        <v>283.56876559781233</v>
      </c>
      <c r="AB7" s="12">
        <f>SUM($A$5:AB5)</f>
        <v>327.10408043748419</v>
      </c>
      <c r="AC7" s="12">
        <f>SUM($A$5:AC5)</f>
        <v>377.16969250310683</v>
      </c>
      <c r="AD7" s="12">
        <f>SUM($A$5:AD5)</f>
        <v>434.74514637857283</v>
      </c>
    </row>
    <row r="8" spans="1:30">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c r="A9">
        <f>IF(A7&gt;A1,(A7-A1)/$A$6,0)</f>
        <v>0</v>
      </c>
      <c r="B9">
        <f t="shared" ref="B9:AD9" si="2">IF(B7&gt;B1,(B7-B1)/$A$6,0)</f>
        <v>0</v>
      </c>
      <c r="C9">
        <f t="shared" si="2"/>
        <v>0</v>
      </c>
      <c r="D9">
        <f t="shared" si="2"/>
        <v>0</v>
      </c>
      <c r="E9">
        <f t="shared" si="2"/>
        <v>0</v>
      </c>
      <c r="F9">
        <f t="shared" si="2"/>
        <v>4.6035422016616041E-2</v>
      </c>
      <c r="G9">
        <f t="shared" si="2"/>
        <v>0.33162629338179722</v>
      </c>
      <c r="H9">
        <f t="shared" si="2"/>
        <v>0.66643720326425593</v>
      </c>
      <c r="I9">
        <f t="shared" si="2"/>
        <v>1.0581702278322083</v>
      </c>
      <c r="J9">
        <f t="shared" si="2"/>
        <v>1.5156987081986344</v>
      </c>
      <c r="K9">
        <f t="shared" si="2"/>
        <v>2.0492437378389701</v>
      </c>
      <c r="L9">
        <f t="shared" si="2"/>
        <v>2.6705771630052486</v>
      </c>
      <c r="M9">
        <f t="shared" si="2"/>
        <v>3.3932550750803552</v>
      </c>
      <c r="N9">
        <f t="shared" si="2"/>
        <v>4.2328863707573108</v>
      </c>
      <c r="O9">
        <f t="shared" si="2"/>
        <v>5.2074416424159189</v>
      </c>
      <c r="P9">
        <f t="shared" si="2"/>
        <v>6.3376084505349368</v>
      </c>
      <c r="Q9">
        <f t="shared" si="2"/>
        <v>7.6471999378690017</v>
      </c>
      <c r="R9">
        <f t="shared" si="2"/>
        <v>9.1636247892002345</v>
      </c>
      <c r="S9">
        <f t="shared" si="2"/>
        <v>10.918427741173062</v>
      </c>
      <c r="T9">
        <f t="shared" si="2"/>
        <v>12.947911227530819</v>
      </c>
      <c r="U9">
        <f t="shared" si="2"/>
        <v>15.293850333010695</v>
      </c>
      <c r="V9">
        <f t="shared" si="2"/>
        <v>18.004315055289432</v>
      </c>
      <c r="W9">
        <f t="shared" si="2"/>
        <v>21.1346159744357</v>
      </c>
      <c r="X9">
        <f t="shared" si="2"/>
        <v>24.748391844405916</v>
      </c>
      <c r="Y9">
        <f t="shared" si="2"/>
        <v>28.918860398471271</v>
      </c>
      <c r="Z9">
        <f t="shared" si="2"/>
        <v>33.730256854426024</v>
      </c>
      <c r="AA9">
        <f t="shared" si="2"/>
        <v>39.279488278492551</v>
      </c>
      <c r="AB9">
        <f t="shared" si="2"/>
        <v>45.678036190873556</v>
      </c>
      <c r="AC9">
        <f t="shared" si="2"/>
        <v>53.054144653551447</v>
      </c>
      <c r="AD9">
        <f t="shared" si="2"/>
        <v>61.555336667242713</v>
      </c>
    </row>
    <row r="10" spans="1:30">
      <c r="A10">
        <f>A6/(A4*100)</f>
        <v>0.44133333333333336</v>
      </c>
      <c r="B10" t="s">
        <v>2074</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建筑装饰</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2024-07-10T22:12:21Z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