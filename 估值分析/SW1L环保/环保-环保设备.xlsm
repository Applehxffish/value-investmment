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环保\"/>
    </mc:Choice>
  </mc:AlternateContent>
  <bookViews>
    <workbookView xWindow="0" yWindow="0" windowWidth="3800" windowHeight="2950"/>
  </bookViews>
  <sheets>
    <sheet name="环保" sheetId="15" r:id="rId1"/>
    <sheet name="估值-增速与年化收益" sheetId="14" r:id="rId2"/>
  </sheets>
  <functionGroups builtInGroupCount="18"/>
  <definedNames>
    <definedName name="_xlnm._FilterDatabase" localSheetId="0" hidden="1">环保!$BU$1:$BU$27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2" i="15"/>
  <c r="C24" i="15"/>
  <c r="C8" i="15"/>
  <c r="C13" i="15"/>
  <c r="C21" i="15"/>
  <c r="C9" i="15"/>
  <c r="C23" i="15"/>
  <c r="C10" i="15"/>
  <c r="C3" i="15"/>
  <c r="C6" i="15"/>
  <c r="C18" i="15"/>
  <c r="C11" i="15"/>
  <c r="C7" i="15"/>
  <c r="C4" i="15"/>
  <c r="C15" i="15"/>
  <c r="C16" i="15"/>
  <c r="C22" i="15"/>
  <c r="C26" i="15"/>
  <c r="C19" i="15"/>
  <c r="C14" i="15"/>
  <c r="C25" i="15"/>
  <c r="C27" i="15"/>
  <c r="C20" i="15"/>
  <c r="C5" i="15"/>
  <c r="C17" i="15"/>
</calcChain>
</file>

<file path=xl/sharedStrings.xml><?xml version="1.0" encoding="utf-8"?>
<sst xmlns="http://schemas.openxmlformats.org/spreadsheetml/2006/main" count="1574" uniqueCount="1223">
  <si>
    <t>&lt;-增速</t>
    <phoneticPr fontId="1" type="noConversion"/>
  </si>
  <si>
    <t>&lt;-估值</t>
    <phoneticPr fontId="1" type="noConversion"/>
  </si>
  <si>
    <t>&lt;-折合年化收益</t>
    <phoneticPr fontId="1" type="noConversion"/>
  </si>
  <si>
    <t>现价</t>
  </si>
  <si>
    <t>市净率</t>
  </si>
  <si>
    <t>盈峰环境</t>
  </si>
  <si>
    <t>久吾高科</t>
  </si>
  <si>
    <t>先河环保</t>
  </si>
  <si>
    <t>雪迪龙</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</si>
  <si>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</si>
  <si>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</si>
  <si>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</si>
  <si>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</si>
  <si>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</si>
  <si>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</si>
  <si>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</si>
  <si>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</si>
  <si>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</si>
  <si>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</si>
  <si>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</si>
  <si>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</si>
  <si>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</si>
  <si>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</si>
  <si>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</si>
  <si>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</si>
  <si>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1.75亿</t>
  </si>
  <si>
    <t>1.68亿</t>
  </si>
  <si>
    <t>1.12亿</t>
  </si>
  <si>
    <t>2.94亿</t>
  </si>
  <si>
    <t>2.30亿</t>
  </si>
  <si>
    <t>0亿</t>
  </si>
  <si>
    <t>2.14亿</t>
  </si>
  <si>
    <t>1.65亿</t>
  </si>
  <si>
    <t>1.56亿</t>
  </si>
  <si>
    <t>1.28亿</t>
  </si>
  <si>
    <t>2.83亿</t>
  </si>
  <si>
    <t>SZ000967</t>
  </si>
  <si>
    <t>126.96亿</t>
  </si>
  <si>
    <t>3.66亿</t>
  </si>
  <si>
    <t>3.67亿</t>
  </si>
  <si>
    <t>5.19亿</t>
  </si>
  <si>
    <t>1.61亿</t>
  </si>
  <si>
    <t>1.60亿</t>
  </si>
  <si>
    <t>1.36亿</t>
  </si>
  <si>
    <t>1.33亿</t>
  </si>
  <si>
    <t>1.20亿</t>
  </si>
  <si>
    <t>2.95亿</t>
  </si>
  <si>
    <t>SZ002658</t>
  </si>
  <si>
    <t>12.43亿</t>
  </si>
  <si>
    <t>1.41亿</t>
  </si>
  <si>
    <t>1.42亿</t>
  </si>
  <si>
    <t>1.01亿</t>
  </si>
  <si>
    <t>1.66亿</t>
  </si>
  <si>
    <t>1.51亿</t>
  </si>
  <si>
    <t>12.13亿</t>
  </si>
  <si>
    <t>1.00亿</t>
  </si>
  <si>
    <t>1.89亿</t>
  </si>
  <si>
    <t>1.26亿</t>
  </si>
  <si>
    <t>1.27亿</t>
  </si>
  <si>
    <t>4.17亿</t>
  </si>
  <si>
    <t>7.15亿</t>
  </si>
  <si>
    <t>6.47亿</t>
  </si>
  <si>
    <t>1.73亿</t>
  </si>
  <si>
    <t>1.14亿</t>
  </si>
  <si>
    <t>3.86亿</t>
  </si>
  <si>
    <t>1.77亿</t>
  </si>
  <si>
    <t>13.81亿</t>
  </si>
  <si>
    <t>2.17亿</t>
  </si>
  <si>
    <t>1.23亿</t>
  </si>
  <si>
    <t>5.31亿</t>
  </si>
  <si>
    <t>1.08亿</t>
  </si>
  <si>
    <t>2.29亿</t>
  </si>
  <si>
    <t>SZ300137</t>
  </si>
  <si>
    <t>13.74亿</t>
  </si>
  <si>
    <t>2.63亿</t>
  </si>
  <si>
    <t>2.03亿</t>
  </si>
  <si>
    <t>2.12亿</t>
  </si>
  <si>
    <t>2.65亿</t>
  </si>
  <si>
    <t>2.59亿</t>
  </si>
  <si>
    <t>1.91亿</t>
  </si>
  <si>
    <t>2.75亿</t>
  </si>
  <si>
    <t>2.15亿</t>
  </si>
  <si>
    <t>1.09亿</t>
  </si>
  <si>
    <t>1.40亿</t>
  </si>
  <si>
    <t>3.26亿</t>
  </si>
  <si>
    <t>1.18亿</t>
  </si>
  <si>
    <t>1.92亿</t>
  </si>
  <si>
    <t>2.71亿</t>
  </si>
  <si>
    <t>1.44亿</t>
  </si>
  <si>
    <t>SZ300631</t>
  </si>
  <si>
    <t>4.94亿</t>
  </si>
  <si>
    <t>5581.44万</t>
  </si>
  <si>
    <t>1.55亿</t>
  </si>
  <si>
    <t>1.13亿</t>
  </si>
  <si>
    <t>1.21亿</t>
  </si>
  <si>
    <t>SZ300800</t>
  </si>
  <si>
    <t>力合科技</t>
  </si>
  <si>
    <t>7.34亿</t>
  </si>
  <si>
    <t>1.53亿</t>
  </si>
  <si>
    <t>1.05亿</t>
  </si>
  <si>
    <t>3.13亿</t>
  </si>
  <si>
    <t>2.90亿</t>
  </si>
  <si>
    <t>1.11亿</t>
  </si>
  <si>
    <t>2.48亿</t>
  </si>
  <si>
    <t>1.10亿</t>
  </si>
  <si>
    <t>4.02亿</t>
  </si>
  <si>
    <t>1.22亿</t>
  </si>
  <si>
    <t>2.89亿</t>
  </si>
  <si>
    <t>2.38亿</t>
  </si>
  <si>
    <t>1.85亿</t>
  </si>
  <si>
    <t>2.44亿</t>
  </si>
  <si>
    <t>4.86亿</t>
  </si>
  <si>
    <t>2.98亿</t>
  </si>
  <si>
    <t>2.22亿</t>
  </si>
  <si>
    <t>2.97亿</t>
  </si>
  <si>
    <t>2.77亿</t>
  </si>
  <si>
    <t>2.01亿</t>
  </si>
  <si>
    <t>7.74亿</t>
  </si>
  <si>
    <t>1.25亿</t>
  </si>
  <si>
    <t>1.64亿</t>
  </si>
  <si>
    <t>1.86亿</t>
  </si>
  <si>
    <t>2.16亿</t>
  </si>
  <si>
    <t>5.05亿</t>
  </si>
  <si>
    <t>1.78亿</t>
  </si>
  <si>
    <t>SH688600</t>
  </si>
  <si>
    <t>皖仪科技</t>
  </si>
  <si>
    <t>4.09亿</t>
  </si>
  <si>
    <t>6650.49万</t>
  </si>
  <si>
    <t>1.50亿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</si>
  <si>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</si>
  <si>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</si>
  <si>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</si>
  <si>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</si>
  <si>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</si>
  <si>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</si>
  <si>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</si>
  <si>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</si>
  <si>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</si>
  <si>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</si>
  <si>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</si>
  <si>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</si>
  <si>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</si>
  <si>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18.47亿</t>
  </si>
  <si>
    <t>4.13亿</t>
  </si>
  <si>
    <t>1.59亿</t>
  </si>
  <si>
    <t>1.30亿</t>
  </si>
  <si>
    <t>4.08亿</t>
  </si>
  <si>
    <t>1.35亿</t>
  </si>
  <si>
    <t>1.06亿</t>
  </si>
  <si>
    <t>143.32亿</t>
  </si>
  <si>
    <t>2.18亿</t>
  </si>
  <si>
    <t>130.45亿</t>
  </si>
  <si>
    <t>9.29亿</t>
  </si>
  <si>
    <t>2.46亿</t>
  </si>
  <si>
    <t>16.98亿</t>
  </si>
  <si>
    <t>2.35亿</t>
  </si>
  <si>
    <t>8.72亿</t>
  </si>
  <si>
    <t>1.37亿</t>
  </si>
  <si>
    <t>1.79亿</t>
  </si>
  <si>
    <t>3.93亿</t>
  </si>
  <si>
    <t>3.14亿</t>
  </si>
  <si>
    <t>1.81亿</t>
  </si>
  <si>
    <t>3.50亿</t>
  </si>
  <si>
    <t>3.18亿</t>
  </si>
  <si>
    <t>1.17亿</t>
  </si>
  <si>
    <t>12.89亿</t>
  </si>
  <si>
    <t>1.45亿</t>
  </si>
  <si>
    <t>5.09亿</t>
  </si>
  <si>
    <t>2.61亿</t>
  </si>
  <si>
    <t>1.57亿</t>
  </si>
  <si>
    <t>4.98亿</t>
  </si>
  <si>
    <t>6.85亿</t>
  </si>
  <si>
    <t>5.87亿</t>
  </si>
  <si>
    <t>3.76亿</t>
  </si>
  <si>
    <t>5.72亿</t>
  </si>
  <si>
    <t>1.32亿</t>
  </si>
  <si>
    <t>3.71亿</t>
  </si>
  <si>
    <t>7.21亿</t>
  </si>
  <si>
    <t>1.04亿</t>
  </si>
  <si>
    <t>6.31亿</t>
  </si>
  <si>
    <t>13.00亿</t>
  </si>
  <si>
    <t>3.77亿</t>
  </si>
  <si>
    <t>5.15亿</t>
  </si>
  <si>
    <t>9.38亿</t>
  </si>
  <si>
    <t>2.32亿</t>
  </si>
  <si>
    <t>12.48亿</t>
  </si>
  <si>
    <t>1.34亿</t>
  </si>
  <si>
    <t>1.48亿</t>
  </si>
  <si>
    <t>6.13亿</t>
  </si>
  <si>
    <t>7.78亿</t>
  </si>
  <si>
    <t>1.82亿</t>
  </si>
  <si>
    <t>1.52亿</t>
  </si>
  <si>
    <t>7.57亿</t>
  </si>
  <si>
    <t>22.78亿</t>
  </si>
  <si>
    <t>6.33亿</t>
  </si>
  <si>
    <t>5.29亿</t>
  </si>
  <si>
    <t>2.84亿</t>
  </si>
  <si>
    <t>1.16亿</t>
  </si>
  <si>
    <t>8273.28万</t>
  </si>
  <si>
    <t>4.72亿</t>
  </si>
  <si>
    <t>5500.82万</t>
  </si>
  <si>
    <t>4.15亿</t>
  </si>
  <si>
    <t>3.73亿</t>
  </si>
  <si>
    <t>4.84亿</t>
  </si>
  <si>
    <t>7.35亿</t>
  </si>
  <si>
    <t>6.75亿</t>
  </si>
  <si>
    <t>2.00亿</t>
  </si>
  <si>
    <t>34.33亿</t>
  </si>
  <si>
    <t>6.68亿</t>
  </si>
  <si>
    <t>2.42亿</t>
  </si>
  <si>
    <t>5.76亿</t>
  </si>
  <si>
    <t>2.96亿</t>
  </si>
  <si>
    <t>8.86亿</t>
  </si>
  <si>
    <t>10.29亿</t>
  </si>
  <si>
    <t>1.24亿</t>
  </si>
  <si>
    <t>4.57亿</t>
  </si>
  <si>
    <t>2.58亿</t>
  </si>
  <si>
    <t>5.86亿</t>
  </si>
  <si>
    <t>5885.74万</t>
  </si>
  <si>
    <t>5203.66万</t>
  </si>
  <si>
    <t>3.12亿</t>
  </si>
  <si>
    <t>4.01亿</t>
  </si>
  <si>
    <t>3.79亿</t>
  </si>
  <si>
    <t>2.70亿</t>
  </si>
  <si>
    <t>2.55亿</t>
  </si>
  <si>
    <t>1.15亿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</si>
  <si>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</si>
  <si>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</si>
  <si>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</si>
  <si>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</si>
  <si>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</si>
  <si>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</si>
  <si>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</si>
  <si>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</si>
  <si>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</si>
  <si>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</si>
  <si>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</si>
  <si>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</si>
  <si>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</si>
  <si>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1.还携手华为联合开发一体化水质自动站机柜，将5G、AI算法等先进技术应用于环境监测领域</t>
    <phoneticPr fontId="1" type="noConversion"/>
  </si>
  <si>
    <t>3.43亿</t>
  </si>
  <si>
    <t>销售毛利率%[20201231]</t>
  </si>
  <si>
    <t>销售净利率%[20201231]</t>
  </si>
  <si>
    <t>2.19亿</t>
  </si>
  <si>
    <t>1.58亿</t>
  </si>
  <si>
    <t>2.07亿</t>
  </si>
  <si>
    <t>4.96亿</t>
  </si>
  <si>
    <t>2.73亿</t>
  </si>
  <si>
    <t>SZ000551</t>
  </si>
  <si>
    <t>创元科技</t>
  </si>
  <si>
    <t>32.13亿</t>
  </si>
  <si>
    <t>32.37亿</t>
  </si>
  <si>
    <t>29.84亿</t>
  </si>
  <si>
    <t>8610.64万</t>
  </si>
  <si>
    <t>6.67亿</t>
  </si>
  <si>
    <t>7.03亿</t>
  </si>
  <si>
    <t>3.10亿</t>
  </si>
  <si>
    <t>4.67亿</t>
  </si>
  <si>
    <t>6.40亿</t>
  </si>
  <si>
    <t>7.64亿</t>
  </si>
  <si>
    <t>7.02亿</t>
  </si>
  <si>
    <t>4.00亿</t>
  </si>
  <si>
    <t>4.68亿</t>
  </si>
  <si>
    <t>7.29亿</t>
  </si>
  <si>
    <t>8.51亿</t>
  </si>
  <si>
    <t>SZ300385</t>
  </si>
  <si>
    <t>雪浪环境</t>
  </si>
  <si>
    <t>14.88亿</t>
  </si>
  <si>
    <t>-3.36亿</t>
  </si>
  <si>
    <t>8.00亿</t>
  </si>
  <si>
    <t>2.52亿</t>
  </si>
  <si>
    <t>9.60亿</t>
  </si>
  <si>
    <t>8984.05万</t>
  </si>
  <si>
    <t>4332.04万</t>
  </si>
  <si>
    <t>3.35亿</t>
  </si>
  <si>
    <t>5.58亿</t>
  </si>
  <si>
    <t>SZ300786</t>
  </si>
  <si>
    <t>国林科技</t>
  </si>
  <si>
    <t>7998.70万</t>
  </si>
  <si>
    <t>7183.02万</t>
  </si>
  <si>
    <t>6090.62万</t>
  </si>
  <si>
    <t>SZ300862</t>
  </si>
  <si>
    <t>蓝盾光电</t>
  </si>
  <si>
    <t>7178.93万</t>
  </si>
  <si>
    <t>5.62亿</t>
  </si>
  <si>
    <t>SZ301030</t>
  </si>
  <si>
    <t>仕净科技</t>
  </si>
  <si>
    <t>6140.80万</t>
  </si>
  <si>
    <t>5528.62万</t>
  </si>
  <si>
    <t>SZ301081</t>
  </si>
  <si>
    <t>严牌股份</t>
  </si>
  <si>
    <t>8209.03万</t>
  </si>
  <si>
    <t>3.70亿</t>
  </si>
  <si>
    <t>5400.23万</t>
  </si>
  <si>
    <t>4.26亿</t>
  </si>
  <si>
    <t>11.75亿</t>
  </si>
  <si>
    <t>SH600388</t>
  </si>
  <si>
    <t>101.81亿</t>
  </si>
  <si>
    <t>109.35亿</t>
  </si>
  <si>
    <t>94.02亿</t>
  </si>
  <si>
    <t>8.01亿</t>
  </si>
  <si>
    <t>4.89亿</t>
  </si>
  <si>
    <t>SH600526</t>
  </si>
  <si>
    <t>菲达环保</t>
  </si>
  <si>
    <t>31.11亿</t>
  </si>
  <si>
    <t>5231.94万</t>
  </si>
  <si>
    <t>11.11亿</t>
  </si>
  <si>
    <t>34.16亿</t>
  </si>
  <si>
    <t>35.21亿</t>
  </si>
  <si>
    <t>9064.91万</t>
  </si>
  <si>
    <t>-4.22亿</t>
  </si>
  <si>
    <t>5.02亿</t>
  </si>
  <si>
    <t>308.42万</t>
  </si>
  <si>
    <t>5.70亿</t>
  </si>
  <si>
    <t>SH603279</t>
  </si>
  <si>
    <t>33.29亿</t>
  </si>
  <si>
    <t>33.11亿</t>
  </si>
  <si>
    <t>29.19亿</t>
  </si>
  <si>
    <t>SH603324</t>
  </si>
  <si>
    <t>盛剑环境</t>
  </si>
  <si>
    <t>5.17亿</t>
  </si>
  <si>
    <t>2.11亿</t>
  </si>
  <si>
    <t>4.19亿</t>
  </si>
  <si>
    <t>SH688309</t>
  </si>
  <si>
    <t>4597.20万</t>
  </si>
  <si>
    <t>6442.65万</t>
  </si>
  <si>
    <t>7893.99万</t>
  </si>
  <si>
    <t>SH688335</t>
  </si>
  <si>
    <t>复洁环保</t>
  </si>
  <si>
    <t>6673.32万</t>
  </si>
  <si>
    <t>7.95亿</t>
  </si>
  <si>
    <t>6414.82万</t>
  </si>
  <si>
    <t>3307.58万</t>
  </si>
  <si>
    <t>SH688501</t>
  </si>
  <si>
    <t>青达环保</t>
  </si>
  <si>
    <t>4774.72万</t>
  </si>
  <si>
    <t>5474.27万</t>
  </si>
  <si>
    <t>6.28亿</t>
  </si>
  <si>
    <t>1.公司目前在新三板拥有3家控股子公司，1家参股子公司</t>
    <phoneticPr fontId="1" type="noConversion"/>
  </si>
  <si>
    <r>
      <t>创元科技是一家投资控股型公司，目前拥有9家全资、控股子公司，经过多年的发展，形成了以</t>
    </r>
    <r>
      <rPr>
        <sz val="9"/>
        <color rgb="FFFF0000"/>
        <rFont val="宋体"/>
        <family val="3"/>
        <charset val="134"/>
        <scheme val="minor"/>
      </rPr>
      <t>洁净环保设备及工程和输变电高压绝缘子为两大主业板块</t>
    </r>
    <r>
      <rPr>
        <sz val="9"/>
        <color theme="1"/>
        <rFont val="宋体"/>
        <family val="3"/>
        <charset val="134"/>
        <scheme val="minor"/>
      </rPr>
      <t>，并涉足测绘仪器、磨料磨具、滚针轴承、进出口贸易等业务的经营模式
洁净专业设备制造业 16.25亿 50.57%（毛利18.07%，增速21.69%）
输配电及控制设备 6.73亿 20.95%（毛利23.82%，增速0.73%）
其他通用零部件制造业 6.05亿 18.82%（毛利30.47%，增速52.01%）
专业仪器仪表制造业 2.24亿 6.97%（增速14.61%）
贸易、服务 8635.34万 2.69%（增速51.37%）</t>
    </r>
    <phoneticPr fontId="1" type="noConversion"/>
  </si>
  <si>
    <r>
      <t>1.发行人自主生产干化滤板，除干化滤板外，其他设备外购，安装服务外包；2.利用环境压强减小水沸点降低的原理，创造性地将机械压滤脱水与真空干化技术合为一体，将污泥含水率由 90-99%一次性降至 30%以下，大幅降低传统常压条件下污泥热干化的热源温度（100℃以上降至 90℃以下）、汽
化温度（100℃降至 45℃左右）以及脱水干化全程的能耗（节能 15%以上）；3.在耐高温干化滤板的生产制造技术方面，创新开发了国内外同行业最大吨位（大于 60000KN）的超大型油压滤板成型装备和超大容量（大于350kg）的在线卧式塑化注射压缩成型工艺（Online-HPICM），从投料、成型、定型到最终加工装配实现全自动程序化生产，干化滤板集过滤、压滤、抽真空、加热和干化功能于一体，耐温性能从常规的 50℃提高至 120℃，机械强度大、传热效率高、密封性能好、温度大幅升降耐受力强，实现了</t>
    </r>
    <r>
      <rPr>
        <b/>
        <sz val="9"/>
        <color rgb="FFFF0000"/>
        <rFont val="宋体"/>
        <family val="3"/>
        <charset val="134"/>
        <scheme val="minor"/>
      </rPr>
      <t>对进口定制产品的完全替代</t>
    </r>
    <r>
      <rPr>
        <sz val="9"/>
        <color theme="1"/>
        <rFont val="宋体"/>
        <family val="3"/>
        <charset val="134"/>
        <scheme val="minor"/>
      </rPr>
      <t xml:space="preserve">。
</t>
    </r>
    <phoneticPr fontId="1" type="noConversion"/>
  </si>
  <si>
    <r>
      <t>1.主营业务将逐渐向工业固废与特种物料固液分离应用领域延伸，截至目前，发行人在工业固废领域与特种物料固液分离应用领域尚未与客户签署商业合同，没有取得收入；2.客户集中度高；3.国内同行业可比公司</t>
    </r>
    <r>
      <rPr>
        <sz val="9"/>
        <color rgb="FFFF0000"/>
        <rFont val="宋体"/>
        <family val="3"/>
        <charset val="134"/>
        <scheme val="minor"/>
      </rPr>
      <t>兴源环境科技股份有限公司、景津环保股份有限公司、中持水务股份有限公司</t>
    </r>
    <r>
      <rPr>
        <sz val="9"/>
        <color theme="1"/>
        <rFont val="宋体"/>
        <family val="3"/>
        <charset val="134"/>
        <scheme val="minor"/>
      </rPr>
      <t>、上海梅思泰克环境股份有限公司等不断增强资金实力，提升技术装备水平</t>
    </r>
    <phoneticPr fontId="1" type="noConversion"/>
  </si>
  <si>
    <t>涨幅%</t>
  </si>
  <si>
    <t>流通股本</t>
  </si>
  <si>
    <t>净利润[20201231]</t>
  </si>
  <si>
    <t>投入资本回报率roic%[20201231]</t>
  </si>
  <si>
    <t>净资产收益率%[20201231]</t>
  </si>
  <si>
    <t>32.08亿</t>
  </si>
  <si>
    <t>18.12亿</t>
  </si>
  <si>
    <t>1.90亿</t>
  </si>
  <si>
    <t>10.08亿</t>
  </si>
  <si>
    <t>7121.41万</t>
  </si>
  <si>
    <t>5.40亿</t>
  </si>
  <si>
    <t>7012.43万</t>
  </si>
  <si>
    <t>6.78亿</t>
  </si>
  <si>
    <t>7602.89万</t>
  </si>
  <si>
    <t>9.08亿</t>
  </si>
  <si>
    <t>8.67亿</t>
  </si>
  <si>
    <t>5818.86万</t>
  </si>
  <si>
    <t>6478.34万</t>
  </si>
  <si>
    <t>7.09亿</t>
  </si>
  <si>
    <t>8169.20万</t>
  </si>
  <si>
    <t>6219.43万</t>
  </si>
  <si>
    <t>SZ301288</t>
  </si>
  <si>
    <t>清研环境</t>
  </si>
  <si>
    <t>7101.53万</t>
  </si>
  <si>
    <t>7252.00万</t>
  </si>
  <si>
    <t>6559.36万</t>
  </si>
  <si>
    <t>5990.31万</t>
  </si>
  <si>
    <t>3036.74万</t>
  </si>
  <si>
    <t>112.97亿</t>
  </si>
  <si>
    <t>8.60亿</t>
  </si>
  <si>
    <t>12.59亿</t>
  </si>
  <si>
    <t>景津装备</t>
  </si>
  <si>
    <t>46.51亿</t>
  </si>
  <si>
    <t>12.33亿</t>
  </si>
  <si>
    <t>8456.59万</t>
  </si>
  <si>
    <t>-948.18万</t>
  </si>
  <si>
    <t>6455.41万</t>
  </si>
  <si>
    <t>5588.57万</t>
  </si>
  <si>
    <t>4632.20万</t>
  </si>
  <si>
    <t>4748.34万</t>
  </si>
  <si>
    <t>环保设备</t>
  </si>
  <si>
    <t xml:space="preserve">    名称</t>
  </si>
  <si>
    <t>成交量[20220902]</t>
  </si>
  <si>
    <t>营业收入(同比增长率) %[20220630]</t>
  </si>
  <si>
    <t>LY营业总收入[20211231]</t>
  </si>
  <si>
    <t>净利润?</t>
  </si>
  <si>
    <t>净利润[20211231]</t>
  </si>
  <si>
    <t>权益乘数[20220630]</t>
  </si>
  <si>
    <t>总资产周转率[20220630]</t>
  </si>
  <si>
    <t>净利润／营业总收入%[20220630]</t>
  </si>
  <si>
    <t>营业总成本[20220630]</t>
  </si>
  <si>
    <t>营业成本[20220630]</t>
  </si>
  <si>
    <t>销售费用[20220630]</t>
  </si>
  <si>
    <t>管理费用[20220630]</t>
  </si>
  <si>
    <t>研发费用总额[20220630]</t>
  </si>
  <si>
    <t>其他收入[20220630]</t>
  </si>
  <si>
    <t>扣非净利润</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</si>
  <si>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</si>
  <si>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</si>
  <si>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</si>
  <si>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</si>
  <si>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</si>
  <si>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</si>
  <si>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</si>
  <si>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</si>
  <si>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</si>
  <si>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</si>
  <si>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</si>
  <si>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</si>
  <si>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</si>
  <si>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营业总收入[20201231]</t>
  </si>
  <si>
    <t>CYLQ营业收入[20220331]</t>
  </si>
  <si>
    <t>LYCQ营业收入[20210630]</t>
  </si>
  <si>
    <t>LYLQ营业收入[20210331]</t>
  </si>
  <si>
    <t>CYLQ净利润[20220331]</t>
  </si>
  <si>
    <t>LYCQ净利润[20210630]</t>
  </si>
  <si>
    <t>LYLQ净利润[20210331]</t>
  </si>
  <si>
    <t>投入资本回报率roic%[20220331]</t>
  </si>
  <si>
    <t>投入资本回报率roic%[20211231]</t>
  </si>
  <si>
    <t>净资产收益率%[20211231]</t>
  </si>
  <si>
    <t>细分行业</t>
  </si>
  <si>
    <t>销售毛利率%[20220331]</t>
  </si>
  <si>
    <t>销售净利率%[20220331]</t>
  </si>
  <si>
    <t>区间涨跌幅:前复权%[20220829-20220902]</t>
  </si>
  <si>
    <t>区间涨跌幅:前复权%[20220725-20220902]</t>
  </si>
  <si>
    <t>区间成交量[20220829-20220902]</t>
  </si>
  <si>
    <t>指数@区间成交量[20220725-20220902]</t>
  </si>
  <si>
    <t>单季营收增速</t>
  </si>
  <si>
    <t>单季利润增速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</si>
  <si>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</si>
  <si>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</si>
  <si>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</si>
  <si>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</si>
  <si>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</si>
  <si>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</si>
  <si>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</si>
  <si>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</si>
  <si>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</si>
  <si>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</si>
  <si>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</si>
  <si>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</si>
  <si>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</si>
  <si>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</si>
  <si>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</si>
  <si>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</si>
  <si>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</si>
  <si>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</si>
  <si>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</si>
  <si>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</si>
  <si>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</si>
  <si>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</si>
  <si>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</si>
  <si>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</si>
  <si>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</si>
  <si>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</si>
  <si>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</si>
  <si>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</si>
  <si>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</si>
  <si>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</si>
  <si>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</si>
  <si>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</si>
  <si>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</si>
  <si>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</si>
  <si>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</si>
  <si>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</si>
  <si>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</si>
  <si>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</si>
  <si>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</si>
  <si>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</si>
  <si>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</si>
  <si>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</si>
  <si>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t>
  </si>
  <si>
    <t>亏损</t>
  </si>
  <si>
    <t>扭亏</t>
  </si>
  <si>
    <t/>
  </si>
  <si>
    <t>11.50亿</t>
  </si>
  <si>
    <t>SZ000890</t>
  </si>
  <si>
    <t>法尔胜</t>
  </si>
  <si>
    <t>4001.44万</t>
  </si>
  <si>
    <t>10.04亿</t>
  </si>
  <si>
    <t>20.04亿</t>
  </si>
  <si>
    <t>1595.54万</t>
  </si>
  <si>
    <t>-7.78亿</t>
  </si>
  <si>
    <t>-1.45亿</t>
  </si>
  <si>
    <t>-1-1</t>
  </si>
  <si>
    <t>SZ001336</t>
  </si>
  <si>
    <t>楚环科技</t>
  </si>
  <si>
    <t>7.45亿</t>
  </si>
  <si>
    <t>4.80亿</t>
  </si>
  <si>
    <t>SH600817</t>
  </si>
  <si>
    <t>宇通重工</t>
  </si>
  <si>
    <t>37.57亿</t>
  </si>
  <si>
    <t>34.84亿</t>
  </si>
  <si>
    <t>4981.86万</t>
  </si>
  <si>
    <t>499.62万</t>
  </si>
  <si>
    <t>2.93亿</t>
  </si>
  <si>
    <t>4.03亿</t>
  </si>
  <si>
    <t>4.18亿</t>
  </si>
  <si>
    <t>3.60亿</t>
  </si>
  <si>
    <t>50.00万</t>
  </si>
  <si>
    <t>-1.64亿</t>
  </si>
  <si>
    <t>9.03亿</t>
  </si>
  <si>
    <t>44.46亿</t>
  </si>
  <si>
    <t>7.89亿</t>
  </si>
  <si>
    <t>-1.17亿</t>
  </si>
  <si>
    <t>SH688376</t>
  </si>
  <si>
    <t>美埃科技</t>
  </si>
  <si>
    <t>7.92亿</t>
  </si>
  <si>
    <t>8272.38万</t>
  </si>
  <si>
    <t>7128.32万</t>
  </si>
  <si>
    <t>3513.36万</t>
  </si>
  <si>
    <t>不分配不转增</t>
  </si>
  <si>
    <t>10派1元(含税)</t>
  </si>
  <si>
    <t>10派2元(含税)</t>
  </si>
  <si>
    <t>10派2.2元(含税)</t>
  </si>
  <si>
    <t>10派3.5元(含税)</t>
  </si>
  <si>
    <t>10派0.9元(含税)</t>
  </si>
  <si>
    <t>10派1.8元(含税)</t>
  </si>
  <si>
    <t>1.71亿</t>
  </si>
  <si>
    <t>2.87亿</t>
  </si>
  <si>
    <t>-2-1</t>
  </si>
  <si>
    <t>41.80亿</t>
  </si>
  <si>
    <t>36.96亿</t>
  </si>
  <si>
    <t>10派0.7元(含税)</t>
  </si>
  <si>
    <t>3.89亿</t>
  </si>
  <si>
    <t>6.17亿</t>
  </si>
  <si>
    <t>122.56亿</t>
  </si>
  <si>
    <t>118.66亿</t>
  </si>
  <si>
    <t>4.46亿</t>
  </si>
  <si>
    <t>15.05亿</t>
  </si>
  <si>
    <t>-1.35亿</t>
  </si>
  <si>
    <t>10.00万</t>
  </si>
  <si>
    <t>18.26亿</t>
  </si>
  <si>
    <t>18.00亿</t>
  </si>
  <si>
    <t>7.41亿</t>
  </si>
  <si>
    <t>4327.42万</t>
  </si>
  <si>
    <t>5830.42万</t>
  </si>
  <si>
    <t>3-1</t>
  </si>
  <si>
    <t>14.33亿</t>
  </si>
  <si>
    <t>9702.21万</t>
  </si>
  <si>
    <t>7.54亿</t>
  </si>
  <si>
    <t>6368.81万</t>
  </si>
  <si>
    <t>4-1</t>
  </si>
  <si>
    <t>11.46亿</t>
  </si>
  <si>
    <t>龙净环保</t>
  </si>
  <si>
    <t>118.80亿</t>
  </si>
  <si>
    <t>42.84亿</t>
  </si>
  <si>
    <t>42.39亿</t>
  </si>
  <si>
    <t>35.85亿</t>
  </si>
  <si>
    <t>10派3.8元(含税)</t>
  </si>
  <si>
    <t>5.20亿</t>
  </si>
  <si>
    <t>56.82亿</t>
  </si>
  <si>
    <t>8.34亿</t>
  </si>
  <si>
    <t>SH603282</t>
  </si>
  <si>
    <t>亚光股份</t>
  </si>
  <si>
    <t>9.16亿</t>
  </si>
  <si>
    <t>9360.04万</t>
  </si>
  <si>
    <t>8404.29万</t>
  </si>
  <si>
    <t>6416.83万</t>
  </si>
  <si>
    <t>2236.11万</t>
  </si>
  <si>
    <t>13.28亿</t>
  </si>
  <si>
    <t>恒誉环保</t>
  </si>
  <si>
    <t>1462.75万</t>
  </si>
  <si>
    <t>12.27亿</t>
  </si>
  <si>
    <t>7.62亿</t>
  </si>
  <si>
    <t>4781.05万</t>
  </si>
  <si>
    <t>SH688671</t>
  </si>
  <si>
    <t>碧兴物联</t>
  </si>
  <si>
    <t>10.79亿</t>
  </si>
  <si>
    <t>3.81亿</t>
  </si>
  <si>
    <t>5.12亿</t>
  </si>
  <si>
    <t>11.70亿</t>
  </si>
  <si>
    <t>-2.00亿</t>
  </si>
  <si>
    <t>1100.00万</t>
  </si>
  <si>
    <t>8.20亿</t>
  </si>
  <si>
    <t>5.71亿</t>
  </si>
  <si>
    <t>3.23亿</t>
  </si>
  <si>
    <t>3.98亿</t>
  </si>
  <si>
    <t>15.17亿</t>
  </si>
  <si>
    <t>34.52亿</t>
  </si>
  <si>
    <t>2.23亿</t>
  </si>
  <si>
    <t>5837.02万</t>
  </si>
  <si>
    <t>5.73亿</t>
  </si>
  <si>
    <t>7165.32万</t>
  </si>
  <si>
    <t>4526.13万</t>
  </si>
  <si>
    <t>3339.15万</t>
  </si>
  <si>
    <t>-3-0</t>
  </si>
  <si>
    <t>-2-0</t>
  </si>
  <si>
    <t>-4-0</t>
  </si>
  <si>
    <t>7.53亿</t>
  </si>
  <si>
    <t>13.86亿</t>
  </si>
  <si>
    <t>13.61亿</t>
  </si>
  <si>
    <t>8421.32万</t>
  </si>
  <si>
    <t>7415.37万</t>
  </si>
  <si>
    <t>3159.92万</t>
  </si>
  <si>
    <t>1799.44万</t>
  </si>
  <si>
    <t>12.23亿</t>
  </si>
  <si>
    <t>6.26亿</t>
  </si>
  <si>
    <t>11.41亿</t>
  </si>
  <si>
    <t>10.73亿</t>
  </si>
  <si>
    <t>6.06亿</t>
  </si>
  <si>
    <t>4.85亿</t>
  </si>
  <si>
    <t>12.39亿</t>
  </si>
  <si>
    <t>15.07亿</t>
  </si>
  <si>
    <t>21.67亿</t>
  </si>
  <si>
    <t>4.50亿</t>
  </si>
  <si>
    <t>9.19亿</t>
  </si>
  <si>
    <t>-1.09亿</t>
  </si>
  <si>
    <t>4.31亿</t>
  </si>
  <si>
    <t>8.87亿</t>
  </si>
  <si>
    <t>5.61亿</t>
  </si>
  <si>
    <t>6-1</t>
  </si>
  <si>
    <t>7.19亿</t>
  </si>
  <si>
    <t>162.01万</t>
  </si>
  <si>
    <t>26.04亿</t>
  </si>
  <si>
    <t>25.65亿</t>
  </si>
  <si>
    <t>23.12亿</t>
  </si>
  <si>
    <t>4.58亿</t>
  </si>
  <si>
    <t>-4-1</t>
  </si>
  <si>
    <t>8.40亿</t>
  </si>
  <si>
    <t>456.51万</t>
  </si>
  <si>
    <t>28.35亿</t>
  </si>
  <si>
    <t>43.23亿</t>
  </si>
  <si>
    <t>2038.04万</t>
  </si>
  <si>
    <t>6164.87万</t>
  </si>
  <si>
    <t>1109810亿</t>
  </si>
  <si>
    <t>1.99万</t>
  </si>
  <si>
    <t>62089473亿</t>
  </si>
  <si>
    <t>927282340亿</t>
  </si>
  <si>
    <t>3991.11万</t>
  </si>
  <si>
    <t>4183850500亿</t>
  </si>
  <si>
    <t>910.04万</t>
  </si>
  <si>
    <t>12.41亿</t>
  </si>
  <si>
    <t>26.73亿</t>
  </si>
  <si>
    <t>8500.00万</t>
  </si>
  <si>
    <t>5893.58万</t>
  </si>
  <si>
    <t>-1877.30万</t>
  </si>
  <si>
    <t>-1676.07万</t>
  </si>
  <si>
    <t>3843.98万</t>
  </si>
  <si>
    <t>1940.70万</t>
  </si>
  <si>
    <t>2148.38万</t>
  </si>
  <si>
    <t>14.02亿</t>
  </si>
  <si>
    <t>1143.68万</t>
  </si>
  <si>
    <t>9778.32万</t>
  </si>
  <si>
    <t>11.14万</t>
  </si>
  <si>
    <t>1105.99万</t>
  </si>
  <si>
    <t>13.27万</t>
  </si>
  <si>
    <t>-18504114亿</t>
  </si>
  <si>
    <t>5242.71万</t>
  </si>
  <si>
    <t>292557470亿</t>
  </si>
  <si>
    <t>8284.86万</t>
  </si>
  <si>
    <t>832240500亿</t>
  </si>
  <si>
    <t>114.16万</t>
  </si>
  <si>
    <t>905.00万</t>
  </si>
  <si>
    <t>-1163.38万</t>
  </si>
  <si>
    <t>2393.93万</t>
  </si>
  <si>
    <t>-2383.84万</t>
  </si>
  <si>
    <t>-1130.04万</t>
  </si>
  <si>
    <t>-1236.51万</t>
  </si>
  <si>
    <t>8797.54万</t>
  </si>
  <si>
    <t>开始亏损</t>
  </si>
  <si>
    <t>034310400</t>
  </si>
  <si>
    <t>068620800</t>
  </si>
  <si>
    <t>0114368000</t>
  </si>
  <si>
    <t>0228736000</t>
  </si>
  <si>
    <t>839.33万</t>
  </si>
  <si>
    <t>111.50亿</t>
  </si>
  <si>
    <t>180.11亿</t>
  </si>
  <si>
    <t>29.98亿</t>
  </si>
  <si>
    <t>126.31亿</t>
  </si>
  <si>
    <t>27.59亿</t>
  </si>
  <si>
    <t>-29874976亿</t>
  </si>
  <si>
    <t>561.86万</t>
  </si>
  <si>
    <t>186412750亿</t>
  </si>
  <si>
    <t>47.34亿</t>
  </si>
  <si>
    <t>5966818400亿</t>
  </si>
  <si>
    <t>83.09万</t>
  </si>
  <si>
    <t>13868548000亿</t>
  </si>
  <si>
    <t>23.69亿</t>
  </si>
  <si>
    <t>26.34亿</t>
  </si>
  <si>
    <t>74.65亿</t>
  </si>
  <si>
    <t>21.38亿</t>
  </si>
  <si>
    <t>-3.33亿</t>
  </si>
  <si>
    <t>-293.28万</t>
  </si>
  <si>
    <t>26.71亿</t>
  </si>
  <si>
    <t>10派1.25元(含税)</t>
  </si>
  <si>
    <t>5352.68万</t>
  </si>
  <si>
    <t>0498000000</t>
  </si>
  <si>
    <t>01494000000</t>
  </si>
  <si>
    <t>02988000000</t>
  </si>
  <si>
    <t>04980000000</t>
  </si>
  <si>
    <t>09960000000</t>
  </si>
  <si>
    <t>391.57万</t>
  </si>
  <si>
    <t>7.75亿</t>
  </si>
  <si>
    <t>9337.47万</t>
  </si>
  <si>
    <t>3793.48万</t>
  </si>
  <si>
    <t>9079.44万</t>
  </si>
  <si>
    <t>6706.08万</t>
  </si>
  <si>
    <t>773.29万</t>
  </si>
  <si>
    <t>937.85万</t>
  </si>
  <si>
    <t>2334664亿</t>
  </si>
  <si>
    <t>27.71万</t>
  </si>
  <si>
    <t>7017771亿</t>
  </si>
  <si>
    <t>314660130亿</t>
  </si>
  <si>
    <t>513.61万</t>
  </si>
  <si>
    <t>758095610亿</t>
  </si>
  <si>
    <t>7310.82万</t>
  </si>
  <si>
    <t>5044.39万</t>
  </si>
  <si>
    <t>4621.58万</t>
  </si>
  <si>
    <t>1140.81万</t>
  </si>
  <si>
    <t>-296.50万</t>
  </si>
  <si>
    <t>6481.36万</t>
  </si>
  <si>
    <t>9101.83万</t>
  </si>
  <si>
    <t>1211.73万</t>
  </si>
  <si>
    <t>10派1.001088元(含税)</t>
  </si>
  <si>
    <t>1339.62万</t>
  </si>
  <si>
    <t>4981.84万</t>
  </si>
  <si>
    <t>248.64万</t>
  </si>
  <si>
    <t>15.10亿</t>
  </si>
  <si>
    <t>4168.91万</t>
  </si>
  <si>
    <t>3219.35万</t>
  </si>
  <si>
    <t>-3189648亿</t>
  </si>
  <si>
    <t>44.23万</t>
  </si>
  <si>
    <t>-9935756亿</t>
  </si>
  <si>
    <t>541853530亿</t>
  </si>
  <si>
    <t>7304.98万</t>
  </si>
  <si>
    <t>2566903200亿</t>
  </si>
  <si>
    <t>29.94万</t>
  </si>
  <si>
    <t>384.91万</t>
  </si>
  <si>
    <t>46.06万</t>
  </si>
  <si>
    <t>-1480.22万</t>
  </si>
  <si>
    <t>-6437.74万</t>
  </si>
  <si>
    <t>2824.38万</t>
  </si>
  <si>
    <t>10派3元(含税)</t>
  </si>
  <si>
    <t>1217.58万</t>
  </si>
  <si>
    <t>8558.57万</t>
  </si>
  <si>
    <t>539.72万</t>
  </si>
  <si>
    <t>18.05亿</t>
  </si>
  <si>
    <t>9.66亿</t>
  </si>
  <si>
    <t>-1.24亿</t>
  </si>
  <si>
    <t>9638.69万</t>
  </si>
  <si>
    <t>1749.82万</t>
  </si>
  <si>
    <t>3061.93万</t>
  </si>
  <si>
    <t>622636亿</t>
  </si>
  <si>
    <t>107.62万</t>
  </si>
  <si>
    <t>6158951亿</t>
  </si>
  <si>
    <t>820900610亿</t>
  </si>
  <si>
    <t>532.18万</t>
  </si>
  <si>
    <t>1771094500亿</t>
  </si>
  <si>
    <t>-8187.96万</t>
  </si>
  <si>
    <t>1345.06万</t>
  </si>
  <si>
    <t>-106.98万</t>
  </si>
  <si>
    <t>721.33万</t>
  </si>
  <si>
    <t>2514.78万</t>
  </si>
  <si>
    <t>229.42万</t>
  </si>
  <si>
    <t>24.86亿</t>
  </si>
  <si>
    <t>7.61亿</t>
  </si>
  <si>
    <t>6355.42万</t>
  </si>
  <si>
    <t>12.65亿</t>
  </si>
  <si>
    <t>-4677.87万</t>
  </si>
  <si>
    <t>9991.61万</t>
  </si>
  <si>
    <t>4890.89万</t>
  </si>
  <si>
    <t>1167.78万</t>
  </si>
  <si>
    <t>1943.51万</t>
  </si>
  <si>
    <t>942247亿</t>
  </si>
  <si>
    <t>-23702864亿</t>
  </si>
  <si>
    <t>824958750亿</t>
  </si>
  <si>
    <t>8501.49万</t>
  </si>
  <si>
    <t>1989926100亿</t>
  </si>
  <si>
    <t>2599.08万</t>
  </si>
  <si>
    <t>18.54亿</t>
  </si>
  <si>
    <t>-3512.64万</t>
  </si>
  <si>
    <t>-1.34亿</t>
  </si>
  <si>
    <t>1073.33万</t>
  </si>
  <si>
    <t>1422.64万</t>
  </si>
  <si>
    <t>-6-1</t>
  </si>
  <si>
    <t>90.64万</t>
  </si>
  <si>
    <t>6.73亿</t>
  </si>
  <si>
    <t>12.11亿</t>
  </si>
  <si>
    <t>8113.33万</t>
  </si>
  <si>
    <t>4535.05万</t>
  </si>
  <si>
    <t>8612.82万</t>
  </si>
  <si>
    <t>5408.01万</t>
  </si>
  <si>
    <t>1182.35万</t>
  </si>
  <si>
    <t>756.78万</t>
  </si>
  <si>
    <t>2658942亿</t>
  </si>
  <si>
    <t>7.00万</t>
  </si>
  <si>
    <t>12362833亿</t>
  </si>
  <si>
    <t>552771850亿</t>
  </si>
  <si>
    <t>58.04万</t>
  </si>
  <si>
    <t>1197450240亿</t>
  </si>
  <si>
    <t>5162.71万</t>
  </si>
  <si>
    <t>9002.78万</t>
  </si>
  <si>
    <t>3377.60万</t>
  </si>
  <si>
    <t>1.26万</t>
  </si>
  <si>
    <t>500.65万</t>
  </si>
  <si>
    <t>297.79万</t>
  </si>
  <si>
    <t>333.72万</t>
  </si>
  <si>
    <t>-455.61万</t>
  </si>
  <si>
    <t>515.56万</t>
  </si>
  <si>
    <t>1340.04万</t>
  </si>
  <si>
    <t>4206.32万</t>
  </si>
  <si>
    <t>-3-1</t>
  </si>
  <si>
    <t>491.83万</t>
  </si>
  <si>
    <t>9669.34万</t>
  </si>
  <si>
    <t>-2913.73万</t>
  </si>
  <si>
    <t>9996.05万</t>
  </si>
  <si>
    <t>7352.45万</t>
  </si>
  <si>
    <t>901.72万</t>
  </si>
  <si>
    <t>1020.80万</t>
  </si>
  <si>
    <t>59487亿</t>
  </si>
  <si>
    <t>9.51万</t>
  </si>
  <si>
    <t>-4434165亿</t>
  </si>
  <si>
    <t>171313020亿</t>
  </si>
  <si>
    <t>938.31万</t>
  </si>
  <si>
    <t>888305940亿</t>
  </si>
  <si>
    <t>167.46万</t>
  </si>
  <si>
    <t>3137.92万</t>
  </si>
  <si>
    <t>6000.00万</t>
  </si>
  <si>
    <t>-3494.74万</t>
  </si>
  <si>
    <t>-1091.78万</t>
  </si>
  <si>
    <t>2913.77万</t>
  </si>
  <si>
    <t>1790.31万</t>
  </si>
  <si>
    <t>6612.24万</t>
  </si>
  <si>
    <t>149.99万</t>
  </si>
  <si>
    <t>2728.56万</t>
  </si>
  <si>
    <t>20.67亿</t>
  </si>
  <si>
    <t>22.06亿</t>
  </si>
  <si>
    <t>2528.96万</t>
  </si>
  <si>
    <t>930.63万</t>
  </si>
  <si>
    <t>2484521亿</t>
  </si>
  <si>
    <t>20.62万</t>
  </si>
  <si>
    <t>12209492亿</t>
  </si>
  <si>
    <t>485292390亿</t>
  </si>
  <si>
    <t>332.77万</t>
  </si>
  <si>
    <t>1922019900亿</t>
  </si>
  <si>
    <t>678.44万</t>
  </si>
  <si>
    <t>2576.16万</t>
  </si>
  <si>
    <t>9590.70万</t>
  </si>
  <si>
    <t>-1.03亿</t>
  </si>
  <si>
    <t>-2330.75万</t>
  </si>
  <si>
    <t>-2510.78万</t>
  </si>
  <si>
    <t>4715.03万</t>
  </si>
  <si>
    <t>3213.96万</t>
  </si>
  <si>
    <t>10派1.82元(含税)</t>
  </si>
  <si>
    <t>827.41万</t>
  </si>
  <si>
    <t>5503.15万</t>
  </si>
  <si>
    <t>-9-1</t>
  </si>
  <si>
    <t>175.10万</t>
  </si>
  <si>
    <t>20.41亿</t>
  </si>
  <si>
    <t>7525.16万</t>
  </si>
  <si>
    <t>1839.09万</t>
  </si>
  <si>
    <t>1194.69万</t>
  </si>
  <si>
    <t>3309055亿</t>
  </si>
  <si>
    <t>5.20万</t>
  </si>
  <si>
    <t>5473458亿</t>
  </si>
  <si>
    <t>486603970亿</t>
  </si>
  <si>
    <t>1893.50万</t>
  </si>
  <si>
    <t>1664295100亿</t>
  </si>
  <si>
    <t>4704.52万</t>
  </si>
  <si>
    <t>7450.76万</t>
  </si>
  <si>
    <t>-5340.04万</t>
  </si>
  <si>
    <t>-1154.06万</t>
  </si>
  <si>
    <t>4605.25万</t>
  </si>
  <si>
    <t>6951.53万</t>
  </si>
  <si>
    <t>6.43亿</t>
  </si>
  <si>
    <t>7.39亿</t>
  </si>
  <si>
    <t>4198.11万</t>
  </si>
  <si>
    <t>3649.56万</t>
  </si>
  <si>
    <t>10转4股派0.76元(含税)</t>
  </si>
  <si>
    <t>1777.53万</t>
  </si>
  <si>
    <t>505.04万</t>
  </si>
  <si>
    <t>58.78亿</t>
  </si>
  <si>
    <t>19.63亿</t>
  </si>
  <si>
    <t>10.60亿</t>
  </si>
  <si>
    <t>2456.20万</t>
  </si>
  <si>
    <t>4826.85万</t>
  </si>
  <si>
    <t>-65299亿</t>
  </si>
  <si>
    <t>24.42万</t>
  </si>
  <si>
    <t>72908596亿</t>
  </si>
  <si>
    <t>10.05亿</t>
  </si>
  <si>
    <t>2462633600亿</t>
  </si>
  <si>
    <t>1797.33万</t>
  </si>
  <si>
    <t>7017893900亿</t>
  </si>
  <si>
    <t>5.43亿</t>
  </si>
  <si>
    <t>19.96亿</t>
  </si>
  <si>
    <t>50.26亿</t>
  </si>
  <si>
    <t>12.14亿</t>
  </si>
  <si>
    <t>-3.93亿</t>
  </si>
  <si>
    <t>5.89亿</t>
  </si>
  <si>
    <t>34.43亿</t>
  </si>
  <si>
    <t>3253.87万</t>
  </si>
  <si>
    <t>10转4股派3元(含税)</t>
  </si>
  <si>
    <t>3174.88万</t>
  </si>
  <si>
    <t>179.91万</t>
  </si>
  <si>
    <t>10.06亿</t>
  </si>
  <si>
    <t>5067.54万</t>
  </si>
  <si>
    <t>827.47万</t>
  </si>
  <si>
    <t>1520.01万</t>
  </si>
  <si>
    <t>-12998亿</t>
  </si>
  <si>
    <t>9.97万</t>
  </si>
  <si>
    <t>13833922亿</t>
  </si>
  <si>
    <t>263233070亿</t>
  </si>
  <si>
    <t>201.29万</t>
  </si>
  <si>
    <t>736011530亿</t>
  </si>
  <si>
    <t>4776.55万</t>
  </si>
  <si>
    <t>1.95万</t>
  </si>
  <si>
    <t>519.36万</t>
  </si>
  <si>
    <t>-5676.63万</t>
  </si>
  <si>
    <t>3798.12万</t>
  </si>
  <si>
    <t>6561.73万</t>
  </si>
  <si>
    <t>560.20万</t>
  </si>
  <si>
    <t>980.49万</t>
  </si>
  <si>
    <t>8243.15万</t>
  </si>
  <si>
    <t>104.61万</t>
  </si>
  <si>
    <t>8.21亿</t>
  </si>
  <si>
    <t>936.29万</t>
  </si>
  <si>
    <t>7457.43万</t>
  </si>
  <si>
    <t>1625.83万</t>
  </si>
  <si>
    <t>669.84万</t>
  </si>
  <si>
    <t>262.15万</t>
  </si>
  <si>
    <t>566.45万</t>
  </si>
  <si>
    <t>463030亿</t>
  </si>
  <si>
    <t>-6443705亿</t>
  </si>
  <si>
    <t>137081990亿</t>
  </si>
  <si>
    <t>1056.25万</t>
  </si>
  <si>
    <t>725675740亿</t>
  </si>
  <si>
    <t>2106.46万</t>
  </si>
  <si>
    <t>6334.84万</t>
  </si>
  <si>
    <t>-416.37万</t>
  </si>
  <si>
    <t>2370.43万</t>
  </si>
  <si>
    <t>-1895.09万</t>
  </si>
  <si>
    <t>1219.55万</t>
  </si>
  <si>
    <t>5928.30万</t>
  </si>
  <si>
    <t>2096.41万</t>
  </si>
  <si>
    <t>1341.06万</t>
  </si>
  <si>
    <t>460.65万</t>
  </si>
  <si>
    <t>3402.51万</t>
  </si>
  <si>
    <t>319.25万</t>
  </si>
  <si>
    <t>173.49亿</t>
  </si>
  <si>
    <t>81.24亿</t>
  </si>
  <si>
    <t>50.86亿</t>
  </si>
  <si>
    <t>20.77亿</t>
  </si>
  <si>
    <t>17.70亿</t>
  </si>
  <si>
    <t>5596.42万</t>
  </si>
  <si>
    <t>15249683亿</t>
  </si>
  <si>
    <t>200.46万</t>
  </si>
  <si>
    <t>171209920亿</t>
  </si>
  <si>
    <t>3031289900亿</t>
  </si>
  <si>
    <t>14518705000亿</t>
  </si>
  <si>
    <t>35.05亿</t>
  </si>
  <si>
    <t>6.63亿</t>
  </si>
  <si>
    <t>47.84亿</t>
  </si>
  <si>
    <t>8581.13万</t>
  </si>
  <si>
    <t>123.54亿</t>
  </si>
  <si>
    <t>3552.57万</t>
  </si>
  <si>
    <t>-8.79亿</t>
  </si>
  <si>
    <t>7.47亿</t>
  </si>
  <si>
    <t>8.05亿</t>
  </si>
  <si>
    <t>109.73亿</t>
  </si>
  <si>
    <t>13.53亿</t>
  </si>
  <si>
    <t>1796.93万</t>
  </si>
  <si>
    <t>0283000000</t>
  </si>
  <si>
    <t>0849000000</t>
  </si>
  <si>
    <t>01698000000</t>
  </si>
  <si>
    <t>02830000000</t>
  </si>
  <si>
    <t>05660000000</t>
  </si>
  <si>
    <t>342.94万</t>
  </si>
  <si>
    <t>61.83亿</t>
  </si>
  <si>
    <t>43.76亿</t>
  </si>
  <si>
    <t>5.99亿</t>
  </si>
  <si>
    <t>4599.62万</t>
  </si>
  <si>
    <t>767.37万</t>
  </si>
  <si>
    <t>7392.03万</t>
  </si>
  <si>
    <t>947524亿</t>
  </si>
  <si>
    <t>20.89万</t>
  </si>
  <si>
    <t>29767639亿</t>
  </si>
  <si>
    <t>1963023900亿</t>
  </si>
  <si>
    <t>1643.37万</t>
  </si>
  <si>
    <t>6531953100亿</t>
  </si>
  <si>
    <t>44.24亿</t>
  </si>
  <si>
    <t>10.93亿</t>
  </si>
  <si>
    <t>2299.32万</t>
  </si>
  <si>
    <t>7752.96万</t>
  </si>
  <si>
    <t>-550.53万</t>
  </si>
  <si>
    <t>43.53亿</t>
  </si>
  <si>
    <t>795.31万</t>
  </si>
  <si>
    <t>1989.78万</t>
  </si>
  <si>
    <t>045996200</t>
  </si>
  <si>
    <t>0137988600</t>
  </si>
  <si>
    <t>0275977200</t>
  </si>
  <si>
    <t>0459962000</t>
  </si>
  <si>
    <t>0919924000</t>
  </si>
  <si>
    <t>98.86万</t>
  </si>
  <si>
    <t>18.53亿</t>
  </si>
  <si>
    <t>26.75亿</t>
  </si>
  <si>
    <t>9.73亿</t>
  </si>
  <si>
    <t>2410.08万</t>
  </si>
  <si>
    <t>5.18亿</t>
  </si>
  <si>
    <t>5827.95万</t>
  </si>
  <si>
    <t>2333.27万</t>
  </si>
  <si>
    <t>4973987亿</t>
  </si>
  <si>
    <t>72.17万</t>
  </si>
  <si>
    <t>26208269亿</t>
  </si>
  <si>
    <t>1037064840亿</t>
  </si>
  <si>
    <t>3138.91万</t>
  </si>
  <si>
    <t>3326206900亿</t>
  </si>
  <si>
    <t>71.93万</t>
  </si>
  <si>
    <t>15.02亿</t>
  </si>
  <si>
    <t>-1.04亿</t>
  </si>
  <si>
    <t>-4992.79万</t>
  </si>
  <si>
    <t>29.07亿</t>
  </si>
  <si>
    <t>184.23万</t>
  </si>
  <si>
    <t>514.22万</t>
  </si>
  <si>
    <t>3965.25万</t>
  </si>
  <si>
    <t>n/a</t>
  </si>
  <si>
    <t>260.58万</t>
  </si>
  <si>
    <t>40.87亿</t>
  </si>
  <si>
    <t>41.64亿</t>
  </si>
  <si>
    <t>12.03亿</t>
  </si>
  <si>
    <t>10.55亿</t>
  </si>
  <si>
    <t>7408.75万</t>
  </si>
  <si>
    <t>4280.53万</t>
  </si>
  <si>
    <t>372591亿</t>
  </si>
  <si>
    <t>1004.63万</t>
  </si>
  <si>
    <t>218678480亿</t>
  </si>
  <si>
    <t>12.64亿</t>
  </si>
  <si>
    <t>802081480亿</t>
  </si>
  <si>
    <t>5464210100亿</t>
  </si>
  <si>
    <t>3683.31万</t>
  </si>
  <si>
    <t>39.56亿</t>
  </si>
  <si>
    <t>7940.39万</t>
  </si>
  <si>
    <t>-4809.28万</t>
  </si>
  <si>
    <t>-6.31亿</t>
  </si>
  <si>
    <t>62.49亿</t>
  </si>
  <si>
    <t>779.68万</t>
  </si>
  <si>
    <t>1070.82万</t>
  </si>
  <si>
    <t>8323.85万</t>
  </si>
  <si>
    <t>0120000000</t>
  </si>
  <si>
    <t>0360000000</t>
  </si>
  <si>
    <t>0720000000</t>
  </si>
  <si>
    <t>01200000000</t>
  </si>
  <si>
    <t>02400000000</t>
  </si>
  <si>
    <t>63.02万</t>
  </si>
  <si>
    <t>12.60亿</t>
  </si>
  <si>
    <t>6.87亿</t>
  </si>
  <si>
    <t>1037.34万</t>
  </si>
  <si>
    <t>1225.29万</t>
  </si>
  <si>
    <t>294721亿</t>
  </si>
  <si>
    <t>2.51万</t>
  </si>
  <si>
    <t>42204073亿</t>
  </si>
  <si>
    <t>216049300亿</t>
  </si>
  <si>
    <t>5228.40万</t>
  </si>
  <si>
    <t>2252772300亿</t>
  </si>
  <si>
    <t>7600.76万</t>
  </si>
  <si>
    <t>3883.00万</t>
  </si>
  <si>
    <t>8757.82万</t>
  </si>
  <si>
    <t>13.87亿</t>
  </si>
  <si>
    <t>-4706.67万</t>
  </si>
  <si>
    <t>4627.00万</t>
  </si>
  <si>
    <t>107.85万</t>
  </si>
  <si>
    <t>9.75亿</t>
  </si>
  <si>
    <t>7261.16万</t>
  </si>
  <si>
    <t>10派3.7元(含税)</t>
  </si>
  <si>
    <t>301.16万</t>
  </si>
  <si>
    <t>1646.21万</t>
  </si>
  <si>
    <t>128.90万</t>
  </si>
  <si>
    <t>18.60亿</t>
  </si>
  <si>
    <t>16.22亿</t>
  </si>
  <si>
    <t>1652.06万</t>
  </si>
  <si>
    <t>1895.89万</t>
  </si>
  <si>
    <t>7.39万</t>
  </si>
  <si>
    <t>18939158亿</t>
  </si>
  <si>
    <t>1294271000亿</t>
  </si>
  <si>
    <t>2682008800亿</t>
  </si>
  <si>
    <t>4535.91万</t>
  </si>
  <si>
    <t>16.70亿</t>
  </si>
  <si>
    <t>5417.10万</t>
  </si>
  <si>
    <t>-2.50亿</t>
  </si>
  <si>
    <t>-4210.31万</t>
  </si>
  <si>
    <t>4373.45万</t>
  </si>
  <si>
    <t>10转2股派2.7元(含税)</t>
  </si>
  <si>
    <t>976.76万</t>
  </si>
  <si>
    <t>9336.51万</t>
  </si>
  <si>
    <t>24.67万</t>
  </si>
  <si>
    <t>1639.59万</t>
  </si>
  <si>
    <t>9982.82万</t>
  </si>
  <si>
    <t>1613.43万</t>
  </si>
  <si>
    <t>717.60万</t>
  </si>
  <si>
    <t>245.03万</t>
  </si>
  <si>
    <t>424.44万</t>
  </si>
  <si>
    <t>775315亿</t>
  </si>
  <si>
    <t>1.86万</t>
  </si>
  <si>
    <t>714277亿</t>
  </si>
  <si>
    <t>48625437亿</t>
  </si>
  <si>
    <t>217.90万</t>
  </si>
  <si>
    <t>437999840亿</t>
  </si>
  <si>
    <t>5198.23万</t>
  </si>
  <si>
    <t>401.07万</t>
  </si>
  <si>
    <t>4192.85万</t>
  </si>
  <si>
    <t>7041.00万</t>
  </si>
  <si>
    <t>562.35万</t>
  </si>
  <si>
    <t>1738.20万</t>
  </si>
  <si>
    <t>7270.86万</t>
  </si>
  <si>
    <t>1814.68万</t>
  </si>
  <si>
    <t>1341.20万</t>
  </si>
  <si>
    <t>10派0.92元(含税)</t>
  </si>
  <si>
    <t>134.95万</t>
  </si>
  <si>
    <t>1062.57万</t>
  </si>
  <si>
    <t>41.71万</t>
  </si>
  <si>
    <t>1447.70万</t>
  </si>
  <si>
    <t>10.14亿</t>
  </si>
  <si>
    <t>3585.31万</t>
  </si>
  <si>
    <t>1193.53万</t>
  </si>
  <si>
    <t>289.37万</t>
  </si>
  <si>
    <t>1467.41万</t>
  </si>
  <si>
    <t>716121亿</t>
  </si>
  <si>
    <t>25.52万</t>
  </si>
  <si>
    <t>-2230417亿</t>
  </si>
  <si>
    <t>297918530亿</t>
  </si>
  <si>
    <t>1110.00万</t>
  </si>
  <si>
    <t>1046221940亿</t>
  </si>
  <si>
    <t>132.47万</t>
  </si>
  <si>
    <t>790.00万</t>
  </si>
  <si>
    <t>429.55万</t>
  </si>
  <si>
    <t>-3.31亿</t>
  </si>
  <si>
    <t>504.69万</t>
  </si>
  <si>
    <t>3351.47万</t>
  </si>
  <si>
    <t>211.30万</t>
  </si>
  <si>
    <t>1711.24万</t>
  </si>
  <si>
    <t>73.17万</t>
  </si>
  <si>
    <t>13.50亿</t>
  </si>
  <si>
    <t>16.74亿</t>
  </si>
  <si>
    <t>12.10亿</t>
  </si>
  <si>
    <t>2224.94万</t>
  </si>
  <si>
    <t>1852.29万</t>
  </si>
  <si>
    <t>3387471亿</t>
  </si>
  <si>
    <t>22.48万</t>
  </si>
  <si>
    <t>29587909亿</t>
  </si>
  <si>
    <t>625298470亿</t>
  </si>
  <si>
    <t>8146.66万</t>
  </si>
  <si>
    <t>2254856300亿</t>
  </si>
  <si>
    <t>5260.62万</t>
  </si>
  <si>
    <t>10.92亿</t>
  </si>
  <si>
    <t>498.80万</t>
  </si>
  <si>
    <t>-5308.83万</t>
  </si>
  <si>
    <t>3046.56万</t>
  </si>
  <si>
    <t>349.11万</t>
  </si>
  <si>
    <t>2823.52万</t>
  </si>
  <si>
    <t>114.88万</t>
  </si>
  <si>
    <t>10.16亿</t>
  </si>
  <si>
    <t>4672.38万</t>
  </si>
  <si>
    <t>9577.29万</t>
  </si>
  <si>
    <t>1568.45万</t>
  </si>
  <si>
    <t>2729.88万</t>
  </si>
  <si>
    <t>-168691亿</t>
  </si>
  <si>
    <t>15.52万</t>
  </si>
  <si>
    <t>5817675亿</t>
  </si>
  <si>
    <t>636328580亿</t>
  </si>
  <si>
    <t>5748.21万</t>
  </si>
  <si>
    <t>1694780200亿</t>
  </si>
  <si>
    <t>93.20万</t>
  </si>
  <si>
    <t>2250.71万</t>
  </si>
  <si>
    <t>12.83亿</t>
  </si>
  <si>
    <t>-1912.72万</t>
  </si>
  <si>
    <t>-2.63亿</t>
  </si>
  <si>
    <t>5856.12万</t>
  </si>
  <si>
    <t>8668.00万</t>
  </si>
  <si>
    <t>1397.23万</t>
  </si>
  <si>
    <t>536.78万</t>
  </si>
  <si>
    <t>5191.96万</t>
  </si>
  <si>
    <t>046723800</t>
  </si>
  <si>
    <t>0140171400</t>
  </si>
  <si>
    <t>0280342800</t>
  </si>
  <si>
    <t>0467238000</t>
  </si>
  <si>
    <t>0934476000</t>
  </si>
  <si>
    <t>10-1</t>
  </si>
  <si>
    <t>126.43万</t>
  </si>
  <si>
    <t>4.62亿</t>
  </si>
  <si>
    <t>5942.91万</t>
  </si>
  <si>
    <t>4250.69万</t>
  </si>
  <si>
    <t>1168.53万</t>
  </si>
  <si>
    <t>3861934亿</t>
  </si>
  <si>
    <t>8.36万</t>
  </si>
  <si>
    <t>-38960847亿</t>
  </si>
  <si>
    <t>204985740亿</t>
  </si>
  <si>
    <t>4459.62万</t>
  </si>
  <si>
    <t>997405300亿</t>
  </si>
  <si>
    <t>6004.81万</t>
  </si>
  <si>
    <t>449.10万</t>
  </si>
  <si>
    <t>-1494.57万</t>
  </si>
  <si>
    <t>5772.90万</t>
  </si>
  <si>
    <t>1153.38万</t>
  </si>
  <si>
    <t>7.87亿</t>
  </si>
  <si>
    <t>4381.10万</t>
  </si>
  <si>
    <t>2765.87万</t>
  </si>
  <si>
    <t>463.93万</t>
  </si>
  <si>
    <t>2229.61万</t>
  </si>
  <si>
    <t>144.02万</t>
  </si>
  <si>
    <t>4835.90万</t>
  </si>
  <si>
    <t>66.68亿</t>
  </si>
  <si>
    <t>5467.06万</t>
  </si>
  <si>
    <t>3147.65万</t>
  </si>
  <si>
    <t>839.04万</t>
  </si>
  <si>
    <t>673.16万</t>
  </si>
  <si>
    <t>1380789亿</t>
  </si>
  <si>
    <t>-4012833亿</t>
  </si>
  <si>
    <t>265150640亿</t>
  </si>
  <si>
    <t>398.64万</t>
  </si>
  <si>
    <t>1325700120亿</t>
  </si>
  <si>
    <t>4001.84万</t>
  </si>
  <si>
    <t>957.92万</t>
  </si>
  <si>
    <t>5505.09万</t>
  </si>
  <si>
    <t>-4213.94万</t>
  </si>
  <si>
    <t>2895.75万</t>
  </si>
  <si>
    <t>-6137.80万</t>
  </si>
  <si>
    <t>12.97亿</t>
  </si>
  <si>
    <t>2337.20万</t>
  </si>
  <si>
    <t>8717.03万</t>
  </si>
  <si>
    <t>611.82万</t>
  </si>
  <si>
    <t>5209.96万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</si>
</sst>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sz val="11"/>
      <name val="宋体"/>
      <family val="2"/>
      <charset val="134"/>
      <scheme val="minor"/>
    </font>
    <font>
      <sz val="11"/>
      <color rgb="FFFF0000"/>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5" fillId="0" borderId="0" xfId="0" applyFont="1" applyAlignment="1">
      <alignment vertical="center" wrapText="1"/>
    </xf>
    <xf numFmtId="0" fontId="3" fillId="0" borderId="0" xfId="0" applyFont="1">
      <alignment vertical="center"/>
    </xf>
    <xf numFmtId="0" fontId="0" fillId="4" borderId="0" xfId="0" applyFill="1">
      <alignment vertical="center"/>
    </xf>
    <xf numFmtId="0" fontId="0" fillId="5" borderId="0" xfId="0" applyFill="1">
      <alignment vertical="center"/>
    </xf>
    <xf numFmtId="0" fontId="7" fillId="0" borderId="0" xfId="0" applyFont="1">
      <alignment vertical="center"/>
    </xf>
    <xf numFmtId="0" fontId="7" fillId="0" borderId="0" xfId="0" applyFont="1" applyFill="1">
      <alignment vertical="center"/>
    </xf>
    <xf numFmtId="14" fontId="0" fillId="0" borderId="0" xfId="0" applyNumberFormat="1">
      <alignment vertical="center"/>
    </xf>
    <xf numFmtId="0" fontId="8"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247650</xdr:colOff>
          <xdr:row>0</xdr:row>
          <xdr:rowOff>95250</xdr:rowOff>
        </xdr:from>
        <xdr:to>
          <xdr:col>147</xdr:col>
          <xdr:colOff>1422400</xdr:colOff>
          <xdr:row>0</xdr:row>
          <xdr:rowOff>406400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7"/>
  <sheetViews>
    <sheetView tabSelected="1" zoomScale="85" zoomScaleNormal="85" workbookViewId="0">
      <pane xSplit="5" ySplit="1" topLeftCell="F2" activePane="bottomRight" state="frozen"/>
      <selection pane="topRight" activeCell="F1" sqref="F1"/>
      <selection pane="bottomLeft" activeCell="A2" sqref="A2"/>
      <selection pane="bottomRight" activeCell="D27" sqref="D27:EP27"/>
    </sheetView>
  </sheetViews>
  <sheetFormatPr defaultRowHeight="14" x14ac:dyDescent="0.25"/>
  <cols>
    <col min="1" max="1" width="36.453125" customWidth="1"/>
    <col min="2" max="2" width="40.08984375" customWidth="1"/>
    <col min="3" max="3" width="38.81640625" customWidth="1"/>
    <col min="9" max="9" width="12.54296875" customWidth="1"/>
    <col min="16" max="16" width="18" customWidth="1"/>
    <col min="148" max="148" width="24.08984375" customWidth="1"/>
  </cols>
  <sheetData>
    <row r="1" spans="1:146" ht="40.5" customHeight="1" x14ac:dyDescent="0.25">
      <c r="A1" s="3" t="s">
        <v>10</v>
      </c>
      <c r="B1" s="4" t="s">
        <v>11</v>
      </c>
      <c r="C1" s="3" t="s">
        <v>12</v>
      </c>
      <c r="D1" t="s">
        <v>13</v>
      </c>
      <c r="E1" t="s">
        <v>383</v>
      </c>
      <c r="F1" t="s">
        <v>3</v>
      </c>
      <c r="G1" t="s">
        <v>342</v>
      </c>
      <c r="H1" t="s">
        <v>384</v>
      </c>
      <c r="I1" t="s">
        <v>14</v>
      </c>
      <c r="J1" t="s">
        <v>15</v>
      </c>
      <c r="K1" t="s">
        <v>4</v>
      </c>
      <c r="L1" t="s">
        <v>16</v>
      </c>
      <c r="M1" t="s">
        <v>17</v>
      </c>
      <c r="N1" t="s">
        <v>18</v>
      </c>
      <c r="O1" t="s">
        <v>19</v>
      </c>
      <c r="P1" t="s">
        <v>385</v>
      </c>
      <c r="Q1" t="s">
        <v>386</v>
      </c>
      <c r="R1" t="s">
        <v>387</v>
      </c>
      <c r="S1" t="s">
        <v>20</v>
      </c>
      <c r="T1" t="s">
        <v>388</v>
      </c>
      <c r="U1" t="s">
        <v>343</v>
      </c>
      <c r="V1" t="s">
        <v>21</v>
      </c>
      <c r="W1" t="s">
        <v>389</v>
      </c>
      <c r="X1" t="s">
        <v>390</v>
      </c>
      <c r="Y1" t="s">
        <v>391</v>
      </c>
      <c r="Z1" t="s">
        <v>392</v>
      </c>
      <c r="AA1" t="s">
        <v>393</v>
      </c>
      <c r="AB1" t="s">
        <v>394</v>
      </c>
      <c r="AC1" t="s">
        <v>395</v>
      </c>
      <c r="AD1" t="s">
        <v>396</v>
      </c>
      <c r="AE1" t="s">
        <v>22</v>
      </c>
      <c r="AF1" t="s">
        <v>23</v>
      </c>
      <c r="AG1" t="s">
        <v>397</v>
      </c>
      <c r="AH1" t="s">
        <v>398</v>
      </c>
      <c r="AI1" t="s">
        <v>399</v>
      </c>
      <c r="AJ1" t="s">
        <v>24</v>
      </c>
      <c r="AK1" t="s">
        <v>400</v>
      </c>
      <c r="AL1" t="s">
        <v>129</v>
      </c>
      <c r="AM1" t="s">
        <v>401</v>
      </c>
      <c r="AN1" t="s">
        <v>402</v>
      </c>
      <c r="AO1" t="s">
        <v>403</v>
      </c>
      <c r="AP1" t="s">
        <v>404</v>
      </c>
      <c r="AQ1" t="s">
        <v>405</v>
      </c>
      <c r="AR1" t="s">
        <v>406</v>
      </c>
      <c r="AS1" t="s">
        <v>407</v>
      </c>
      <c r="AT1" t="s">
        <v>408</v>
      </c>
      <c r="AU1" t="s">
        <v>409</v>
      </c>
      <c r="AV1" t="s">
        <v>410</v>
      </c>
      <c r="AW1" t="s">
        <v>411</v>
      </c>
      <c r="AX1" t="s">
        <v>412</v>
      </c>
      <c r="AY1" t="s">
        <v>130</v>
      </c>
      <c r="AZ1" t="s">
        <v>131</v>
      </c>
      <c r="BA1" t="s">
        <v>132</v>
      </c>
      <c r="BB1" t="s">
        <v>133</v>
      </c>
      <c r="BC1" t="s">
        <v>344</v>
      </c>
      <c r="BD1" t="s">
        <v>134</v>
      </c>
      <c r="BE1" t="s">
        <v>135</v>
      </c>
      <c r="BF1" t="s">
        <v>136</v>
      </c>
      <c r="BG1" t="s">
        <v>137</v>
      </c>
      <c r="BH1" t="s">
        <v>413</v>
      </c>
      <c r="BI1" t="s">
        <v>414</v>
      </c>
      <c r="BJ1" t="s">
        <v>415</v>
      </c>
      <c r="BK1" t="s">
        <v>416</v>
      </c>
      <c r="BL1" t="s">
        <v>417</v>
      </c>
      <c r="BM1" t="s">
        <v>418</v>
      </c>
      <c r="BN1" t="s">
        <v>419</v>
      </c>
      <c r="BO1" t="s">
        <v>420</v>
      </c>
      <c r="BP1" t="s">
        <v>345</v>
      </c>
      <c r="BQ1" t="s">
        <v>138</v>
      </c>
      <c r="BR1" t="s">
        <v>421</v>
      </c>
      <c r="BS1" t="s">
        <v>346</v>
      </c>
      <c r="BT1" t="s">
        <v>139</v>
      </c>
      <c r="BU1" t="s">
        <v>422</v>
      </c>
      <c r="BV1" t="s">
        <v>423</v>
      </c>
      <c r="BW1" t="s">
        <v>241</v>
      </c>
      <c r="BX1" t="s">
        <v>140</v>
      </c>
      <c r="BY1" t="s">
        <v>424</v>
      </c>
      <c r="BZ1" t="s">
        <v>242</v>
      </c>
      <c r="CA1" t="s">
        <v>141</v>
      </c>
      <c r="CB1" t="s">
        <v>425</v>
      </c>
      <c r="CC1" t="s">
        <v>426</v>
      </c>
      <c r="CD1" t="s">
        <v>427</v>
      </c>
      <c r="CE1" t="s">
        <v>428</v>
      </c>
      <c r="CF1" s="1" t="s">
        <v>429</v>
      </c>
      <c r="CG1" s="1" t="s">
        <v>430</v>
      </c>
      <c r="CH1" s="1" t="s">
        <v>226</v>
      </c>
      <c r="CI1" s="1" t="s">
        <v>227</v>
      </c>
      <c r="CJ1" s="1" t="s">
        <v>228</v>
      </c>
      <c r="CK1" s="1" t="s">
        <v>229</v>
      </c>
      <c r="CL1" s="1" t="s">
        <v>230</v>
      </c>
      <c r="CM1" s="1" t="s">
        <v>231</v>
      </c>
      <c r="CN1" s="1" t="s">
        <v>232</v>
      </c>
      <c r="CO1" s="1" t="s">
        <v>233</v>
      </c>
      <c r="CP1" s="1" t="s">
        <v>234</v>
      </c>
      <c r="CQ1" s="1" t="s">
        <v>235</v>
      </c>
      <c r="CR1" s="1" t="s">
        <v>431</v>
      </c>
      <c r="CS1" s="1" t="s">
        <v>432</v>
      </c>
      <c r="CT1" s="1" t="s">
        <v>433</v>
      </c>
      <c r="CU1" s="1" t="s">
        <v>434</v>
      </c>
      <c r="CV1" s="1" t="s">
        <v>435</v>
      </c>
      <c r="CW1" s="1" t="s">
        <v>436</v>
      </c>
      <c r="CX1">
        <v>1</v>
      </c>
      <c r="CY1" t="s">
        <v>437</v>
      </c>
      <c r="CZ1" t="s">
        <v>438</v>
      </c>
      <c r="DA1">
        <v>3</v>
      </c>
      <c r="DB1" t="s">
        <v>439</v>
      </c>
      <c r="DC1" t="s">
        <v>440</v>
      </c>
      <c r="DD1">
        <v>6</v>
      </c>
      <c r="DE1" t="s">
        <v>441</v>
      </c>
      <c r="DF1" t="s">
        <v>442</v>
      </c>
      <c r="DG1">
        <v>10</v>
      </c>
      <c r="DH1" t="s">
        <v>443</v>
      </c>
      <c r="DI1" t="s">
        <v>444</v>
      </c>
      <c r="DJ1">
        <v>20</v>
      </c>
      <c r="DK1" t="s">
        <v>445</v>
      </c>
      <c r="DL1" t="s">
        <v>236</v>
      </c>
      <c r="DM1" t="s">
        <v>237</v>
      </c>
      <c r="DN1" s="2" t="s">
        <v>238</v>
      </c>
      <c r="DO1" t="s">
        <v>446</v>
      </c>
      <c r="DP1" t="s">
        <v>447</v>
      </c>
      <c r="DQ1" s="13" t="s">
        <v>448</v>
      </c>
      <c r="DR1" s="1" t="s">
        <v>449</v>
      </c>
      <c r="DS1" s="1" t="s">
        <v>450</v>
      </c>
      <c r="DT1" t="s">
        <v>451</v>
      </c>
      <c r="DU1" t="s">
        <v>452</v>
      </c>
      <c r="DV1" t="s">
        <v>453</v>
      </c>
      <c r="DW1" t="s">
        <v>454</v>
      </c>
      <c r="DX1" t="s">
        <v>455</v>
      </c>
      <c r="DY1" t="s">
        <v>456</v>
      </c>
      <c r="DZ1" t="s">
        <v>457</v>
      </c>
      <c r="EA1" t="s">
        <v>458</v>
      </c>
      <c r="EB1" t="s">
        <v>459</v>
      </c>
      <c r="EC1" t="s">
        <v>460</v>
      </c>
      <c r="ED1" t="s">
        <v>461</v>
      </c>
      <c r="EE1" t="s">
        <v>462</v>
      </c>
      <c r="EF1" t="s">
        <v>463</v>
      </c>
      <c r="EG1" t="s">
        <v>464</v>
      </c>
      <c r="EH1" t="s">
        <v>465</v>
      </c>
      <c r="EI1" t="s">
        <v>466</v>
      </c>
      <c r="EK1" s="14" t="s">
        <v>467</v>
      </c>
      <c r="EL1" t="s">
        <v>468</v>
      </c>
      <c r="EM1" t="s">
        <v>469</v>
      </c>
      <c r="EN1" t="s">
        <v>470</v>
      </c>
      <c r="EO1" t="s">
        <v>471</v>
      </c>
      <c r="EP1" t="s">
        <v>472</v>
      </c>
    </row>
    <row r="2" spans="1:146" ht="156" x14ac:dyDescent="0.25">
      <c r="A2" s="7"/>
      <c r="B2" s="7" t="s">
        <v>338</v>
      </c>
      <c r="C2" s="7" t="s">
        <v>339</v>
      </c>
      <c r="D2" t="s">
        <v>248</v>
      </c>
      <c r="E2" t="s">
        <v>249</v>
      </c>
      <c r="F2">
        <v>8.58</v>
      </c>
      <c r="G2">
        <v>0.12</v>
      </c>
      <c r="H2" t="s">
        <v>622</v>
      </c>
      <c r="I2">
        <v>3466189600</v>
      </c>
      <c r="J2">
        <v>19.329999999999998</v>
      </c>
      <c r="K2">
        <v>1.44</v>
      </c>
      <c r="L2" t="s">
        <v>382</v>
      </c>
      <c r="M2" t="s">
        <v>623</v>
      </c>
      <c r="N2" t="s">
        <v>207</v>
      </c>
      <c r="O2" t="s">
        <v>295</v>
      </c>
      <c r="P2">
        <v>8.8699999999999992</v>
      </c>
      <c r="Q2" t="s">
        <v>624</v>
      </c>
      <c r="R2">
        <v>62491517</v>
      </c>
      <c r="S2" s="5">
        <v>0.62570000000000003</v>
      </c>
      <c r="T2" t="s">
        <v>92</v>
      </c>
      <c r="U2">
        <v>401381860</v>
      </c>
      <c r="V2">
        <v>403984810</v>
      </c>
      <c r="W2">
        <v>1.84</v>
      </c>
      <c r="X2">
        <v>0.19</v>
      </c>
      <c r="Y2">
        <v>8.17</v>
      </c>
      <c r="Z2" t="s">
        <v>601</v>
      </c>
      <c r="AA2" t="s">
        <v>608</v>
      </c>
      <c r="AB2" t="s">
        <v>625</v>
      </c>
      <c r="AC2" t="s">
        <v>626</v>
      </c>
      <c r="AD2" t="s">
        <v>9</v>
      </c>
      <c r="AE2">
        <v>2035901</v>
      </c>
      <c r="AF2" t="s">
        <v>627</v>
      </c>
      <c r="AG2" t="s">
        <v>628</v>
      </c>
      <c r="AH2" t="s">
        <v>629</v>
      </c>
      <c r="AI2" t="s">
        <v>573</v>
      </c>
      <c r="AJ2" t="s">
        <v>630</v>
      </c>
      <c r="AK2" t="s">
        <v>631</v>
      </c>
      <c r="AL2" t="s">
        <v>632</v>
      </c>
      <c r="AM2" t="s">
        <v>9</v>
      </c>
      <c r="AN2" t="s">
        <v>633</v>
      </c>
      <c r="AO2" t="s">
        <v>174</v>
      </c>
      <c r="AP2" t="s">
        <v>50</v>
      </c>
      <c r="AQ2" t="s">
        <v>634</v>
      </c>
      <c r="AR2" t="s">
        <v>533</v>
      </c>
      <c r="AS2" t="s">
        <v>635</v>
      </c>
      <c r="AT2" t="s">
        <v>636</v>
      </c>
      <c r="AU2" t="s">
        <v>637</v>
      </c>
      <c r="AV2" t="s">
        <v>638</v>
      </c>
      <c r="AW2" t="s">
        <v>639</v>
      </c>
      <c r="AX2" t="s">
        <v>523</v>
      </c>
      <c r="AY2" t="s">
        <v>524</v>
      </c>
      <c r="AZ2" t="s">
        <v>250</v>
      </c>
      <c r="BA2" t="s">
        <v>251</v>
      </c>
      <c r="BB2" t="s">
        <v>252</v>
      </c>
      <c r="BC2" t="s">
        <v>119</v>
      </c>
      <c r="BD2" t="s">
        <v>82</v>
      </c>
      <c r="BE2" t="s">
        <v>164</v>
      </c>
      <c r="BF2" t="s">
        <v>93</v>
      </c>
      <c r="BG2" t="s">
        <v>253</v>
      </c>
      <c r="BH2" t="s">
        <v>624</v>
      </c>
      <c r="BI2" t="s">
        <v>570</v>
      </c>
      <c r="BJ2" t="s">
        <v>523</v>
      </c>
      <c r="BK2" t="s">
        <v>92</v>
      </c>
      <c r="BL2" t="s">
        <v>640</v>
      </c>
      <c r="BM2" t="s">
        <v>119</v>
      </c>
      <c r="BN2">
        <v>5.59</v>
      </c>
      <c r="BO2">
        <v>7.86</v>
      </c>
      <c r="BP2">
        <v>6.39</v>
      </c>
      <c r="BQ2">
        <v>5.95</v>
      </c>
      <c r="BR2">
        <v>7.64</v>
      </c>
      <c r="BS2">
        <v>5.58</v>
      </c>
      <c r="BT2" t="s">
        <v>525</v>
      </c>
      <c r="BU2" t="s">
        <v>382</v>
      </c>
      <c r="BV2">
        <v>21.53</v>
      </c>
      <c r="BW2">
        <v>20.52</v>
      </c>
      <c r="BX2">
        <v>21.38</v>
      </c>
      <c r="BY2">
        <v>6.25</v>
      </c>
      <c r="BZ2">
        <v>6.52</v>
      </c>
      <c r="CA2">
        <v>5.31</v>
      </c>
      <c r="CB2">
        <v>-0.92</v>
      </c>
      <c r="CC2">
        <v>-11.18</v>
      </c>
      <c r="CD2" t="s">
        <v>641</v>
      </c>
      <c r="CE2" t="s">
        <v>68</v>
      </c>
      <c r="CF2" s="10">
        <v>8.8971269694161262E-2</v>
      </c>
      <c r="CG2" s="11">
        <v>0.62569828667162686</v>
      </c>
      <c r="CH2" s="10">
        <v>3.4210480749607086E-2</v>
      </c>
      <c r="CI2" s="10">
        <v>0.130952388048172</v>
      </c>
      <c r="CJ2" s="10">
        <v>0.15032681822776794</v>
      </c>
      <c r="CK2" s="10">
        <v>-7.4142725206911564E-3</v>
      </c>
      <c r="CL2" s="10">
        <v>8.4785498678684235E-2</v>
      </c>
      <c r="CM2" s="11">
        <v>-5.4878048598766327E-2</v>
      </c>
      <c r="CN2" s="11">
        <v>0.50458717346191406</v>
      </c>
      <c r="CO2" s="11">
        <v>-6.8376071751117706E-2</v>
      </c>
      <c r="CP2" s="11">
        <v>3.5398229956626892E-2</v>
      </c>
      <c r="CQ2" s="11">
        <v>0.31232985854148865</v>
      </c>
      <c r="CR2">
        <v>27.949144907233698</v>
      </c>
      <c r="CS2">
        <v>3.5571297588182538</v>
      </c>
      <c r="CT2">
        <v>0.81585081585081576</v>
      </c>
      <c r="CU2" s="10">
        <v>7.8572182636708024E-2</v>
      </c>
      <c r="CV2" s="11">
        <v>0.14581222832202911</v>
      </c>
      <c r="CW2">
        <v>0.06</v>
      </c>
      <c r="CX2">
        <v>18.185816665735675</v>
      </c>
      <c r="CY2">
        <v>157715743.68744317</v>
      </c>
      <c r="CZ2">
        <v>7.8572182636708024E-2</v>
      </c>
      <c r="DA2">
        <v>6.0008185109714685</v>
      </c>
      <c r="DB2">
        <v>477966396.54340601</v>
      </c>
      <c r="DC2">
        <v>7.4643573504872621E-2</v>
      </c>
      <c r="DD2">
        <v>2.9924209471175462</v>
      </c>
      <c r="DE2">
        <v>958484668.6636076</v>
      </c>
      <c r="DF2">
        <v>6.9143520720303067E-2</v>
      </c>
      <c r="DG2">
        <v>1.8231909250797416</v>
      </c>
      <c r="DH2">
        <v>1573170182.3134913</v>
      </c>
      <c r="DI2">
        <v>6.2857746109366425E-2</v>
      </c>
      <c r="DJ2">
        <v>0.97194855408945879</v>
      </c>
      <c r="DK2">
        <v>2950968534.2214212</v>
      </c>
      <c r="DL2">
        <v>5.5000527845695611E-2</v>
      </c>
      <c r="DM2">
        <v>155000000</v>
      </c>
      <c r="DN2">
        <v>7.8572182636708024E-2</v>
      </c>
      <c r="DO2">
        <v>2868189600</v>
      </c>
      <c r="DP2">
        <v>1510850500</v>
      </c>
      <c r="DQ2">
        <v>132</v>
      </c>
      <c r="DR2">
        <v>1.0399087057453238E-2</v>
      </c>
      <c r="DS2">
        <v>0.47988605834959774</v>
      </c>
      <c r="DT2" s="12">
        <v>-0.3066666666666667</v>
      </c>
      <c r="DU2">
        <v>0.47</v>
      </c>
      <c r="DV2">
        <v>0.16333333333333327</v>
      </c>
      <c r="DW2">
        <v>-2.1118000000000001</v>
      </c>
      <c r="DX2">
        <v>0.45778048780487807</v>
      </c>
      <c r="DY2">
        <v>-2.0176398585365853</v>
      </c>
      <c r="DZ2">
        <v>1331</v>
      </c>
      <c r="EA2">
        <v>-2.0130452104520069</v>
      </c>
      <c r="EB2">
        <v>2</v>
      </c>
      <c r="EC2">
        <v>4.8038934929261326E-2</v>
      </c>
      <c r="ED2">
        <v>0.30446689319828635</v>
      </c>
      <c r="EE2" s="15">
        <v>-1.0043</v>
      </c>
      <c r="EF2">
        <v>-1.0240100000000001</v>
      </c>
      <c r="EG2">
        <v>30.157780487804878</v>
      </c>
      <c r="EH2" t="s">
        <v>486</v>
      </c>
      <c r="EI2">
        <v>0</v>
      </c>
      <c r="EJ2">
        <v>1</v>
      </c>
      <c r="EK2" s="14">
        <v>45470</v>
      </c>
      <c r="EL2" s="16">
        <v>0.11</v>
      </c>
      <c r="EM2" s="16">
        <v>-4.7300000000000004</v>
      </c>
      <c r="EN2" s="16">
        <v>1.3</v>
      </c>
      <c r="EO2" s="16">
        <v>3.15</v>
      </c>
      <c r="EP2" s="16">
        <v>-2.83</v>
      </c>
    </row>
    <row r="3" spans="1:146" ht="108" x14ac:dyDescent="0.25">
      <c r="A3" s="7"/>
      <c r="B3" s="7"/>
      <c r="C3" s="7" t="str">
        <f>""&amp;CHAR(10)&amp;Basic_Fundamental_Information_Constructure(F3)&amp;CHAR(10)&amp;Basic_Fundamental_Information_Concatenate("")</f>
        <v xml:space="preserve">
市值11.3266071亿, 利润1143.68万; PE208; 平均PE-7.84; 平均PEG-.47, PB93.43; ROIC5.95%; ROE-31.8333%; 股利率0%; 毛利16.0167%; 净利-1.1367%; 上一年度营收增-34.22%, 利润增201.21%; 当季营收增-12.5%, 利润增-48.45%; 过往5年营收增-16.82%, 利润增-22.15%
Income profile:
</v>
      </c>
      <c r="D3" t="s">
        <v>478</v>
      </c>
      <c r="E3" t="s">
        <v>479</v>
      </c>
      <c r="F3">
        <v>2.7</v>
      </c>
      <c r="G3">
        <v>10.199999999999999</v>
      </c>
      <c r="H3" t="s">
        <v>642</v>
      </c>
      <c r="I3">
        <v>1132660710</v>
      </c>
      <c r="J3">
        <v>208</v>
      </c>
      <c r="K3">
        <v>93.43</v>
      </c>
      <c r="L3" t="s">
        <v>382</v>
      </c>
      <c r="M3" t="s">
        <v>643</v>
      </c>
      <c r="N3" t="s">
        <v>118</v>
      </c>
      <c r="O3" t="s">
        <v>27</v>
      </c>
      <c r="P3">
        <v>-13.05</v>
      </c>
      <c r="Q3" t="s">
        <v>530</v>
      </c>
      <c r="R3">
        <v>-18355578</v>
      </c>
      <c r="S3" s="5">
        <v>-0.48449999999999999</v>
      </c>
      <c r="T3" t="s">
        <v>644</v>
      </c>
      <c r="U3">
        <v>419491050</v>
      </c>
      <c r="V3">
        <v>419503970</v>
      </c>
      <c r="W3">
        <v>11.93</v>
      </c>
      <c r="X3">
        <v>7.0000000000000007E-2</v>
      </c>
      <c r="Y3">
        <v>-16.09</v>
      </c>
      <c r="Z3" t="s">
        <v>34</v>
      </c>
      <c r="AA3" t="s">
        <v>645</v>
      </c>
      <c r="AB3" t="s">
        <v>646</v>
      </c>
      <c r="AC3" t="s">
        <v>647</v>
      </c>
      <c r="AD3" t="s">
        <v>9</v>
      </c>
      <c r="AE3">
        <v>15892725</v>
      </c>
      <c r="AF3" t="s">
        <v>30</v>
      </c>
      <c r="AG3" t="s">
        <v>648</v>
      </c>
      <c r="AH3" t="s">
        <v>649</v>
      </c>
      <c r="AI3" t="s">
        <v>650</v>
      </c>
      <c r="AJ3" t="s">
        <v>651</v>
      </c>
      <c r="AK3" t="s">
        <v>652</v>
      </c>
      <c r="AL3" t="s">
        <v>653</v>
      </c>
      <c r="AM3" t="s">
        <v>9</v>
      </c>
      <c r="AN3" t="s">
        <v>654</v>
      </c>
      <c r="AO3" t="s">
        <v>614</v>
      </c>
      <c r="AP3" t="s">
        <v>655</v>
      </c>
      <c r="AQ3" t="s">
        <v>99</v>
      </c>
      <c r="AR3" t="s">
        <v>9</v>
      </c>
      <c r="AS3" t="s">
        <v>180</v>
      </c>
      <c r="AT3" t="s">
        <v>575</v>
      </c>
      <c r="AU3" t="s">
        <v>656</v>
      </c>
      <c r="AV3" t="s">
        <v>657</v>
      </c>
      <c r="AW3" t="s">
        <v>658</v>
      </c>
      <c r="AX3" t="s">
        <v>354</v>
      </c>
      <c r="AY3" t="s">
        <v>254</v>
      </c>
      <c r="AZ3" t="s">
        <v>257</v>
      </c>
      <c r="BA3" t="s">
        <v>481</v>
      </c>
      <c r="BB3" t="s">
        <v>154</v>
      </c>
      <c r="BC3" t="s">
        <v>659</v>
      </c>
      <c r="BD3" t="s">
        <v>480</v>
      </c>
      <c r="BE3" t="s">
        <v>483</v>
      </c>
      <c r="BF3" t="s">
        <v>484</v>
      </c>
      <c r="BG3" t="s">
        <v>485</v>
      </c>
      <c r="BH3" t="s">
        <v>530</v>
      </c>
      <c r="BI3" t="s">
        <v>34</v>
      </c>
      <c r="BJ3" t="s">
        <v>354</v>
      </c>
      <c r="BK3" t="s">
        <v>644</v>
      </c>
      <c r="BL3" t="s">
        <v>660</v>
      </c>
      <c r="BM3" t="s">
        <v>659</v>
      </c>
      <c r="BN3" t="s">
        <v>9</v>
      </c>
      <c r="BO3">
        <v>0.13</v>
      </c>
      <c r="BP3">
        <v>11.77</v>
      </c>
      <c r="BQ3">
        <v>-153.33000000000001</v>
      </c>
      <c r="BR3">
        <v>-30.08</v>
      </c>
      <c r="BS3">
        <v>87.91</v>
      </c>
      <c r="BT3" t="s">
        <v>513</v>
      </c>
      <c r="BU3" t="s">
        <v>382</v>
      </c>
      <c r="BV3">
        <v>14.75</v>
      </c>
      <c r="BW3">
        <v>15.47</v>
      </c>
      <c r="BX3">
        <v>17.829999999999998</v>
      </c>
      <c r="BY3">
        <v>-13.87</v>
      </c>
      <c r="BZ3">
        <v>7.0000000000000007E-2</v>
      </c>
      <c r="CA3">
        <v>10.39</v>
      </c>
      <c r="CB3">
        <v>8.8699999999999992</v>
      </c>
      <c r="CC3">
        <v>-11.18</v>
      </c>
      <c r="CD3" t="s">
        <v>661</v>
      </c>
      <c r="CE3" t="s">
        <v>107</v>
      </c>
      <c r="CF3" s="10">
        <v>-0.12499999999999989</v>
      </c>
      <c r="CG3" s="11">
        <v>-0.48446660358589905</v>
      </c>
      <c r="CH3" s="10">
        <v>-0.34218290448188782</v>
      </c>
      <c r="CI3" s="10">
        <v>1.6491753980517387E-2</v>
      </c>
      <c r="CJ3" s="10">
        <v>0.42826551198959351</v>
      </c>
      <c r="CK3" s="10">
        <v>-0.53486055135726929</v>
      </c>
      <c r="CL3" s="10">
        <v>-0.40871614217758179</v>
      </c>
      <c r="CM3" s="11">
        <v>2.0120704174041748</v>
      </c>
      <c r="CN3" s="11">
        <v>-1.2824083566665649</v>
      </c>
      <c r="CO3" s="11">
        <v>1.5078907012939453</v>
      </c>
      <c r="CP3" s="11">
        <v>1.0205081701278687</v>
      </c>
      <c r="CQ3" s="11">
        <v>-4.3655171394348145</v>
      </c>
      <c r="CR3">
        <v>-7.8394426860591224</v>
      </c>
      <c r="CS3">
        <v>-0.46607734528995798</v>
      </c>
      <c r="CT3">
        <v>0</v>
      </c>
      <c r="CU3" s="10">
        <v>-0.16820046640932559</v>
      </c>
      <c r="CV3" s="11">
        <v>-0.22149124145507812</v>
      </c>
      <c r="CW3">
        <v>0.06</v>
      </c>
      <c r="CX3" t="e">
        <v>#VALUE!</v>
      </c>
      <c r="CY3" t="s">
        <v>662</v>
      </c>
      <c r="CZ3">
        <v>-0.16820046640932559</v>
      </c>
      <c r="DA3">
        <v>70.231204241279613</v>
      </c>
      <c r="DB3" t="s">
        <v>663</v>
      </c>
      <c r="DC3">
        <v>-0.15979044308885931</v>
      </c>
      <c r="DD3">
        <v>35.115602120639807</v>
      </c>
      <c r="DE3" t="s">
        <v>664</v>
      </c>
      <c r="DF3">
        <v>-0.14801641044020653</v>
      </c>
      <c r="DG3">
        <v>21.069361272383883</v>
      </c>
      <c r="DH3" t="s">
        <v>665</v>
      </c>
      <c r="DI3">
        <v>-0.13456037312746047</v>
      </c>
      <c r="DJ3">
        <v>10.534680636191942</v>
      </c>
      <c r="DK3" t="s">
        <v>666</v>
      </c>
      <c r="DL3">
        <v>-0.11774032648652791</v>
      </c>
      <c r="DM3">
        <v>11436800</v>
      </c>
      <c r="DN3">
        <v>-0.16820046640932559</v>
      </c>
      <c r="DO3">
        <v>2409660710</v>
      </c>
      <c r="DP3">
        <v>-467759500</v>
      </c>
      <c r="DQ3">
        <v>348</v>
      </c>
      <c r="DR3">
        <v>4.3200466409325705E-2</v>
      </c>
      <c r="DS3">
        <v>-0.26297536213082096</v>
      </c>
      <c r="DT3" s="12">
        <v>-0.69</v>
      </c>
      <c r="DU3">
        <v>-1.2116666666666667</v>
      </c>
      <c r="DV3">
        <v>-1.9016666666666666</v>
      </c>
      <c r="DW3">
        <v>7.4423940149625931</v>
      </c>
      <c r="DX3">
        <v>0.62441314878892462</v>
      </c>
      <c r="DY3">
        <v>7.134670555100139</v>
      </c>
      <c r="DZ3">
        <v>4325</v>
      </c>
      <c r="EA3">
        <v>7.0206881381122521</v>
      </c>
      <c r="EB3">
        <v>7</v>
      </c>
      <c r="EC3">
        <v>0.20971291403988385</v>
      </c>
      <c r="ED3">
        <v>0.68890885585659656</v>
      </c>
      <c r="EE3" s="15">
        <v>-4.1337999999999999</v>
      </c>
      <c r="EF3">
        <v>-4.1258999999999997</v>
      </c>
      <c r="EG3">
        <v>32.304413148788925</v>
      </c>
      <c r="EH3" t="s">
        <v>590</v>
      </c>
      <c r="EI3">
        <v>1</v>
      </c>
      <c r="EJ3">
        <v>0</v>
      </c>
      <c r="EK3" s="14">
        <v>45470</v>
      </c>
      <c r="EL3" s="16">
        <v>-1.56</v>
      </c>
      <c r="EM3" s="16">
        <v>-5.16</v>
      </c>
      <c r="EN3" s="16">
        <v>1.67</v>
      </c>
      <c r="EO3" s="16">
        <v>4.53</v>
      </c>
      <c r="EP3" s="16">
        <v>-0.79</v>
      </c>
    </row>
    <row r="4" spans="1:146" ht="108" x14ac:dyDescent="0.25">
      <c r="A4" s="7"/>
      <c r="B4" s="7"/>
      <c r="C4" s="7" t="str">
        <f>""&amp;CHAR(10)&amp;Basic_Fundamental_Information_Constructure(F4)&amp;CHAR(10)&amp;Basic_Fundamental_Information_Concatenate("")</f>
        <v xml:space="preserve">
市值130.161297亿, 利润4.98亿; PE25.3; 平均PE14.61; 平均PEG112.51, PB.755; ROIC3.11%; ROE3.4%; 股利率3.0414%; 毛利22.54%; 净利4.77%; 上一年度营收增3.06%, 利润增18.85%; 当季营收增12.24%, 利润增10.58%; 过往5年营收增-.13%, 利润增-4.57%
Income profile:
</v>
      </c>
      <c r="D4" t="s">
        <v>36</v>
      </c>
      <c r="E4" t="s">
        <v>5</v>
      </c>
      <c r="F4">
        <v>4.1100000000000003</v>
      </c>
      <c r="G4">
        <v>0.98</v>
      </c>
      <c r="H4" t="s">
        <v>667</v>
      </c>
      <c r="I4">
        <v>13016129700</v>
      </c>
      <c r="J4">
        <v>25.3</v>
      </c>
      <c r="K4">
        <v>0.755</v>
      </c>
      <c r="L4" t="s">
        <v>382</v>
      </c>
      <c r="M4" t="s">
        <v>668</v>
      </c>
      <c r="N4" t="s">
        <v>669</v>
      </c>
      <c r="O4" t="s">
        <v>670</v>
      </c>
      <c r="P4">
        <v>12.23</v>
      </c>
      <c r="Q4" t="s">
        <v>671</v>
      </c>
      <c r="R4">
        <v>172498200</v>
      </c>
      <c r="S4" s="5">
        <v>0.1031</v>
      </c>
      <c r="T4" t="s">
        <v>170</v>
      </c>
      <c r="U4">
        <v>3165433800</v>
      </c>
      <c r="V4">
        <v>3166941500</v>
      </c>
      <c r="W4">
        <v>1.64</v>
      </c>
      <c r="X4">
        <v>0.1</v>
      </c>
      <c r="Y4">
        <v>6.16</v>
      </c>
      <c r="Z4" t="s">
        <v>672</v>
      </c>
      <c r="AA4" t="s">
        <v>618</v>
      </c>
      <c r="AB4" t="s">
        <v>25</v>
      </c>
      <c r="AC4" t="s">
        <v>65</v>
      </c>
      <c r="AD4" t="s">
        <v>9</v>
      </c>
      <c r="AE4">
        <v>14240839</v>
      </c>
      <c r="AF4" t="s">
        <v>673</v>
      </c>
      <c r="AG4" t="s">
        <v>674</v>
      </c>
      <c r="AH4" t="s">
        <v>675</v>
      </c>
      <c r="AI4" t="s">
        <v>676</v>
      </c>
      <c r="AJ4" t="s">
        <v>677</v>
      </c>
      <c r="AK4" t="s">
        <v>678</v>
      </c>
      <c r="AL4" t="s">
        <v>679</v>
      </c>
      <c r="AM4" t="s">
        <v>9</v>
      </c>
      <c r="AN4" t="s">
        <v>497</v>
      </c>
      <c r="AO4" t="s">
        <v>172</v>
      </c>
      <c r="AP4" t="s">
        <v>680</v>
      </c>
      <c r="AQ4" t="s">
        <v>681</v>
      </c>
      <c r="AR4" t="s">
        <v>9</v>
      </c>
      <c r="AS4" t="s">
        <v>682</v>
      </c>
      <c r="AT4" t="s">
        <v>683</v>
      </c>
      <c r="AU4" t="s">
        <v>684</v>
      </c>
      <c r="AV4" t="s">
        <v>685</v>
      </c>
      <c r="AW4" t="s">
        <v>621</v>
      </c>
      <c r="AX4" t="s">
        <v>528</v>
      </c>
      <c r="AY4" t="s">
        <v>529</v>
      </c>
      <c r="AZ4" t="s">
        <v>149</v>
      </c>
      <c r="BA4" t="s">
        <v>37</v>
      </c>
      <c r="BB4" t="s">
        <v>151</v>
      </c>
      <c r="BC4" t="s">
        <v>322</v>
      </c>
      <c r="BD4" t="s">
        <v>591</v>
      </c>
      <c r="BE4" t="s">
        <v>592</v>
      </c>
      <c r="BF4" t="s">
        <v>593</v>
      </c>
      <c r="BG4" t="s">
        <v>152</v>
      </c>
      <c r="BH4" t="s">
        <v>671</v>
      </c>
      <c r="BI4" t="s">
        <v>686</v>
      </c>
      <c r="BJ4" t="s">
        <v>528</v>
      </c>
      <c r="BK4" t="s">
        <v>170</v>
      </c>
      <c r="BL4" t="s">
        <v>33</v>
      </c>
      <c r="BM4" t="s">
        <v>322</v>
      </c>
      <c r="BN4">
        <v>3.12</v>
      </c>
      <c r="BO4">
        <v>2.42</v>
      </c>
      <c r="BP4">
        <v>3.79</v>
      </c>
      <c r="BQ4">
        <v>3.46</v>
      </c>
      <c r="BR4">
        <v>2.41</v>
      </c>
      <c r="BS4">
        <v>4.33</v>
      </c>
      <c r="BT4" t="s">
        <v>687</v>
      </c>
      <c r="BU4" t="s">
        <v>382</v>
      </c>
      <c r="BV4">
        <v>22.84</v>
      </c>
      <c r="BW4">
        <v>22.74</v>
      </c>
      <c r="BX4">
        <v>22.04</v>
      </c>
      <c r="BY4">
        <v>4.0599999999999996</v>
      </c>
      <c r="BZ4">
        <v>3.75</v>
      </c>
      <c r="CA4">
        <v>6.5</v>
      </c>
      <c r="CB4">
        <v>-2.84</v>
      </c>
      <c r="CC4">
        <v>-10.26</v>
      </c>
      <c r="CD4" t="s">
        <v>688</v>
      </c>
      <c r="CE4" t="s">
        <v>220</v>
      </c>
      <c r="CF4" s="10">
        <v>0.1224260576563085</v>
      </c>
      <c r="CG4" s="11">
        <v>0.1057576923076923</v>
      </c>
      <c r="CH4" s="10">
        <v>3.059726394712925E-2</v>
      </c>
      <c r="CI4" s="10">
        <v>3.2866980880498886E-2</v>
      </c>
      <c r="CJ4" s="10">
        <v>-0.17206250131130219</v>
      </c>
      <c r="CK4" s="10">
        <v>0.12885946035385132</v>
      </c>
      <c r="CL4" s="10">
        <v>-2.6753520593047142E-2</v>
      </c>
      <c r="CM4" s="11">
        <v>0.18854415416717529</v>
      </c>
      <c r="CN4" s="11">
        <v>-0.44355911016464233</v>
      </c>
      <c r="CO4" s="11">
        <v>-0.45670995116233826</v>
      </c>
      <c r="CP4" s="11">
        <v>1.836889423429966E-2</v>
      </c>
      <c r="CQ4" s="11">
        <v>0.46501606702804565</v>
      </c>
      <c r="CR4">
        <v>14.608450841750841</v>
      </c>
      <c r="CS4">
        <v>112.50568529944809</v>
      </c>
      <c r="CT4">
        <v>3.0413625304136249</v>
      </c>
      <c r="CU4" s="10">
        <v>-1.2984633445739745E-3</v>
      </c>
      <c r="CV4" s="11">
        <v>-4.5667989179491997E-2</v>
      </c>
      <c r="CW4">
        <v>0.06</v>
      </c>
      <c r="CX4">
        <v>12.359698192771084</v>
      </c>
      <c r="CY4" t="s">
        <v>689</v>
      </c>
      <c r="CZ4">
        <v>-1.2984633445739745E-3</v>
      </c>
      <c r="DA4">
        <v>4.1198993975903617</v>
      </c>
      <c r="DB4" t="s">
        <v>690</v>
      </c>
      <c r="DC4">
        <v>-1.2335401773452758E-3</v>
      </c>
      <c r="DD4">
        <v>2.0599496987951809</v>
      </c>
      <c r="DE4" t="s">
        <v>691</v>
      </c>
      <c r="DF4">
        <v>-1.1426477432250977E-3</v>
      </c>
      <c r="DG4">
        <v>1.2359698192771085</v>
      </c>
      <c r="DH4" t="s">
        <v>692</v>
      </c>
      <c r="DI4">
        <v>-1.0387706756591797E-3</v>
      </c>
      <c r="DJ4">
        <v>0.61798490963855424</v>
      </c>
      <c r="DK4" t="s">
        <v>693</v>
      </c>
      <c r="DL4">
        <v>-9.0892434120178208E-4</v>
      </c>
      <c r="DM4">
        <v>498000000.00000006</v>
      </c>
      <c r="DN4">
        <v>-1.2984633445739745E-3</v>
      </c>
      <c r="DO4">
        <v>6155129700</v>
      </c>
      <c r="DP4">
        <v>6403547999.999999</v>
      </c>
      <c r="DQ4">
        <v>403</v>
      </c>
      <c r="DR4">
        <v>0.12372452100088248</v>
      </c>
      <c r="DS4">
        <v>0.1514256814871843</v>
      </c>
      <c r="DT4" s="12">
        <v>-0.57333333333333336</v>
      </c>
      <c r="DU4">
        <v>0.20333333333333334</v>
      </c>
      <c r="DV4">
        <v>-0.37</v>
      </c>
      <c r="DW4">
        <v>-8.2768031189083828</v>
      </c>
      <c r="DX4">
        <v>0.35156025641025607</v>
      </c>
      <c r="DY4">
        <v>-8.0474884140550813</v>
      </c>
      <c r="DZ4">
        <v>2610</v>
      </c>
      <c r="EA4">
        <v>-8.0232330792833082</v>
      </c>
      <c r="EB4">
        <v>8</v>
      </c>
      <c r="EC4">
        <v>1.690173310747925E-2</v>
      </c>
      <c r="ED4">
        <v>9.8517765484458744E-2</v>
      </c>
      <c r="EE4" s="15">
        <v>6.6600000000000006E-2</v>
      </c>
      <c r="EF4">
        <v>4.5600000000000002E-2</v>
      </c>
      <c r="EG4">
        <v>18.171560256410256</v>
      </c>
      <c r="EH4" t="s">
        <v>476</v>
      </c>
      <c r="EI4">
        <v>0</v>
      </c>
      <c r="EJ4">
        <v>0</v>
      </c>
      <c r="EK4" s="14">
        <v>45470</v>
      </c>
      <c r="EL4" s="16">
        <v>0.23</v>
      </c>
      <c r="EM4" s="16">
        <v>-1.4</v>
      </c>
      <c r="EN4" s="16">
        <v>0.47</v>
      </c>
      <c r="EO4" s="16">
        <v>1.18</v>
      </c>
      <c r="EP4" s="16">
        <v>-2.1</v>
      </c>
    </row>
    <row r="5" spans="1:146" ht="108" x14ac:dyDescent="0.25">
      <c r="A5" s="7"/>
      <c r="B5" s="7"/>
      <c r="C5" s="7" t="str">
        <f>""&amp;CHAR(10)&amp;Basic_Fundamental_Information_Constructure(F5)&amp;CHAR(10)&amp;Basic_Fundamental_Information_Concatenate("")</f>
        <v xml:space="preserve">
市值18.043851亿, 利润3793.48万; PE51.67; 平均PE34.84; 平均PEG1.52, PB2.33; ROIC15.5533%; ROE17.8367%; 股利率.4459%; 毛利34.0433%; 净利11.3367%; 上一年度营收增-19.65%, 利润增-41.47%; 当季营收增2.59%, 利润增-24.88%; 过往5年营收增22.87%, 利润增31.87%
Income profile:
</v>
      </c>
      <c r="D5" t="s">
        <v>487</v>
      </c>
      <c r="E5" t="s">
        <v>488</v>
      </c>
      <c r="F5">
        <v>22.45</v>
      </c>
      <c r="G5">
        <v>-4.1399999999999997</v>
      </c>
      <c r="H5" t="s">
        <v>694</v>
      </c>
      <c r="I5">
        <v>1804385100</v>
      </c>
      <c r="J5">
        <v>51.67</v>
      </c>
      <c r="K5">
        <v>2.33</v>
      </c>
      <c r="L5" t="s">
        <v>382</v>
      </c>
      <c r="M5" t="s">
        <v>222</v>
      </c>
      <c r="N5" t="s">
        <v>695</v>
      </c>
      <c r="O5" t="s">
        <v>696</v>
      </c>
      <c r="P5">
        <v>2.59</v>
      </c>
      <c r="Q5" t="s">
        <v>619</v>
      </c>
      <c r="R5">
        <v>9102184</v>
      </c>
      <c r="S5" s="5">
        <v>-0.24879999999999999</v>
      </c>
      <c r="T5" t="s">
        <v>697</v>
      </c>
      <c r="U5">
        <v>28557260</v>
      </c>
      <c r="V5">
        <v>80373500</v>
      </c>
      <c r="W5">
        <v>1.45</v>
      </c>
      <c r="X5">
        <v>0.08</v>
      </c>
      <c r="Y5">
        <v>9.75</v>
      </c>
      <c r="Z5" t="s">
        <v>698</v>
      </c>
      <c r="AA5" t="s">
        <v>699</v>
      </c>
      <c r="AB5" t="s">
        <v>700</v>
      </c>
      <c r="AC5" t="s">
        <v>701</v>
      </c>
      <c r="AD5" t="s">
        <v>9</v>
      </c>
      <c r="AE5">
        <v>-359232</v>
      </c>
      <c r="AF5" t="s">
        <v>702</v>
      </c>
      <c r="AG5" t="s">
        <v>703</v>
      </c>
      <c r="AH5" t="s">
        <v>704</v>
      </c>
      <c r="AI5" t="s">
        <v>118</v>
      </c>
      <c r="AJ5" t="s">
        <v>705</v>
      </c>
      <c r="AK5" t="s">
        <v>706</v>
      </c>
      <c r="AL5" t="s">
        <v>707</v>
      </c>
      <c r="AM5" t="s">
        <v>9</v>
      </c>
      <c r="AN5" t="s">
        <v>708</v>
      </c>
      <c r="AO5" t="s">
        <v>501</v>
      </c>
      <c r="AP5" t="s">
        <v>709</v>
      </c>
      <c r="AQ5" t="s">
        <v>144</v>
      </c>
      <c r="AR5" t="s">
        <v>9</v>
      </c>
      <c r="AS5" t="s">
        <v>114</v>
      </c>
      <c r="AT5" t="s">
        <v>710</v>
      </c>
      <c r="AU5" t="s">
        <v>711</v>
      </c>
      <c r="AV5" t="s">
        <v>574</v>
      </c>
      <c r="AW5" t="s">
        <v>712</v>
      </c>
      <c r="AX5" t="s">
        <v>313</v>
      </c>
      <c r="AY5" t="s">
        <v>172</v>
      </c>
      <c r="AZ5" t="s">
        <v>221</v>
      </c>
      <c r="BA5" t="s">
        <v>216</v>
      </c>
      <c r="BB5" t="s">
        <v>79</v>
      </c>
      <c r="BC5" t="s">
        <v>713</v>
      </c>
      <c r="BD5" t="s">
        <v>594</v>
      </c>
      <c r="BE5" t="s">
        <v>595</v>
      </c>
      <c r="BF5" t="s">
        <v>596</v>
      </c>
      <c r="BG5" t="s">
        <v>597</v>
      </c>
      <c r="BH5" t="s">
        <v>619</v>
      </c>
      <c r="BI5" t="s">
        <v>714</v>
      </c>
      <c r="BJ5" t="s">
        <v>313</v>
      </c>
      <c r="BK5" t="s">
        <v>697</v>
      </c>
      <c r="BL5" t="s">
        <v>715</v>
      </c>
      <c r="BM5" t="s">
        <v>713</v>
      </c>
      <c r="BN5">
        <v>3.3</v>
      </c>
      <c r="BO5">
        <v>11.53</v>
      </c>
      <c r="BP5">
        <v>31.83</v>
      </c>
      <c r="BQ5">
        <v>3.49</v>
      </c>
      <c r="BR5">
        <v>13.22</v>
      </c>
      <c r="BS5">
        <v>36.799999999999997</v>
      </c>
      <c r="BT5" t="s">
        <v>716</v>
      </c>
      <c r="BU5" t="s">
        <v>382</v>
      </c>
      <c r="BV5">
        <v>34.44</v>
      </c>
      <c r="BW5">
        <v>32.81</v>
      </c>
      <c r="BX5">
        <v>34.880000000000003</v>
      </c>
      <c r="BY5">
        <v>8.2899999999999991</v>
      </c>
      <c r="BZ5">
        <v>11.36</v>
      </c>
      <c r="CA5">
        <v>14.36</v>
      </c>
      <c r="CB5">
        <v>3.22</v>
      </c>
      <c r="CC5">
        <v>16.989999999999998</v>
      </c>
      <c r="CD5" t="s">
        <v>717</v>
      </c>
      <c r="CE5" t="s">
        <v>718</v>
      </c>
      <c r="CF5" s="10">
        <v>2.5889299184889192E-2</v>
      </c>
      <c r="CG5" s="11">
        <v>-0.24882737903658406</v>
      </c>
      <c r="CH5" s="10">
        <v>-0.19649122655391693</v>
      </c>
      <c r="CI5" s="10">
        <v>-2.89608184248209E-2</v>
      </c>
      <c r="CJ5" s="10">
        <v>0.46384039521217346</v>
      </c>
      <c r="CK5" s="10">
        <v>0.55426359176635742</v>
      </c>
      <c r="CL5" s="10">
        <v>0.35078534483909607</v>
      </c>
      <c r="CM5" s="11">
        <v>-0.41470927000045776</v>
      </c>
      <c r="CN5" s="11">
        <v>-0.23036293685436249</v>
      </c>
      <c r="CO5" s="11">
        <v>0.13565748929977417</v>
      </c>
      <c r="CP5" s="11">
        <v>1.3466953039169312</v>
      </c>
      <c r="CQ5" s="11">
        <v>0.75605744123458862</v>
      </c>
      <c r="CR5">
        <v>34.843902443734315</v>
      </c>
      <c r="CS5">
        <v>1.5236472889590069</v>
      </c>
      <c r="CT5">
        <v>0.44591893095768376</v>
      </c>
      <c r="CU5" s="10">
        <v>0.22868745736777782</v>
      </c>
      <c r="CV5" s="11">
        <v>0.31866760551929474</v>
      </c>
      <c r="CW5">
        <v>0.06</v>
      </c>
      <c r="CX5">
        <v>32.029345440282846</v>
      </c>
      <c r="CY5">
        <v>43971710.337504879</v>
      </c>
      <c r="CZ5">
        <v>0.22868745736777782</v>
      </c>
      <c r="DA5">
        <v>9.3249544773672426</v>
      </c>
      <c r="DB5">
        <v>151033992.00696537</v>
      </c>
      <c r="DC5">
        <v>0.2172530844993889</v>
      </c>
      <c r="DD5">
        <v>3.904177379406029</v>
      </c>
      <c r="DE5">
        <v>360737989.88463682</v>
      </c>
      <c r="DF5">
        <v>0.20124496248364449</v>
      </c>
      <c r="DG5">
        <v>1.9328142286410335</v>
      </c>
      <c r="DH5">
        <v>728670701.57603252</v>
      </c>
      <c r="DI5">
        <v>0.18294996589422227</v>
      </c>
      <c r="DJ5">
        <v>0.63093827829801841</v>
      </c>
      <c r="DK5">
        <v>2232207409.8898802</v>
      </c>
      <c r="DL5">
        <v>0.16008122015744447</v>
      </c>
      <c r="DM5">
        <v>37934800</v>
      </c>
      <c r="DN5">
        <v>0.22868745736777782</v>
      </c>
      <c r="DO5">
        <v>1408385100</v>
      </c>
      <c r="DP5">
        <v>461095610</v>
      </c>
      <c r="DQ5">
        <v>499</v>
      </c>
      <c r="DR5">
        <v>-0.20279815818288863</v>
      </c>
      <c r="DS5">
        <v>-0.56749498455587877</v>
      </c>
      <c r="DT5" s="12">
        <v>-0.25666666666666677</v>
      </c>
      <c r="DU5">
        <v>-0.10333333333333339</v>
      </c>
      <c r="DV5">
        <v>-0.36000000000000015</v>
      </c>
      <c r="DW5">
        <v>8.1895232489699819</v>
      </c>
      <c r="DX5">
        <v>0.67890064715045262</v>
      </c>
      <c r="DY5">
        <v>8.0509629242980836</v>
      </c>
      <c r="DZ5">
        <v>2601</v>
      </c>
      <c r="EA5">
        <v>8.0250226960986097</v>
      </c>
      <c r="EB5">
        <v>8</v>
      </c>
      <c r="EC5">
        <v>0.16667433917895821</v>
      </c>
      <c r="ED5">
        <v>0.61983614002127563</v>
      </c>
      <c r="EE5" s="15">
        <v>-3.1</v>
      </c>
      <c r="EF5">
        <v>-3.0750000000000002</v>
      </c>
      <c r="EG5">
        <v>41.268900647150453</v>
      </c>
      <c r="EH5" t="s">
        <v>588</v>
      </c>
      <c r="EI5">
        <v>0</v>
      </c>
      <c r="EJ5">
        <v>0</v>
      </c>
      <c r="EK5" s="14">
        <v>45470</v>
      </c>
      <c r="EL5" s="16">
        <v>1</v>
      </c>
      <c r="EM5" s="16">
        <v>4.54</v>
      </c>
      <c r="EN5" s="16">
        <v>5.19</v>
      </c>
      <c r="EO5" s="16">
        <v>0.31</v>
      </c>
      <c r="EP5" s="16">
        <v>-2.5</v>
      </c>
    </row>
    <row r="6" spans="1:146" ht="108" x14ac:dyDescent="0.25">
      <c r="A6" s="7"/>
      <c r="B6" s="7"/>
      <c r="C6" s="7" t="str">
        <f>""&amp;CHAR(10)&amp;Basic_Fundamental_Information_Constructure(F6)&amp;CHAR(10)&amp;Basic_Fundamental_Information_Concatenate("")</f>
        <v xml:space="preserve">
市值32.169503亿, 利润2.03亿; PE19.13; 平均PE16.37; 平均PEG4.76, PB1.24; ROIC7.4833%; ROE8.3067%; 股利率5.9289%; 毛利43.76%; 净利16.09%; 上一年度营收增.33%, 利润增-28.52%; 当季营收增-22.15%, 利润增-122.68%; 过往5年营收增3.44%, 利润增6.51%
Income profile:
</v>
      </c>
      <c r="D6" t="s">
        <v>47</v>
      </c>
      <c r="E6" t="s">
        <v>8</v>
      </c>
      <c r="F6">
        <v>5.0599999999999996</v>
      </c>
      <c r="G6">
        <v>1.4</v>
      </c>
      <c r="H6" t="s">
        <v>719</v>
      </c>
      <c r="I6">
        <v>3216950300</v>
      </c>
      <c r="J6">
        <v>19.13</v>
      </c>
      <c r="K6">
        <v>1.24</v>
      </c>
      <c r="L6" t="s">
        <v>382</v>
      </c>
      <c r="M6" t="s">
        <v>111</v>
      </c>
      <c r="N6" t="s">
        <v>616</v>
      </c>
      <c r="O6" t="s">
        <v>184</v>
      </c>
      <c r="P6">
        <v>-22.3</v>
      </c>
      <c r="Q6" t="s">
        <v>720</v>
      </c>
      <c r="R6">
        <v>-6405917</v>
      </c>
      <c r="S6" s="5">
        <v>-1.2270000000000001</v>
      </c>
      <c r="T6" t="s">
        <v>75</v>
      </c>
      <c r="U6">
        <v>358665250</v>
      </c>
      <c r="V6">
        <v>635760920</v>
      </c>
      <c r="W6">
        <v>1.1599999999999999</v>
      </c>
      <c r="X6">
        <v>7.0000000000000007E-2</v>
      </c>
      <c r="Y6">
        <v>-2.8</v>
      </c>
      <c r="Z6" t="s">
        <v>108</v>
      </c>
      <c r="AA6" t="s">
        <v>50</v>
      </c>
      <c r="AB6" t="s">
        <v>721</v>
      </c>
      <c r="AC6" t="s">
        <v>722</v>
      </c>
      <c r="AD6" t="s">
        <v>9</v>
      </c>
      <c r="AE6">
        <v>-4807106</v>
      </c>
      <c r="AF6" t="s">
        <v>723</v>
      </c>
      <c r="AG6" t="s">
        <v>724</v>
      </c>
      <c r="AH6" t="s">
        <v>725</v>
      </c>
      <c r="AI6" t="s">
        <v>612</v>
      </c>
      <c r="AJ6" t="s">
        <v>726</v>
      </c>
      <c r="AK6" t="s">
        <v>727</v>
      </c>
      <c r="AL6" t="s">
        <v>728</v>
      </c>
      <c r="AM6" t="s">
        <v>9</v>
      </c>
      <c r="AN6" t="s">
        <v>729</v>
      </c>
      <c r="AO6" t="s">
        <v>9</v>
      </c>
      <c r="AP6" t="s">
        <v>730</v>
      </c>
      <c r="AQ6" t="s">
        <v>57</v>
      </c>
      <c r="AR6" t="s">
        <v>9</v>
      </c>
      <c r="AS6" t="s">
        <v>498</v>
      </c>
      <c r="AT6" t="s">
        <v>731</v>
      </c>
      <c r="AU6" t="s">
        <v>732</v>
      </c>
      <c r="AV6" t="s">
        <v>506</v>
      </c>
      <c r="AW6" t="s">
        <v>733</v>
      </c>
      <c r="AX6" t="s">
        <v>531</v>
      </c>
      <c r="AY6" t="s">
        <v>66</v>
      </c>
      <c r="AZ6" t="s">
        <v>54</v>
      </c>
      <c r="BA6" t="s">
        <v>48</v>
      </c>
      <c r="BB6" t="s">
        <v>165</v>
      </c>
      <c r="BC6" t="s">
        <v>196</v>
      </c>
      <c r="BD6" t="s">
        <v>113</v>
      </c>
      <c r="BE6" t="s">
        <v>128</v>
      </c>
      <c r="BF6" t="s">
        <v>49</v>
      </c>
      <c r="BG6" t="s">
        <v>158</v>
      </c>
      <c r="BH6" t="s">
        <v>720</v>
      </c>
      <c r="BI6" t="s">
        <v>112</v>
      </c>
      <c r="BJ6" t="s">
        <v>531</v>
      </c>
      <c r="BK6" t="s">
        <v>75</v>
      </c>
      <c r="BL6" t="s">
        <v>734</v>
      </c>
      <c r="BM6" t="s">
        <v>196</v>
      </c>
      <c r="BN6">
        <v>4.29</v>
      </c>
      <c r="BO6">
        <v>9.99</v>
      </c>
      <c r="BP6">
        <v>8.17</v>
      </c>
      <c r="BQ6">
        <v>4.74</v>
      </c>
      <c r="BR6">
        <v>11.04</v>
      </c>
      <c r="BS6">
        <v>9.14</v>
      </c>
      <c r="BT6" t="s">
        <v>735</v>
      </c>
      <c r="BU6" t="s">
        <v>382</v>
      </c>
      <c r="BV6">
        <v>41.41</v>
      </c>
      <c r="BW6">
        <v>46.45</v>
      </c>
      <c r="BX6">
        <v>43.42</v>
      </c>
      <c r="BY6">
        <v>13.42</v>
      </c>
      <c r="BZ6">
        <v>18.86</v>
      </c>
      <c r="CA6">
        <v>15.99</v>
      </c>
      <c r="CB6">
        <v>-1.36</v>
      </c>
      <c r="CC6">
        <v>-13.21</v>
      </c>
      <c r="CD6" t="s">
        <v>736</v>
      </c>
      <c r="CE6" t="s">
        <v>737</v>
      </c>
      <c r="CF6" s="10">
        <v>-0.22147651006711419</v>
      </c>
      <c r="CG6" s="11">
        <v>-1.2268079012030959</v>
      </c>
      <c r="CH6" s="10">
        <v>3.3223018981516361E-3</v>
      </c>
      <c r="CI6" s="10">
        <v>8.9790008962154388E-2</v>
      </c>
      <c r="CJ6" s="10">
        <v>0.13849958777427673</v>
      </c>
      <c r="CK6" s="10">
        <v>-2.4135258048772812E-2</v>
      </c>
      <c r="CL6" s="10">
        <v>-3.568648174405098E-2</v>
      </c>
      <c r="CM6" s="11">
        <v>-0.28521126508712769</v>
      </c>
      <c r="CN6" s="11">
        <v>0.27927929162979126</v>
      </c>
      <c r="CO6" s="11">
        <v>0.47999998927116394</v>
      </c>
      <c r="CP6" s="11">
        <v>6.3829787075519562E-2</v>
      </c>
      <c r="CQ6" s="11">
        <v>-0.21229049563407898</v>
      </c>
      <c r="CR6">
        <v>16.371248346055978</v>
      </c>
      <c r="CS6">
        <v>4.7648970279886695</v>
      </c>
      <c r="CT6">
        <v>5.9288537549407119</v>
      </c>
      <c r="CU6" s="10">
        <v>3.4358031768351796E-2</v>
      </c>
      <c r="CV6" s="11">
        <v>6.5121461451053617E-2</v>
      </c>
      <c r="CW6">
        <v>0.06</v>
      </c>
      <c r="CX6">
        <v>5.5477513551119415</v>
      </c>
      <c r="CY6">
        <v>198089321.17827865</v>
      </c>
      <c r="CZ6">
        <v>3.4358031768351796E-2</v>
      </c>
      <c r="DA6">
        <v>1.9009710538675078</v>
      </c>
      <c r="DB6">
        <v>578099439.10728991</v>
      </c>
      <c r="DC6">
        <v>3.2640130179934203E-2</v>
      </c>
      <c r="DD6">
        <v>0.99565868787706968</v>
      </c>
      <c r="DE6">
        <v>1103741988.4751544</v>
      </c>
      <c r="DF6">
        <v>3.0235067956149581E-2</v>
      </c>
      <c r="DG6">
        <v>0.63996834981040474</v>
      </c>
      <c r="DH6">
        <v>1717194764.9060645</v>
      </c>
      <c r="DI6">
        <v>2.7486425414681437E-2</v>
      </c>
      <c r="DJ6">
        <v>0.38126533678586982</v>
      </c>
      <c r="DK6">
        <v>2882376638.9683723</v>
      </c>
      <c r="DL6">
        <v>2.4050622237846257E-2</v>
      </c>
      <c r="DM6">
        <v>202999999.99999997</v>
      </c>
      <c r="DN6">
        <v>3.4358031768351796E-2</v>
      </c>
      <c r="DO6">
        <v>1098950300</v>
      </c>
      <c r="DP6">
        <v>2163903200</v>
      </c>
      <c r="DQ6">
        <v>1148</v>
      </c>
      <c r="DR6">
        <v>-0.255834541835466</v>
      </c>
      <c r="DS6">
        <v>-1.2919293626541495</v>
      </c>
      <c r="DT6" s="12">
        <v>-0.44</v>
      </c>
      <c r="DU6">
        <v>-0.88166666666666671</v>
      </c>
      <c r="DV6">
        <v>-1.3216666666666668</v>
      </c>
      <c r="DW6">
        <v>-2.1320999999999999</v>
      </c>
      <c r="DX6">
        <v>0.39226442699023067</v>
      </c>
      <c r="DY6">
        <v>-2.0187931308054092</v>
      </c>
      <c r="DZ6">
        <v>3876</v>
      </c>
      <c r="EA6">
        <v>-2.0045383020379401</v>
      </c>
      <c r="EB6">
        <v>2</v>
      </c>
      <c r="EC6">
        <v>1.9151538914974515E-2</v>
      </c>
      <c r="ED6">
        <v>0.13461931570125449</v>
      </c>
      <c r="EE6" s="15">
        <v>1.78E-2</v>
      </c>
      <c r="EF6">
        <v>6.9100000000000029E-3</v>
      </c>
      <c r="EG6">
        <v>25.142264426990231</v>
      </c>
      <c r="EH6">
        <v>-1</v>
      </c>
      <c r="EI6">
        <v>0</v>
      </c>
      <c r="EJ6">
        <v>0</v>
      </c>
      <c r="EK6" s="14">
        <v>45470</v>
      </c>
      <c r="EL6" s="16">
        <v>0.76</v>
      </c>
      <c r="EM6" s="16">
        <v>-3.38</v>
      </c>
      <c r="EN6" s="16">
        <v>0.39</v>
      </c>
      <c r="EO6" s="16">
        <v>1.94</v>
      </c>
      <c r="EP6" s="16">
        <v>-2.4700000000000002</v>
      </c>
    </row>
    <row r="7" spans="1:146" ht="96" x14ac:dyDescent="0.25">
      <c r="A7" s="7"/>
      <c r="B7" s="7"/>
      <c r="C7" s="7" t="str">
        <f>""&amp;CHAR(10)&amp;Basic_Fundamental_Information_Constructure(F7)&amp;CHAR(10)&amp;Basic_Fundamental_Information_Concatenate("")</f>
        <v xml:space="preserve">
市值23.126693亿, 利润-1.24亿; PE; 平均PE29.64; 平均PEG4.41, PB1.29; ROIC2.545%; ROE-.5333%; 股利率0%; 毛利40.5767%; 净利-6.1867%; 上一年度营收增-4.17%, 利润增8.15%; 当季营收增-19.5%, 利润增15.62%; 过往5年营收增-6.72%, 利润增-75.16%
Income profile:
</v>
      </c>
      <c r="D7" t="s">
        <v>72</v>
      </c>
      <c r="E7" t="s">
        <v>7</v>
      </c>
      <c r="F7">
        <v>4.3099999999999996</v>
      </c>
      <c r="G7">
        <v>3.11</v>
      </c>
      <c r="H7" t="s">
        <v>738</v>
      </c>
      <c r="I7">
        <v>2312669300</v>
      </c>
      <c r="K7">
        <v>1.29</v>
      </c>
      <c r="L7" t="s">
        <v>382</v>
      </c>
      <c r="M7" t="s">
        <v>215</v>
      </c>
      <c r="N7" t="s">
        <v>739</v>
      </c>
      <c r="O7" t="s">
        <v>41</v>
      </c>
      <c r="P7">
        <v>-19.54</v>
      </c>
      <c r="Q7" t="s">
        <v>740</v>
      </c>
      <c r="R7">
        <v>8339909</v>
      </c>
      <c r="S7" s="5">
        <v>0.15620000000000001</v>
      </c>
      <c r="T7" t="s">
        <v>741</v>
      </c>
      <c r="U7">
        <v>522378780</v>
      </c>
      <c r="V7">
        <v>536582210</v>
      </c>
      <c r="W7">
        <v>1.22</v>
      </c>
      <c r="X7">
        <v>7.0000000000000007E-2</v>
      </c>
      <c r="Y7">
        <v>5.27</v>
      </c>
      <c r="Z7" t="s">
        <v>169</v>
      </c>
      <c r="AA7" t="s">
        <v>742</v>
      </c>
      <c r="AB7" t="s">
        <v>743</v>
      </c>
      <c r="AC7" t="s">
        <v>744</v>
      </c>
      <c r="AD7" t="s">
        <v>9</v>
      </c>
      <c r="AE7">
        <v>-851963</v>
      </c>
      <c r="AF7" t="s">
        <v>745</v>
      </c>
      <c r="AG7" t="s">
        <v>746</v>
      </c>
      <c r="AH7" t="s">
        <v>747</v>
      </c>
      <c r="AI7" t="s">
        <v>201</v>
      </c>
      <c r="AJ7" t="s">
        <v>748</v>
      </c>
      <c r="AK7" t="s">
        <v>749</v>
      </c>
      <c r="AL7" t="s">
        <v>750</v>
      </c>
      <c r="AM7" t="s">
        <v>9</v>
      </c>
      <c r="AN7">
        <v>0</v>
      </c>
      <c r="AO7" t="s">
        <v>9</v>
      </c>
      <c r="AP7" t="s">
        <v>9</v>
      </c>
      <c r="AQ7" t="s">
        <v>120</v>
      </c>
      <c r="AR7" t="s">
        <v>9</v>
      </c>
      <c r="AS7" t="s">
        <v>64</v>
      </c>
      <c r="AT7" t="s">
        <v>9</v>
      </c>
      <c r="AU7" t="s">
        <v>751</v>
      </c>
      <c r="AV7" t="s">
        <v>752</v>
      </c>
      <c r="AW7" t="s">
        <v>753</v>
      </c>
      <c r="AX7" t="s">
        <v>350</v>
      </c>
      <c r="AY7" t="s">
        <v>306</v>
      </c>
      <c r="AZ7" t="s">
        <v>185</v>
      </c>
      <c r="BA7" t="s">
        <v>73</v>
      </c>
      <c r="BB7" t="s">
        <v>73</v>
      </c>
      <c r="BC7" t="s">
        <v>532</v>
      </c>
      <c r="BD7" t="s">
        <v>351</v>
      </c>
      <c r="BE7" t="s">
        <v>186</v>
      </c>
      <c r="BF7" t="s">
        <v>74</v>
      </c>
      <c r="BG7" t="s">
        <v>78</v>
      </c>
      <c r="BH7" t="s">
        <v>740</v>
      </c>
      <c r="BI7" t="s">
        <v>206</v>
      </c>
      <c r="BJ7" t="s">
        <v>350</v>
      </c>
      <c r="BK7" t="s">
        <v>741</v>
      </c>
      <c r="BL7" t="s">
        <v>754</v>
      </c>
      <c r="BM7" t="s">
        <v>532</v>
      </c>
      <c r="BN7">
        <v>1.83</v>
      </c>
      <c r="BO7" t="s">
        <v>9</v>
      </c>
      <c r="BP7">
        <v>3.26</v>
      </c>
      <c r="BQ7">
        <v>1.72</v>
      </c>
      <c r="BR7">
        <v>-6.75</v>
      </c>
      <c r="BS7">
        <v>3.43</v>
      </c>
      <c r="BT7" t="s">
        <v>513</v>
      </c>
      <c r="BU7" t="s">
        <v>382</v>
      </c>
      <c r="BV7">
        <v>40.36</v>
      </c>
      <c r="BW7">
        <v>36.64</v>
      </c>
      <c r="BX7">
        <v>44.73</v>
      </c>
      <c r="BY7">
        <v>-12.22</v>
      </c>
      <c r="BZ7">
        <v>-13.01</v>
      </c>
      <c r="CA7">
        <v>6.67</v>
      </c>
      <c r="CB7">
        <v>1.17</v>
      </c>
      <c r="CC7">
        <v>-20.63</v>
      </c>
      <c r="CD7" t="s">
        <v>755</v>
      </c>
      <c r="CE7" t="s">
        <v>160</v>
      </c>
      <c r="CF7" s="10">
        <v>-0.19500000000000001</v>
      </c>
      <c r="CG7" s="11">
        <v>0.15618496388615474</v>
      </c>
      <c r="CH7" s="10">
        <v>-4.1666667908430099E-2</v>
      </c>
      <c r="CI7" s="10">
        <v>-9.270932525396347E-2</v>
      </c>
      <c r="CJ7" s="10">
        <v>-0.10977558791637421</v>
      </c>
      <c r="CK7" s="10">
        <v>-9.1703057289123535E-2</v>
      </c>
      <c r="CL7" s="10">
        <v>0</v>
      </c>
      <c r="CM7" s="11">
        <v>8.1481479108333588E-2</v>
      </c>
      <c r="CN7" s="11">
        <v>-2.8956921100616455</v>
      </c>
      <c r="CO7" s="11">
        <v>-0.46855151653289795</v>
      </c>
      <c r="CP7" s="11">
        <v>-0.49049431085586548</v>
      </c>
      <c r="CQ7" s="11">
        <v>1.5444015152752399E-2</v>
      </c>
      <c r="CR7">
        <v>29.636048551293097</v>
      </c>
      <c r="CS7">
        <v>4.4120350243354549</v>
      </c>
      <c r="CT7">
        <v>0</v>
      </c>
      <c r="CU7" s="10">
        <v>-6.7170927673578268E-2</v>
      </c>
      <c r="CV7" s="11">
        <v>-0.75156248863786457</v>
      </c>
      <c r="CW7">
        <v>0.06</v>
      </c>
      <c r="CX7" t="e">
        <v>#VALUE!</v>
      </c>
      <c r="CY7" t="s">
        <v>475</v>
      </c>
      <c r="CZ7">
        <v>-6.7170927673578268E-2</v>
      </c>
      <c r="DA7" t="e">
        <v>#VALUE!</v>
      </c>
      <c r="DB7" t="s">
        <v>475</v>
      </c>
      <c r="DC7">
        <v>-6.3812381289899356E-2</v>
      </c>
      <c r="DD7" t="e">
        <v>#VALUE!</v>
      </c>
      <c r="DE7" t="s">
        <v>475</v>
      </c>
      <c r="DF7">
        <v>-5.9110416352748878E-2</v>
      </c>
      <c r="DG7" t="e">
        <v>#VALUE!</v>
      </c>
      <c r="DH7" t="s">
        <v>475</v>
      </c>
      <c r="DI7">
        <v>-5.373674213886262E-2</v>
      </c>
      <c r="DJ7" t="e">
        <v>#VALUE!</v>
      </c>
      <c r="DK7" t="s">
        <v>475</v>
      </c>
      <c r="DL7">
        <v>-4.7019649371504782E-2</v>
      </c>
      <c r="DM7">
        <v>-124000000</v>
      </c>
      <c r="DN7">
        <v>-6.7170927673578268E-2</v>
      </c>
      <c r="DO7">
        <v>964669300</v>
      </c>
      <c r="DP7">
        <v>1385094500</v>
      </c>
      <c r="DQ7">
        <v>1627</v>
      </c>
      <c r="DR7">
        <v>-0.12782907232642174</v>
      </c>
      <c r="DS7">
        <v>0.90774745252401934</v>
      </c>
      <c r="DT7" s="12">
        <v>-0.44</v>
      </c>
      <c r="DU7">
        <v>-0.94333333333333347</v>
      </c>
      <c r="DV7">
        <v>-1.3833333333333335</v>
      </c>
      <c r="DW7">
        <v>-3.0523630952380953</v>
      </c>
      <c r="DX7">
        <v>0.35008853503184811</v>
      </c>
      <c r="DY7">
        <v>-3.0041936835873519</v>
      </c>
      <c r="DZ7">
        <v>3936</v>
      </c>
      <c r="EA7">
        <v>-3.0009634803388554</v>
      </c>
      <c r="EB7">
        <v>3</v>
      </c>
      <c r="EC7">
        <v>4.6866630185149083E-2</v>
      </c>
      <c r="ED7">
        <v>0.58518525986912606</v>
      </c>
      <c r="EE7" s="15">
        <v>-4.0107099999999996</v>
      </c>
      <c r="EF7">
        <v>-4.02691</v>
      </c>
      <c r="EG7">
        <v>27.080088535031848</v>
      </c>
      <c r="EH7" t="s">
        <v>620</v>
      </c>
      <c r="EI7">
        <v>0</v>
      </c>
      <c r="EJ7">
        <v>0</v>
      </c>
      <c r="EK7" s="14">
        <v>45470</v>
      </c>
      <c r="EL7" s="16">
        <v>3.28</v>
      </c>
      <c r="EM7" s="16">
        <v>-2.27</v>
      </c>
      <c r="EN7" s="16">
        <v>-1.62</v>
      </c>
      <c r="EO7" s="16">
        <v>2.12</v>
      </c>
      <c r="EP7" s="16">
        <v>-1.62</v>
      </c>
    </row>
    <row r="8" spans="1:146" ht="108" x14ac:dyDescent="0.25">
      <c r="A8" s="7"/>
      <c r="B8" s="7"/>
      <c r="C8" s="7" t="str">
        <f>""&amp;CHAR(10)&amp;Basic_Fundamental_Information_Constructure(F8)&amp;CHAR(10)&amp;Basic_Fundamental_Information_Concatenate("")</f>
        <v xml:space="preserve">
市值11.4602201亿, 利润-4677.87万; PE; 平均PE-28.11; 平均PEG-3.46, PB1.68; ROIC6.135%; ROE.2533%; 股利率0%; 毛利17.45%; 净利-.3733%; 上一年度营收增-29.72%, 利润增60.02%; 当季营收增-78.53%, 利润增-310.89%; 过往5年营收增8.12%, 利润增-73.24%
Income profile:
</v>
      </c>
      <c r="D8" t="s">
        <v>265</v>
      </c>
      <c r="E8" t="s">
        <v>266</v>
      </c>
      <c r="F8">
        <v>3.44</v>
      </c>
      <c r="G8">
        <v>2.38</v>
      </c>
      <c r="H8" t="s">
        <v>756</v>
      </c>
      <c r="I8">
        <v>1146022010</v>
      </c>
      <c r="K8">
        <v>1.68</v>
      </c>
      <c r="L8" t="s">
        <v>382</v>
      </c>
      <c r="M8" t="s">
        <v>757</v>
      </c>
      <c r="N8" t="s">
        <v>758</v>
      </c>
      <c r="O8" t="s">
        <v>759</v>
      </c>
      <c r="P8">
        <v>-78.52</v>
      </c>
      <c r="Q8" t="s">
        <v>760</v>
      </c>
      <c r="R8">
        <v>-22635132</v>
      </c>
      <c r="S8" s="5">
        <v>-3.109</v>
      </c>
      <c r="T8" t="s">
        <v>761</v>
      </c>
      <c r="U8">
        <v>288560380</v>
      </c>
      <c r="V8">
        <v>333145930</v>
      </c>
      <c r="W8">
        <v>4.1399999999999997</v>
      </c>
      <c r="X8">
        <v>0.02</v>
      </c>
      <c r="Y8">
        <v>-35.86</v>
      </c>
      <c r="Z8" t="s">
        <v>762</v>
      </c>
      <c r="AA8" t="s">
        <v>763</v>
      </c>
      <c r="AB8" t="s">
        <v>764</v>
      </c>
      <c r="AC8" t="s">
        <v>765</v>
      </c>
      <c r="AD8" t="s">
        <v>9</v>
      </c>
      <c r="AE8">
        <v>10337864</v>
      </c>
      <c r="AF8" t="s">
        <v>766</v>
      </c>
      <c r="AG8">
        <v>7056.65</v>
      </c>
      <c r="AH8" t="s">
        <v>767</v>
      </c>
      <c r="AI8" t="s">
        <v>321</v>
      </c>
      <c r="AJ8" t="s">
        <v>768</v>
      </c>
      <c r="AK8" t="s">
        <v>769</v>
      </c>
      <c r="AL8" t="s">
        <v>770</v>
      </c>
      <c r="AM8" t="s">
        <v>9</v>
      </c>
      <c r="AN8" t="s">
        <v>771</v>
      </c>
      <c r="AO8" t="s">
        <v>74</v>
      </c>
      <c r="AP8" t="s">
        <v>43</v>
      </c>
      <c r="AQ8" t="s">
        <v>179</v>
      </c>
      <c r="AR8" t="s">
        <v>9</v>
      </c>
      <c r="AS8" t="s">
        <v>772</v>
      </c>
      <c r="AT8" t="s">
        <v>603</v>
      </c>
      <c r="AU8" t="s">
        <v>773</v>
      </c>
      <c r="AV8" t="s">
        <v>774</v>
      </c>
      <c r="AW8" t="s">
        <v>82</v>
      </c>
      <c r="AX8" t="s">
        <v>535</v>
      </c>
      <c r="AY8" t="s">
        <v>348</v>
      </c>
      <c r="AZ8" t="s">
        <v>267</v>
      </c>
      <c r="BA8" t="s">
        <v>48</v>
      </c>
      <c r="BB8" t="s">
        <v>271</v>
      </c>
      <c r="BC8" t="s">
        <v>506</v>
      </c>
      <c r="BD8" t="s">
        <v>106</v>
      </c>
      <c r="BE8" t="s">
        <v>268</v>
      </c>
      <c r="BF8" t="s">
        <v>272</v>
      </c>
      <c r="BG8" t="s">
        <v>273</v>
      </c>
      <c r="BH8" t="s">
        <v>760</v>
      </c>
      <c r="BI8" t="s">
        <v>211</v>
      </c>
      <c r="BJ8" t="s">
        <v>535</v>
      </c>
      <c r="BK8" t="s">
        <v>761</v>
      </c>
      <c r="BL8" t="s">
        <v>775</v>
      </c>
      <c r="BM8" t="s">
        <v>506</v>
      </c>
      <c r="BN8">
        <v>1.1399999999999999</v>
      </c>
      <c r="BO8" t="s">
        <v>9</v>
      </c>
      <c r="BP8">
        <v>11.13</v>
      </c>
      <c r="BQ8">
        <v>0.15</v>
      </c>
      <c r="BR8">
        <v>-12.6</v>
      </c>
      <c r="BS8">
        <v>13.21</v>
      </c>
      <c r="BT8" t="s">
        <v>513</v>
      </c>
      <c r="BU8" t="s">
        <v>382</v>
      </c>
      <c r="BV8">
        <v>15.03</v>
      </c>
      <c r="BW8">
        <v>17.059999999999999</v>
      </c>
      <c r="BX8">
        <v>20.260000000000002</v>
      </c>
      <c r="BY8">
        <v>-3.45</v>
      </c>
      <c r="BZ8">
        <v>-6.16</v>
      </c>
      <c r="CA8">
        <v>8.49</v>
      </c>
      <c r="CB8">
        <v>2.08</v>
      </c>
      <c r="CC8">
        <v>-17.11</v>
      </c>
      <c r="CD8" t="s">
        <v>776</v>
      </c>
      <c r="CE8" t="s">
        <v>178</v>
      </c>
      <c r="CF8" s="10">
        <v>-0.78528986486486485</v>
      </c>
      <c r="CG8" s="11">
        <v>-3.108869779098693</v>
      </c>
      <c r="CH8" s="10">
        <v>-0.29722225666046143</v>
      </c>
      <c r="CI8" s="10">
        <v>-6.6225165501236916E-3</v>
      </c>
      <c r="CJ8" s="10">
        <v>0.21774193644523621</v>
      </c>
      <c r="CK8" s="10">
        <v>0.19710372388362885</v>
      </c>
      <c r="CL8" s="10">
        <v>0.29479172825813293</v>
      </c>
      <c r="CM8" s="11">
        <v>0.60018199682235718</v>
      </c>
      <c r="CN8" s="11">
        <v>-1.9590164422988892</v>
      </c>
      <c r="CO8" s="11">
        <v>1.3630952835083008</v>
      </c>
      <c r="CP8" s="11">
        <v>-4.7399616241455078</v>
      </c>
      <c r="CQ8" s="11">
        <v>1.0738612413406372</v>
      </c>
      <c r="CR8">
        <v>-28.109696269036839</v>
      </c>
      <c r="CS8">
        <v>-3.4635544369089009</v>
      </c>
      <c r="CT8">
        <v>0</v>
      </c>
      <c r="CU8" s="10">
        <v>8.1158523075282568E-2</v>
      </c>
      <c r="CV8" s="11">
        <v>-0.73236790895462034</v>
      </c>
      <c r="CW8">
        <v>0.06</v>
      </c>
      <c r="CX8" t="e">
        <v>#VALUE!</v>
      </c>
      <c r="CY8" t="s">
        <v>474</v>
      </c>
      <c r="CZ8">
        <v>8.1158523075282568E-2</v>
      </c>
      <c r="DA8" t="e">
        <v>#VALUE!</v>
      </c>
      <c r="DB8" t="s">
        <v>475</v>
      </c>
      <c r="DC8">
        <v>7.7100596921518438E-2</v>
      </c>
      <c r="DD8" t="e">
        <v>#VALUE!</v>
      </c>
      <c r="DE8" t="s">
        <v>475</v>
      </c>
      <c r="DF8">
        <v>7.1419500306248662E-2</v>
      </c>
      <c r="DG8" t="e">
        <v>#VALUE!</v>
      </c>
      <c r="DH8" t="s">
        <v>475</v>
      </c>
      <c r="DI8">
        <v>6.4926818460226063E-2</v>
      </c>
      <c r="DJ8" t="e">
        <v>#VALUE!</v>
      </c>
      <c r="DK8" t="s">
        <v>475</v>
      </c>
      <c r="DL8">
        <v>5.6810966152697796E-2</v>
      </c>
      <c r="DM8">
        <v>-46778700</v>
      </c>
      <c r="DN8">
        <v>8.1158523075282568E-2</v>
      </c>
      <c r="DO8">
        <v>2871022010</v>
      </c>
      <c r="DP8">
        <v>135926100</v>
      </c>
      <c r="DQ8">
        <v>1858</v>
      </c>
      <c r="DR8">
        <v>-0.86644838794014745</v>
      </c>
      <c r="DS8">
        <v>-2.3765018701440725</v>
      </c>
      <c r="DT8" s="12">
        <v>-0.25666666666666677</v>
      </c>
      <c r="DU8">
        <v>-1.8816666666666668</v>
      </c>
      <c r="DV8">
        <v>-2.1383333333333336</v>
      </c>
      <c r="DW8">
        <v>-3.0125535714285716</v>
      </c>
      <c r="DX8">
        <v>0.32679230769230699</v>
      </c>
      <c r="DY8">
        <v>-3.0017172320054946</v>
      </c>
      <c r="DZ8">
        <v>4488</v>
      </c>
      <c r="EA8">
        <v>-3.0002090251090836</v>
      </c>
      <c r="EB8">
        <v>3</v>
      </c>
      <c r="EC8">
        <v>4.2703208170665634E-2</v>
      </c>
      <c r="ED8">
        <v>0.31217550819246087</v>
      </c>
      <c r="EE8" s="15">
        <v>-6.08291</v>
      </c>
      <c r="EF8">
        <v>-6.1003100000000003</v>
      </c>
      <c r="EG8">
        <v>19.136792307692307</v>
      </c>
      <c r="EH8" t="s">
        <v>777</v>
      </c>
      <c r="EI8">
        <v>0</v>
      </c>
      <c r="EJ8">
        <v>0</v>
      </c>
      <c r="EK8" s="14">
        <v>45470</v>
      </c>
      <c r="EL8" s="16">
        <v>-0.87</v>
      </c>
      <c r="EM8" s="16">
        <v>-5.54</v>
      </c>
      <c r="EN8" s="16">
        <v>2.78</v>
      </c>
      <c r="EO8" s="16">
        <v>3.6</v>
      </c>
      <c r="EP8" s="16">
        <v>-1.74</v>
      </c>
    </row>
    <row r="9" spans="1:146" ht="108" x14ac:dyDescent="0.25">
      <c r="A9" s="7"/>
      <c r="B9" s="7"/>
      <c r="C9" s="7" t="str">
        <f>""&amp;CHAR(10)&amp;Basic_Fundamental_Information_Constructure(F9)&amp;CHAR(10)&amp;Basic_Fundamental_Information_Concatenate("")</f>
        <v xml:space="preserve">
市值23.833277亿, 利润4535.05万; PE43.96; 平均PE40.59; 平均PEG3.81, PB1.93; ROIC4.2167%; ROE4.18%; 股利率.9444%; 毛利30.02%; 净利9.08%; 上一年度营收增2.16%, 利润增4.8%; 当季营收增-40.34%, 利润增172.06%; 过往5年营收增10.65%, 利润增.19%
Income profile:
</v>
      </c>
      <c r="D9" t="s">
        <v>89</v>
      </c>
      <c r="E9" t="s">
        <v>6</v>
      </c>
      <c r="F9">
        <v>19.059999999999999</v>
      </c>
      <c r="G9">
        <v>1.71</v>
      </c>
      <c r="H9" t="s">
        <v>778</v>
      </c>
      <c r="I9">
        <v>2383327700</v>
      </c>
      <c r="J9">
        <v>43.96</v>
      </c>
      <c r="K9">
        <v>1.93</v>
      </c>
      <c r="L9" t="s">
        <v>382</v>
      </c>
      <c r="M9" t="s">
        <v>779</v>
      </c>
      <c r="N9" t="s">
        <v>780</v>
      </c>
      <c r="O9" t="s">
        <v>781</v>
      </c>
      <c r="P9">
        <v>-40.35</v>
      </c>
      <c r="Q9" t="s">
        <v>192</v>
      </c>
      <c r="R9">
        <v>14026239</v>
      </c>
      <c r="S9" s="5">
        <v>1.7210000000000001</v>
      </c>
      <c r="T9" t="s">
        <v>782</v>
      </c>
      <c r="U9">
        <v>119265656</v>
      </c>
      <c r="V9">
        <v>125043424</v>
      </c>
      <c r="W9">
        <v>1.49</v>
      </c>
      <c r="X9">
        <v>0.04</v>
      </c>
      <c r="Y9">
        <v>17.34</v>
      </c>
      <c r="Z9" t="s">
        <v>783</v>
      </c>
      <c r="AA9" t="s">
        <v>784</v>
      </c>
      <c r="AB9" t="s">
        <v>785</v>
      </c>
      <c r="AC9" t="s">
        <v>786</v>
      </c>
      <c r="AD9" t="s">
        <v>9</v>
      </c>
      <c r="AE9">
        <v>-86672</v>
      </c>
      <c r="AF9" t="s">
        <v>787</v>
      </c>
      <c r="AG9" t="s">
        <v>788</v>
      </c>
      <c r="AH9" t="s">
        <v>789</v>
      </c>
      <c r="AI9" t="s">
        <v>243</v>
      </c>
      <c r="AJ9" t="s">
        <v>790</v>
      </c>
      <c r="AK9" t="s">
        <v>791</v>
      </c>
      <c r="AL9" t="s">
        <v>792</v>
      </c>
      <c r="AM9" t="s">
        <v>9</v>
      </c>
      <c r="AN9" t="s">
        <v>793</v>
      </c>
      <c r="AO9" t="s">
        <v>794</v>
      </c>
      <c r="AP9" t="s">
        <v>795</v>
      </c>
      <c r="AQ9" t="s">
        <v>153</v>
      </c>
      <c r="AR9" t="s">
        <v>796</v>
      </c>
      <c r="AS9" t="s">
        <v>195</v>
      </c>
      <c r="AT9" t="s">
        <v>797</v>
      </c>
      <c r="AU9" t="s">
        <v>798</v>
      </c>
      <c r="AV9" t="s">
        <v>799</v>
      </c>
      <c r="AW9" t="s">
        <v>800</v>
      </c>
      <c r="AX9" t="s">
        <v>536</v>
      </c>
      <c r="AY9" t="s">
        <v>352</v>
      </c>
      <c r="AZ9" t="s">
        <v>69</v>
      </c>
      <c r="BA9" t="s">
        <v>90</v>
      </c>
      <c r="BB9" t="s">
        <v>199</v>
      </c>
      <c r="BC9" t="s">
        <v>537</v>
      </c>
      <c r="BD9" t="s">
        <v>353</v>
      </c>
      <c r="BE9" t="s">
        <v>198</v>
      </c>
      <c r="BF9" t="s">
        <v>91</v>
      </c>
      <c r="BG9" t="s">
        <v>200</v>
      </c>
      <c r="BH9" t="s">
        <v>192</v>
      </c>
      <c r="BI9" t="s">
        <v>43</v>
      </c>
      <c r="BJ9" t="s">
        <v>536</v>
      </c>
      <c r="BK9" t="s">
        <v>782</v>
      </c>
      <c r="BL9" t="s">
        <v>801</v>
      </c>
      <c r="BM9" t="s">
        <v>537</v>
      </c>
      <c r="BN9">
        <v>0.86</v>
      </c>
      <c r="BO9">
        <v>3.65</v>
      </c>
      <c r="BP9">
        <v>8.14</v>
      </c>
      <c r="BQ9">
        <v>0.96</v>
      </c>
      <c r="BR9">
        <v>3.66</v>
      </c>
      <c r="BS9">
        <v>7.92</v>
      </c>
      <c r="BT9" t="s">
        <v>519</v>
      </c>
      <c r="BU9" t="s">
        <v>382</v>
      </c>
      <c r="BV9">
        <v>30.5</v>
      </c>
      <c r="BW9">
        <v>22.53</v>
      </c>
      <c r="BX9">
        <v>37.03</v>
      </c>
      <c r="BY9">
        <v>5.99</v>
      </c>
      <c r="BZ9">
        <v>5.83</v>
      </c>
      <c r="CA9">
        <v>15.42</v>
      </c>
      <c r="CB9">
        <v>-0.47</v>
      </c>
      <c r="CC9">
        <v>-12.25</v>
      </c>
      <c r="CD9" t="s">
        <v>802</v>
      </c>
      <c r="CE9" t="s">
        <v>803</v>
      </c>
      <c r="CF9" s="10">
        <v>-0.40343161764705882</v>
      </c>
      <c r="CG9" s="11">
        <v>1.7205832492823341</v>
      </c>
      <c r="CH9" s="10">
        <v>2.1592441946268082E-2</v>
      </c>
      <c r="CI9" s="10">
        <v>0.37222221493721008</v>
      </c>
      <c r="CJ9" s="10">
        <v>1.6949152573943138E-2</v>
      </c>
      <c r="CK9" s="10">
        <v>7.4898786842823029E-2</v>
      </c>
      <c r="CL9" s="10">
        <v>4.6610169112682343E-2</v>
      </c>
      <c r="CM9" s="11">
        <v>4.7980088740587234E-2</v>
      </c>
      <c r="CN9" s="11">
        <v>-0.38289299607276917</v>
      </c>
      <c r="CO9" s="11">
        <v>-0.15240021049976349</v>
      </c>
      <c r="CP9" s="11">
        <v>0.48228412866592407</v>
      </c>
      <c r="CQ9" s="11">
        <v>1.4655997045338154E-2</v>
      </c>
      <c r="CR9">
        <v>40.589803022613403</v>
      </c>
      <c r="CS9">
        <v>3.812876184931671</v>
      </c>
      <c r="CT9">
        <v>0.94438614900314799</v>
      </c>
      <c r="CU9" s="10">
        <v>0.10645455308258533</v>
      </c>
      <c r="CV9" s="11">
        <v>1.9254015758633613E-3</v>
      </c>
      <c r="CW9">
        <v>0.06</v>
      </c>
      <c r="CX9">
        <v>38.981963124204356</v>
      </c>
      <c r="CY9">
        <v>47337987.933558293</v>
      </c>
      <c r="CZ9">
        <v>0.10645455308258533</v>
      </c>
      <c r="DA9">
        <v>12.56300361581969</v>
      </c>
      <c r="DB9">
        <v>146885868.73256257</v>
      </c>
      <c r="DC9">
        <v>0.10113182542845606</v>
      </c>
      <c r="DD9">
        <v>6.0698124234067254</v>
      </c>
      <c r="DE9">
        <v>304017253.1335485</v>
      </c>
      <c r="DF9">
        <v>9.3680006712675096E-2</v>
      </c>
      <c r="DG9">
        <v>3.5683234662376084</v>
      </c>
      <c r="DH9">
        <v>517141373.94211304</v>
      </c>
      <c r="DI9">
        <v>8.5163642466068279E-2</v>
      </c>
      <c r="DJ9">
        <v>1.7583006111657993</v>
      </c>
      <c r="DK9">
        <v>1049495000.0480859</v>
      </c>
      <c r="DL9">
        <v>7.4518187157809723E-2</v>
      </c>
      <c r="DM9">
        <v>45350500</v>
      </c>
      <c r="DN9">
        <v>0.10645455308258533</v>
      </c>
      <c r="DO9">
        <v>1845327700</v>
      </c>
      <c r="DP9">
        <v>668450240</v>
      </c>
      <c r="DQ9">
        <v>2098</v>
      </c>
      <c r="DR9">
        <v>-0.50988617072964415</v>
      </c>
      <c r="DS9">
        <v>1.7186578477064707</v>
      </c>
      <c r="DT9" s="12">
        <v>-0.28999999999999998</v>
      </c>
      <c r="DU9">
        <v>-0.16666666666666666</v>
      </c>
      <c r="DV9">
        <v>-0.45666666666666667</v>
      </c>
      <c r="DW9">
        <v>-2.1225000000000001</v>
      </c>
      <c r="DX9">
        <v>0.38857775918142207</v>
      </c>
      <c r="DY9">
        <v>-2.0390257754997241</v>
      </c>
      <c r="DZ9">
        <v>2799</v>
      </c>
      <c r="EA9">
        <v>-2.0176494260625955</v>
      </c>
      <c r="EB9">
        <v>2</v>
      </c>
      <c r="EC9">
        <v>0.1071659713988638</v>
      </c>
      <c r="ED9">
        <v>0.33638874124240231</v>
      </c>
      <c r="EE9" s="15">
        <v>-3.0144000000000002</v>
      </c>
      <c r="EF9">
        <v>-3.0030100000000002</v>
      </c>
      <c r="EG9">
        <v>7.3185777591814221</v>
      </c>
      <c r="EH9" t="s">
        <v>804</v>
      </c>
      <c r="EI9">
        <v>0</v>
      </c>
      <c r="EJ9">
        <v>0</v>
      </c>
      <c r="EK9" s="14">
        <v>45470</v>
      </c>
      <c r="EL9" s="16">
        <v>-0.36</v>
      </c>
      <c r="EM9" s="16">
        <v>-4.28</v>
      </c>
      <c r="EN9" s="16">
        <v>0.11</v>
      </c>
      <c r="EO9" s="16">
        <v>3.56</v>
      </c>
      <c r="EP9" s="16">
        <v>-1.74</v>
      </c>
    </row>
    <row r="10" spans="1:146" ht="108" x14ac:dyDescent="0.25">
      <c r="A10" s="7"/>
      <c r="B10" s="7"/>
      <c r="C10" s="7" t="str">
        <f>""&amp;CHAR(10)&amp;Basic_Fundamental_Information_Constructure(F10)&amp;CHAR(10)&amp;Basic_Fundamental_Information_Concatenate("")</f>
        <v xml:space="preserve">
市值19.560888亿, 利润-2913.73万; PE; 平均PE42.29; 平均PEG5.55, PB1.61; ROIC4.12%; ROE2.95%; 股利率0%; 毛利32.32%; 净利4.5567%; 上一年度营收增36.52%, 利润增-262.75%; 当季营收增46.23%, 利润增-385.88%; 过往5年营收增7.62%, 利润增-62.97%
Income profile:
</v>
      </c>
      <c r="D10" t="s">
        <v>276</v>
      </c>
      <c r="E10" t="s">
        <v>277</v>
      </c>
      <c r="F10">
        <v>10.63</v>
      </c>
      <c r="G10">
        <v>-2.48</v>
      </c>
      <c r="H10" t="s">
        <v>805</v>
      </c>
      <c r="I10">
        <v>1956088800</v>
      </c>
      <c r="K10">
        <v>1.61</v>
      </c>
      <c r="L10" t="s">
        <v>382</v>
      </c>
      <c r="M10" t="s">
        <v>170</v>
      </c>
      <c r="N10" t="s">
        <v>604</v>
      </c>
      <c r="O10" t="s">
        <v>806</v>
      </c>
      <c r="P10">
        <v>46.23</v>
      </c>
      <c r="Q10" t="s">
        <v>261</v>
      </c>
      <c r="R10">
        <v>-4287847</v>
      </c>
      <c r="S10" s="5">
        <v>-3.859</v>
      </c>
      <c r="T10" t="s">
        <v>807</v>
      </c>
      <c r="U10">
        <v>143885440</v>
      </c>
      <c r="V10">
        <v>184015880</v>
      </c>
      <c r="W10">
        <v>1.41</v>
      </c>
      <c r="X10">
        <v>0.06</v>
      </c>
      <c r="Y10">
        <v>-5.45</v>
      </c>
      <c r="Z10" t="s">
        <v>808</v>
      </c>
      <c r="AA10" t="s">
        <v>809</v>
      </c>
      <c r="AB10" t="s">
        <v>810</v>
      </c>
      <c r="AC10" t="s">
        <v>811</v>
      </c>
      <c r="AD10" t="s">
        <v>9</v>
      </c>
      <c r="AE10">
        <v>1092516</v>
      </c>
      <c r="AF10" t="s">
        <v>812</v>
      </c>
      <c r="AG10" t="s">
        <v>813</v>
      </c>
      <c r="AH10" t="s">
        <v>814</v>
      </c>
      <c r="AI10" t="s">
        <v>32</v>
      </c>
      <c r="AJ10" t="s">
        <v>815</v>
      </c>
      <c r="AK10" t="s">
        <v>816</v>
      </c>
      <c r="AL10" t="s">
        <v>817</v>
      </c>
      <c r="AM10" t="s">
        <v>9</v>
      </c>
      <c r="AN10" t="s">
        <v>818</v>
      </c>
      <c r="AO10" t="s">
        <v>819</v>
      </c>
      <c r="AP10" t="s">
        <v>9</v>
      </c>
      <c r="AQ10" t="s">
        <v>88</v>
      </c>
      <c r="AR10" t="s">
        <v>9</v>
      </c>
      <c r="AS10" t="s">
        <v>571</v>
      </c>
      <c r="AT10" t="s">
        <v>820</v>
      </c>
      <c r="AU10" t="s">
        <v>821</v>
      </c>
      <c r="AV10" t="s">
        <v>822</v>
      </c>
      <c r="AW10" t="s">
        <v>823</v>
      </c>
      <c r="AX10" t="s">
        <v>497</v>
      </c>
      <c r="AY10" t="s">
        <v>246</v>
      </c>
      <c r="AZ10" t="s">
        <v>105</v>
      </c>
      <c r="BA10" t="s">
        <v>202</v>
      </c>
      <c r="BB10" t="s">
        <v>274</v>
      </c>
      <c r="BC10" t="s">
        <v>824</v>
      </c>
      <c r="BD10" t="s">
        <v>355</v>
      </c>
      <c r="BE10" t="s">
        <v>278</v>
      </c>
      <c r="BF10" t="s">
        <v>279</v>
      </c>
      <c r="BG10" t="s">
        <v>280</v>
      </c>
      <c r="BH10" t="s">
        <v>261</v>
      </c>
      <c r="BI10" t="s">
        <v>825</v>
      </c>
      <c r="BJ10" t="s">
        <v>497</v>
      </c>
      <c r="BK10" t="s">
        <v>807</v>
      </c>
      <c r="BL10" t="s">
        <v>826</v>
      </c>
      <c r="BM10" t="s">
        <v>824</v>
      </c>
      <c r="BN10" t="s">
        <v>9</v>
      </c>
      <c r="BO10">
        <v>1.28</v>
      </c>
      <c r="BP10">
        <v>6.96</v>
      </c>
      <c r="BQ10">
        <v>-0.37</v>
      </c>
      <c r="BR10">
        <v>1.45</v>
      </c>
      <c r="BS10">
        <v>7.77</v>
      </c>
      <c r="BT10" t="s">
        <v>513</v>
      </c>
      <c r="BU10" t="s">
        <v>382</v>
      </c>
      <c r="BV10">
        <v>24.19</v>
      </c>
      <c r="BW10">
        <v>37.340000000000003</v>
      </c>
      <c r="BX10">
        <v>35.43</v>
      </c>
      <c r="BY10">
        <v>-7.72</v>
      </c>
      <c r="BZ10">
        <v>6.06</v>
      </c>
      <c r="CA10">
        <v>15.33</v>
      </c>
      <c r="CB10">
        <v>-13.3</v>
      </c>
      <c r="CC10">
        <v>-17.98</v>
      </c>
      <c r="CD10" t="s">
        <v>827</v>
      </c>
      <c r="CE10" t="s">
        <v>181</v>
      </c>
      <c r="CF10" s="10">
        <v>0.46233954000459754</v>
      </c>
      <c r="CG10" s="11">
        <v>-3.8587552503500233</v>
      </c>
      <c r="CH10" s="10">
        <v>0.36518770456314087</v>
      </c>
      <c r="CI10" s="10">
        <v>-0.40927419066429138</v>
      </c>
      <c r="CJ10" s="10">
        <v>0.23383083939552307</v>
      </c>
      <c r="CK10" s="10">
        <v>7.774798572063446E-2</v>
      </c>
      <c r="CL10" s="10">
        <v>0.11343283951282501</v>
      </c>
      <c r="CM10" s="11">
        <v>-2.6275002956390381</v>
      </c>
      <c r="CN10" s="11">
        <v>-0.76452243328094482</v>
      </c>
      <c r="CO10" s="11">
        <v>-4.9484342336654663E-2</v>
      </c>
      <c r="CP10" s="11">
        <v>0.11355669051408768</v>
      </c>
      <c r="CQ10" s="11">
        <v>0.17935776710510254</v>
      </c>
      <c r="CR10">
        <v>42.291053448405712</v>
      </c>
      <c r="CS10">
        <v>5.5510971487693013</v>
      </c>
      <c r="CT10">
        <v>0</v>
      </c>
      <c r="CU10" s="10">
        <v>7.6185035705566409E-2</v>
      </c>
      <c r="CV10" s="11">
        <v>-0.62971852272748952</v>
      </c>
      <c r="CW10">
        <v>0.06</v>
      </c>
      <c r="CX10" t="e">
        <v>#VALUE!</v>
      </c>
      <c r="CY10" t="s">
        <v>474</v>
      </c>
      <c r="CZ10">
        <v>7.6185035705566409E-2</v>
      </c>
      <c r="DA10" t="e">
        <v>#VALUE!</v>
      </c>
      <c r="DB10" t="s">
        <v>475</v>
      </c>
      <c r="DC10">
        <v>7.2375783920288081E-2</v>
      </c>
      <c r="DD10" t="e">
        <v>#VALUE!</v>
      </c>
      <c r="DE10" t="s">
        <v>475</v>
      </c>
      <c r="DF10">
        <v>6.7042831420898438E-2</v>
      </c>
      <c r="DG10" t="e">
        <v>#VALUE!</v>
      </c>
      <c r="DH10" t="s">
        <v>475</v>
      </c>
      <c r="DI10">
        <v>6.0948028564453131E-2</v>
      </c>
      <c r="DJ10" t="e">
        <v>#VALUE!</v>
      </c>
      <c r="DK10" t="s">
        <v>475</v>
      </c>
      <c r="DL10">
        <v>5.3329524993896482E-2</v>
      </c>
      <c r="DM10">
        <v>-29137300</v>
      </c>
      <c r="DN10">
        <v>7.6185035705566409E-2</v>
      </c>
      <c r="DO10">
        <v>1215088800</v>
      </c>
      <c r="DP10">
        <v>507305940</v>
      </c>
      <c r="DQ10">
        <v>2244</v>
      </c>
      <c r="DR10">
        <v>0.38615450429903114</v>
      </c>
      <c r="DS10">
        <v>-3.2290367276225336</v>
      </c>
      <c r="DT10" s="12">
        <v>-0.28999999999999998</v>
      </c>
      <c r="DU10">
        <v>-1.8483333333333336</v>
      </c>
      <c r="DV10">
        <v>-2.1383333333333336</v>
      </c>
      <c r="DW10">
        <v>-9.7397107897664075</v>
      </c>
      <c r="DX10">
        <v>0.28237559681697544</v>
      </c>
      <c r="DY10">
        <v>-9.0535370098812997</v>
      </c>
      <c r="DZ10">
        <v>3279</v>
      </c>
      <c r="EA10">
        <v>-9.0191832221316357</v>
      </c>
      <c r="EB10">
        <v>9</v>
      </c>
      <c r="EC10">
        <v>0.14827850726795971</v>
      </c>
      <c r="ED10">
        <v>2.0487362286341808</v>
      </c>
      <c r="EE10" s="15">
        <v>4.53E-2</v>
      </c>
      <c r="EF10">
        <v>3.3100000000000004E-2</v>
      </c>
      <c r="EG10">
        <v>21.072375596816975</v>
      </c>
      <c r="EH10" t="s">
        <v>476</v>
      </c>
      <c r="EI10">
        <v>0</v>
      </c>
      <c r="EJ10">
        <v>0</v>
      </c>
      <c r="EK10" s="14">
        <v>45470</v>
      </c>
      <c r="EL10" s="16">
        <v>0.65</v>
      </c>
      <c r="EM10" s="16">
        <v>-6.17</v>
      </c>
      <c r="EN10" s="16">
        <v>-0.38</v>
      </c>
      <c r="EO10" s="16">
        <v>8.49</v>
      </c>
      <c r="EP10" s="16">
        <v>-1.22</v>
      </c>
    </row>
    <row r="11" spans="1:146" ht="108" x14ac:dyDescent="0.25">
      <c r="A11" s="7" t="s">
        <v>239</v>
      </c>
      <c r="B11" s="7"/>
      <c r="C11" s="7" t="str">
        <f>""&amp;CHAR(10)&amp;Basic_Fundamental_Information_Constructure(F11)&amp;CHAR(10)&amp;Basic_Fundamental_Information_Concatenate("")</f>
        <v xml:space="preserve">
市值23.320762亿, 利润1.42亿; PE47.04; 平均PE12.41; 平均PEG.19, PB1.14; ROIC5.4267%; ROE5.9933%; 股利率1.8477%; 毛利38.6667%; 净利15.43%; 上一年度营收增325.05%, 利润增143.55%; 当季营收增-68.09%, 利润增-57.11%; 过往5年营收增64.94%, 利润增20.93%
Income profile:
</v>
      </c>
      <c r="D11" t="s">
        <v>95</v>
      </c>
      <c r="E11" t="s">
        <v>96</v>
      </c>
      <c r="F11">
        <v>9.85</v>
      </c>
      <c r="G11">
        <v>2.1800000000000002</v>
      </c>
      <c r="H11" t="s">
        <v>615</v>
      </c>
      <c r="I11">
        <v>2332076200</v>
      </c>
      <c r="J11">
        <v>47.04</v>
      </c>
      <c r="K11">
        <v>1.1399999999999999</v>
      </c>
      <c r="L11" t="s">
        <v>382</v>
      </c>
      <c r="M11" t="s">
        <v>176</v>
      </c>
      <c r="N11" t="s">
        <v>828</v>
      </c>
      <c r="O11" t="s">
        <v>32</v>
      </c>
      <c r="P11">
        <v>25.98</v>
      </c>
      <c r="Q11" t="s">
        <v>829</v>
      </c>
      <c r="R11">
        <v>13783352</v>
      </c>
      <c r="S11" s="5">
        <v>0.2137</v>
      </c>
      <c r="T11" t="s">
        <v>50</v>
      </c>
      <c r="U11">
        <v>234381500</v>
      </c>
      <c r="V11">
        <v>236759000</v>
      </c>
      <c r="W11">
        <v>1.1599999999999999</v>
      </c>
      <c r="X11">
        <v>7.0000000000000007E-2</v>
      </c>
      <c r="Y11">
        <v>8.14</v>
      </c>
      <c r="Z11" t="s">
        <v>98</v>
      </c>
      <c r="AA11" t="s">
        <v>55</v>
      </c>
      <c r="AB11" t="s">
        <v>830</v>
      </c>
      <c r="AC11" t="s">
        <v>831</v>
      </c>
      <c r="AD11" t="s">
        <v>9</v>
      </c>
      <c r="AE11">
        <v>-2155461</v>
      </c>
      <c r="AF11" t="s">
        <v>832</v>
      </c>
      <c r="AG11" t="s">
        <v>833</v>
      </c>
      <c r="AH11" t="s">
        <v>834</v>
      </c>
      <c r="AI11" t="s">
        <v>294</v>
      </c>
      <c r="AJ11" t="s">
        <v>835</v>
      </c>
      <c r="AK11" t="s">
        <v>836</v>
      </c>
      <c r="AL11" t="s">
        <v>837</v>
      </c>
      <c r="AM11" t="s">
        <v>9</v>
      </c>
      <c r="AN11" t="s">
        <v>838</v>
      </c>
      <c r="AO11" t="s">
        <v>9</v>
      </c>
      <c r="AP11" t="s">
        <v>839</v>
      </c>
      <c r="AQ11" t="s">
        <v>840</v>
      </c>
      <c r="AR11" t="s">
        <v>9</v>
      </c>
      <c r="AS11" t="s">
        <v>101</v>
      </c>
      <c r="AT11" t="s">
        <v>9</v>
      </c>
      <c r="AU11" t="s">
        <v>841</v>
      </c>
      <c r="AV11" t="s">
        <v>842</v>
      </c>
      <c r="AW11" t="s">
        <v>843</v>
      </c>
      <c r="AX11" t="s">
        <v>40</v>
      </c>
      <c r="AY11" t="s">
        <v>356</v>
      </c>
      <c r="AZ11" t="s">
        <v>117</v>
      </c>
      <c r="BA11" t="s">
        <v>97</v>
      </c>
      <c r="BB11" t="s">
        <v>188</v>
      </c>
      <c r="BC11" t="s">
        <v>538</v>
      </c>
      <c r="BD11" t="s">
        <v>224</v>
      </c>
      <c r="BE11" t="s">
        <v>168</v>
      </c>
      <c r="BF11" t="s">
        <v>29</v>
      </c>
      <c r="BG11" t="s">
        <v>161</v>
      </c>
      <c r="BH11" t="s">
        <v>779</v>
      </c>
      <c r="BI11" t="s">
        <v>320</v>
      </c>
      <c r="BJ11" t="s">
        <v>40</v>
      </c>
      <c r="BK11" t="s">
        <v>844</v>
      </c>
      <c r="BL11" t="s">
        <v>845</v>
      </c>
      <c r="BM11" t="s">
        <v>538</v>
      </c>
      <c r="BN11">
        <v>1.35</v>
      </c>
      <c r="BO11">
        <v>2.35</v>
      </c>
      <c r="BP11">
        <v>12.58</v>
      </c>
      <c r="BQ11">
        <v>1.81</v>
      </c>
      <c r="BR11">
        <v>2.88</v>
      </c>
      <c r="BS11">
        <v>13.29</v>
      </c>
      <c r="BT11" t="s">
        <v>846</v>
      </c>
      <c r="BU11" t="s">
        <v>382</v>
      </c>
      <c r="BV11">
        <v>35.880000000000003</v>
      </c>
      <c r="BW11">
        <v>36.200000000000003</v>
      </c>
      <c r="BX11">
        <v>43.92</v>
      </c>
      <c r="BY11">
        <v>7</v>
      </c>
      <c r="BZ11">
        <v>11.24</v>
      </c>
      <c r="CA11">
        <v>28.05</v>
      </c>
      <c r="CB11">
        <v>-4.92</v>
      </c>
      <c r="CC11">
        <v>-4.8099999999999996</v>
      </c>
      <c r="CD11" t="s">
        <v>847</v>
      </c>
      <c r="CE11" t="s">
        <v>848</v>
      </c>
      <c r="CF11" s="10">
        <v>-0.68085106382978722</v>
      </c>
      <c r="CG11" s="11">
        <v>-0.57114114674731487</v>
      </c>
      <c r="CH11" s="10">
        <v>3.2504818439483643</v>
      </c>
      <c r="CI11" s="10">
        <v>-0.42841410636901855</v>
      </c>
      <c r="CJ11" s="10">
        <v>0.17312660813331604</v>
      </c>
      <c r="CK11" s="10">
        <v>5.4495912045240402E-2</v>
      </c>
      <c r="CL11" s="10">
        <v>0.1973898857831955</v>
      </c>
      <c r="CM11" s="11">
        <v>1.4355020523071289</v>
      </c>
      <c r="CN11" s="11">
        <v>-0.77135610580444336</v>
      </c>
      <c r="CO11" s="11">
        <v>-2.2988505661487579E-2</v>
      </c>
      <c r="CP11" s="11">
        <v>0.13478261232376099</v>
      </c>
      <c r="CQ11" s="11">
        <v>0.27071824669837952</v>
      </c>
      <c r="CR11">
        <v>12.412317101275768</v>
      </c>
      <c r="CS11">
        <v>0.19113043954220879</v>
      </c>
      <c r="CT11">
        <v>1.8477157360406093</v>
      </c>
      <c r="CU11" s="10">
        <v>0.64941602870821957</v>
      </c>
      <c r="CV11" s="11">
        <v>0.2093316599726677</v>
      </c>
      <c r="CW11">
        <v>0.06</v>
      </c>
      <c r="CX11">
        <v>2.8787003206358266</v>
      </c>
      <c r="CY11">
        <v>220959505.73261055</v>
      </c>
      <c r="CZ11">
        <v>0.64941602870821957</v>
      </c>
      <c r="DA11">
        <v>0.60517553386895973</v>
      </c>
      <c r="DB11">
        <v>1051060666.5366796</v>
      </c>
      <c r="DC11">
        <v>0.61694522727280854</v>
      </c>
      <c r="DD11">
        <v>0.15159172186602382</v>
      </c>
      <c r="DE11">
        <v>4195982420.2152772</v>
      </c>
      <c r="DF11">
        <v>0.57148610526323318</v>
      </c>
      <c r="DG11">
        <v>3.8001469075028646E-2</v>
      </c>
      <c r="DH11">
        <v>16738200271.788317</v>
      </c>
      <c r="DI11">
        <v>0.51953282296657566</v>
      </c>
      <c r="DJ11">
        <v>2.1712039786324368E-3</v>
      </c>
      <c r="DK11">
        <v>292960130075.22272</v>
      </c>
      <c r="DL11">
        <v>0.45459122009575365</v>
      </c>
      <c r="DM11">
        <v>142000000</v>
      </c>
      <c r="DN11">
        <v>0.64941602870821957</v>
      </c>
      <c r="DO11">
        <v>636076199.99999976</v>
      </c>
      <c r="DP11">
        <v>1632019900</v>
      </c>
      <c r="DQ11">
        <v>2257</v>
      </c>
      <c r="DR11">
        <v>-1.3302670925380067</v>
      </c>
      <c r="DS11">
        <v>-0.78047280671998254</v>
      </c>
      <c r="DT11" s="12">
        <v>-5.6666666666666719E-2</v>
      </c>
      <c r="DU11">
        <v>-8.6666666666666711E-2</v>
      </c>
      <c r="DV11">
        <v>-0.14333333333333342</v>
      </c>
      <c r="DW11">
        <v>-4.9776422764227641</v>
      </c>
      <c r="DX11">
        <v>0.39035207108655867</v>
      </c>
      <c r="DY11">
        <v>-4.1469905410419416</v>
      </c>
      <c r="DZ11">
        <v>4652</v>
      </c>
      <c r="EA11">
        <v>-4.0131744946765577</v>
      </c>
      <c r="EB11">
        <v>4</v>
      </c>
      <c r="EC11">
        <v>3.4947351526235536E-2</v>
      </c>
      <c r="ED11">
        <v>0.23243678170629206</v>
      </c>
      <c r="EE11" s="15">
        <v>-9.05321</v>
      </c>
      <c r="EF11">
        <v>-9.05321</v>
      </c>
      <c r="EG11">
        <v>24.150352071086559</v>
      </c>
      <c r="EH11" t="s">
        <v>849</v>
      </c>
      <c r="EI11">
        <v>0</v>
      </c>
      <c r="EJ11">
        <v>0</v>
      </c>
      <c r="EK11" s="14">
        <v>45470</v>
      </c>
      <c r="EL11" s="16">
        <v>0</v>
      </c>
      <c r="EM11" s="16">
        <v>0</v>
      </c>
      <c r="EN11" s="16">
        <v>0</v>
      </c>
      <c r="EO11" s="16">
        <v>0</v>
      </c>
      <c r="EP11" s="16">
        <v>0</v>
      </c>
    </row>
    <row r="12" spans="1:146" ht="108" x14ac:dyDescent="0.25">
      <c r="C12" s="7" t="str">
        <f>""&amp;CHAR(10)&amp;Basic_Fundamental_Information_Constructure(F12)&amp;CHAR(10)&amp;Basic_Fundamental_Information_Concatenate("")</f>
        <v xml:space="preserve">
市值38.04975亿, 利润1.66亿; PE88.33; 平均PE30.43; 平均PEG.41, PB1.89; ROIC5.81%; ROE4.3867%; 股利率.3688%; 毛利29.7967%; 净利11.8933%; 上一年度营收增351.83%, 利润增138.8%; 当季营收增-84.03%, 利润增-75.11%; 过往5年营收增74.94%, 利润增40.68%
Income profile:
</v>
      </c>
      <c r="D12" t="s">
        <v>281</v>
      </c>
      <c r="E12" t="s">
        <v>282</v>
      </c>
      <c r="F12">
        <v>20.61</v>
      </c>
      <c r="G12">
        <v>-1.86</v>
      </c>
      <c r="H12" t="s">
        <v>850</v>
      </c>
      <c r="I12">
        <v>3804975000</v>
      </c>
      <c r="J12">
        <v>88.33</v>
      </c>
      <c r="K12">
        <v>1.89</v>
      </c>
      <c r="L12" t="s">
        <v>382</v>
      </c>
      <c r="M12" t="s">
        <v>572</v>
      </c>
      <c r="N12" t="s">
        <v>851</v>
      </c>
      <c r="O12" t="s">
        <v>85</v>
      </c>
      <c r="P12">
        <v>4.91</v>
      </c>
      <c r="Q12" t="s">
        <v>581</v>
      </c>
      <c r="R12">
        <v>9082413</v>
      </c>
      <c r="S12" s="5">
        <v>0.13730000000000001</v>
      </c>
      <c r="T12" t="s">
        <v>52</v>
      </c>
      <c r="U12">
        <v>151471010</v>
      </c>
      <c r="V12">
        <v>184617900</v>
      </c>
      <c r="W12">
        <v>1.27</v>
      </c>
      <c r="X12">
        <v>0.05</v>
      </c>
      <c r="Y12">
        <v>7.01</v>
      </c>
      <c r="Z12" t="s">
        <v>102</v>
      </c>
      <c r="AA12" t="s">
        <v>852</v>
      </c>
      <c r="AB12" t="s">
        <v>853</v>
      </c>
      <c r="AC12" t="s">
        <v>854</v>
      </c>
      <c r="AD12" t="s">
        <v>9</v>
      </c>
      <c r="AE12">
        <v>-3071887</v>
      </c>
      <c r="AF12" t="s">
        <v>855</v>
      </c>
      <c r="AG12" t="s">
        <v>856</v>
      </c>
      <c r="AH12" t="s">
        <v>857</v>
      </c>
      <c r="AI12" t="s">
        <v>87</v>
      </c>
      <c r="AJ12" t="s">
        <v>858</v>
      </c>
      <c r="AK12" t="s">
        <v>859</v>
      </c>
      <c r="AL12" t="s">
        <v>860</v>
      </c>
      <c r="AM12" t="s">
        <v>9</v>
      </c>
      <c r="AN12" t="s">
        <v>214</v>
      </c>
      <c r="AO12" t="s">
        <v>861</v>
      </c>
      <c r="AP12" t="s">
        <v>51</v>
      </c>
      <c r="AQ12" t="s">
        <v>26</v>
      </c>
      <c r="AR12" t="s">
        <v>9</v>
      </c>
      <c r="AS12" t="s">
        <v>610</v>
      </c>
      <c r="AT12" t="s">
        <v>862</v>
      </c>
      <c r="AU12" t="s">
        <v>863</v>
      </c>
      <c r="AV12" t="s">
        <v>864</v>
      </c>
      <c r="AW12" t="s">
        <v>865</v>
      </c>
      <c r="AX12" t="s">
        <v>259</v>
      </c>
      <c r="AY12" t="s">
        <v>357</v>
      </c>
      <c r="AZ12" t="s">
        <v>60</v>
      </c>
      <c r="BA12" t="s">
        <v>189</v>
      </c>
      <c r="BB12" t="s">
        <v>258</v>
      </c>
      <c r="BC12" t="s">
        <v>866</v>
      </c>
      <c r="BD12" t="s">
        <v>42</v>
      </c>
      <c r="BE12" t="s">
        <v>145</v>
      </c>
      <c r="BF12" t="s">
        <v>98</v>
      </c>
      <c r="BG12" t="s">
        <v>283</v>
      </c>
      <c r="BH12" t="s">
        <v>867</v>
      </c>
      <c r="BI12" t="s">
        <v>868</v>
      </c>
      <c r="BJ12" t="s">
        <v>259</v>
      </c>
      <c r="BK12" t="s">
        <v>869</v>
      </c>
      <c r="BL12" t="s">
        <v>870</v>
      </c>
      <c r="BM12" t="s">
        <v>866</v>
      </c>
      <c r="BN12" t="s">
        <v>9</v>
      </c>
      <c r="BO12">
        <v>3.16</v>
      </c>
      <c r="BP12">
        <v>8.4600000000000009</v>
      </c>
      <c r="BQ12">
        <v>0.97</v>
      </c>
      <c r="BR12">
        <v>3.66</v>
      </c>
      <c r="BS12">
        <v>8.5299999999999994</v>
      </c>
      <c r="BT12" t="s">
        <v>871</v>
      </c>
      <c r="BU12" t="s">
        <v>382</v>
      </c>
      <c r="BV12">
        <v>27.61</v>
      </c>
      <c r="BW12">
        <v>25.78</v>
      </c>
      <c r="BX12">
        <v>36</v>
      </c>
      <c r="BY12">
        <v>6.84</v>
      </c>
      <c r="BZ12">
        <v>9.7200000000000006</v>
      </c>
      <c r="CA12">
        <v>19.12</v>
      </c>
      <c r="CB12">
        <v>-9.4499999999999993</v>
      </c>
      <c r="CC12">
        <v>-9.2799999999999994</v>
      </c>
      <c r="CD12" t="s">
        <v>872</v>
      </c>
      <c r="CE12" t="s">
        <v>225</v>
      </c>
      <c r="CF12" s="10">
        <v>-0.84032476319350469</v>
      </c>
      <c r="CG12" s="11">
        <v>-0.75113676717193301</v>
      </c>
      <c r="CH12" s="10">
        <v>3.518324613571167</v>
      </c>
      <c r="CI12" s="10">
        <v>-0.11880046129226685</v>
      </c>
      <c r="CJ12" s="10">
        <v>0.21258741617202759</v>
      </c>
      <c r="CK12" s="10">
        <v>-8.0976866185665131E-2</v>
      </c>
      <c r="CL12" s="10">
        <v>0.21562500298023224</v>
      </c>
      <c r="CM12" s="11">
        <v>1.3879636526107788</v>
      </c>
      <c r="CN12" s="11">
        <v>-0.56552940607070923</v>
      </c>
      <c r="CO12" s="11">
        <v>0.23076923191547394</v>
      </c>
      <c r="CP12" s="11">
        <v>-0.15032680332660675</v>
      </c>
      <c r="CQ12" s="11">
        <v>1.1312369108200073</v>
      </c>
      <c r="CR12">
        <v>30.427442401392714</v>
      </c>
      <c r="CS12">
        <v>0.40605009121340291</v>
      </c>
      <c r="CT12">
        <v>0.36875303250849106</v>
      </c>
      <c r="CU12" s="10">
        <v>0.74935194104909897</v>
      </c>
      <c r="CV12" s="11">
        <v>0.4068227171897888</v>
      </c>
      <c r="CW12">
        <v>0.06</v>
      </c>
      <c r="CX12">
        <v>8.3078390324554423</v>
      </c>
      <c r="CY12">
        <v>273955115.29636836</v>
      </c>
      <c r="CZ12">
        <v>0.74935194104909897</v>
      </c>
      <c r="DA12">
        <v>1.6253889572954439</v>
      </c>
      <c r="DB12">
        <v>1400264834.9396288</v>
      </c>
      <c r="DC12">
        <v>0.71188434399664402</v>
      </c>
      <c r="DD12">
        <v>0.36097222465230744</v>
      </c>
      <c r="DE12">
        <v>6305125005.6489668</v>
      </c>
      <c r="DF12">
        <v>0.65942970812320711</v>
      </c>
      <c r="DG12">
        <v>7.6820704217196945E-2</v>
      </c>
      <c r="DH12">
        <v>29627104088.56815</v>
      </c>
      <c r="DI12">
        <v>0.59948155283927917</v>
      </c>
      <c r="DJ12">
        <v>2.9144411369944117E-3</v>
      </c>
      <c r="DK12">
        <v>780930165687.66748</v>
      </c>
      <c r="DL12">
        <v>0.52454635873436928</v>
      </c>
      <c r="DM12">
        <v>166000000</v>
      </c>
      <c r="DN12">
        <v>0.74935194104909897</v>
      </c>
      <c r="DO12">
        <v>2275975000</v>
      </c>
      <c r="DP12">
        <v>1233295100</v>
      </c>
      <c r="DQ12">
        <v>2319</v>
      </c>
      <c r="DR12">
        <v>-1.5896767042426037</v>
      </c>
      <c r="DS12">
        <v>-1.1579594843617218</v>
      </c>
      <c r="DT12" s="12">
        <v>9.3333333333333268E-2</v>
      </c>
      <c r="DU12">
        <v>-4.0000000000000036E-2</v>
      </c>
      <c r="DV12">
        <v>5.3333333333333233E-2</v>
      </c>
      <c r="DW12">
        <v>-5.9820105820105818</v>
      </c>
      <c r="DX12">
        <v>0.25456782608695716</v>
      </c>
      <c r="DY12">
        <v>-5.1517872408557626</v>
      </c>
      <c r="DZ12">
        <v>1255</v>
      </c>
      <c r="EA12">
        <v>-5.1145087697649636</v>
      </c>
      <c r="EB12">
        <v>5</v>
      </c>
      <c r="EC12">
        <v>9.62815631637019E-2</v>
      </c>
      <c r="ED12">
        <v>0.62290817954272026</v>
      </c>
      <c r="EE12" s="15">
        <v>-1.0411999999999999</v>
      </c>
      <c r="EF12">
        <v>-1.0196000000000001</v>
      </c>
      <c r="EG12">
        <v>10.154567826086957</v>
      </c>
      <c r="EH12" t="s">
        <v>473</v>
      </c>
      <c r="EI12">
        <v>0</v>
      </c>
      <c r="EJ12">
        <v>1</v>
      </c>
      <c r="EK12" s="14">
        <v>45470</v>
      </c>
      <c r="EL12" s="16">
        <v>-0.34</v>
      </c>
      <c r="EM12" s="16">
        <v>-3.7</v>
      </c>
      <c r="EN12" s="16">
        <v>-0.97</v>
      </c>
      <c r="EO12" s="16">
        <v>3.16</v>
      </c>
      <c r="EP12" s="16">
        <v>-2.16</v>
      </c>
    </row>
    <row r="13" spans="1:146" ht="108" x14ac:dyDescent="0.25">
      <c r="A13" s="7"/>
      <c r="B13" s="7"/>
      <c r="C13" s="7" t="str">
        <f>""&amp;CHAR(10)&amp;Basic_Fundamental_Information_Constructure(F13)&amp;CHAR(10)&amp;Basic_Fundamental_Information_Concatenate("")</f>
        <v xml:space="preserve">
市值43.204643亿, 利润1.17亿; PE16.59; 平均PE57.14; 平均PEG4, PB2.24; ROIC5.6067%; ROE8.8733%; 股利率1.3953%; 毛利27.05%; 净利6.8333%; 上一年度营收增-26.03%, 利润增20.59%; 当季营收增270.69%, 利润增144.1%; 过往5年营收增14.28%, 利润增18.81%
Income profile:
</v>
      </c>
      <c r="D13" t="s">
        <v>285</v>
      </c>
      <c r="E13" t="s">
        <v>286</v>
      </c>
      <c r="F13">
        <v>21.5</v>
      </c>
      <c r="G13">
        <v>-0.92</v>
      </c>
      <c r="H13" t="s">
        <v>873</v>
      </c>
      <c r="I13">
        <v>4320464300</v>
      </c>
      <c r="J13">
        <v>16.59</v>
      </c>
      <c r="K13">
        <v>2.2400000000000002</v>
      </c>
      <c r="L13" t="s">
        <v>382</v>
      </c>
      <c r="M13" t="s">
        <v>874</v>
      </c>
      <c r="N13" t="s">
        <v>875</v>
      </c>
      <c r="O13" t="s">
        <v>371</v>
      </c>
      <c r="P13">
        <v>49.52</v>
      </c>
      <c r="Q13" t="s">
        <v>876</v>
      </c>
      <c r="R13">
        <v>79425409</v>
      </c>
      <c r="S13" s="5">
        <v>1.2250000000000001</v>
      </c>
      <c r="T13" t="s">
        <v>164</v>
      </c>
      <c r="U13">
        <v>160210750</v>
      </c>
      <c r="V13">
        <v>200951830</v>
      </c>
      <c r="W13">
        <v>4.26</v>
      </c>
      <c r="X13">
        <v>0.11</v>
      </c>
      <c r="Y13">
        <v>9.18</v>
      </c>
      <c r="Z13" t="s">
        <v>489</v>
      </c>
      <c r="AA13" t="s">
        <v>527</v>
      </c>
      <c r="AB13" t="s">
        <v>877</v>
      </c>
      <c r="AC13" t="s">
        <v>878</v>
      </c>
      <c r="AD13" t="s">
        <v>9</v>
      </c>
      <c r="AE13">
        <v>22923757</v>
      </c>
      <c r="AF13" t="s">
        <v>879</v>
      </c>
      <c r="AG13" t="s">
        <v>880</v>
      </c>
      <c r="AH13" t="s">
        <v>881</v>
      </c>
      <c r="AI13" t="s">
        <v>882</v>
      </c>
      <c r="AJ13" t="s">
        <v>883</v>
      </c>
      <c r="AK13" t="s">
        <v>884</v>
      </c>
      <c r="AL13" t="s">
        <v>885</v>
      </c>
      <c r="AM13" t="s">
        <v>9</v>
      </c>
      <c r="AN13" t="s">
        <v>197</v>
      </c>
      <c r="AO13" t="s">
        <v>740</v>
      </c>
      <c r="AP13" t="s">
        <v>886</v>
      </c>
      <c r="AQ13" t="s">
        <v>887</v>
      </c>
      <c r="AR13" t="s">
        <v>9</v>
      </c>
      <c r="AS13" t="s">
        <v>888</v>
      </c>
      <c r="AT13" t="s">
        <v>889</v>
      </c>
      <c r="AU13" t="s">
        <v>890</v>
      </c>
      <c r="AV13" t="s">
        <v>502</v>
      </c>
      <c r="AW13" t="s">
        <v>891</v>
      </c>
      <c r="AX13" t="s">
        <v>540</v>
      </c>
      <c r="AY13" t="s">
        <v>330</v>
      </c>
      <c r="AZ13" t="s">
        <v>208</v>
      </c>
      <c r="BA13" t="s">
        <v>204</v>
      </c>
      <c r="BB13" t="s">
        <v>171</v>
      </c>
      <c r="BC13" t="s">
        <v>541</v>
      </c>
      <c r="BD13" t="s">
        <v>358</v>
      </c>
      <c r="BE13" t="s">
        <v>287</v>
      </c>
      <c r="BF13" t="s">
        <v>359</v>
      </c>
      <c r="BG13" t="s">
        <v>288</v>
      </c>
      <c r="BH13" t="s">
        <v>892</v>
      </c>
      <c r="BI13" t="s">
        <v>184</v>
      </c>
      <c r="BJ13" t="s">
        <v>540</v>
      </c>
      <c r="BK13" t="s">
        <v>67</v>
      </c>
      <c r="BL13" t="s">
        <v>893</v>
      </c>
      <c r="BM13" t="s">
        <v>541</v>
      </c>
      <c r="BN13">
        <v>6.19</v>
      </c>
      <c r="BO13">
        <v>5.92</v>
      </c>
      <c r="BP13">
        <v>4.71</v>
      </c>
      <c r="BQ13">
        <v>11.29</v>
      </c>
      <c r="BR13">
        <v>8.9700000000000006</v>
      </c>
      <c r="BS13">
        <v>6.36</v>
      </c>
      <c r="BT13" t="s">
        <v>894</v>
      </c>
      <c r="BU13" t="s">
        <v>382</v>
      </c>
      <c r="BV13">
        <v>25.55</v>
      </c>
      <c r="BW13">
        <v>28.19</v>
      </c>
      <c r="BX13">
        <v>27.41</v>
      </c>
      <c r="BY13">
        <v>6.25</v>
      </c>
      <c r="BZ13">
        <v>6.84</v>
      </c>
      <c r="CA13">
        <v>7.41</v>
      </c>
      <c r="CB13">
        <v>-12.67</v>
      </c>
      <c r="CC13">
        <v>-37.53</v>
      </c>
      <c r="CD13" t="s">
        <v>895</v>
      </c>
      <c r="CE13" t="s">
        <v>44</v>
      </c>
      <c r="CF13" s="10">
        <v>2.7068965517241383</v>
      </c>
      <c r="CG13" s="11">
        <v>1.4409521277740045</v>
      </c>
      <c r="CH13" s="10">
        <v>-0.26029306650161743</v>
      </c>
      <c r="CI13" s="10">
        <v>0.80251562595367432</v>
      </c>
      <c r="CJ13" s="10">
        <v>0.19011975824832916</v>
      </c>
      <c r="CK13" s="10">
        <v>-9.1156460344791412E-2</v>
      </c>
      <c r="CL13" s="10">
        <v>7.2992697358131409E-2</v>
      </c>
      <c r="CM13" s="11">
        <v>0.20591086149215698</v>
      </c>
      <c r="CN13" s="11">
        <v>0.6673729419708252</v>
      </c>
      <c r="CO13" s="11">
        <v>-5.2426394075155258E-2</v>
      </c>
      <c r="CP13" s="11">
        <v>-5.2102852612733841E-2</v>
      </c>
      <c r="CQ13" s="11">
        <v>0.17178246378898621</v>
      </c>
      <c r="CR13">
        <v>57.137875938171646</v>
      </c>
      <c r="CS13">
        <v>4.0002514469980825</v>
      </c>
      <c r="CT13">
        <v>1.3953488372093024</v>
      </c>
      <c r="CU13" s="10">
        <v>0.14283571094274522</v>
      </c>
      <c r="CV13" s="11">
        <v>0.18810740411281585</v>
      </c>
      <c r="CW13">
        <v>0.06</v>
      </c>
      <c r="CX13">
        <v>65.286635753424378</v>
      </c>
      <c r="CY13">
        <v>126143186.96254829</v>
      </c>
      <c r="CZ13">
        <v>0.14283571094274522</v>
      </c>
      <c r="DA13">
        <v>20.407116570601268</v>
      </c>
      <c r="DB13">
        <v>403558448.4220621</v>
      </c>
      <c r="DC13">
        <v>0.13569392539560796</v>
      </c>
      <c r="DD13">
        <v>9.4549840876878211</v>
      </c>
      <c r="DE13">
        <v>871018314.11055827</v>
      </c>
      <c r="DF13">
        <v>0.1256954256296158</v>
      </c>
      <c r="DG13">
        <v>5.2939943797070024</v>
      </c>
      <c r="DH13">
        <v>1555623921.9989111</v>
      </c>
      <c r="DI13">
        <v>0.11426856875419618</v>
      </c>
      <c r="DJ13">
        <v>2.3322152433155021</v>
      </c>
      <c r="DK13">
        <v>3531176774.3582606</v>
      </c>
      <c r="DL13">
        <v>9.9984997659921651E-2</v>
      </c>
      <c r="DM13">
        <v>117000000</v>
      </c>
      <c r="DN13">
        <v>0.14283571094274522</v>
      </c>
      <c r="DO13">
        <v>8235464300</v>
      </c>
      <c r="DP13">
        <v>1991893900</v>
      </c>
      <c r="DQ13">
        <v>2479</v>
      </c>
      <c r="DR13">
        <v>2.564060840781393</v>
      </c>
      <c r="DS13">
        <v>1.2528447236611886</v>
      </c>
      <c r="DT13" s="12">
        <v>-0.17333333333333334</v>
      </c>
      <c r="DU13">
        <v>1.0066666666666666</v>
      </c>
      <c r="DV13">
        <v>0.83333333333333326</v>
      </c>
      <c r="DW13">
        <v>-9.3375965893951509</v>
      </c>
      <c r="DX13">
        <v>0.41871278195488798</v>
      </c>
      <c r="DY13">
        <v>-9.080588621032998</v>
      </c>
      <c r="DZ13">
        <v>775</v>
      </c>
      <c r="EA13">
        <v>-9.068366276355782</v>
      </c>
      <c r="EB13">
        <v>9</v>
      </c>
      <c r="EC13">
        <v>0.15799209193566438</v>
      </c>
      <c r="ED13">
        <v>0.66185015583087747</v>
      </c>
      <c r="EE13" s="15">
        <v>-1.02091</v>
      </c>
      <c r="EF13">
        <v>-1.0477099999999999</v>
      </c>
      <c r="EG13">
        <v>18.238712781954888</v>
      </c>
      <c r="EH13" t="s">
        <v>486</v>
      </c>
      <c r="EI13">
        <v>0</v>
      </c>
      <c r="EJ13">
        <v>1</v>
      </c>
      <c r="EK13" s="14">
        <v>45470</v>
      </c>
      <c r="EL13" s="16">
        <v>-0.35</v>
      </c>
      <c r="EM13" s="16">
        <v>-3.68</v>
      </c>
      <c r="EN13" s="16">
        <v>0.56999999999999995</v>
      </c>
      <c r="EO13" s="16">
        <v>3.49</v>
      </c>
      <c r="EP13" s="16">
        <v>-2.68</v>
      </c>
    </row>
    <row r="14" spans="1:146" ht="108" x14ac:dyDescent="0.25">
      <c r="A14" s="7"/>
      <c r="B14" s="7"/>
      <c r="C14" s="7" t="str">
        <f>""&amp;CHAR(10)&amp;Basic_Fundamental_Information_Constructure(F14)&amp;CHAR(10)&amp;Basic_Fundamental_Information_Concatenate("")</f>
        <v xml:space="preserve">
市值15.38078亿, 利润5067.54万; PE21.89; 平均PE23.4; 平均PEG.48, PB1.54; ROIC6.9133%; ROE8.8767%; 股利率3.9947%; 毛利27.7867%; 净利9.7667%; 上一年度营收增165.78%, 利润增-20.43%; 当季营收增-53.41%, 利润增158.62%; 过往5年营收增48.97%, 利润增.84%
Income profile:
</v>
      </c>
      <c r="D14" t="s">
        <v>289</v>
      </c>
      <c r="E14" t="s">
        <v>290</v>
      </c>
      <c r="F14">
        <v>7.51</v>
      </c>
      <c r="G14">
        <v>2.88</v>
      </c>
      <c r="H14" t="s">
        <v>896</v>
      </c>
      <c r="I14">
        <v>1538078000</v>
      </c>
      <c r="J14">
        <v>21.89</v>
      </c>
      <c r="K14">
        <v>1.54</v>
      </c>
      <c r="L14" t="s">
        <v>382</v>
      </c>
      <c r="M14" t="s">
        <v>572</v>
      </c>
      <c r="N14" t="s">
        <v>897</v>
      </c>
      <c r="O14" t="s">
        <v>520</v>
      </c>
      <c r="P14">
        <v>-0.52</v>
      </c>
      <c r="Q14" t="s">
        <v>482</v>
      </c>
      <c r="R14">
        <v>14487741</v>
      </c>
      <c r="S14" s="5">
        <v>0.47349999999999998</v>
      </c>
      <c r="T14" t="s">
        <v>898</v>
      </c>
      <c r="U14">
        <v>84384000</v>
      </c>
      <c r="V14">
        <v>204804000</v>
      </c>
      <c r="W14">
        <v>1.51</v>
      </c>
      <c r="X14">
        <v>0.11</v>
      </c>
      <c r="Y14">
        <v>8.5</v>
      </c>
      <c r="Z14" t="s">
        <v>53</v>
      </c>
      <c r="AA14" t="s">
        <v>197</v>
      </c>
      <c r="AB14" t="s">
        <v>899</v>
      </c>
      <c r="AC14" t="s">
        <v>900</v>
      </c>
      <c r="AD14" t="s">
        <v>9</v>
      </c>
      <c r="AE14">
        <v>1492511</v>
      </c>
      <c r="AF14" t="s">
        <v>901</v>
      </c>
      <c r="AG14" t="s">
        <v>902</v>
      </c>
      <c r="AH14" t="s">
        <v>903</v>
      </c>
      <c r="AI14" t="s">
        <v>102</v>
      </c>
      <c r="AJ14" t="s">
        <v>904</v>
      </c>
      <c r="AK14" t="s">
        <v>905</v>
      </c>
      <c r="AL14" t="s">
        <v>906</v>
      </c>
      <c r="AM14" t="s">
        <v>9</v>
      </c>
      <c r="AN14" t="s">
        <v>76</v>
      </c>
      <c r="AO14" t="s">
        <v>83</v>
      </c>
      <c r="AP14" t="s">
        <v>104</v>
      </c>
      <c r="AQ14" t="s">
        <v>907</v>
      </c>
      <c r="AR14" t="s">
        <v>908</v>
      </c>
      <c r="AS14" t="s">
        <v>578</v>
      </c>
      <c r="AT14" t="s">
        <v>191</v>
      </c>
      <c r="AU14" t="s">
        <v>909</v>
      </c>
      <c r="AV14" t="s">
        <v>910</v>
      </c>
      <c r="AW14" t="s">
        <v>911</v>
      </c>
      <c r="AX14" t="s">
        <v>542</v>
      </c>
      <c r="AY14" t="s">
        <v>360</v>
      </c>
      <c r="AZ14" t="s">
        <v>174</v>
      </c>
      <c r="BA14" t="s">
        <v>199</v>
      </c>
      <c r="BB14" t="s">
        <v>292</v>
      </c>
      <c r="BC14" t="s">
        <v>543</v>
      </c>
      <c r="BD14" t="s">
        <v>361</v>
      </c>
      <c r="BE14" t="s">
        <v>291</v>
      </c>
      <c r="BF14" t="s">
        <v>362</v>
      </c>
      <c r="BG14" t="s">
        <v>293</v>
      </c>
      <c r="BH14" t="s">
        <v>177</v>
      </c>
      <c r="BI14" t="s">
        <v>39</v>
      </c>
      <c r="BJ14" t="s">
        <v>542</v>
      </c>
      <c r="BK14" t="s">
        <v>912</v>
      </c>
      <c r="BL14" t="s">
        <v>913</v>
      </c>
      <c r="BM14" t="s">
        <v>543</v>
      </c>
      <c r="BN14">
        <v>3.75</v>
      </c>
      <c r="BO14">
        <v>6.04</v>
      </c>
      <c r="BP14">
        <v>10.95</v>
      </c>
      <c r="BQ14">
        <v>4.5199999999999996</v>
      </c>
      <c r="BR14">
        <v>6.68</v>
      </c>
      <c r="BS14">
        <v>15.43</v>
      </c>
      <c r="BT14" t="s">
        <v>735</v>
      </c>
      <c r="BU14" t="s">
        <v>382</v>
      </c>
      <c r="BV14">
        <v>31.15</v>
      </c>
      <c r="BW14">
        <v>24.41</v>
      </c>
      <c r="BX14">
        <v>27.8</v>
      </c>
      <c r="BY14">
        <v>9.26</v>
      </c>
      <c r="BZ14">
        <v>8.51</v>
      </c>
      <c r="CA14">
        <v>11.53</v>
      </c>
      <c r="CB14">
        <v>0.13</v>
      </c>
      <c r="CC14">
        <v>-10.06</v>
      </c>
      <c r="CD14" t="s">
        <v>914</v>
      </c>
      <c r="CE14" t="s">
        <v>915</v>
      </c>
      <c r="CF14" s="10">
        <v>-0.5340599455040872</v>
      </c>
      <c r="CG14" s="11">
        <v>1.5861729739378794</v>
      </c>
      <c r="CH14" s="10">
        <v>1.6578249931335449</v>
      </c>
      <c r="CI14" s="10">
        <v>6.3469678163528442E-2</v>
      </c>
      <c r="CJ14" s="10">
        <v>0.23951049149036407</v>
      </c>
      <c r="CK14" s="10">
        <v>0.2118644118309021</v>
      </c>
      <c r="CL14" s="10">
        <v>0.27567568421363831</v>
      </c>
      <c r="CM14" s="11">
        <v>-0.20431917905807495</v>
      </c>
      <c r="CN14" s="11">
        <v>-0.22038754820823669</v>
      </c>
      <c r="CO14" s="11">
        <v>-4.852022510021925E-3</v>
      </c>
      <c r="CP14" s="11">
        <v>0.3199007511138916</v>
      </c>
      <c r="CQ14" s="11">
        <v>0.15169724822044373</v>
      </c>
      <c r="CR14">
        <v>23.402170296676186</v>
      </c>
      <c r="CS14">
        <v>0.47791810024049802</v>
      </c>
      <c r="CT14">
        <v>3.9946737683089215</v>
      </c>
      <c r="CU14" s="10">
        <v>0.48966905176639558</v>
      </c>
      <c r="CV14" s="11">
        <v>8.407849911600351E-3</v>
      </c>
      <c r="CW14">
        <v>0.06</v>
      </c>
      <c r="CX14">
        <v>14.660602858528724</v>
      </c>
      <c r="CY14">
        <v>71216580.250832826</v>
      </c>
      <c r="CZ14">
        <v>0.48966905176639558</v>
      </c>
      <c r="DA14">
        <v>3.4721743963996698</v>
      </c>
      <c r="DB14">
        <v>300698605.77355051</v>
      </c>
      <c r="DC14">
        <v>0.46518559917807578</v>
      </c>
      <c r="DD14">
        <v>1.0573100937908695</v>
      </c>
      <c r="DE14">
        <v>987485134.33421659</v>
      </c>
      <c r="DF14">
        <v>0.43090876555442809</v>
      </c>
      <c r="DG14">
        <v>0.34528019910045327</v>
      </c>
      <c r="DH14">
        <v>3023857153.4657965</v>
      </c>
      <c r="DI14">
        <v>0.3917352414131165</v>
      </c>
      <c r="DJ14">
        <v>3.8664639860494031E-2</v>
      </c>
      <c r="DK14">
        <v>27003432691.139503</v>
      </c>
      <c r="DL14">
        <v>0.3427683362364769</v>
      </c>
      <c r="DM14">
        <v>50675400</v>
      </c>
      <c r="DN14">
        <v>0.48966905176639558</v>
      </c>
      <c r="DO14">
        <v>1044078000</v>
      </c>
      <c r="DP14">
        <v>413011530</v>
      </c>
      <c r="DQ14">
        <v>2525</v>
      </c>
      <c r="DR14">
        <v>-1.0237289972704828</v>
      </c>
      <c r="DS14">
        <v>1.5777651240262791</v>
      </c>
      <c r="DT14" s="12">
        <v>0.24333333333333326</v>
      </c>
      <c r="DU14">
        <v>-0.10000000000000003</v>
      </c>
      <c r="DV14">
        <v>0.14333333333333323</v>
      </c>
      <c r="DW14">
        <v>-2.1006</v>
      </c>
      <c r="DX14">
        <v>0.33894602820785491</v>
      </c>
      <c r="DY14">
        <v>-2.0119659704377102</v>
      </c>
      <c r="DZ14">
        <v>660</v>
      </c>
      <c r="EA14">
        <v>-2.0104204634927223</v>
      </c>
      <c r="EB14">
        <v>2</v>
      </c>
      <c r="EC14">
        <v>4.7874553231382198E-2</v>
      </c>
      <c r="ED14">
        <v>0.40248969746684637</v>
      </c>
      <c r="EE14" s="15">
        <v>-1.0841000000000001</v>
      </c>
      <c r="EF14">
        <v>-1.048</v>
      </c>
      <c r="EG14">
        <v>22.118946028207855</v>
      </c>
      <c r="EH14" t="s">
        <v>473</v>
      </c>
      <c r="EI14">
        <v>0</v>
      </c>
      <c r="EJ14">
        <v>1</v>
      </c>
      <c r="EK14" s="14">
        <v>45470</v>
      </c>
      <c r="EL14" s="16">
        <v>2.02</v>
      </c>
      <c r="EM14" s="16">
        <v>-6.82</v>
      </c>
      <c r="EN14" s="16">
        <v>0.28999999999999998</v>
      </c>
      <c r="EO14" s="16">
        <v>5.29</v>
      </c>
      <c r="EP14" s="16">
        <v>-3.61</v>
      </c>
    </row>
    <row r="15" spans="1:146" ht="108" x14ac:dyDescent="0.25">
      <c r="A15" s="7"/>
      <c r="B15" s="7"/>
      <c r="C15" s="7" t="str">
        <f>""&amp;CHAR(10)&amp;Basic_Fundamental_Information_Constructure(F15)&amp;CHAR(10)&amp;Basic_Fundamental_Information_Concatenate("")</f>
        <v xml:space="preserve">
市值11.783891亿, 利润7457.43万; PE115.5; 平均PE22.54; 平均PEG.48, PB1.44; ROIC7.6867%; ROE9.15%; 股利率.9166%; 毛利50.2933%; 净利19.5533%; 上一年度营收增135.14%, 利润增511.49%; 当季营收增-84.21%, 利润增-135.64%; 过往5年营收增46.67%, 利润增108.74%
Income profile:
</v>
      </c>
      <c r="D15" t="s">
        <v>363</v>
      </c>
      <c r="E15" t="s">
        <v>364</v>
      </c>
      <c r="F15">
        <v>10.91</v>
      </c>
      <c r="G15">
        <v>2.63</v>
      </c>
      <c r="H15" t="s">
        <v>916</v>
      </c>
      <c r="I15">
        <v>1178389100</v>
      </c>
      <c r="J15">
        <v>115.5</v>
      </c>
      <c r="K15">
        <v>1.44</v>
      </c>
      <c r="L15" t="s">
        <v>382</v>
      </c>
      <c r="M15" t="s">
        <v>93</v>
      </c>
      <c r="N15" t="s">
        <v>917</v>
      </c>
      <c r="O15" t="s">
        <v>918</v>
      </c>
      <c r="P15">
        <v>-77.64</v>
      </c>
      <c r="Q15" t="s">
        <v>168</v>
      </c>
      <c r="R15">
        <v>-4778904</v>
      </c>
      <c r="S15" s="5">
        <v>-1.7989999999999999</v>
      </c>
      <c r="T15" t="s">
        <v>919</v>
      </c>
      <c r="U15">
        <v>47092924</v>
      </c>
      <c r="V15">
        <v>108010000</v>
      </c>
      <c r="W15">
        <v>1.1299999999999999</v>
      </c>
      <c r="X15">
        <v>0.01</v>
      </c>
      <c r="Y15">
        <v>-51.12</v>
      </c>
      <c r="Z15" t="s">
        <v>920</v>
      </c>
      <c r="AA15" t="s">
        <v>921</v>
      </c>
      <c r="AB15" t="s">
        <v>922</v>
      </c>
      <c r="AC15" t="s">
        <v>923</v>
      </c>
      <c r="AD15" t="s">
        <v>9</v>
      </c>
      <c r="AE15">
        <v>-2230036</v>
      </c>
      <c r="AF15" t="s">
        <v>924</v>
      </c>
      <c r="AG15">
        <v>0</v>
      </c>
      <c r="AH15" t="s">
        <v>925</v>
      </c>
      <c r="AI15" t="s">
        <v>101</v>
      </c>
      <c r="AJ15" t="s">
        <v>926</v>
      </c>
      <c r="AK15" t="s">
        <v>927</v>
      </c>
      <c r="AL15" t="s">
        <v>928</v>
      </c>
      <c r="AM15" t="s">
        <v>9</v>
      </c>
      <c r="AN15" t="s">
        <v>148</v>
      </c>
      <c r="AO15" t="s">
        <v>929</v>
      </c>
      <c r="AP15" t="s">
        <v>9</v>
      </c>
      <c r="AQ15" t="s">
        <v>930</v>
      </c>
      <c r="AR15" t="s">
        <v>9</v>
      </c>
      <c r="AS15" t="s">
        <v>70</v>
      </c>
      <c r="AT15" t="s">
        <v>9</v>
      </c>
      <c r="AU15" t="s">
        <v>931</v>
      </c>
      <c r="AV15" t="s">
        <v>932</v>
      </c>
      <c r="AW15" t="s">
        <v>933</v>
      </c>
      <c r="AX15" t="s">
        <v>102</v>
      </c>
      <c r="AY15" t="s">
        <v>31</v>
      </c>
      <c r="AZ15" t="s">
        <v>190</v>
      </c>
      <c r="BA15" t="s">
        <v>53</v>
      </c>
      <c r="BB15" t="s">
        <v>366</v>
      </c>
      <c r="BC15" t="s">
        <v>934</v>
      </c>
      <c r="BD15" t="s">
        <v>365</v>
      </c>
      <c r="BE15" t="s">
        <v>367</v>
      </c>
      <c r="BF15" t="s">
        <v>368</v>
      </c>
      <c r="BG15" t="s">
        <v>369</v>
      </c>
      <c r="BH15" t="s">
        <v>50</v>
      </c>
      <c r="BI15" t="s">
        <v>935</v>
      </c>
      <c r="BJ15" t="s">
        <v>102</v>
      </c>
      <c r="BK15" t="s">
        <v>936</v>
      </c>
      <c r="BL15" t="s">
        <v>937</v>
      </c>
      <c r="BM15" t="s">
        <v>934</v>
      </c>
      <c r="BN15">
        <v>0.74</v>
      </c>
      <c r="BO15">
        <v>1.28</v>
      </c>
      <c r="BP15">
        <v>21.04</v>
      </c>
      <c r="BQ15">
        <v>3.46</v>
      </c>
      <c r="BR15">
        <v>1.84</v>
      </c>
      <c r="BS15">
        <v>22.15</v>
      </c>
      <c r="BT15" t="s">
        <v>514</v>
      </c>
      <c r="BU15" t="s">
        <v>382</v>
      </c>
      <c r="BV15">
        <v>49.17</v>
      </c>
      <c r="BW15">
        <v>45.63</v>
      </c>
      <c r="BX15">
        <v>56.08</v>
      </c>
      <c r="BY15">
        <v>14.8</v>
      </c>
      <c r="BZ15">
        <v>10.8</v>
      </c>
      <c r="CA15">
        <v>33.06</v>
      </c>
      <c r="CB15">
        <v>-2.2400000000000002</v>
      </c>
      <c r="CC15">
        <v>-14.96</v>
      </c>
      <c r="CD15" t="s">
        <v>938</v>
      </c>
      <c r="CE15" t="s">
        <v>939</v>
      </c>
      <c r="CF15" s="10">
        <v>-0.84206433547560011</v>
      </c>
      <c r="CG15" s="11">
        <v>-1.3563527358954857</v>
      </c>
      <c r="CH15" s="10">
        <v>1.3513513803482056</v>
      </c>
      <c r="CI15" s="10">
        <v>-0.48130840063095093</v>
      </c>
      <c r="CJ15" s="10">
        <v>0.17582418024539948</v>
      </c>
      <c r="CK15" s="10">
        <v>0.20529800653457642</v>
      </c>
      <c r="CL15" s="10">
        <v>1.0821841955184937</v>
      </c>
      <c r="CM15" s="11">
        <v>5.114903450012207</v>
      </c>
      <c r="CN15" s="11">
        <v>-0.828269362449646</v>
      </c>
      <c r="CO15" s="11">
        <v>8.2655869424343109E-2</v>
      </c>
      <c r="CP15" s="11">
        <v>9.4995081424713135E-2</v>
      </c>
      <c r="CQ15" s="11">
        <v>0.97261208295822144</v>
      </c>
      <c r="CR15">
        <v>22.542173230475321</v>
      </c>
      <c r="CS15">
        <v>0.48304325099010637</v>
      </c>
      <c r="CT15">
        <v>0.91659028414298804</v>
      </c>
      <c r="CU15" s="10">
        <v>0.46666987240314484</v>
      </c>
      <c r="CV15" s="11">
        <v>1.0873794242739678</v>
      </c>
      <c r="CW15">
        <v>0.06</v>
      </c>
      <c r="CX15">
        <v>4.5587057243321372</v>
      </c>
      <c r="CY15">
        <v>103184791.57127722</v>
      </c>
      <c r="CZ15">
        <v>0.46666987240314484</v>
      </c>
      <c r="DA15">
        <v>1.0988465410439479</v>
      </c>
      <c r="DB15">
        <v>428075333.93435585</v>
      </c>
      <c r="DC15">
        <v>0.44333637878298759</v>
      </c>
      <c r="DD15">
        <v>0.34420161055227411</v>
      </c>
      <c r="DE15">
        <v>1366609235.922101</v>
      </c>
      <c r="DF15">
        <v>0.41066948771476747</v>
      </c>
      <c r="DG15">
        <v>0.11675332801610405</v>
      </c>
      <c r="DH15">
        <v>4028913847.6216974</v>
      </c>
      <c r="DI15">
        <v>0.37333589792251587</v>
      </c>
      <c r="DJ15">
        <v>1.4416319969053499E-2</v>
      </c>
      <c r="DK15">
        <v>32628930337.960804</v>
      </c>
      <c r="DL15">
        <v>0.32666891068220139</v>
      </c>
      <c r="DM15">
        <v>74574300</v>
      </c>
      <c r="DN15">
        <v>0.46666987240314484</v>
      </c>
      <c r="DO15">
        <v>470389099.99999988</v>
      </c>
      <c r="DP15">
        <v>617675740</v>
      </c>
      <c r="DQ15">
        <v>2694</v>
      </c>
      <c r="DR15">
        <v>-1.3087342078787449</v>
      </c>
      <c r="DS15">
        <v>-2.4437321601694535</v>
      </c>
      <c r="DT15" s="12">
        <v>0.19333333333333336</v>
      </c>
      <c r="DU15">
        <v>-0.69833333333333336</v>
      </c>
      <c r="DV15">
        <v>-0.505</v>
      </c>
      <c r="DW15">
        <v>-2.1496</v>
      </c>
      <c r="DX15">
        <v>0.42538534787553756</v>
      </c>
      <c r="DY15">
        <v>-2.0202536480421807</v>
      </c>
      <c r="DZ15">
        <v>1622</v>
      </c>
      <c r="EA15">
        <v>-2.0138247992898486</v>
      </c>
      <c r="EB15">
        <v>2</v>
      </c>
      <c r="EC15">
        <v>4.2648828812147023E-2</v>
      </c>
      <c r="ED15">
        <v>0.31501805388389964</v>
      </c>
      <c r="EE15" s="15">
        <v>-1.1053999999999999</v>
      </c>
      <c r="EF15">
        <v>-1.1043000000000001</v>
      </c>
      <c r="EG15">
        <v>29.135385347875538</v>
      </c>
      <c r="EH15" t="s">
        <v>473</v>
      </c>
      <c r="EI15">
        <v>0</v>
      </c>
      <c r="EJ15">
        <v>0</v>
      </c>
      <c r="EK15" s="14">
        <v>45470</v>
      </c>
      <c r="EL15" s="16">
        <v>-0.7</v>
      </c>
      <c r="EM15" s="16">
        <v>-4.57</v>
      </c>
      <c r="EN15" s="16">
        <v>2</v>
      </c>
      <c r="EO15" s="16">
        <v>4.8899999999999997</v>
      </c>
      <c r="EP15" s="16">
        <v>-0.11</v>
      </c>
    </row>
    <row r="16" spans="1:146" ht="108" x14ac:dyDescent="0.25">
      <c r="A16" s="7"/>
      <c r="B16" s="7"/>
      <c r="C16" s="7" t="str">
        <f>""&amp;CHAR(10)&amp;Basic_Fundamental_Information_Constructure(F16)&amp;CHAR(10)&amp;Basic_Fundamental_Information_Concatenate("")</f>
        <v xml:space="preserve">
市值122.597493亿, 利润2.83亿; PE23.44; 平均PE17.09; 平均PEG2.7, PB1.6; ROIC7.4167%; ROE10.9567%; 股利率1.7637%; 毛利23.42%; 净利6.3767%; 上一年度营收增-57.19%, 利润增-64.84%; 当季营收增68.37%, 利润增60.44%; 过往5年营收增-6.33%, 利润增-12.01%
Income profile:
</v>
      </c>
      <c r="D16" t="s">
        <v>296</v>
      </c>
      <c r="E16" t="s">
        <v>546</v>
      </c>
      <c r="F16">
        <v>11.34</v>
      </c>
      <c r="G16">
        <v>0.35</v>
      </c>
      <c r="H16" t="s">
        <v>940</v>
      </c>
      <c r="I16">
        <v>12259749300</v>
      </c>
      <c r="J16">
        <v>23.44</v>
      </c>
      <c r="K16">
        <v>1.6</v>
      </c>
      <c r="L16" t="s">
        <v>382</v>
      </c>
      <c r="M16" t="s">
        <v>941</v>
      </c>
      <c r="N16" t="s">
        <v>942</v>
      </c>
      <c r="O16" t="s">
        <v>193</v>
      </c>
      <c r="P16">
        <v>-5.8</v>
      </c>
      <c r="Q16" t="s">
        <v>943</v>
      </c>
      <c r="R16">
        <v>198948210</v>
      </c>
      <c r="S16" s="5">
        <v>7.5999999999999998E-2</v>
      </c>
      <c r="T16" t="s">
        <v>35</v>
      </c>
      <c r="U16">
        <v>1081106640</v>
      </c>
      <c r="V16">
        <v>1081106640</v>
      </c>
      <c r="W16">
        <v>3.09</v>
      </c>
      <c r="X16">
        <v>0.09</v>
      </c>
      <c r="Y16">
        <v>8.65</v>
      </c>
      <c r="Z16" t="s">
        <v>944</v>
      </c>
      <c r="AA16" t="s">
        <v>945</v>
      </c>
      <c r="AB16" t="s">
        <v>946</v>
      </c>
      <c r="AC16" t="s">
        <v>85</v>
      </c>
      <c r="AD16" t="s">
        <v>9</v>
      </c>
      <c r="AE16">
        <v>32502415</v>
      </c>
      <c r="AF16" t="s">
        <v>947</v>
      </c>
      <c r="AG16" t="s">
        <v>948</v>
      </c>
      <c r="AH16" t="s">
        <v>949</v>
      </c>
      <c r="AI16" t="s">
        <v>617</v>
      </c>
      <c r="AJ16" t="s">
        <v>950</v>
      </c>
      <c r="AK16" t="s">
        <v>497</v>
      </c>
      <c r="AL16" t="s">
        <v>951</v>
      </c>
      <c r="AM16" t="s">
        <v>9</v>
      </c>
      <c r="AN16" t="s">
        <v>952</v>
      </c>
      <c r="AO16" t="s">
        <v>953</v>
      </c>
      <c r="AP16" t="s">
        <v>224</v>
      </c>
      <c r="AQ16" t="s">
        <v>954</v>
      </c>
      <c r="AR16" t="s">
        <v>955</v>
      </c>
      <c r="AS16" t="s">
        <v>956</v>
      </c>
      <c r="AT16" t="s">
        <v>606</v>
      </c>
      <c r="AU16" t="s">
        <v>957</v>
      </c>
      <c r="AV16" t="s">
        <v>958</v>
      </c>
      <c r="AW16" t="s">
        <v>959</v>
      </c>
      <c r="AX16" t="s">
        <v>547</v>
      </c>
      <c r="AY16" t="s">
        <v>370</v>
      </c>
      <c r="AZ16" t="s">
        <v>297</v>
      </c>
      <c r="BA16" t="s">
        <v>298</v>
      </c>
      <c r="BB16" t="s">
        <v>299</v>
      </c>
      <c r="BC16" t="s">
        <v>960</v>
      </c>
      <c r="BD16" t="s">
        <v>371</v>
      </c>
      <c r="BE16" t="s">
        <v>255</v>
      </c>
      <c r="BF16" t="s">
        <v>264</v>
      </c>
      <c r="BG16" t="s">
        <v>300</v>
      </c>
      <c r="BH16" t="s">
        <v>961</v>
      </c>
      <c r="BI16" t="s">
        <v>962</v>
      </c>
      <c r="BJ16" t="s">
        <v>547</v>
      </c>
      <c r="BK16" t="s">
        <v>167</v>
      </c>
      <c r="BL16" t="s">
        <v>214</v>
      </c>
      <c r="BM16" t="s">
        <v>960</v>
      </c>
      <c r="BN16">
        <v>5.66</v>
      </c>
      <c r="BO16">
        <v>7.62</v>
      </c>
      <c r="BP16">
        <v>8.9700000000000006</v>
      </c>
      <c r="BQ16">
        <v>8.36</v>
      </c>
      <c r="BR16">
        <v>11.18</v>
      </c>
      <c r="BS16">
        <v>13.33</v>
      </c>
      <c r="BT16" t="s">
        <v>515</v>
      </c>
      <c r="BU16" t="s">
        <v>382</v>
      </c>
      <c r="BV16">
        <v>23.68</v>
      </c>
      <c r="BW16">
        <v>23.4</v>
      </c>
      <c r="BX16">
        <v>23.18</v>
      </c>
      <c r="BY16">
        <v>4.6100000000000003</v>
      </c>
      <c r="BZ16">
        <v>6.81</v>
      </c>
      <c r="CA16">
        <v>7.71</v>
      </c>
      <c r="CB16">
        <v>-2.33</v>
      </c>
      <c r="CC16">
        <v>-3.98</v>
      </c>
      <c r="CD16" t="s">
        <v>963</v>
      </c>
      <c r="CE16" t="s">
        <v>157</v>
      </c>
      <c r="CF16" s="10">
        <v>0.68366592756836664</v>
      </c>
      <c r="CG16" s="11">
        <v>0.60442104838709676</v>
      </c>
      <c r="CH16" s="10">
        <v>-0.57188546657562256</v>
      </c>
      <c r="CI16" s="10">
        <v>5.1606535911560059E-2</v>
      </c>
      <c r="CJ16" s="10">
        <v>0.10961597412824631</v>
      </c>
      <c r="CK16" s="10">
        <v>-6.8952888250350952E-2</v>
      </c>
      <c r="CL16" s="10">
        <v>0.16305036842823029</v>
      </c>
      <c r="CM16" s="11">
        <v>-0.64844721555709839</v>
      </c>
      <c r="CN16" s="11">
        <v>-6.3953489065170288E-2</v>
      </c>
      <c r="CO16" s="11">
        <v>0.22332859039306641</v>
      </c>
      <c r="CP16" s="11">
        <v>-0.17391304671764374</v>
      </c>
      <c r="CQ16" s="11">
        <v>6.2421973794698715E-2</v>
      </c>
      <c r="CR16">
        <v>17.094700395073204</v>
      </c>
      <c r="CS16">
        <v>2.7000260091129498</v>
      </c>
      <c r="CT16">
        <v>1.7636684303350971</v>
      </c>
      <c r="CU16" s="10">
        <v>-6.3313095271587377E-2</v>
      </c>
      <c r="CV16" s="11">
        <v>-0.12011263743042946</v>
      </c>
      <c r="CW16">
        <v>0.06</v>
      </c>
      <c r="CX16">
        <v>75.917842049469968</v>
      </c>
      <c r="CY16" t="s">
        <v>964</v>
      </c>
      <c r="CZ16">
        <v>-6.3313095271587377E-2</v>
      </c>
      <c r="DA16">
        <v>25.30594734982332</v>
      </c>
      <c r="DB16" t="s">
        <v>965</v>
      </c>
      <c r="DC16">
        <v>-6.0147440508008007E-2</v>
      </c>
      <c r="DD16">
        <v>12.65297367491166</v>
      </c>
      <c r="DE16" t="s">
        <v>966</v>
      </c>
      <c r="DF16">
        <v>-5.5715523838996896E-2</v>
      </c>
      <c r="DG16">
        <v>7.5917842049469968</v>
      </c>
      <c r="DH16" t="s">
        <v>967</v>
      </c>
      <c r="DI16">
        <v>-5.0650476217269903E-2</v>
      </c>
      <c r="DJ16">
        <v>3.7958921024734984</v>
      </c>
      <c r="DK16" t="s">
        <v>968</v>
      </c>
      <c r="DL16">
        <v>-4.4319166690111163E-2</v>
      </c>
      <c r="DM16">
        <v>283000000</v>
      </c>
      <c r="DN16">
        <v>-6.3313095271587377E-2</v>
      </c>
      <c r="DO16">
        <v>21484749300</v>
      </c>
      <c r="DP16">
        <v>2164705000</v>
      </c>
      <c r="DQ16">
        <v>3149</v>
      </c>
      <c r="DR16">
        <v>0.74697902283995399</v>
      </c>
      <c r="DS16">
        <v>0.7245336858175262</v>
      </c>
      <c r="DT16" s="12">
        <v>-0.50666666666666671</v>
      </c>
      <c r="DU16">
        <v>-0.31666666666666665</v>
      </c>
      <c r="DV16">
        <v>-0.82333333333333336</v>
      </c>
      <c r="DW16">
        <v>-1.0398000000000001</v>
      </c>
      <c r="DX16">
        <v>0.34116277372262882</v>
      </c>
      <c r="DY16">
        <v>-1.0052202783941606</v>
      </c>
      <c r="DZ16">
        <v>4604</v>
      </c>
      <c r="EA16">
        <v>-1.0005169199349209</v>
      </c>
      <c r="EB16">
        <v>1</v>
      </c>
      <c r="EC16">
        <v>1.6621209541364024E-2</v>
      </c>
      <c r="ED16">
        <v>0.12672200403838052</v>
      </c>
      <c r="EE16" s="15">
        <v>-2.0081099999999998</v>
      </c>
      <c r="EF16">
        <v>-2.0162</v>
      </c>
      <c r="EG16">
        <v>21.131162773722629</v>
      </c>
      <c r="EH16" t="s">
        <v>589</v>
      </c>
      <c r="EI16">
        <v>0</v>
      </c>
      <c r="EJ16">
        <v>0</v>
      </c>
      <c r="EK16" s="14">
        <v>45470</v>
      </c>
      <c r="EL16" s="16">
        <v>0</v>
      </c>
      <c r="EM16" s="16">
        <v>-5.04</v>
      </c>
      <c r="EN16" s="16">
        <v>-1.22</v>
      </c>
      <c r="EO16" s="16">
        <v>2.0699999999999998</v>
      </c>
      <c r="EP16" s="16">
        <v>2.4300000000000002</v>
      </c>
    </row>
    <row r="17" spans="1:146" ht="108" x14ac:dyDescent="0.25">
      <c r="A17" s="7"/>
      <c r="B17" s="7"/>
      <c r="C17" s="7" t="str">
        <f>""&amp;CHAR(10)&amp;Basic_Fundamental_Information_Constructure(F17)&amp;CHAR(10)&amp;Basic_Fundamental_Information_Concatenate("")</f>
        <v xml:space="preserve">
市值33.179527亿, 利润4599.62万; PE14.06; 平均PE375.87; 平均PEG33.89, PB.804; ROIC2.81%; ROE3.1767%; 股利率0%; 毛利17.7133%; 净利3.6433%; 上一年度营收增-80.86%, 利润增-69.94%; 当季营收增279.11%, 利润增376.94%; 过往5年营收增-11.09%, 利润增35.7%
Income profile:
</v>
      </c>
      <c r="D17" t="s">
        <v>302</v>
      </c>
      <c r="E17" t="s">
        <v>303</v>
      </c>
      <c r="F17">
        <v>3.74</v>
      </c>
      <c r="G17">
        <v>0.81</v>
      </c>
      <c r="H17" t="s">
        <v>969</v>
      </c>
      <c r="I17">
        <v>3317952700</v>
      </c>
      <c r="J17">
        <v>14.06</v>
      </c>
      <c r="K17">
        <v>0.80400000000000005</v>
      </c>
      <c r="L17" t="s">
        <v>382</v>
      </c>
      <c r="M17" t="s">
        <v>970</v>
      </c>
      <c r="N17" t="s">
        <v>971</v>
      </c>
      <c r="O17" t="s">
        <v>972</v>
      </c>
      <c r="P17">
        <v>-4.1900000000000004</v>
      </c>
      <c r="Q17" t="s">
        <v>576</v>
      </c>
      <c r="R17">
        <v>37931510</v>
      </c>
      <c r="S17" s="5">
        <v>0.24060000000000001</v>
      </c>
      <c r="T17" t="s">
        <v>973</v>
      </c>
      <c r="U17">
        <v>711626070</v>
      </c>
      <c r="V17">
        <v>887153140</v>
      </c>
      <c r="W17">
        <v>2.34</v>
      </c>
      <c r="X17">
        <v>0.06</v>
      </c>
      <c r="Y17">
        <v>7.11</v>
      </c>
      <c r="Z17" t="s">
        <v>577</v>
      </c>
      <c r="AA17" t="s">
        <v>262</v>
      </c>
      <c r="AB17" t="s">
        <v>974</v>
      </c>
      <c r="AC17" t="s">
        <v>975</v>
      </c>
      <c r="AD17" t="s">
        <v>9</v>
      </c>
      <c r="AE17">
        <v>3693608</v>
      </c>
      <c r="AF17" t="s">
        <v>976</v>
      </c>
      <c r="AG17" t="s">
        <v>977</v>
      </c>
      <c r="AH17" t="s">
        <v>978</v>
      </c>
      <c r="AI17" t="s">
        <v>142</v>
      </c>
      <c r="AJ17" t="s">
        <v>979</v>
      </c>
      <c r="AK17" t="s">
        <v>980</v>
      </c>
      <c r="AL17" t="s">
        <v>981</v>
      </c>
      <c r="AM17" t="s">
        <v>9</v>
      </c>
      <c r="AN17">
        <v>0</v>
      </c>
      <c r="AO17" t="s">
        <v>111</v>
      </c>
      <c r="AP17" t="s">
        <v>70</v>
      </c>
      <c r="AQ17" t="s">
        <v>193</v>
      </c>
      <c r="AR17" t="s">
        <v>9</v>
      </c>
      <c r="AS17" t="s">
        <v>982</v>
      </c>
      <c r="AT17" t="s">
        <v>983</v>
      </c>
      <c r="AU17" t="s">
        <v>984</v>
      </c>
      <c r="AV17" t="s">
        <v>985</v>
      </c>
      <c r="AW17" t="s">
        <v>986</v>
      </c>
      <c r="AX17" t="s">
        <v>548</v>
      </c>
      <c r="AY17" t="s">
        <v>549</v>
      </c>
      <c r="AZ17" t="s">
        <v>304</v>
      </c>
      <c r="BA17" t="s">
        <v>307</v>
      </c>
      <c r="BB17" t="s">
        <v>308</v>
      </c>
      <c r="BC17" t="s">
        <v>98</v>
      </c>
      <c r="BD17" t="s">
        <v>44</v>
      </c>
      <c r="BE17" t="s">
        <v>305</v>
      </c>
      <c r="BF17" t="s">
        <v>309</v>
      </c>
      <c r="BG17" t="s">
        <v>310</v>
      </c>
      <c r="BH17" t="s">
        <v>987</v>
      </c>
      <c r="BI17" t="s">
        <v>244</v>
      </c>
      <c r="BJ17" t="s">
        <v>548</v>
      </c>
      <c r="BK17" t="s">
        <v>71</v>
      </c>
      <c r="BL17" t="s">
        <v>988</v>
      </c>
      <c r="BM17" t="s">
        <v>98</v>
      </c>
      <c r="BN17">
        <v>2.57</v>
      </c>
      <c r="BO17">
        <v>3.71</v>
      </c>
      <c r="BP17">
        <v>2.15</v>
      </c>
      <c r="BQ17">
        <v>3.36</v>
      </c>
      <c r="BR17">
        <v>3.53</v>
      </c>
      <c r="BS17">
        <v>2.64</v>
      </c>
      <c r="BT17" t="s">
        <v>513</v>
      </c>
      <c r="BU17" t="s">
        <v>382</v>
      </c>
      <c r="BV17">
        <v>19.59</v>
      </c>
      <c r="BW17">
        <v>20.059999999999999</v>
      </c>
      <c r="BX17">
        <v>13.49</v>
      </c>
      <c r="BY17">
        <v>5.68</v>
      </c>
      <c r="BZ17">
        <v>3.76</v>
      </c>
      <c r="CA17">
        <v>1.49</v>
      </c>
      <c r="CB17">
        <v>0.81</v>
      </c>
      <c r="CC17">
        <v>-15</v>
      </c>
      <c r="CD17" t="s">
        <v>989</v>
      </c>
      <c r="CE17" t="s">
        <v>244</v>
      </c>
      <c r="CF17" s="10">
        <v>2.7911392405063293</v>
      </c>
      <c r="CG17" s="11">
        <v>3.7693993537111319</v>
      </c>
      <c r="CH17" s="10">
        <v>-0.8085901141166687</v>
      </c>
      <c r="CI17" s="10">
        <v>1.06156961992383E-2</v>
      </c>
      <c r="CJ17" s="10">
        <v>0.36258438229560852</v>
      </c>
      <c r="CK17" s="10">
        <v>-8.9285694062709808E-2</v>
      </c>
      <c r="CL17" s="10">
        <v>-2.9821055009961128E-2</v>
      </c>
      <c r="CM17" s="11">
        <v>-0.69937121868133545</v>
      </c>
      <c r="CN17" s="11">
        <v>0.15037593245506287</v>
      </c>
      <c r="CO17" s="11">
        <v>1.5420781373977661</v>
      </c>
      <c r="CP17" s="11">
        <v>-0.42283600568771362</v>
      </c>
      <c r="CQ17" s="11">
        <v>1.2148082256317139</v>
      </c>
      <c r="CR17">
        <v>375.86762881692903</v>
      </c>
      <c r="CS17">
        <v>33.89267883888796</v>
      </c>
      <c r="CT17">
        <v>0</v>
      </c>
      <c r="CU17" s="10">
        <v>-0.11089935693889856</v>
      </c>
      <c r="CV17" s="11">
        <v>0.35701101422309878</v>
      </c>
      <c r="CW17">
        <v>0.06</v>
      </c>
      <c r="CX17">
        <v>111.42121957900871</v>
      </c>
      <c r="CY17" t="s">
        <v>990</v>
      </c>
      <c r="CZ17">
        <v>-0.11089935693889856</v>
      </c>
      <c r="DA17">
        <v>37.140406526336236</v>
      </c>
      <c r="DB17" t="s">
        <v>991</v>
      </c>
      <c r="DC17">
        <v>-0.10535438909195363</v>
      </c>
      <c r="DD17">
        <v>18.570203263168118</v>
      </c>
      <c r="DE17" t="s">
        <v>992</v>
      </c>
      <c r="DF17">
        <v>-9.7591434106230737E-2</v>
      </c>
      <c r="DG17">
        <v>11.142121957900869</v>
      </c>
      <c r="DH17" t="s">
        <v>993</v>
      </c>
      <c r="DI17">
        <v>-8.871948555111886E-2</v>
      </c>
      <c r="DJ17">
        <v>5.5710609789504346</v>
      </c>
      <c r="DK17" t="s">
        <v>994</v>
      </c>
      <c r="DL17">
        <v>-7.7629549857228988E-2</v>
      </c>
      <c r="DM17">
        <v>45996200</v>
      </c>
      <c r="DN17">
        <v>-0.11089935693889856</v>
      </c>
      <c r="DO17">
        <v>5124952700</v>
      </c>
      <c r="DP17">
        <v>2107953100</v>
      </c>
      <c r="DQ17">
        <v>3244</v>
      </c>
      <c r="DR17">
        <v>2.9020385974452281</v>
      </c>
      <c r="DS17">
        <v>3.4123883394880332</v>
      </c>
      <c r="DT17" s="12">
        <v>-0.64</v>
      </c>
      <c r="DU17">
        <v>0.38666666666666666</v>
      </c>
      <c r="DV17">
        <v>-0.25333333333333335</v>
      </c>
      <c r="DW17">
        <v>-2.15</v>
      </c>
      <c r="DX17">
        <v>0.32593544303797445</v>
      </c>
      <c r="DY17">
        <v>-2.0188903164556962</v>
      </c>
      <c r="DZ17">
        <v>4279</v>
      </c>
      <c r="EA17">
        <v>-2.0030719868834996</v>
      </c>
      <c r="EB17">
        <v>2</v>
      </c>
      <c r="EC17">
        <v>2.2428822153523573E-2</v>
      </c>
      <c r="ED17">
        <v>0.17809777464125304</v>
      </c>
      <c r="EE17" s="15">
        <v>-1.0640000000000001</v>
      </c>
      <c r="EF17">
        <v>-1.0640000000000001</v>
      </c>
      <c r="EG17">
        <v>20.125935443037974</v>
      </c>
      <c r="EH17" t="s">
        <v>473</v>
      </c>
      <c r="EI17">
        <v>0</v>
      </c>
      <c r="EJ17">
        <v>0</v>
      </c>
      <c r="EK17" s="14">
        <v>45470</v>
      </c>
      <c r="EL17" s="16">
        <v>-0.74</v>
      </c>
      <c r="EM17" s="16">
        <v>-3.23</v>
      </c>
      <c r="EN17" s="16">
        <v>1.03</v>
      </c>
      <c r="EO17" s="16">
        <v>6.36</v>
      </c>
      <c r="EP17" s="16">
        <v>0</v>
      </c>
    </row>
    <row r="18" spans="1:146" ht="108" x14ac:dyDescent="0.25">
      <c r="A18" s="9"/>
      <c r="B18" s="9"/>
      <c r="C18" s="7" t="str">
        <f>""&amp;CHAR(10)&amp;Basic_Fundamental_Information_Constructure(F18)&amp;CHAR(10)&amp;Basic_Fundamental_Information_Concatenate("")</f>
        <v xml:space="preserve">
市值43.01263亿, 利润2410.08万; PE19.48; 平均PE18.28; 平均PEG.01, PB1.75; ROIC13.23%; ROE13.8767%; 股利率4.7205%; 毛利28.4833%; 净利10.3533%; 上一年度营收增-72.86%, 利润增-93.76%; 当季营收增271.43%, 利润增1622.14%; 过往5年营收增1255.67%, 利润增1207.54%
Income profile:
</v>
      </c>
      <c r="D18" t="s">
        <v>491</v>
      </c>
      <c r="E18" t="s">
        <v>492</v>
      </c>
      <c r="F18">
        <v>8.0500000000000007</v>
      </c>
      <c r="G18">
        <v>0</v>
      </c>
      <c r="H18" t="s">
        <v>995</v>
      </c>
      <c r="I18">
        <v>4301263000</v>
      </c>
      <c r="J18">
        <v>19.48</v>
      </c>
      <c r="K18">
        <v>1.75</v>
      </c>
      <c r="L18" t="s">
        <v>382</v>
      </c>
      <c r="M18" t="s">
        <v>996</v>
      </c>
      <c r="N18" t="s">
        <v>997</v>
      </c>
      <c r="O18" t="s">
        <v>260</v>
      </c>
      <c r="P18">
        <v>11.82</v>
      </c>
      <c r="Q18" t="s">
        <v>998</v>
      </c>
      <c r="R18">
        <v>31726931</v>
      </c>
      <c r="S18" s="5">
        <v>8.2900000000000001E-2</v>
      </c>
      <c r="T18" t="s">
        <v>999</v>
      </c>
      <c r="U18">
        <v>532738350</v>
      </c>
      <c r="V18">
        <v>534318390</v>
      </c>
      <c r="W18">
        <v>1.67</v>
      </c>
      <c r="X18">
        <v>0.16</v>
      </c>
      <c r="Y18">
        <v>5.23</v>
      </c>
      <c r="Z18" t="s">
        <v>599</v>
      </c>
      <c r="AA18" t="s">
        <v>1000</v>
      </c>
      <c r="AB18" t="s">
        <v>1001</v>
      </c>
      <c r="AC18" t="s">
        <v>1002</v>
      </c>
      <c r="AD18" t="s">
        <v>9</v>
      </c>
      <c r="AE18">
        <v>-7985576</v>
      </c>
      <c r="AF18" t="s">
        <v>1003</v>
      </c>
      <c r="AG18" t="s">
        <v>1004</v>
      </c>
      <c r="AH18" t="s">
        <v>1005</v>
      </c>
      <c r="AI18" t="s">
        <v>552</v>
      </c>
      <c r="AJ18" t="s">
        <v>1006</v>
      </c>
      <c r="AK18" t="s">
        <v>1007</v>
      </c>
      <c r="AL18" t="s">
        <v>1008</v>
      </c>
      <c r="AM18" t="s">
        <v>9</v>
      </c>
      <c r="AN18" t="s">
        <v>1009</v>
      </c>
      <c r="AO18" t="s">
        <v>9</v>
      </c>
      <c r="AP18" t="s">
        <v>81</v>
      </c>
      <c r="AQ18" t="s">
        <v>217</v>
      </c>
      <c r="AR18" t="s">
        <v>9</v>
      </c>
      <c r="AS18" t="s">
        <v>1010</v>
      </c>
      <c r="AT18" t="s">
        <v>9</v>
      </c>
      <c r="AU18" t="s">
        <v>1011</v>
      </c>
      <c r="AV18" t="s">
        <v>1012</v>
      </c>
      <c r="AW18" t="s">
        <v>9</v>
      </c>
      <c r="AX18" t="s">
        <v>550</v>
      </c>
      <c r="AY18" t="s">
        <v>493</v>
      </c>
      <c r="AZ18" t="s">
        <v>494</v>
      </c>
      <c r="BA18" t="s">
        <v>347</v>
      </c>
      <c r="BB18" t="s">
        <v>495</v>
      </c>
      <c r="BC18" t="s">
        <v>64</v>
      </c>
      <c r="BD18" t="s">
        <v>159</v>
      </c>
      <c r="BE18" t="s">
        <v>28</v>
      </c>
      <c r="BF18" t="s">
        <v>256</v>
      </c>
      <c r="BG18" t="s">
        <v>496</v>
      </c>
      <c r="BH18" t="s">
        <v>1013</v>
      </c>
      <c r="BI18" t="s">
        <v>56</v>
      </c>
      <c r="BJ18" t="s">
        <v>550</v>
      </c>
      <c r="BK18" t="s">
        <v>150</v>
      </c>
      <c r="BL18" t="s">
        <v>1014</v>
      </c>
      <c r="BM18" t="s">
        <v>64</v>
      </c>
      <c r="BN18">
        <v>4.95</v>
      </c>
      <c r="BO18">
        <v>15.78</v>
      </c>
      <c r="BP18">
        <v>18.96</v>
      </c>
      <c r="BQ18">
        <v>5.01</v>
      </c>
      <c r="BR18">
        <v>16.78</v>
      </c>
      <c r="BS18">
        <v>19.84</v>
      </c>
      <c r="BT18" t="s">
        <v>551</v>
      </c>
      <c r="BU18" t="s">
        <v>382</v>
      </c>
      <c r="BV18">
        <v>27.45</v>
      </c>
      <c r="BW18">
        <v>29.52</v>
      </c>
      <c r="BX18">
        <v>28.48</v>
      </c>
      <c r="BY18">
        <v>7.78</v>
      </c>
      <c r="BZ18">
        <v>11.65</v>
      </c>
      <c r="CA18">
        <v>11.63</v>
      </c>
      <c r="CB18">
        <v>-1.83</v>
      </c>
      <c r="CC18">
        <v>-10.95</v>
      </c>
      <c r="CD18" t="s">
        <v>1015</v>
      </c>
      <c r="CE18" t="s">
        <v>1016</v>
      </c>
      <c r="CF18" s="10">
        <v>2.7142857142857144</v>
      </c>
      <c r="CG18" s="11">
        <v>16.221370569396949</v>
      </c>
      <c r="CH18" s="10">
        <v>-0.72859138250350952</v>
      </c>
      <c r="CI18" s="10">
        <v>-4.5781210064888E-2</v>
      </c>
      <c r="CJ18" s="10">
        <v>7.8358188271522522E-2</v>
      </c>
      <c r="CK18" s="10">
        <v>8.6034916341304779E-2</v>
      </c>
      <c r="CL18" s="10">
        <v>63.393619537353516</v>
      </c>
      <c r="CM18" s="11">
        <v>-0.93756270408630371</v>
      </c>
      <c r="CN18" s="11">
        <v>-1.781170442700386E-2</v>
      </c>
      <c r="CO18" s="11">
        <v>0.33673468232154846</v>
      </c>
      <c r="CP18" s="11">
        <v>-5.161290243268013E-2</v>
      </c>
      <c r="CQ18" s="11">
        <v>61.047157287597656</v>
      </c>
      <c r="CR18">
        <v>18.276066020960318</v>
      </c>
      <c r="CS18">
        <v>1.4554799631385481E-2</v>
      </c>
      <c r="CT18">
        <v>4.720496894409937</v>
      </c>
      <c r="CU18" s="10">
        <v>12.556728009879588</v>
      </c>
      <c r="CV18" s="11">
        <v>12.075380931794644</v>
      </c>
      <c r="CW18">
        <v>0.06</v>
      </c>
      <c r="CX18">
        <v>11.287734409450016</v>
      </c>
      <c r="CY18">
        <v>308233953.22689241</v>
      </c>
      <c r="CZ18">
        <v>12.556728009879588</v>
      </c>
      <c r="DA18">
        <v>7.3076508442023666E-2</v>
      </c>
      <c r="DB18">
        <v>47611237512.261894</v>
      </c>
      <c r="DC18">
        <v>11.928891609385609</v>
      </c>
      <c r="DD18">
        <v>6.1009355953818075E-5</v>
      </c>
      <c r="DE18">
        <v>57028351563548.367</v>
      </c>
      <c r="DF18">
        <v>11.049920648694037</v>
      </c>
      <c r="DG18">
        <v>8.6475052376018044E-9</v>
      </c>
      <c r="DH18">
        <v>4.0234297689363379E+17</v>
      </c>
      <c r="DI18">
        <v>10.045382407903672</v>
      </c>
      <c r="DJ18">
        <v>6.3154878411058366E-18</v>
      </c>
      <c r="DK18">
        <v>5.5090961894572884E+26</v>
      </c>
      <c r="DL18">
        <v>8.7897096069157108</v>
      </c>
      <c r="DM18">
        <v>24100800</v>
      </c>
      <c r="DN18">
        <v>12.556728009879588</v>
      </c>
      <c r="DO18">
        <v>3479263000</v>
      </c>
      <c r="DP18">
        <v>1824206900</v>
      </c>
      <c r="DQ18">
        <v>3489</v>
      </c>
      <c r="DR18">
        <v>-9.8424422955938731</v>
      </c>
      <c r="DS18">
        <v>4.1459896376023053</v>
      </c>
      <c r="DT18" s="12">
        <v>-0.3066666666666667</v>
      </c>
      <c r="DU18">
        <v>0.88</v>
      </c>
      <c r="DV18">
        <v>0.57333333333333325</v>
      </c>
      <c r="DW18">
        <v>-2.1095000000000002</v>
      </c>
      <c r="DX18">
        <v>0.35968160897799661</v>
      </c>
      <c r="DY18">
        <v>-2.0142001361830908</v>
      </c>
      <c r="DZ18" t="s">
        <v>1017</v>
      </c>
      <c r="EA18" t="e">
        <v>#VALUE!</v>
      </c>
      <c r="EB18" t="e">
        <v>#VALUE!</v>
      </c>
      <c r="EC18">
        <v>9.6238499296271655E-3</v>
      </c>
      <c r="ED18">
        <v>7.4211370490167863E-2</v>
      </c>
      <c r="EE18" s="15">
        <v>-3.0767000000000002</v>
      </c>
      <c r="EF18">
        <v>-3.0657000000000001</v>
      </c>
      <c r="EG18">
        <v>23.129681608977997</v>
      </c>
      <c r="EH18" t="s">
        <v>588</v>
      </c>
      <c r="EI18" t="e">
        <v>#VALUE!</v>
      </c>
      <c r="EJ18">
        <v>0</v>
      </c>
      <c r="EK18" s="14">
        <v>45470</v>
      </c>
      <c r="EL18" s="16">
        <v>0.37</v>
      </c>
      <c r="EM18" s="16">
        <v>-1.47</v>
      </c>
      <c r="EN18" s="16">
        <v>-0.37</v>
      </c>
      <c r="EO18" s="16">
        <v>1.49</v>
      </c>
      <c r="EP18" s="16">
        <v>-1.1000000000000001</v>
      </c>
    </row>
    <row r="19" spans="1:146" ht="108" x14ac:dyDescent="0.25">
      <c r="A19" s="7"/>
      <c r="B19" s="7"/>
      <c r="C19" s="7" t="str">
        <f>""&amp;CHAR(10)&amp;Basic_Fundamental_Information_Constructure(F19)&amp;CHAR(10)&amp;Basic_Fundamental_Information_Concatenate("")</f>
        <v xml:space="preserve">
市值122.225505亿, 利润1.20亿; PE11.95; 平均PE26.45; 平均PEG32.51, PB2.94; ROIC19.6433%; ROE20.3%; 股利率0%; 毛利30.8233%; 净利14.9067%; 上一年度营收增-79.92%, 利润增-85.61%; 当季营收增807.83%, 利润增2831.1%; 过往5年营收增-.81%, 利润增12.58%
Income profile:
</v>
      </c>
      <c r="D19" t="s">
        <v>314</v>
      </c>
      <c r="E19" t="s">
        <v>373</v>
      </c>
      <c r="F19">
        <v>21.2</v>
      </c>
      <c r="G19">
        <v>1.19</v>
      </c>
      <c r="H19" t="s">
        <v>1018</v>
      </c>
      <c r="I19">
        <v>12222550500</v>
      </c>
      <c r="J19">
        <v>11.95</v>
      </c>
      <c r="K19">
        <v>2.94</v>
      </c>
      <c r="L19" t="s">
        <v>382</v>
      </c>
      <c r="M19" t="s">
        <v>1019</v>
      </c>
      <c r="N19" t="s">
        <v>1020</v>
      </c>
      <c r="O19" t="s">
        <v>605</v>
      </c>
      <c r="P19">
        <v>2.66</v>
      </c>
      <c r="Q19" t="s">
        <v>600</v>
      </c>
      <c r="R19">
        <v>228531880</v>
      </c>
      <c r="S19" s="5">
        <v>6.7000000000000004E-2</v>
      </c>
      <c r="T19" t="s">
        <v>45</v>
      </c>
      <c r="U19">
        <v>572047370</v>
      </c>
      <c r="V19">
        <v>576535400</v>
      </c>
      <c r="W19">
        <v>1.98</v>
      </c>
      <c r="X19">
        <v>0.18</v>
      </c>
      <c r="Y19">
        <v>15.17</v>
      </c>
      <c r="Z19" t="s">
        <v>1021</v>
      </c>
      <c r="AA19" t="s">
        <v>1022</v>
      </c>
      <c r="AB19" t="s">
        <v>1023</v>
      </c>
      <c r="AC19" t="s">
        <v>1024</v>
      </c>
      <c r="AD19" t="s">
        <v>9</v>
      </c>
      <c r="AE19">
        <v>-15666238</v>
      </c>
      <c r="AF19" t="s">
        <v>1025</v>
      </c>
      <c r="AG19" t="s">
        <v>1026</v>
      </c>
      <c r="AH19" t="s">
        <v>1027</v>
      </c>
      <c r="AI19" t="s">
        <v>1028</v>
      </c>
      <c r="AJ19" t="s">
        <v>1029</v>
      </c>
      <c r="AK19" t="s">
        <v>166</v>
      </c>
      <c r="AL19" t="s">
        <v>1030</v>
      </c>
      <c r="AM19" t="s">
        <v>9</v>
      </c>
      <c r="AN19" t="s">
        <v>1031</v>
      </c>
      <c r="AO19" t="s">
        <v>206</v>
      </c>
      <c r="AP19" t="s">
        <v>9</v>
      </c>
      <c r="AQ19" t="s">
        <v>602</v>
      </c>
      <c r="AR19" t="s">
        <v>9</v>
      </c>
      <c r="AS19" t="s">
        <v>1032</v>
      </c>
      <c r="AT19" t="s">
        <v>9</v>
      </c>
      <c r="AU19" t="s">
        <v>1033</v>
      </c>
      <c r="AV19" t="s">
        <v>1034</v>
      </c>
      <c r="AW19" t="s">
        <v>1035</v>
      </c>
      <c r="AX19" t="s">
        <v>553</v>
      </c>
      <c r="AY19" t="s">
        <v>374</v>
      </c>
      <c r="AZ19" t="s">
        <v>315</v>
      </c>
      <c r="BA19" t="s">
        <v>316</v>
      </c>
      <c r="BB19" t="s">
        <v>317</v>
      </c>
      <c r="BC19" t="s">
        <v>554</v>
      </c>
      <c r="BD19" t="s">
        <v>61</v>
      </c>
      <c r="BE19" t="s">
        <v>182</v>
      </c>
      <c r="BF19" t="s">
        <v>143</v>
      </c>
      <c r="BG19" t="s">
        <v>110</v>
      </c>
      <c r="BH19" t="s">
        <v>1036</v>
      </c>
      <c r="BI19" t="s">
        <v>52</v>
      </c>
      <c r="BJ19" t="s">
        <v>553</v>
      </c>
      <c r="BK19" t="s">
        <v>350</v>
      </c>
      <c r="BL19" t="s">
        <v>1037</v>
      </c>
      <c r="BM19" t="s">
        <v>554</v>
      </c>
      <c r="BN19">
        <v>17.05</v>
      </c>
      <c r="BO19">
        <v>21.93</v>
      </c>
      <c r="BP19">
        <v>19.95</v>
      </c>
      <c r="BQ19">
        <v>17.5</v>
      </c>
      <c r="BR19">
        <v>22.79</v>
      </c>
      <c r="BS19">
        <v>20.61</v>
      </c>
      <c r="BT19" t="s">
        <v>513</v>
      </c>
      <c r="BU19" t="s">
        <v>382</v>
      </c>
      <c r="BV19">
        <v>31.75</v>
      </c>
      <c r="BW19">
        <v>30.73</v>
      </c>
      <c r="BX19">
        <v>29.99</v>
      </c>
      <c r="BY19">
        <v>16.13</v>
      </c>
      <c r="BZ19">
        <v>14.68</v>
      </c>
      <c r="CA19">
        <v>13.91</v>
      </c>
      <c r="CB19">
        <v>-2.2599999999999998</v>
      </c>
      <c r="CC19">
        <v>-4.12</v>
      </c>
      <c r="CD19" t="s">
        <v>1038</v>
      </c>
      <c r="CE19" t="s">
        <v>1039</v>
      </c>
      <c r="CF19" s="10">
        <v>8.0783132530120483</v>
      </c>
      <c r="CG19" s="11">
        <v>28.310983993433208</v>
      </c>
      <c r="CH19" s="10">
        <v>-0.79919040203094482</v>
      </c>
      <c r="CI19" s="10">
        <v>0.22167278826236725</v>
      </c>
      <c r="CJ19" s="10">
        <v>0.39711621403694153</v>
      </c>
      <c r="CK19" s="10">
        <v>5.4363850504159927E-3</v>
      </c>
      <c r="CL19" s="10">
        <v>0.13429255783557892</v>
      </c>
      <c r="CM19" s="11">
        <v>-0.85611510276794434</v>
      </c>
      <c r="CN19" s="11">
        <v>0.28902626037597656</v>
      </c>
      <c r="CO19" s="11">
        <v>0.25631067156791687</v>
      </c>
      <c r="CP19" s="11">
        <v>0.24697336554527283</v>
      </c>
      <c r="CQ19" s="11">
        <v>0.69262295961380005</v>
      </c>
      <c r="CR19">
        <v>26.446196538045438</v>
      </c>
      <c r="CS19">
        <v>32.511186425758879</v>
      </c>
      <c r="CT19">
        <v>0</v>
      </c>
      <c r="CU19" s="10">
        <v>-8.1344913691282269E-3</v>
      </c>
      <c r="CV19" s="11">
        <v>0.1257636308670044</v>
      </c>
      <c r="CW19">
        <v>0.06</v>
      </c>
      <c r="CX19">
        <v>101.21292083333333</v>
      </c>
      <c r="CY19" t="s">
        <v>1040</v>
      </c>
      <c r="CZ19">
        <v>-8.1344913691282269E-3</v>
      </c>
      <c r="DA19">
        <v>33.737640277777778</v>
      </c>
      <c r="DB19" t="s">
        <v>1041</v>
      </c>
      <c r="DC19">
        <v>-7.7277668006718149E-3</v>
      </c>
      <c r="DD19">
        <v>16.868820138888889</v>
      </c>
      <c r="DE19" t="s">
        <v>1042</v>
      </c>
      <c r="DF19">
        <v>-7.1583524048328398E-3</v>
      </c>
      <c r="DG19">
        <v>10.121292083333334</v>
      </c>
      <c r="DH19" t="s">
        <v>1043</v>
      </c>
      <c r="DI19">
        <v>-6.5075930953025817E-3</v>
      </c>
      <c r="DJ19">
        <v>5.0606460416666668</v>
      </c>
      <c r="DK19" t="s">
        <v>1044</v>
      </c>
      <c r="DL19">
        <v>-5.6941439583897586E-3</v>
      </c>
      <c r="DM19">
        <v>120000000</v>
      </c>
      <c r="DN19">
        <v>-8.1344913691282269E-3</v>
      </c>
      <c r="DO19">
        <v>12145550500</v>
      </c>
      <c r="DP19">
        <v>1508210100</v>
      </c>
      <c r="DQ19">
        <v>4055</v>
      </c>
      <c r="DR19">
        <v>8.0864477443811769</v>
      </c>
      <c r="DS19">
        <v>28.185220362566202</v>
      </c>
      <c r="DT19" s="12">
        <v>-0.49</v>
      </c>
      <c r="DU19">
        <v>0.26666666666666666</v>
      </c>
      <c r="DV19">
        <v>-0.22333333333333333</v>
      </c>
      <c r="DW19">
        <v>-1.0411999999999999</v>
      </c>
      <c r="DX19">
        <v>0.44864480396186196</v>
      </c>
      <c r="DY19">
        <v>-1.0053001659232286</v>
      </c>
      <c r="DZ19">
        <v>3509</v>
      </c>
      <c r="EA19">
        <v>-1.0016605803606828</v>
      </c>
      <c r="EB19">
        <v>1</v>
      </c>
      <c r="EC19">
        <v>1.8573360803170107E-2</v>
      </c>
      <c r="ED19">
        <v>0.14437708421720505</v>
      </c>
      <c r="EE19" s="15">
        <v>-6.03721</v>
      </c>
      <c r="EF19">
        <v>-6.07111</v>
      </c>
      <c r="EG19">
        <v>32.128644803961862</v>
      </c>
      <c r="EH19" t="s">
        <v>777</v>
      </c>
      <c r="EI19">
        <v>0</v>
      </c>
      <c r="EJ19">
        <v>0</v>
      </c>
      <c r="EK19" s="14">
        <v>45470</v>
      </c>
      <c r="EL19" s="16">
        <v>3.37</v>
      </c>
      <c r="EM19" s="16">
        <v>-10.039999999999999</v>
      </c>
      <c r="EN19" s="16">
        <v>-7.39</v>
      </c>
      <c r="EO19" s="16">
        <v>1.56</v>
      </c>
      <c r="EP19" s="16">
        <v>-3.39</v>
      </c>
    </row>
    <row r="20" spans="1:146" ht="108" x14ac:dyDescent="0.25">
      <c r="C20" s="7" t="str">
        <f>""&amp;CHAR(10)&amp;Basic_Fundamental_Information_Constructure(F20)&amp;CHAR(10)&amp;Basic_Fundamental_Information_Concatenate("")</f>
        <v xml:space="preserve">
市值21.54502亿, 利润6.87亿; PE13.19; 平均PE11.55; 平均PEG.11, PB1.71; ROIC23.23%; ROE23.675%; 股利率2.2981%; 毛利35.9733%; 净利17.9267%; 上一年度营收增385.37%, 利润增308.93%; 当季营收增-69.79%, 利润增-40.96%; 过往5年营收增107.93%, 利润增123.54%
Income profile:
</v>
      </c>
      <c r="D20" t="s">
        <v>555</v>
      </c>
      <c r="E20" t="s">
        <v>556</v>
      </c>
      <c r="F20">
        <v>16.100000000000001</v>
      </c>
      <c r="G20">
        <v>2.74</v>
      </c>
      <c r="H20" t="s">
        <v>1045</v>
      </c>
      <c r="I20">
        <v>2154502000</v>
      </c>
      <c r="J20">
        <v>13.19</v>
      </c>
      <c r="K20">
        <v>1.71</v>
      </c>
      <c r="L20" t="s">
        <v>382</v>
      </c>
      <c r="M20" t="s">
        <v>580</v>
      </c>
      <c r="N20" t="s">
        <v>1046</v>
      </c>
      <c r="O20" t="s">
        <v>121</v>
      </c>
      <c r="P20" s="5">
        <v>-14.37</v>
      </c>
      <c r="Q20" t="s">
        <v>504</v>
      </c>
      <c r="R20">
        <v>42872319</v>
      </c>
      <c r="S20">
        <v>4.5600000000000002E-2</v>
      </c>
      <c r="T20" t="s">
        <v>1047</v>
      </c>
      <c r="U20">
        <v>64184459</v>
      </c>
      <c r="V20">
        <v>133820000</v>
      </c>
      <c r="W20">
        <v>2.15</v>
      </c>
      <c r="X20">
        <v>0.08</v>
      </c>
      <c r="Y20">
        <v>19.7</v>
      </c>
      <c r="Z20" t="s">
        <v>32</v>
      </c>
      <c r="AA20" t="s">
        <v>147</v>
      </c>
      <c r="AB20" t="s">
        <v>1048</v>
      </c>
      <c r="AC20" t="s">
        <v>1049</v>
      </c>
      <c r="AD20" t="s">
        <v>9</v>
      </c>
      <c r="AE20">
        <v>-2618236</v>
      </c>
      <c r="AF20" t="s">
        <v>1050</v>
      </c>
      <c r="AG20" t="s">
        <v>1051</v>
      </c>
      <c r="AH20" t="s">
        <v>1052</v>
      </c>
      <c r="AI20" t="s">
        <v>526</v>
      </c>
      <c r="AJ20" t="s">
        <v>1053</v>
      </c>
      <c r="AK20" t="s">
        <v>1054</v>
      </c>
      <c r="AL20" t="s">
        <v>1055</v>
      </c>
      <c r="AM20" t="s">
        <v>9</v>
      </c>
      <c r="AN20" t="s">
        <v>1056</v>
      </c>
      <c r="AO20" t="s">
        <v>9</v>
      </c>
      <c r="AP20" t="s">
        <v>1057</v>
      </c>
      <c r="AQ20" t="s">
        <v>1058</v>
      </c>
      <c r="AR20" t="s">
        <v>9</v>
      </c>
      <c r="AS20" t="s">
        <v>1059</v>
      </c>
      <c r="AT20" t="s">
        <v>9</v>
      </c>
      <c r="AU20" t="s">
        <v>1060</v>
      </c>
      <c r="AV20" t="s">
        <v>1061</v>
      </c>
      <c r="AW20" t="s">
        <v>1062</v>
      </c>
      <c r="AX20" t="s">
        <v>557</v>
      </c>
      <c r="AY20" t="s">
        <v>203</v>
      </c>
      <c r="AZ20" t="s">
        <v>499</v>
      </c>
      <c r="BA20" t="s">
        <v>163</v>
      </c>
      <c r="BB20" t="s">
        <v>223</v>
      </c>
      <c r="BC20" t="s">
        <v>26</v>
      </c>
      <c r="BD20" t="s">
        <v>558</v>
      </c>
      <c r="BE20" t="s">
        <v>559</v>
      </c>
      <c r="BF20" t="s">
        <v>560</v>
      </c>
      <c r="BG20" t="s">
        <v>561</v>
      </c>
      <c r="BH20" t="s">
        <v>1063</v>
      </c>
      <c r="BI20" t="s">
        <v>60</v>
      </c>
      <c r="BJ20" t="s">
        <v>557</v>
      </c>
      <c r="BK20" t="s">
        <v>41</v>
      </c>
      <c r="BL20" t="s">
        <v>1064</v>
      </c>
      <c r="BM20" t="s">
        <v>26</v>
      </c>
      <c r="BN20">
        <v>13.69</v>
      </c>
      <c r="BO20">
        <v>31.88</v>
      </c>
      <c r="BP20">
        <v>24.12</v>
      </c>
      <c r="BQ20">
        <v>13.22</v>
      </c>
      <c r="BR20">
        <v>34.130000000000003</v>
      </c>
      <c r="BS20" t="s">
        <v>9</v>
      </c>
      <c r="BT20" t="s">
        <v>1065</v>
      </c>
      <c r="BU20" t="s">
        <v>382</v>
      </c>
      <c r="BV20">
        <v>33.57</v>
      </c>
      <c r="BW20">
        <v>35.53</v>
      </c>
      <c r="BX20">
        <v>38.82</v>
      </c>
      <c r="BY20">
        <v>16.510000000000002</v>
      </c>
      <c r="BZ20">
        <v>18.11</v>
      </c>
      <c r="CA20">
        <v>19.16</v>
      </c>
      <c r="CB20">
        <v>-4.51</v>
      </c>
      <c r="CC20" s="10">
        <v>-18.27</v>
      </c>
      <c r="CD20" s="11" t="s">
        <v>1066</v>
      </c>
      <c r="CE20" s="10" t="s">
        <v>1067</v>
      </c>
      <c r="CF20" s="10">
        <v>-0.6979020979020979</v>
      </c>
      <c r="CG20" s="10">
        <v>-0.40956652931487531</v>
      </c>
      <c r="CH20" s="10">
        <v>3.8537118434906006</v>
      </c>
      <c r="CI20" s="10">
        <v>0.89256197214126587</v>
      </c>
      <c r="CJ20" s="11">
        <v>0.15789473056793213</v>
      </c>
      <c r="CK20" s="11">
        <v>0.31446540355682373</v>
      </c>
      <c r="CL20" s="11">
        <v>0.17777778208255768</v>
      </c>
      <c r="CM20" s="11">
        <v>3.0892856121063232</v>
      </c>
      <c r="CN20" s="11">
        <v>0.79486411809921265</v>
      </c>
      <c r="CO20">
        <v>0.11372163146734238</v>
      </c>
      <c r="CP20">
        <v>0.30972620844841003</v>
      </c>
      <c r="CQ20">
        <v>1.8696396350860596</v>
      </c>
      <c r="CR20" s="10">
        <v>11.550506905681312</v>
      </c>
      <c r="CS20" s="11">
        <v>0.10702025234224226</v>
      </c>
      <c r="CT20">
        <v>2.298136645962733</v>
      </c>
      <c r="CU20">
        <v>1.079282346367836</v>
      </c>
      <c r="CV20">
        <v>1.2354474410414695</v>
      </c>
      <c r="CW20">
        <v>0.06</v>
      </c>
      <c r="CX20">
        <v>1.7894653290458136</v>
      </c>
      <c r="CY20">
        <v>1347610350.9006634</v>
      </c>
      <c r="CZ20">
        <v>1.079282346367836</v>
      </c>
      <c r="DA20">
        <v>0.27999430291638944</v>
      </c>
      <c r="DB20">
        <v>8612682382.7558784</v>
      </c>
      <c r="DC20">
        <v>1.0253182290494443</v>
      </c>
      <c r="DD20">
        <v>4.2454338302114362E-2</v>
      </c>
      <c r="DE20">
        <v>56802251464.602371</v>
      </c>
      <c r="DF20">
        <v>0.9497684648036957</v>
      </c>
      <c r="DG20">
        <v>5.3882218179890848E-3</v>
      </c>
      <c r="DH20">
        <v>447550617153.32025</v>
      </c>
      <c r="DI20">
        <v>0.86342587709426888</v>
      </c>
      <c r="DJ20">
        <v>5.7724027010222555E-5</v>
      </c>
      <c r="DK20">
        <v>41776399272575.672</v>
      </c>
      <c r="DL20">
        <v>0.75549764245748519</v>
      </c>
      <c r="DM20">
        <v>687000000</v>
      </c>
      <c r="DN20">
        <v>1.079282346367836</v>
      </c>
      <c r="DO20">
        <v>2411502000</v>
      </c>
      <c r="DP20">
        <v>865772300</v>
      </c>
      <c r="DQ20" s="12">
        <v>4058</v>
      </c>
      <c r="DR20">
        <v>-1.7771844442699338</v>
      </c>
      <c r="DS20">
        <v>-1.6450139703563449</v>
      </c>
      <c r="DT20">
        <v>0.5099999999999999</v>
      </c>
      <c r="DU20">
        <v>1.0383333333333333</v>
      </c>
      <c r="DV20">
        <v>1.5483333333333333</v>
      </c>
      <c r="DW20">
        <v>-8.2468527640941431</v>
      </c>
      <c r="DX20">
        <v>0.44294142302622519</v>
      </c>
      <c r="DY20">
        <v>-8.0451595959413389</v>
      </c>
      <c r="DZ20">
        <v>1571</v>
      </c>
      <c r="EA20">
        <v>-8.0312758923750298</v>
      </c>
      <c r="EB20" s="15">
        <v>8</v>
      </c>
      <c r="EC20" s="15">
        <v>2.2504857270960996E-2</v>
      </c>
      <c r="ED20">
        <v>0.12301673890300403</v>
      </c>
      <c r="EE20">
        <v>1.83E-2</v>
      </c>
      <c r="EF20">
        <v>1.1100000000000003E-3</v>
      </c>
      <c r="EG20">
        <v>26.182941423026225</v>
      </c>
      <c r="EH20" s="14">
        <v>-1</v>
      </c>
      <c r="EI20">
        <v>0</v>
      </c>
      <c r="EJ20">
        <v>0</v>
      </c>
      <c r="EK20">
        <v>45470</v>
      </c>
      <c r="EL20">
        <v>-1.05</v>
      </c>
      <c r="EM20">
        <v>-2.67</v>
      </c>
      <c r="EN20" s="16">
        <v>1.61</v>
      </c>
      <c r="EO20" s="16">
        <v>3.68</v>
      </c>
      <c r="EP20" s="16">
        <v>-1.94</v>
      </c>
    </row>
    <row r="21" spans="1:146" ht="108" x14ac:dyDescent="0.25">
      <c r="A21" s="7"/>
      <c r="B21" s="7"/>
      <c r="C21" s="7" t="str">
        <f>""&amp;CHAR(10)&amp;Basic_Fundamental_Information_Constructure(F21)&amp;CHAR(10)&amp;Basic_Fundamental_Information_Concatenate("")</f>
        <v xml:space="preserve">
市值30.37078亿, 利润2.87亿; PE18.33; 平均PE19.92; 平均PEG2.57, PB1.88; ROIC9.23%; ROE9.7133%; 股利率1.3287%; 毛利27.2733%; 净利10.41%; 上一年度营收增-7.91%, 利润增120.77%; 当季营收增-38.52%, 利润增-83.32%; 过往5年营收增7.74%, 利润增28.13%
Income profile:
</v>
      </c>
      <c r="D21" t="s">
        <v>318</v>
      </c>
      <c r="E21" t="s">
        <v>319</v>
      </c>
      <c r="F21">
        <v>20.32</v>
      </c>
      <c r="G21">
        <v>-0.78</v>
      </c>
      <c r="H21" t="s">
        <v>1068</v>
      </c>
      <c r="I21">
        <v>3037078000</v>
      </c>
      <c r="J21">
        <v>18.329999999999998</v>
      </c>
      <c r="K21">
        <v>1.88</v>
      </c>
      <c r="L21" t="s">
        <v>382</v>
      </c>
      <c r="M21" t="s">
        <v>1069</v>
      </c>
      <c r="N21" t="s">
        <v>1070</v>
      </c>
      <c r="O21" t="s">
        <v>77</v>
      </c>
      <c r="P21">
        <v>0.53</v>
      </c>
      <c r="Q21" t="s">
        <v>598</v>
      </c>
      <c r="R21">
        <v>19015799</v>
      </c>
      <c r="S21" s="5">
        <v>1.47E-2</v>
      </c>
      <c r="T21" t="s">
        <v>521</v>
      </c>
      <c r="U21">
        <v>149074060</v>
      </c>
      <c r="V21">
        <v>149462500</v>
      </c>
      <c r="W21">
        <v>2.08</v>
      </c>
      <c r="X21">
        <v>0.08</v>
      </c>
      <c r="Y21">
        <v>7.29</v>
      </c>
      <c r="Z21" t="s">
        <v>209</v>
      </c>
      <c r="AA21" t="s">
        <v>109</v>
      </c>
      <c r="AB21" t="s">
        <v>1071</v>
      </c>
      <c r="AC21" t="s">
        <v>1072</v>
      </c>
      <c r="AD21" t="s">
        <v>9</v>
      </c>
      <c r="AE21">
        <v>2749008</v>
      </c>
      <c r="AF21" t="s">
        <v>30</v>
      </c>
      <c r="AG21" t="s">
        <v>1073</v>
      </c>
      <c r="AH21" t="s">
        <v>1074</v>
      </c>
      <c r="AI21" t="s">
        <v>201</v>
      </c>
      <c r="AJ21" t="s">
        <v>1075</v>
      </c>
      <c r="AK21" t="s">
        <v>9</v>
      </c>
      <c r="AL21" t="s">
        <v>1076</v>
      </c>
      <c r="AM21" t="s">
        <v>9</v>
      </c>
      <c r="AN21" t="s">
        <v>1077</v>
      </c>
      <c r="AO21" t="s">
        <v>579</v>
      </c>
      <c r="AP21" t="s">
        <v>498</v>
      </c>
      <c r="AQ21" t="s">
        <v>194</v>
      </c>
      <c r="AR21" t="s">
        <v>9</v>
      </c>
      <c r="AS21" t="s">
        <v>1078</v>
      </c>
      <c r="AT21" t="s">
        <v>1079</v>
      </c>
      <c r="AU21" t="s">
        <v>1080</v>
      </c>
      <c r="AV21" t="s">
        <v>1081</v>
      </c>
      <c r="AW21" t="s">
        <v>1082</v>
      </c>
      <c r="AX21" t="s">
        <v>562</v>
      </c>
      <c r="AY21" t="s">
        <v>375</v>
      </c>
      <c r="AZ21" t="s">
        <v>183</v>
      </c>
      <c r="BA21" t="s">
        <v>212</v>
      </c>
      <c r="BB21" t="s">
        <v>156</v>
      </c>
      <c r="BC21" t="s">
        <v>145</v>
      </c>
      <c r="BD21" t="s">
        <v>191</v>
      </c>
      <c r="BE21" t="s">
        <v>106</v>
      </c>
      <c r="BF21" t="s">
        <v>93</v>
      </c>
      <c r="BG21" t="s">
        <v>102</v>
      </c>
      <c r="BH21" t="s">
        <v>534</v>
      </c>
      <c r="BI21" t="s">
        <v>610</v>
      </c>
      <c r="BJ21" t="s">
        <v>562</v>
      </c>
      <c r="BK21" t="s">
        <v>32</v>
      </c>
      <c r="BL21" t="s">
        <v>63</v>
      </c>
      <c r="BM21" t="s">
        <v>145</v>
      </c>
      <c r="BN21">
        <v>5.91</v>
      </c>
      <c r="BO21">
        <v>8.49</v>
      </c>
      <c r="BP21">
        <v>13.29</v>
      </c>
      <c r="BQ21">
        <v>6.81</v>
      </c>
      <c r="BR21">
        <v>9.4</v>
      </c>
      <c r="BS21">
        <v>12.93</v>
      </c>
      <c r="BT21" t="s">
        <v>1083</v>
      </c>
      <c r="BU21" t="s">
        <v>382</v>
      </c>
      <c r="BV21">
        <v>26.6</v>
      </c>
      <c r="BW21">
        <v>28.01</v>
      </c>
      <c r="BX21">
        <v>27.21</v>
      </c>
      <c r="BY21">
        <v>9.06</v>
      </c>
      <c r="BZ21">
        <v>9.81</v>
      </c>
      <c r="CA21">
        <v>12.36</v>
      </c>
      <c r="CB21">
        <v>-7.78</v>
      </c>
      <c r="CC21">
        <v>-4.41</v>
      </c>
      <c r="CD21" t="s">
        <v>1084</v>
      </c>
      <c r="CE21" t="s">
        <v>1085</v>
      </c>
      <c r="CF21" s="10">
        <v>-0.3851508120649651</v>
      </c>
      <c r="CG21" s="11">
        <v>-0.83319474561403506</v>
      </c>
      <c r="CH21" s="10">
        <v>-7.9066216945648193E-2</v>
      </c>
      <c r="CI21" s="10">
        <v>7.7047906816005707E-2</v>
      </c>
      <c r="CJ21" s="10">
        <v>0.31449887156486511</v>
      </c>
      <c r="CK21" s="10">
        <v>5.8690745383501053E-2</v>
      </c>
      <c r="CL21" s="10">
        <v>1.6055045649409294E-2</v>
      </c>
      <c r="CM21" s="11">
        <v>1.2076922655105591</v>
      </c>
      <c r="CN21" s="11">
        <v>-0.14473684132099152</v>
      </c>
      <c r="CO21" s="11">
        <v>0.24590164422988892</v>
      </c>
      <c r="CP21" s="11">
        <v>7.9646021127700806E-2</v>
      </c>
      <c r="CQ21" s="11">
        <v>1.8018018454313278E-2</v>
      </c>
      <c r="CR21">
        <v>19.91526557377049</v>
      </c>
      <c r="CS21">
        <v>2.5715276668069005</v>
      </c>
      <c r="CT21">
        <v>1.328740157480315</v>
      </c>
      <c r="CU21" s="10">
        <v>7.7445270493626595E-2</v>
      </c>
      <c r="CV21" s="11">
        <v>0.28130422160029411</v>
      </c>
      <c r="CW21">
        <v>0.06</v>
      </c>
      <c r="CX21">
        <v>11.226655525076396</v>
      </c>
      <c r="CY21">
        <v>291723389.27516115</v>
      </c>
      <c r="CZ21">
        <v>7.7445270493626595E-2</v>
      </c>
      <c r="DA21">
        <v>3.7080332932529489</v>
      </c>
      <c r="DB21">
        <v>883238563.67720747</v>
      </c>
      <c r="DC21">
        <v>7.3573006968945268E-2</v>
      </c>
      <c r="DD21">
        <v>1.8514261161991157</v>
      </c>
      <c r="DE21">
        <v>1768948796.4680815</v>
      </c>
      <c r="DF21">
        <v>6.8151838034391399E-2</v>
      </c>
      <c r="DG21">
        <v>1.129612674263837</v>
      </c>
      <c r="DH21">
        <v>2899292894.4731894</v>
      </c>
      <c r="DI21">
        <v>6.195621639490128E-2</v>
      </c>
      <c r="DJ21">
        <v>0.60403582253861621</v>
      </c>
      <c r="DK21">
        <v>5421992997.4279356</v>
      </c>
      <c r="DL21">
        <v>5.4211689345538612E-2</v>
      </c>
      <c r="DM21">
        <v>287000000</v>
      </c>
      <c r="DN21">
        <v>7.7445270493626595E-2</v>
      </c>
      <c r="DO21">
        <v>3275078000</v>
      </c>
      <c r="DP21">
        <v>1012008800</v>
      </c>
      <c r="DQ21">
        <v>4090</v>
      </c>
      <c r="DR21">
        <v>-0.46259608255859169</v>
      </c>
      <c r="DS21">
        <v>-1.1144989672143293</v>
      </c>
      <c r="DT21" s="12">
        <v>-0.3066666666666667</v>
      </c>
      <c r="DU21">
        <v>2.6666666666666616E-2</v>
      </c>
      <c r="DV21">
        <v>-0.28000000000000008</v>
      </c>
      <c r="DW21">
        <v>-5.566838046272494</v>
      </c>
      <c r="DX21">
        <v>0.25461724543251274</v>
      </c>
      <c r="DY21">
        <v>-5.0593010350073753</v>
      </c>
      <c r="DZ21">
        <v>1346</v>
      </c>
      <c r="EA21">
        <v>-5.0436808406590528</v>
      </c>
      <c r="EB21">
        <v>5</v>
      </c>
      <c r="EC21">
        <v>6.5351509575980599E-2</v>
      </c>
      <c r="ED21">
        <v>0.62467240946725766</v>
      </c>
      <c r="EE21" s="15">
        <v>4.0693099999999998</v>
      </c>
      <c r="EF21">
        <v>4.0991099999999996</v>
      </c>
      <c r="EG21">
        <v>15.104617245432513</v>
      </c>
      <c r="EH21" t="s">
        <v>544</v>
      </c>
      <c r="EI21">
        <v>0</v>
      </c>
      <c r="EJ21">
        <v>1</v>
      </c>
      <c r="EK21" s="14">
        <v>45470</v>
      </c>
      <c r="EL21" s="16">
        <v>-1.66</v>
      </c>
      <c r="EM21" s="16">
        <v>-5.68</v>
      </c>
      <c r="EN21" s="16">
        <v>-3.58</v>
      </c>
      <c r="EO21" s="16">
        <v>1.55</v>
      </c>
      <c r="EP21" s="16">
        <v>-2.98</v>
      </c>
    </row>
    <row r="22" spans="1:146" ht="108" x14ac:dyDescent="0.25">
      <c r="A22" s="7"/>
      <c r="B22" s="7"/>
      <c r="C22" s="7" t="str">
        <f>""&amp;CHAR(10)&amp;Basic_Fundamental_Information_Constructure(F22)&amp;CHAR(10)&amp;Basic_Fundamental_Information_Concatenate("")</f>
        <v xml:space="preserve">
市值9.609289亿, 利润9982.82万; PE100; 平均PE19.59; 平均PEG.48, PB1.32; ROIC1.385%; ROE.8067%; 股利率.766%; 毛利48.05%; 净利2.9033%; 上一年度营收增190.91%, 利润增582.47%; 当季营收增-77.45%, 利润增-75.37%; 过往5年营收增40.41%, 利润增133.82%
Income profile:
</v>
      </c>
      <c r="D22" t="s">
        <v>323</v>
      </c>
      <c r="E22" t="s">
        <v>563</v>
      </c>
      <c r="F22">
        <v>12.01</v>
      </c>
      <c r="G22">
        <v>1.18</v>
      </c>
      <c r="H22" t="s">
        <v>1086</v>
      </c>
      <c r="I22">
        <v>960928900</v>
      </c>
      <c r="J22">
        <v>100</v>
      </c>
      <c r="K22">
        <v>1.32</v>
      </c>
      <c r="L22" t="s">
        <v>382</v>
      </c>
      <c r="M22" t="s">
        <v>58</v>
      </c>
      <c r="N22" t="s">
        <v>263</v>
      </c>
      <c r="O22" t="s">
        <v>1087</v>
      </c>
      <c r="P22">
        <v>-66.64</v>
      </c>
      <c r="Q22" t="s">
        <v>490</v>
      </c>
      <c r="R22">
        <v>3303209</v>
      </c>
      <c r="S22" s="5">
        <v>-0.72109999999999996</v>
      </c>
      <c r="T22" t="s">
        <v>1088</v>
      </c>
      <c r="U22">
        <v>80010733</v>
      </c>
      <c r="V22">
        <v>80010733</v>
      </c>
      <c r="W22">
        <v>1.1000000000000001</v>
      </c>
      <c r="X22">
        <v>0.02</v>
      </c>
      <c r="Y22">
        <v>20.149999999999999</v>
      </c>
      <c r="Z22" t="s">
        <v>1089</v>
      </c>
      <c r="AA22" t="s">
        <v>1090</v>
      </c>
      <c r="AB22" t="s">
        <v>1091</v>
      </c>
      <c r="AC22" t="s">
        <v>1092</v>
      </c>
      <c r="AD22" t="s">
        <v>9</v>
      </c>
      <c r="AE22">
        <v>-745143</v>
      </c>
      <c r="AF22" t="s">
        <v>1093</v>
      </c>
      <c r="AG22" t="s">
        <v>1094</v>
      </c>
      <c r="AH22" t="s">
        <v>1095</v>
      </c>
      <c r="AI22" t="s">
        <v>169</v>
      </c>
      <c r="AJ22" t="s">
        <v>1096</v>
      </c>
      <c r="AK22" t="s">
        <v>1097</v>
      </c>
      <c r="AL22" t="s">
        <v>1098</v>
      </c>
      <c r="AM22" t="s">
        <v>9</v>
      </c>
      <c r="AN22" t="s">
        <v>1099</v>
      </c>
      <c r="AO22" t="s">
        <v>9</v>
      </c>
      <c r="AP22" t="s">
        <v>1100</v>
      </c>
      <c r="AQ22" t="s">
        <v>1101</v>
      </c>
      <c r="AR22" t="s">
        <v>312</v>
      </c>
      <c r="AS22" t="s">
        <v>1102</v>
      </c>
      <c r="AT22" t="s">
        <v>9</v>
      </c>
      <c r="AU22" t="s">
        <v>1103</v>
      </c>
      <c r="AV22" t="s">
        <v>1104</v>
      </c>
      <c r="AW22" t="s">
        <v>9</v>
      </c>
      <c r="AX22" t="s">
        <v>32</v>
      </c>
      <c r="AY22" t="s">
        <v>376</v>
      </c>
      <c r="AZ22" t="s">
        <v>25</v>
      </c>
      <c r="BA22" t="s">
        <v>155</v>
      </c>
      <c r="BB22" t="s">
        <v>270</v>
      </c>
      <c r="BC22" t="s">
        <v>564</v>
      </c>
      <c r="BD22" t="s">
        <v>377</v>
      </c>
      <c r="BE22" t="s">
        <v>324</v>
      </c>
      <c r="BF22" t="s">
        <v>325</v>
      </c>
      <c r="BG22" t="s">
        <v>326</v>
      </c>
      <c r="BH22" t="s">
        <v>119</v>
      </c>
      <c r="BI22" t="s">
        <v>1105</v>
      </c>
      <c r="BJ22" t="s">
        <v>32</v>
      </c>
      <c r="BK22" t="s">
        <v>1106</v>
      </c>
      <c r="BL22" t="s">
        <v>1107</v>
      </c>
      <c r="BM22" t="s">
        <v>564</v>
      </c>
      <c r="BN22">
        <v>1.29</v>
      </c>
      <c r="BO22">
        <v>1.48</v>
      </c>
      <c r="BP22" t="s">
        <v>9</v>
      </c>
      <c r="BQ22">
        <v>1.69</v>
      </c>
      <c r="BR22">
        <v>2.0699999999999998</v>
      </c>
      <c r="BS22">
        <v>-1.34</v>
      </c>
      <c r="BT22" t="s">
        <v>1108</v>
      </c>
      <c r="BU22" t="s">
        <v>382</v>
      </c>
      <c r="BV22">
        <v>54.64</v>
      </c>
      <c r="BW22">
        <v>42.48</v>
      </c>
      <c r="BX22">
        <v>47.03</v>
      </c>
      <c r="BY22">
        <v>11.07</v>
      </c>
      <c r="BZ22">
        <v>8.85</v>
      </c>
      <c r="CA22">
        <v>-11.21</v>
      </c>
      <c r="CB22">
        <v>0.17</v>
      </c>
      <c r="CC22">
        <v>-12.19</v>
      </c>
      <c r="CD22" t="s">
        <v>1109</v>
      </c>
      <c r="CE22" t="s">
        <v>1110</v>
      </c>
      <c r="CF22" s="10">
        <v>-0.77449847748409406</v>
      </c>
      <c r="CG22" s="11">
        <v>-0.75371242171189978</v>
      </c>
      <c r="CH22" s="10">
        <v>1.9090908765792847</v>
      </c>
      <c r="CI22" s="10">
        <v>0.95114099979400635</v>
      </c>
      <c r="CJ22" s="10">
        <v>-0.5167662501335144</v>
      </c>
      <c r="CK22" s="10">
        <v>-0.25531914830207825</v>
      </c>
      <c r="CL22" s="10">
        <v>-6.7460320889949799E-2</v>
      </c>
      <c r="CM22" s="11">
        <v>5.8246936798095703</v>
      </c>
      <c r="CN22" s="11">
        <v>2.5426924228668213</v>
      </c>
      <c r="CO22" s="11">
        <v>-1.2062516212463379</v>
      </c>
      <c r="CP22" s="11">
        <v>-0.28644269704818726</v>
      </c>
      <c r="CQ22" s="11">
        <v>-0.18385383486747742</v>
      </c>
      <c r="CR22">
        <v>19.589984516447323</v>
      </c>
      <c r="CS22">
        <v>0.48473595090760091</v>
      </c>
      <c r="CT22">
        <v>0.76602830974188185</v>
      </c>
      <c r="CU22" s="10">
        <v>0.40413723140954971</v>
      </c>
      <c r="CV22" s="11">
        <v>1.3381675899028778</v>
      </c>
      <c r="CW22">
        <v>0.06</v>
      </c>
      <c r="CX22">
        <v>2.7142603201374484</v>
      </c>
      <c r="CY22">
        <v>132238200.34396113</v>
      </c>
      <c r="CZ22">
        <v>0.40413723140954971</v>
      </c>
      <c r="DA22">
        <v>0.68672647876821991</v>
      </c>
      <c r="DB22">
        <v>522666463.42778295</v>
      </c>
      <c r="DC22">
        <v>0.38393036983907219</v>
      </c>
      <c r="DD22">
        <v>0.23228999323802266</v>
      </c>
      <c r="DE22">
        <v>1545175902.7441752</v>
      </c>
      <c r="DF22">
        <v>0.35564076364040376</v>
      </c>
      <c r="DG22">
        <v>8.7298395128039066E-2</v>
      </c>
      <c r="DH22">
        <v>4111517737.2226043</v>
      </c>
      <c r="DI22">
        <v>0.3233097851276398</v>
      </c>
      <c r="DJ22">
        <v>1.4047922065809298E-2</v>
      </c>
      <c r="DK22">
        <v>25550319706.968147</v>
      </c>
      <c r="DL22">
        <v>0.28289606198668477</v>
      </c>
      <c r="DM22">
        <v>99828200</v>
      </c>
      <c r="DN22">
        <v>0.40413723140954971</v>
      </c>
      <c r="DO22">
        <v>358928900</v>
      </c>
      <c r="DP22">
        <v>367589840</v>
      </c>
      <c r="DQ22">
        <v>4808</v>
      </c>
      <c r="DR22">
        <v>-1.1786357088936437</v>
      </c>
      <c r="DS22">
        <v>-2.0918800116147773</v>
      </c>
      <c r="DT22" s="12">
        <v>-9.0000000000000011E-2</v>
      </c>
      <c r="DU22">
        <v>-0.69000000000000006</v>
      </c>
      <c r="DV22">
        <v>-0.78</v>
      </c>
      <c r="DW22">
        <v>-2.1219000000000001</v>
      </c>
      <c r="DX22">
        <v>0.34700339742322694</v>
      </c>
      <c r="DY22">
        <v>-2.0154817141458916</v>
      </c>
      <c r="DZ22">
        <v>1509</v>
      </c>
      <c r="EA22">
        <v>-2.0109099124538856</v>
      </c>
      <c r="EB22">
        <v>2</v>
      </c>
      <c r="EC22">
        <v>1.6866487149917748E-2</v>
      </c>
      <c r="ED22">
        <v>0.13280343275945242</v>
      </c>
      <c r="EE22" s="15">
        <v>-1.10361</v>
      </c>
      <c r="EF22">
        <v>-1.1368100000000001</v>
      </c>
      <c r="EG22">
        <v>22.127003397423227</v>
      </c>
      <c r="EH22" t="s">
        <v>486</v>
      </c>
      <c r="EI22">
        <v>0</v>
      </c>
      <c r="EJ22">
        <v>0</v>
      </c>
      <c r="EK22" s="14">
        <v>45470</v>
      </c>
      <c r="EL22" s="16">
        <v>-2.74</v>
      </c>
      <c r="EM22" s="16">
        <v>-5.21</v>
      </c>
      <c r="EN22">
        <v>-0.97</v>
      </c>
      <c r="EO22">
        <v>3.9</v>
      </c>
      <c r="EP22">
        <v>-3.32</v>
      </c>
    </row>
    <row r="23" spans="1:146" ht="252" x14ac:dyDescent="0.25">
      <c r="A23" s="8" t="s">
        <v>340</v>
      </c>
      <c r="B23" s="8" t="s">
        <v>341</v>
      </c>
      <c r="C23" s="7" t="str">
        <f>"主营业务为污泥等物料脱水干化与固液分离、恶臭污染物及挥发性有机污染物废气净化；污泥处理处置及相关业务领域中，存在多种处理技术路线（占污泥处理处置
总规模的比例分别为：能源干化 31%、机械脱水 27%、厌氧消化 20%、好氧发酵 18%），公司的低温真空脱水干化一体化技术属于能源干化中的一种技术，目
前占污泥处理处置总规模的比例仅为 2.1%；"&amp;CHAR(10)&amp;Basic_Fundamental_Information_Constructure(F23)&amp;CHAR(10)&amp;Basic_Fundamental_Information_Concatenate("低温真空脱水干化一体化技术装备 2.96亿 78.85%(毛利37.74%)
废气净化技术装备 5504.28万 14.65%（毛利21.47%）
其他 2314.79万 6.16%（毛利42.84%）
其他业务 127.46万 0.34%（毛利43.99%）")</f>
        <v>主营业务为污泥等物料脱水干化与固液分离、恶臭污染物及挥发性有机污染物废气净化；污泥处理处置及相关业务领域中，存在多种处理技术路线（占污泥处理处置
总规模的比例分别为：能源干化 31%、机械脱水 27%、厌氧消化 20%、好氧发酵 18%），公司的低温真空脱水干化一体化技术属于能源干化中的一种技术，目
前占污泥处理处置总规模的比例仅为 2.1%；
市值11.798357亿, 利润2.95亿; PE17.32; 平均PE11.07; 平均PEG.22, PB.937; ROIC5.33%; ROE5.8633%; 股利率4.3915%; 毛利37.6433%; 净利17.2833%; 上一年度营收增28.52%, 利润增154.31%; 当季营收增-93.01%, 利润增-103.43%; 过往5年营收增50.99%, 利润增65.74%
Income profile:
低温真空脱水干化一体化技术装备 2.96亿 78.85%(毛利37.74%)
废气净化技术装备 5504.28万 14.65%（毛利21.47%）
其他 2314.79万 6.16%（毛利42.84%）
其他业务 127.46万 0.34%（毛利43.99%）</v>
      </c>
      <c r="D23" t="s">
        <v>327</v>
      </c>
      <c r="E23" t="s">
        <v>328</v>
      </c>
      <c r="F23">
        <v>7.97</v>
      </c>
      <c r="G23">
        <v>1.01</v>
      </c>
      <c r="H23" t="s">
        <v>1111</v>
      </c>
      <c r="I23">
        <v>1179835700</v>
      </c>
      <c r="J23">
        <v>17.32</v>
      </c>
      <c r="K23">
        <v>0.93700000000000006</v>
      </c>
      <c r="L23" t="s">
        <v>382</v>
      </c>
      <c r="M23" t="s">
        <v>80</v>
      </c>
      <c r="N23" t="s">
        <v>372</v>
      </c>
      <c r="O23" t="s">
        <v>1112</v>
      </c>
      <c r="P23">
        <v>-91.61</v>
      </c>
      <c r="Q23" t="s">
        <v>1113</v>
      </c>
      <c r="R23">
        <v>-1148692</v>
      </c>
      <c r="S23" s="5">
        <v>-1.0369999999999999</v>
      </c>
      <c r="T23" t="s">
        <v>46</v>
      </c>
      <c r="U23">
        <v>148034590</v>
      </c>
      <c r="V23">
        <v>148034590</v>
      </c>
      <c r="W23">
        <v>1.1399999999999999</v>
      </c>
      <c r="X23">
        <v>0.01</v>
      </c>
      <c r="Y23">
        <v>-16.04</v>
      </c>
      <c r="Z23" t="s">
        <v>1114</v>
      </c>
      <c r="AA23" t="s">
        <v>1115</v>
      </c>
      <c r="AB23" t="s">
        <v>1116</v>
      </c>
      <c r="AC23" t="s">
        <v>1117</v>
      </c>
      <c r="AD23" t="s">
        <v>9</v>
      </c>
      <c r="AE23">
        <v>-634126</v>
      </c>
      <c r="AF23" t="s">
        <v>1118</v>
      </c>
      <c r="AG23" t="s">
        <v>1119</v>
      </c>
      <c r="AH23" t="s">
        <v>1120</v>
      </c>
      <c r="AI23" t="s">
        <v>115</v>
      </c>
      <c r="AJ23" t="s">
        <v>1121</v>
      </c>
      <c r="AK23" t="s">
        <v>1122</v>
      </c>
      <c r="AL23" t="s">
        <v>1123</v>
      </c>
      <c r="AM23" t="s">
        <v>9</v>
      </c>
      <c r="AN23" t="s">
        <v>1124</v>
      </c>
      <c r="AO23" t="s">
        <v>1125</v>
      </c>
      <c r="AP23" t="s">
        <v>9</v>
      </c>
      <c r="AQ23" t="s">
        <v>186</v>
      </c>
      <c r="AR23" t="s">
        <v>9</v>
      </c>
      <c r="AS23" t="s">
        <v>52</v>
      </c>
      <c r="AT23" t="s">
        <v>9</v>
      </c>
      <c r="AU23" t="s">
        <v>1126</v>
      </c>
      <c r="AV23" t="s">
        <v>1127</v>
      </c>
      <c r="AW23" t="s">
        <v>1128</v>
      </c>
      <c r="AX23" t="s">
        <v>505</v>
      </c>
      <c r="AY23" t="s">
        <v>100</v>
      </c>
      <c r="AZ23" t="s">
        <v>173</v>
      </c>
      <c r="BA23" t="s">
        <v>240</v>
      </c>
      <c r="BB23" t="s">
        <v>56</v>
      </c>
      <c r="BC23" t="s">
        <v>197</v>
      </c>
      <c r="BD23" t="s">
        <v>378</v>
      </c>
      <c r="BE23" t="s">
        <v>329</v>
      </c>
      <c r="BF23" t="s">
        <v>331</v>
      </c>
      <c r="BG23" t="s">
        <v>332</v>
      </c>
      <c r="BH23" t="s">
        <v>210</v>
      </c>
      <c r="BI23" t="s">
        <v>245</v>
      </c>
      <c r="BJ23" t="s">
        <v>505</v>
      </c>
      <c r="BK23" t="s">
        <v>55</v>
      </c>
      <c r="BL23" t="s">
        <v>1129</v>
      </c>
      <c r="BM23" t="s">
        <v>197</v>
      </c>
      <c r="BN23">
        <v>1.5</v>
      </c>
      <c r="BO23">
        <v>9.35</v>
      </c>
      <c r="BP23">
        <v>5.14</v>
      </c>
      <c r="BQ23">
        <v>1.89</v>
      </c>
      <c r="BR23">
        <v>9.84</v>
      </c>
      <c r="BS23">
        <v>5.86</v>
      </c>
      <c r="BT23" t="s">
        <v>517</v>
      </c>
      <c r="BU23" t="s">
        <v>382</v>
      </c>
      <c r="BV23">
        <v>41.91</v>
      </c>
      <c r="BW23">
        <v>31.14</v>
      </c>
      <c r="BX23">
        <v>39.880000000000003</v>
      </c>
      <c r="BY23">
        <v>16.760000000000002</v>
      </c>
      <c r="BZ23">
        <v>14.47</v>
      </c>
      <c r="CA23">
        <v>20.62</v>
      </c>
      <c r="CB23">
        <v>-2.21</v>
      </c>
      <c r="CC23">
        <v>-13.09</v>
      </c>
      <c r="CD23" t="s">
        <v>1130</v>
      </c>
      <c r="CE23" t="s">
        <v>1131</v>
      </c>
      <c r="CF23" s="10">
        <v>-0.93006280193236712</v>
      </c>
      <c r="CG23" s="11">
        <v>-1.0342742736769239</v>
      </c>
      <c r="CH23" s="10">
        <v>0.28517109155654907</v>
      </c>
      <c r="CI23" s="10">
        <v>1.5207667350769043</v>
      </c>
      <c r="CJ23" s="10">
        <v>-0.16755318641662598</v>
      </c>
      <c r="CK23" s="10">
        <v>9.6209913492202759E-2</v>
      </c>
      <c r="CL23" s="10">
        <v>0.81481480598449707</v>
      </c>
      <c r="CM23" s="11">
        <v>1.5431034564971924</v>
      </c>
      <c r="CN23" s="11">
        <v>0.79694241285324097</v>
      </c>
      <c r="CO23" s="11">
        <v>-3.2653912901878357E-2</v>
      </c>
      <c r="CP23" s="11">
        <v>4.0297310799360275E-2</v>
      </c>
      <c r="CQ23" s="11">
        <v>0.93943005800247192</v>
      </c>
      <c r="CR23">
        <v>11.069412221488502</v>
      </c>
      <c r="CS23">
        <v>0.21709758339514354</v>
      </c>
      <c r="CT23">
        <v>4.3914680050188206</v>
      </c>
      <c r="CU23" s="10">
        <v>0.50988187193870549</v>
      </c>
      <c r="CV23" s="11">
        <v>0.65742386505007744</v>
      </c>
      <c r="CW23">
        <v>0.06</v>
      </c>
      <c r="CX23">
        <v>0.46605024764980379</v>
      </c>
      <c r="CY23">
        <v>420202973.79426241</v>
      </c>
      <c r="CZ23">
        <v>0.50988187193870549</v>
      </c>
      <c r="DA23">
        <v>0.10869345467038179</v>
      </c>
      <c r="DB23">
        <v>1801724865.5301402</v>
      </c>
      <c r="DC23">
        <v>0.48438777834177021</v>
      </c>
      <c r="DD23">
        <v>3.2286611416112408E-2</v>
      </c>
      <c r="DE23">
        <v>6065538977.6292706</v>
      </c>
      <c r="DF23">
        <v>0.44869604730606083</v>
      </c>
      <c r="DG23">
        <v>1.0196974675530395E-2</v>
      </c>
      <c r="DH23">
        <v>19205274724.271454</v>
      </c>
      <c r="DI23">
        <v>0.40790549755096439</v>
      </c>
      <c r="DJ23">
        <v>1.0479084721639201E-3</v>
      </c>
      <c r="DK23">
        <v>186882447467.57443</v>
      </c>
      <c r="DL23">
        <v>0.35691731035709384</v>
      </c>
      <c r="DM23">
        <v>295000000</v>
      </c>
      <c r="DN23">
        <v>0.50988187193870549</v>
      </c>
      <c r="DO23">
        <v>195835700</v>
      </c>
      <c r="DP23">
        <v>880221940</v>
      </c>
      <c r="DQ23">
        <v>4833</v>
      </c>
      <c r="DR23">
        <v>-1.4399446738710726</v>
      </c>
      <c r="DS23">
        <v>-1.6916981387270014</v>
      </c>
      <c r="DT23" s="12">
        <v>9.3333333333333338E-2</v>
      </c>
      <c r="DU23">
        <v>-6.5000000000000016E-2</v>
      </c>
      <c r="DV23">
        <v>2.8333333333333321E-2</v>
      </c>
      <c r="DW23">
        <v>-2.1309</v>
      </c>
      <c r="DX23">
        <v>0.3634777120684427</v>
      </c>
      <c r="DY23">
        <v>-2.0161632325097592</v>
      </c>
      <c r="DZ23">
        <v>1042</v>
      </c>
      <c r="EA23">
        <v>-2.0128673248238163</v>
      </c>
      <c r="EB23">
        <v>2</v>
      </c>
      <c r="EC23">
        <v>1.4273691033967129E-2</v>
      </c>
      <c r="ED23">
        <v>0.11559730735904358</v>
      </c>
      <c r="EE23" s="15">
        <v>3.0043000000000002</v>
      </c>
      <c r="EF23">
        <v>3.0369100000000002</v>
      </c>
      <c r="EG23">
        <v>24.123477712068443</v>
      </c>
      <c r="EH23" t="s">
        <v>539</v>
      </c>
      <c r="EI23">
        <v>0</v>
      </c>
      <c r="EJ23">
        <v>1</v>
      </c>
      <c r="EK23" s="14">
        <v>45470</v>
      </c>
      <c r="EL23" s="16">
        <v>0.92</v>
      </c>
      <c r="EM23" s="16">
        <v>-2.36</v>
      </c>
      <c r="EN23">
        <v>-3.02</v>
      </c>
      <c r="EO23">
        <v>2.69</v>
      </c>
      <c r="EP23">
        <v>-4.12</v>
      </c>
    </row>
    <row r="24" spans="1:146" ht="108" x14ac:dyDescent="0.25">
      <c r="C24" s="8" t="str">
        <f>""&amp;CHAR(10)&amp;Basic_Fundamental_Information_Constructure(F24)&amp;CHAR(10)&amp;Basic_Fundamental_Information_Concatenate("")</f>
        <v xml:space="preserve">
市值38.976亿, 利润1.42亿; PE22.26; 平均PE41.6; 平均PEG2.95, PB2.34; ROIC11.3833%; ROE18.5233%; 股利率1.0345%; 毛利27.3267%; 净利10.3133%; 上一年度营收增-1.39%, 利润增15.45%; 当季营收增.74%, 利润增16.17%; 过往5年营收增14.09%, 利润增35.77%
Income profile:
</v>
      </c>
      <c r="D24" t="s">
        <v>507</v>
      </c>
      <c r="E24" t="s">
        <v>508</v>
      </c>
      <c r="F24">
        <v>29</v>
      </c>
      <c r="G24">
        <v>-0.41</v>
      </c>
      <c r="H24" t="s">
        <v>1132</v>
      </c>
      <c r="I24">
        <v>3897600000</v>
      </c>
      <c r="J24">
        <v>22.26</v>
      </c>
      <c r="K24">
        <v>2.34</v>
      </c>
      <c r="L24" t="s">
        <v>382</v>
      </c>
      <c r="M24" t="s">
        <v>1133</v>
      </c>
      <c r="N24" t="s">
        <v>1134</v>
      </c>
      <c r="O24" t="s">
        <v>247</v>
      </c>
      <c r="P24">
        <v>2.08</v>
      </c>
      <c r="Q24" t="s">
        <v>1135</v>
      </c>
      <c r="R24">
        <v>35391967</v>
      </c>
      <c r="S24">
        <v>5.4399999999999997E-2</v>
      </c>
      <c r="T24" t="s">
        <v>50</v>
      </c>
      <c r="U24">
        <v>49615257</v>
      </c>
      <c r="V24">
        <v>134400000</v>
      </c>
      <c r="W24">
        <v>1.75</v>
      </c>
      <c r="X24">
        <v>0.09</v>
      </c>
      <c r="Y24">
        <v>12.95</v>
      </c>
      <c r="Z24" t="s">
        <v>103</v>
      </c>
      <c r="AA24" t="s">
        <v>349</v>
      </c>
      <c r="AB24" t="s">
        <v>1136</v>
      </c>
      <c r="AC24" t="s">
        <v>1137</v>
      </c>
      <c r="AD24" t="s">
        <v>9</v>
      </c>
      <c r="AE24">
        <v>2333379</v>
      </c>
      <c r="AF24" t="s">
        <v>1138</v>
      </c>
      <c r="AG24" t="s">
        <v>1139</v>
      </c>
      <c r="AH24" t="s">
        <v>1140</v>
      </c>
      <c r="AI24" t="s">
        <v>260</v>
      </c>
      <c r="AJ24" t="s">
        <v>1141</v>
      </c>
      <c r="AK24" t="s">
        <v>1142</v>
      </c>
      <c r="AL24" t="s">
        <v>1143</v>
      </c>
      <c r="AM24" t="s">
        <v>9</v>
      </c>
      <c r="AN24" t="s">
        <v>1144</v>
      </c>
      <c r="AO24" t="s">
        <v>168</v>
      </c>
      <c r="AP24" t="s">
        <v>175</v>
      </c>
      <c r="AQ24" t="s">
        <v>38</v>
      </c>
      <c r="AR24" t="s">
        <v>9</v>
      </c>
      <c r="AS24" t="s">
        <v>1145</v>
      </c>
      <c r="AT24" t="s">
        <v>145</v>
      </c>
      <c r="AU24" t="s">
        <v>1146</v>
      </c>
      <c r="AV24" t="s">
        <v>609</v>
      </c>
      <c r="AW24" t="s">
        <v>1147</v>
      </c>
      <c r="AX24" t="s">
        <v>565</v>
      </c>
      <c r="AY24" t="s">
        <v>477</v>
      </c>
      <c r="AZ24" t="s">
        <v>503</v>
      </c>
      <c r="BA24" t="s">
        <v>509</v>
      </c>
      <c r="BB24" t="s">
        <v>258</v>
      </c>
      <c r="BC24" t="s">
        <v>68</v>
      </c>
      <c r="BD24" t="s">
        <v>70</v>
      </c>
      <c r="BE24" t="s">
        <v>510</v>
      </c>
      <c r="BF24" t="s">
        <v>511</v>
      </c>
      <c r="BG24" t="s">
        <v>512</v>
      </c>
      <c r="BH24" t="s">
        <v>531</v>
      </c>
      <c r="BI24" t="s">
        <v>87</v>
      </c>
      <c r="BJ24" t="s">
        <v>565</v>
      </c>
      <c r="BK24" t="s">
        <v>62</v>
      </c>
      <c r="BL24" t="s">
        <v>1148</v>
      </c>
      <c r="BM24" t="s">
        <v>68</v>
      </c>
      <c r="BN24">
        <v>6.6</v>
      </c>
      <c r="BO24">
        <v>10.210000000000001</v>
      </c>
      <c r="BP24">
        <v>17.34</v>
      </c>
      <c r="BQ24">
        <v>8.4</v>
      </c>
      <c r="BR24">
        <v>20.62</v>
      </c>
      <c r="BS24">
        <v>26.55</v>
      </c>
      <c r="BT24" t="s">
        <v>735</v>
      </c>
      <c r="BU24" t="s">
        <v>382</v>
      </c>
      <c r="BV24">
        <v>27.25</v>
      </c>
      <c r="BW24">
        <v>27.82</v>
      </c>
      <c r="BX24">
        <v>26.91</v>
      </c>
      <c r="BY24">
        <v>11.48</v>
      </c>
      <c r="BZ24">
        <v>10.1</v>
      </c>
      <c r="CA24">
        <v>9.36</v>
      </c>
      <c r="CB24">
        <v>-7.53</v>
      </c>
      <c r="CC24" s="10">
        <v>-1.63</v>
      </c>
      <c r="CD24" s="11" t="s">
        <v>1149</v>
      </c>
      <c r="CE24" s="10" t="s">
        <v>1150</v>
      </c>
      <c r="CF24" s="10">
        <v>7.3800738007380072E-3</v>
      </c>
      <c r="CG24" s="10">
        <v>0.16170260884407331</v>
      </c>
      <c r="CH24" s="10">
        <v>-1.3854982331395149E-2</v>
      </c>
      <c r="CI24" s="10">
        <v>6.6956579685211182E-2</v>
      </c>
      <c r="CJ24" s="11">
        <v>0.27353265881538391</v>
      </c>
      <c r="CK24" s="11">
        <v>0.14015151560306549</v>
      </c>
      <c r="CL24" s="11">
        <v>0.23749999701976776</v>
      </c>
      <c r="CM24" s="11">
        <v>0.15447154641151428</v>
      </c>
      <c r="CN24" s="11">
        <v>0.1388888955116272</v>
      </c>
      <c r="CO24">
        <v>0.30554932355880737</v>
      </c>
      <c r="CP24">
        <v>0.16049504280090332</v>
      </c>
      <c r="CQ24">
        <v>1.0289181470870972</v>
      </c>
      <c r="CR24" s="10">
        <v>41.600980252982971</v>
      </c>
      <c r="CS24" s="11">
        <v>2.9534162194087461</v>
      </c>
      <c r="CT24">
        <v>1.0344827586206897</v>
      </c>
      <c r="CU24">
        <v>0.14085715375840663</v>
      </c>
      <c r="CV24">
        <v>0.35766459107398985</v>
      </c>
      <c r="CW24">
        <v>0.06</v>
      </c>
      <c r="CX24">
        <v>23.382567156811273</v>
      </c>
      <c r="CY24">
        <v>152831807.39027712</v>
      </c>
      <c r="CZ24">
        <v>0.14085715375840663</v>
      </c>
      <c r="DA24">
        <v>7.3209664792369438</v>
      </c>
      <c r="DB24">
        <v>488132271.89813226</v>
      </c>
      <c r="DC24">
        <v>0.13381429607048628</v>
      </c>
      <c r="DD24">
        <v>3.3997358747988931</v>
      </c>
      <c r="DE24">
        <v>1051140480.2031546</v>
      </c>
      <c r="DF24">
        <v>0.12395429530739784</v>
      </c>
      <c r="DG24">
        <v>1.9087278695385224</v>
      </c>
      <c r="DH24">
        <v>1872241746.469599</v>
      </c>
      <c r="DI24">
        <v>0.1126857230067253</v>
      </c>
      <c r="DJ24">
        <v>0.846224552196012</v>
      </c>
      <c r="DK24">
        <v>4222992574.165164</v>
      </c>
      <c r="DL24">
        <v>9.860000763088464E-2</v>
      </c>
      <c r="DM24">
        <v>142000000</v>
      </c>
      <c r="DN24">
        <v>0.14085715375840663</v>
      </c>
      <c r="DO24">
        <v>3573600000</v>
      </c>
      <c r="DP24">
        <v>1162856300</v>
      </c>
      <c r="DQ24" s="12">
        <v>4866</v>
      </c>
      <c r="DR24">
        <v>-0.13347707995766861</v>
      </c>
      <c r="DS24">
        <v>-0.19596198222991654</v>
      </c>
      <c r="DT24">
        <v>-0.20666666666666669</v>
      </c>
      <c r="DU24">
        <v>0.83666666666666678</v>
      </c>
      <c r="DV24">
        <v>0.63000000000000012</v>
      </c>
      <c r="DW24">
        <v>-5.2164674634794155</v>
      </c>
      <c r="DX24">
        <v>0.38364353714512434</v>
      </c>
      <c r="DY24">
        <v>-5.026764802861428</v>
      </c>
      <c r="DZ24">
        <v>746</v>
      </c>
      <c r="EA24">
        <v>-5.0228574559074897</v>
      </c>
      <c r="EB24" s="15">
        <v>5</v>
      </c>
      <c r="EC24">
        <v>2.5975446428571428E-2</v>
      </c>
      <c r="ED24">
        <v>0.21008333333333334</v>
      </c>
      <c r="EE24">
        <v>-2.1201099999999999</v>
      </c>
      <c r="EF24">
        <v>-2.1445099999999999</v>
      </c>
      <c r="EG24">
        <v>26.123643537145124</v>
      </c>
      <c r="EH24" s="14" t="s">
        <v>522</v>
      </c>
      <c r="EI24" s="16">
        <v>0</v>
      </c>
      <c r="EJ24" s="16">
        <v>1</v>
      </c>
      <c r="EK24" s="16">
        <v>45470</v>
      </c>
      <c r="EL24" s="16">
        <v>-1.94</v>
      </c>
      <c r="EM24" s="16">
        <v>-4.82</v>
      </c>
      <c r="EN24">
        <v>-1.34</v>
      </c>
      <c r="EO24">
        <v>1.81</v>
      </c>
      <c r="EP24">
        <v>-2.44</v>
      </c>
    </row>
    <row r="25" spans="1:146" ht="108" x14ac:dyDescent="0.25">
      <c r="C25" s="8" t="str">
        <f>""&amp;CHAR(10)&amp;Basic_Fundamental_Information_Constructure(F25)&amp;CHAR(10)&amp;Basic_Fundamental_Information_Concatenate("")</f>
        <v xml:space="preserve">
市值15.32234亿, 利润4672.38万; PE16.67; 平均PE29.66; 平均PEG14.24, PB1.73; ROIC6.0567%; ROE6.3733%; 股利率1.7671%; 毛利33.1267%; 净利9.4567%; 上一年度营收增-39.9%, 利润增-20.21%; 当季营收增18.4%, 利润增-54.89%; 过往5年营收增-2.08%, 利润增-2.14%
Income profile:
</v>
      </c>
      <c r="D25" t="s">
        <v>333</v>
      </c>
      <c r="E25" t="s">
        <v>334</v>
      </c>
      <c r="F25">
        <v>12.45</v>
      </c>
      <c r="G25">
        <v>-0.24</v>
      </c>
      <c r="H25" t="s">
        <v>1151</v>
      </c>
      <c r="I25">
        <v>1532234000</v>
      </c>
      <c r="J25">
        <v>16.670000000000002</v>
      </c>
      <c r="K25">
        <v>1.73</v>
      </c>
      <c r="L25" t="s">
        <v>382</v>
      </c>
      <c r="M25" t="s">
        <v>1152</v>
      </c>
      <c r="N25" t="s">
        <v>557</v>
      </c>
      <c r="O25" t="s">
        <v>187</v>
      </c>
      <c r="P25">
        <v>93.24</v>
      </c>
      <c r="Q25" t="s">
        <v>619</v>
      </c>
      <c r="R25">
        <v>6302402</v>
      </c>
      <c r="S25" s="5">
        <v>5.0019999999999998</v>
      </c>
      <c r="T25" t="s">
        <v>1153</v>
      </c>
      <c r="U25">
        <v>81716245</v>
      </c>
      <c r="V25">
        <v>123071000</v>
      </c>
      <c r="W25">
        <v>2.42</v>
      </c>
      <c r="X25">
        <v>7.0000000000000007E-2</v>
      </c>
      <c r="Y25">
        <v>2.73</v>
      </c>
      <c r="Z25" t="s">
        <v>33</v>
      </c>
      <c r="AA25" t="s">
        <v>1154</v>
      </c>
      <c r="AB25" t="s">
        <v>1155</v>
      </c>
      <c r="AC25" t="s">
        <v>1156</v>
      </c>
      <c r="AD25" t="s">
        <v>9</v>
      </c>
      <c r="AE25">
        <v>4680436</v>
      </c>
      <c r="AF25" t="s">
        <v>1157</v>
      </c>
      <c r="AG25" t="s">
        <v>1158</v>
      </c>
      <c r="AH25" t="s">
        <v>1159</v>
      </c>
      <c r="AI25" t="s">
        <v>86</v>
      </c>
      <c r="AJ25" t="s">
        <v>1160</v>
      </c>
      <c r="AK25" t="s">
        <v>1161</v>
      </c>
      <c r="AL25" t="s">
        <v>1162</v>
      </c>
      <c r="AM25" t="s">
        <v>9</v>
      </c>
      <c r="AN25" t="s">
        <v>1163</v>
      </c>
      <c r="AO25" t="s">
        <v>311</v>
      </c>
      <c r="AP25" t="s">
        <v>1164</v>
      </c>
      <c r="AQ25" t="s">
        <v>301</v>
      </c>
      <c r="AR25" t="s">
        <v>9</v>
      </c>
      <c r="AS25" t="s">
        <v>1165</v>
      </c>
      <c r="AT25" t="s">
        <v>9</v>
      </c>
      <c r="AU25" t="s">
        <v>1166</v>
      </c>
      <c r="AV25" t="s">
        <v>1167</v>
      </c>
      <c r="AW25" t="s">
        <v>94</v>
      </c>
      <c r="AX25" t="s">
        <v>566</v>
      </c>
      <c r="AY25" t="s">
        <v>337</v>
      </c>
      <c r="AZ25" t="s">
        <v>275</v>
      </c>
      <c r="BA25" t="s">
        <v>195</v>
      </c>
      <c r="BB25" t="s">
        <v>172</v>
      </c>
      <c r="BC25" t="s">
        <v>1168</v>
      </c>
      <c r="BD25" t="s">
        <v>379</v>
      </c>
      <c r="BE25" t="s">
        <v>335</v>
      </c>
      <c r="BF25" t="s">
        <v>380</v>
      </c>
      <c r="BG25" t="s">
        <v>336</v>
      </c>
      <c r="BH25" t="s">
        <v>213</v>
      </c>
      <c r="BI25" t="s">
        <v>118</v>
      </c>
      <c r="BJ25" t="s">
        <v>566</v>
      </c>
      <c r="BK25" t="s">
        <v>1169</v>
      </c>
      <c r="BL25" t="s">
        <v>1170</v>
      </c>
      <c r="BM25" t="s">
        <v>1168</v>
      </c>
      <c r="BN25">
        <v>2.87</v>
      </c>
      <c r="BO25">
        <v>7.29</v>
      </c>
      <c r="BP25">
        <v>8.01</v>
      </c>
      <c r="BQ25">
        <v>2.57</v>
      </c>
      <c r="BR25">
        <v>7.44</v>
      </c>
      <c r="BS25">
        <v>9.11</v>
      </c>
      <c r="BT25" t="s">
        <v>516</v>
      </c>
      <c r="BU25" t="s">
        <v>382</v>
      </c>
      <c r="BV25">
        <v>33.71</v>
      </c>
      <c r="BW25">
        <v>33.78</v>
      </c>
      <c r="BX25">
        <v>31.89</v>
      </c>
      <c r="BY25">
        <v>8.98</v>
      </c>
      <c r="BZ25">
        <v>9.25</v>
      </c>
      <c r="CA25">
        <v>10.14</v>
      </c>
      <c r="CB25">
        <v>-8.99</v>
      </c>
      <c r="CC25">
        <v>-21.45</v>
      </c>
      <c r="CD25" t="s">
        <v>1171</v>
      </c>
      <c r="CE25" t="s">
        <v>1172</v>
      </c>
      <c r="CF25" s="10">
        <v>0.184</v>
      </c>
      <c r="CG25" s="11">
        <v>-0.54893596616161977</v>
      </c>
      <c r="CH25" s="10">
        <v>-0.39895012974739075</v>
      </c>
      <c r="CI25" s="10">
        <v>0.21337579190731049</v>
      </c>
      <c r="CJ25" s="10">
        <v>0.12544803321361542</v>
      </c>
      <c r="CK25" s="10">
        <v>5.4820414632558823E-2</v>
      </c>
      <c r="CL25" s="10">
        <v>-9.8807498812675476E-2</v>
      </c>
      <c r="CM25" s="11">
        <v>-0.20213724672794342</v>
      </c>
      <c r="CN25" s="11">
        <v>4.7874502837657928E-2</v>
      </c>
      <c r="CO25" s="11">
        <v>0.17044977843761444</v>
      </c>
      <c r="CP25" s="11">
        <v>3.0767237767577171E-2</v>
      </c>
      <c r="CQ25" s="11">
        <v>-0.15382325649261475</v>
      </c>
      <c r="CR25">
        <v>29.657806599467197</v>
      </c>
      <c r="CS25">
        <v>14.243032015106392</v>
      </c>
      <c r="CT25">
        <v>1.7670682730923697</v>
      </c>
      <c r="CU25" s="10">
        <v>-2.0822677761316299E-2</v>
      </c>
      <c r="CV25" s="11">
        <v>-2.1373796835541727E-2</v>
      </c>
      <c r="CW25">
        <v>0.06</v>
      </c>
      <c r="CX25">
        <v>34.933674059044854</v>
      </c>
      <c r="CY25" t="s">
        <v>1173</v>
      </c>
      <c r="CZ25">
        <v>-2.0822677761316299E-2</v>
      </c>
      <c r="DA25">
        <v>11.644558019681618</v>
      </c>
      <c r="DB25" t="s">
        <v>1174</v>
      </c>
      <c r="DC25">
        <v>-1.9781543873250484E-2</v>
      </c>
      <c r="DD25">
        <v>5.822279009840809</v>
      </c>
      <c r="DE25" t="s">
        <v>1175</v>
      </c>
      <c r="DF25">
        <v>-1.8323956429958342E-2</v>
      </c>
      <c r="DG25">
        <v>3.4933674059044857</v>
      </c>
      <c r="DH25" t="s">
        <v>1176</v>
      </c>
      <c r="DI25">
        <v>-1.665814220905304E-2</v>
      </c>
      <c r="DJ25">
        <v>1.7466837029522428</v>
      </c>
      <c r="DK25" t="s">
        <v>1177</v>
      </c>
      <c r="DL25">
        <v>-1.4575874432921408E-2</v>
      </c>
      <c r="DM25">
        <v>46723800</v>
      </c>
      <c r="DN25">
        <v>-2.0822677761316299E-2</v>
      </c>
      <c r="DO25">
        <v>1632234000</v>
      </c>
      <c r="DP25">
        <v>411780200</v>
      </c>
      <c r="DQ25">
        <v>4929</v>
      </c>
      <c r="DR25">
        <v>0.2048226777613163</v>
      </c>
      <c r="DS25">
        <v>-0.52756216932607802</v>
      </c>
      <c r="DT25" s="12">
        <v>-0.45666666666666672</v>
      </c>
      <c r="DU25">
        <v>-0.35333333333333333</v>
      </c>
      <c r="DV25">
        <v>-0.81</v>
      </c>
      <c r="DW25">
        <v>-9.4191142191142188</v>
      </c>
      <c r="DX25">
        <v>0.37338677493663441</v>
      </c>
      <c r="DY25">
        <v>-9.043330867444304</v>
      </c>
      <c r="DZ25">
        <v>2706</v>
      </c>
      <c r="EA25">
        <v>-9.0203850108289831</v>
      </c>
      <c r="EB25">
        <v>9</v>
      </c>
      <c r="EC25">
        <v>4.3615473994685995E-2</v>
      </c>
      <c r="ED25">
        <v>0.42186705235189442</v>
      </c>
      <c r="EE25" s="15">
        <v>10.036210000000001</v>
      </c>
      <c r="EF25">
        <v>10.075609999999999</v>
      </c>
      <c r="EG25">
        <v>27.103386774936634</v>
      </c>
      <c r="EH25" t="s">
        <v>1178</v>
      </c>
      <c r="EI25">
        <v>0</v>
      </c>
      <c r="EJ25">
        <v>0</v>
      </c>
      <c r="EK25" s="14">
        <v>45470</v>
      </c>
      <c r="EL25" s="16">
        <v>-3.82</v>
      </c>
      <c r="EM25" s="16">
        <v>-9.59</v>
      </c>
      <c r="EN25">
        <v>-4.1500000000000004</v>
      </c>
      <c r="EO25">
        <v>4.5</v>
      </c>
      <c r="EP25">
        <v>-3.94</v>
      </c>
    </row>
    <row r="26" spans="1:146" ht="108" x14ac:dyDescent="0.25">
      <c r="C26" s="8" t="str">
        <f>""&amp;CHAR(10)&amp;Basic_Fundamental_Information_Constructure(F26)&amp;CHAR(10)&amp;Basic_Fundamental_Information_Concatenate("")</f>
        <v xml:space="preserve">
市值16.205431亿, 利润2.01亿; PE186.2; 平均PE20.53; 平均PEG.9, PB2.02; ROIC4.8733%; ROE4.4%; 股利率1.6625%; 毛利49.1967%; 净利7.2633%; 上一年度营收增31.41%, 利润增320.41%; 当季营收增-35.39%, 利润增-221.54%; 过往5年营收增22.74%, 利润增63.62%
Income profile:
</v>
      </c>
      <c r="D26" t="s">
        <v>124</v>
      </c>
      <c r="E26" t="s">
        <v>125</v>
      </c>
      <c r="F26">
        <v>12.03</v>
      </c>
      <c r="G26">
        <v>0.67</v>
      </c>
      <c r="H26" t="s">
        <v>1179</v>
      </c>
      <c r="I26">
        <v>1620543100</v>
      </c>
      <c r="J26">
        <v>186.2</v>
      </c>
      <c r="K26">
        <v>2.02</v>
      </c>
      <c r="L26" t="s">
        <v>382</v>
      </c>
      <c r="M26" t="s">
        <v>1180</v>
      </c>
      <c r="N26" t="s">
        <v>269</v>
      </c>
      <c r="O26" t="s">
        <v>225</v>
      </c>
      <c r="P26">
        <v>-14.77</v>
      </c>
      <c r="Q26" t="s">
        <v>611</v>
      </c>
      <c r="R26">
        <v>-33616386</v>
      </c>
      <c r="S26" s="5">
        <v>-23.57</v>
      </c>
      <c r="T26" t="s">
        <v>116</v>
      </c>
      <c r="U26">
        <v>134708490</v>
      </c>
      <c r="V26">
        <v>134708490</v>
      </c>
      <c r="W26">
        <v>1.59</v>
      </c>
      <c r="X26">
        <v>0.09</v>
      </c>
      <c r="Y26">
        <v>-29.26</v>
      </c>
      <c r="Z26" t="s">
        <v>144</v>
      </c>
      <c r="AA26" t="s">
        <v>1181</v>
      </c>
      <c r="AB26" t="s">
        <v>1182</v>
      </c>
      <c r="AC26" t="s">
        <v>1183</v>
      </c>
      <c r="AD26" t="s">
        <v>9</v>
      </c>
      <c r="AE26">
        <v>203974</v>
      </c>
      <c r="AF26" t="s">
        <v>1184</v>
      </c>
      <c r="AG26" t="s">
        <v>1185</v>
      </c>
      <c r="AH26" t="s">
        <v>1186</v>
      </c>
      <c r="AI26" t="s">
        <v>70</v>
      </c>
      <c r="AJ26" t="s">
        <v>1187</v>
      </c>
      <c r="AK26" t="s">
        <v>1188</v>
      </c>
      <c r="AL26" t="s">
        <v>1189</v>
      </c>
      <c r="AM26" t="s">
        <v>9</v>
      </c>
      <c r="AN26" t="s">
        <v>225</v>
      </c>
      <c r="AO26" t="s">
        <v>1190</v>
      </c>
      <c r="AP26" t="s">
        <v>1191</v>
      </c>
      <c r="AQ26" t="s">
        <v>58</v>
      </c>
      <c r="AR26" t="s">
        <v>9</v>
      </c>
      <c r="AS26" t="s">
        <v>607</v>
      </c>
      <c r="AT26" t="s">
        <v>9</v>
      </c>
      <c r="AU26" t="s">
        <v>1192</v>
      </c>
      <c r="AV26" t="s">
        <v>1193</v>
      </c>
      <c r="AW26" t="s">
        <v>1194</v>
      </c>
      <c r="AX26" t="s">
        <v>205</v>
      </c>
      <c r="AY26" t="s">
        <v>284</v>
      </c>
      <c r="AZ26" t="s">
        <v>59</v>
      </c>
      <c r="BA26" t="s">
        <v>126</v>
      </c>
      <c r="BB26" t="s">
        <v>84</v>
      </c>
      <c r="BC26" t="s">
        <v>567</v>
      </c>
      <c r="BD26" t="s">
        <v>381</v>
      </c>
      <c r="BE26" t="s">
        <v>218</v>
      </c>
      <c r="BF26" t="s">
        <v>127</v>
      </c>
      <c r="BG26" t="s">
        <v>219</v>
      </c>
      <c r="BH26" t="s">
        <v>1195</v>
      </c>
      <c r="BI26" t="s">
        <v>123</v>
      </c>
      <c r="BJ26" t="s">
        <v>205</v>
      </c>
      <c r="BK26" t="s">
        <v>1196</v>
      </c>
      <c r="BL26" t="s">
        <v>1197</v>
      </c>
      <c r="BM26" t="s">
        <v>567</v>
      </c>
      <c r="BN26">
        <v>3.26</v>
      </c>
      <c r="BO26">
        <v>5.72</v>
      </c>
      <c r="BP26">
        <v>5.64</v>
      </c>
      <c r="BQ26">
        <v>2.04</v>
      </c>
      <c r="BR26">
        <v>5.53</v>
      </c>
      <c r="BS26">
        <v>5.63</v>
      </c>
      <c r="BT26" t="s">
        <v>515</v>
      </c>
      <c r="BU26" t="s">
        <v>382</v>
      </c>
      <c r="BV26">
        <v>49.01</v>
      </c>
      <c r="BW26">
        <v>47.95</v>
      </c>
      <c r="BX26">
        <v>50.63</v>
      </c>
      <c r="BY26">
        <v>5.57</v>
      </c>
      <c r="BZ26">
        <v>7.53</v>
      </c>
      <c r="CA26">
        <v>8.69</v>
      </c>
      <c r="CB26">
        <v>-10.02</v>
      </c>
      <c r="CC26">
        <v>-25.92</v>
      </c>
      <c r="CD26" t="s">
        <v>1198</v>
      </c>
      <c r="CE26" t="s">
        <v>1199</v>
      </c>
      <c r="CF26" s="10">
        <v>-0.35393258426966301</v>
      </c>
      <c r="CG26" s="11">
        <v>-2.2154000730330781</v>
      </c>
      <c r="CH26" s="10">
        <v>0.3140740692615509</v>
      </c>
      <c r="CI26" s="10">
        <v>0.20106761157512665</v>
      </c>
      <c r="CJ26" s="10">
        <v>0.34772181510925293</v>
      </c>
      <c r="CK26" s="10">
        <v>1.955990307033062E-2</v>
      </c>
      <c r="CL26" s="10">
        <v>0.25460124015808105</v>
      </c>
      <c r="CM26" s="11">
        <v>3.2040975093841553</v>
      </c>
      <c r="CN26" s="11">
        <v>6.8887230008840561E-3</v>
      </c>
      <c r="CO26" s="11">
        <v>-0.19324672222137451</v>
      </c>
      <c r="CP26" s="11">
        <v>-0.11499152332544327</v>
      </c>
      <c r="CQ26" s="11">
        <v>0.27804082632064819</v>
      </c>
      <c r="CR26">
        <v>20.526507052672113</v>
      </c>
      <c r="CS26">
        <v>0.90264125971700881</v>
      </c>
      <c r="CT26">
        <v>1.6625103906899419</v>
      </c>
      <c r="CU26" s="10">
        <v>0.22740492783486843</v>
      </c>
      <c r="CV26" s="11">
        <v>0.63615776263177393</v>
      </c>
      <c r="CW26">
        <v>0.06</v>
      </c>
      <c r="CX26">
        <v>5.5105368863756095</v>
      </c>
      <c r="CY26">
        <v>232743764.61774388</v>
      </c>
      <c r="CZ26">
        <v>0.22740492783486843</v>
      </c>
      <c r="DA26">
        <v>1.6060116453207836</v>
      </c>
      <c r="DB26">
        <v>798588916.67241049</v>
      </c>
      <c r="DC26">
        <v>0.21603468144312499</v>
      </c>
      <c r="DD26">
        <v>0.6734380014017971</v>
      </c>
      <c r="DE26">
        <v>1904470934.7116115</v>
      </c>
      <c r="DF26">
        <v>0.20011633649468422</v>
      </c>
      <c r="DG26">
        <v>0.3340321319837487</v>
      </c>
      <c r="DH26">
        <v>3839580019.9916043</v>
      </c>
      <c r="DI26">
        <v>0.18192394226789477</v>
      </c>
      <c r="DJ26">
        <v>0.10956289601712957</v>
      </c>
      <c r="DK26">
        <v>11705998532.564175</v>
      </c>
      <c r="DL26">
        <v>0.15918344948440788</v>
      </c>
      <c r="DM26">
        <v>200999999.99999997</v>
      </c>
      <c r="DN26">
        <v>0.22740492783486843</v>
      </c>
      <c r="DO26">
        <v>1282543100</v>
      </c>
      <c r="DP26">
        <v>547405300</v>
      </c>
      <c r="DQ26">
        <v>5006</v>
      </c>
      <c r="DR26">
        <v>-0.58133751210453144</v>
      </c>
      <c r="DS26">
        <v>-2.8515578356648521</v>
      </c>
      <c r="DT26" s="12">
        <v>0.10999999999999995</v>
      </c>
      <c r="DU26">
        <v>-0.63166666666666671</v>
      </c>
      <c r="DV26">
        <v>-0.52166666666666672</v>
      </c>
      <c r="DW26">
        <v>-9.3865740740740744</v>
      </c>
      <c r="DX26">
        <v>0.57807674884845539</v>
      </c>
      <c r="DY26">
        <v>-9.0804370765224345</v>
      </c>
      <c r="DZ26">
        <v>100</v>
      </c>
      <c r="EA26">
        <v>-9.0788629654358903</v>
      </c>
      <c r="EB26">
        <v>9</v>
      </c>
      <c r="EC26">
        <v>3.443955165706334E-2</v>
      </c>
      <c r="ED26">
        <v>0.16551369553619077</v>
      </c>
      <c r="EE26" s="15">
        <v>-1.04941</v>
      </c>
      <c r="EF26">
        <v>-1.0706100000000001</v>
      </c>
      <c r="EG26">
        <v>37.208076748848455</v>
      </c>
      <c r="EH26" t="s">
        <v>486</v>
      </c>
      <c r="EI26">
        <v>0</v>
      </c>
      <c r="EJ26">
        <v>1</v>
      </c>
      <c r="EK26" s="14">
        <v>45470</v>
      </c>
      <c r="EL26" s="16">
        <v>1.71</v>
      </c>
      <c r="EM26" s="16">
        <v>-2.82</v>
      </c>
      <c r="EN26">
        <v>-6.48</v>
      </c>
      <c r="EO26">
        <v>1.55</v>
      </c>
      <c r="EP26">
        <v>-2.12</v>
      </c>
    </row>
    <row r="27" spans="1:146" ht="108" x14ac:dyDescent="0.25">
      <c r="C27" s="8" t="str">
        <f>""&amp;CHAR(10)&amp;Basic_Fundamental_Information_Constructure(F27)&amp;CHAR(10)&amp;Basic_Fundamental_Information_Concatenate("")</f>
        <v xml:space="preserve">
市值15.162亿, 利润5.05亿; PE194.4; 平均PE10.62; 平均PEG.03, PB1.33; ROIC10.18%; ROE7.855%; 股利率.4661%; 毛利34.7067%; 净利10.63%; 上一年度营收增1312.71%, 利润增765.17%; 当季营收增-96.27%, 利润增-102.16%; 过往5年营收增337.21%, 利润增210.12%
Income profile:
</v>
      </c>
      <c r="D27" t="s">
        <v>568</v>
      </c>
      <c r="E27" t="s">
        <v>569</v>
      </c>
      <c r="F27">
        <v>19.309999999999999</v>
      </c>
      <c r="G27">
        <v>4.95</v>
      </c>
      <c r="H27" t="s">
        <v>1200</v>
      </c>
      <c r="I27">
        <v>1516200000</v>
      </c>
      <c r="J27">
        <v>194.4</v>
      </c>
      <c r="K27">
        <v>1.33</v>
      </c>
      <c r="L27" t="s">
        <v>382</v>
      </c>
      <c r="M27" t="s">
        <v>256</v>
      </c>
      <c r="N27" t="s">
        <v>545</v>
      </c>
      <c r="O27" t="s">
        <v>1201</v>
      </c>
      <c r="P27" s="6">
        <v>-33.01</v>
      </c>
      <c r="Q27" t="s">
        <v>1202</v>
      </c>
      <c r="R27">
        <v>-1881387</v>
      </c>
      <c r="S27">
        <v>-1.137</v>
      </c>
      <c r="T27" t="s">
        <v>122</v>
      </c>
      <c r="U27">
        <v>17707194</v>
      </c>
      <c r="V27">
        <v>78518900</v>
      </c>
      <c r="W27">
        <v>1.21</v>
      </c>
      <c r="X27">
        <v>0.03</v>
      </c>
      <c r="Y27">
        <v>-4.2699999999999996</v>
      </c>
      <c r="Z27" t="s">
        <v>1203</v>
      </c>
      <c r="AA27" t="s">
        <v>1204</v>
      </c>
      <c r="AB27" t="s">
        <v>1205</v>
      </c>
      <c r="AC27" t="s">
        <v>1206</v>
      </c>
      <c r="AD27" t="s">
        <v>9</v>
      </c>
      <c r="AE27">
        <v>-813718</v>
      </c>
      <c r="AF27" t="s">
        <v>1207</v>
      </c>
      <c r="AG27">
        <v>80.28</v>
      </c>
      <c r="AH27" t="s">
        <v>1208</v>
      </c>
      <c r="AI27" t="s">
        <v>120</v>
      </c>
      <c r="AJ27" t="s">
        <v>1209</v>
      </c>
      <c r="AK27" t="s">
        <v>1210</v>
      </c>
      <c r="AL27" t="s">
        <v>1211</v>
      </c>
      <c r="AM27" t="s">
        <v>9</v>
      </c>
      <c r="AN27">
        <v>0</v>
      </c>
      <c r="AO27" t="s">
        <v>1212</v>
      </c>
      <c r="AP27" t="s">
        <v>1213</v>
      </c>
      <c r="AQ27" t="s">
        <v>1214</v>
      </c>
      <c r="AR27" t="s">
        <v>9</v>
      </c>
      <c r="AS27" t="s">
        <v>582</v>
      </c>
      <c r="AT27" t="s">
        <v>9</v>
      </c>
      <c r="AU27" t="s">
        <v>1215</v>
      </c>
      <c r="AV27" t="s">
        <v>1216</v>
      </c>
      <c r="AW27" t="s">
        <v>1217</v>
      </c>
      <c r="AX27" t="s">
        <v>199</v>
      </c>
      <c r="AY27" t="s">
        <v>584</v>
      </c>
      <c r="AZ27" t="s">
        <v>146</v>
      </c>
      <c r="BA27" t="s">
        <v>500</v>
      </c>
      <c r="BB27" t="s">
        <v>9</v>
      </c>
      <c r="BC27" t="s">
        <v>583</v>
      </c>
      <c r="BD27" t="s">
        <v>585</v>
      </c>
      <c r="BE27" t="s">
        <v>586</v>
      </c>
      <c r="BF27" t="s">
        <v>587</v>
      </c>
      <c r="BG27" t="s">
        <v>9</v>
      </c>
      <c r="BH27" t="s">
        <v>162</v>
      </c>
      <c r="BI27" t="s">
        <v>1218</v>
      </c>
      <c r="BJ27" t="s">
        <v>199</v>
      </c>
      <c r="BK27" t="s">
        <v>1219</v>
      </c>
      <c r="BL27" t="s">
        <v>1220</v>
      </c>
      <c r="BM27" t="s">
        <v>583</v>
      </c>
      <c r="BN27">
        <v>2.12</v>
      </c>
      <c r="BO27">
        <v>12.14</v>
      </c>
      <c r="BP27">
        <v>16.28</v>
      </c>
      <c r="BQ27">
        <v>3.11</v>
      </c>
      <c r="BR27">
        <v>12.6</v>
      </c>
      <c r="BS27" t="s">
        <v>9</v>
      </c>
      <c r="BT27" t="s">
        <v>518</v>
      </c>
      <c r="BU27" t="s">
        <v>382</v>
      </c>
      <c r="BV27">
        <v>33.049999999999997</v>
      </c>
      <c r="BW27">
        <v>38.79</v>
      </c>
      <c r="BX27">
        <v>32.28</v>
      </c>
      <c r="BY27">
        <v>6.87</v>
      </c>
      <c r="BZ27">
        <v>12.32</v>
      </c>
      <c r="CA27">
        <v>12.7</v>
      </c>
      <c r="CB27">
        <v>-6.85</v>
      </c>
      <c r="CC27" s="10">
        <v>-4.92</v>
      </c>
      <c r="CD27" s="11" t="s">
        <v>1221</v>
      </c>
      <c r="CE27" s="10" t="s">
        <v>1222</v>
      </c>
      <c r="CF27" s="10">
        <v>-0.96271472629144184</v>
      </c>
      <c r="CG27" s="10">
        <v>-1.0215828900439714</v>
      </c>
      <c r="CH27" s="10">
        <v>13.127119064331055</v>
      </c>
      <c r="CI27" s="10">
        <v>-0.17626526951789856</v>
      </c>
      <c r="CJ27" s="11">
        <v>0.40441176295280457</v>
      </c>
      <c r="CK27" s="11">
        <v>0.13333334028720856</v>
      </c>
      <c r="CL27" s="11" t="s">
        <v>9</v>
      </c>
      <c r="CM27" s="11">
        <v>7.651674747467041</v>
      </c>
      <c r="CN27" s="11">
        <v>-0.18537901341915131</v>
      </c>
      <c r="CO27">
        <v>0.58310079574584961</v>
      </c>
      <c r="CP27">
        <v>0.35547369718551636</v>
      </c>
      <c r="CQ27" t="s">
        <v>9</v>
      </c>
      <c r="CR27" s="10">
        <v>10.622464361288776</v>
      </c>
      <c r="CS27" s="11">
        <v>3.1500571531775427E-2</v>
      </c>
      <c r="CT27">
        <v>0.4660797514241326</v>
      </c>
      <c r="CU27">
        <v>3.3721497245132923</v>
      </c>
      <c r="CV27">
        <v>2.1012175567448139</v>
      </c>
      <c r="CW27">
        <v>0.06</v>
      </c>
      <c r="CX27">
        <v>0.32655481276145049</v>
      </c>
      <c r="CY27">
        <v>2082958123.4709551</v>
      </c>
      <c r="CZ27">
        <v>3.3721497245132923</v>
      </c>
      <c r="DA27">
        <v>1.6414999387424453E-2</v>
      </c>
      <c r="DB27">
        <v>41437710958.497009</v>
      </c>
      <c r="DC27">
        <v>3.2035422382876275</v>
      </c>
      <c r="DD27">
        <v>3.5912420786668345E-4</v>
      </c>
      <c r="DE27">
        <v>1894052211185.1299</v>
      </c>
      <c r="DF27">
        <v>2.9674917575716973</v>
      </c>
      <c r="DG27">
        <v>3.6004785280162877E-6</v>
      </c>
      <c r="DH27">
        <v>188919332446279.47</v>
      </c>
      <c r="DI27">
        <v>2.697719779610634</v>
      </c>
      <c r="DJ27">
        <v>8.7657838839202794E-11</v>
      </c>
      <c r="DK27">
        <v>7.7597167464707953E+18</v>
      </c>
      <c r="DL27">
        <v>2.3605048071593044</v>
      </c>
      <c r="DM27">
        <v>505000000</v>
      </c>
      <c r="DN27">
        <v>3.3721497245132923</v>
      </c>
      <c r="DO27">
        <v>680200000</v>
      </c>
      <c r="DP27">
        <v>1102700120</v>
      </c>
      <c r="DQ27" s="12">
        <v>5056</v>
      </c>
      <c r="DR27">
        <v>-4.3348644508047345</v>
      </c>
      <c r="DS27">
        <v>-3.1228004467887853</v>
      </c>
      <c r="DT27">
        <v>-0.18800000000000003</v>
      </c>
      <c r="DU27">
        <v>-0.59800000000000009</v>
      </c>
      <c r="DV27">
        <v>-0.78600000000000014</v>
      </c>
      <c r="DW27">
        <v>-5.7182481751824819</v>
      </c>
      <c r="DX27">
        <v>0.41743276339933572</v>
      </c>
      <c r="DY27">
        <v>-5.0843458680182083</v>
      </c>
      <c r="DZ27">
        <v>722</v>
      </c>
      <c r="EA27">
        <v>-5.0724285066269861</v>
      </c>
      <c r="EB27" s="15">
        <v>5</v>
      </c>
      <c r="EC27" s="15">
        <v>7.792009312407587E-2</v>
      </c>
      <c r="ED27">
        <v>0.66352941775801755</v>
      </c>
      <c r="EE27">
        <v>6.12141</v>
      </c>
      <c r="EF27">
        <v>6.1395099999999996</v>
      </c>
      <c r="EG27">
        <v>30.117432763399336</v>
      </c>
      <c r="EH27" s="14" t="s">
        <v>613</v>
      </c>
      <c r="EI27">
        <v>0</v>
      </c>
      <c r="EJ27">
        <v>1</v>
      </c>
      <c r="EK27">
        <v>45470</v>
      </c>
      <c r="EL27">
        <v>-0.97</v>
      </c>
      <c r="EM27">
        <v>-0.5</v>
      </c>
      <c r="EN27">
        <v>-3.38</v>
      </c>
      <c r="EO27">
        <v>-1.45</v>
      </c>
      <c r="EP27">
        <v>-1.81</v>
      </c>
    </row>
  </sheetData>
  <autoFilter ref="BU1:BU27"/>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环保设备&quot;,&quot;&quot;'" altText="更新基本面按钮_x000a_">
                <anchor moveWithCells="1" sizeWithCells="1">
                  <from>
                    <xdr:col>147</xdr:col>
                    <xdr:colOff>247650</xdr:colOff>
                    <xdr:row>0</xdr:row>
                    <xdr:rowOff>95250</xdr:rowOff>
                  </from>
                  <to>
                    <xdr:col>147</xdr:col>
                    <xdr:colOff>1422400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环保</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2024-07-10T16:09:17Z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