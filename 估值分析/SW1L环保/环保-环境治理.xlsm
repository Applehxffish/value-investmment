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001Xiaofeng\value-investment-backup\估值分析\SW1L环保\"/>
    </mc:Choice>
  </mc:AlternateContent>
  <bookViews>
    <workbookView xWindow="0" yWindow="0" windowWidth="3800" windowHeight="2950"/>
  </bookViews>
  <sheets>
    <sheet name="环保" sheetId="15" r:id="rId1"/>
    <sheet name="估值-增速与年化收益" sheetId="14" r:id="rId2"/>
  </sheets>
  <functionGroups builtInGroupCount="18"/>
  <definedNames>
    <definedName name="_xlnm._FilterDatabase" localSheetId="0" hidden="1">环保!$BU$1:$BU$115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5" i="14" l="1"/>
  <c r="C5" i="14" s="1"/>
  <c r="D5" i="14" s="1"/>
  <c r="E5" i="14" s="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B1" i="14"/>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C66" i="15"/>
  <c r="C67" i="15"/>
  <c r="C110" i="15"/>
  <c r="C72" i="15"/>
  <c r="C46" i="15"/>
  <c r="C71" i="15"/>
  <c r="C83" i="15"/>
  <c r="C27" i="15"/>
  <c r="C23" i="15"/>
  <c r="C109" i="15"/>
  <c r="C87" i="15"/>
  <c r="C95" i="15"/>
  <c r="C102" i="15"/>
  <c r="C59" i="15"/>
  <c r="C19" i="15"/>
  <c r="C36" i="15"/>
  <c r="C105" i="15"/>
  <c r="C70" i="15"/>
  <c r="C51" i="15"/>
  <c r="C28" i="15"/>
  <c r="C113" i="15"/>
  <c r="C78" i="15"/>
  <c r="C12" i="15"/>
  <c r="C45" i="15"/>
  <c r="C7" i="15"/>
  <c r="C90" i="15"/>
  <c r="C61" i="15"/>
  <c r="C33" i="15"/>
  <c r="C63" i="15"/>
  <c r="C3" i="15"/>
  <c r="C5" i="15"/>
  <c r="C77" i="15"/>
  <c r="C98" i="15"/>
  <c r="C6" i="15"/>
  <c r="C8" i="15"/>
  <c r="C18" i="15"/>
  <c r="C97" i="15"/>
  <c r="C74" i="15"/>
  <c r="C40" i="15"/>
  <c r="C20" i="15"/>
  <c r="C50" i="15"/>
  <c r="C31" i="15"/>
  <c r="C64" i="15"/>
  <c r="C9" i="15"/>
  <c r="C30" i="15"/>
  <c r="C25" i="15"/>
  <c r="C11" i="15"/>
  <c r="C94" i="15"/>
  <c r="C103" i="15"/>
  <c r="C108" i="15"/>
  <c r="C62" i="15"/>
  <c r="C53" i="15"/>
  <c r="C21" i="15"/>
  <c r="C112" i="15"/>
  <c r="C101" i="15"/>
  <c r="C100" i="15"/>
  <c r="C4" i="15"/>
  <c r="C10" i="15"/>
  <c r="C68" i="15"/>
  <c r="C54" i="15"/>
  <c r="C104" i="15"/>
  <c r="C75" i="15"/>
  <c r="C79" i="15"/>
  <c r="C106" i="15"/>
  <c r="C69" i="15"/>
  <c r="C96" i="15"/>
  <c r="C111" i="15"/>
  <c r="C91" i="15"/>
  <c r="C60" i="15"/>
  <c r="C115" i="15"/>
  <c r="C81" i="15"/>
  <c r="C52" i="15"/>
  <c r="C37" i="15"/>
  <c r="C16" i="15"/>
  <c r="C65" i="15"/>
  <c r="C107" i="15"/>
  <c r="C26" i="15"/>
  <c r="C92" i="15"/>
  <c r="C99" i="15"/>
  <c r="C15" i="15"/>
  <c r="C48" i="15"/>
  <c r="C24" i="15"/>
  <c r="C93" i="15"/>
  <c r="C44" i="15"/>
  <c r="C82" i="15"/>
  <c r="C35" i="15"/>
  <c r="C22" i="15"/>
  <c r="C34" i="15"/>
  <c r="C47" i="15"/>
  <c r="C89" i="15"/>
  <c r="C57" i="15"/>
  <c r="C32" i="15"/>
  <c r="C73" i="15"/>
  <c r="C43" i="15"/>
  <c r="C80" i="15"/>
  <c r="C84" i="15"/>
  <c r="C56" i="15"/>
  <c r="C41" i="15"/>
  <c r="C17" i="15"/>
  <c r="C114" i="15"/>
  <c r="C42" i="15"/>
  <c r="C39" i="15"/>
  <c r="C85" i="15"/>
  <c r="C49" i="15"/>
  <c r="C38" i="15"/>
  <c r="C13" i="15"/>
  <c r="C55" i="15"/>
  <c r="C58" i="15"/>
</calcChain>
</file>

<file path=xl/sharedStrings.xml><?xml version="1.0" encoding="utf-8"?>
<sst xmlns="http://schemas.openxmlformats.org/spreadsheetml/2006/main" count="6529" uniqueCount="4164">
  <si>
    <t>&lt;-增速</t>
    <phoneticPr fontId="1" type="noConversion"/>
  </si>
  <si>
    <t>&lt;-估值</t>
    <phoneticPr fontId="1" type="noConversion"/>
  </si>
  <si>
    <t>&lt;-折合年化收益</t>
    <phoneticPr fontId="1" type="noConversion"/>
  </si>
  <si>
    <t>现价</t>
  </si>
  <si>
    <t>市净率</t>
  </si>
  <si>
    <t>德创环保</t>
  </si>
  <si>
    <t>中国天楹</t>
  </si>
  <si>
    <t>绿色动力</t>
  </si>
  <si>
    <t>远达环保</t>
  </si>
  <si>
    <t>碧水源</t>
  </si>
  <si>
    <t>兴源环境</t>
  </si>
  <si>
    <t>上海洗霸</t>
  </si>
  <si>
    <t>中材节能</t>
  </si>
  <si>
    <t>中电环保</t>
  </si>
  <si>
    <t>中再资环</t>
  </si>
  <si>
    <t>伟明环保</t>
  </si>
  <si>
    <t>绿茵生态</t>
  </si>
  <si>
    <t>东江环保</t>
  </si>
  <si>
    <t>维尔利</t>
  </si>
  <si>
    <t>旺能环境</t>
  </si>
  <si>
    <t>高能环境</t>
  </si>
  <si>
    <t>博世科</t>
  </si>
  <si>
    <t>上海环境</t>
  </si>
  <si>
    <t>清新环境</t>
  </si>
  <si>
    <t>瀚蓝环境</t>
  </si>
  <si>
    <t>岭南股份</t>
  </si>
  <si>
    <t>永清环保</t>
  </si>
  <si>
    <t>华控赛格</t>
  </si>
  <si>
    <t>--</t>
  </si>
  <si>
    <t>预期多</t>
    <phoneticPr fontId="1" type="noConversion"/>
  </si>
  <si>
    <t>预期空</t>
    <phoneticPr fontId="1" type="noConversion"/>
  </si>
  <si>
    <t>已知和基本信息</t>
    <phoneticPr fontId="1" type="noConversion"/>
  </si>
  <si>
    <t>代码</t>
  </si>
  <si>
    <t>总市值</t>
  </si>
  <si>
    <t>TTM市盈率</t>
  </si>
  <si>
    <t>所属行业</t>
  </si>
  <si>
    <t>负债合计</t>
  </si>
  <si>
    <t>所有者权益合计</t>
  </si>
  <si>
    <t>主营业务收入</t>
  </si>
  <si>
    <t>净利润增长率</t>
  </si>
  <si>
    <t>总股本</t>
  </si>
  <si>
    <t>财务费用</t>
  </si>
  <si>
    <t>投资收益</t>
  </si>
  <si>
    <t>应收账款</t>
  </si>
  <si>
    <t>5.53亿</t>
  </si>
  <si>
    <t>1.75亿</t>
  </si>
  <si>
    <t>1.68亿</t>
  </si>
  <si>
    <t>1.12亿</t>
  </si>
  <si>
    <t>3.40亿</t>
  </si>
  <si>
    <t>SZ000035</t>
  </si>
  <si>
    <t>185.87亿</t>
  </si>
  <si>
    <t>7.13亿</t>
  </si>
  <si>
    <t>5.68亿</t>
  </si>
  <si>
    <t>2.94亿</t>
  </si>
  <si>
    <t>34.59亿</t>
  </si>
  <si>
    <t>SZ000068</t>
  </si>
  <si>
    <t>2.25亿</t>
  </si>
  <si>
    <t>599.90万</t>
  </si>
  <si>
    <t>1.38亿</t>
  </si>
  <si>
    <t>2.02亿</t>
  </si>
  <si>
    <t>SZ000711</t>
  </si>
  <si>
    <t>19.01亿</t>
  </si>
  <si>
    <t>-10.37亿</t>
  </si>
  <si>
    <t>3.99亿</t>
  </si>
  <si>
    <t>4.16亿</t>
  </si>
  <si>
    <t>SZ000803</t>
  </si>
  <si>
    <t>2352.92万</t>
  </si>
  <si>
    <t>0亿</t>
  </si>
  <si>
    <t>2.14亿</t>
  </si>
  <si>
    <t>1.65亿</t>
  </si>
  <si>
    <t>SZ000826</t>
  </si>
  <si>
    <t>启迪环境</t>
  </si>
  <si>
    <t>1.56亿</t>
  </si>
  <si>
    <t>1.28亿</t>
  </si>
  <si>
    <t>8.53亿</t>
  </si>
  <si>
    <t>2.83亿</t>
  </si>
  <si>
    <t>3.38亿</t>
  </si>
  <si>
    <t>3.66亿</t>
  </si>
  <si>
    <t>2.09亿</t>
  </si>
  <si>
    <t>SZ002034</t>
  </si>
  <si>
    <t>5.34亿</t>
  </si>
  <si>
    <t>3.67亿</t>
  </si>
  <si>
    <t>2.26亿</t>
  </si>
  <si>
    <t>3.16亿</t>
  </si>
  <si>
    <t>1.29亿</t>
  </si>
  <si>
    <t>5.19亿</t>
  </si>
  <si>
    <t>SZ002266</t>
  </si>
  <si>
    <t>浙富控股</t>
  </si>
  <si>
    <t>1.61亿</t>
  </si>
  <si>
    <t>1.60亿</t>
  </si>
  <si>
    <t>1.36亿</t>
  </si>
  <si>
    <t>SZ002310</t>
  </si>
  <si>
    <t>2.28亿</t>
  </si>
  <si>
    <t>1.33亿</t>
  </si>
  <si>
    <t>1.07亿</t>
  </si>
  <si>
    <t>1.97亿</t>
  </si>
  <si>
    <t>2.20亿</t>
  </si>
  <si>
    <t>SZ002573</t>
  </si>
  <si>
    <t>33.75亿</t>
  </si>
  <si>
    <t>3.80亿</t>
  </si>
  <si>
    <t>1.20亿</t>
  </si>
  <si>
    <t>1.39亿</t>
  </si>
  <si>
    <t>2.95亿</t>
  </si>
  <si>
    <t>1.46亿</t>
  </si>
  <si>
    <t>3.05亿</t>
  </si>
  <si>
    <t>12.43亿</t>
  </si>
  <si>
    <t>1.41亿</t>
  </si>
  <si>
    <t>3.82亿</t>
  </si>
  <si>
    <t>11.87亿</t>
  </si>
  <si>
    <t>1.42亿</t>
  </si>
  <si>
    <t>1.01亿</t>
  </si>
  <si>
    <t>SZ002672</t>
  </si>
  <si>
    <t>4.24亿</t>
  </si>
  <si>
    <t>1.66亿</t>
  </si>
  <si>
    <t>1.51亿</t>
  </si>
  <si>
    <t>1.00亿</t>
  </si>
  <si>
    <t>SZ002717</t>
  </si>
  <si>
    <t>79.57亿</t>
  </si>
  <si>
    <t>3.28亿</t>
  </si>
  <si>
    <t>1.89亿</t>
  </si>
  <si>
    <t>1.26亿</t>
  </si>
  <si>
    <t>9.71亿</t>
  </si>
  <si>
    <t>SZ002887</t>
  </si>
  <si>
    <t>2.81亿</t>
  </si>
  <si>
    <t>1.27亿</t>
  </si>
  <si>
    <t>4.17亿</t>
  </si>
  <si>
    <t>SZ002973</t>
  </si>
  <si>
    <t>21.95亿</t>
  </si>
  <si>
    <t>1.31亿</t>
  </si>
  <si>
    <t>1.19亿</t>
  </si>
  <si>
    <t>7.15亿</t>
  </si>
  <si>
    <t>4.65亿</t>
  </si>
  <si>
    <t>1.88亿</t>
  </si>
  <si>
    <t>1.73亿</t>
  </si>
  <si>
    <t>3.25亿</t>
  </si>
  <si>
    <t>5.26亿</t>
  </si>
  <si>
    <t>1.47亿</t>
  </si>
  <si>
    <t>SZ300056</t>
  </si>
  <si>
    <t>中创环保</t>
  </si>
  <si>
    <t>14.76亿</t>
  </si>
  <si>
    <t>-2012.57万</t>
  </si>
  <si>
    <t>6.41亿</t>
  </si>
  <si>
    <t>1.14亿</t>
  </si>
  <si>
    <t>3.86亿</t>
  </si>
  <si>
    <t>2.78亿</t>
  </si>
  <si>
    <t>1.77亿</t>
  </si>
  <si>
    <t>SZ300070</t>
  </si>
  <si>
    <t>122.55亿</t>
  </si>
  <si>
    <t>13.81亿</t>
  </si>
  <si>
    <t>2.17亿</t>
  </si>
  <si>
    <t>1.23亿</t>
  </si>
  <si>
    <t>11.71亿</t>
  </si>
  <si>
    <t>1.08亿</t>
  </si>
  <si>
    <t>2.29亿</t>
  </si>
  <si>
    <t>2.63亿</t>
  </si>
  <si>
    <t>2.40亿</t>
  </si>
  <si>
    <t>1.99亿</t>
  </si>
  <si>
    <t>5.60亿</t>
  </si>
  <si>
    <t>2.03亿</t>
  </si>
  <si>
    <t>SZ300152</t>
  </si>
  <si>
    <t>9.07亿</t>
  </si>
  <si>
    <t>5.13亿</t>
  </si>
  <si>
    <t>2.12亿</t>
  </si>
  <si>
    <t>1.03亿</t>
  </si>
  <si>
    <t>1.74亿</t>
  </si>
  <si>
    <t>SZ300172</t>
  </si>
  <si>
    <t>1.43亿</t>
  </si>
  <si>
    <t>2.76亿</t>
  </si>
  <si>
    <t>SZ300187</t>
  </si>
  <si>
    <t>6.72亿</t>
  </si>
  <si>
    <t>1.91亿</t>
  </si>
  <si>
    <t>2.13亿</t>
  </si>
  <si>
    <t>2.75亿</t>
  </si>
  <si>
    <t>SZ300190</t>
  </si>
  <si>
    <t>27.31亿</t>
  </si>
  <si>
    <t>3.17亿</t>
  </si>
  <si>
    <t>SZ300197</t>
  </si>
  <si>
    <t>50.66亿</t>
  </si>
  <si>
    <t>-9.12亿</t>
  </si>
  <si>
    <t>SZ300262</t>
  </si>
  <si>
    <t>9.59亿</t>
  </si>
  <si>
    <t>8052.54万</t>
  </si>
  <si>
    <t>18.74亿</t>
  </si>
  <si>
    <t>5.32亿</t>
  </si>
  <si>
    <t>5.30亿</t>
  </si>
  <si>
    <t>SZ300266</t>
  </si>
  <si>
    <t>3544.24万</t>
  </si>
  <si>
    <t>5.78亿</t>
  </si>
  <si>
    <t>4.92亿</t>
  </si>
  <si>
    <t>4.23亿</t>
  </si>
  <si>
    <t>10.82亿</t>
  </si>
  <si>
    <t>2.15亿</t>
  </si>
  <si>
    <t>1.09亿</t>
  </si>
  <si>
    <t>1.40亿</t>
  </si>
  <si>
    <t>14.61亿</t>
  </si>
  <si>
    <t>3.26亿</t>
  </si>
  <si>
    <t>1.18亿</t>
  </si>
  <si>
    <t>1.92亿</t>
  </si>
  <si>
    <t>SZ300355</t>
  </si>
  <si>
    <t>蒙草生态</t>
  </si>
  <si>
    <t>28.52亿</t>
  </si>
  <si>
    <t>6095.57万</t>
  </si>
  <si>
    <t>8.88亿</t>
  </si>
  <si>
    <t>12.57亿</t>
  </si>
  <si>
    <t>2.71亿</t>
  </si>
  <si>
    <t>SZ300422</t>
  </si>
  <si>
    <t>32.44亿</t>
  </si>
  <si>
    <t>2.82亿</t>
  </si>
  <si>
    <t>6.99亿</t>
  </si>
  <si>
    <t>SZ300425</t>
  </si>
  <si>
    <t>中建环能</t>
  </si>
  <si>
    <t>12.32亿</t>
  </si>
  <si>
    <t>2.31亿</t>
  </si>
  <si>
    <t>1.44亿</t>
  </si>
  <si>
    <t>3.03亿</t>
  </si>
  <si>
    <t>1.54亿</t>
  </si>
  <si>
    <t>SZ300495</t>
  </si>
  <si>
    <t>1.76亿</t>
  </si>
  <si>
    <t>4.94亿</t>
  </si>
  <si>
    <t>1.02亿</t>
  </si>
  <si>
    <t>2.08亿</t>
  </si>
  <si>
    <t>SZ300779</t>
  </si>
  <si>
    <t>惠城环保</t>
  </si>
  <si>
    <t>3.44亿</t>
  </si>
  <si>
    <t>4285.93万</t>
  </si>
  <si>
    <t>1.55亿</t>
  </si>
  <si>
    <t>1.13亿</t>
  </si>
  <si>
    <t>1.21亿</t>
  </si>
  <si>
    <t>1.53亿</t>
  </si>
  <si>
    <t>1.05亿</t>
  </si>
  <si>
    <t>SZ300815</t>
  </si>
  <si>
    <t>玉禾田</t>
  </si>
  <si>
    <t>35.95亿</t>
  </si>
  <si>
    <t>3.13亿</t>
  </si>
  <si>
    <t>8.84亿</t>
  </si>
  <si>
    <t>2.90亿</t>
  </si>
  <si>
    <t>2.62亿</t>
  </si>
  <si>
    <t>1.11亿</t>
  </si>
  <si>
    <t>SZ300864</t>
  </si>
  <si>
    <t>南大环境</t>
  </si>
  <si>
    <t>2.48亿</t>
  </si>
  <si>
    <t>1.10亿</t>
  </si>
  <si>
    <t>SZ300867</t>
  </si>
  <si>
    <t>圣元环保</t>
  </si>
  <si>
    <t>SH600008</t>
  </si>
  <si>
    <t>149.07亿</t>
  </si>
  <si>
    <t>7.98亿</t>
  </si>
  <si>
    <t>SH600217</t>
  </si>
  <si>
    <t>32.72亿</t>
  </si>
  <si>
    <t>4.02亿</t>
  </si>
  <si>
    <t>1.63亿</t>
  </si>
  <si>
    <t>5.01亿</t>
  </si>
  <si>
    <t>SH600292</t>
  </si>
  <si>
    <t>40.68亿</t>
  </si>
  <si>
    <t>1.22亿</t>
  </si>
  <si>
    <t>2.89亿</t>
  </si>
  <si>
    <t>SH600323</t>
  </si>
  <si>
    <t>61.60亿</t>
  </si>
  <si>
    <t>9.13亿</t>
  </si>
  <si>
    <t>SH601200</t>
  </si>
  <si>
    <t>36.47亿</t>
  </si>
  <si>
    <t>6.16亿</t>
  </si>
  <si>
    <t>1.69亿</t>
  </si>
  <si>
    <t>SH601330</t>
  </si>
  <si>
    <t>17.52亿</t>
  </si>
  <si>
    <t>7.49亿</t>
  </si>
  <si>
    <t>2.38亿</t>
  </si>
  <si>
    <t>SH601827</t>
  </si>
  <si>
    <t>三峰环境</t>
  </si>
  <si>
    <t>43.64亿</t>
  </si>
  <si>
    <t>5.54亿</t>
  </si>
  <si>
    <t>SH603126</t>
  </si>
  <si>
    <t>22.73亿</t>
  </si>
  <si>
    <t>SH603177</t>
  </si>
  <si>
    <t>7.77亿</t>
  </si>
  <si>
    <t>624.61万</t>
  </si>
  <si>
    <t>SH603200</t>
  </si>
  <si>
    <t>5.84亿</t>
  </si>
  <si>
    <t>4065.47万</t>
  </si>
  <si>
    <t>1.72亿</t>
  </si>
  <si>
    <t>3.09亿</t>
  </si>
  <si>
    <t>SH603315</t>
  </si>
  <si>
    <t>福鞍股份</t>
  </si>
  <si>
    <t>8.36亿</t>
  </si>
  <si>
    <t>2.99亿</t>
  </si>
  <si>
    <t>1.85亿</t>
  </si>
  <si>
    <t>SH603359</t>
  </si>
  <si>
    <t>东珠生态</t>
  </si>
  <si>
    <t>20.17亿</t>
  </si>
  <si>
    <t>3.62亿</t>
  </si>
  <si>
    <t>2.44亿</t>
  </si>
  <si>
    <t>SH603568</t>
  </si>
  <si>
    <t>20.38亿</t>
  </si>
  <si>
    <t>9.74亿</t>
  </si>
  <si>
    <t>4.86亿</t>
  </si>
  <si>
    <t>10.68亿</t>
  </si>
  <si>
    <t>2.98亿</t>
  </si>
  <si>
    <t>SH603588</t>
  </si>
  <si>
    <t>50.75亿</t>
  </si>
  <si>
    <t>4.12亿</t>
  </si>
  <si>
    <t>2.64亿</t>
  </si>
  <si>
    <t>2.22亿</t>
  </si>
  <si>
    <t>3.57亿</t>
  </si>
  <si>
    <t>SH688069</t>
  </si>
  <si>
    <t>德林海</t>
  </si>
  <si>
    <t>2.97亿</t>
  </si>
  <si>
    <t>SH688101</t>
  </si>
  <si>
    <t>7.42亿</t>
  </si>
  <si>
    <t>2.77亿</t>
  </si>
  <si>
    <t>2.01亿</t>
  </si>
  <si>
    <t>2.34亿</t>
  </si>
  <si>
    <t>SH688178</t>
  </si>
  <si>
    <t>万德斯</t>
  </si>
  <si>
    <t>7.74亿</t>
  </si>
  <si>
    <t>1.25亿</t>
  </si>
  <si>
    <t>1.64亿</t>
  </si>
  <si>
    <t>2.16亿</t>
  </si>
  <si>
    <t>SH688466</t>
  </si>
  <si>
    <t>金科环境</t>
  </si>
  <si>
    <t>3.24亿</t>
  </si>
  <si>
    <t>5.05亿</t>
  </si>
  <si>
    <t>7471.99万</t>
  </si>
  <si>
    <t>1.78亿</t>
  </si>
  <si>
    <t>1.49亿</t>
  </si>
  <si>
    <t>1.50亿</t>
  </si>
  <si>
    <t>流动资产</t>
  </si>
  <si>
    <t>营业收入[20191231]</t>
  </si>
  <si>
    <t>营业收入[20181231]</t>
  </si>
  <si>
    <t>营业收入[20171231]</t>
  </si>
  <si>
    <t>营业收入[20161231]</t>
  </si>
  <si>
    <t>净利润[20191231]</t>
  </si>
  <si>
    <t>净利润[20181231]</t>
  </si>
  <si>
    <t>净利润[20171231]</t>
  </si>
  <si>
    <t>净利润[20161231]</t>
  </si>
  <si>
    <t>投入资本回报率roic%[20191231]</t>
  </si>
  <si>
    <t>净资产收益率%[20191231]</t>
  </si>
  <si>
    <t>销售毛利率%[20191231]</t>
  </si>
  <si>
    <t>销售净利率%[20191231]</t>
  </si>
  <si>
    <t>-3.87亿</t>
  </si>
  <si>
    <t>4.82亿</t>
  </si>
  <si>
    <t>218.67亿</t>
  </si>
  <si>
    <t>6.54亿</t>
  </si>
  <si>
    <t>2.74亿</t>
  </si>
  <si>
    <t>18.47亿</t>
  </si>
  <si>
    <t>16.12亿</t>
  </si>
  <si>
    <t>-1.66亿</t>
  </si>
  <si>
    <t>2.06亿</t>
  </si>
  <si>
    <t>4.13亿</t>
  </si>
  <si>
    <t>-1.33亿</t>
  </si>
  <si>
    <t>11.58亿</t>
  </si>
  <si>
    <t>-23.55亿</t>
  </si>
  <si>
    <t>24.91亿</t>
  </si>
  <si>
    <t>1.59亿</t>
  </si>
  <si>
    <t>3.47亿</t>
  </si>
  <si>
    <t>4513.20万</t>
  </si>
  <si>
    <t>1.30亿</t>
  </si>
  <si>
    <t>6.64亿</t>
  </si>
  <si>
    <t>4.91亿</t>
  </si>
  <si>
    <t>-1.72亿</t>
  </si>
  <si>
    <t>813.97万</t>
  </si>
  <si>
    <t>4.08亿</t>
  </si>
  <si>
    <t>3.33亿</t>
  </si>
  <si>
    <t>1.35亿</t>
  </si>
  <si>
    <t>6.44亿</t>
  </si>
  <si>
    <t>10.81亿</t>
  </si>
  <si>
    <t>1.06亿</t>
  </si>
  <si>
    <t>2.18亿</t>
  </si>
  <si>
    <t>9.29亿</t>
  </si>
  <si>
    <t>5.66亿</t>
  </si>
  <si>
    <t>2.46亿</t>
  </si>
  <si>
    <t>16.98亿</t>
  </si>
  <si>
    <t>5.22亿</t>
  </si>
  <si>
    <t>14.05亿</t>
  </si>
  <si>
    <t>8.99亿</t>
  </si>
  <si>
    <t>3.06亿</t>
  </si>
  <si>
    <t>2.35亿</t>
  </si>
  <si>
    <t>1.37亿</t>
  </si>
  <si>
    <t>1.79亿</t>
  </si>
  <si>
    <t>3.93亿</t>
  </si>
  <si>
    <t>SZ002210</t>
  </si>
  <si>
    <t>82.81亿</t>
  </si>
  <si>
    <t>2.50亿</t>
  </si>
  <si>
    <t>4.64亿</t>
  </si>
  <si>
    <t>3.14亿</t>
  </si>
  <si>
    <t>410.49亿</t>
  </si>
  <si>
    <t>-123.26亿</t>
  </si>
  <si>
    <t>-22.08亿</t>
  </si>
  <si>
    <t>83.43亿</t>
  </si>
  <si>
    <t>3.30亿</t>
  </si>
  <si>
    <t>4.78亿</t>
  </si>
  <si>
    <t>16.25亿</t>
  </si>
  <si>
    <t>2.36亿</t>
  </si>
  <si>
    <t>65.39亿</t>
  </si>
  <si>
    <t>11.04亿</t>
  </si>
  <si>
    <t>4.70亿</t>
  </si>
  <si>
    <t>87.26亿</t>
  </si>
  <si>
    <t>132.93亿</t>
  </si>
  <si>
    <t>53.81亿</t>
  </si>
  <si>
    <t>2.45亿</t>
  </si>
  <si>
    <t>1.81亿</t>
  </si>
  <si>
    <t>2.10亿</t>
  </si>
  <si>
    <t>10.34亿</t>
  </si>
  <si>
    <t>40.88亿</t>
  </si>
  <si>
    <t>5.25亿</t>
  </si>
  <si>
    <t>6.52亿</t>
  </si>
  <si>
    <t>5.07亿</t>
  </si>
  <si>
    <t>3.50亿</t>
  </si>
  <si>
    <t>4.81亿</t>
  </si>
  <si>
    <t>3.18亿</t>
  </si>
  <si>
    <t>1.80亿</t>
  </si>
  <si>
    <t>1.67亿</t>
  </si>
  <si>
    <t>1.17亿</t>
  </si>
  <si>
    <t>10.84亿</t>
  </si>
  <si>
    <t>33.15亿</t>
  </si>
  <si>
    <t>1.45亿</t>
  </si>
  <si>
    <t>6.89亿</t>
  </si>
  <si>
    <t>32.84亿</t>
  </si>
  <si>
    <t>25.69亿</t>
  </si>
  <si>
    <t>4.73亿</t>
  </si>
  <si>
    <t>66.51亿</t>
  </si>
  <si>
    <t>-4.60亿</t>
  </si>
  <si>
    <t>7.51亿</t>
  </si>
  <si>
    <t>88.43亿</t>
  </si>
  <si>
    <t>7.79亿</t>
  </si>
  <si>
    <t>5.09亿</t>
  </si>
  <si>
    <t>2.61亿</t>
  </si>
  <si>
    <t>SZ002778</t>
  </si>
  <si>
    <t>9.81亿</t>
  </si>
  <si>
    <t>7449.13万</t>
  </si>
  <si>
    <t>1.57亿</t>
  </si>
  <si>
    <t>4.98亿</t>
  </si>
  <si>
    <t>7.18亿</t>
  </si>
  <si>
    <t>1617.32万</t>
  </si>
  <si>
    <t>1813.08万</t>
  </si>
  <si>
    <t>9.48亿</t>
  </si>
  <si>
    <t>5.11亿</t>
  </si>
  <si>
    <t>5.87亿</t>
  </si>
  <si>
    <t>侨银股份</t>
  </si>
  <si>
    <t>28.29亿</t>
  </si>
  <si>
    <t>3.76亿</t>
  </si>
  <si>
    <t>15.76亿</t>
  </si>
  <si>
    <t>6.66亿</t>
  </si>
  <si>
    <t>SZ003027</t>
  </si>
  <si>
    <t>同兴环保</t>
  </si>
  <si>
    <t>7.68亿</t>
  </si>
  <si>
    <t>1.32亿</t>
  </si>
  <si>
    <t>3.71亿</t>
  </si>
  <si>
    <t>7.59亿</t>
  </si>
  <si>
    <t>7.21亿</t>
  </si>
  <si>
    <t>3.69亿</t>
  </si>
  <si>
    <t>1.70亿</t>
  </si>
  <si>
    <t>1.04亿</t>
  </si>
  <si>
    <t>6.31亿</t>
  </si>
  <si>
    <t>2.51亿</t>
  </si>
  <si>
    <t>2.39亿</t>
  </si>
  <si>
    <t>2.86亿</t>
  </si>
  <si>
    <t>3.04亿</t>
  </si>
  <si>
    <t>7.86亿</t>
  </si>
  <si>
    <t>-4.29亿</t>
  </si>
  <si>
    <t>2.85亿</t>
  </si>
  <si>
    <t>96.18亿</t>
  </si>
  <si>
    <t>11.43亿</t>
  </si>
  <si>
    <t>3.77亿</t>
  </si>
  <si>
    <t>115.18亿</t>
  </si>
  <si>
    <t>12.45亿</t>
  </si>
  <si>
    <t>5.15亿</t>
  </si>
  <si>
    <t>5.06亿</t>
  </si>
  <si>
    <t>10.27亿</t>
  </si>
  <si>
    <t>9.38亿</t>
  </si>
  <si>
    <t>2.32亿</t>
  </si>
  <si>
    <t>1.34亿</t>
  </si>
  <si>
    <t>13.16亿</t>
  </si>
  <si>
    <t>1299.15万</t>
  </si>
  <si>
    <t>7.72亿</t>
  </si>
  <si>
    <t>703.55万</t>
  </si>
  <si>
    <t>-5.17亿</t>
  </si>
  <si>
    <t>9.20亿</t>
  </si>
  <si>
    <t>1.48亿</t>
  </si>
  <si>
    <t>2.69亿</t>
  </si>
  <si>
    <t>6.80亿</t>
  </si>
  <si>
    <t>3255.23万</t>
  </si>
  <si>
    <t>6.76亿</t>
  </si>
  <si>
    <t>9.51亿</t>
  </si>
  <si>
    <t>5762.38万</t>
  </si>
  <si>
    <t>-1.67亿</t>
  </si>
  <si>
    <t>32.03亿</t>
  </si>
  <si>
    <t>7.78亿</t>
  </si>
  <si>
    <t>1.82亿</t>
  </si>
  <si>
    <t>20.65亿</t>
  </si>
  <si>
    <t>14.18亿</t>
  </si>
  <si>
    <t>节能铁汉</t>
  </si>
  <si>
    <t>42.11亿</t>
  </si>
  <si>
    <t>5880.93万</t>
  </si>
  <si>
    <t>1.52亿</t>
  </si>
  <si>
    <t>77.49亿</t>
  </si>
  <si>
    <t>7.57亿</t>
  </si>
  <si>
    <t>4.29亿</t>
  </si>
  <si>
    <t>-4.70亿</t>
  </si>
  <si>
    <t>22.78亿</t>
  </si>
  <si>
    <t>3.15亿</t>
  </si>
  <si>
    <t>2.68亿</t>
  </si>
  <si>
    <t>-5.29亿</t>
  </si>
  <si>
    <t>23.16亿</t>
  </si>
  <si>
    <t>9.53亿</t>
  </si>
  <si>
    <t>5.03亿</t>
  </si>
  <si>
    <t>3.08亿</t>
  </si>
  <si>
    <t>8.76亿</t>
  </si>
  <si>
    <t>6.86亿</t>
  </si>
  <si>
    <t>6.33亿</t>
  </si>
  <si>
    <t>13.73亿</t>
  </si>
  <si>
    <t>3.41亿</t>
  </si>
  <si>
    <t>1.62亿</t>
  </si>
  <si>
    <t>25.42亿</t>
  </si>
  <si>
    <t>38.21亿</t>
  </si>
  <si>
    <t>2.04亿</t>
  </si>
  <si>
    <t>1.87亿</t>
  </si>
  <si>
    <t>36.09亿</t>
  </si>
  <si>
    <t>1.95亿</t>
  </si>
  <si>
    <t>5.38亿</t>
  </si>
  <si>
    <t>1.93亿</t>
  </si>
  <si>
    <t>27.24亿</t>
  </si>
  <si>
    <t>8.29亿</t>
  </si>
  <si>
    <t>12.42亿</t>
  </si>
  <si>
    <t>4.49亿</t>
  </si>
  <si>
    <t>11.86亿</t>
  </si>
  <si>
    <t>8.11亿</t>
  </si>
  <si>
    <t>4.88亿</t>
  </si>
  <si>
    <t>*ST美尚</t>
  </si>
  <si>
    <t>3.87亿</t>
  </si>
  <si>
    <t>2.84亿</t>
  </si>
  <si>
    <t>SZ300614</t>
  </si>
  <si>
    <t>百川畅银</t>
  </si>
  <si>
    <t>1.16亿</t>
  </si>
  <si>
    <t>9241.43万</t>
  </si>
  <si>
    <t>4.72亿</t>
  </si>
  <si>
    <t>4.15亿</t>
  </si>
  <si>
    <t>2701.52万</t>
  </si>
  <si>
    <t>2.67亿</t>
  </si>
  <si>
    <t>6374.64万</t>
  </si>
  <si>
    <t>3.73亿</t>
  </si>
  <si>
    <t>43.15亿</t>
  </si>
  <si>
    <t>12.24亿</t>
  </si>
  <si>
    <t>28.16亿</t>
  </si>
  <si>
    <t>15.47亿</t>
  </si>
  <si>
    <t>11.19亿</t>
  </si>
  <si>
    <t>4.84亿</t>
  </si>
  <si>
    <t>6050.76万</t>
  </si>
  <si>
    <t>10.38亿</t>
  </si>
  <si>
    <t>7.27亿</t>
  </si>
  <si>
    <t>SZ300899</t>
  </si>
  <si>
    <t>上海凯鑫</t>
  </si>
  <si>
    <t>4387.62万</t>
  </si>
  <si>
    <t>5869.81万</t>
  </si>
  <si>
    <t>4246.31万</t>
  </si>
  <si>
    <t>SZ300948</t>
  </si>
  <si>
    <t>冠中生态</t>
  </si>
  <si>
    <t>7.35亿</t>
  </si>
  <si>
    <t>2.92亿</t>
  </si>
  <si>
    <t>6349.20万</t>
  </si>
  <si>
    <t>6774.04万</t>
  </si>
  <si>
    <t>5730.67万</t>
  </si>
  <si>
    <t>SZ300958</t>
  </si>
  <si>
    <t>建工修复</t>
  </si>
  <si>
    <t>8326.55万</t>
  </si>
  <si>
    <t>10.22亿</t>
  </si>
  <si>
    <t>8.14亿</t>
  </si>
  <si>
    <t>4.45亿</t>
  </si>
  <si>
    <t>7810.82万</t>
  </si>
  <si>
    <t>4658.14万</t>
  </si>
  <si>
    <t>192.25亿</t>
  </si>
  <si>
    <t>124.55亿</t>
  </si>
  <si>
    <t>33.64亿</t>
  </si>
  <si>
    <t>31.36亿</t>
  </si>
  <si>
    <t>36.78亿</t>
  </si>
  <si>
    <t>2633.33万</t>
  </si>
  <si>
    <t>4.71亿</t>
  </si>
  <si>
    <t>36.76亿</t>
  </si>
  <si>
    <t>6.75亿</t>
  </si>
  <si>
    <t>74.81亿</t>
  </si>
  <si>
    <t>10.57亿</t>
  </si>
  <si>
    <t>4.76亿</t>
  </si>
  <si>
    <t>48.49亿</t>
  </si>
  <si>
    <t>8.73亿</t>
  </si>
  <si>
    <t>45.12亿</t>
  </si>
  <si>
    <t>6.25亿</t>
  </si>
  <si>
    <t>2.00亿</t>
  </si>
  <si>
    <t>11.66亿</t>
  </si>
  <si>
    <t>25.83亿</t>
  </si>
  <si>
    <t>8.90亿</t>
  </si>
  <si>
    <t>11.40亿</t>
  </si>
  <si>
    <t>7.85亿</t>
  </si>
  <si>
    <t>49.29亿</t>
  </si>
  <si>
    <t>3.01亿</t>
  </si>
  <si>
    <t>34.33亿</t>
  </si>
  <si>
    <t>25.97亿</t>
  </si>
  <si>
    <t>6.68亿</t>
  </si>
  <si>
    <t>2.42亿</t>
  </si>
  <si>
    <t>-1.22亿</t>
  </si>
  <si>
    <t>2.91亿</t>
  </si>
  <si>
    <t>7.46亿</t>
  </si>
  <si>
    <t>7.99亿</t>
  </si>
  <si>
    <t>5.76亿</t>
  </si>
  <si>
    <t>1285.78万</t>
  </si>
  <si>
    <t>3489.68万</t>
  </si>
  <si>
    <t>4.14亿</t>
  </si>
  <si>
    <t>2.96亿</t>
  </si>
  <si>
    <t>8007.92万</t>
  </si>
  <si>
    <t>6.93亿</t>
  </si>
  <si>
    <t>8.86亿</t>
  </si>
  <si>
    <t>9921.92万</t>
  </si>
  <si>
    <t>9044.95万</t>
  </si>
  <si>
    <t>23.38亿</t>
  </si>
  <si>
    <t>15.94亿</t>
  </si>
  <si>
    <t>2.43亿</t>
  </si>
  <si>
    <t>31.23亿</t>
  </si>
  <si>
    <t>7.40亿</t>
  </si>
  <si>
    <t>68.27亿</t>
  </si>
  <si>
    <t>5.50亿</t>
  </si>
  <si>
    <t>8.96亿</t>
  </si>
  <si>
    <t>37.62亿</t>
  </si>
  <si>
    <t>1.24亿</t>
  </si>
  <si>
    <t>SH605081</t>
  </si>
  <si>
    <t>太和水</t>
  </si>
  <si>
    <t>SH688057</t>
  </si>
  <si>
    <t>4.43亿</t>
  </si>
  <si>
    <t>7.30亿</t>
  </si>
  <si>
    <t>4.57亿</t>
  </si>
  <si>
    <t>2.58亿</t>
  </si>
  <si>
    <t>8023.70万</t>
  </si>
  <si>
    <t>5.90亿</t>
  </si>
  <si>
    <t>5.86亿</t>
  </si>
  <si>
    <t>11.34亿</t>
  </si>
  <si>
    <t>4.93亿</t>
  </si>
  <si>
    <t>7783.23万</t>
  </si>
  <si>
    <t>6975.42万</t>
  </si>
  <si>
    <t>5.57亿</t>
  </si>
  <si>
    <t>7162.48万</t>
  </si>
  <si>
    <t>6696.77万</t>
  </si>
  <si>
    <t>SH688679</t>
  </si>
  <si>
    <t>通源环境</t>
  </si>
  <si>
    <t>9042.16万</t>
  </si>
  <si>
    <t>5.97亿</t>
  </si>
  <si>
    <t>3.22亿</t>
  </si>
  <si>
    <t>8656.10万</t>
  </si>
  <si>
    <t>5709.33万</t>
  </si>
  <si>
    <t>5.55亿</t>
  </si>
  <si>
    <t>7.33亿</t>
  </si>
  <si>
    <t>3.12亿</t>
  </si>
  <si>
    <t>3.31亿</t>
  </si>
  <si>
    <t>5.27亿</t>
  </si>
  <si>
    <t>3.79亿</t>
  </si>
  <si>
    <t>3.52亿</t>
  </si>
  <si>
    <t>2.70亿</t>
  </si>
  <si>
    <t>2.33亿</t>
  </si>
  <si>
    <t>2.79亿</t>
  </si>
  <si>
    <t>2.47亿</t>
  </si>
  <si>
    <t>2.66亿</t>
  </si>
  <si>
    <t>首创环保</t>
  </si>
  <si>
    <t>12.98亿</t>
  </si>
  <si>
    <t>2.55亿</t>
  </si>
  <si>
    <t>1.15亿</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</si>
  <si>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</si>
  <si>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</si>
  <si>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</si>
  <si>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</si>
  <si>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</si>
  <si>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</si>
  <si>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</si>
  <si>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</si>
  <si>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</si>
  <si>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</si>
  <si>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</si>
  <si>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</si>
  <si>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</si>
  <si>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3.43亿</t>
  </si>
  <si>
    <t xml:space="preserve">1.募资5.6亿进行“4万吨/年FCC催化新材料项目（一阶段）” </t>
    <phoneticPr fontId="1" type="noConversion"/>
  </si>
  <si>
    <t>1.最近三年，公司 FCC 催化剂产能利用率分别为 100.18%、101.40%和105.88%，生产能力达到饱和</t>
    <phoneticPr fontId="1" type="noConversion"/>
  </si>
  <si>
    <t>销售毛利率%[20201231]</t>
  </si>
  <si>
    <t>销售净利率%[20201231]</t>
  </si>
  <si>
    <t>环保</t>
  </si>
  <si>
    <t>2.19亿</t>
  </si>
  <si>
    <t>1.58亿</t>
  </si>
  <si>
    <t>2.07亿</t>
  </si>
  <si>
    <t>SZ000544</t>
  </si>
  <si>
    <t>中原环保</t>
  </si>
  <si>
    <t>21.50亿</t>
  </si>
  <si>
    <t>4.96亿</t>
  </si>
  <si>
    <t>17.40亿</t>
  </si>
  <si>
    <t>2.73亿</t>
  </si>
  <si>
    <t>8.27亿</t>
  </si>
  <si>
    <t>SZ000598</t>
  </si>
  <si>
    <t>兴蓉环境</t>
  </si>
  <si>
    <t>10.32亿</t>
  </si>
  <si>
    <t>48.38亿</t>
  </si>
  <si>
    <t>41.60亿</t>
  </si>
  <si>
    <t>9.88亿</t>
  </si>
  <si>
    <t>8.74亿</t>
  </si>
  <si>
    <t>6.67亿</t>
  </si>
  <si>
    <t>SZ000605</t>
  </si>
  <si>
    <t>渤海股份</t>
  </si>
  <si>
    <t>18.87亿</t>
  </si>
  <si>
    <t>2019.32万</t>
  </si>
  <si>
    <t>18.99亿</t>
  </si>
  <si>
    <t>16.63亿</t>
  </si>
  <si>
    <t>3695.22万</t>
  </si>
  <si>
    <t>7241.69万</t>
  </si>
  <si>
    <t>SZ000685</t>
  </si>
  <si>
    <t>中山公用</t>
  </si>
  <si>
    <t>21.83亿</t>
  </si>
  <si>
    <t>13.75亿</t>
  </si>
  <si>
    <t>22.20亿</t>
  </si>
  <si>
    <t>20.37亿</t>
  </si>
  <si>
    <t>10.46亿</t>
  </si>
  <si>
    <t>14.94亿</t>
  </si>
  <si>
    <t>3.85亿</t>
  </si>
  <si>
    <t>5.64亿</t>
  </si>
  <si>
    <t>2.56亿</t>
  </si>
  <si>
    <t>6.65亿</t>
  </si>
  <si>
    <t>3.10亿</t>
  </si>
  <si>
    <t>8.08亿</t>
  </si>
  <si>
    <t>9.92亿</t>
  </si>
  <si>
    <t>4.67亿</t>
  </si>
  <si>
    <t>SZ002645</t>
  </si>
  <si>
    <t>华宏科技</t>
  </si>
  <si>
    <t>33.76亿</t>
  </si>
  <si>
    <t>11.42亿</t>
  </si>
  <si>
    <t>21.61亿</t>
  </si>
  <si>
    <t>19.16亿</t>
  </si>
  <si>
    <t>-2.67亿</t>
  </si>
  <si>
    <t>中晟高科</t>
  </si>
  <si>
    <t>7.38亿</t>
  </si>
  <si>
    <t>7.64亿</t>
  </si>
  <si>
    <t>14.51亿</t>
  </si>
  <si>
    <t>SZ003039</t>
  </si>
  <si>
    <t>顺控发展</t>
  </si>
  <si>
    <t>12.34亿</t>
  </si>
  <si>
    <t>8.47亿</t>
  </si>
  <si>
    <t>7.02亿</t>
  </si>
  <si>
    <t>4.00亿</t>
  </si>
  <si>
    <t>1.84亿</t>
  </si>
  <si>
    <t>5.81亿</t>
  </si>
  <si>
    <t>13.14亿</t>
  </si>
  <si>
    <t>3.90亿</t>
  </si>
  <si>
    <t>3.83亿</t>
  </si>
  <si>
    <t>7.29亿</t>
  </si>
  <si>
    <t>3.61亿</t>
  </si>
  <si>
    <t>6.04亿</t>
  </si>
  <si>
    <t>4.48亿</t>
  </si>
  <si>
    <t>3.53亿</t>
  </si>
  <si>
    <t>6.92亿</t>
  </si>
  <si>
    <t>2.54亿</t>
  </si>
  <si>
    <t>8.00亿</t>
  </si>
  <si>
    <t>2.52亿</t>
  </si>
  <si>
    <t>9.60亿</t>
  </si>
  <si>
    <t>4.30亿</t>
  </si>
  <si>
    <t>4.99亿</t>
  </si>
  <si>
    <t>SZ300388</t>
  </si>
  <si>
    <t>节能国祯</t>
  </si>
  <si>
    <t>38.69亿</t>
  </si>
  <si>
    <t>41.70亿</t>
  </si>
  <si>
    <t>40.06亿</t>
  </si>
  <si>
    <t>2.53亿</t>
  </si>
  <si>
    <t>SZ300664</t>
  </si>
  <si>
    <t>鹏鹞环保</t>
  </si>
  <si>
    <t>21.25亿</t>
  </si>
  <si>
    <t>19.33亿</t>
  </si>
  <si>
    <t>7.84亿</t>
  </si>
  <si>
    <t>SZ300692</t>
  </si>
  <si>
    <t>中环环保</t>
  </si>
  <si>
    <t>9.50亿</t>
  </si>
  <si>
    <t>5.58亿</t>
  </si>
  <si>
    <t>9711.21万</t>
  </si>
  <si>
    <t>6044.47万</t>
  </si>
  <si>
    <t>SZ300774</t>
  </si>
  <si>
    <t>倍杰特</t>
  </si>
  <si>
    <t>3.92亿</t>
  </si>
  <si>
    <t>3.84亿</t>
  </si>
  <si>
    <t>3.11亿</t>
  </si>
  <si>
    <t>SZ300854</t>
  </si>
  <si>
    <t>中兰环保</t>
  </si>
  <si>
    <t>9899.16万</t>
  </si>
  <si>
    <t>6.84亿</t>
  </si>
  <si>
    <t>5447.65万</t>
  </si>
  <si>
    <t>4.53亿</t>
  </si>
  <si>
    <t>SZ300929</t>
  </si>
  <si>
    <t>华骐环保</t>
  </si>
  <si>
    <t>7255.92万</t>
  </si>
  <si>
    <t>5.62亿</t>
  </si>
  <si>
    <t>7101.87万</t>
  </si>
  <si>
    <t>6220.76万</t>
  </si>
  <si>
    <t>SZ300961</t>
  </si>
  <si>
    <t>深水海纳</t>
  </si>
  <si>
    <t>9242.53万</t>
  </si>
  <si>
    <t>3.95亿</t>
  </si>
  <si>
    <t>9595.29万</t>
  </si>
  <si>
    <t>6755.38万</t>
  </si>
  <si>
    <t>4.04亿</t>
  </si>
  <si>
    <t>SZ301049</t>
  </si>
  <si>
    <t>超越科技</t>
  </si>
  <si>
    <t>SZ301068</t>
  </si>
  <si>
    <t>7916.68万</t>
  </si>
  <si>
    <t>6518.50万</t>
  </si>
  <si>
    <t>3.70亿</t>
  </si>
  <si>
    <t>4.26亿</t>
  </si>
  <si>
    <t>SH600168</t>
  </si>
  <si>
    <t>武汉控股</t>
  </si>
  <si>
    <t>16.44亿</t>
  </si>
  <si>
    <t>15.29亿</t>
  </si>
  <si>
    <t>2.80亿</t>
  </si>
  <si>
    <t>3.36亿</t>
  </si>
  <si>
    <t>SH600187</t>
  </si>
  <si>
    <t>国中水务</t>
  </si>
  <si>
    <t>4.40亿</t>
  </si>
  <si>
    <t>5.85亿</t>
  </si>
  <si>
    <t>SH600283</t>
  </si>
  <si>
    <t>钱江水利</t>
  </si>
  <si>
    <t>13.15亿</t>
  </si>
  <si>
    <t>11.75亿</t>
  </si>
  <si>
    <t>4316.60万</t>
  </si>
  <si>
    <t>5797.85万</t>
  </si>
  <si>
    <t>8.01亿</t>
  </si>
  <si>
    <t>SH600461</t>
  </si>
  <si>
    <t>洪城环境</t>
  </si>
  <si>
    <t>66.01亿</t>
  </si>
  <si>
    <t>43.78亿</t>
  </si>
  <si>
    <t>4.89亿</t>
  </si>
  <si>
    <t>31.11亿</t>
  </si>
  <si>
    <t>SH600769</t>
  </si>
  <si>
    <t>祥龙电业</t>
  </si>
  <si>
    <t>3066.86万</t>
  </si>
  <si>
    <t>528.82万</t>
  </si>
  <si>
    <t>2317.44万</t>
  </si>
  <si>
    <t>3732.34万</t>
  </si>
  <si>
    <t>308.42万</t>
  </si>
  <si>
    <t>509.25万</t>
  </si>
  <si>
    <t>SH600874</t>
  </si>
  <si>
    <t>5.70亿</t>
  </si>
  <si>
    <t>9.96亿</t>
  </si>
  <si>
    <t>28.51亿</t>
  </si>
  <si>
    <t>24.48亿</t>
  </si>
  <si>
    <t>5.08亿</t>
  </si>
  <si>
    <t>SH601158</t>
  </si>
  <si>
    <t>重庆水务</t>
  </si>
  <si>
    <t>63.50亿</t>
  </si>
  <si>
    <t>17.74亿</t>
  </si>
  <si>
    <t>56.39亿</t>
  </si>
  <si>
    <t>51.71亿</t>
  </si>
  <si>
    <t>14.22亿</t>
  </si>
  <si>
    <t>SH601199</t>
  </si>
  <si>
    <t>江南水务</t>
  </si>
  <si>
    <t>11.01亿</t>
  </si>
  <si>
    <t>5.98亿</t>
  </si>
  <si>
    <t>SH601368</t>
  </si>
  <si>
    <t>绿城水务</t>
  </si>
  <si>
    <t>15.43亿</t>
  </si>
  <si>
    <t>15.23亿</t>
  </si>
  <si>
    <t>3.49亿</t>
  </si>
  <si>
    <t>SH603686</t>
  </si>
  <si>
    <t>54.43亿</t>
  </si>
  <si>
    <t>42.28亿</t>
  </si>
  <si>
    <t>34.44亿</t>
  </si>
  <si>
    <t>2.60亿</t>
  </si>
  <si>
    <t>2.11亿</t>
  </si>
  <si>
    <t>SH603759</t>
  </si>
  <si>
    <t>海天股份</t>
  </si>
  <si>
    <t>8.50亿</t>
  </si>
  <si>
    <t>6.81亿</t>
  </si>
  <si>
    <t>SH603797</t>
  </si>
  <si>
    <t>联泰环保</t>
  </si>
  <si>
    <t>7352.88万</t>
  </si>
  <si>
    <t>SH603817</t>
  </si>
  <si>
    <t>海峡环保</t>
  </si>
  <si>
    <t>SH603903</t>
  </si>
  <si>
    <t>中持股份</t>
  </si>
  <si>
    <t>13.37亿</t>
  </si>
  <si>
    <t>9263.78万</t>
  </si>
  <si>
    <t>SH605069</t>
  </si>
  <si>
    <t>正和生态</t>
  </si>
  <si>
    <t>10.62亿</t>
  </si>
  <si>
    <t>10.23亿</t>
  </si>
  <si>
    <t>8.71亿</t>
  </si>
  <si>
    <t>4.19亿</t>
  </si>
  <si>
    <t>SH688096</t>
  </si>
  <si>
    <t>京源环保</t>
  </si>
  <si>
    <t>6216.62万</t>
  </si>
  <si>
    <t>6125.56万</t>
  </si>
  <si>
    <t>5352.10万</t>
  </si>
  <si>
    <t>SH688565</t>
  </si>
  <si>
    <t>力源科技</t>
  </si>
  <si>
    <t>6.28亿</t>
  </si>
  <si>
    <t>4406.45万</t>
  </si>
  <si>
    <t>4713.26万</t>
  </si>
  <si>
    <t>SH688701</t>
  </si>
  <si>
    <t>卓锦股份</t>
  </si>
  <si>
    <t>4674.53万</t>
  </si>
  <si>
    <t>4029.67万</t>
  </si>
  <si>
    <r>
      <t>1.中国交通建设集团有限公司入股后，对于水环保项目的招标会带来一定的好处；对赌协议中2020年利润要做到15.88亿（同比增15%）否则缴纳差额现金；</t>
    </r>
    <r>
      <rPr>
        <sz val="9"/>
        <color theme="8" tint="-0.249977111117893"/>
        <rFont val="宋体"/>
        <family val="3"/>
        <charset val="134"/>
        <scheme val="minor"/>
      </rPr>
      <t xml:space="preserve">
</t>
    </r>
    <r>
      <rPr>
        <sz val="9"/>
        <rFont val="宋体"/>
        <family val="3"/>
        <charset val="134"/>
        <scheme val="minor"/>
      </rPr>
      <t>2. 国内很多地方的污水处理项目（具体要分析，远期期待）</t>
    </r>
    <phoneticPr fontId="1" type="noConversion"/>
  </si>
  <si>
    <t>1.坏账计提导致利润减少；
2.前几年出现过PPP项目无法推进和实施的问题，导致基本面和股价大跌；
3. EPC在手未完成订单110亿（同比下降37.33%）；BOT未完成投资290亿（同比下滑18.87%）；</t>
    <phoneticPr fontId="1" type="noConversion"/>
  </si>
  <si>
    <r>
      <t>环保整体解决方案78.02%（毛利34.42%毛利增速10.4%，增速27.47%） 城市光环境解决方案14.14%（毛利36.99%，增速</t>
    </r>
    <r>
      <rPr>
        <sz val="9"/>
        <color rgb="FFFF0000"/>
        <rFont val="宋体"/>
        <family val="3"/>
        <charset val="134"/>
        <scheme val="minor"/>
      </rPr>
      <t>-56.84%</t>
    </r>
    <r>
      <rPr>
        <sz val="9"/>
        <color theme="1"/>
        <rFont val="宋体"/>
        <family val="2"/>
        <charset val="134"/>
        <scheme val="minor"/>
      </rPr>
      <t>） 市政工程5.65%（毛利11.21%，增速</t>
    </r>
    <r>
      <rPr>
        <sz val="9"/>
        <color rgb="FFFF0000"/>
        <rFont val="宋体"/>
        <family val="3"/>
        <charset val="134"/>
        <scheme val="minor"/>
      </rPr>
      <t>-55.57%</t>
    </r>
    <r>
      <rPr>
        <sz val="9"/>
        <color theme="1"/>
        <rFont val="宋体"/>
        <family val="2"/>
        <charset val="134"/>
        <scheme val="minor"/>
      </rPr>
      <t>） 净水器销售2.19%（毛利42.56%，增速</t>
    </r>
    <r>
      <rPr>
        <sz val="9"/>
        <color rgb="FFFF0000"/>
        <rFont val="宋体"/>
        <family val="3"/>
        <charset val="134"/>
        <scheme val="minor"/>
      </rPr>
      <t>-15.94%</t>
    </r>
    <r>
      <rPr>
        <sz val="9"/>
        <color theme="1"/>
        <rFont val="宋体"/>
        <family val="2"/>
        <charset val="134"/>
        <scheme val="minor"/>
      </rPr>
      <t>）
1.工程类模式所以绝大部分营收在第四季度入账；目前的营收和利润占比过小，比例变动利润关键看第四季度，营收看三季度特别第四季度；2.明显的第三季度财务数据恶化，下降50%多，市场已经提前演绎，需继续观察情绪变化；</t>
    </r>
    <phoneticPr fontId="1" type="noConversion"/>
  </si>
  <si>
    <t>1.公司在工业废水治理细分领域技术优势明显，拥有多项医疗废水、高浓度有机废水（印染废水、明胶废水）、矿山废水成功实施案例</t>
    <phoneticPr fontId="1" type="noConversion"/>
  </si>
  <si>
    <t>1.公司介入行业上下游的环保装备研发制造销售、环保工程承包建设、垃圾清运、渗滤液处理等领域</t>
    <phoneticPr fontId="1" type="noConversion"/>
  </si>
  <si>
    <r>
      <t>1.计完成生活垃圾入库量 302.78 万吨，同比增长 24.04%，完成上网电量 9.53亿度，同比增长34.04%。综合</t>
    </r>
    <r>
      <rPr>
        <sz val="9"/>
        <color rgb="FFFF0000"/>
        <rFont val="宋体"/>
        <family val="3"/>
        <charset val="134"/>
        <scheme val="minor"/>
      </rPr>
      <t>吨上网量大概在314度；</t>
    </r>
    <r>
      <rPr>
        <sz val="9"/>
        <rFont val="宋体"/>
        <family val="3"/>
        <charset val="134"/>
        <scheme val="minor"/>
      </rPr>
      <t>2.市场竞争越来越激烈，公司将面临较严峻的挑战。行业激烈的竞争会使公司难以获取新项目、寻找新的利润增长点，并面临垃圾处置费下降的风险，从而影响公司的经营利润；</t>
    </r>
    <phoneticPr fontId="1" type="noConversion"/>
  </si>
  <si>
    <r>
      <t>1.2021年半年垃圾焚烧量434.47万吨；上网电量139,413.50万千瓦时；综合</t>
    </r>
    <r>
      <rPr>
        <sz val="9"/>
        <color rgb="FFFF0000"/>
        <rFont val="宋体"/>
        <family val="3"/>
        <charset val="134"/>
        <scheme val="minor"/>
      </rPr>
      <t>吨上网量大概在320度</t>
    </r>
    <phoneticPr fontId="1" type="noConversion"/>
  </si>
  <si>
    <t>1.瀚蓝的能源业务是销售天然气，液化气和氢气；水务涉及供排水；</t>
    <phoneticPr fontId="1" type="noConversion"/>
  </si>
  <si>
    <t xml:space="preserve">1.公司生产的逆推型机械炉排炉采用倾斜逆推式炉排，炉排片及进风方式经过优化设计，具有垃圾扰动充分、燃烧效果好、炉渣热灼减率低、运行可靠稳定等特
点。
</t>
    <phoneticPr fontId="1" type="noConversion"/>
  </si>
  <si>
    <r>
      <t>1.报告期内公司各控股项目合计完成垃圾处理量 499.36 万吨，同比增长 20.09%；上网电量 17.28 亿度，同比增长 28.67%。综合</t>
    </r>
    <r>
      <rPr>
        <sz val="9"/>
        <color rgb="FFFF0000"/>
        <rFont val="宋体"/>
        <family val="3"/>
        <charset val="134"/>
        <scheme val="minor"/>
      </rPr>
      <t>吨上网量大概在346度</t>
    </r>
    <phoneticPr fontId="1" type="noConversion"/>
  </si>
  <si>
    <r>
      <t xml:space="preserve">从2021年2月开始估计从6元涨到了最高11.7，最近一直徘徊在这个位置，估值从2020年6月上市暂时处于底部区域16PE；最低是2021年开始的利润暴增，最低是12PE；
公司地处重庆市，重庆水务控股直接归属于重庆国资委；
2021H1：
项目运营 16.68亿 53.86% 毛利65.06%
EPC建造 12.67亿 40.91% 毛利9.71%
</t>
    </r>
    <r>
      <rPr>
        <sz val="9"/>
        <color rgb="FFFF0000"/>
        <rFont val="宋体"/>
        <family val="3"/>
        <charset val="134"/>
        <scheme val="minor"/>
      </rPr>
      <t>设备销售</t>
    </r>
    <r>
      <rPr>
        <sz val="9"/>
        <color theme="1"/>
        <rFont val="宋体"/>
        <family val="2"/>
        <charset val="134"/>
        <scheme val="minor"/>
      </rPr>
      <t xml:space="preserve"> 1.60亿 5.17% 毛利21.04%
其他业务 210.42万 0.07% 毛利97.55%</t>
    </r>
    <phoneticPr fontId="1" type="noConversion"/>
  </si>
  <si>
    <r>
      <t>从2018年10月到2020年9月，股价从11到30元涨了接近3倍；随后这一年在20~27间徘徊；PE在2018年10月最低10，目前在17.59PE位置；
公司地处</t>
    </r>
    <r>
      <rPr>
        <b/>
        <sz val="9"/>
        <color theme="1"/>
        <rFont val="宋体"/>
        <family val="3"/>
        <charset val="134"/>
        <scheme val="minor"/>
      </rPr>
      <t>广东</t>
    </r>
    <r>
      <rPr>
        <sz val="9"/>
        <color theme="1"/>
        <rFont val="宋体"/>
        <family val="2"/>
        <charset val="134"/>
        <scheme val="minor"/>
      </rPr>
      <t>省，覆盖固废处理业务、新能源业务、供水业务以及排水业务。
固废业务 40.58亿 54.24% 毛利18.18%
能源业务 19.59亿 26.19% 毛利13.42%
水务业务 14.69亿 19.63% 毛利12.24%
其他业务 1479.20万 0.20% 毛利-168.20%</t>
    </r>
    <phoneticPr fontId="1" type="noConversion"/>
  </si>
  <si>
    <r>
      <t>1.公司着眼于经济较发达的长江三角洲地区、珠江三角洲地区及环渤海经济圈的广阔市场空间，业务布局延伸至安徽、湖北、贵州、山西、广西、江西、湖南、河南、四川等</t>
    </r>
    <r>
      <rPr>
        <b/>
        <sz val="9"/>
        <color rgb="FFFF0000"/>
        <rFont val="宋体"/>
        <family val="3"/>
        <charset val="134"/>
        <scheme val="minor"/>
      </rPr>
      <t>中西部地区</t>
    </r>
    <r>
      <rPr>
        <sz val="9"/>
        <color theme="1"/>
        <rFont val="宋体"/>
        <family val="2"/>
        <charset val="134"/>
        <scheme val="minor"/>
      </rPr>
      <t>，形成了立足于长三角、珠三角、环渤海，辐射全国的市场布局；2.公司自主研发的“多驱动逆推式机械炉排炉”技术为行业领先的焚烧技术并被国家授予发明专利。该</t>
    </r>
    <r>
      <rPr>
        <sz val="9"/>
        <color rgb="FFFF0000"/>
        <rFont val="宋体"/>
        <family val="3"/>
        <charset val="134"/>
        <scheme val="minor"/>
      </rPr>
      <t>技术契合中国生活垃圾特点</t>
    </r>
    <r>
      <rPr>
        <sz val="9"/>
        <color theme="1"/>
        <rFont val="宋体"/>
        <family val="2"/>
        <charset val="134"/>
        <scheme val="minor"/>
      </rPr>
      <t>，具备性能上的优势，因此在固废处理几家公司中，</t>
    </r>
    <r>
      <rPr>
        <b/>
        <sz val="9"/>
        <color rgb="FFFF0000"/>
        <rFont val="宋体"/>
        <family val="3"/>
        <charset val="134"/>
        <scheme val="minor"/>
      </rPr>
      <t>毛利最高，接近60%</t>
    </r>
    <phoneticPr fontId="1" type="noConversion"/>
  </si>
  <si>
    <r>
      <t>1.2020年本集团共处理生活垃圾 897.32 万吨，同比增长24.75%，处理秸秆 35.35 万吨；实现上网电量（含秸秆发电）为 29.11 亿度，同比增长 37.75%，吨垃圾上网电量创历史最好水平。综合</t>
    </r>
    <r>
      <rPr>
        <sz val="9"/>
        <color rgb="FFFF0000"/>
        <rFont val="宋体"/>
        <family val="3"/>
        <charset val="134"/>
        <scheme val="minor"/>
      </rPr>
      <t>吨上网量大概在324度</t>
    </r>
    <phoneticPr fontId="1" type="noConversion"/>
  </si>
  <si>
    <r>
      <t>1.，公司运营生活垃圾焚烧项目 22 个，共计入厂垃圾 432.93 万吨，同比增长 27.70%（含委托运营的老港一期），垃圾焚烧上网电量 134,999.48 万度，同比增长 30.89%。综合</t>
    </r>
    <r>
      <rPr>
        <sz val="9"/>
        <color rgb="FFFF0000"/>
        <rFont val="宋体"/>
        <family val="3"/>
        <charset val="134"/>
        <scheme val="minor"/>
      </rPr>
      <t>吨上网量大概在311度</t>
    </r>
    <phoneticPr fontId="1" type="noConversion"/>
  </si>
  <si>
    <t>7.26亿</t>
  </si>
  <si>
    <t>从2018年开始价格就在4~6.6之间横盘，估值在12~64之间；目前是19；
公司地处江苏省
城市环境服务（环卫） 54.58亿 47.61% 毛利12.90%
垃圾处理 33.38亿 29.12% 毛利20.48%
设备销售及其他 16.77亿 14.63% 毛利13.13%
工业废弃物处理 7.85亿 6.85% 毛利17.60%
水处理业务 2.06亿 1.79% 毛利19.18%</t>
    <phoneticPr fontId="1" type="noConversion"/>
  </si>
  <si>
    <t>1.公司提供优质的垃圾焚烧发电整体解决方案及行业领先的新型核心装备，除满足自有项目所需设备外，公司还通过参与政府、同行业环卫企业的各种环卫装备采购的招标和询价进行环保装备销售</t>
    <phoneticPr fontId="1" type="noConversion"/>
  </si>
  <si>
    <r>
      <t>1.2020 年度，公司在运营的 10 个生活垃圾焚烧发电项目合计完成生活垃圾入库量约 409万吨，同比增长约 2.0%，实现上网电量 9.6 亿度，同比增长 6%。综合</t>
    </r>
    <r>
      <rPr>
        <sz val="9"/>
        <color rgb="FFFF0000"/>
        <rFont val="宋体"/>
        <family val="3"/>
        <charset val="134"/>
        <scheme val="minor"/>
      </rPr>
      <t>吨上网量大概为234度</t>
    </r>
    <r>
      <rPr>
        <sz val="9"/>
        <color theme="1"/>
        <rFont val="宋体"/>
        <family val="2"/>
        <charset val="134"/>
        <scheme val="minor"/>
      </rPr>
      <t>。</t>
    </r>
    <phoneticPr fontId="1" type="noConversion"/>
  </si>
  <si>
    <r>
      <t>1.2季度的利润增幅来自于子公司国家补贴一次性</t>
    </r>
    <r>
      <rPr>
        <b/>
        <sz val="9"/>
        <color rgb="FFFF0000"/>
        <rFont val="宋体"/>
        <family val="3"/>
        <charset val="134"/>
        <scheme val="minor"/>
      </rPr>
      <t>2.06亿</t>
    </r>
    <r>
      <rPr>
        <sz val="9"/>
        <color theme="1"/>
        <rFont val="宋体"/>
        <family val="2"/>
        <charset val="134"/>
        <scheme val="minor"/>
      </rPr>
      <t>。2.2021年上半年，随着部分新建项目的投产，公司已运营的垃圾焚烧发电厂累计接收垃圾进厂量231.09万吨，同比增长12.18%；累计发电量7.4亿度，同比增长22.41%；上网电量6.4亿度，同比增长23.37%。综合</t>
    </r>
    <r>
      <rPr>
        <sz val="9"/>
        <color rgb="FFFF0000"/>
        <rFont val="宋体"/>
        <family val="3"/>
        <charset val="134"/>
        <scheme val="minor"/>
      </rPr>
      <t>吨上网量276度</t>
    </r>
    <phoneticPr fontId="1" type="noConversion"/>
  </si>
  <si>
    <t>1.已涵盖省内台州、舟山、湖州、兰溪、丽水、德清、安吉等县市，并将业务区域布局延伸至湖北、广东、安徽、河南、四川，形成了“立足浙江，辐射全国”的市场拓展布局</t>
    <phoneticPr fontId="1" type="noConversion"/>
  </si>
  <si>
    <r>
      <t>1.计划2021年处理垃圾660万吨，供热85万吨，发电26.7亿度；估计综合</t>
    </r>
    <r>
      <rPr>
        <sz val="9"/>
        <color rgb="FFFF0000"/>
        <rFont val="宋体"/>
        <family val="3"/>
        <charset val="134"/>
        <scheme val="minor"/>
      </rPr>
      <t>吨上网电量为404度</t>
    </r>
    <phoneticPr fontId="1" type="noConversion"/>
  </si>
  <si>
    <t>2017年11月价格到达顶点后，开始迅速回落到12元，此后3年就一直在14~17中震荡，最近放量拉出17%的增幅；
公司地处浙江省
垃圾焚烧项目运行 9.75亿 87.54% 毛利50.53%
餐厨项目运行 9484.62万 8.52% 毛利35.19%
污泥处置 3804.84万 3.42%</t>
    <phoneticPr fontId="1" type="noConversion"/>
  </si>
  <si>
    <t>2020年后价格平稳在7~10左右，最近开始有量进入；
公司地处广东省，隶属于北京市国资委；
2021H1：
供电收入 8.43亿 67.35%
提供垃圾处理服务收入 1.85亿 14.82%</t>
    <phoneticPr fontId="1" type="noConversion"/>
  </si>
  <si>
    <t>涨幅%</t>
  </si>
  <si>
    <t>流通股本</t>
  </si>
  <si>
    <t>净利润[20201231]</t>
  </si>
  <si>
    <t>投入资本回报率roic%[20201231]</t>
  </si>
  <si>
    <t>净资产收益率%[20201231]</t>
  </si>
  <si>
    <t>205.93亿</t>
  </si>
  <si>
    <t>9.36亿</t>
  </si>
  <si>
    <t>-9774.09万</t>
  </si>
  <si>
    <t>8.52亿</t>
  </si>
  <si>
    <t>61.40亿</t>
  </si>
  <si>
    <t>53.73亿</t>
  </si>
  <si>
    <t>18.12亿</t>
  </si>
  <si>
    <t>1144.07万</t>
  </si>
  <si>
    <t>4.22亿</t>
  </si>
  <si>
    <t>23.71亿</t>
  </si>
  <si>
    <t>14.66亿</t>
  </si>
  <si>
    <t>14.62亿</t>
  </si>
  <si>
    <t>11.63亿</t>
  </si>
  <si>
    <t>8050.63万</t>
  </si>
  <si>
    <t>84.81亿</t>
  </si>
  <si>
    <t>-45.40亿</t>
  </si>
  <si>
    <t>86.48亿</t>
  </si>
  <si>
    <t>-15.59亿</t>
  </si>
  <si>
    <t>4.39亿</t>
  </si>
  <si>
    <t>飞马国际</t>
  </si>
  <si>
    <t>491.53万</t>
  </si>
  <si>
    <t>104.87亿</t>
  </si>
  <si>
    <t>7.55亿</t>
  </si>
  <si>
    <t>9.33亿</t>
  </si>
  <si>
    <t>SZ002549</t>
  </si>
  <si>
    <t>凯美特气</t>
  </si>
  <si>
    <t>7216.84万</t>
  </si>
  <si>
    <t>8921.77万</t>
  </si>
  <si>
    <t>9385.41万</t>
  </si>
  <si>
    <t>68.80亿</t>
  </si>
  <si>
    <t>47.01亿</t>
  </si>
  <si>
    <t>3.19亿</t>
  </si>
  <si>
    <t>67.77亿</t>
  </si>
  <si>
    <t>40.15亿</t>
  </si>
  <si>
    <t>47.99亿</t>
  </si>
  <si>
    <t>4698.95万</t>
  </si>
  <si>
    <t>3.42亿</t>
  </si>
  <si>
    <t>8541.80万</t>
  </si>
  <si>
    <t>33.32亿</t>
  </si>
  <si>
    <t>13.38亿</t>
  </si>
  <si>
    <t>18.40亿</t>
  </si>
  <si>
    <t>1314.34万</t>
  </si>
  <si>
    <t>95.49亿</t>
  </si>
  <si>
    <t>26.63亿</t>
  </si>
  <si>
    <t>-3.54亿</t>
  </si>
  <si>
    <t>-13.04亿</t>
  </si>
  <si>
    <t>-3603.39万</t>
  </si>
  <si>
    <t>24.51亿</t>
  </si>
  <si>
    <t>29.11亿</t>
  </si>
  <si>
    <t>44.77亿</t>
  </si>
  <si>
    <t>8.41亿</t>
  </si>
  <si>
    <t>5.40亿</t>
  </si>
  <si>
    <t>3.63亿</t>
  </si>
  <si>
    <t>20.93亿</t>
  </si>
  <si>
    <t>6.78亿</t>
  </si>
  <si>
    <t>4.51亿</t>
  </si>
  <si>
    <t>1175.42万</t>
  </si>
  <si>
    <t>9.08亿</t>
  </si>
  <si>
    <t>48.34亿</t>
  </si>
  <si>
    <t>4.60亿</t>
  </si>
  <si>
    <t>8014.89万</t>
  </si>
  <si>
    <t>9297.88万</t>
  </si>
  <si>
    <t>7.60亿</t>
  </si>
  <si>
    <t>4806.34万</t>
  </si>
  <si>
    <t>6.35亿</t>
  </si>
  <si>
    <t>7332.47万</t>
  </si>
  <si>
    <t>7812.72万</t>
  </si>
  <si>
    <t>8894.31万</t>
  </si>
  <si>
    <t>5.49亿</t>
  </si>
  <si>
    <t>3903.38万</t>
  </si>
  <si>
    <t>8566.98万</t>
  </si>
  <si>
    <t>8293.64万</t>
  </si>
  <si>
    <t>大地海洋</t>
  </si>
  <si>
    <t>5159.86万</t>
  </si>
  <si>
    <t>6191.19万</t>
  </si>
  <si>
    <t>SZ301109</t>
  </si>
  <si>
    <t>军信股份</t>
  </si>
  <si>
    <t>SZ301127</t>
  </si>
  <si>
    <t>天源环保</t>
  </si>
  <si>
    <t>9059.93万</t>
  </si>
  <si>
    <t>3683.63万</t>
  </si>
  <si>
    <t>SZ301148</t>
  </si>
  <si>
    <t>嘉戎技术</t>
  </si>
  <si>
    <t>8501.90万</t>
  </si>
  <si>
    <t>SZ301259</t>
  </si>
  <si>
    <t>7064.56万</t>
  </si>
  <si>
    <t>5889.88万</t>
  </si>
  <si>
    <t>5280.53万</t>
  </si>
  <si>
    <t>3819.00万</t>
  </si>
  <si>
    <t>-1.16亿</t>
  </si>
  <si>
    <t>35.13亿</t>
  </si>
  <si>
    <t>15.39亿</t>
  </si>
  <si>
    <t>117.77亿</t>
  </si>
  <si>
    <t>8.60亿</t>
  </si>
  <si>
    <t>SH600475</t>
  </si>
  <si>
    <t>华光环能</t>
  </si>
  <si>
    <t>83.77亿</t>
  </si>
  <si>
    <t>78.99亿</t>
  </si>
  <si>
    <t>70.05亿</t>
  </si>
  <si>
    <t>74.54亿</t>
  </si>
  <si>
    <t>5298.73万</t>
  </si>
  <si>
    <t>692.14万</t>
  </si>
  <si>
    <t>SH600796</t>
  </si>
  <si>
    <t>钱江生化</t>
  </si>
  <si>
    <t>20.31亿</t>
  </si>
  <si>
    <t>18.88亿</t>
  </si>
  <si>
    <t>4.44亿</t>
  </si>
  <si>
    <t>9613.58万</t>
  </si>
  <si>
    <t>1918.03万</t>
  </si>
  <si>
    <t>-4464.53万</t>
  </si>
  <si>
    <t>45.36亿</t>
  </si>
  <si>
    <t>72.52亿</t>
  </si>
  <si>
    <t>20.78亿</t>
  </si>
  <si>
    <t>11.14亿</t>
  </si>
  <si>
    <t>50.57亿</t>
  </si>
  <si>
    <t>6.98亿</t>
  </si>
  <si>
    <t>12.59亿</t>
  </si>
  <si>
    <t>58.74亿</t>
  </si>
  <si>
    <t>12.38亿</t>
  </si>
  <si>
    <t>29.41亿</t>
  </si>
  <si>
    <t>10.01亿</t>
  </si>
  <si>
    <t>4103.30万</t>
  </si>
  <si>
    <t>7500.45万</t>
  </si>
  <si>
    <t>27.11亿</t>
  </si>
  <si>
    <t>78.27亿</t>
  </si>
  <si>
    <t>福龙马</t>
  </si>
  <si>
    <t>57.02亿</t>
  </si>
  <si>
    <t>9555.26万</t>
  </si>
  <si>
    <t>11.51亿</t>
  </si>
  <si>
    <t>10.47亿</t>
  </si>
  <si>
    <t>7263.14万</t>
  </si>
  <si>
    <t>5.74亿</t>
  </si>
  <si>
    <t>5217.17万</t>
  </si>
  <si>
    <t>9.62亿</t>
  </si>
  <si>
    <t>5012.76万</t>
  </si>
  <si>
    <t>5623.33万</t>
  </si>
  <si>
    <t>固废治理</t>
  </si>
  <si>
    <t>大气治理</t>
  </si>
  <si>
    <t xml:space="preserve">    名称</t>
  </si>
  <si>
    <t>成交量[20220902]</t>
  </si>
  <si>
    <t>营业收入(同比增长率) %[20220630]</t>
  </si>
  <si>
    <t>LY营业总收入[20211231]</t>
  </si>
  <si>
    <t>净利润?</t>
  </si>
  <si>
    <t>净利润[20211231]</t>
  </si>
  <si>
    <t>权益乘数[20220630]</t>
  </si>
  <si>
    <t>总资产周转率[20220630]</t>
  </si>
  <si>
    <t>净利润／营业总收入%[20220630]</t>
  </si>
  <si>
    <t>营业总成本[20220630]</t>
  </si>
  <si>
    <t>营业成本[20220630]</t>
  </si>
  <si>
    <t>销售费用[20220630]</t>
  </si>
  <si>
    <t>管理费用[20220630]</t>
  </si>
  <si>
    <t>研发费用总额[20220630]</t>
  </si>
  <si>
    <t>其他收入[20220630]</t>
  </si>
  <si>
    <t>扣非净利润</t>
  </si>
  <si>
    <t>货币资金[20220630]</t>
  </si>
  <si>
    <t>应收票据[20220630]</t>
  </si>
  <si>
    <t>固定资产[20220630]</t>
  </si>
  <si>
    <t>在建工程[20220630]</t>
  </si>
  <si>
    <t>短期借款[20220630]</t>
  </si>
  <si>
    <t>应付票据[20220630]</t>
  </si>
  <si>
    <t>应付账款[20220630]</t>
  </si>
  <si>
    <t>预收款项[20220630]</t>
  </si>
  <si>
    <t>流动负债[20220630]</t>
  </si>
  <si>
    <t>长期借款[20220630]</t>
  </si>
  <si>
    <t>经营活动产生的现金流量净额[20220630]</t>
  </si>
  <si>
    <t>投资活动产生的现金流量净额[20220630]</t>
  </si>
  <si>
    <t>筹资活动产生的现金流量净额[20220630]</t>
  </si>
  <si>
    <t>营业总收入[20201231]</t>
  </si>
  <si>
    <t>CYLQ营业收入[20220331]</t>
  </si>
  <si>
    <t>LYCQ营业收入[20210630]</t>
  </si>
  <si>
    <t>LYLQ营业收入[20210331]</t>
  </si>
  <si>
    <t>CYLQ净利润[20220331]</t>
  </si>
  <si>
    <t>LYCQ净利润[20210630]</t>
  </si>
  <si>
    <t>LYLQ净利润[20210331]</t>
  </si>
  <si>
    <t>投入资本回报率roic%[20220331]</t>
  </si>
  <si>
    <t>投入资本回报率roic%[20211231]</t>
  </si>
  <si>
    <t>净资产收益率%[20211231]</t>
  </si>
  <si>
    <t>细分行业</t>
  </si>
  <si>
    <t>销售毛利率%[20220331]</t>
  </si>
  <si>
    <t>销售净利率%[20220331]</t>
  </si>
  <si>
    <t>区间涨跌幅:前复权%[20220829-20220902]</t>
  </si>
  <si>
    <t>区间涨跌幅:前复权%[20220725-20220902]</t>
  </si>
  <si>
    <t>区间成交量[20220829-20220902]</t>
  </si>
  <si>
    <t>指数@区间成交量[20220725-20220902]</t>
  </si>
  <si>
    <t>单季营收增速</t>
  </si>
  <si>
    <t>单季利润增速</t>
  </si>
  <si>
    <t>市销率</t>
    <phoneticPr fontId="1" type="noConversion"/>
  </si>
  <si>
    <t>扣非对比净利润</t>
    <phoneticPr fontId="1" type="noConversion"/>
  </si>
  <si>
    <t>近期roe</t>
    <phoneticPr fontId="1" type="noConversion"/>
  </si>
  <si>
    <t>过往营收增速均值</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</si>
  <si>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</si>
  <si>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</si>
  <si>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</si>
  <si>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</si>
  <si>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3年自由现金流折现</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</si>
  <si>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</si>
  <si>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</si>
  <si>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</si>
  <si>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</si>
  <si>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</si>
  <si>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</si>
  <si>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</si>
  <si>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</si>
  <si>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原始顺序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</si>
  <si>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</si>
  <si>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</si>
  <si>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</si>
  <si>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</si>
  <si>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</si>
  <si>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</si>
  <si>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</si>
  <si>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</si>
  <si>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</si>
  <si>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</si>
  <si>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</si>
  <si>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</si>
  <si>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</si>
  <si>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</si>
  <si>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</si>
  <si>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</si>
  <si>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</si>
  <si>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</si>
  <si>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N日期</t>
    <phoneticPr fontId="1" type="noConversion"/>
  </si>
  <si>
    <t>N-4</t>
    <phoneticPr fontId="1" type="noConversion"/>
  </si>
  <si>
    <t>N-3</t>
    <phoneticPr fontId="1" type="noConversion"/>
  </si>
  <si>
    <t>N-2</t>
    <phoneticPr fontId="1" type="noConversion"/>
  </si>
  <si>
    <t>N-1</t>
    <phoneticPr fontId="1" type="noConversion"/>
  </si>
  <si>
    <t>N</t>
    <phoneticPr fontId="1" type="noConversion"/>
  </si>
  <si>
    <t>综合环境治理</t>
  </si>
  <si>
    <t>-1-0</t>
  </si>
  <si>
    <t>2-0</t>
  </si>
  <si>
    <t>2.57亿</t>
  </si>
  <si>
    <t>亏损</t>
  </si>
  <si>
    <t>扭亏</t>
  </si>
  <si>
    <t>水务及水治理</t>
  </si>
  <si>
    <t>1-1</t>
  </si>
  <si>
    <t/>
  </si>
  <si>
    <t>山高环能</t>
  </si>
  <si>
    <t>2.05亿</t>
  </si>
  <si>
    <t>99.96亿</t>
  </si>
  <si>
    <t>106.20亿</t>
  </si>
  <si>
    <t>11.23亿</t>
  </si>
  <si>
    <t>10.04亿</t>
  </si>
  <si>
    <t>-1-1</t>
  </si>
  <si>
    <t>SZ001230</t>
  </si>
  <si>
    <t>劲旅环境</t>
  </si>
  <si>
    <t>13.69亿</t>
  </si>
  <si>
    <t>12.25亿</t>
  </si>
  <si>
    <t>3.32亿</t>
  </si>
  <si>
    <t>18.19亿</t>
  </si>
  <si>
    <t>1-0</t>
  </si>
  <si>
    <t>16.19亿</t>
  </si>
  <si>
    <t>9.78亿</t>
  </si>
  <si>
    <t>12.77亿</t>
  </si>
  <si>
    <t>6.05亿</t>
  </si>
  <si>
    <t>7.45亿</t>
  </si>
  <si>
    <t>6.24亿</t>
  </si>
  <si>
    <t>3.65亿</t>
  </si>
  <si>
    <t>3.54亿</t>
  </si>
  <si>
    <t>2.88亿</t>
  </si>
  <si>
    <t>SZ301175</t>
  </si>
  <si>
    <t>中科环保</t>
  </si>
  <si>
    <t>9634.31万</t>
  </si>
  <si>
    <t>6605.11万</t>
  </si>
  <si>
    <t>艾布鲁</t>
  </si>
  <si>
    <t>4.80亿</t>
  </si>
  <si>
    <t>7.91亿</t>
  </si>
  <si>
    <t>5.91亿</t>
  </si>
  <si>
    <t>34.84亿</t>
  </si>
  <si>
    <t>10.72亿</t>
  </si>
  <si>
    <t>3.56亿</t>
  </si>
  <si>
    <t>2.93亿</t>
  </si>
  <si>
    <t>金达莱</t>
  </si>
  <si>
    <t>4.03亿</t>
  </si>
  <si>
    <t>SH688370</t>
  </si>
  <si>
    <t>丛麟科技</t>
  </si>
  <si>
    <t>6.69亿</t>
  </si>
  <si>
    <t>6.10亿</t>
  </si>
  <si>
    <t>3407.42万</t>
  </si>
  <si>
    <t>4.07亿</t>
  </si>
  <si>
    <t>5.28亿</t>
  </si>
  <si>
    <t>4.66亿</t>
  </si>
  <si>
    <t>7.23亿</t>
  </si>
  <si>
    <t>4.05亿</t>
  </si>
  <si>
    <t>6.74亿</t>
  </si>
  <si>
    <t>-1.79亿</t>
  </si>
  <si>
    <t>4.18亿</t>
  </si>
  <si>
    <t>新动力</t>
  </si>
  <si>
    <t>3.59亿</t>
  </si>
  <si>
    <t>11.09亿</t>
  </si>
  <si>
    <t>7.97亿</t>
  </si>
  <si>
    <t>20.09亿</t>
  </si>
  <si>
    <t>10.07亿</t>
  </si>
  <si>
    <t>3.94亿</t>
  </si>
  <si>
    <t>10.56亿</t>
  </si>
  <si>
    <t>6.03亿</t>
  </si>
  <si>
    <t>14.35亿</t>
  </si>
  <si>
    <t>5.14亿</t>
  </si>
  <si>
    <t>3.68亿</t>
  </si>
  <si>
    <t>4.41亿</t>
  </si>
  <si>
    <t>7.89亿</t>
  </si>
  <si>
    <t>17.53亿</t>
  </si>
  <si>
    <t>3.96亿</t>
  </si>
  <si>
    <t>22.63亿</t>
  </si>
  <si>
    <t>8.59亿</t>
  </si>
  <si>
    <t>3.07亿</t>
  </si>
  <si>
    <t>17.91亿</t>
  </si>
  <si>
    <t>7.52亿</t>
  </si>
  <si>
    <t>-1.51亿</t>
  </si>
  <si>
    <t>13.20亿</t>
  </si>
  <si>
    <t>7.92亿</t>
  </si>
  <si>
    <t>SH688480</t>
  </si>
  <si>
    <t>4462.92万</t>
  </si>
  <si>
    <t>4598.68万</t>
  </si>
  <si>
    <t>3609.49万</t>
  </si>
  <si>
    <t>1054.05万</t>
  </si>
  <si>
    <t>2.24亿</t>
  </si>
  <si>
    <t>1717.47万</t>
  </si>
  <si>
    <r>
      <rPr>
        <sz val="9"/>
        <color theme="1"/>
        <rFont val="宋体"/>
        <family val="3"/>
        <charset val="134"/>
        <scheme val="minor"/>
      </rPr>
      <t>1.问：公司为什么做</t>
    </r>
    <r>
      <rPr>
        <b/>
        <sz val="9"/>
        <color rgb="FFFF0000"/>
        <rFont val="宋体"/>
        <family val="3"/>
        <charset val="134"/>
        <scheme val="minor"/>
      </rPr>
      <t>钠离子电池</t>
    </r>
    <r>
      <rPr>
        <sz val="9"/>
        <color theme="1"/>
        <rFont val="宋体"/>
        <family val="3"/>
        <charset val="134"/>
        <scheme val="minor"/>
      </rPr>
      <t>？为什么选择和中国科大合作？答：锂钠本是同族元素，化学性质相近，公司在低温SCR脱硝催化材料技术研发、成果转化、规模生产方面拥有丰富经验，可以为钠离子电池关键材料的研发、放大生产提供良好的借鉴和有效的支撑；公司在精益制造、生产管理方面积累了丰富的经验和良好的人才储备，可以与钠离子电池的生产产生良好的协同效应。综合以上因素，在对国内新能源和储能行业进行过长期详实的调研后，公司选择钠离子电池作为切入点，与中国科大签约合作。</t>
    </r>
    <phoneticPr fontId="1" type="noConversion"/>
  </si>
  <si>
    <t>不分配不转增</t>
  </si>
  <si>
    <t>10派1元(含税)</t>
  </si>
  <si>
    <t>10派0.2元(含税)</t>
  </si>
  <si>
    <t>10派0.5元(含税)</t>
  </si>
  <si>
    <t>10派0.55元(含税)</t>
  </si>
  <si>
    <t>10派1.5元(含税)</t>
  </si>
  <si>
    <t>10派2元(含税)</t>
  </si>
  <si>
    <t>10派2.5元(含税)</t>
  </si>
  <si>
    <t>SZ301265</t>
  </si>
  <si>
    <t>华新环保</t>
  </si>
  <si>
    <t>7.82亿</t>
  </si>
  <si>
    <t>5.83亿</t>
  </si>
  <si>
    <t>8578.96万</t>
  </si>
  <si>
    <t>5717.51万</t>
  </si>
  <si>
    <t>10派3.5元(含税)</t>
  </si>
  <si>
    <t>10派2.3元(含税)</t>
  </si>
  <si>
    <t>10派1.8元(含税)</t>
  </si>
  <si>
    <r>
      <t>1.积极开拓新能源市场，借助在垃圾焚烧发电新能源领域的技术积累和管理优势，紧跟新能源行业发展步伐，重点关注</t>
    </r>
    <r>
      <rPr>
        <sz val="9"/>
        <color rgb="FFFF0000"/>
        <rFont val="宋体"/>
        <family val="3"/>
        <charset val="134"/>
        <scheme val="minor"/>
      </rPr>
      <t>风电、光伏等新能源市场，培育新的增长点</t>
    </r>
    <r>
      <rPr>
        <sz val="9"/>
        <color theme="1"/>
        <rFont val="宋体"/>
        <family val="2"/>
        <charset val="134"/>
        <scheme val="minor"/>
      </rPr>
      <t>。目前，风电项目尚处于市场调研阶段,厂区内光伏项目正在进行立项备案及电网接入审批等前期工作开展阶段;公司有六个分布式光伏项目已取得当地发改委备案，目前正在建设中</t>
    </r>
    <phoneticPr fontId="1" type="noConversion"/>
  </si>
  <si>
    <t>1.96亿</t>
  </si>
  <si>
    <t>1.71亿</t>
  </si>
  <si>
    <t>SH688485</t>
  </si>
  <si>
    <t>九州一轨</t>
  </si>
  <si>
    <t>3.48亿</t>
  </si>
  <si>
    <t>2.87亿</t>
  </si>
  <si>
    <t>-2-1</t>
  </si>
  <si>
    <t>2.21亿</t>
  </si>
  <si>
    <t>2-1</t>
  </si>
  <si>
    <t>SH603291</t>
  </si>
  <si>
    <t>联合水务</t>
  </si>
  <si>
    <t xml:space="preserve">
</t>
    <phoneticPr fontId="1" type="noConversion"/>
  </si>
  <si>
    <t>1.问：公司前三季度的营收情况以及分板块拆解？主要的增长板块？答：前三季度公司实现营业收入27773.2万元，同期增长10.71%。主营业务生态修复类业务占比73.44%,其中综合性治理业务占比47.26%；城市环境建设业务占比26.41%，其中园林绿化占比19.99%。从目前的业务结构看，未来综合性治理项目是主要的业绩增长点。</t>
    <phoneticPr fontId="1" type="noConversion"/>
  </si>
  <si>
    <t>1.问：公司下游的客户结构？答：公司客户以政府部门、政府投资主体、地产开发公司、建筑工程企业、规划设计和勘察院等为主，每年的具体分布会不同，但总体上政府部门及政府投资主体客户占比会在80%-90%以上。</t>
    <phoneticPr fontId="1" type="noConversion"/>
  </si>
  <si>
    <t>67.07亿</t>
  </si>
  <si>
    <t>12.04亿</t>
  </si>
  <si>
    <t>10派0.7元(含税)</t>
  </si>
  <si>
    <t>76.30亿</t>
  </si>
  <si>
    <t>16.18亿</t>
  </si>
  <si>
    <t>67.51亿</t>
  </si>
  <si>
    <t>36.19亿</t>
  </si>
  <si>
    <t>*ST京蓝</t>
  </si>
  <si>
    <t>8497.55万</t>
  </si>
  <si>
    <t>4.56亿</t>
  </si>
  <si>
    <t>71.00亿</t>
  </si>
  <si>
    <t>-9.64亿</t>
  </si>
  <si>
    <t>77.79亿</t>
  </si>
  <si>
    <t>SZ000885</t>
  </si>
  <si>
    <t>城发环境</t>
  </si>
  <si>
    <t>63.56亿</t>
  </si>
  <si>
    <t>56.47亿</t>
  </si>
  <si>
    <t>34.03亿</t>
  </si>
  <si>
    <t>20.28亿</t>
  </si>
  <si>
    <t>9.68亿</t>
  </si>
  <si>
    <t>6.17亿</t>
  </si>
  <si>
    <t>3.64亿</t>
  </si>
  <si>
    <t>10派1.1元(含税)</t>
  </si>
  <si>
    <t>2.49亿</t>
  </si>
  <si>
    <t>12.62亿</t>
  </si>
  <si>
    <t>33.50亿</t>
  </si>
  <si>
    <t>7.22亿</t>
  </si>
  <si>
    <t>12.68亿</t>
  </si>
  <si>
    <t>30.00亿</t>
  </si>
  <si>
    <t>167.80亿</t>
  </si>
  <si>
    <t>14.67亿</t>
  </si>
  <si>
    <t>141.53亿</t>
  </si>
  <si>
    <t>10派0.6元(含税)</t>
  </si>
  <si>
    <t>33.73亿</t>
  </si>
  <si>
    <t>80.32亿</t>
  </si>
  <si>
    <t>4.46亿</t>
  </si>
  <si>
    <t>10.21亿</t>
  </si>
  <si>
    <t>84.75亿</t>
  </si>
  <si>
    <t>5.56亿</t>
  </si>
  <si>
    <t>10派3.9元(含税)</t>
  </si>
  <si>
    <t>38.78亿</t>
  </si>
  <si>
    <t>-15.09亿</t>
  </si>
  <si>
    <t>17.97亿</t>
  </si>
  <si>
    <t>-3538.57万</t>
  </si>
  <si>
    <t>39.55亿</t>
  </si>
  <si>
    <t>9.31亿</t>
  </si>
  <si>
    <t>-8293.58万</t>
  </si>
  <si>
    <t>6.94亿</t>
  </si>
  <si>
    <t>86.90亿</t>
  </si>
  <si>
    <t>10派0.3元(含税)</t>
  </si>
  <si>
    <t>SZ300140</t>
  </si>
  <si>
    <t>8.48亿</t>
  </si>
  <si>
    <t>18.84亿</t>
  </si>
  <si>
    <t>25.25亿</t>
  </si>
  <si>
    <t>18.26亿</t>
  </si>
  <si>
    <t>-2.36亿</t>
  </si>
  <si>
    <t>-4.90亿</t>
  </si>
  <si>
    <t>-3377.05万</t>
  </si>
  <si>
    <t>2985.91万</t>
  </si>
  <si>
    <t>7597.86万</t>
  </si>
  <si>
    <t>-8679.51万</t>
  </si>
  <si>
    <t>7624.57万</t>
  </si>
  <si>
    <t>2.41亿</t>
  </si>
  <si>
    <t>7336.33万</t>
  </si>
  <si>
    <t>20.85亿</t>
  </si>
  <si>
    <t>-4.50亿</t>
  </si>
  <si>
    <t>32.07亿</t>
  </si>
  <si>
    <t>27.90亿</t>
  </si>
  <si>
    <t>-8.66亿</t>
  </si>
  <si>
    <t>-3.86亿</t>
  </si>
  <si>
    <t>13.55亿</t>
  </si>
  <si>
    <t>-5.52亿</t>
  </si>
  <si>
    <t>22.22亿</t>
  </si>
  <si>
    <t>15.16亿</t>
  </si>
  <si>
    <t>40.99亿</t>
  </si>
  <si>
    <t>22.24亿</t>
  </si>
  <si>
    <t>26.57亿</t>
  </si>
  <si>
    <t>-5.15亿</t>
  </si>
  <si>
    <t>17.20亿</t>
  </si>
  <si>
    <t>6.21亿</t>
  </si>
  <si>
    <t>-6.87亿</t>
  </si>
  <si>
    <t>-10.45亿</t>
  </si>
  <si>
    <t>-9168.04万</t>
  </si>
  <si>
    <t>3768.39万</t>
  </si>
  <si>
    <t>7.41亿</t>
  </si>
  <si>
    <t>18.82亿</t>
  </si>
  <si>
    <t>8.39亿</t>
  </si>
  <si>
    <t>3295.06万</t>
  </si>
  <si>
    <t>247.36万</t>
  </si>
  <si>
    <t>53.94亿</t>
  </si>
  <si>
    <t>3-1</t>
  </si>
  <si>
    <t>23.33亿</t>
  </si>
  <si>
    <t>4.95亿</t>
  </si>
  <si>
    <t>5623.46万</t>
  </si>
  <si>
    <t>4.47亿</t>
  </si>
  <si>
    <t>12.70亿</t>
  </si>
  <si>
    <t>9778.55万</t>
  </si>
  <si>
    <t>-121.78万</t>
  </si>
  <si>
    <t>14.33亿</t>
  </si>
  <si>
    <t>-2162.56万</t>
  </si>
  <si>
    <t>3-0</t>
  </si>
  <si>
    <t>5525.70万</t>
  </si>
  <si>
    <t>15.71亿</t>
  </si>
  <si>
    <t>20.79亿</t>
  </si>
  <si>
    <t>10派9元(含税)</t>
  </si>
  <si>
    <t>12.72亿</t>
  </si>
  <si>
    <t>7.56亿</t>
  </si>
  <si>
    <t>15.97亿</t>
  </si>
  <si>
    <t>SZ301203</t>
  </si>
  <si>
    <t>国泰环保</t>
  </si>
  <si>
    <t>4432.95万</t>
  </si>
  <si>
    <t>10派15元(含税)</t>
  </si>
  <si>
    <t>7401.36万</t>
  </si>
  <si>
    <t>SZ301305</t>
  </si>
  <si>
    <t>朗坤环境</t>
  </si>
  <si>
    <t>8396.50万</t>
  </si>
  <si>
    <t>2192.77万</t>
  </si>
  <si>
    <t>SZ301372</t>
  </si>
  <si>
    <t>科净源</t>
  </si>
  <si>
    <t>SZ301519</t>
  </si>
  <si>
    <t>舜禹股份</t>
  </si>
  <si>
    <t>4-1</t>
  </si>
  <si>
    <t>10派1.3元(含税)</t>
  </si>
  <si>
    <t>28.94亿</t>
  </si>
  <si>
    <t>18.27亿</t>
  </si>
  <si>
    <t>24.04亿</t>
  </si>
  <si>
    <t>41.37亿</t>
  </si>
  <si>
    <t>-2812.12万</t>
  </si>
  <si>
    <t>44.43亿</t>
  </si>
  <si>
    <t>5551.38万</t>
  </si>
  <si>
    <t>9.01亿</t>
  </si>
  <si>
    <t>128.75亿</t>
  </si>
  <si>
    <t>91.34亿</t>
  </si>
  <si>
    <t>88.39亿</t>
  </si>
  <si>
    <t>6.71亿</t>
  </si>
  <si>
    <t>5116.88万</t>
  </si>
  <si>
    <t>1066.63万</t>
  </si>
  <si>
    <t>5.48亿</t>
  </si>
  <si>
    <t>45.22亿</t>
  </si>
  <si>
    <t>10派2.7元(含税)</t>
  </si>
  <si>
    <t>62.86亿</t>
  </si>
  <si>
    <t>5.20亿</t>
  </si>
  <si>
    <t>71.98亿</t>
  </si>
  <si>
    <t>45.67亿</t>
  </si>
  <si>
    <t>11.05亿</t>
  </si>
  <si>
    <t>22.55亿</t>
  </si>
  <si>
    <t>20.86亿</t>
  </si>
  <si>
    <t>5.10亿</t>
  </si>
  <si>
    <t>60.23亿</t>
  </si>
  <si>
    <t>11.39亿</t>
  </si>
  <si>
    <t>32.19亿</t>
  </si>
  <si>
    <t>-8080.55万</t>
  </si>
  <si>
    <t>4227.07万</t>
  </si>
  <si>
    <t>8.34亿</t>
  </si>
  <si>
    <t>11.57亿</t>
  </si>
  <si>
    <t>10.54亿</t>
  </si>
  <si>
    <t>10派0.1元(含税)</t>
  </si>
  <si>
    <t>42.89亿</t>
  </si>
  <si>
    <t>16.05亿</t>
  </si>
  <si>
    <t>87.74亿</t>
  </si>
  <si>
    <t>50.80亿</t>
  </si>
  <si>
    <t>10.45亿</t>
  </si>
  <si>
    <t>-1.12亿</t>
  </si>
  <si>
    <t>-3.39亿</t>
  </si>
  <si>
    <t>5263.79万</t>
  </si>
  <si>
    <t>5632.67万</t>
  </si>
  <si>
    <t>10转4股派1.5元(含税)</t>
  </si>
  <si>
    <t>10000.00万</t>
  </si>
  <si>
    <t>2235.90万</t>
  </si>
  <si>
    <t>10派2.6元(含税)</t>
  </si>
  <si>
    <t>7678.57万</t>
  </si>
  <si>
    <t>6230.04万</t>
  </si>
  <si>
    <t>5-0</t>
  </si>
  <si>
    <t>6622.57万</t>
  </si>
  <si>
    <t>6399.14万</t>
  </si>
  <si>
    <t>-1.28亿</t>
  </si>
  <si>
    <t>6769.62万</t>
  </si>
  <si>
    <t>6148.53万</t>
  </si>
  <si>
    <t>3574.97万</t>
  </si>
  <si>
    <t>4559.43万</t>
  </si>
  <si>
    <t>1362.77万</t>
  </si>
  <si>
    <t>4-0</t>
  </si>
  <si>
    <t>10派1.04元(含税)</t>
  </si>
  <si>
    <t>25.05亿</t>
  </si>
  <si>
    <t>8.38亿</t>
  </si>
  <si>
    <t>5.69亿</t>
  </si>
  <si>
    <t>8.75亿</t>
  </si>
  <si>
    <t>10.85亿</t>
  </si>
  <si>
    <t>-1.18亿</t>
  </si>
  <si>
    <t>5.21亿</t>
  </si>
  <si>
    <t>-1.83亿</t>
  </si>
  <si>
    <t>9.84亿</t>
  </si>
  <si>
    <t>3.81亿</t>
  </si>
  <si>
    <t>4.10亿</t>
  </si>
  <si>
    <t>5.12亿</t>
  </si>
  <si>
    <t>5.95亿</t>
  </si>
  <si>
    <t>17.96亿</t>
  </si>
  <si>
    <t>19.72亿</t>
  </si>
  <si>
    <t>5.67亿</t>
  </si>
  <si>
    <t>8.83亿</t>
  </si>
  <si>
    <t>11.64亿</t>
  </si>
  <si>
    <t>1100.00万</t>
  </si>
  <si>
    <t>3.21亿</t>
  </si>
  <si>
    <t>9.30亿</t>
  </si>
  <si>
    <t>5.71亿</t>
  </si>
  <si>
    <t>5.04亿</t>
  </si>
  <si>
    <t>15.36亿</t>
  </si>
  <si>
    <t>700.00万</t>
  </si>
  <si>
    <t>3.23亿</t>
  </si>
  <si>
    <t>9198.05万</t>
  </si>
  <si>
    <t>7083.65万</t>
  </si>
  <si>
    <t>3513.50万</t>
  </si>
  <si>
    <t>3509.06万</t>
  </si>
  <si>
    <t>8.02亿</t>
  </si>
  <si>
    <t>6.45亿</t>
  </si>
  <si>
    <t>3.29亿</t>
  </si>
  <si>
    <t>9747.33万</t>
  </si>
  <si>
    <t>8740.07万</t>
  </si>
  <si>
    <t>5373.38万</t>
  </si>
  <si>
    <t>3651.61万</t>
  </si>
  <si>
    <t>19.56亿</t>
  </si>
  <si>
    <t>15.17亿</t>
  </si>
  <si>
    <t>16.08亿</t>
  </si>
  <si>
    <t>15.84亿</t>
  </si>
  <si>
    <t>10.41亿</t>
  </si>
  <si>
    <t>7.14亿</t>
  </si>
  <si>
    <t>6.48亿</t>
  </si>
  <si>
    <t>3.00亿</t>
  </si>
  <si>
    <t>9.67亿</t>
  </si>
  <si>
    <t>35.46亿</t>
  </si>
  <si>
    <t>2.23亿</t>
  </si>
  <si>
    <t>3000.30万</t>
  </si>
  <si>
    <t>5.73亿</t>
  </si>
  <si>
    <t>7333.22万</t>
  </si>
  <si>
    <t>169.04亿</t>
  </si>
  <si>
    <t>107.23亿</t>
  </si>
  <si>
    <t>37.55亿</t>
  </si>
  <si>
    <t>33.96亿</t>
  </si>
  <si>
    <t>26.87亿</t>
  </si>
  <si>
    <t>3615.08万</t>
  </si>
  <si>
    <t>3.75亿</t>
  </si>
  <si>
    <t>3419.86万</t>
  </si>
  <si>
    <t>-1296615亿</t>
  </si>
  <si>
    <t>1706.96万</t>
  </si>
  <si>
    <t>272377730亿</t>
  </si>
  <si>
    <t>2581996200亿</t>
  </si>
  <si>
    <t>2478.97万</t>
  </si>
  <si>
    <t>5927807100亿</t>
  </si>
  <si>
    <t>14.92亿</t>
  </si>
  <si>
    <t>25.77亿</t>
  </si>
  <si>
    <t>25.14亿</t>
  </si>
  <si>
    <t>78.25亿</t>
  </si>
  <si>
    <t>45.42亿</t>
  </si>
  <si>
    <t>6792.54万</t>
  </si>
  <si>
    <t>-13.53亿</t>
  </si>
  <si>
    <t>23.88亿</t>
  </si>
  <si>
    <t>38.67亿</t>
  </si>
  <si>
    <t>6.07亿</t>
  </si>
  <si>
    <t>4.25亿</t>
  </si>
  <si>
    <t>5.00亿</t>
  </si>
  <si>
    <t>SZ000546</t>
  </si>
  <si>
    <t>金圆股份</t>
  </si>
  <si>
    <t>56.10亿</t>
  </si>
  <si>
    <t>-2.11亿</t>
  </si>
  <si>
    <t>4.21亿</t>
  </si>
  <si>
    <t>7.80亿</t>
  </si>
  <si>
    <t>8.10亿</t>
  </si>
  <si>
    <t>88.49亿</t>
  </si>
  <si>
    <t>86.71亿</t>
  </si>
  <si>
    <t>81.71亿</t>
  </si>
  <si>
    <t>79.74亿</t>
  </si>
  <si>
    <t>8349.87万</t>
  </si>
  <si>
    <t>4.74亿</t>
  </si>
  <si>
    <t>3.51亿</t>
  </si>
  <si>
    <t>7.28亿</t>
  </si>
  <si>
    <t>-3-0</t>
  </si>
  <si>
    <t>8.00万</t>
  </si>
  <si>
    <t>-2-0</t>
  </si>
  <si>
    <t>21.24亿</t>
  </si>
  <si>
    <t>4.20亿</t>
  </si>
  <si>
    <t>37.73亿</t>
  </si>
  <si>
    <t>1.83亿</t>
  </si>
  <si>
    <t>-1.60亿</t>
  </si>
  <si>
    <t>9.97亿</t>
  </si>
  <si>
    <t>5.94亿</t>
  </si>
  <si>
    <t>7.70亿</t>
  </si>
  <si>
    <t>-3.11亿</t>
  </si>
  <si>
    <t>7.53亿</t>
  </si>
  <si>
    <t>5.23亿</t>
  </si>
  <si>
    <t>10.35亿</t>
  </si>
  <si>
    <t>5541.77万</t>
  </si>
  <si>
    <t>2875.64万</t>
  </si>
  <si>
    <t>-1.69亿</t>
  </si>
  <si>
    <t>6.70亿</t>
  </si>
  <si>
    <t>142.63亿</t>
  </si>
  <si>
    <t>10.80亿</t>
  </si>
  <si>
    <t>23.11亿</t>
  </si>
  <si>
    <t>13.62亿</t>
  </si>
  <si>
    <t>7.48亿</t>
  </si>
  <si>
    <t>-11.58亿</t>
  </si>
  <si>
    <t>-4.92亿</t>
  </si>
  <si>
    <t>15.96亿</t>
  </si>
  <si>
    <t>21.78亿</t>
  </si>
  <si>
    <t>6.77亿</t>
  </si>
  <si>
    <t>5.96亿</t>
  </si>
  <si>
    <t>54.71亿</t>
  </si>
  <si>
    <t>5.47亿</t>
  </si>
  <si>
    <t>7.04亿</t>
  </si>
  <si>
    <t>-1.74亿</t>
  </si>
  <si>
    <t>6.39亿</t>
  </si>
  <si>
    <t>6.26亿</t>
  </si>
  <si>
    <t>11.41亿</t>
  </si>
  <si>
    <t>-1.08亿</t>
  </si>
  <si>
    <t>7.96亿</t>
  </si>
  <si>
    <t>6.50亿</t>
  </si>
  <si>
    <t>17.90亿</t>
  </si>
  <si>
    <t>9.93亿</t>
  </si>
  <si>
    <t>-2.35亿</t>
  </si>
  <si>
    <t>7.58亿</t>
  </si>
  <si>
    <t>6.06亿</t>
  </si>
  <si>
    <t>4.55亿</t>
  </si>
  <si>
    <t>5.36亿</t>
  </si>
  <si>
    <t>节能环境</t>
  </si>
  <si>
    <t>322.51万</t>
  </si>
  <si>
    <t>202.98亿</t>
  </si>
  <si>
    <t>105.68亿</t>
  </si>
  <si>
    <t>47.18亿</t>
  </si>
  <si>
    <t>39.71亿</t>
  </si>
  <si>
    <t>30.71亿</t>
  </si>
  <si>
    <t>2308.10万</t>
  </si>
  <si>
    <t>8394.72万</t>
  </si>
  <si>
    <t>-5049776亿</t>
  </si>
  <si>
    <t>844.71万</t>
  </si>
  <si>
    <t>201973270亿</t>
  </si>
  <si>
    <t>18.80亿</t>
  </si>
  <si>
    <t>3948590900亿</t>
  </si>
  <si>
    <t>7011.53万</t>
  </si>
  <si>
    <t>8486482900亿</t>
  </si>
  <si>
    <t>7244.53万</t>
  </si>
  <si>
    <t>29.15亿</t>
  </si>
  <si>
    <t>71.02亿</t>
  </si>
  <si>
    <t>78.72亿</t>
  </si>
  <si>
    <t>-10.95亿</t>
  </si>
  <si>
    <t>-5.35亿</t>
  </si>
  <si>
    <t>32.33亿</t>
  </si>
  <si>
    <t>46.84亿</t>
  </si>
  <si>
    <t>30.94亿</t>
  </si>
  <si>
    <t>2092.67万</t>
  </si>
  <si>
    <t>5.44亿</t>
  </si>
  <si>
    <t>5.16亿</t>
  </si>
  <si>
    <t>39.29亿</t>
  </si>
  <si>
    <t>20.14亿</t>
  </si>
  <si>
    <t>11.24亿</t>
  </si>
  <si>
    <t>2.00万</t>
  </si>
  <si>
    <t>3.27亿</t>
  </si>
  <si>
    <t>-1.47亿</t>
  </si>
  <si>
    <t>11.94亿</t>
  </si>
  <si>
    <t>10.26亿</t>
  </si>
  <si>
    <t>7.90亿</t>
  </si>
  <si>
    <t>9.85亿</t>
  </si>
  <si>
    <t>9.14亿</t>
  </si>
  <si>
    <t>50.05亿</t>
  </si>
  <si>
    <t>13.80亿</t>
  </si>
  <si>
    <t>10.88亿</t>
  </si>
  <si>
    <t>4.50亿</t>
  </si>
  <si>
    <t>17.10亿</t>
  </si>
  <si>
    <t>17.83亿</t>
  </si>
  <si>
    <t>23.42亿</t>
  </si>
  <si>
    <t>8.26亿</t>
  </si>
  <si>
    <t>12.30亿</t>
  </si>
  <si>
    <t>17.13亿</t>
  </si>
  <si>
    <t>7.12亿</t>
  </si>
  <si>
    <t>9.28亿</t>
  </si>
  <si>
    <t>6.15亿</t>
  </si>
  <si>
    <t>5.92亿</t>
  </si>
  <si>
    <t>27.52亿</t>
  </si>
  <si>
    <t>8.70亿</t>
  </si>
  <si>
    <t>987.50万</t>
  </si>
  <si>
    <t>4.97亿</t>
  </si>
  <si>
    <t>12.09亿</t>
  </si>
  <si>
    <t>13.64亿</t>
  </si>
  <si>
    <t>18.42亿</t>
  </si>
  <si>
    <t>11.62亿</t>
  </si>
  <si>
    <t>20.00万</t>
  </si>
  <si>
    <t>9.87亿</t>
  </si>
  <si>
    <t>7.32亿</t>
  </si>
  <si>
    <t>8.32亿</t>
  </si>
  <si>
    <t>191.03万</t>
  </si>
  <si>
    <t>5.61亿</t>
  </si>
  <si>
    <t>8.98亿</t>
  </si>
  <si>
    <t>12.02亿</t>
  </si>
  <si>
    <t>2.95万</t>
  </si>
  <si>
    <t>8.15亿</t>
  </si>
  <si>
    <t>17.48亿</t>
  </si>
  <si>
    <t>-6.08亿</t>
  </si>
  <si>
    <t>8.37亿</t>
  </si>
  <si>
    <t>17.29亿</t>
  </si>
  <si>
    <t>SZ301500</t>
  </si>
  <si>
    <t>飞南资源</t>
  </si>
  <si>
    <t>87.67亿</t>
  </si>
  <si>
    <t>25.50亿</t>
  </si>
  <si>
    <t>48.28亿</t>
  </si>
  <si>
    <t>42.80亿</t>
  </si>
  <si>
    <t>39.75亿</t>
  </si>
  <si>
    <t>7.19亿</t>
  </si>
  <si>
    <t>64.61亿</t>
  </si>
  <si>
    <t>12.00亿</t>
  </si>
  <si>
    <t>92.94亿</t>
  </si>
  <si>
    <t>10.71亿</t>
  </si>
  <si>
    <t>14.70亿</t>
  </si>
  <si>
    <t>6.12亿</t>
  </si>
  <si>
    <t>3.45亿</t>
  </si>
  <si>
    <t>3.02亿</t>
  </si>
  <si>
    <t>56.13亿</t>
  </si>
  <si>
    <t>24.29亿</t>
  </si>
  <si>
    <t>18.94亿</t>
  </si>
  <si>
    <t>31.71亿</t>
  </si>
  <si>
    <t>10.69亿</t>
  </si>
  <si>
    <t>6.36亿</t>
  </si>
  <si>
    <t>4.79亿</t>
  </si>
  <si>
    <t>2.27亿</t>
  </si>
  <si>
    <t>32.62亿</t>
  </si>
  <si>
    <t>SH601033</t>
  </si>
  <si>
    <t>永兴股份</t>
  </si>
  <si>
    <t>32.93亿</t>
  </si>
  <si>
    <t>25.36亿</t>
  </si>
  <si>
    <t>18.43亿</t>
  </si>
  <si>
    <t>14.54亿</t>
  </si>
  <si>
    <t>3.46亿</t>
  </si>
  <si>
    <t>14.47亿</t>
  </si>
  <si>
    <t>-5-0</t>
  </si>
  <si>
    <t>12.40亿</t>
  </si>
  <si>
    <t>16.83亿</t>
  </si>
  <si>
    <t>20.84亿</t>
  </si>
  <si>
    <t>1000.00万</t>
  </si>
  <si>
    <t>6.01亿</t>
  </si>
  <si>
    <t>7.01亿</t>
  </si>
  <si>
    <t>6.02亿</t>
  </si>
  <si>
    <t>4.58亿</t>
  </si>
  <si>
    <t>-7.50亿</t>
  </si>
  <si>
    <t>17.57亿</t>
  </si>
  <si>
    <t>15.90亿</t>
  </si>
  <si>
    <t>8.78亿</t>
  </si>
  <si>
    <t>200.00万</t>
  </si>
  <si>
    <t>31.14亿</t>
  </si>
  <si>
    <t>8.61亿</t>
  </si>
  <si>
    <t>84.27万</t>
  </si>
  <si>
    <t>3564.44万</t>
  </si>
  <si>
    <t>6652.44万</t>
  </si>
  <si>
    <t>1553.64万</t>
  </si>
  <si>
    <t>-574995亿</t>
  </si>
  <si>
    <t>1300.91万</t>
  </si>
  <si>
    <t>8341225亿</t>
  </si>
  <si>
    <t>537945150亿</t>
  </si>
  <si>
    <t>5232.58万</t>
  </si>
  <si>
    <t>1693581800亿</t>
  </si>
  <si>
    <t>2448.16万</t>
  </si>
  <si>
    <t>-1.21亿</t>
  </si>
  <si>
    <t>-5946.26万</t>
  </si>
  <si>
    <t>5750.56万</t>
  </si>
  <si>
    <t>547.85万</t>
  </si>
  <si>
    <t>5182.04万</t>
  </si>
  <si>
    <t>486.80万</t>
  </si>
  <si>
    <t>3449.04万</t>
  </si>
  <si>
    <t>-4-1</t>
  </si>
  <si>
    <t>-4.98亿</t>
  </si>
  <si>
    <t>3.97亿</t>
  </si>
  <si>
    <t>9.34亿</t>
  </si>
  <si>
    <t>8.40亿</t>
  </si>
  <si>
    <t>9.89亿</t>
  </si>
  <si>
    <t>722.61万</t>
  </si>
  <si>
    <t>环境治理</t>
  </si>
  <si>
    <t>31.86亿</t>
  </si>
  <si>
    <t>9.21亿</t>
  </si>
  <si>
    <t>153.31万</t>
  </si>
  <si>
    <t>2020.60万</t>
  </si>
  <si>
    <t>-236053亿</t>
  </si>
  <si>
    <t>-24058299亿</t>
  </si>
  <si>
    <t>345643020亿</t>
  </si>
  <si>
    <t>2433.63万</t>
  </si>
  <si>
    <t>1476593400亿</t>
  </si>
  <si>
    <t>1349.58万</t>
  </si>
  <si>
    <t>4204.13万</t>
  </si>
  <si>
    <t>7.88亿</t>
  </si>
  <si>
    <t>-1251.76万</t>
  </si>
  <si>
    <t>-9.42万</t>
  </si>
  <si>
    <t>-1.36亿</t>
  </si>
  <si>
    <t>-2.17亿</t>
  </si>
  <si>
    <t>-2691.96万</t>
  </si>
  <si>
    <t>4280.73万</t>
  </si>
  <si>
    <t>546.39万</t>
  </si>
  <si>
    <t>284.25亿</t>
  </si>
  <si>
    <t>78.13亿</t>
  </si>
  <si>
    <t>24.17万</t>
  </si>
  <si>
    <t>3814.86万</t>
  </si>
  <si>
    <t>505931亿</t>
  </si>
  <si>
    <t>9.55万</t>
  </si>
  <si>
    <t>414281110亿</t>
  </si>
  <si>
    <t>3931977900亿</t>
  </si>
  <si>
    <t>537.16万</t>
  </si>
  <si>
    <t>6961348400亿</t>
  </si>
  <si>
    <t>55.50亿</t>
  </si>
  <si>
    <t>183.98亿</t>
  </si>
  <si>
    <t>1687.04万</t>
  </si>
  <si>
    <t>78.52亿</t>
  </si>
  <si>
    <t>3449.66万</t>
  </si>
  <si>
    <t>745.05万</t>
  </si>
  <si>
    <t>27.89亿</t>
  </si>
  <si>
    <t>47.38亿</t>
  </si>
  <si>
    <t>9.44亿</t>
  </si>
  <si>
    <t>28.44亿</t>
  </si>
  <si>
    <t>-6.78亿</t>
  </si>
  <si>
    <t>9.55亿</t>
  </si>
  <si>
    <t>212.57万</t>
  </si>
  <si>
    <t>4722.11万</t>
  </si>
  <si>
    <t>1241亿</t>
  </si>
  <si>
    <t>41.12万</t>
  </si>
  <si>
    <t>-6056651亿</t>
  </si>
  <si>
    <t>8705.41万</t>
  </si>
  <si>
    <t>187620690亿</t>
  </si>
  <si>
    <t>83.15万</t>
  </si>
  <si>
    <t>2646447600亿</t>
  </si>
  <si>
    <t>8.13亿</t>
  </si>
  <si>
    <t>699.60万</t>
  </si>
  <si>
    <t>17.26亿</t>
  </si>
  <si>
    <t>7.00亿</t>
  </si>
  <si>
    <t>-5823.46万</t>
  </si>
  <si>
    <t>4.11亿</t>
  </si>
  <si>
    <t>-4.05亿</t>
  </si>
  <si>
    <t>-1487.38万</t>
  </si>
  <si>
    <t>3950.03万</t>
  </si>
  <si>
    <t>-6-1</t>
  </si>
  <si>
    <t>1846.95万</t>
  </si>
  <si>
    <t>257.63亿</t>
  </si>
  <si>
    <t>184.33亿</t>
  </si>
  <si>
    <t>18.46亿</t>
  </si>
  <si>
    <t>80.87亿</t>
  </si>
  <si>
    <t>12.63亿</t>
  </si>
  <si>
    <t>10.36亿</t>
  </si>
  <si>
    <t>2681.92万</t>
  </si>
  <si>
    <t>9384.72万</t>
  </si>
  <si>
    <t>226.37万</t>
  </si>
  <si>
    <t>448195970亿</t>
  </si>
  <si>
    <t>54.23亿</t>
  </si>
  <si>
    <t>3004902700亿</t>
  </si>
  <si>
    <t>146.43万</t>
  </si>
  <si>
    <t>9571152300亿</t>
  </si>
  <si>
    <t>66.71亿</t>
  </si>
  <si>
    <t>2001.71万</t>
  </si>
  <si>
    <t>8297.73万</t>
  </si>
  <si>
    <t>52.53亿</t>
  </si>
  <si>
    <t>89.00亿</t>
  </si>
  <si>
    <t>83.00亿</t>
  </si>
  <si>
    <t>1835.87万</t>
  </si>
  <si>
    <t>-13.32亿</t>
  </si>
  <si>
    <t>28.28亿</t>
  </si>
  <si>
    <t>15.82亿</t>
  </si>
  <si>
    <t>10派1.7元(含税)</t>
  </si>
  <si>
    <t>6.97亿</t>
  </si>
  <si>
    <t>343.64万</t>
  </si>
  <si>
    <t>53.38亿</t>
  </si>
  <si>
    <t>27.41亿</t>
  </si>
  <si>
    <t>18.45亿</t>
  </si>
  <si>
    <t>2012.18万</t>
  </si>
  <si>
    <t>193.66万</t>
  </si>
  <si>
    <t>3747.61万</t>
  </si>
  <si>
    <t>7878594亿</t>
  </si>
  <si>
    <t>6.24万</t>
  </si>
  <si>
    <t>10444015亿</t>
  </si>
  <si>
    <t>1088207070亿</t>
  </si>
  <si>
    <t>1253.63万</t>
  </si>
  <si>
    <t>2317750200亿</t>
  </si>
  <si>
    <t>14.06亿</t>
  </si>
  <si>
    <t>7000.00万</t>
  </si>
  <si>
    <t>30.70亿</t>
  </si>
  <si>
    <t>3306.60万</t>
  </si>
  <si>
    <t>-2760.10万</t>
  </si>
  <si>
    <t>-2082.38万</t>
  </si>
  <si>
    <t>1636.64万</t>
  </si>
  <si>
    <t>1366.89万</t>
  </si>
  <si>
    <t>1950.25万</t>
  </si>
  <si>
    <t>527.22万</t>
  </si>
  <si>
    <t>123.52亿</t>
  </si>
  <si>
    <t>169.14亿</t>
  </si>
  <si>
    <t>51.99亿</t>
  </si>
  <si>
    <t>1761.53万</t>
  </si>
  <si>
    <t>7054.99万</t>
  </si>
  <si>
    <t>109493127亿</t>
  </si>
  <si>
    <t>116.25万</t>
  </si>
  <si>
    <t>158035480亿</t>
  </si>
  <si>
    <t>15.92亿</t>
  </si>
  <si>
    <t>1313875730亿</t>
  </si>
  <si>
    <t>4222102200亿</t>
  </si>
  <si>
    <t>21.19亿</t>
  </si>
  <si>
    <t>23.64亿</t>
  </si>
  <si>
    <t>557.01万</t>
  </si>
  <si>
    <t>68.02亿</t>
  </si>
  <si>
    <t>32.90亿</t>
  </si>
  <si>
    <t>-3.80亿</t>
  </si>
  <si>
    <t>-3.73亿</t>
  </si>
  <si>
    <t>2835.50万</t>
  </si>
  <si>
    <t>359.57万</t>
  </si>
  <si>
    <t>7.75亿</t>
  </si>
  <si>
    <t>608.15万</t>
  </si>
  <si>
    <t>2396.47万</t>
  </si>
  <si>
    <t>499.37万</t>
  </si>
  <si>
    <t>139.88万</t>
  </si>
  <si>
    <t>1400.21万</t>
  </si>
  <si>
    <t>-230936亿</t>
  </si>
  <si>
    <t>-12681754亿</t>
  </si>
  <si>
    <t>449504590亿</t>
  </si>
  <si>
    <t>920.00万</t>
  </si>
  <si>
    <t>1121860170亿</t>
  </si>
  <si>
    <t>177.52万</t>
  </si>
  <si>
    <t>-1483.05万</t>
  </si>
  <si>
    <t>-1842.90万</t>
  </si>
  <si>
    <t>-13.48亿</t>
  </si>
  <si>
    <t>-15.28亿</t>
  </si>
  <si>
    <t>5806.56万</t>
  </si>
  <si>
    <t>-9635.13万</t>
  </si>
  <si>
    <t>2628.98万</t>
  </si>
  <si>
    <t>开始亏损</t>
  </si>
  <si>
    <t>03168000000</t>
  </si>
  <si>
    <t>06336000000</t>
  </si>
  <si>
    <t>010560000000</t>
  </si>
  <si>
    <t>021120000000</t>
  </si>
  <si>
    <t>257.52万</t>
  </si>
  <si>
    <t>14.50亿</t>
  </si>
  <si>
    <t>21.01亿</t>
  </si>
  <si>
    <t>885.11万</t>
  </si>
  <si>
    <t>258.45万</t>
  </si>
  <si>
    <t>3062.11万</t>
  </si>
  <si>
    <t>243.81万</t>
  </si>
  <si>
    <t>6584377亿</t>
  </si>
  <si>
    <t>326700110亿</t>
  </si>
  <si>
    <t>886122130亿</t>
  </si>
  <si>
    <t>18.63亿</t>
  </si>
  <si>
    <t>9.57亿</t>
  </si>
  <si>
    <t>-2474.84万</t>
  </si>
  <si>
    <t>-7710.26万</t>
  </si>
  <si>
    <t>4131.95万</t>
  </si>
  <si>
    <t>4038.11万</t>
  </si>
  <si>
    <t>1564.15万</t>
  </si>
  <si>
    <t>-6-0</t>
  </si>
  <si>
    <t>1931.92万</t>
  </si>
  <si>
    <t>153.63亿</t>
  </si>
  <si>
    <t>82.78亿</t>
  </si>
  <si>
    <t>12.26亿</t>
  </si>
  <si>
    <t>54.02亿</t>
  </si>
  <si>
    <t>-15.72亿</t>
  </si>
  <si>
    <t>9.22亿</t>
  </si>
  <si>
    <t>1037.24万</t>
  </si>
  <si>
    <t>-14493075亿</t>
  </si>
  <si>
    <t>249.31万</t>
  </si>
  <si>
    <t>-89129881亿</t>
  </si>
  <si>
    <t>4372856300亿</t>
  </si>
  <si>
    <t>6586143100亿</t>
  </si>
  <si>
    <t>25.53亿</t>
  </si>
  <si>
    <t>31.49亿</t>
  </si>
  <si>
    <t>147.17万</t>
  </si>
  <si>
    <t>78.40亿</t>
  </si>
  <si>
    <t>50.84亿</t>
  </si>
  <si>
    <t>8731.72万</t>
  </si>
  <si>
    <t>-5174.52万</t>
  </si>
  <si>
    <t>-2.13亿</t>
  </si>
  <si>
    <t>12.60亿</t>
  </si>
  <si>
    <t>-7750.08万</t>
  </si>
  <si>
    <t>327.89万</t>
  </si>
  <si>
    <t>206.44亿</t>
  </si>
  <si>
    <t>87.37亿</t>
  </si>
  <si>
    <t>13.57亿</t>
  </si>
  <si>
    <t>65.22亿</t>
  </si>
  <si>
    <t>10.75亿</t>
  </si>
  <si>
    <t>10.61亿</t>
  </si>
  <si>
    <t>660.92万</t>
  </si>
  <si>
    <t>8613.16万</t>
  </si>
  <si>
    <t>10226081亿</t>
  </si>
  <si>
    <t>96.04万</t>
  </si>
  <si>
    <t>219394140亿</t>
  </si>
  <si>
    <t>2956819500亿</t>
  </si>
  <si>
    <t>431.55万</t>
  </si>
  <si>
    <t>6169124300亿</t>
  </si>
  <si>
    <t>28.17亿</t>
  </si>
  <si>
    <t>259.99万</t>
  </si>
  <si>
    <t>61.87亿</t>
  </si>
  <si>
    <t>135.35亿</t>
  </si>
  <si>
    <t>-4.47亿</t>
  </si>
  <si>
    <t>15.21亿</t>
  </si>
  <si>
    <t>10派2.52元(含税)</t>
  </si>
  <si>
    <t>2054.00万</t>
  </si>
  <si>
    <t>52.87万</t>
  </si>
  <si>
    <t>18.61亿</t>
  </si>
  <si>
    <t>3.78亿</t>
  </si>
  <si>
    <t>14.55亿</t>
  </si>
  <si>
    <t>1357.69万</t>
  </si>
  <si>
    <t>2614.63万</t>
  </si>
  <si>
    <t>4510226亿</t>
  </si>
  <si>
    <t>14.48万</t>
  </si>
  <si>
    <t>30395612亿</t>
  </si>
  <si>
    <t>832659470亿</t>
  </si>
  <si>
    <t>35.00万</t>
  </si>
  <si>
    <t>1812780500亿</t>
  </si>
  <si>
    <t>785.95万</t>
  </si>
  <si>
    <t>1000.95万</t>
  </si>
  <si>
    <t>915.07万</t>
  </si>
  <si>
    <t>-7638.02万</t>
  </si>
  <si>
    <t>-2091.44万</t>
  </si>
  <si>
    <t>3201.23万</t>
  </si>
  <si>
    <t>10转2股派3.5元(含税)</t>
  </si>
  <si>
    <t>358.19万</t>
  </si>
  <si>
    <t>3139.64万</t>
  </si>
  <si>
    <t>179.92万</t>
  </si>
  <si>
    <t>79.23亿</t>
  </si>
  <si>
    <t>66.69亿</t>
  </si>
  <si>
    <t>31.78亿</t>
  </si>
  <si>
    <t>6.19亿</t>
  </si>
  <si>
    <t>4.69亿</t>
  </si>
  <si>
    <t>159.07万</t>
  </si>
  <si>
    <t>5187.58万</t>
  </si>
  <si>
    <t>2075998亿</t>
  </si>
  <si>
    <t>95.55万</t>
  </si>
  <si>
    <t>180729780亿</t>
  </si>
  <si>
    <t>1293685760亿</t>
  </si>
  <si>
    <t>2097625600亿</t>
  </si>
  <si>
    <t>1834.35万</t>
  </si>
  <si>
    <t>965.57万</t>
  </si>
  <si>
    <t>21.15亿</t>
  </si>
  <si>
    <t>39.02亿</t>
  </si>
  <si>
    <t>-2.33亿</t>
  </si>
  <si>
    <t>-6242.54万</t>
  </si>
  <si>
    <t>8.65亿</t>
  </si>
  <si>
    <t>10派3元(含税)</t>
  </si>
  <si>
    <t>1350.25万</t>
  </si>
  <si>
    <t>6730.45万</t>
  </si>
  <si>
    <t>1397.75万</t>
  </si>
  <si>
    <t>6221.34万</t>
  </si>
  <si>
    <t>1638.58万</t>
  </si>
  <si>
    <t>6035.22万</t>
  </si>
  <si>
    <t>4438.78万</t>
  </si>
  <si>
    <t>801.55万</t>
  </si>
  <si>
    <t>6019883亿</t>
  </si>
  <si>
    <t>6250.72万</t>
  </si>
  <si>
    <t>248173110亿</t>
  </si>
  <si>
    <t>391144220亿</t>
  </si>
  <si>
    <t>2623.88万</t>
  </si>
  <si>
    <t>1540.50万</t>
  </si>
  <si>
    <t>1300.00万</t>
  </si>
  <si>
    <t>2333.38万</t>
  </si>
  <si>
    <t>-1001.21万</t>
  </si>
  <si>
    <t>-2778.88万</t>
  </si>
  <si>
    <t>8834.99万</t>
  </si>
  <si>
    <t>7459.17万</t>
  </si>
  <si>
    <t>57.33万</t>
  </si>
  <si>
    <t>7111.74万</t>
  </si>
  <si>
    <t>016385800</t>
  </si>
  <si>
    <t>049157400</t>
  </si>
  <si>
    <t>098314800</t>
  </si>
  <si>
    <t>0163858000</t>
  </si>
  <si>
    <t>0327716000</t>
  </si>
  <si>
    <t>1589.12万</t>
  </si>
  <si>
    <t>110.73亿</t>
  </si>
  <si>
    <t>112.92亿</t>
  </si>
  <si>
    <t>44.54亿</t>
  </si>
  <si>
    <t>189.51亿</t>
  </si>
  <si>
    <t>44.35亿</t>
  </si>
  <si>
    <t>40.61亿</t>
  </si>
  <si>
    <t>780.06万</t>
  </si>
  <si>
    <t>-78883611亿</t>
  </si>
  <si>
    <t>163.19万</t>
  </si>
  <si>
    <t>79386794亿</t>
  </si>
  <si>
    <t>33.84亿</t>
  </si>
  <si>
    <t>689731670亿</t>
  </si>
  <si>
    <t>90.25万</t>
  </si>
  <si>
    <t>14522884000亿</t>
  </si>
  <si>
    <t>26.39亿</t>
  </si>
  <si>
    <t>42.25亿</t>
  </si>
  <si>
    <t>13.11亿</t>
  </si>
  <si>
    <t>591.78万</t>
  </si>
  <si>
    <t>102.65亿</t>
  </si>
  <si>
    <t>13.22亿</t>
  </si>
  <si>
    <t>-2.40亿</t>
  </si>
  <si>
    <t>5762.06万</t>
  </si>
  <si>
    <t>6.51亿</t>
  </si>
  <si>
    <t>46.40亿</t>
  </si>
  <si>
    <t>9177.31万</t>
  </si>
  <si>
    <t>*ST东园</t>
  </si>
  <si>
    <t>5400.91万</t>
  </si>
  <si>
    <t>351.29亿</t>
  </si>
  <si>
    <t>-50.83亿</t>
  </si>
  <si>
    <t>7.50亿</t>
  </si>
  <si>
    <t>650.13万</t>
  </si>
  <si>
    <t>9756.39万</t>
  </si>
  <si>
    <t>-3160742亿</t>
  </si>
  <si>
    <t>50.50万</t>
  </si>
  <si>
    <t>-281967110亿</t>
  </si>
  <si>
    <t>6010567400亿</t>
  </si>
  <si>
    <t>1212.68万</t>
  </si>
  <si>
    <t>17470711000亿</t>
  </si>
  <si>
    <t>2468.50万</t>
  </si>
  <si>
    <t>103.81亿</t>
  </si>
  <si>
    <t>39.30万</t>
  </si>
  <si>
    <t>300.70亿</t>
  </si>
  <si>
    <t>50.23亿</t>
  </si>
  <si>
    <t>-6407.23万</t>
  </si>
  <si>
    <t>-1901.66万</t>
  </si>
  <si>
    <t>34.09亿</t>
  </si>
  <si>
    <t>80.98亿</t>
  </si>
  <si>
    <t>-58.16亿</t>
  </si>
  <si>
    <t>1648.68万</t>
  </si>
  <si>
    <t>-5.27亿</t>
  </si>
  <si>
    <t>26.10亿</t>
  </si>
  <si>
    <t>553.46万</t>
  </si>
  <si>
    <t>19.68亿</t>
  </si>
  <si>
    <t>-2561.11万</t>
  </si>
  <si>
    <t>1882.26万</t>
  </si>
  <si>
    <t>7809.39万</t>
  </si>
  <si>
    <t>780139亿</t>
  </si>
  <si>
    <t>-78350283亿</t>
  </si>
  <si>
    <t>73180319亿</t>
  </si>
  <si>
    <t>271.28万</t>
  </si>
  <si>
    <t>1865340500亿</t>
  </si>
  <si>
    <t>421.94万</t>
  </si>
  <si>
    <t>5474.69万</t>
  </si>
  <si>
    <t>2645.61万</t>
  </si>
  <si>
    <t>-1.61亿</t>
  </si>
  <si>
    <t>-892.50万</t>
  </si>
  <si>
    <t>3158.24万</t>
  </si>
  <si>
    <t>453.35万</t>
  </si>
  <si>
    <t>167.13亿</t>
  </si>
  <si>
    <t>79.94亿</t>
  </si>
  <si>
    <t>21.46亿</t>
  </si>
  <si>
    <t>86.14亿</t>
  </si>
  <si>
    <t>20.18亿</t>
  </si>
  <si>
    <t>17.30亿</t>
  </si>
  <si>
    <t>1454.94万</t>
  </si>
  <si>
    <t>18034181亿</t>
  </si>
  <si>
    <t>350.87万</t>
  </si>
  <si>
    <t>110857991亿</t>
  </si>
  <si>
    <t>3951730200亿</t>
  </si>
  <si>
    <t>5855.18万</t>
  </si>
  <si>
    <t>10326146100亿</t>
  </si>
  <si>
    <t>9.52亿</t>
  </si>
  <si>
    <t>32.75亿</t>
  </si>
  <si>
    <t>10.25万</t>
  </si>
  <si>
    <t>92.71亿</t>
  </si>
  <si>
    <t>63.85亿</t>
  </si>
  <si>
    <t>-1.42亿</t>
  </si>
  <si>
    <t>8923.54万</t>
  </si>
  <si>
    <t>20.55亿</t>
  </si>
  <si>
    <t>2888.44万</t>
  </si>
  <si>
    <t>953.54万</t>
  </si>
  <si>
    <t>23.62亿</t>
  </si>
  <si>
    <t>38.08亿</t>
  </si>
  <si>
    <t>68.81亿</t>
  </si>
  <si>
    <t>-1.59亿</t>
  </si>
  <si>
    <t>13.23亿</t>
  </si>
  <si>
    <t>1153.02万</t>
  </si>
  <si>
    <t>4627.89万</t>
  </si>
  <si>
    <t>1113284亿</t>
  </si>
  <si>
    <t>9.08万</t>
  </si>
  <si>
    <t>-74236620亿</t>
  </si>
  <si>
    <t>8.45亿</t>
  </si>
  <si>
    <t>491489150亿</t>
  </si>
  <si>
    <t>184.79万</t>
  </si>
  <si>
    <t>3520898400亿</t>
  </si>
  <si>
    <t>46.41万</t>
  </si>
  <si>
    <t>14.42亿</t>
  </si>
  <si>
    <t>-1.84亿</t>
  </si>
  <si>
    <t>-1.06亿</t>
  </si>
  <si>
    <t>17.64亿</t>
  </si>
  <si>
    <t>-5908.86万</t>
  </si>
  <si>
    <t>8074.99万</t>
  </si>
  <si>
    <t>268.09万</t>
  </si>
  <si>
    <t>71.20亿</t>
  </si>
  <si>
    <t>48.51亿</t>
  </si>
  <si>
    <t>40.22亿</t>
  </si>
  <si>
    <t>1604.51万</t>
  </si>
  <si>
    <t>8917.06万</t>
  </si>
  <si>
    <t>-6767502亿</t>
  </si>
  <si>
    <t>33.47万</t>
  </si>
  <si>
    <t>-161012480亿</t>
  </si>
  <si>
    <t>1029021760亿</t>
  </si>
  <si>
    <t>5019.81万</t>
  </si>
  <si>
    <t>3479356300亿</t>
  </si>
  <si>
    <t>14.73亿</t>
  </si>
  <si>
    <t>58.71万</t>
  </si>
  <si>
    <t>38.33亿</t>
  </si>
  <si>
    <t>26.91亿</t>
  </si>
  <si>
    <t>-1.20亿</t>
  </si>
  <si>
    <t>7827.60万</t>
  </si>
  <si>
    <t>-4.99亿</t>
  </si>
  <si>
    <t>1376.48万</t>
  </si>
  <si>
    <t>135.40亿</t>
  </si>
  <si>
    <t>22.09亿</t>
  </si>
  <si>
    <t>21.30亿</t>
  </si>
  <si>
    <t>-10.96亿</t>
  </si>
  <si>
    <t>563.72万</t>
  </si>
  <si>
    <t>5011.31万</t>
  </si>
  <si>
    <t>4054124亿</t>
  </si>
  <si>
    <t>3.52万</t>
  </si>
  <si>
    <t>-86423922亿</t>
  </si>
  <si>
    <t>2344994400亿</t>
  </si>
  <si>
    <t>397.32万</t>
  </si>
  <si>
    <t>9325600900亿</t>
  </si>
  <si>
    <t>1927.71万</t>
  </si>
  <si>
    <t>22.40亿</t>
  </si>
  <si>
    <t>59.67亿</t>
  </si>
  <si>
    <t>121.79亿</t>
  </si>
  <si>
    <t>-3.21亿</t>
  </si>
  <si>
    <t>66.97万</t>
  </si>
  <si>
    <t>8830.22万</t>
  </si>
  <si>
    <t>-5052.50万</t>
  </si>
  <si>
    <t>-8-1</t>
  </si>
  <si>
    <t>90.38万</t>
  </si>
  <si>
    <t>9.18亿</t>
  </si>
  <si>
    <t>-1.55亿</t>
  </si>
  <si>
    <t>271.48万</t>
  </si>
  <si>
    <t>963.72万</t>
  </si>
  <si>
    <t>-437442亿</t>
  </si>
  <si>
    <t>-2671435亿</t>
  </si>
  <si>
    <t>9049.44万</t>
  </si>
  <si>
    <t>542499110亿</t>
  </si>
  <si>
    <t>4470.67万</t>
  </si>
  <si>
    <t>935434440亿</t>
  </si>
  <si>
    <t>36.00万</t>
  </si>
  <si>
    <t>-1376.91万</t>
  </si>
  <si>
    <t>-4.00万</t>
  </si>
  <si>
    <t>-303.12万</t>
  </si>
  <si>
    <t>132.76万</t>
  </si>
  <si>
    <t>498.19万</t>
  </si>
  <si>
    <t>4830.05万</t>
  </si>
  <si>
    <t>978.41万</t>
  </si>
  <si>
    <t>20.29亿</t>
  </si>
  <si>
    <t>24.58亿</t>
  </si>
  <si>
    <t>8648.24万</t>
  </si>
  <si>
    <t>6370.45万</t>
  </si>
  <si>
    <t>4469.90万</t>
  </si>
  <si>
    <t>1052.20万</t>
  </si>
  <si>
    <t>26416797亿</t>
  </si>
  <si>
    <t>36393954亿</t>
  </si>
  <si>
    <t>1032405290亿</t>
  </si>
  <si>
    <t>280.00万</t>
  </si>
  <si>
    <t>2321880600亿</t>
  </si>
  <si>
    <t>4781.25万</t>
  </si>
  <si>
    <t>7.22万</t>
  </si>
  <si>
    <t>6.88亿</t>
  </si>
  <si>
    <t>-4903.18万</t>
  </si>
  <si>
    <t>-3222.12万</t>
  </si>
  <si>
    <t>6492.14万</t>
  </si>
  <si>
    <t>3302.75万</t>
  </si>
  <si>
    <t>4780.70万</t>
  </si>
  <si>
    <t>139.21万</t>
  </si>
  <si>
    <t>50.81亿</t>
  </si>
  <si>
    <t>25.37亿</t>
  </si>
  <si>
    <t>39.43亿</t>
  </si>
  <si>
    <t>8.82亿</t>
  </si>
  <si>
    <t>1510.35万</t>
  </si>
  <si>
    <t>6578.68万</t>
  </si>
  <si>
    <t>7435498亿</t>
  </si>
  <si>
    <t>70.45万</t>
  </si>
  <si>
    <t>97991758亿</t>
  </si>
  <si>
    <t>2127857000亿</t>
  </si>
  <si>
    <t>4196913100亿</t>
  </si>
  <si>
    <t>1725.76万</t>
  </si>
  <si>
    <t>1463.20万</t>
  </si>
  <si>
    <t>36.44亿</t>
  </si>
  <si>
    <t>-6675.86万</t>
  </si>
  <si>
    <t>8779.93万</t>
  </si>
  <si>
    <t>807.98万</t>
  </si>
  <si>
    <t>5900.31万</t>
  </si>
  <si>
    <t>-3-1</t>
  </si>
  <si>
    <t>130.67万</t>
  </si>
  <si>
    <t>17.95亿</t>
  </si>
  <si>
    <t>2554.37万</t>
  </si>
  <si>
    <t>8538.29万</t>
  </si>
  <si>
    <t>287.26万</t>
  </si>
  <si>
    <t>1143.08万</t>
  </si>
  <si>
    <t>-806157亿</t>
  </si>
  <si>
    <t>36.50万</t>
  </si>
  <si>
    <t>-4116730亿</t>
  </si>
  <si>
    <t>415535350亿</t>
  </si>
  <si>
    <t>1936113200亿</t>
  </si>
  <si>
    <t>2324.86万</t>
  </si>
  <si>
    <t>7.94万</t>
  </si>
  <si>
    <t>5000.00万</t>
  </si>
  <si>
    <t>844.04万</t>
  </si>
  <si>
    <t>-2666.47万</t>
  </si>
  <si>
    <t>-2439.81万</t>
  </si>
  <si>
    <t>2695.82万</t>
  </si>
  <si>
    <t>723.70万</t>
  </si>
  <si>
    <t>5716.44万</t>
  </si>
  <si>
    <t>197.47万</t>
  </si>
  <si>
    <t>19.46亿</t>
  </si>
  <si>
    <t>34.56亿</t>
  </si>
  <si>
    <t>14.56亿</t>
  </si>
  <si>
    <t>987.94万</t>
  </si>
  <si>
    <t>3206.82万</t>
  </si>
  <si>
    <t>306814亿</t>
  </si>
  <si>
    <t>62.31万</t>
  </si>
  <si>
    <t>47551657亿</t>
  </si>
  <si>
    <t>13.39亿</t>
  </si>
  <si>
    <t>526892130亿</t>
  </si>
  <si>
    <t>2102789800亿</t>
  </si>
  <si>
    <t>12.54亿</t>
  </si>
  <si>
    <t>-3.44亿</t>
  </si>
  <si>
    <t>2915.14万</t>
  </si>
  <si>
    <t>10派1.73元(含税)</t>
  </si>
  <si>
    <t>928.25万</t>
  </si>
  <si>
    <t>8442.30万</t>
  </si>
  <si>
    <t>371.54万</t>
  </si>
  <si>
    <t>9912.42万</t>
  </si>
  <si>
    <t>8195.85万</t>
  </si>
  <si>
    <t>517.69万</t>
  </si>
  <si>
    <t>1915.31万</t>
  </si>
  <si>
    <t>25973361亿</t>
  </si>
  <si>
    <t>8.69万</t>
  </si>
  <si>
    <t>-9783547亿</t>
  </si>
  <si>
    <t>6494.47万</t>
  </si>
  <si>
    <t>199918470亿</t>
  </si>
  <si>
    <t>1078.34万</t>
  </si>
  <si>
    <t>505980520亿</t>
  </si>
  <si>
    <t>473.78万</t>
  </si>
  <si>
    <t>67.81万</t>
  </si>
  <si>
    <t>6.00亿</t>
  </si>
  <si>
    <t>-9139.66万</t>
  </si>
  <si>
    <t>-5312.92万</t>
  </si>
  <si>
    <t>6271.83万</t>
  </si>
  <si>
    <t>-1492.73万</t>
  </si>
  <si>
    <t>4031.41万</t>
  </si>
  <si>
    <t>1487.53万</t>
  </si>
  <si>
    <t>463.26亿</t>
  </si>
  <si>
    <t>302.36亿</t>
  </si>
  <si>
    <t>18.21亿</t>
  </si>
  <si>
    <t>89.53亿</t>
  </si>
  <si>
    <t>7.65亿</t>
  </si>
  <si>
    <t>13.48亿</t>
  </si>
  <si>
    <t>4028.94万</t>
  </si>
  <si>
    <t>-5680646亿</t>
  </si>
  <si>
    <t>274.67万</t>
  </si>
  <si>
    <t>88032480亿</t>
  </si>
  <si>
    <t>46.99亿</t>
  </si>
  <si>
    <t>11588945800亿</t>
  </si>
  <si>
    <t>25843651000亿</t>
  </si>
  <si>
    <t>60.67亿</t>
  </si>
  <si>
    <t>133.50亿</t>
  </si>
  <si>
    <t>38.47万</t>
  </si>
  <si>
    <t>278.61亿</t>
  </si>
  <si>
    <t>171.96亿</t>
  </si>
  <si>
    <t>7.10亿</t>
  </si>
  <si>
    <t>17.16亿</t>
  </si>
  <si>
    <t>4815.92万</t>
  </si>
  <si>
    <t>10派0.43元(含税)</t>
  </si>
  <si>
    <t>8513.64万</t>
  </si>
  <si>
    <t>0765000000</t>
  </si>
  <si>
    <t>02295000000</t>
  </si>
  <si>
    <t>04590000000</t>
  </si>
  <si>
    <t>07650000000</t>
  </si>
  <si>
    <t>015300000000</t>
  </si>
  <si>
    <t>5130.59万</t>
  </si>
  <si>
    <t>3149.18万</t>
  </si>
  <si>
    <t>-6999.78万</t>
  </si>
  <si>
    <t>4165.86万</t>
  </si>
  <si>
    <t>2216.39万</t>
  </si>
  <si>
    <t>328.30万</t>
  </si>
  <si>
    <t>1171.11万</t>
  </si>
  <si>
    <t>138759亿</t>
  </si>
  <si>
    <t>43.39万</t>
  </si>
  <si>
    <t>-15909764亿</t>
  </si>
  <si>
    <t>334.42万</t>
  </si>
  <si>
    <t>119544259亿</t>
  </si>
  <si>
    <t>965.30万</t>
  </si>
  <si>
    <t>498544970亿</t>
  </si>
  <si>
    <t>1001.69万</t>
  </si>
  <si>
    <t>105.27万</t>
  </si>
  <si>
    <t>4419.47万</t>
  </si>
  <si>
    <t>1099.46万</t>
  </si>
  <si>
    <t>-23.01万</t>
  </si>
  <si>
    <t>-875.85万</t>
  </si>
  <si>
    <t>5759.89万</t>
  </si>
  <si>
    <t>-62.47万</t>
  </si>
  <si>
    <t>1127.21万</t>
  </si>
  <si>
    <t>10.15亿</t>
  </si>
  <si>
    <t>19.11亿</t>
  </si>
  <si>
    <t>10.06亿</t>
  </si>
  <si>
    <t>8581.57万</t>
  </si>
  <si>
    <t>535.59万</t>
  </si>
  <si>
    <t>1887.19万</t>
  </si>
  <si>
    <t>959201亿</t>
  </si>
  <si>
    <t>26837891亿</t>
  </si>
  <si>
    <t>680776140亿</t>
  </si>
  <si>
    <t>154.74万</t>
  </si>
  <si>
    <t>1898063200亿</t>
  </si>
  <si>
    <t>41.13万</t>
  </si>
  <si>
    <t>1617.55万</t>
  </si>
  <si>
    <t>6414.88万</t>
  </si>
  <si>
    <t>-5207.00万</t>
  </si>
  <si>
    <t>2927.20万</t>
  </si>
  <si>
    <t>6851.44万</t>
  </si>
  <si>
    <t>357.40万</t>
  </si>
  <si>
    <t>23.50亿</t>
  </si>
  <si>
    <t>6.46亿</t>
  </si>
  <si>
    <t>7984.66万</t>
  </si>
  <si>
    <t>6649.07万</t>
  </si>
  <si>
    <t>279.55万</t>
  </si>
  <si>
    <t>1989.85万</t>
  </si>
  <si>
    <t>2338706亿</t>
  </si>
  <si>
    <t>14.73万</t>
  </si>
  <si>
    <t>4149676亿</t>
  </si>
  <si>
    <t>398467270亿</t>
  </si>
  <si>
    <t>1628.47万</t>
  </si>
  <si>
    <t>1156618620亿</t>
  </si>
  <si>
    <t>875.44万</t>
  </si>
  <si>
    <t>4500.71万</t>
  </si>
  <si>
    <t>-5660.77万</t>
  </si>
  <si>
    <t>3306.06万</t>
  </si>
  <si>
    <t>2126.49万</t>
  </si>
  <si>
    <t>2213.21万</t>
  </si>
  <si>
    <t>079846600</t>
  </si>
  <si>
    <t>0239539800</t>
  </si>
  <si>
    <t>0479079600</t>
  </si>
  <si>
    <t>0798466000</t>
  </si>
  <si>
    <t>01596932000</t>
  </si>
  <si>
    <t>402.57万</t>
  </si>
  <si>
    <t>53.86亿</t>
  </si>
  <si>
    <t>36.90亿</t>
  </si>
  <si>
    <t>22.12亿</t>
  </si>
  <si>
    <t>-1.97亿</t>
  </si>
  <si>
    <t>5004.66万</t>
  </si>
  <si>
    <t>5556.69万</t>
  </si>
  <si>
    <t>78718595亿</t>
  </si>
  <si>
    <t>44.18万</t>
  </si>
  <si>
    <t>-35196159亿</t>
  </si>
  <si>
    <t>1587589800亿</t>
  </si>
  <si>
    <t>8868.75万</t>
  </si>
  <si>
    <t>4339929200亿</t>
  </si>
  <si>
    <t>9429.97万</t>
  </si>
  <si>
    <t>31.17亿</t>
  </si>
  <si>
    <t>463.89万</t>
  </si>
  <si>
    <t>1073.22万</t>
  </si>
  <si>
    <t>10派0.100386元(含税)</t>
  </si>
  <si>
    <t>2340.26万</t>
  </si>
  <si>
    <t>245.45亿</t>
  </si>
  <si>
    <t>56.07亿</t>
  </si>
  <si>
    <t>-14.83亿</t>
  </si>
  <si>
    <t>5485.03万</t>
  </si>
  <si>
    <t>-75093亿</t>
  </si>
  <si>
    <t>-201403480亿</t>
  </si>
  <si>
    <t>20.13亿</t>
  </si>
  <si>
    <t>2104968300亿</t>
  </si>
  <si>
    <t>616.65万</t>
  </si>
  <si>
    <t>10467825700亿</t>
  </si>
  <si>
    <t>155.85万</t>
  </si>
  <si>
    <t>70.76亿</t>
  </si>
  <si>
    <t>49.88亿</t>
  </si>
  <si>
    <t>161.19亿</t>
  </si>
  <si>
    <t>44.75亿</t>
  </si>
  <si>
    <t>9724.73万</t>
  </si>
  <si>
    <t>10.62万</t>
  </si>
  <si>
    <t>-6.22亿</t>
  </si>
  <si>
    <t>1970.55万</t>
  </si>
  <si>
    <t>*ST巴安</t>
  </si>
  <si>
    <t>31.72亿</t>
  </si>
  <si>
    <t>-1632.12万</t>
  </si>
  <si>
    <t>5753.42万</t>
  </si>
  <si>
    <t>9027.20万</t>
  </si>
  <si>
    <t>4045.81万</t>
  </si>
  <si>
    <t>154.62万</t>
  </si>
  <si>
    <t>2131.50万</t>
  </si>
  <si>
    <t>20875436亿</t>
  </si>
  <si>
    <t>-6.45万</t>
  </si>
  <si>
    <t>-4757080亿</t>
  </si>
  <si>
    <t>6143.15万</t>
  </si>
  <si>
    <t>123817932亿</t>
  </si>
  <si>
    <t>27.28万</t>
  </si>
  <si>
    <t>451225740亿</t>
  </si>
  <si>
    <t>-465.36万</t>
  </si>
  <si>
    <t>-1.61万</t>
  </si>
  <si>
    <t>-23.31万</t>
  </si>
  <si>
    <t>6798.37万</t>
  </si>
  <si>
    <t>-1897.65万</t>
  </si>
  <si>
    <t>13.27亿</t>
  </si>
  <si>
    <t>5130.37万</t>
  </si>
  <si>
    <t>92.28亿</t>
  </si>
  <si>
    <t>9.79亿</t>
  </si>
  <si>
    <t>-9.90亿</t>
  </si>
  <si>
    <t>549.34万</t>
  </si>
  <si>
    <t>2407.90万</t>
  </si>
  <si>
    <t>-1218248亿</t>
  </si>
  <si>
    <t>2.15万</t>
  </si>
  <si>
    <t>-20615174亿</t>
  </si>
  <si>
    <t>950152780亿</t>
  </si>
  <si>
    <t>6635.75万</t>
  </si>
  <si>
    <t>3019506900亿</t>
  </si>
  <si>
    <t>989.84万</t>
  </si>
  <si>
    <t>928.05万</t>
  </si>
  <si>
    <t>56.58亿</t>
  </si>
  <si>
    <t>19.51亿</t>
  </si>
  <si>
    <t>991.61万</t>
  </si>
  <si>
    <t>-716.91万</t>
  </si>
  <si>
    <t>24.77亿</t>
  </si>
  <si>
    <t>-12.95亿</t>
  </si>
  <si>
    <t>-7948.96万</t>
  </si>
  <si>
    <t>-5-1</t>
  </si>
  <si>
    <t>1694.14万</t>
  </si>
  <si>
    <t>100.22亿</t>
  </si>
  <si>
    <t>58.85亿</t>
  </si>
  <si>
    <t>549.25万</t>
  </si>
  <si>
    <t>2558.94万</t>
  </si>
  <si>
    <t>-2830079亿</t>
  </si>
  <si>
    <t>15.41万</t>
  </si>
  <si>
    <t>-44983879亿</t>
  </si>
  <si>
    <t>9.66亿</t>
  </si>
  <si>
    <t>3195386700亿</t>
  </si>
  <si>
    <t>107.30万</t>
  </si>
  <si>
    <t>7121691400亿</t>
  </si>
  <si>
    <t>1723.53万</t>
  </si>
  <si>
    <t>3856.01万</t>
  </si>
  <si>
    <t>80.97万</t>
  </si>
  <si>
    <t>56.77亿</t>
  </si>
  <si>
    <t>28.33亿</t>
  </si>
  <si>
    <t>-1.30亿</t>
  </si>
  <si>
    <t>-1.70亿</t>
  </si>
  <si>
    <t>1317.04万</t>
  </si>
  <si>
    <t>4554.00万</t>
  </si>
  <si>
    <t>10派0.23元(含税)</t>
  </si>
  <si>
    <t>9303.87万</t>
  </si>
  <si>
    <t>5.41亿</t>
  </si>
  <si>
    <t>0747000000</t>
  </si>
  <si>
    <t>01494000000</t>
  </si>
  <si>
    <t>02490000000</t>
  </si>
  <si>
    <t>04980000000</t>
  </si>
  <si>
    <t>182.52万</t>
  </si>
  <si>
    <t>112.81亿</t>
  </si>
  <si>
    <t>45.58亿</t>
  </si>
  <si>
    <t>41.28亿</t>
  </si>
  <si>
    <t>1670.49万</t>
  </si>
  <si>
    <t>4300.77万</t>
  </si>
  <si>
    <t>3374735亿</t>
  </si>
  <si>
    <t>7.21万</t>
  </si>
  <si>
    <t>75234712亿</t>
  </si>
  <si>
    <t>2605332600亿</t>
  </si>
  <si>
    <t>5480042600亿</t>
  </si>
  <si>
    <t>2066.61万</t>
  </si>
  <si>
    <t>17.85亿</t>
  </si>
  <si>
    <t>21.76亿</t>
  </si>
  <si>
    <t>58.99亿</t>
  </si>
  <si>
    <t>54.17亿</t>
  </si>
  <si>
    <t>-1.39亿</t>
  </si>
  <si>
    <t>5478.76万</t>
  </si>
  <si>
    <t>1294.51万</t>
  </si>
  <si>
    <t>9437.67万</t>
  </si>
  <si>
    <t>1072.16万</t>
  </si>
  <si>
    <t>87.13亿</t>
  </si>
  <si>
    <t>22.96亿</t>
  </si>
  <si>
    <t>20.03亿</t>
  </si>
  <si>
    <t>-2.16亿</t>
  </si>
  <si>
    <t>971.08万</t>
  </si>
  <si>
    <t>3132.77万</t>
  </si>
  <si>
    <t>7009497亿</t>
  </si>
  <si>
    <t>2.54万</t>
  </si>
  <si>
    <t>43812558亿</t>
  </si>
  <si>
    <t>1290343680亿</t>
  </si>
  <si>
    <t>3438.85万</t>
  </si>
  <si>
    <t>4258452400亿</t>
  </si>
  <si>
    <t>17.00亿</t>
  </si>
  <si>
    <t>2.73万</t>
  </si>
  <si>
    <t>64.38亿</t>
  </si>
  <si>
    <t>4774.29万</t>
  </si>
  <si>
    <t>-4.48亿</t>
  </si>
  <si>
    <t>91.09万</t>
  </si>
  <si>
    <t>8043.99万</t>
  </si>
  <si>
    <t>476.74万</t>
  </si>
  <si>
    <t>24.78亿</t>
  </si>
  <si>
    <t>16.71亿</t>
  </si>
  <si>
    <t>2963.43万</t>
  </si>
  <si>
    <t>2578.62万</t>
  </si>
  <si>
    <t>194117亿</t>
  </si>
  <si>
    <t>247.12万</t>
  </si>
  <si>
    <t>512389亿</t>
  </si>
  <si>
    <t>1702431300亿</t>
  </si>
  <si>
    <t>2402076000亿</t>
  </si>
  <si>
    <t>531.04万</t>
  </si>
  <si>
    <t>91.02万</t>
  </si>
  <si>
    <t>14.95亿</t>
  </si>
  <si>
    <t>3462.04万</t>
  </si>
  <si>
    <t>-3049.21万</t>
  </si>
  <si>
    <t>1654.63万</t>
  </si>
  <si>
    <t>711.23万</t>
  </si>
  <si>
    <t>2949.60万</t>
  </si>
  <si>
    <t>38.03亿</t>
  </si>
  <si>
    <t>-1873.42万</t>
  </si>
  <si>
    <t>78.48万</t>
  </si>
  <si>
    <t>8750.13万</t>
  </si>
  <si>
    <t>-5.45亿</t>
  </si>
  <si>
    <t>-2.17万</t>
  </si>
  <si>
    <t>8141.62万</t>
  </si>
  <si>
    <t>122.56万</t>
  </si>
  <si>
    <t>1307.06万</t>
  </si>
  <si>
    <t>8.09万</t>
  </si>
  <si>
    <t>-91558855亿</t>
  </si>
  <si>
    <t>1490.53万</t>
  </si>
  <si>
    <t>582829380亿</t>
  </si>
  <si>
    <t>3.90万</t>
  </si>
  <si>
    <t>1730615200亿</t>
  </si>
  <si>
    <t>-1300.91万</t>
  </si>
  <si>
    <t>-1.79万</t>
  </si>
  <si>
    <t>1730.68万</t>
  </si>
  <si>
    <t>-8806.91万</t>
  </si>
  <si>
    <t>-9-1</t>
  </si>
  <si>
    <t>6.83亿</t>
  </si>
  <si>
    <t>15.89亿</t>
  </si>
  <si>
    <t>9796.88万</t>
  </si>
  <si>
    <t>-9173.81万</t>
  </si>
  <si>
    <t>7853.79万</t>
  </si>
  <si>
    <t>17.53万</t>
  </si>
  <si>
    <t>2435.09万</t>
  </si>
  <si>
    <t>-68208亿</t>
  </si>
  <si>
    <t>-12384648亿</t>
  </si>
  <si>
    <t>491234000亿</t>
  </si>
  <si>
    <t>26.25万</t>
  </si>
  <si>
    <t>968886710亿</t>
  </si>
  <si>
    <t>446.76万</t>
  </si>
  <si>
    <t>8029.66万</t>
  </si>
  <si>
    <t>11.49万</t>
  </si>
  <si>
    <t>4492.44万</t>
  </si>
  <si>
    <t>-675.88万</t>
  </si>
  <si>
    <t>-3982.99万</t>
  </si>
  <si>
    <t>2959.46万</t>
  </si>
  <si>
    <t>9646.15万</t>
  </si>
  <si>
    <t>1127.96万</t>
  </si>
  <si>
    <t>1100.36万</t>
  </si>
  <si>
    <t>9330.56万</t>
  </si>
  <si>
    <t>309.87万</t>
  </si>
  <si>
    <t>35.30亿</t>
  </si>
  <si>
    <t>44.36亿</t>
  </si>
  <si>
    <t>20.77亿</t>
  </si>
  <si>
    <t>707.94万</t>
  </si>
  <si>
    <t>3515.61万</t>
  </si>
  <si>
    <t>635291亿</t>
  </si>
  <si>
    <t>223.73万</t>
  </si>
  <si>
    <t>70656753亿</t>
  </si>
  <si>
    <t>1258433380亿</t>
  </si>
  <si>
    <t>5596.35万</t>
  </si>
  <si>
    <t>3246185600亿</t>
  </si>
  <si>
    <t>8.66亿</t>
  </si>
  <si>
    <t>23.89亿</t>
  </si>
  <si>
    <t>-3872.42万</t>
  </si>
  <si>
    <t>-4227.61万</t>
  </si>
  <si>
    <t>7080.52万</t>
  </si>
  <si>
    <t>6667.14万</t>
  </si>
  <si>
    <t>10派0.8元(含税)</t>
  </si>
  <si>
    <t>2031.04万</t>
  </si>
  <si>
    <t>167.86万</t>
  </si>
  <si>
    <t>41.69亿</t>
  </si>
  <si>
    <t>24.64亿</t>
  </si>
  <si>
    <t>66.62万</t>
  </si>
  <si>
    <t>1163.12万</t>
  </si>
  <si>
    <t>250873亿</t>
  </si>
  <si>
    <t>31764117亿</t>
  </si>
  <si>
    <t>854184890亿</t>
  </si>
  <si>
    <t>1508.09万</t>
  </si>
  <si>
    <t>1870760900亿</t>
  </si>
  <si>
    <t>581.97万</t>
  </si>
  <si>
    <t>3172.03万</t>
  </si>
  <si>
    <t>20.41亿</t>
  </si>
  <si>
    <t>2172.64万</t>
  </si>
  <si>
    <t>-2691.21万</t>
  </si>
  <si>
    <t>11.73亿</t>
  </si>
  <si>
    <t>4460.39万</t>
  </si>
  <si>
    <t>10派0.400253元(含税)</t>
  </si>
  <si>
    <t>1296.43万</t>
  </si>
  <si>
    <t>9379.59万</t>
  </si>
  <si>
    <t>199.24万</t>
  </si>
  <si>
    <t>6.53亿</t>
  </si>
  <si>
    <t>9898.00万</t>
  </si>
  <si>
    <t>487.34万</t>
  </si>
  <si>
    <t>1086.53万</t>
  </si>
  <si>
    <t>920861亿</t>
  </si>
  <si>
    <t>14.51万</t>
  </si>
  <si>
    <t>23172772亿</t>
  </si>
  <si>
    <t>520430210亿</t>
  </si>
  <si>
    <t>314.35万</t>
  </si>
  <si>
    <t>1651340800亿</t>
  </si>
  <si>
    <t>6827.76万</t>
  </si>
  <si>
    <t>1100.85万</t>
  </si>
  <si>
    <t>5452.07万</t>
  </si>
  <si>
    <t>-4109.57万</t>
  </si>
  <si>
    <t>-9964.46万</t>
  </si>
  <si>
    <t>-1.01亿</t>
  </si>
  <si>
    <t>4694.55万</t>
  </si>
  <si>
    <t>970.16万</t>
  </si>
  <si>
    <t>5863.65万</t>
  </si>
  <si>
    <t>591.27万</t>
  </si>
  <si>
    <t>19.17亿</t>
  </si>
  <si>
    <t>14.41亿</t>
  </si>
  <si>
    <t>678.66万</t>
  </si>
  <si>
    <t>2327.55万</t>
  </si>
  <si>
    <t>-417023亿</t>
  </si>
  <si>
    <t>17.99万</t>
  </si>
  <si>
    <t>19531208亿</t>
  </si>
  <si>
    <t>229709240亿</t>
  </si>
  <si>
    <t>1968.37万</t>
  </si>
  <si>
    <t>1048826870亿</t>
  </si>
  <si>
    <t>9249.52万</t>
  </si>
  <si>
    <t>4065.35万</t>
  </si>
  <si>
    <t>13.35万</t>
  </si>
  <si>
    <t>1077.63万</t>
  </si>
  <si>
    <t>3614.26万</t>
  </si>
  <si>
    <t>1705.45万</t>
  </si>
  <si>
    <t>153.15万</t>
  </si>
  <si>
    <t>42.32亿</t>
  </si>
  <si>
    <t>17.02亿</t>
  </si>
  <si>
    <t>1068.94万</t>
  </si>
  <si>
    <t>13.05亿</t>
  </si>
  <si>
    <t>2450.44万</t>
  </si>
  <si>
    <t>1115247亿</t>
  </si>
  <si>
    <t>122.61万</t>
  </si>
  <si>
    <t>147802520亿</t>
  </si>
  <si>
    <t>3587860600亿</t>
  </si>
  <si>
    <t>84.29万</t>
  </si>
  <si>
    <t>5033080200亿</t>
  </si>
  <si>
    <t>1028.98万</t>
  </si>
  <si>
    <t>700.85万</t>
  </si>
  <si>
    <t>26.69亿</t>
  </si>
  <si>
    <t>-3994.26万</t>
  </si>
  <si>
    <t>-3.41亿</t>
  </si>
  <si>
    <t>1051.53万</t>
  </si>
  <si>
    <t>61.61亿</t>
  </si>
  <si>
    <t>835.33万</t>
  </si>
  <si>
    <t>1009.79万</t>
  </si>
  <si>
    <t>8082.43万</t>
  </si>
  <si>
    <t>010689400</t>
  </si>
  <si>
    <t>032068200</t>
  </si>
  <si>
    <t>064136400</t>
  </si>
  <si>
    <t>0106894000</t>
  </si>
  <si>
    <t>0213788000</t>
  </si>
  <si>
    <t>216.45万</t>
  </si>
  <si>
    <t>7.44亿</t>
  </si>
  <si>
    <t>8054.19万</t>
  </si>
  <si>
    <t>13.85亿</t>
  </si>
  <si>
    <t>9562.02万</t>
  </si>
  <si>
    <t>6838.17万</t>
  </si>
  <si>
    <t>459.35万</t>
  </si>
  <si>
    <t>1446.90万</t>
  </si>
  <si>
    <t>1619907亿</t>
  </si>
  <si>
    <t>-7540872亿</t>
  </si>
  <si>
    <t>6386.30万</t>
  </si>
  <si>
    <t>287237510亿</t>
  </si>
  <si>
    <t>1346.79万</t>
  </si>
  <si>
    <t>1352576500亿</t>
  </si>
  <si>
    <t>100.08万</t>
  </si>
  <si>
    <t>3967.89万</t>
  </si>
  <si>
    <t>4.35亿</t>
  </si>
  <si>
    <t>-713.67万</t>
  </si>
  <si>
    <t>-7642.82万</t>
  </si>
  <si>
    <t>48.71万</t>
  </si>
  <si>
    <t>2812.00万</t>
  </si>
  <si>
    <t>2050.02万</t>
  </si>
  <si>
    <t>8350.41万</t>
  </si>
  <si>
    <t>1195.13万</t>
  </si>
  <si>
    <t>8000.79万</t>
  </si>
  <si>
    <t>100.19万</t>
  </si>
  <si>
    <t>12.12亿</t>
  </si>
  <si>
    <t>-3320.14万</t>
  </si>
  <si>
    <t>101.10万</t>
  </si>
  <si>
    <t>1543.78万</t>
  </si>
  <si>
    <t>1411541亿</t>
  </si>
  <si>
    <t>40378580亿</t>
  </si>
  <si>
    <t>229751790亿</t>
  </si>
  <si>
    <t>1541222100亿</t>
  </si>
  <si>
    <t>5063.83万</t>
  </si>
  <si>
    <t>-6160.02万</t>
  </si>
  <si>
    <t>-5938.32万</t>
  </si>
  <si>
    <t>-29.43万</t>
  </si>
  <si>
    <t>9428.70万</t>
  </si>
  <si>
    <t>319.70万</t>
  </si>
  <si>
    <t>10派8.0元(含税)</t>
  </si>
  <si>
    <t>378.58万</t>
  </si>
  <si>
    <t>3396.92万</t>
  </si>
  <si>
    <t>184.88万</t>
  </si>
  <si>
    <t>-9162.29万</t>
  </si>
  <si>
    <t>2568.05万</t>
  </si>
  <si>
    <t>372454亿</t>
  </si>
  <si>
    <t>44933193亿</t>
  </si>
  <si>
    <t>7021.85万</t>
  </si>
  <si>
    <t>1243280400亿</t>
  </si>
  <si>
    <t>1627169800亿</t>
  </si>
  <si>
    <t>4795.82万</t>
  </si>
  <si>
    <t>16.15亿</t>
  </si>
  <si>
    <t>29.44亿</t>
  </si>
  <si>
    <t>6265.64万</t>
  </si>
  <si>
    <t>-6394.36万</t>
  </si>
  <si>
    <t>-1550.69万</t>
  </si>
  <si>
    <t>9174.97万</t>
  </si>
  <si>
    <t>-936.72万</t>
  </si>
  <si>
    <t>10派0.54元(含税)</t>
  </si>
  <si>
    <t>836.46万</t>
  </si>
  <si>
    <t>6227.12万</t>
  </si>
  <si>
    <t>111.76万</t>
  </si>
  <si>
    <t>6324.62万</t>
  </si>
  <si>
    <t>3126.09万</t>
  </si>
  <si>
    <t>3075.61万</t>
  </si>
  <si>
    <t>2186.64万</t>
  </si>
  <si>
    <t>147.03万</t>
  </si>
  <si>
    <t>393.84万</t>
  </si>
  <si>
    <t>689928亿</t>
  </si>
  <si>
    <t>5225943亿</t>
  </si>
  <si>
    <t>103685344亿</t>
  </si>
  <si>
    <t>3160.60万</t>
  </si>
  <si>
    <t>656212290亿</t>
  </si>
  <si>
    <t>727.87万</t>
  </si>
  <si>
    <t>718.31万</t>
  </si>
  <si>
    <t>4404.05万</t>
  </si>
  <si>
    <t>-431.90万</t>
  </si>
  <si>
    <t>1122.42万</t>
  </si>
  <si>
    <t>-75.77万</t>
  </si>
  <si>
    <t>2736.90万</t>
  </si>
  <si>
    <t>1558.31万</t>
  </si>
  <si>
    <t>2525.75万</t>
  </si>
  <si>
    <t>10派3.6元(含税)</t>
  </si>
  <si>
    <t>630.26万</t>
  </si>
  <si>
    <t>4776.47万</t>
  </si>
  <si>
    <t>101.00万</t>
  </si>
  <si>
    <t>8.46亿</t>
  </si>
  <si>
    <t>3859.52万</t>
  </si>
  <si>
    <t>5050.75万</t>
  </si>
  <si>
    <t>4820.84万</t>
  </si>
  <si>
    <t>2709.01万</t>
  </si>
  <si>
    <t>224.18万</t>
  </si>
  <si>
    <t>1031.35万</t>
  </si>
  <si>
    <t>484894亿</t>
  </si>
  <si>
    <t>-9403694亿</t>
  </si>
  <si>
    <t>9588.76万</t>
  </si>
  <si>
    <t>275016470亿</t>
  </si>
  <si>
    <t>994.09万</t>
  </si>
  <si>
    <t>687635530亿</t>
  </si>
  <si>
    <t>8680.49万</t>
  </si>
  <si>
    <t>6004.76万</t>
  </si>
  <si>
    <t>4396.43万</t>
  </si>
  <si>
    <t>-2498.92万</t>
  </si>
  <si>
    <t>-613.80万</t>
  </si>
  <si>
    <t>4888.49万</t>
  </si>
  <si>
    <t>4383.18万</t>
  </si>
  <si>
    <t>9655.88万</t>
  </si>
  <si>
    <t>648.09万</t>
  </si>
  <si>
    <t>1426.37万</t>
  </si>
  <si>
    <t>612.23万</t>
  </si>
  <si>
    <t>4460.52万</t>
  </si>
  <si>
    <t>0151522500</t>
  </si>
  <si>
    <t>0303045000</t>
  </si>
  <si>
    <t>0505075000</t>
  </si>
  <si>
    <t>01010150000</t>
  </si>
  <si>
    <t>344.41万</t>
  </si>
  <si>
    <t>3351.04万</t>
  </si>
  <si>
    <t>-1.77亿</t>
  </si>
  <si>
    <t>3866.40万</t>
  </si>
  <si>
    <t>1990.42万</t>
  </si>
  <si>
    <t>205.57万</t>
  </si>
  <si>
    <t>730.13万</t>
  </si>
  <si>
    <t>623665亿</t>
  </si>
  <si>
    <t>-3472273亿</t>
  </si>
  <si>
    <t>352230250亿</t>
  </si>
  <si>
    <t>125.62万</t>
  </si>
  <si>
    <t>1471773500亿</t>
  </si>
  <si>
    <t>5282.68万</t>
  </si>
  <si>
    <t>4204.14万</t>
  </si>
  <si>
    <t>485.31万</t>
  </si>
  <si>
    <t>-6937.29万</t>
  </si>
  <si>
    <t>-173.04万</t>
  </si>
  <si>
    <t>-5556.28万</t>
  </si>
  <si>
    <t>3417.21万</t>
  </si>
  <si>
    <t>-3116.13万</t>
  </si>
  <si>
    <t>3725.62万</t>
  </si>
  <si>
    <t>8702.95万</t>
  </si>
  <si>
    <t>195.34万</t>
  </si>
  <si>
    <t>16.35亿</t>
  </si>
  <si>
    <t>2638.61万</t>
  </si>
  <si>
    <t>748.07万</t>
  </si>
  <si>
    <t>1886.61万</t>
  </si>
  <si>
    <t>3654885亿</t>
  </si>
  <si>
    <t>14.98万</t>
  </si>
  <si>
    <t>-4651270亿</t>
  </si>
  <si>
    <t>723163280亿</t>
  </si>
  <si>
    <t>212.70万</t>
  </si>
  <si>
    <t>2648654300亿</t>
  </si>
  <si>
    <t>1300.37万</t>
  </si>
  <si>
    <t>3530.68万</t>
  </si>
  <si>
    <t>10.37亿</t>
  </si>
  <si>
    <t>14.57亿</t>
  </si>
  <si>
    <t>8713.51万</t>
  </si>
  <si>
    <t>-9139.78万</t>
  </si>
  <si>
    <t>549.14万</t>
  </si>
  <si>
    <t>-1146.61万</t>
  </si>
  <si>
    <t>12.47亿</t>
  </si>
  <si>
    <t>6834.96万</t>
  </si>
  <si>
    <t>1266.61万</t>
  </si>
  <si>
    <t>10派1.18元(含税)</t>
  </si>
  <si>
    <t>1418.48万</t>
  </si>
  <si>
    <t>6754.14万</t>
  </si>
  <si>
    <t>148.60万</t>
  </si>
  <si>
    <t>17.34亿</t>
  </si>
  <si>
    <t>10.28亿</t>
  </si>
  <si>
    <t>9315.43万</t>
  </si>
  <si>
    <t>6241.23万</t>
  </si>
  <si>
    <t>513.88万</t>
  </si>
  <si>
    <t>1573.49万</t>
  </si>
  <si>
    <t>-95921亿</t>
  </si>
  <si>
    <t>1.69万</t>
  </si>
  <si>
    <t>-330275亿</t>
  </si>
  <si>
    <t>587641510亿</t>
  </si>
  <si>
    <t>435.54万</t>
  </si>
  <si>
    <t>776667580亿</t>
  </si>
  <si>
    <t>2102.11万</t>
  </si>
  <si>
    <t>1277.57万</t>
  </si>
  <si>
    <t>10.48亿</t>
  </si>
  <si>
    <t>143.78万</t>
  </si>
  <si>
    <t>-4281.99万</t>
  </si>
  <si>
    <t>2836.18万</t>
  </si>
  <si>
    <t>8033.44万</t>
  </si>
  <si>
    <t>-3492.61万</t>
  </si>
  <si>
    <t>2930.29万</t>
  </si>
  <si>
    <t>814.71万</t>
  </si>
  <si>
    <t>5935.09万</t>
  </si>
  <si>
    <t>144.91万</t>
  </si>
  <si>
    <t>5543.87万</t>
  </si>
  <si>
    <t>6755.01万</t>
  </si>
  <si>
    <t>4953.71万</t>
  </si>
  <si>
    <t>499.82万</t>
  </si>
  <si>
    <t>660.98万</t>
  </si>
  <si>
    <t>-12468568亿</t>
  </si>
  <si>
    <t>2731.41万</t>
  </si>
  <si>
    <t>191626790亿</t>
  </si>
  <si>
    <t>509.14万</t>
  </si>
  <si>
    <t>298846690亿</t>
  </si>
  <si>
    <t>6941.43万</t>
  </si>
  <si>
    <t>944.00万</t>
  </si>
  <si>
    <t>-2744.53万</t>
  </si>
  <si>
    <t>-3135.09万</t>
  </si>
  <si>
    <t>793.84万</t>
  </si>
  <si>
    <t>8955.29万</t>
  </si>
  <si>
    <t>920.64万</t>
  </si>
  <si>
    <t>9609.67万</t>
  </si>
  <si>
    <t>15.76万</t>
  </si>
  <si>
    <t>383.49万</t>
  </si>
  <si>
    <t>1184.37万</t>
  </si>
  <si>
    <t>5664358亿</t>
  </si>
  <si>
    <t>6197.59万</t>
  </si>
  <si>
    <t>605981900亿</t>
  </si>
  <si>
    <t>724435630亿</t>
  </si>
  <si>
    <t>8.55万</t>
  </si>
  <si>
    <t>5209.70万</t>
  </si>
  <si>
    <t>-6016.43万</t>
  </si>
  <si>
    <t>-346.68万</t>
  </si>
  <si>
    <t>-1966.74万</t>
  </si>
  <si>
    <t>5546.77万</t>
  </si>
  <si>
    <t>5067.22万</t>
  </si>
  <si>
    <t>10转3股派2.5元(含税)</t>
  </si>
  <si>
    <t>130.13万</t>
  </si>
  <si>
    <t>980.03万</t>
  </si>
  <si>
    <t>75.03万</t>
  </si>
  <si>
    <t>39.25亿</t>
  </si>
  <si>
    <t>5208.30万</t>
  </si>
  <si>
    <t>2698.23万</t>
  </si>
  <si>
    <t>6070327亿</t>
  </si>
  <si>
    <t>59.67万</t>
  </si>
  <si>
    <t>112426956亿</t>
  </si>
  <si>
    <t>682412390亿</t>
  </si>
  <si>
    <t>1021.38万</t>
  </si>
  <si>
    <t>2897568900亿</t>
  </si>
  <si>
    <t>3757.06万</t>
  </si>
  <si>
    <t>21.77亿</t>
  </si>
  <si>
    <t>-2.93亿</t>
  </si>
  <si>
    <t>-95.13万</t>
  </si>
  <si>
    <t>18.57亿</t>
  </si>
  <si>
    <t>976.66万</t>
  </si>
  <si>
    <t>585.81万</t>
  </si>
  <si>
    <t>5884.58万</t>
  </si>
  <si>
    <t>489.32万</t>
  </si>
  <si>
    <t>30.66亿</t>
  </si>
  <si>
    <t>26.27亿</t>
  </si>
  <si>
    <t>5574.50万</t>
  </si>
  <si>
    <t>1200.10万</t>
  </si>
  <si>
    <t>2012.04万</t>
  </si>
  <si>
    <t>1753715亿</t>
  </si>
  <si>
    <t>25372313亿</t>
  </si>
  <si>
    <t>473844730亿</t>
  </si>
  <si>
    <t>1680.65万</t>
  </si>
  <si>
    <t>2757695600亿</t>
  </si>
  <si>
    <t>84.94万</t>
  </si>
  <si>
    <t>11.89亿</t>
  </si>
  <si>
    <t>-9075.78万</t>
  </si>
  <si>
    <t>-1.58亿</t>
  </si>
  <si>
    <t>9720.84万</t>
  </si>
  <si>
    <t>19.47亿</t>
  </si>
  <si>
    <t>8639.32万</t>
  </si>
  <si>
    <t>88.17万</t>
  </si>
  <si>
    <t>10转4股派1.7元(含税)</t>
  </si>
  <si>
    <t>1829.97万</t>
  </si>
  <si>
    <t>88.98万</t>
  </si>
  <si>
    <t>17.67亿</t>
  </si>
  <si>
    <t>50.21亿</t>
  </si>
  <si>
    <t>9729.23万</t>
  </si>
  <si>
    <t>6247.82万</t>
  </si>
  <si>
    <t>1211.44万</t>
  </si>
  <si>
    <t>1161.00万</t>
  </si>
  <si>
    <t>958337亿</t>
  </si>
  <si>
    <t>8.72万</t>
  </si>
  <si>
    <t>5932150亿</t>
  </si>
  <si>
    <t>546502030亿</t>
  </si>
  <si>
    <t>1021.49万</t>
  </si>
  <si>
    <t>1811929700亿</t>
  </si>
  <si>
    <t>280.27万</t>
  </si>
  <si>
    <t>1290.12万</t>
  </si>
  <si>
    <t>-2123.32万</t>
  </si>
  <si>
    <t>3516.46万</t>
  </si>
  <si>
    <t>1386.36万</t>
  </si>
  <si>
    <t>5806.94万</t>
  </si>
  <si>
    <t>4089.18万</t>
  </si>
  <si>
    <t>749.76万</t>
  </si>
  <si>
    <t>4847.76万</t>
  </si>
  <si>
    <t>550.75万</t>
  </si>
  <si>
    <t>34.54亿</t>
  </si>
  <si>
    <t>-3295.59万</t>
  </si>
  <si>
    <t>154.17万</t>
  </si>
  <si>
    <t>2365.97万</t>
  </si>
  <si>
    <t>8.01万</t>
  </si>
  <si>
    <t>70141652亿</t>
  </si>
  <si>
    <t>635875390亿</t>
  </si>
  <si>
    <t>1220.85万</t>
  </si>
  <si>
    <t>2173572400亿</t>
  </si>
  <si>
    <t>8813.66万</t>
  </si>
  <si>
    <t>21.36亿</t>
  </si>
  <si>
    <t>5922.35万</t>
  </si>
  <si>
    <t>14.04亿</t>
  </si>
  <si>
    <t>-277.70万</t>
  </si>
  <si>
    <t>3610.05万</t>
  </si>
  <si>
    <t>23.50万</t>
  </si>
  <si>
    <t>5939.21万</t>
  </si>
  <si>
    <t>14.79亿</t>
  </si>
  <si>
    <t>8219.31万</t>
  </si>
  <si>
    <t>2648.27万</t>
  </si>
  <si>
    <t>4425.91万</t>
  </si>
  <si>
    <t>4065.85万</t>
  </si>
  <si>
    <t>47.76万</t>
  </si>
  <si>
    <t>568.87万</t>
  </si>
  <si>
    <t>-24000亿</t>
  </si>
  <si>
    <t>33093782亿</t>
  </si>
  <si>
    <t>10.60亿</t>
  </si>
  <si>
    <t>149625180亿</t>
  </si>
  <si>
    <t>161.99万</t>
  </si>
  <si>
    <t>1251169490亿</t>
  </si>
  <si>
    <t>2781.14万</t>
  </si>
  <si>
    <t>4368.81万</t>
  </si>
  <si>
    <t>-45.07万</t>
  </si>
  <si>
    <t>-1327.30万</t>
  </si>
  <si>
    <t>-245.01万</t>
  </si>
  <si>
    <t>196.11万</t>
  </si>
  <si>
    <t>1251.81万</t>
  </si>
  <si>
    <t>32.71万</t>
  </si>
  <si>
    <t>2435.82万</t>
  </si>
  <si>
    <t>46.17亿</t>
  </si>
  <si>
    <t>-4.74亿</t>
  </si>
  <si>
    <t>2882.07万</t>
  </si>
  <si>
    <t>1914.70万</t>
  </si>
  <si>
    <t>190.18万</t>
  </si>
  <si>
    <t>651.13万</t>
  </si>
  <si>
    <t>334409亿</t>
  </si>
  <si>
    <t>-4235218亿</t>
  </si>
  <si>
    <t>5166.64万</t>
  </si>
  <si>
    <t>241701420亿</t>
  </si>
  <si>
    <t>110.00万</t>
  </si>
  <si>
    <t>571552920亿</t>
  </si>
  <si>
    <t>126.68万</t>
  </si>
  <si>
    <t>1157.51万</t>
  </si>
  <si>
    <t>-1148.80万</t>
  </si>
  <si>
    <t>-1908.64万</t>
  </si>
  <si>
    <t>1759.30万</t>
  </si>
  <si>
    <t>7395.94万</t>
  </si>
  <si>
    <t>15.51亿</t>
  </si>
  <si>
    <t>-2755.18万</t>
  </si>
  <si>
    <t>8748.32万</t>
  </si>
  <si>
    <t>229.41万</t>
  </si>
  <si>
    <t>3004.06万</t>
  </si>
  <si>
    <t>110.11万</t>
  </si>
  <si>
    <t>20.57亿</t>
  </si>
  <si>
    <t>7623.14万</t>
  </si>
  <si>
    <t>27.62亿</t>
  </si>
  <si>
    <t>7857.42万</t>
  </si>
  <si>
    <t>6166.72万</t>
  </si>
  <si>
    <t>76.80万</t>
  </si>
  <si>
    <t>1324.53万</t>
  </si>
  <si>
    <t>2481400亿</t>
  </si>
  <si>
    <t>-2705597亿</t>
  </si>
  <si>
    <t>9.27亿</t>
  </si>
  <si>
    <t>640618950亿</t>
  </si>
  <si>
    <t>132.19万</t>
  </si>
  <si>
    <t>1668355000亿</t>
  </si>
  <si>
    <t>8919.43万</t>
  </si>
  <si>
    <t>119.54万</t>
  </si>
  <si>
    <t>2355.29万</t>
  </si>
  <si>
    <t>7187.93万</t>
  </si>
  <si>
    <t>-3288.47万</t>
  </si>
  <si>
    <t>-3246.27万</t>
  </si>
  <si>
    <t>36.20万</t>
  </si>
  <si>
    <t>8862.82万</t>
  </si>
  <si>
    <t>3612.69万</t>
  </si>
  <si>
    <t>756.52万</t>
  </si>
  <si>
    <t>5613.78万</t>
  </si>
  <si>
    <t>65.26万</t>
  </si>
  <si>
    <t>24.55亿</t>
  </si>
  <si>
    <t>35.49亿</t>
  </si>
  <si>
    <t>-5169.93万</t>
  </si>
  <si>
    <t>595.80万</t>
  </si>
  <si>
    <t>4039.75万</t>
  </si>
  <si>
    <t>295131亿</t>
  </si>
  <si>
    <t>37532181亿</t>
  </si>
  <si>
    <t>14.30亿</t>
  </si>
  <si>
    <t>383981330亿</t>
  </si>
  <si>
    <t>345.00万</t>
  </si>
  <si>
    <t>2277947900亿</t>
  </si>
  <si>
    <t>8212.38万</t>
  </si>
  <si>
    <t>16.55亿</t>
  </si>
  <si>
    <t>-6575.30万</t>
  </si>
  <si>
    <t>4956.58万</t>
  </si>
  <si>
    <t>-587.50万</t>
  </si>
  <si>
    <t>326.00万</t>
  </si>
  <si>
    <t>3944.15万</t>
  </si>
  <si>
    <t>116.15万</t>
  </si>
  <si>
    <t>3076.47万</t>
  </si>
  <si>
    <t>4397.39万</t>
  </si>
  <si>
    <t>2021.00万</t>
  </si>
  <si>
    <t>432.88万</t>
  </si>
  <si>
    <t>1342.32万</t>
  </si>
  <si>
    <t>37808亿</t>
  </si>
  <si>
    <t>5.45万</t>
  </si>
  <si>
    <t>-19804726亿</t>
  </si>
  <si>
    <t>507179130亿</t>
  </si>
  <si>
    <t>1037.60万</t>
  </si>
  <si>
    <t>1045301370亿</t>
  </si>
  <si>
    <t>4.90亿</t>
  </si>
  <si>
    <t>7700.00万</t>
  </si>
  <si>
    <t>-4361.05万</t>
  </si>
  <si>
    <t>-6589.58万</t>
  </si>
  <si>
    <t>923.97万</t>
  </si>
  <si>
    <t>8633.30万</t>
  </si>
  <si>
    <t>9911.82万</t>
  </si>
  <si>
    <t>1940.25万</t>
  </si>
  <si>
    <t>2502.80万</t>
  </si>
  <si>
    <t>10派2.39元(含税)</t>
  </si>
  <si>
    <t>977.90万</t>
  </si>
  <si>
    <t>4499.66万</t>
  </si>
  <si>
    <t>363.52万</t>
  </si>
  <si>
    <t>60.43亿</t>
  </si>
  <si>
    <t>44.93亿</t>
  </si>
  <si>
    <t>22.85亿</t>
  </si>
  <si>
    <t>6535.33万</t>
  </si>
  <si>
    <t>23.30亿</t>
  </si>
  <si>
    <t>22.14亿</t>
  </si>
  <si>
    <t>32.46万</t>
  </si>
  <si>
    <t>6408.37万</t>
  </si>
  <si>
    <t>-44332601亿</t>
  </si>
  <si>
    <t>3.80万</t>
  </si>
  <si>
    <t>-57965821亿</t>
  </si>
  <si>
    <t>55896971亿</t>
  </si>
  <si>
    <t>4790123900亿</t>
  </si>
  <si>
    <t>9271.53万</t>
  </si>
  <si>
    <t>15.26亿</t>
  </si>
  <si>
    <t>44.24亿</t>
  </si>
  <si>
    <t>21.66亿</t>
  </si>
  <si>
    <t>-3.15亿</t>
  </si>
  <si>
    <t>86.68亿</t>
  </si>
  <si>
    <t>1353.85万</t>
  </si>
  <si>
    <t>1107.50万</t>
  </si>
  <si>
    <t>750.75万</t>
  </si>
  <si>
    <t>13.45亿</t>
  </si>
  <si>
    <t>8001.82万</t>
  </si>
  <si>
    <t>1188.91万</t>
  </si>
  <si>
    <t>1379.68万</t>
  </si>
  <si>
    <t>1157535亿</t>
  </si>
  <si>
    <t>13.60万</t>
  </si>
  <si>
    <t>3656911亿</t>
  </si>
  <si>
    <t>421634900亿</t>
  </si>
  <si>
    <t>109.17万</t>
  </si>
  <si>
    <t>1413423400亿</t>
  </si>
  <si>
    <t>74.56万</t>
  </si>
  <si>
    <t>4594.70万</t>
  </si>
  <si>
    <t>1425.00万</t>
  </si>
  <si>
    <t>-1.78亿</t>
  </si>
  <si>
    <t>5807.46万</t>
  </si>
  <si>
    <t>2490.32万</t>
  </si>
  <si>
    <t>7205.84万</t>
  </si>
  <si>
    <t>6771.20万</t>
  </si>
  <si>
    <t>2498.72万</t>
  </si>
  <si>
    <t>4663.72万</t>
  </si>
  <si>
    <t>5228.14万</t>
  </si>
  <si>
    <t>709.84亿</t>
  </si>
  <si>
    <t>387.92亿</t>
  </si>
  <si>
    <t>43.53亿</t>
  </si>
  <si>
    <t>110.47亿</t>
  </si>
  <si>
    <t>-7328020亿</t>
  </si>
  <si>
    <t>275.11万</t>
  </si>
  <si>
    <t>348662860亿</t>
  </si>
  <si>
    <t>13078850300亿</t>
  </si>
  <si>
    <t>27580207000亿</t>
  </si>
  <si>
    <t>14.85亿</t>
  </si>
  <si>
    <t>108.53亿</t>
  </si>
  <si>
    <t>6531.83万</t>
  </si>
  <si>
    <t>-18.02亿</t>
  </si>
  <si>
    <t>21.72亿</t>
  </si>
  <si>
    <t>221.64亿</t>
  </si>
  <si>
    <t>31.55亿</t>
  </si>
  <si>
    <t>213.19亿</t>
  </si>
  <si>
    <t>21.54亿</t>
  </si>
  <si>
    <t>16.06亿</t>
  </si>
  <si>
    <t>-9934.65万</t>
  </si>
  <si>
    <t>0934000000</t>
  </si>
  <si>
    <t>02802000000</t>
  </si>
  <si>
    <t>05604000000</t>
  </si>
  <si>
    <t>09340000000</t>
  </si>
  <si>
    <t>018680000000</t>
  </si>
  <si>
    <t>297.61万</t>
  </si>
  <si>
    <t>170.45亿</t>
  </si>
  <si>
    <t>55.17亿</t>
  </si>
  <si>
    <t>8.09亿</t>
  </si>
  <si>
    <t>83.71亿</t>
  </si>
  <si>
    <t>7000583亿</t>
  </si>
  <si>
    <t>763.76万</t>
  </si>
  <si>
    <t>40887427亿</t>
  </si>
  <si>
    <t>9.49亿</t>
  </si>
  <si>
    <t>4927362500亿</t>
  </si>
  <si>
    <t>7867742600亿</t>
  </si>
  <si>
    <t>6991.90万</t>
  </si>
  <si>
    <t>21.97亿</t>
  </si>
  <si>
    <t>9.04万</t>
  </si>
  <si>
    <t>-4.35亿</t>
  </si>
  <si>
    <t>-4.33亿</t>
  </si>
  <si>
    <t>720.40万</t>
  </si>
  <si>
    <t>31.03亿</t>
  </si>
  <si>
    <t>19.45亿</t>
  </si>
  <si>
    <t>3609.12万</t>
  </si>
  <si>
    <t>10转4股派0.62元(含税)</t>
  </si>
  <si>
    <t>1741.36万</t>
  </si>
  <si>
    <t>2520.27万</t>
  </si>
  <si>
    <t>4287.46万</t>
  </si>
  <si>
    <t>1500.25亿</t>
  </si>
  <si>
    <t>201.40亿</t>
  </si>
  <si>
    <t>20222477亿</t>
  </si>
  <si>
    <t>83.14万</t>
  </si>
  <si>
    <t>7308289亿</t>
  </si>
  <si>
    <t>413815650亿</t>
  </si>
  <si>
    <t>982401620亿</t>
  </si>
  <si>
    <t>7228.68万</t>
  </si>
  <si>
    <t>4.63万</t>
  </si>
  <si>
    <t>-2708.55万</t>
  </si>
  <si>
    <t>-2542.16万</t>
  </si>
  <si>
    <t>-554.96万</t>
  </si>
  <si>
    <t>500.17亿</t>
  </si>
  <si>
    <t>3003.86万</t>
  </si>
  <si>
    <t>账面净赚</t>
  </si>
  <si>
    <t>368.31万</t>
  </si>
  <si>
    <t>49.40亿</t>
  </si>
  <si>
    <t>26.21亿</t>
  </si>
  <si>
    <t>48.19亿</t>
  </si>
  <si>
    <t>9722.10万</t>
  </si>
  <si>
    <t>-574617亿</t>
  </si>
  <si>
    <t>19.49万</t>
  </si>
  <si>
    <t>524671亿</t>
  </si>
  <si>
    <t>5410031400亿</t>
  </si>
  <si>
    <t>6149918300亿</t>
  </si>
  <si>
    <t>2594.53万</t>
  </si>
  <si>
    <t>138.71万</t>
  </si>
  <si>
    <t>-1.10亿</t>
  </si>
  <si>
    <t>-3826.55万</t>
  </si>
  <si>
    <t>6375.48万</t>
  </si>
  <si>
    <t>37.01亿</t>
  </si>
  <si>
    <t>16.34亿</t>
  </si>
  <si>
    <t>6618.35万</t>
  </si>
  <si>
    <t>3202.16万</t>
  </si>
  <si>
    <t>2460.84万</t>
  </si>
  <si>
    <t>237.94万</t>
  </si>
  <si>
    <t>46.23亿</t>
  </si>
  <si>
    <t>30.78亿</t>
  </si>
  <si>
    <t>177.26亿</t>
  </si>
  <si>
    <t>5.77亿</t>
  </si>
  <si>
    <t>3773.98万</t>
  </si>
  <si>
    <t>4738.88万</t>
  </si>
  <si>
    <t>-5849000亿</t>
  </si>
  <si>
    <t>31.54万</t>
  </si>
  <si>
    <t>23086128亿</t>
  </si>
  <si>
    <t>356801150亿</t>
  </si>
  <si>
    <t>2088608200亿</t>
  </si>
  <si>
    <t>99.97万</t>
  </si>
  <si>
    <t>30.57亿</t>
  </si>
  <si>
    <t>12.61亿</t>
  </si>
  <si>
    <t>2244.23万</t>
  </si>
  <si>
    <t>-2.26亿</t>
  </si>
  <si>
    <t>41.33亿</t>
  </si>
  <si>
    <t>10转4股派2元(含税)</t>
  </si>
  <si>
    <t>1699.79万</t>
  </si>
  <si>
    <t>379.15万</t>
  </si>
  <si>
    <t>42.01亿</t>
  </si>
  <si>
    <t>4392.14万</t>
  </si>
  <si>
    <t>483.63万</t>
  </si>
  <si>
    <t>6864.31万</t>
  </si>
  <si>
    <t>-525494亿</t>
  </si>
  <si>
    <t>17.20万</t>
  </si>
  <si>
    <t>30933001亿</t>
  </si>
  <si>
    <t>1700094800亿</t>
  </si>
  <si>
    <t>4440515400亿</t>
  </si>
  <si>
    <t>6724.16万</t>
  </si>
  <si>
    <t>759.64万</t>
  </si>
  <si>
    <t>32.64亿</t>
  </si>
  <si>
    <t>6623.60万</t>
  </si>
  <si>
    <t>-2455.30万</t>
  </si>
  <si>
    <t>6193.63万</t>
  </si>
  <si>
    <t>42.52亿</t>
  </si>
  <si>
    <t>5401.17万</t>
  </si>
  <si>
    <t>-8023.42万</t>
  </si>
  <si>
    <t>10派0.28元(含税)</t>
  </si>
  <si>
    <t>2077.58万</t>
  </si>
  <si>
    <t>043921400</t>
  </si>
  <si>
    <t>0131764200</t>
  </si>
  <si>
    <t>0263528400</t>
  </si>
  <si>
    <t>0439214000</t>
  </si>
  <si>
    <t>0878428000</t>
  </si>
  <si>
    <t>1045.53万</t>
  </si>
  <si>
    <t>229.58亿</t>
  </si>
  <si>
    <t>132.22亿</t>
  </si>
  <si>
    <t>27.16亿</t>
  </si>
  <si>
    <t>721.45亿</t>
  </si>
  <si>
    <t>18.38亿</t>
  </si>
  <si>
    <t>22.38亿</t>
  </si>
  <si>
    <t>19.05亿</t>
  </si>
  <si>
    <t>2657.14万</t>
  </si>
  <si>
    <t>10470815亿</t>
  </si>
  <si>
    <t>311.50万</t>
  </si>
  <si>
    <t>370427840亿</t>
  </si>
  <si>
    <t>3795304300亿</t>
  </si>
  <si>
    <t>333.98万</t>
  </si>
  <si>
    <t>8463223400亿</t>
  </si>
  <si>
    <t>6379.90万</t>
  </si>
  <si>
    <t>97.67亿</t>
  </si>
  <si>
    <t>98.32亿</t>
  </si>
  <si>
    <t>-5.51亿</t>
  </si>
  <si>
    <t>125.41亿</t>
  </si>
  <si>
    <t>119.58亿</t>
  </si>
  <si>
    <t>10派4.8元(含税)</t>
  </si>
  <si>
    <t>3256.49万</t>
  </si>
  <si>
    <t>1005.26万</t>
  </si>
  <si>
    <t>139.41亿</t>
  </si>
  <si>
    <t>21.51亿</t>
  </si>
  <si>
    <t>-6787.48万</t>
  </si>
  <si>
    <t>15.27亿</t>
  </si>
  <si>
    <t>4475.04万</t>
  </si>
  <si>
    <t>7077.15万</t>
  </si>
  <si>
    <t>-1141129亿</t>
  </si>
  <si>
    <t>27.06万</t>
  </si>
  <si>
    <t>323190340亿</t>
  </si>
  <si>
    <t>24.28亿</t>
  </si>
  <si>
    <t>2003763100亿</t>
  </si>
  <si>
    <t>89.51万</t>
  </si>
  <si>
    <t>5773005700亿</t>
  </si>
  <si>
    <t>7.76亿</t>
  </si>
  <si>
    <t>19.20亿</t>
  </si>
  <si>
    <t>3.26万</t>
  </si>
  <si>
    <t>84.32亿</t>
  </si>
  <si>
    <t>42.74亿</t>
  </si>
  <si>
    <t>-7.28亿</t>
  </si>
  <si>
    <t>77.81亿</t>
  </si>
  <si>
    <t>80.48亿</t>
  </si>
  <si>
    <t>3997.73万</t>
  </si>
  <si>
    <t>10.83亿</t>
  </si>
  <si>
    <t>-975.37万</t>
  </si>
  <si>
    <t>10派4.4073元(含税)</t>
  </si>
  <si>
    <t>4971.76万</t>
  </si>
  <si>
    <t>380.87万</t>
  </si>
  <si>
    <t>158.86亿</t>
  </si>
  <si>
    <t>105.22亿</t>
  </si>
  <si>
    <t>29.00亿</t>
  </si>
  <si>
    <t>528.81万</t>
  </si>
  <si>
    <t>27.08亿</t>
  </si>
  <si>
    <t>24.33亿</t>
  </si>
  <si>
    <t>2575.62万</t>
  </si>
  <si>
    <t>96118084亿</t>
  </si>
  <si>
    <t>269.72万</t>
  </si>
  <si>
    <t>180802690亿</t>
  </si>
  <si>
    <t>2491120400亿</t>
  </si>
  <si>
    <t>5335.72万</t>
  </si>
  <si>
    <t>10411377700亿</t>
  </si>
  <si>
    <t>9.56亿</t>
  </si>
  <si>
    <t>37.18亿</t>
  </si>
  <si>
    <t>759.41万</t>
  </si>
  <si>
    <t>95.96亿</t>
  </si>
  <si>
    <t>30.90亿</t>
  </si>
  <si>
    <t>105.13亿</t>
  </si>
  <si>
    <t>9727.75万</t>
  </si>
  <si>
    <t>-239.68万</t>
  </si>
  <si>
    <t>2392.24万</t>
  </si>
  <si>
    <t>05288100</t>
  </si>
  <si>
    <t>015864300</t>
  </si>
  <si>
    <t>031728600</t>
  </si>
  <si>
    <t>052881000</t>
  </si>
  <si>
    <t>0105762000</t>
  </si>
  <si>
    <t>231.87万</t>
  </si>
  <si>
    <t>9415.00万</t>
  </si>
  <si>
    <t>2027.23万</t>
  </si>
  <si>
    <t>1488.29万</t>
  </si>
  <si>
    <t>1378.31万</t>
  </si>
  <si>
    <t>109.01万</t>
  </si>
  <si>
    <t>515169亿</t>
  </si>
  <si>
    <t>3887459亿</t>
  </si>
  <si>
    <t>17661583亿</t>
  </si>
  <si>
    <t>197387560亿</t>
  </si>
  <si>
    <t>154.89万</t>
  </si>
  <si>
    <t>470.50万</t>
  </si>
  <si>
    <t>4129.45万</t>
  </si>
  <si>
    <t>2070.57万</t>
  </si>
  <si>
    <t>-482.90万</t>
  </si>
  <si>
    <t>6659.71万</t>
  </si>
  <si>
    <t>9483.33万</t>
  </si>
  <si>
    <t>1215.93万</t>
  </si>
  <si>
    <t>-2327.70万</t>
  </si>
  <si>
    <t>1471.69万</t>
  </si>
  <si>
    <t>263.38万</t>
  </si>
  <si>
    <t>35.18亿</t>
  </si>
  <si>
    <t>3.74亿</t>
  </si>
  <si>
    <t>36.00亿</t>
  </si>
  <si>
    <t>323.31万</t>
  </si>
  <si>
    <t>3164.59万</t>
  </si>
  <si>
    <t>9596901亿</t>
  </si>
  <si>
    <t>153.10万</t>
  </si>
  <si>
    <t>27135623亿</t>
  </si>
  <si>
    <t>721506030亿</t>
  </si>
  <si>
    <t>6113.91万</t>
  </si>
  <si>
    <t>1925843700亿</t>
  </si>
  <si>
    <t>17.25亿</t>
  </si>
  <si>
    <t>-9580.32万</t>
  </si>
  <si>
    <t>-3721.01万</t>
  </si>
  <si>
    <t>20.34亿</t>
  </si>
  <si>
    <t>202.89万</t>
  </si>
  <si>
    <t>10派0.31元(含税)</t>
  </si>
  <si>
    <t>1385.10万</t>
  </si>
  <si>
    <t>XD创业环</t>
  </si>
  <si>
    <t>747.72万</t>
  </si>
  <si>
    <t>142.45亿</t>
  </si>
  <si>
    <t>104.67亿</t>
  </si>
  <si>
    <t>595.67亿</t>
  </si>
  <si>
    <t>35.50亿</t>
  </si>
  <si>
    <t>295.70万</t>
  </si>
  <si>
    <t>4606.60万</t>
  </si>
  <si>
    <t>14.50万</t>
  </si>
  <si>
    <t>234965000亿</t>
  </si>
  <si>
    <t>23.03亿</t>
  </si>
  <si>
    <t>3935940000亿</t>
  </si>
  <si>
    <t>2525.60万</t>
  </si>
  <si>
    <t>6518845000亿</t>
  </si>
  <si>
    <t>166.10万</t>
  </si>
  <si>
    <t>36.84亿</t>
  </si>
  <si>
    <t>78.60亿</t>
  </si>
  <si>
    <t>-5396.80万</t>
  </si>
  <si>
    <t>-2.65亿</t>
  </si>
  <si>
    <t>159.70万</t>
  </si>
  <si>
    <t>46.65亿</t>
  </si>
  <si>
    <t>144.33亿</t>
  </si>
  <si>
    <t>10.19亿</t>
  </si>
  <si>
    <t>10派1.66元(含税)</t>
  </si>
  <si>
    <t>3260.50万</t>
  </si>
  <si>
    <t>275.32万</t>
  </si>
  <si>
    <t>159.22亿</t>
  </si>
  <si>
    <t>104.95亿</t>
  </si>
  <si>
    <t>115.28亿</t>
  </si>
  <si>
    <t>2.10万</t>
  </si>
  <si>
    <t>6017.87万</t>
  </si>
  <si>
    <t>12305484亿</t>
  </si>
  <si>
    <t>6.60万</t>
  </si>
  <si>
    <t>192281030亿</t>
  </si>
  <si>
    <t>32.50亿</t>
  </si>
  <si>
    <t>1510979500亿</t>
  </si>
  <si>
    <t>5596391700亿</t>
  </si>
  <si>
    <t>5849.87万</t>
  </si>
  <si>
    <t>27.18亿</t>
  </si>
  <si>
    <t>97.40亿</t>
  </si>
  <si>
    <t>5.18亿</t>
  </si>
  <si>
    <t>23.39亿</t>
  </si>
  <si>
    <t>35.36亿</t>
  </si>
  <si>
    <t>41.90亿</t>
  </si>
  <si>
    <t>10派5.2元(含税)</t>
  </si>
  <si>
    <t>2221.54万</t>
  </si>
  <si>
    <t>762.53万</t>
  </si>
  <si>
    <t>160.24亿</t>
  </si>
  <si>
    <t>173.37亿</t>
  </si>
  <si>
    <t>15.20亿</t>
  </si>
  <si>
    <t>34.27亿</t>
  </si>
  <si>
    <t>11.33亿</t>
  </si>
  <si>
    <t>2624.17万</t>
  </si>
  <si>
    <t>21888028亿</t>
  </si>
  <si>
    <t>2306.43万</t>
  </si>
  <si>
    <t>139614680亿</t>
  </si>
  <si>
    <t>23.83亿</t>
  </si>
  <si>
    <t>464175260亿</t>
  </si>
  <si>
    <t>5648528300亿</t>
  </si>
  <si>
    <t>15.19亿</t>
  </si>
  <si>
    <t>105.24万</t>
  </si>
  <si>
    <t>64.54亿</t>
  </si>
  <si>
    <t>55.93亿</t>
  </si>
  <si>
    <t>-9537.45万</t>
  </si>
  <si>
    <t>-3.92亿</t>
  </si>
  <si>
    <t>19.10亿</t>
  </si>
  <si>
    <t>72.54亿</t>
  </si>
  <si>
    <t>14.00亿</t>
  </si>
  <si>
    <t>10.89亿</t>
  </si>
  <si>
    <t>10派1.69元(含税)</t>
  </si>
  <si>
    <t>3573.96万</t>
  </si>
  <si>
    <t>0307000000</t>
  </si>
  <si>
    <t>0921000000</t>
  </si>
  <si>
    <t>01842000000</t>
  </si>
  <si>
    <t>03070000000</t>
  </si>
  <si>
    <t>06140000000</t>
  </si>
  <si>
    <t>476.40万</t>
  </si>
  <si>
    <t>23.70亿</t>
  </si>
  <si>
    <t>38.10亿</t>
  </si>
  <si>
    <t>63.81亿</t>
  </si>
  <si>
    <t>1952.52万</t>
  </si>
  <si>
    <t>2721.60万</t>
  </si>
  <si>
    <t>19866772亿</t>
  </si>
  <si>
    <t>1.80万</t>
  </si>
  <si>
    <t>85875664亿</t>
  </si>
  <si>
    <t>202075390亿</t>
  </si>
  <si>
    <t>1512659800亿</t>
  </si>
  <si>
    <t>6746.04万</t>
  </si>
  <si>
    <t>3043.43万</t>
  </si>
  <si>
    <t>2398.12万</t>
  </si>
  <si>
    <t>5844.21万</t>
  </si>
  <si>
    <t>5051.99万</t>
  </si>
  <si>
    <t>13.68亿</t>
  </si>
  <si>
    <t>3314.58万</t>
  </si>
  <si>
    <t>243.93万</t>
  </si>
  <si>
    <t>171.69亿</t>
  </si>
  <si>
    <t>128.17亿</t>
  </si>
  <si>
    <t>37.37亿</t>
  </si>
  <si>
    <t>11.36亿</t>
  </si>
  <si>
    <t>223.56万</t>
  </si>
  <si>
    <t>9055.92万</t>
  </si>
  <si>
    <t>-131328亿</t>
  </si>
  <si>
    <t>96.06万</t>
  </si>
  <si>
    <t>126919317亿</t>
  </si>
  <si>
    <t>3307246100亿</t>
  </si>
  <si>
    <t>6481077300亿</t>
  </si>
  <si>
    <t>36.07亿</t>
  </si>
  <si>
    <t>40.77万</t>
  </si>
  <si>
    <t>64.40亿</t>
  </si>
  <si>
    <t>86.32亿</t>
  </si>
  <si>
    <t>712.26万</t>
  </si>
  <si>
    <t>-1.62亿</t>
  </si>
  <si>
    <t>5005.06万</t>
  </si>
  <si>
    <t>8.58亿</t>
  </si>
  <si>
    <t>7066.04万</t>
  </si>
  <si>
    <t>10转2股派1元(含税)</t>
  </si>
  <si>
    <t>1458.63万</t>
  </si>
  <si>
    <t>179.89万</t>
  </si>
  <si>
    <t>84.29亿</t>
  </si>
  <si>
    <t>8.05亿</t>
  </si>
  <si>
    <t>261.95亿</t>
  </si>
  <si>
    <t>10.58亿</t>
  </si>
  <si>
    <t>33.93万</t>
  </si>
  <si>
    <t>5023.48万</t>
  </si>
  <si>
    <t>44.44万</t>
  </si>
  <si>
    <t>137986350亿</t>
  </si>
  <si>
    <t>2156754500亿</t>
  </si>
  <si>
    <t>4127622500亿</t>
  </si>
  <si>
    <t>127.21万</t>
  </si>
  <si>
    <t>39.12亿</t>
  </si>
  <si>
    <t>70.56亿</t>
  </si>
  <si>
    <t>-1.43亿</t>
  </si>
  <si>
    <t>5756.44万</t>
  </si>
  <si>
    <t>39.56亿</t>
  </si>
  <si>
    <t>61.46亿</t>
  </si>
  <si>
    <t>6.29亿</t>
  </si>
  <si>
    <t>1449.38万</t>
  </si>
  <si>
    <t>193.45万</t>
  </si>
  <si>
    <t>164.48亿</t>
  </si>
  <si>
    <t>46.97亿</t>
  </si>
  <si>
    <t>5.43亿</t>
  </si>
  <si>
    <t>101.43亿</t>
  </si>
  <si>
    <t>10.20亿</t>
  </si>
  <si>
    <t>1480.13万</t>
  </si>
  <si>
    <t>2927.46万</t>
  </si>
  <si>
    <t>150.30万</t>
  </si>
  <si>
    <t>15623688亿</t>
  </si>
  <si>
    <t>2006214000亿</t>
  </si>
  <si>
    <t>3204984500亿</t>
  </si>
  <si>
    <t>26.98亿</t>
  </si>
  <si>
    <t>4112.28万</t>
  </si>
  <si>
    <t>48.97亿</t>
  </si>
  <si>
    <t>87.64亿</t>
  </si>
  <si>
    <t>5750.44万</t>
  </si>
  <si>
    <t>-3.99亿</t>
  </si>
  <si>
    <t>23.32亿</t>
  </si>
  <si>
    <t>7351.59万</t>
  </si>
  <si>
    <t>10派0.26元(含税)</t>
  </si>
  <si>
    <t>1107.29万</t>
  </si>
  <si>
    <t>886.92万</t>
  </si>
  <si>
    <t>141.12亿</t>
  </si>
  <si>
    <t>115.40亿</t>
  </si>
  <si>
    <t>15.52亿</t>
  </si>
  <si>
    <t>115.15亿</t>
  </si>
  <si>
    <t>-22.16亿</t>
  </si>
  <si>
    <t>11.29亿</t>
  </si>
  <si>
    <t>9.75亿</t>
  </si>
  <si>
    <t>305.28万</t>
  </si>
  <si>
    <t>5350.46万</t>
  </si>
  <si>
    <t>31068955亿</t>
  </si>
  <si>
    <t>60.71万</t>
  </si>
  <si>
    <t>385713190亿</t>
  </si>
  <si>
    <t>27.10亿</t>
  </si>
  <si>
    <t>2219846300亿</t>
  </si>
  <si>
    <t>95.00万</t>
  </si>
  <si>
    <t>6879226300亿</t>
  </si>
  <si>
    <t>3237.07万</t>
  </si>
  <si>
    <t>3503.26万</t>
  </si>
  <si>
    <t>57.40亿</t>
  </si>
  <si>
    <t>72.48亿</t>
  </si>
  <si>
    <t>-6206.13万</t>
  </si>
  <si>
    <t>60.27亿</t>
  </si>
  <si>
    <t>26.17亿</t>
  </si>
  <si>
    <t>10派2.35元(含税)</t>
  </si>
  <si>
    <t>3134.19万</t>
  </si>
  <si>
    <t>219.95万</t>
  </si>
  <si>
    <t>28.95亿</t>
  </si>
  <si>
    <t>25.61亿</t>
  </si>
  <si>
    <t>23.76亿</t>
  </si>
  <si>
    <t>1206.29万</t>
  </si>
  <si>
    <t>5562.96万</t>
  </si>
  <si>
    <t>58.77万</t>
  </si>
  <si>
    <t>22145587亿</t>
  </si>
  <si>
    <t>9.32亿</t>
  </si>
  <si>
    <t>1557115600亿</t>
  </si>
  <si>
    <t>3908256500亿</t>
  </si>
  <si>
    <t>3796.94万</t>
  </si>
  <si>
    <t>-3.10亿</t>
  </si>
  <si>
    <t>13.86万</t>
  </si>
  <si>
    <t>1962.29万</t>
  </si>
  <si>
    <t>30.67亿</t>
  </si>
  <si>
    <t>10派0.83元(含税)</t>
  </si>
  <si>
    <t>1318.66万</t>
  </si>
  <si>
    <t>174.75万</t>
  </si>
  <si>
    <t>14.16亿</t>
  </si>
  <si>
    <t>5334.76万</t>
  </si>
  <si>
    <t>626.00万</t>
  </si>
  <si>
    <t>1621.21万</t>
  </si>
  <si>
    <t>-537340亿</t>
  </si>
  <si>
    <t>8.67万</t>
  </si>
  <si>
    <t>14814935亿</t>
  </si>
  <si>
    <t>474658840亿</t>
  </si>
  <si>
    <t>535.31万</t>
  </si>
  <si>
    <t>1009566410亿</t>
  </si>
  <si>
    <t>8124.91万</t>
  </si>
  <si>
    <t>4810.81万</t>
  </si>
  <si>
    <t>-2580.16万</t>
  </si>
  <si>
    <t>-1221.30万</t>
  </si>
  <si>
    <t>588.51万</t>
  </si>
  <si>
    <t>931.92万</t>
  </si>
  <si>
    <t>-4842.48万</t>
  </si>
  <si>
    <t>583.83万</t>
  </si>
  <si>
    <t>977.18万</t>
  </si>
  <si>
    <t>169.19万</t>
  </si>
  <si>
    <t>7266.66万</t>
  </si>
  <si>
    <t>380.86万</t>
  </si>
  <si>
    <t>1564.73万</t>
  </si>
  <si>
    <t>871122亿</t>
  </si>
  <si>
    <t>3.05万</t>
  </si>
  <si>
    <t>19972946亿</t>
  </si>
  <si>
    <t>330586730亿</t>
  </si>
  <si>
    <t>2212.22万</t>
  </si>
  <si>
    <t>999363450亿</t>
  </si>
  <si>
    <t>4889.21万</t>
  </si>
  <si>
    <t>2112.42万</t>
  </si>
  <si>
    <t>8828.41万</t>
  </si>
  <si>
    <t>1653.18万</t>
  </si>
  <si>
    <t>-939.15万</t>
  </si>
  <si>
    <t>1489.86万</t>
  </si>
  <si>
    <t>3897.41万</t>
  </si>
  <si>
    <t>2726.34万</t>
  </si>
  <si>
    <t>1127.77万</t>
  </si>
  <si>
    <t>9348.00万</t>
  </si>
  <si>
    <t>74.33万</t>
  </si>
  <si>
    <t>853.38亿</t>
  </si>
  <si>
    <t>27.07亿</t>
  </si>
  <si>
    <t>913.54万</t>
  </si>
  <si>
    <t>2939.31万</t>
  </si>
  <si>
    <t>323297亿</t>
  </si>
  <si>
    <t>35.31万</t>
  </si>
  <si>
    <t>17135154亿</t>
  </si>
  <si>
    <t>332275850亿</t>
  </si>
  <si>
    <t>702.86万</t>
  </si>
  <si>
    <t>756436470亿</t>
  </si>
  <si>
    <t>4697.92万</t>
  </si>
  <si>
    <t>29.18万</t>
  </si>
  <si>
    <t>2084.56万</t>
  </si>
  <si>
    <t>-8480.93万</t>
  </si>
  <si>
    <t>4510.85万</t>
  </si>
  <si>
    <t>11.28亿</t>
  </si>
  <si>
    <t>168.21亿</t>
  </si>
  <si>
    <t>496.67万</t>
  </si>
  <si>
    <t>6179.51万</t>
  </si>
  <si>
    <t>164.56万</t>
  </si>
  <si>
    <t>12.97亿</t>
  </si>
  <si>
    <t>173.96万</t>
  </si>
  <si>
    <t>1566.08万</t>
  </si>
  <si>
    <t>7150098亿</t>
  </si>
  <si>
    <t>1.21万</t>
  </si>
  <si>
    <t>13947921亿</t>
  </si>
  <si>
    <t>945080180亿</t>
  </si>
  <si>
    <t>3894.89万</t>
  </si>
  <si>
    <t>1971407000亿</t>
  </si>
  <si>
    <t>27.72万</t>
  </si>
  <si>
    <t>11.37亿</t>
  </si>
  <si>
    <t>1408.47万</t>
  </si>
  <si>
    <t>-138.40万</t>
  </si>
  <si>
    <t>-2805.83万</t>
  </si>
  <si>
    <t>4031.13万</t>
  </si>
  <si>
    <t>7180.54万</t>
  </si>
  <si>
    <t>-313.71万</t>
  </si>
  <si>
    <t>10派0.68元(含税)</t>
  </si>
  <si>
    <t>822.93万</t>
  </si>
  <si>
    <t>891.49万</t>
  </si>
  <si>
    <t>49.49亿</t>
  </si>
  <si>
    <t>33.79亿</t>
  </si>
  <si>
    <t>10.66亿</t>
  </si>
  <si>
    <t>9237.06万</t>
  </si>
  <si>
    <t>1648.19万</t>
  </si>
  <si>
    <t>3093392亿</t>
  </si>
  <si>
    <t>559281790亿</t>
  </si>
  <si>
    <t>912.94万</t>
  </si>
  <si>
    <t>7127623100亿</t>
  </si>
  <si>
    <t>34.38亿</t>
  </si>
  <si>
    <t>45.75亿</t>
  </si>
  <si>
    <t>-1.28万</t>
  </si>
  <si>
    <t>-4145.46万</t>
  </si>
  <si>
    <t>3472.44万</t>
  </si>
  <si>
    <t>7265.51万</t>
  </si>
  <si>
    <t>5358.94万</t>
  </si>
  <si>
    <t>0328000000</t>
  </si>
  <si>
    <t>0984000000</t>
  </si>
  <si>
    <t>01968000000</t>
  </si>
  <si>
    <t>03280000000</t>
  </si>
  <si>
    <t>06560000000</t>
  </si>
  <si>
    <t>n/a</t>
  </si>
  <si>
    <t>320.82万</t>
  </si>
  <si>
    <t>115.66亿</t>
  </si>
  <si>
    <t>131.40亿</t>
  </si>
  <si>
    <t>20.08亿</t>
  </si>
  <si>
    <t>37.83亿</t>
  </si>
  <si>
    <t>7039.33万</t>
  </si>
  <si>
    <t>366.78万</t>
  </si>
  <si>
    <t>5757.54万</t>
  </si>
  <si>
    <t>1934353亿</t>
  </si>
  <si>
    <t>2028.04万</t>
  </si>
  <si>
    <t>668609960亿</t>
  </si>
  <si>
    <t>22.71亿</t>
  </si>
  <si>
    <t>2548128900亿</t>
  </si>
  <si>
    <t>6998954300亿</t>
  </si>
  <si>
    <t>8348.61万</t>
  </si>
  <si>
    <t>17.03亿</t>
  </si>
  <si>
    <t>142.60万</t>
  </si>
  <si>
    <t>34.07亿</t>
  </si>
  <si>
    <t>46.68亿</t>
  </si>
  <si>
    <t>-7.67亿</t>
  </si>
  <si>
    <t>4297.28万</t>
  </si>
  <si>
    <t>44.74亿</t>
  </si>
  <si>
    <t>16.64亿</t>
  </si>
  <si>
    <t>60.25亿</t>
  </si>
  <si>
    <t>20.48亿</t>
  </si>
  <si>
    <t>1287.69万</t>
  </si>
  <si>
    <t>1823.92万</t>
  </si>
  <si>
    <t>1651.21万</t>
  </si>
  <si>
    <t>165.59亿</t>
  </si>
  <si>
    <t>102.97亿</t>
  </si>
  <si>
    <t>31.25亿</t>
  </si>
  <si>
    <t>59.62亿</t>
  </si>
  <si>
    <t>17.21亿</t>
  </si>
  <si>
    <t>29.71亿</t>
  </si>
  <si>
    <t>26.61亿</t>
  </si>
  <si>
    <t>2767.02万</t>
  </si>
  <si>
    <t>12387876亿</t>
  </si>
  <si>
    <t>57.27万</t>
  </si>
  <si>
    <t>165756510亿</t>
  </si>
  <si>
    <t>17.35亿</t>
  </si>
  <si>
    <t>1798830600亿</t>
  </si>
  <si>
    <t>244.92万</t>
  </si>
  <si>
    <t>13255501900亿</t>
  </si>
  <si>
    <t>110.46亿</t>
  </si>
  <si>
    <t>51.45亿</t>
  </si>
  <si>
    <t>9989.40万</t>
  </si>
  <si>
    <t>105.80亿</t>
  </si>
  <si>
    <t>10派1.0元(含税)</t>
  </si>
  <si>
    <t>7690.00万</t>
  </si>
  <si>
    <t>24.39亿</t>
  </si>
  <si>
    <t>37.61亿</t>
  </si>
  <si>
    <t>11.85亿</t>
  </si>
  <si>
    <t>8854.99万</t>
  </si>
  <si>
    <t>10.92亿</t>
  </si>
  <si>
    <t>5025.73万</t>
  </si>
  <si>
    <t>8711.62万</t>
  </si>
  <si>
    <t>38.56万</t>
  </si>
  <si>
    <t>63366895亿</t>
  </si>
  <si>
    <t>1659533000亿</t>
  </si>
  <si>
    <t>4347283900亿</t>
  </si>
  <si>
    <t>4177.13万</t>
  </si>
  <si>
    <t>-1.32亿</t>
  </si>
  <si>
    <t>51.06亿</t>
  </si>
  <si>
    <t>1977.53万</t>
  </si>
  <si>
    <t>1216.08万</t>
  </si>
  <si>
    <t>8985.28万</t>
  </si>
  <si>
    <t>088549900</t>
  </si>
  <si>
    <t>0265649700</t>
  </si>
  <si>
    <t>0531299400</t>
  </si>
  <si>
    <t>0885499000</t>
  </si>
  <si>
    <t>01770998000</t>
  </si>
  <si>
    <t>93.74万</t>
  </si>
  <si>
    <t>27.91亿</t>
  </si>
  <si>
    <t>130.66亿</t>
  </si>
  <si>
    <t>629.10万</t>
  </si>
  <si>
    <t>5022.60万</t>
  </si>
  <si>
    <t>481149亿</t>
  </si>
  <si>
    <t>25.10万</t>
  </si>
  <si>
    <t>27828399亿</t>
  </si>
  <si>
    <t>6.34亿</t>
  </si>
  <si>
    <t>775148970亿</t>
  </si>
  <si>
    <t>1619892200亿</t>
  </si>
  <si>
    <t>2311.80万</t>
  </si>
  <si>
    <t>4.77亿</t>
  </si>
  <si>
    <t>1137.94万</t>
  </si>
  <si>
    <t>-2.08亿</t>
  </si>
  <si>
    <t>9595.67万</t>
  </si>
  <si>
    <t>27.37亿</t>
  </si>
  <si>
    <t>534.02万</t>
  </si>
  <si>
    <t>4924.42万</t>
  </si>
  <si>
    <t>456.90万</t>
  </si>
  <si>
    <t>70.74亿</t>
  </si>
  <si>
    <t>32.58亿</t>
  </si>
  <si>
    <t>11.99亿</t>
  </si>
  <si>
    <t>4778.99万</t>
  </si>
  <si>
    <t>1016.75万</t>
  </si>
  <si>
    <t>-10585亿</t>
  </si>
  <si>
    <t>62871250亿</t>
  </si>
  <si>
    <t>1305791560亿</t>
  </si>
  <si>
    <t>2150684000亿</t>
  </si>
  <si>
    <t>18.86亿</t>
  </si>
  <si>
    <t>50.11亿</t>
  </si>
  <si>
    <t>4597.34万</t>
  </si>
  <si>
    <t>1318.65万</t>
  </si>
  <si>
    <t>6780.19万</t>
  </si>
  <si>
    <t>14.32亿</t>
  </si>
  <si>
    <t>3442.85万</t>
  </si>
  <si>
    <t>2325.48万</t>
  </si>
  <si>
    <t>322.56万</t>
  </si>
  <si>
    <t>28.64亿</t>
  </si>
  <si>
    <t>40.28亿</t>
  </si>
  <si>
    <t>-3.04亿</t>
  </si>
  <si>
    <t>10.23万</t>
  </si>
  <si>
    <t>2049.63万</t>
  </si>
  <si>
    <t>402525亿</t>
  </si>
  <si>
    <t>170.16万</t>
  </si>
  <si>
    <t>49235250亿</t>
  </si>
  <si>
    <t>761782880亿</t>
  </si>
  <si>
    <t>154.98万</t>
  </si>
  <si>
    <t>2386123800亿</t>
  </si>
  <si>
    <t>5320.73万</t>
  </si>
  <si>
    <t>1470.79万</t>
  </si>
  <si>
    <t>14.46万</t>
  </si>
  <si>
    <t>-9847.74万</t>
  </si>
  <si>
    <t>819.49万</t>
  </si>
  <si>
    <t>-9611.62万</t>
  </si>
  <si>
    <t>1759.47万</t>
  </si>
  <si>
    <t>219.13万</t>
  </si>
  <si>
    <t>29.92亿</t>
  </si>
  <si>
    <t>87.29亿</t>
  </si>
  <si>
    <t>-12.33亿</t>
  </si>
  <si>
    <t>617.31万</t>
  </si>
  <si>
    <t>3309.48万</t>
  </si>
  <si>
    <t>3766711亿</t>
  </si>
  <si>
    <t>3.00万</t>
  </si>
  <si>
    <t>17098471亿</t>
  </si>
  <si>
    <t>1387142900亿</t>
  </si>
  <si>
    <t>666.47万</t>
  </si>
  <si>
    <t>2701974500亿</t>
  </si>
  <si>
    <t>124.22万</t>
  </si>
  <si>
    <t>8.25亿</t>
  </si>
  <si>
    <t>1046.97万</t>
  </si>
  <si>
    <t>19.71亿</t>
  </si>
  <si>
    <t>5.89亿</t>
  </si>
  <si>
    <t>-1.24亿</t>
  </si>
  <si>
    <t>-2354.86万</t>
  </si>
  <si>
    <t>3762.88万</t>
  </si>
  <si>
    <t>15.99亿</t>
  </si>
  <si>
    <t>-2.23亿</t>
  </si>
  <si>
    <t>10派1.92元(含税)</t>
  </si>
  <si>
    <t>1119.74万</t>
  </si>
  <si>
    <t>7462.97万</t>
  </si>
  <si>
    <t>274.65万</t>
  </si>
  <si>
    <t>23.93亿</t>
  </si>
  <si>
    <t>12.21亿</t>
  </si>
  <si>
    <t>7671.92万</t>
  </si>
  <si>
    <t>27.83亿</t>
  </si>
  <si>
    <t>8677.71万</t>
  </si>
  <si>
    <t>5610.09万</t>
  </si>
  <si>
    <t>318.76万</t>
  </si>
  <si>
    <t>2307.88万</t>
  </si>
  <si>
    <t>34860657亿</t>
  </si>
  <si>
    <t>9367.94万</t>
  </si>
  <si>
    <t>785051160亿</t>
  </si>
  <si>
    <t>1570600200亿</t>
  </si>
  <si>
    <t>13.63亿</t>
  </si>
  <si>
    <t>4914.45万</t>
  </si>
  <si>
    <t>-2675.16万</t>
  </si>
  <si>
    <t>-4.32亿</t>
  </si>
  <si>
    <t>9003.32万</t>
  </si>
  <si>
    <t>1701.41万</t>
  </si>
  <si>
    <t>325.38万</t>
  </si>
  <si>
    <t>3893.94万</t>
  </si>
  <si>
    <t>4648.38万</t>
  </si>
  <si>
    <t>1809.56万</t>
  </si>
  <si>
    <t>905.84万</t>
  </si>
  <si>
    <t>1696.20万</t>
  </si>
  <si>
    <t>4.38万</t>
  </si>
  <si>
    <t>4036380亿</t>
  </si>
  <si>
    <t>412447370亿</t>
  </si>
  <si>
    <t>1121442810亿</t>
  </si>
  <si>
    <t>4027.67万</t>
  </si>
  <si>
    <t>-772.58万</t>
  </si>
  <si>
    <t>4151.54万</t>
  </si>
  <si>
    <t>-79.57万</t>
  </si>
  <si>
    <t>9238.40万</t>
  </si>
  <si>
    <t>9169.07万</t>
  </si>
  <si>
    <t>6468.28万</t>
  </si>
  <si>
    <t>-2.87亿</t>
  </si>
  <si>
    <t>2222.65万</t>
  </si>
  <si>
    <t>2369.31万</t>
  </si>
  <si>
    <t>40.58万</t>
  </si>
  <si>
    <t>32.22亿</t>
  </si>
  <si>
    <t>8341.36万</t>
  </si>
  <si>
    <t>1451.96万</t>
  </si>
  <si>
    <t>4547.05万</t>
  </si>
  <si>
    <t>3002.52万</t>
  </si>
  <si>
    <t>670.16万</t>
  </si>
  <si>
    <t>1179.24万</t>
  </si>
  <si>
    <t>2832469亿</t>
  </si>
  <si>
    <t>69.32万</t>
  </si>
  <si>
    <t>38324447亿</t>
  </si>
  <si>
    <t>18.16亿</t>
  </si>
  <si>
    <t>875923310亿</t>
  </si>
  <si>
    <t>3095802900亿</t>
  </si>
  <si>
    <t>1009.70万</t>
  </si>
  <si>
    <t>3595.90万</t>
  </si>
  <si>
    <t>940.00万</t>
  </si>
  <si>
    <t>3261.35万</t>
  </si>
  <si>
    <t>-1284.11万</t>
  </si>
  <si>
    <t>5306.93万</t>
  </si>
  <si>
    <t>-445.11万</t>
  </si>
  <si>
    <t>10派5元(含税)</t>
  </si>
  <si>
    <t>243.71万</t>
  </si>
  <si>
    <t>2246.57万</t>
  </si>
  <si>
    <t>014519600</t>
  </si>
  <si>
    <t>043558800</t>
  </si>
  <si>
    <t>087117600</t>
  </si>
  <si>
    <t>0145196000</t>
  </si>
  <si>
    <t>0290392000</t>
  </si>
  <si>
    <t>14.55万</t>
  </si>
  <si>
    <t>3824.41万</t>
  </si>
  <si>
    <t>-6449.99万</t>
  </si>
  <si>
    <t>3477.48万</t>
  </si>
  <si>
    <t>1926.77万</t>
  </si>
  <si>
    <t>122.07万</t>
  </si>
  <si>
    <t>1091.89万</t>
  </si>
  <si>
    <t>1795862亿</t>
  </si>
  <si>
    <t>-5428201亿</t>
  </si>
  <si>
    <t>400453560亿</t>
  </si>
  <si>
    <t>1339724250亿</t>
  </si>
  <si>
    <t>1759.51万</t>
  </si>
  <si>
    <t>6104.48万</t>
  </si>
  <si>
    <t>2832.06万</t>
  </si>
  <si>
    <t>-2180.61万</t>
  </si>
  <si>
    <t>377.86万</t>
  </si>
  <si>
    <t>-272.85万</t>
  </si>
  <si>
    <t>5641.56万</t>
  </si>
  <si>
    <t>7986.38万</t>
  </si>
  <si>
    <t>-1344.11万</t>
  </si>
  <si>
    <t>147.83万</t>
  </si>
  <si>
    <t>91.13万</t>
  </si>
  <si>
    <t>1211.15万</t>
  </si>
  <si>
    <t>134.23万</t>
  </si>
  <si>
    <t>10.86亿</t>
  </si>
  <si>
    <t>8.07亿</t>
  </si>
  <si>
    <t>5016.01万</t>
  </si>
  <si>
    <t>48.40亿</t>
  </si>
  <si>
    <t>6957.76万</t>
  </si>
  <si>
    <t>3495.90万</t>
  </si>
  <si>
    <t>478.97万</t>
  </si>
  <si>
    <t>1594.92万</t>
  </si>
  <si>
    <t>198400亿</t>
  </si>
  <si>
    <t>-7425552亿</t>
  </si>
  <si>
    <t>556645670亿</t>
  </si>
  <si>
    <t>3550.80万</t>
  </si>
  <si>
    <t>1225046990亿</t>
  </si>
  <si>
    <t>6853.51万</t>
  </si>
  <si>
    <t>2823.35万</t>
  </si>
  <si>
    <t>-1530.11万</t>
  </si>
  <si>
    <t>3772.23万</t>
  </si>
  <si>
    <t>-2923.14万</t>
  </si>
  <si>
    <t>5208.34万</t>
  </si>
  <si>
    <t>668.54万</t>
  </si>
  <si>
    <t>4739.22万</t>
  </si>
  <si>
    <t>XD三达膜</t>
  </si>
  <si>
    <t>58.38万</t>
  </si>
  <si>
    <t>16.77亿</t>
  </si>
  <si>
    <t>11.80亿</t>
  </si>
  <si>
    <t>9834.11万</t>
  </si>
  <si>
    <t>711.08万</t>
  </si>
  <si>
    <t>1134.65万</t>
  </si>
  <si>
    <t>7279728亿</t>
  </si>
  <si>
    <t>40.45万</t>
  </si>
  <si>
    <t>59848176亿</t>
  </si>
  <si>
    <t>842168560亿</t>
  </si>
  <si>
    <t>220.90万</t>
  </si>
  <si>
    <t>3201631900亿</t>
  </si>
  <si>
    <t>5803.92万</t>
  </si>
  <si>
    <t>2059.46万</t>
  </si>
  <si>
    <t>6754.05万</t>
  </si>
  <si>
    <t>5637.27万</t>
  </si>
  <si>
    <t>-1506.50万</t>
  </si>
  <si>
    <t>2164.23万</t>
  </si>
  <si>
    <t>323.24万</t>
  </si>
  <si>
    <t>3040.35万</t>
  </si>
  <si>
    <t>13.01万</t>
  </si>
  <si>
    <t>26.85亿</t>
  </si>
  <si>
    <t>-4155.24万</t>
  </si>
  <si>
    <t>9214.44万</t>
  </si>
  <si>
    <t>413.58万</t>
  </si>
  <si>
    <t>2091.25万</t>
  </si>
  <si>
    <t>1510347亿</t>
  </si>
  <si>
    <t>15371935亿</t>
  </si>
  <si>
    <t>112464352亿</t>
  </si>
  <si>
    <t>1411.04万</t>
  </si>
  <si>
    <t>1798941200亿</t>
  </si>
  <si>
    <t>9590.65万</t>
  </si>
  <si>
    <t>3505.87万</t>
  </si>
  <si>
    <t>-6.32亿</t>
  </si>
  <si>
    <t>-8729.17万</t>
  </si>
  <si>
    <t>5780.70万</t>
  </si>
  <si>
    <t>8836.24万</t>
  </si>
  <si>
    <t>-1067.00万</t>
  </si>
  <si>
    <t>92.93万</t>
  </si>
  <si>
    <t>728.00万</t>
  </si>
  <si>
    <t>43.23万</t>
  </si>
  <si>
    <t>9933.49万</t>
  </si>
  <si>
    <t>7199.70万</t>
  </si>
  <si>
    <t>409.50万</t>
  </si>
  <si>
    <t>1630.04万</t>
  </si>
  <si>
    <t>895011亿</t>
  </si>
  <si>
    <t>16.22万</t>
  </si>
  <si>
    <t>7339804亿</t>
  </si>
  <si>
    <t>4.62亿</t>
  </si>
  <si>
    <t>324387580亿</t>
  </si>
  <si>
    <t>956.31万</t>
  </si>
  <si>
    <t>1282205040亿</t>
  </si>
  <si>
    <t>2673.37万</t>
  </si>
  <si>
    <t>5722.10万</t>
  </si>
  <si>
    <t>1149.05万</t>
  </si>
  <si>
    <t>-1.38亿</t>
  </si>
  <si>
    <t>8999.95万</t>
  </si>
  <si>
    <t>7077.09万</t>
  </si>
  <si>
    <t>3483.68万</t>
  </si>
  <si>
    <t>10派4.1元(含税)</t>
  </si>
  <si>
    <t>189.72万</t>
  </si>
  <si>
    <t>1492.04万</t>
  </si>
  <si>
    <t>XD赛恩斯</t>
  </si>
  <si>
    <t>34.38万</t>
  </si>
  <si>
    <t>17.80亿</t>
  </si>
  <si>
    <t>9260.17万</t>
  </si>
  <si>
    <t>6237.02万</t>
  </si>
  <si>
    <t>853.20万</t>
  </si>
  <si>
    <t>1292.87万</t>
  </si>
  <si>
    <t>62494251亿</t>
  </si>
  <si>
    <t>15506753亿</t>
  </si>
  <si>
    <t>413070410亿</t>
  </si>
  <si>
    <t>1207.36万</t>
  </si>
  <si>
    <t>999552380亿</t>
  </si>
  <si>
    <t>4402.64万</t>
  </si>
  <si>
    <t>4990.00万</t>
  </si>
  <si>
    <t>6979.02万</t>
  </si>
  <si>
    <t>-2255.05万</t>
  </si>
  <si>
    <t>-2.92亿</t>
  </si>
  <si>
    <t>213.87万</t>
  </si>
  <si>
    <t>9032.79万</t>
  </si>
  <si>
    <t>3095.86万</t>
  </si>
  <si>
    <t>261.83万</t>
  </si>
  <si>
    <t>1391.51万</t>
  </si>
  <si>
    <t>42.34万</t>
  </si>
  <si>
    <t>13.12亿</t>
  </si>
  <si>
    <t>4692.42万</t>
  </si>
  <si>
    <t>5595.59万</t>
  </si>
  <si>
    <t>3732.39万</t>
  </si>
  <si>
    <t>751.64万</t>
  </si>
  <si>
    <t>752.42万</t>
  </si>
  <si>
    <t>453498亿</t>
  </si>
  <si>
    <t>-8234130亿</t>
  </si>
  <si>
    <t>433126810亿</t>
  </si>
  <si>
    <t>1245824830亿</t>
  </si>
  <si>
    <t>1219.23万</t>
  </si>
  <si>
    <t>370.45万</t>
  </si>
  <si>
    <t>2254.50万</t>
  </si>
  <si>
    <t>-5493.01万</t>
  </si>
  <si>
    <t>-2.89亿</t>
  </si>
  <si>
    <t>-1522.44万</t>
  </si>
  <si>
    <t>5164.74万</t>
  </si>
  <si>
    <t>127.72万</t>
  </si>
  <si>
    <t>729.91万</t>
  </si>
  <si>
    <t>197.63万</t>
  </si>
  <si>
    <t>1982.62万</t>
  </si>
  <si>
    <t>225.10万</t>
  </si>
  <si>
    <t>4962.18万</t>
  </si>
  <si>
    <t>6240.72万</t>
  </si>
  <si>
    <t>4747.00万</t>
  </si>
  <si>
    <t>177.81万</t>
  </si>
  <si>
    <t>586.12万</t>
  </si>
  <si>
    <t>2.61万</t>
  </si>
  <si>
    <t>-6081998亿</t>
  </si>
  <si>
    <t>8094.44万</t>
  </si>
  <si>
    <t>127974572亿</t>
  </si>
  <si>
    <t>1347.85万</t>
  </si>
  <si>
    <t>663360470亿</t>
  </si>
  <si>
    <t>428.45万</t>
  </si>
  <si>
    <t>4213.61万</t>
  </si>
  <si>
    <t>7853.06万</t>
  </si>
  <si>
    <t>-67.46万</t>
  </si>
  <si>
    <t>-1354.61万</t>
  </si>
  <si>
    <t>-3632.25万</t>
  </si>
  <si>
    <t>-8784.25万</t>
  </si>
  <si>
    <t>3801.06万</t>
  </si>
  <si>
    <t>1163.78万</t>
  </si>
  <si>
    <t>7985.72万</t>
  </si>
  <si>
    <t>71.85万</t>
  </si>
  <si>
    <t>16.22亿</t>
  </si>
  <si>
    <t>11.31亿</t>
  </si>
  <si>
    <t>48.72亿</t>
  </si>
  <si>
    <t>-2.29亿</t>
  </si>
  <si>
    <t>1096.18万</t>
  </si>
  <si>
    <t>1984.38万</t>
  </si>
  <si>
    <t>-2205289亿</t>
  </si>
  <si>
    <t>5.77万</t>
  </si>
  <si>
    <t>-3486808亿</t>
  </si>
  <si>
    <t>887052680亿</t>
  </si>
  <si>
    <t>239.42万</t>
  </si>
  <si>
    <t>1871841900亿</t>
  </si>
  <si>
    <t>5010.85万</t>
  </si>
  <si>
    <t>14.13亿</t>
  </si>
  <si>
    <t>-2380.56万</t>
  </si>
  <si>
    <t>-5144.55万</t>
  </si>
  <si>
    <t>5309.48万</t>
  </si>
  <si>
    <t>4553.61万</t>
  </si>
  <si>
    <t>14.91亿</t>
  </si>
  <si>
    <t>13.51亿</t>
  </si>
  <si>
    <t>3172.76万</t>
  </si>
  <si>
    <t>2274.57万</t>
  </si>
  <si>
    <t>10派0.73元(含税)</t>
  </si>
  <si>
    <t>365.16万</t>
  </si>
  <si>
    <t>3095.34万</t>
  </si>
  <si>
    <t>331.78万</t>
  </si>
  <si>
    <t>5328.19万</t>
  </si>
  <si>
    <t>-1953.08万</t>
  </si>
  <si>
    <t>6451.45万</t>
  </si>
  <si>
    <t>4469.63万</t>
  </si>
  <si>
    <t>295.73万</t>
  </si>
  <si>
    <t>1008.26万</t>
  </si>
  <si>
    <t>-5741291亿</t>
  </si>
  <si>
    <t>7216.48万</t>
  </si>
  <si>
    <t>145909460亿</t>
  </si>
  <si>
    <t>631.50万</t>
  </si>
  <si>
    <t>600047700亿</t>
  </si>
  <si>
    <t>34.13万</t>
  </si>
  <si>
    <t>2910.06万</t>
  </si>
  <si>
    <t>-1902.57万</t>
  </si>
  <si>
    <t>-38.39万</t>
  </si>
  <si>
    <t>-1963.84万</t>
  </si>
  <si>
    <t>-9387.35万</t>
  </si>
  <si>
    <t>1566.87万</t>
  </si>
  <si>
    <t>1796.14万</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</si>
</sst>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宋体"/>
      <family val="2"/>
      <charset val="134"/>
      <scheme val="minor"/>
    </font>
    <font>
      <sz val="9"/>
      <name val="宋体"/>
      <family val="2"/>
      <charset val="134"/>
      <scheme val="minor"/>
    </font>
    <font>
      <sz val="11"/>
      <color indexed="8"/>
      <name val="Calibri"/>
      <family val="2"/>
    </font>
    <font>
      <sz val="9"/>
      <color theme="1"/>
      <name val="宋体"/>
      <family val="2"/>
      <charset val="134"/>
      <scheme val="minor"/>
    </font>
    <font>
      <sz val="9"/>
      <color rgb="FFFF0000"/>
      <name val="宋体"/>
      <family val="3"/>
      <charset val="134"/>
      <scheme val="minor"/>
    </font>
    <font>
      <sz val="9"/>
      <color theme="8" tint="-0.249977111117893"/>
      <name val="宋体"/>
      <family val="3"/>
      <charset val="134"/>
      <scheme val="minor"/>
    </font>
    <font>
      <sz val="9"/>
      <name val="宋体"/>
      <family val="3"/>
      <charset val="134"/>
      <scheme val="minor"/>
    </font>
    <font>
      <sz val="9"/>
      <color theme="1"/>
      <name val="宋体"/>
      <family val="3"/>
      <charset val="134"/>
      <scheme val="minor"/>
    </font>
    <font>
      <b/>
      <sz val="9"/>
      <color rgb="FFFF0000"/>
      <name val="宋体"/>
      <family val="3"/>
      <charset val="134"/>
      <scheme val="minor"/>
    </font>
    <font>
      <b/>
      <sz val="9"/>
      <color theme="1"/>
      <name val="宋体"/>
      <family val="3"/>
      <charset val="134"/>
      <scheme val="minor"/>
    </font>
    <font>
      <sz val="11"/>
      <name val="宋体"/>
      <family val="2"/>
      <charset val="134"/>
      <scheme val="minor"/>
    </font>
    <font>
      <sz val="11"/>
      <color rgb="FFFF0000"/>
      <name val="宋体"/>
      <family val="2"/>
      <charset val="134"/>
      <scheme val="minor"/>
    </font>
    <font>
      <sz val="11"/>
      <color rgb="FF000000"/>
      <name val="宋体"/>
      <family val="3"/>
      <charset val="134"/>
    </font>
  </fonts>
  <fills count="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2" fillId="0" borderId="0" applyFill="0" applyProtection="0"/>
  </cellStyleXfs>
  <cellXfs count="17">
    <xf numFmtId="0" fontId="0" fillId="0" borderId="0" xfId="0">
      <alignment vertical="center"/>
    </xf>
    <xf numFmtId="0" fontId="0" fillId="0" borderId="0" xfId="0" applyFill="1">
      <alignment vertical="center"/>
    </xf>
    <xf numFmtId="0" fontId="0" fillId="2" borderId="0" xfId="0" applyFill="1">
      <alignment vertical="center"/>
    </xf>
    <xf numFmtId="0" fontId="0" fillId="0" borderId="1" xfId="0" applyNumberFormat="1" applyFill="1" applyBorder="1" applyAlignment="1">
      <alignment vertical="center" wrapText="1"/>
    </xf>
    <xf numFmtId="0" fontId="0" fillId="3" borderId="1" xfId="0" applyNumberFormat="1" applyFill="1" applyBorder="1" applyAlignment="1">
      <alignment vertical="center" wrapText="1"/>
    </xf>
    <xf numFmtId="10" fontId="0" fillId="0" borderId="0" xfId="0" applyNumberFormat="1">
      <alignment vertical="center"/>
    </xf>
    <xf numFmtId="9" fontId="0" fillId="0" borderId="0" xfId="0" applyNumberFormat="1">
      <alignment vertical="center"/>
    </xf>
    <xf numFmtId="0" fontId="3" fillId="0" borderId="0" xfId="0" applyFont="1" applyAlignment="1">
      <alignment vertical="center" wrapText="1"/>
    </xf>
    <xf numFmtId="0" fontId="7" fillId="0" borderId="0" xfId="0" applyFont="1" applyAlignment="1">
      <alignment vertical="center" wrapText="1"/>
    </xf>
    <xf numFmtId="0" fontId="3" fillId="0" borderId="0" xfId="0" applyFont="1">
      <alignment vertical="center"/>
    </xf>
    <xf numFmtId="0" fontId="0" fillId="4" borderId="0" xfId="0" applyFill="1">
      <alignment vertical="center"/>
    </xf>
    <xf numFmtId="0" fontId="0" fillId="5" borderId="0" xfId="0" applyFill="1">
      <alignment vertical="center"/>
    </xf>
    <xf numFmtId="0" fontId="10" fillId="0" borderId="0" xfId="0" applyFont="1">
      <alignment vertical="center"/>
    </xf>
    <xf numFmtId="0" fontId="10" fillId="0" borderId="0" xfId="0" applyFont="1" applyFill="1">
      <alignment vertical="center"/>
    </xf>
    <xf numFmtId="14" fontId="0" fillId="0" borderId="0" xfId="0" applyNumberFormat="1">
      <alignment vertical="center"/>
    </xf>
    <xf numFmtId="0" fontId="11" fillId="0" borderId="0" xfId="0" applyFont="1">
      <alignment vertical="center"/>
    </xf>
    <xf numFmtId="0" fontId="0" fillId="0" borderId="0" xfId="0" applyNumberFormat="1">
      <alignment vertical="center"/>
    </xf>
  </cellXfs>
  <cellStyles count="2">
    <cellStyle name="常规" xfId="0" builtinId="0"/>
    <cellStyle name="常规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247650</xdr:colOff>
          <xdr:row>0</xdr:row>
          <xdr:rowOff>95250</xdr:rowOff>
        </xdr:from>
        <xdr:to>
          <xdr:col>147</xdr:col>
          <xdr:colOff>1422400</xdr:colOff>
          <xdr:row>0</xdr:row>
          <xdr:rowOff>406400</xdr:rowOff>
        </xdr:to>
        <xdr:sp macro="" textlink="">
          <xdr:nvSpPr>
            <xdr:cNvPr id="2050" name="Button 2" descr="更新基本面按钮&#10;"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P115"/>
  <sheetViews>
    <sheetView tabSelected="1" zoomScale="85" zoomScaleNormal="85" workbookViewId="0">
      <pane xSplit="5" ySplit="1" topLeftCell="F110" activePane="bottomRight" state="frozen"/>
      <selection pane="topRight" activeCell="F1" sqref="F1"/>
      <selection pane="bottomLeft" activeCell="A2" sqref="A2"/>
      <selection pane="bottomRight" activeCell="D115" sqref="D115:EP115"/>
    </sheetView>
  </sheetViews>
  <sheetFormatPr defaultRowHeight="14" x14ac:dyDescent="0.25"/>
  <cols>
    <col min="1" max="1" width="36.453125" customWidth="1"/>
    <col min="2" max="2" width="40.08984375" customWidth="1"/>
    <col min="3" max="3" width="38.81640625" customWidth="1"/>
    <col min="9" max="9" width="12.54296875" customWidth="1"/>
    <col min="16" max="16" width="18" customWidth="1"/>
    <col min="148" max="148" width="24.08984375" customWidth="1"/>
  </cols>
  <sheetData>
    <row r="1" spans="1:146" ht="40.5" customHeight="1" x14ac:dyDescent="0.25">
      <c r="A1" s="3" t="s">
        <v>29</v>
      </c>
      <c r="B1" s="4" t="s">
        <v>30</v>
      </c>
      <c r="C1" s="3" t="s">
        <v>31</v>
      </c>
      <c r="D1" t="s">
        <v>32</v>
      </c>
      <c r="E1" t="s">
        <v>1063</v>
      </c>
      <c r="F1" t="s">
        <v>3</v>
      </c>
      <c r="G1" t="s">
        <v>920</v>
      </c>
      <c r="H1" t="s">
        <v>1064</v>
      </c>
      <c r="I1" t="s">
        <v>33</v>
      </c>
      <c r="J1" t="s">
        <v>34</v>
      </c>
      <c r="K1" t="s">
        <v>4</v>
      </c>
      <c r="L1" t="s">
        <v>35</v>
      </c>
      <c r="M1" t="s">
        <v>36</v>
      </c>
      <c r="N1" t="s">
        <v>37</v>
      </c>
      <c r="O1" t="s">
        <v>38</v>
      </c>
      <c r="P1" t="s">
        <v>1065</v>
      </c>
      <c r="Q1" t="s">
        <v>1066</v>
      </c>
      <c r="R1" t="s">
        <v>1067</v>
      </c>
      <c r="S1" t="s">
        <v>39</v>
      </c>
      <c r="T1" t="s">
        <v>1068</v>
      </c>
      <c r="U1" t="s">
        <v>921</v>
      </c>
      <c r="V1" t="s">
        <v>40</v>
      </c>
      <c r="W1" t="s">
        <v>1069</v>
      </c>
      <c r="X1" t="s">
        <v>1070</v>
      </c>
      <c r="Y1" t="s">
        <v>1071</v>
      </c>
      <c r="Z1" t="s">
        <v>1072</v>
      </c>
      <c r="AA1" t="s">
        <v>1073</v>
      </c>
      <c r="AB1" t="s">
        <v>1074</v>
      </c>
      <c r="AC1" t="s">
        <v>1075</v>
      </c>
      <c r="AD1" t="s">
        <v>1076</v>
      </c>
      <c r="AE1" t="s">
        <v>41</v>
      </c>
      <c r="AF1" t="s">
        <v>42</v>
      </c>
      <c r="AG1" t="s">
        <v>1077</v>
      </c>
      <c r="AH1" t="s">
        <v>1078</v>
      </c>
      <c r="AI1" t="s">
        <v>1079</v>
      </c>
      <c r="AJ1" t="s">
        <v>43</v>
      </c>
      <c r="AK1" t="s">
        <v>1080</v>
      </c>
      <c r="AL1" t="s">
        <v>325</v>
      </c>
      <c r="AM1" t="s">
        <v>1081</v>
      </c>
      <c r="AN1" t="s">
        <v>1082</v>
      </c>
      <c r="AO1" t="s">
        <v>1083</v>
      </c>
      <c r="AP1" t="s">
        <v>1084</v>
      </c>
      <c r="AQ1" t="s">
        <v>1085</v>
      </c>
      <c r="AR1" t="s">
        <v>1086</v>
      </c>
      <c r="AS1" t="s">
        <v>1087</v>
      </c>
      <c r="AT1" t="s">
        <v>1088</v>
      </c>
      <c r="AU1" t="s">
        <v>1089</v>
      </c>
      <c r="AV1" t="s">
        <v>1090</v>
      </c>
      <c r="AW1" t="s">
        <v>1091</v>
      </c>
      <c r="AX1" t="s">
        <v>1092</v>
      </c>
      <c r="AY1" t="s">
        <v>326</v>
      </c>
      <c r="AZ1" t="s">
        <v>327</v>
      </c>
      <c r="BA1" t="s">
        <v>328</v>
      </c>
      <c r="BB1" t="s">
        <v>329</v>
      </c>
      <c r="BC1" t="s">
        <v>922</v>
      </c>
      <c r="BD1" t="s">
        <v>330</v>
      </c>
      <c r="BE1" t="s">
        <v>331</v>
      </c>
      <c r="BF1" t="s">
        <v>332</v>
      </c>
      <c r="BG1" t="s">
        <v>333</v>
      </c>
      <c r="BH1" t="s">
        <v>1093</v>
      </c>
      <c r="BI1" t="s">
        <v>1094</v>
      </c>
      <c r="BJ1" t="s">
        <v>1095</v>
      </c>
      <c r="BK1" t="s">
        <v>1096</v>
      </c>
      <c r="BL1" t="s">
        <v>1097</v>
      </c>
      <c r="BM1" t="s">
        <v>1098</v>
      </c>
      <c r="BN1" t="s">
        <v>1099</v>
      </c>
      <c r="BO1" t="s">
        <v>1100</v>
      </c>
      <c r="BP1" t="s">
        <v>923</v>
      </c>
      <c r="BQ1" t="s">
        <v>334</v>
      </c>
      <c r="BR1" t="s">
        <v>1101</v>
      </c>
      <c r="BS1" t="s">
        <v>924</v>
      </c>
      <c r="BT1" t="s">
        <v>335</v>
      </c>
      <c r="BU1" t="s">
        <v>1102</v>
      </c>
      <c r="BV1" t="s">
        <v>1103</v>
      </c>
      <c r="BW1" t="s">
        <v>677</v>
      </c>
      <c r="BX1" t="s">
        <v>336</v>
      </c>
      <c r="BY1" t="s">
        <v>1104</v>
      </c>
      <c r="BZ1" t="s">
        <v>678</v>
      </c>
      <c r="CA1" t="s">
        <v>337</v>
      </c>
      <c r="CB1" t="s">
        <v>1105</v>
      </c>
      <c r="CC1" t="s">
        <v>1106</v>
      </c>
      <c r="CD1" t="s">
        <v>1107</v>
      </c>
      <c r="CE1" t="s">
        <v>1108</v>
      </c>
      <c r="CF1" s="1" t="s">
        <v>1109</v>
      </c>
      <c r="CG1" s="1" t="s">
        <v>1110</v>
      </c>
      <c r="CH1" s="1" t="s">
        <v>661</v>
      </c>
      <c r="CI1" s="1" t="s">
        <v>662</v>
      </c>
      <c r="CJ1" s="1" t="s">
        <v>663</v>
      </c>
      <c r="CK1" s="1" t="s">
        <v>664</v>
      </c>
      <c r="CL1" s="1" t="s">
        <v>665</v>
      </c>
      <c r="CM1" s="1" t="s">
        <v>666</v>
      </c>
      <c r="CN1" s="1" t="s">
        <v>667</v>
      </c>
      <c r="CO1" s="1" t="s">
        <v>668</v>
      </c>
      <c r="CP1" s="1" t="s">
        <v>669</v>
      </c>
      <c r="CQ1" s="1" t="s">
        <v>670</v>
      </c>
      <c r="CR1" s="1" t="s">
        <v>1111</v>
      </c>
      <c r="CS1" s="1" t="s">
        <v>1112</v>
      </c>
      <c r="CT1" s="1" t="s">
        <v>1113</v>
      </c>
      <c r="CU1" s="1" t="s">
        <v>1114</v>
      </c>
      <c r="CV1" s="1" t="s">
        <v>1115</v>
      </c>
      <c r="CW1" s="1" t="s">
        <v>1116</v>
      </c>
      <c r="CX1">
        <v>1</v>
      </c>
      <c r="CY1" t="s">
        <v>1117</v>
      </c>
      <c r="CZ1" t="s">
        <v>1118</v>
      </c>
      <c r="DA1">
        <v>3</v>
      </c>
      <c r="DB1" t="s">
        <v>1119</v>
      </c>
      <c r="DC1" t="s">
        <v>1120</v>
      </c>
      <c r="DD1">
        <v>6</v>
      </c>
      <c r="DE1" t="s">
        <v>1121</v>
      </c>
      <c r="DF1" t="s">
        <v>1122</v>
      </c>
      <c r="DG1">
        <v>10</v>
      </c>
      <c r="DH1" t="s">
        <v>1123</v>
      </c>
      <c r="DI1" t="s">
        <v>1124</v>
      </c>
      <c r="DJ1">
        <v>20</v>
      </c>
      <c r="DK1" t="s">
        <v>1125</v>
      </c>
      <c r="DL1" t="s">
        <v>671</v>
      </c>
      <c r="DM1" t="s">
        <v>672</v>
      </c>
      <c r="DN1" s="2" t="s">
        <v>673</v>
      </c>
      <c r="DO1" t="s">
        <v>1126</v>
      </c>
      <c r="DP1" t="s">
        <v>1127</v>
      </c>
      <c r="DQ1" s="13" t="s">
        <v>1128</v>
      </c>
      <c r="DR1" s="1" t="s">
        <v>1129</v>
      </c>
      <c r="DS1" s="1" t="s">
        <v>1130</v>
      </c>
      <c r="DT1" t="s">
        <v>1131</v>
      </c>
      <c r="DU1" t="s">
        <v>1132</v>
      </c>
      <c r="DV1" t="s">
        <v>1133</v>
      </c>
      <c r="DW1" t="s">
        <v>1134</v>
      </c>
      <c r="DX1" t="s">
        <v>1135</v>
      </c>
      <c r="DY1" t="s">
        <v>1136</v>
      </c>
      <c r="DZ1" t="s">
        <v>1137</v>
      </c>
      <c r="EA1" t="s">
        <v>1138</v>
      </c>
      <c r="EB1" t="s">
        <v>1139</v>
      </c>
      <c r="EC1" t="s">
        <v>1140</v>
      </c>
      <c r="ED1" t="s">
        <v>1141</v>
      </c>
      <c r="EE1" t="s">
        <v>1142</v>
      </c>
      <c r="EF1" t="s">
        <v>1143</v>
      </c>
      <c r="EG1" t="s">
        <v>1144</v>
      </c>
      <c r="EH1" t="s">
        <v>1145</v>
      </c>
      <c r="EI1" t="s">
        <v>1146</v>
      </c>
      <c r="EK1" s="14" t="s">
        <v>1147</v>
      </c>
      <c r="EL1" t="s">
        <v>1148</v>
      </c>
      <c r="EM1" t="s">
        <v>1149</v>
      </c>
      <c r="EN1" t="s">
        <v>1150</v>
      </c>
      <c r="EO1" t="s">
        <v>1151</v>
      </c>
      <c r="EP1" t="s">
        <v>1152</v>
      </c>
    </row>
    <row r="2" spans="1:146" ht="96" x14ac:dyDescent="0.25">
      <c r="A2" s="7" t="s">
        <v>913</v>
      </c>
      <c r="B2" s="7" t="s">
        <v>914</v>
      </c>
      <c r="C2" s="7" t="s">
        <v>912</v>
      </c>
      <c r="D2" t="s">
        <v>49</v>
      </c>
      <c r="E2" t="s">
        <v>6</v>
      </c>
      <c r="F2">
        <v>4.49</v>
      </c>
      <c r="G2">
        <v>0.45</v>
      </c>
      <c r="H2" t="s">
        <v>1509</v>
      </c>
      <c r="I2">
        <v>11331760100</v>
      </c>
      <c r="J2">
        <v>35.049999999999997</v>
      </c>
      <c r="K2">
        <v>1.08</v>
      </c>
      <c r="L2" t="s">
        <v>679</v>
      </c>
      <c r="M2" t="s">
        <v>1510</v>
      </c>
      <c r="N2" t="s">
        <v>1511</v>
      </c>
      <c r="O2" t="s">
        <v>1512</v>
      </c>
      <c r="P2">
        <v>-2.89</v>
      </c>
      <c r="Q2" t="s">
        <v>1276</v>
      </c>
      <c r="R2">
        <v>325571670</v>
      </c>
      <c r="S2" s="5">
        <v>1.589</v>
      </c>
      <c r="T2" t="s">
        <v>150</v>
      </c>
      <c r="U2">
        <v>2453345400</v>
      </c>
      <c r="V2">
        <v>2523777300</v>
      </c>
      <c r="W2">
        <v>2.58</v>
      </c>
      <c r="X2">
        <v>0.14000000000000001</v>
      </c>
      <c r="Y2">
        <v>9.65</v>
      </c>
      <c r="Z2" t="s">
        <v>1513</v>
      </c>
      <c r="AA2" t="s">
        <v>1514</v>
      </c>
      <c r="AB2" t="s">
        <v>1515</v>
      </c>
      <c r="AC2" t="s">
        <v>1516</v>
      </c>
      <c r="AD2" t="s">
        <v>1517</v>
      </c>
      <c r="AE2">
        <v>215868840</v>
      </c>
      <c r="AF2" t="s">
        <v>1518</v>
      </c>
      <c r="AG2" t="s">
        <v>1519</v>
      </c>
      <c r="AH2" t="s">
        <v>1520</v>
      </c>
      <c r="AI2" t="s">
        <v>1318</v>
      </c>
      <c r="AJ2" t="s">
        <v>1521</v>
      </c>
      <c r="AK2" t="s">
        <v>1522</v>
      </c>
      <c r="AL2" t="s">
        <v>1523</v>
      </c>
      <c r="AM2" t="s">
        <v>28</v>
      </c>
      <c r="AN2" t="s">
        <v>1524</v>
      </c>
      <c r="AO2" t="s">
        <v>1525</v>
      </c>
      <c r="AP2" t="s">
        <v>150</v>
      </c>
      <c r="AQ2" t="s">
        <v>1526</v>
      </c>
      <c r="AR2" t="s">
        <v>28</v>
      </c>
      <c r="AS2" t="s">
        <v>1527</v>
      </c>
      <c r="AT2" t="s">
        <v>1528</v>
      </c>
      <c r="AU2" t="s">
        <v>1529</v>
      </c>
      <c r="AV2" t="s">
        <v>1530</v>
      </c>
      <c r="AW2" t="s">
        <v>547</v>
      </c>
      <c r="AX2" t="s">
        <v>925</v>
      </c>
      <c r="AY2" t="s">
        <v>340</v>
      </c>
      <c r="AZ2" t="s">
        <v>50</v>
      </c>
      <c r="BA2" t="s">
        <v>343</v>
      </c>
      <c r="BB2" t="s">
        <v>344</v>
      </c>
      <c r="BC2" t="s">
        <v>744</v>
      </c>
      <c r="BD2" t="s">
        <v>341</v>
      </c>
      <c r="BE2" t="s">
        <v>51</v>
      </c>
      <c r="BF2" t="s">
        <v>316</v>
      </c>
      <c r="BG2" t="s">
        <v>301</v>
      </c>
      <c r="BH2" t="s">
        <v>1531</v>
      </c>
      <c r="BI2" t="s">
        <v>1532</v>
      </c>
      <c r="BJ2" t="s">
        <v>1459</v>
      </c>
      <c r="BK2" t="s">
        <v>315</v>
      </c>
      <c r="BL2" t="s">
        <v>120</v>
      </c>
      <c r="BM2" t="s">
        <v>620</v>
      </c>
      <c r="BN2">
        <v>0.59</v>
      </c>
      <c r="BO2">
        <v>4.87</v>
      </c>
      <c r="BP2">
        <v>3.66</v>
      </c>
      <c r="BQ2">
        <v>0.44</v>
      </c>
      <c r="BR2">
        <v>6.25</v>
      </c>
      <c r="BS2">
        <v>5.81</v>
      </c>
      <c r="BT2" t="s">
        <v>1244</v>
      </c>
      <c r="BU2" t="s">
        <v>1061</v>
      </c>
      <c r="BV2">
        <v>26.77</v>
      </c>
      <c r="BW2">
        <v>14.13</v>
      </c>
      <c r="BX2">
        <v>14.73</v>
      </c>
      <c r="BY2">
        <v>7.64</v>
      </c>
      <c r="BZ2">
        <v>4.22</v>
      </c>
      <c r="CA2">
        <v>3.79</v>
      </c>
      <c r="CB2">
        <v>6.9</v>
      </c>
      <c r="CC2">
        <v>12.53</v>
      </c>
      <c r="CD2" t="s">
        <v>69</v>
      </c>
      <c r="CE2" t="s">
        <v>880</v>
      </c>
      <c r="CF2" s="10">
        <v>3.6710719530099289E-3</v>
      </c>
      <c r="CG2" s="11">
        <v>79.785835000000006</v>
      </c>
      <c r="CH2" s="10">
        <v>-0.67430686950683594</v>
      </c>
      <c r="CI2" s="10">
        <v>-5.826127901673317E-2</v>
      </c>
      <c r="CJ2" s="10">
        <v>0.17646735906600952</v>
      </c>
      <c r="CK2" s="10">
        <v>9.0633459091186523</v>
      </c>
      <c r="CL2" s="10">
        <v>0.14578168094158173</v>
      </c>
      <c r="CM2" s="11">
        <v>-0.83127570152282715</v>
      </c>
      <c r="CN2" s="11">
        <v>0.11467889696359634</v>
      </c>
      <c r="CO2" s="11">
        <v>-8.2748949527740479E-2</v>
      </c>
      <c r="CP2" s="11">
        <v>2.3009259700775146</v>
      </c>
      <c r="CQ2" s="11">
        <v>-2.7027027681469917E-2</v>
      </c>
      <c r="CR2">
        <v>25.589221151674824</v>
      </c>
      <c r="CS2">
        <v>0.1478628330949614</v>
      </c>
      <c r="CT2">
        <v>0</v>
      </c>
      <c r="CU2" s="10">
        <v>1.7306053601205349</v>
      </c>
      <c r="CV2" s="11">
        <v>0.29491063766181469</v>
      </c>
      <c r="CW2">
        <v>0.06</v>
      </c>
      <c r="CX2">
        <v>55.270884406690733</v>
      </c>
      <c r="CY2">
        <v>316853263.48568469</v>
      </c>
      <c r="CZ2">
        <v>1.7306053601205349</v>
      </c>
      <c r="DA2">
        <v>5.8745144878667759</v>
      </c>
      <c r="DB2">
        <v>2981141698.8026605</v>
      </c>
      <c r="DC2">
        <v>1.644075092114508</v>
      </c>
      <c r="DD2">
        <v>0.456630352668351</v>
      </c>
      <c r="DE2">
        <v>38352159460.410324</v>
      </c>
      <c r="DF2">
        <v>1.5229327169060707</v>
      </c>
      <c r="DG2">
        <v>2.3842222769399381E-2</v>
      </c>
      <c r="DH2">
        <v>734527156690.98547</v>
      </c>
      <c r="DI2">
        <v>1.3844842880964281</v>
      </c>
      <c r="DJ2">
        <v>3.0387207185663657E-5</v>
      </c>
      <c r="DK2">
        <v>576320159763228.37</v>
      </c>
      <c r="DL2">
        <v>1.2114237520843743</v>
      </c>
      <c r="DM2">
        <v>123000000</v>
      </c>
      <c r="DN2">
        <v>1.7306053601205349</v>
      </c>
      <c r="DO2">
        <v>17512760100</v>
      </c>
      <c r="DP2">
        <v>-1897192900</v>
      </c>
      <c r="DQ2">
        <v>28</v>
      </c>
      <c r="DR2">
        <v>-1.7269342881675249</v>
      </c>
      <c r="DS2">
        <v>79.490924362338191</v>
      </c>
      <c r="DT2" s="12">
        <v>-0.20999999999999996</v>
      </c>
      <c r="DU2">
        <v>0.52333333333333332</v>
      </c>
      <c r="DV2">
        <v>0.31333333333333335</v>
      </c>
      <c r="DW2">
        <v>9.5506783719074217</v>
      </c>
      <c r="DX2">
        <v>0.97943742824339441</v>
      </c>
      <c r="DY2">
        <v>9.1043190945634045</v>
      </c>
      <c r="DZ2">
        <v>1483</v>
      </c>
      <c r="EA2">
        <v>9.074079607222215</v>
      </c>
      <c r="EB2">
        <v>9</v>
      </c>
      <c r="EC2">
        <v>6.5378193234403054E-2</v>
      </c>
      <c r="ED2">
        <v>0.34511761398281859</v>
      </c>
      <c r="EE2" s="15">
        <v>3.0414099999999999</v>
      </c>
      <c r="EF2">
        <v>3.0369100000000002</v>
      </c>
      <c r="EG2">
        <v>79.189437428243394</v>
      </c>
      <c r="EH2" t="s">
        <v>1366</v>
      </c>
      <c r="EI2">
        <v>1</v>
      </c>
      <c r="EJ2">
        <v>1</v>
      </c>
      <c r="EK2" s="14">
        <v>45385</v>
      </c>
      <c r="EL2" s="16">
        <v>1.43</v>
      </c>
      <c r="EM2" s="16">
        <v>3.05</v>
      </c>
      <c r="EN2" s="16">
        <v>0.23</v>
      </c>
      <c r="EO2" s="16">
        <v>1.59</v>
      </c>
      <c r="EP2" s="16">
        <v>0.45</v>
      </c>
    </row>
    <row r="3" spans="1:146" ht="108" x14ac:dyDescent="0.25">
      <c r="A3" s="7"/>
      <c r="B3" s="7"/>
      <c r="C3" s="7" t="str">
        <f>""&amp;CHAR(10)&amp;Basic_Fundamental_Information_Constructure(F3)&amp;CHAR(10)&amp;Basic_Fundamental_Information_Concatenate("")</f>
        <v xml:space="preserve">
市值26.878128亿, 利润6.54亿; PE4.09; 平均PE348.63; 平均PEG5.43, PB3.98; ROIC16.51%; ROE-3.6%; 股利率0%; 毛利6.6167%; 净利11.75%; 上一年度营收增-16.95%, 利润增401.38%; 当季营收增54.72%, 利润增12.33%; 过往5年营收增64.25%, 利润增-488.43%
Income profile:
</v>
      </c>
      <c r="D3" t="s">
        <v>55</v>
      </c>
      <c r="E3" t="s">
        <v>27</v>
      </c>
      <c r="F3">
        <v>2.67</v>
      </c>
      <c r="G3">
        <v>1.1399999999999999</v>
      </c>
      <c r="H3" t="s">
        <v>1746</v>
      </c>
      <c r="I3">
        <v>2687812800</v>
      </c>
      <c r="J3">
        <v>4.09</v>
      </c>
      <c r="K3">
        <v>3.98</v>
      </c>
      <c r="L3" t="s">
        <v>1747</v>
      </c>
      <c r="M3" t="s">
        <v>1748</v>
      </c>
      <c r="N3" t="s">
        <v>1565</v>
      </c>
      <c r="O3" t="s">
        <v>315</v>
      </c>
      <c r="P3">
        <v>54.76</v>
      </c>
      <c r="Q3" t="s">
        <v>1749</v>
      </c>
      <c r="R3">
        <v>-23600030</v>
      </c>
      <c r="S3" s="5">
        <v>0.12330000000000001</v>
      </c>
      <c r="T3" t="s">
        <v>341</v>
      </c>
      <c r="U3">
        <v>1006671460</v>
      </c>
      <c r="V3">
        <v>1006671460</v>
      </c>
      <c r="W3">
        <v>3.92</v>
      </c>
      <c r="X3">
        <v>0.04</v>
      </c>
      <c r="Y3">
        <v>-14.7</v>
      </c>
      <c r="Z3" t="s">
        <v>170</v>
      </c>
      <c r="AA3" t="s">
        <v>511</v>
      </c>
      <c r="AB3" t="s">
        <v>1750</v>
      </c>
      <c r="AC3" t="s">
        <v>1751</v>
      </c>
      <c r="AD3" t="s">
        <v>28</v>
      </c>
      <c r="AE3">
        <v>4156868</v>
      </c>
      <c r="AF3" t="s">
        <v>1752</v>
      </c>
      <c r="AG3">
        <v>0.02</v>
      </c>
      <c r="AH3" t="s">
        <v>1753</v>
      </c>
      <c r="AI3" t="s">
        <v>347</v>
      </c>
      <c r="AJ3" t="s">
        <v>1754</v>
      </c>
      <c r="AK3" t="s">
        <v>1755</v>
      </c>
      <c r="AL3" t="s">
        <v>1756</v>
      </c>
      <c r="AM3" t="s">
        <v>28</v>
      </c>
      <c r="AN3" t="s">
        <v>1757</v>
      </c>
      <c r="AO3" t="s">
        <v>1758</v>
      </c>
      <c r="AP3" t="s">
        <v>28</v>
      </c>
      <c r="AQ3" t="s">
        <v>1569</v>
      </c>
      <c r="AR3" t="s">
        <v>28</v>
      </c>
      <c r="AS3" t="s">
        <v>1657</v>
      </c>
      <c r="AT3" t="s">
        <v>1759</v>
      </c>
      <c r="AU3" t="s">
        <v>1760</v>
      </c>
      <c r="AV3" t="s">
        <v>1761</v>
      </c>
      <c r="AW3" t="s">
        <v>1762</v>
      </c>
      <c r="AX3" t="s">
        <v>1214</v>
      </c>
      <c r="AY3" t="s">
        <v>926</v>
      </c>
      <c r="AZ3" t="s">
        <v>153</v>
      </c>
      <c r="BA3" t="s">
        <v>56</v>
      </c>
      <c r="BB3" t="s">
        <v>346</v>
      </c>
      <c r="BC3" t="s">
        <v>1763</v>
      </c>
      <c r="BD3" t="s">
        <v>927</v>
      </c>
      <c r="BE3" t="s">
        <v>345</v>
      </c>
      <c r="BF3" t="s">
        <v>57</v>
      </c>
      <c r="BG3" t="s">
        <v>348</v>
      </c>
      <c r="BH3" t="s">
        <v>1749</v>
      </c>
      <c r="BI3" t="s">
        <v>365</v>
      </c>
      <c r="BJ3" t="s">
        <v>1214</v>
      </c>
      <c r="BK3" t="s">
        <v>341</v>
      </c>
      <c r="BL3" t="s">
        <v>1764</v>
      </c>
      <c r="BM3" t="s">
        <v>1763</v>
      </c>
      <c r="BN3">
        <v>16.510000000000002</v>
      </c>
      <c r="BO3" t="s">
        <v>28</v>
      </c>
      <c r="BP3" t="s">
        <v>28</v>
      </c>
      <c r="BQ3">
        <v>161.51</v>
      </c>
      <c r="BR3">
        <v>-140.99</v>
      </c>
      <c r="BS3">
        <v>-31.32</v>
      </c>
      <c r="BT3" t="s">
        <v>1244</v>
      </c>
      <c r="BU3" t="s">
        <v>1153</v>
      </c>
      <c r="BV3">
        <v>0.1</v>
      </c>
      <c r="BW3">
        <v>10.78</v>
      </c>
      <c r="BX3">
        <v>8.9700000000000006</v>
      </c>
      <c r="BY3">
        <v>69.03</v>
      </c>
      <c r="BZ3">
        <v>-21.14</v>
      </c>
      <c r="CA3">
        <v>-12.64</v>
      </c>
      <c r="CB3">
        <v>-1.1100000000000001</v>
      </c>
      <c r="CC3">
        <v>-17.079999999999998</v>
      </c>
      <c r="CD3" t="s">
        <v>1765</v>
      </c>
      <c r="CE3" t="s">
        <v>808</v>
      </c>
      <c r="CF3" s="10">
        <v>0.54716981132075471</v>
      </c>
      <c r="CG3" s="11">
        <v>0.12331423943892182</v>
      </c>
      <c r="CH3" s="10">
        <v>-0.16952204704284668</v>
      </c>
      <c r="CI3" s="10">
        <v>0.1848289966583252</v>
      </c>
      <c r="CJ3" s="10">
        <v>3.0873363018035889</v>
      </c>
      <c r="CK3" s="10">
        <v>1.7777778208255768E-2</v>
      </c>
      <c r="CL3" s="10">
        <v>9.223300963640213E-2</v>
      </c>
      <c r="CM3" s="11">
        <v>4.0138249397277832</v>
      </c>
      <c r="CN3" s="11">
        <v>-1.2201555967330933</v>
      </c>
      <c r="CO3" s="11">
        <v>0.4111994206905365</v>
      </c>
      <c r="CP3" s="11">
        <v>-28.671279907226562</v>
      </c>
      <c r="CQ3" s="11">
        <v>1.0451053380966187</v>
      </c>
      <c r="CR3">
        <v>348.62817106625653</v>
      </c>
      <c r="CS3">
        <v>5.4258592242654764</v>
      </c>
      <c r="CT3">
        <v>0</v>
      </c>
      <c r="CU3" s="10">
        <v>0.64253080785274508</v>
      </c>
      <c r="CV3" s="11">
        <v>-4.8842611610889435</v>
      </c>
      <c r="CW3">
        <v>0.06</v>
      </c>
      <c r="CX3">
        <v>4.7747805232003016</v>
      </c>
      <c r="CY3">
        <v>1013410517.2978257</v>
      </c>
      <c r="CZ3">
        <v>0.64253080785274508</v>
      </c>
      <c r="DA3">
        <v>1.0088384781819233</v>
      </c>
      <c r="DB3">
        <v>4796419748.6997709</v>
      </c>
      <c r="DC3">
        <v>0.61040426746010779</v>
      </c>
      <c r="DD3">
        <v>0.25482642662225913</v>
      </c>
      <c r="DE3">
        <v>18988661671.157024</v>
      </c>
      <c r="DF3">
        <v>0.56542711091041564</v>
      </c>
      <c r="DG3">
        <v>6.4610468465405427E-2</v>
      </c>
      <c r="DH3">
        <v>74892086606.535904</v>
      </c>
      <c r="DI3">
        <v>0.51402464628219613</v>
      </c>
      <c r="DJ3">
        <v>3.7986209691583091E-3</v>
      </c>
      <c r="DK3">
        <v>1273834067491.1228</v>
      </c>
      <c r="DL3">
        <v>0.44977156549692154</v>
      </c>
      <c r="DM3">
        <v>654000000</v>
      </c>
      <c r="DN3">
        <v>0.64253080785274508</v>
      </c>
      <c r="DO3">
        <v>4838812800</v>
      </c>
      <c r="DP3">
        <v>-365406600.00000024</v>
      </c>
      <c r="DQ3">
        <v>47</v>
      </c>
      <c r="DR3">
        <v>-9.5360996531990372E-2</v>
      </c>
      <c r="DS3">
        <v>5.0075754005278652</v>
      </c>
      <c r="DT3" s="12">
        <v>-5.8333333333333272E-2</v>
      </c>
      <c r="DU3">
        <v>-2.0483333333333338</v>
      </c>
      <c r="DV3">
        <v>-2.1066666666666669</v>
      </c>
      <c r="DW3">
        <v>-3.0122142857142857</v>
      </c>
      <c r="DX3">
        <v>0.35288321428571551</v>
      </c>
      <c r="DY3">
        <v>-3.0018673592602041</v>
      </c>
      <c r="DZ3">
        <v>4468</v>
      </c>
      <c r="EA3">
        <v>-3.0002346075626325</v>
      </c>
      <c r="EB3">
        <v>3</v>
      </c>
      <c r="EC3">
        <v>4.2523605467070652E-2</v>
      </c>
      <c r="ED3">
        <v>0.27814437095494887</v>
      </c>
      <c r="EE3" s="15">
        <v>-2.0188100000000002</v>
      </c>
      <c r="EF3">
        <v>-2.0508099999999998</v>
      </c>
      <c r="EG3">
        <v>20.152883214285715</v>
      </c>
      <c r="EH3" t="s">
        <v>1268</v>
      </c>
      <c r="EI3">
        <v>0</v>
      </c>
      <c r="EJ3">
        <v>0</v>
      </c>
      <c r="EK3" s="14">
        <v>45470</v>
      </c>
      <c r="EL3" s="16">
        <v>-0.7</v>
      </c>
      <c r="EM3" s="16">
        <v>-5.63</v>
      </c>
      <c r="EN3" s="16">
        <v>1.1200000000000001</v>
      </c>
      <c r="EO3" s="16">
        <v>3.69</v>
      </c>
      <c r="EP3" s="16">
        <v>-3.2</v>
      </c>
    </row>
    <row r="4" spans="1:146" ht="108" x14ac:dyDescent="0.25">
      <c r="A4" s="7"/>
      <c r="B4" s="7"/>
      <c r="C4" s="7" t="str">
        <f>""&amp;CHAR(10)&amp;Basic_Fundamental_Information_Constructure(F4)&amp;CHAR(10)&amp;Basic_Fundamental_Information_Concatenate("")</f>
        <v xml:space="preserve">
市值77.974759亿, 利润8.60亿; PE7.8; 平均PE13.53; 平均PEG.22, PB.984; ROIC4.7167%; ROE7.2167%; 股利率2.25%; 毛利24.24%; 净利9.3667%; 上一年度营收增-.5%, 利润增20.45%; 当季营收增-4.04%, 利润增50.29%; 过往5年营收增61.19%, 利润增16.47%
Income profile:
</v>
      </c>
      <c r="D4" t="s">
        <v>683</v>
      </c>
      <c r="E4" t="s">
        <v>684</v>
      </c>
      <c r="F4">
        <v>8</v>
      </c>
      <c r="G4">
        <v>-0.5</v>
      </c>
      <c r="H4" t="s">
        <v>1766</v>
      </c>
      <c r="I4">
        <v>7797475900</v>
      </c>
      <c r="J4">
        <v>7.8</v>
      </c>
      <c r="K4">
        <v>0.98399999999999999</v>
      </c>
      <c r="L4" t="s">
        <v>1747</v>
      </c>
      <c r="M4" t="s">
        <v>1767</v>
      </c>
      <c r="N4" t="s">
        <v>1683</v>
      </c>
      <c r="O4" t="s">
        <v>854</v>
      </c>
      <c r="P4">
        <v>-4.03</v>
      </c>
      <c r="Q4" t="s">
        <v>1768</v>
      </c>
      <c r="R4">
        <v>417803310</v>
      </c>
      <c r="S4" s="5">
        <v>0.50339999999999996</v>
      </c>
      <c r="T4" t="s">
        <v>1018</v>
      </c>
      <c r="U4">
        <v>974684490</v>
      </c>
      <c r="V4">
        <v>974684490</v>
      </c>
      <c r="W4">
        <v>4.03</v>
      </c>
      <c r="X4">
        <v>0.04</v>
      </c>
      <c r="Y4">
        <v>28.44</v>
      </c>
      <c r="Z4" t="s">
        <v>1684</v>
      </c>
      <c r="AA4" t="s">
        <v>1668</v>
      </c>
      <c r="AB4" t="s">
        <v>1769</v>
      </c>
      <c r="AC4" t="s">
        <v>1770</v>
      </c>
      <c r="AD4" t="s">
        <v>28</v>
      </c>
      <c r="AE4">
        <v>183425400</v>
      </c>
      <c r="AF4" t="s">
        <v>1771</v>
      </c>
      <c r="AG4" t="s">
        <v>1772</v>
      </c>
      <c r="AH4" t="s">
        <v>1773</v>
      </c>
      <c r="AI4" t="s">
        <v>1641</v>
      </c>
      <c r="AJ4" t="s">
        <v>1774</v>
      </c>
      <c r="AK4" t="s">
        <v>1775</v>
      </c>
      <c r="AL4" t="s">
        <v>1776</v>
      </c>
      <c r="AM4" t="s">
        <v>28</v>
      </c>
      <c r="AN4" t="s">
        <v>366</v>
      </c>
      <c r="AO4" t="s">
        <v>1661</v>
      </c>
      <c r="AP4" t="s">
        <v>365</v>
      </c>
      <c r="AQ4" t="s">
        <v>593</v>
      </c>
      <c r="AR4" t="s">
        <v>28</v>
      </c>
      <c r="AS4" t="s">
        <v>1777</v>
      </c>
      <c r="AT4" t="s">
        <v>1778</v>
      </c>
      <c r="AU4" t="s">
        <v>1779</v>
      </c>
      <c r="AV4" t="s">
        <v>1562</v>
      </c>
      <c r="AW4" t="s">
        <v>299</v>
      </c>
      <c r="AX4" t="s">
        <v>1780</v>
      </c>
      <c r="AY4" t="s">
        <v>929</v>
      </c>
      <c r="AZ4" t="s">
        <v>685</v>
      </c>
      <c r="BA4" t="s">
        <v>687</v>
      </c>
      <c r="BB4" t="s">
        <v>467</v>
      </c>
      <c r="BC4" t="s">
        <v>1501</v>
      </c>
      <c r="BD4" t="s">
        <v>424</v>
      </c>
      <c r="BE4" t="s">
        <v>686</v>
      </c>
      <c r="BF4" t="s">
        <v>131</v>
      </c>
      <c r="BG4" t="s">
        <v>604</v>
      </c>
      <c r="BH4" t="s">
        <v>1768</v>
      </c>
      <c r="BI4" t="s">
        <v>1498</v>
      </c>
      <c r="BJ4" t="s">
        <v>1780</v>
      </c>
      <c r="BK4" t="s">
        <v>1018</v>
      </c>
      <c r="BL4" t="s">
        <v>144</v>
      </c>
      <c r="BM4" t="s">
        <v>1501</v>
      </c>
      <c r="BN4">
        <v>4.97</v>
      </c>
      <c r="BO4">
        <v>3.84</v>
      </c>
      <c r="BP4">
        <v>5.34</v>
      </c>
      <c r="BQ4">
        <v>7.22</v>
      </c>
      <c r="BR4">
        <v>6.5</v>
      </c>
      <c r="BS4">
        <v>7.93</v>
      </c>
      <c r="BT4" t="s">
        <v>1260</v>
      </c>
      <c r="BU4" t="s">
        <v>1159</v>
      </c>
      <c r="BV4">
        <v>28.17</v>
      </c>
      <c r="BW4">
        <v>23.19</v>
      </c>
      <c r="BX4">
        <v>21.36</v>
      </c>
      <c r="BY4">
        <v>11.58</v>
      </c>
      <c r="BZ4">
        <v>7.72</v>
      </c>
      <c r="CA4">
        <v>8.8000000000000007</v>
      </c>
      <c r="CB4">
        <v>1.65</v>
      </c>
      <c r="CC4">
        <v>-4.08</v>
      </c>
      <c r="CD4" t="s">
        <v>1781</v>
      </c>
      <c r="CE4" t="s">
        <v>398</v>
      </c>
      <c r="CF4" s="10">
        <v>-4.0422885572139161E-2</v>
      </c>
      <c r="CG4" s="11">
        <v>0.50288960431654672</v>
      </c>
      <c r="CH4" s="10">
        <v>-4.9668955616652966E-3</v>
      </c>
      <c r="CI4" s="10">
        <v>0.27882733941078186</v>
      </c>
      <c r="CJ4" s="10">
        <v>1.8558138608932495</v>
      </c>
      <c r="CK4" s="10">
        <v>0.23563225567340851</v>
      </c>
      <c r="CL4" s="10">
        <v>0.69425511360168457</v>
      </c>
      <c r="CM4" s="11">
        <v>0.20448179543018341</v>
      </c>
      <c r="CN4" s="11">
        <v>0.40275049209594727</v>
      </c>
      <c r="CO4" s="11">
        <v>2.6209676638245583E-2</v>
      </c>
      <c r="CP4" s="11">
        <v>6.6666670143604279E-2</v>
      </c>
      <c r="CQ4" s="11">
        <v>0.12318840622901917</v>
      </c>
      <c r="CR4">
        <v>13.529455002891844</v>
      </c>
      <c r="CS4">
        <v>0.22110119756348207</v>
      </c>
      <c r="CT4">
        <v>2.25</v>
      </c>
      <c r="CU4" s="10">
        <v>0.61191233480349183</v>
      </c>
      <c r="CV4" s="11">
        <v>0.16465940810739993</v>
      </c>
      <c r="CW4">
        <v>0.06</v>
      </c>
      <c r="CX4">
        <v>20.591015676953834</v>
      </c>
      <c r="CY4">
        <v>1307777932.01038</v>
      </c>
      <c r="CZ4">
        <v>0.61191233480349183</v>
      </c>
      <c r="DA4">
        <v>4.449455101522874</v>
      </c>
      <c r="DB4">
        <v>6052083971.0874796</v>
      </c>
      <c r="DC4">
        <v>0.58131671806331719</v>
      </c>
      <c r="DD4">
        <v>1.1665471187101755</v>
      </c>
      <c r="DE4">
        <v>23083916172.862526</v>
      </c>
      <c r="DF4">
        <v>0.53848285462707279</v>
      </c>
      <c r="DG4">
        <v>0.31112611109555705</v>
      </c>
      <c r="DH4">
        <v>86551642371.569962</v>
      </c>
      <c r="DI4">
        <v>0.48952986784279351</v>
      </c>
      <c r="DJ4">
        <v>2.0784495762169564E-2</v>
      </c>
      <c r="DK4">
        <v>1295604002528.3301</v>
      </c>
      <c r="DL4">
        <v>0.42833863436244424</v>
      </c>
      <c r="DM4">
        <v>860000000</v>
      </c>
      <c r="DN4">
        <v>0.61191233480349183</v>
      </c>
      <c r="DO4">
        <v>26928475900</v>
      </c>
      <c r="DP4">
        <v>1411348400</v>
      </c>
      <c r="DQ4">
        <v>126</v>
      </c>
      <c r="DR4">
        <v>-0.65233522037563096</v>
      </c>
      <c r="DS4">
        <v>0.33823019620914679</v>
      </c>
      <c r="DT4" s="12">
        <v>0.44166666666666665</v>
      </c>
      <c r="DU4">
        <v>0.75666666666666671</v>
      </c>
      <c r="DV4">
        <v>1.1983333333333333</v>
      </c>
      <c r="DW4">
        <v>-1.0407999999999999</v>
      </c>
      <c r="DX4">
        <v>0.32080244897959204</v>
      </c>
      <c r="DY4">
        <v>-1.0057447399183674</v>
      </c>
      <c r="DZ4">
        <v>124</v>
      </c>
      <c r="EA4">
        <v>-1.005605337227589</v>
      </c>
      <c r="EB4">
        <v>1</v>
      </c>
      <c r="EC4">
        <v>3.5392581244418901E-2</v>
      </c>
      <c r="ED4">
        <v>0.25136339247585648</v>
      </c>
      <c r="EE4" s="15">
        <v>-1.0223100000000001</v>
      </c>
      <c r="EF4">
        <v>-1.04881</v>
      </c>
      <c r="EG4">
        <v>18.140802448979592</v>
      </c>
      <c r="EH4" t="s">
        <v>1168</v>
      </c>
      <c r="EI4">
        <v>0</v>
      </c>
      <c r="EJ4">
        <v>1</v>
      </c>
      <c r="EK4" s="14">
        <v>45470</v>
      </c>
      <c r="EL4" s="16">
        <v>1.77</v>
      </c>
      <c r="EM4" s="16">
        <v>-2.86</v>
      </c>
      <c r="EN4" s="16">
        <v>0.9</v>
      </c>
      <c r="EO4" s="16">
        <v>0.64</v>
      </c>
      <c r="EP4" s="16">
        <v>-2.65</v>
      </c>
    </row>
    <row r="5" spans="1:146" ht="108" x14ac:dyDescent="0.25">
      <c r="C5" s="7" t="str">
        <f>""&amp;CHAR(10)&amp;Basic_Fundamental_Information_Constructure(F5)&amp;CHAR(10)&amp;Basic_Fundamental_Information_Concatenate("")</f>
        <v xml:space="preserve">
市值31.151278亿, 利润-6.78亿; PE; 平均PE34.2; 平均PEG2.27, PB.751; ROIC.91%; ROE-1.3133%; 股利率0%; 毛利3.5733%; 净利-11.9067%; 上一年度营收增-49.3%, 利润增-221.33%; 当季营收增22.6%, 利润增255.11%; 过往5年营收增-15.05%, 利润增-125.61%
Income profile:
</v>
      </c>
      <c r="D5" t="s">
        <v>1536</v>
      </c>
      <c r="E5" t="s">
        <v>1537</v>
      </c>
      <c r="F5">
        <v>4</v>
      </c>
      <c r="G5">
        <v>1.27</v>
      </c>
      <c r="H5" t="s">
        <v>1782</v>
      </c>
      <c r="I5">
        <v>3115127800</v>
      </c>
      <c r="K5">
        <v>0.751</v>
      </c>
      <c r="L5" t="s">
        <v>1747</v>
      </c>
      <c r="M5" t="s">
        <v>1783</v>
      </c>
      <c r="N5" t="s">
        <v>1784</v>
      </c>
      <c r="O5" t="s">
        <v>1785</v>
      </c>
      <c r="P5" s="5">
        <v>22.57</v>
      </c>
      <c r="Q5" t="s">
        <v>1786</v>
      </c>
      <c r="R5">
        <v>23070342</v>
      </c>
      <c r="S5">
        <v>2.5510000000000002</v>
      </c>
      <c r="T5" t="s">
        <v>1787</v>
      </c>
      <c r="U5">
        <v>711251950</v>
      </c>
      <c r="V5">
        <v>778781960</v>
      </c>
      <c r="W5">
        <v>1.55</v>
      </c>
      <c r="X5">
        <v>0.13</v>
      </c>
      <c r="Y5">
        <v>1.52</v>
      </c>
      <c r="Z5" t="s">
        <v>1788</v>
      </c>
      <c r="AA5" t="s">
        <v>982</v>
      </c>
      <c r="AB5" t="s">
        <v>1789</v>
      </c>
      <c r="AC5" t="s">
        <v>1790</v>
      </c>
      <c r="AD5" t="s">
        <v>28</v>
      </c>
      <c r="AE5">
        <v>-9036221</v>
      </c>
      <c r="AF5" t="s">
        <v>1791</v>
      </c>
      <c r="AG5" t="s">
        <v>1792</v>
      </c>
      <c r="AH5" t="s">
        <v>1793</v>
      </c>
      <c r="AI5" t="s">
        <v>1794</v>
      </c>
      <c r="AJ5" t="s">
        <v>1795</v>
      </c>
      <c r="AK5" t="s">
        <v>1796</v>
      </c>
      <c r="AL5" t="s">
        <v>1797</v>
      </c>
      <c r="AM5" t="s">
        <v>28</v>
      </c>
      <c r="AN5" t="s">
        <v>1798</v>
      </c>
      <c r="AO5" t="s">
        <v>220</v>
      </c>
      <c r="AP5" t="s">
        <v>28</v>
      </c>
      <c r="AQ5" t="s">
        <v>1595</v>
      </c>
      <c r="AR5" t="s">
        <v>1799</v>
      </c>
      <c r="AS5" t="s">
        <v>1800</v>
      </c>
      <c r="AT5" t="s">
        <v>1801</v>
      </c>
      <c r="AU5" t="s">
        <v>1802</v>
      </c>
      <c r="AV5" t="s">
        <v>1803</v>
      </c>
      <c r="AW5" t="s">
        <v>1804</v>
      </c>
      <c r="AX5" t="s">
        <v>1538</v>
      </c>
      <c r="AY5" t="s">
        <v>1543</v>
      </c>
      <c r="AZ5" t="s">
        <v>1544</v>
      </c>
      <c r="BA5" t="s">
        <v>1545</v>
      </c>
      <c r="BB5" t="s">
        <v>1546</v>
      </c>
      <c r="BC5" t="s">
        <v>1539</v>
      </c>
      <c r="BD5" t="s">
        <v>1547</v>
      </c>
      <c r="BE5" t="s">
        <v>1548</v>
      </c>
      <c r="BF5" t="s">
        <v>504</v>
      </c>
      <c r="BG5" t="s">
        <v>1516</v>
      </c>
      <c r="BH5" t="s">
        <v>1786</v>
      </c>
      <c r="BI5" t="s">
        <v>1561</v>
      </c>
      <c r="BJ5" t="s">
        <v>1538</v>
      </c>
      <c r="BK5" t="s">
        <v>1787</v>
      </c>
      <c r="BL5" t="s">
        <v>1805</v>
      </c>
      <c r="BM5" t="s">
        <v>1539</v>
      </c>
      <c r="BN5" t="s">
        <v>28</v>
      </c>
      <c r="BO5" t="s">
        <v>28</v>
      </c>
      <c r="BP5">
        <v>0.91</v>
      </c>
      <c r="BQ5">
        <v>-1.57</v>
      </c>
      <c r="BR5">
        <v>-4.2300000000000004</v>
      </c>
      <c r="BS5">
        <v>1.86</v>
      </c>
      <c r="BT5" t="s">
        <v>1244</v>
      </c>
      <c r="BU5" t="s">
        <v>1061</v>
      </c>
      <c r="BV5">
        <v>1.64</v>
      </c>
      <c r="BW5">
        <v>0.19</v>
      </c>
      <c r="BX5">
        <v>8.89</v>
      </c>
      <c r="BY5">
        <v>-27.44</v>
      </c>
      <c r="BZ5">
        <v>-8.34</v>
      </c>
      <c r="CA5">
        <v>0.06</v>
      </c>
      <c r="CB5">
        <v>-0.25</v>
      </c>
      <c r="CC5" s="10">
        <v>-16.32</v>
      </c>
      <c r="CD5" s="11" t="s">
        <v>1806</v>
      </c>
      <c r="CE5" s="10" t="s">
        <v>53</v>
      </c>
      <c r="CF5" s="10">
        <v>0.22597402597402597</v>
      </c>
      <c r="CG5" s="10">
        <v>2.5510724898815362</v>
      </c>
      <c r="CH5" s="10">
        <v>-0.49304813146591187</v>
      </c>
      <c r="CI5" s="10">
        <v>-0.36603009700775146</v>
      </c>
      <c r="CJ5" s="11">
        <v>2.0528301596641541E-2</v>
      </c>
      <c r="CK5" s="11">
        <v>6.1191990971565247E-2</v>
      </c>
      <c r="CL5" s="11">
        <v>2.4705251678824425E-2</v>
      </c>
      <c r="CM5" s="11">
        <v>-2.2132701873779297</v>
      </c>
      <c r="CN5" s="11">
        <v>-3.5269851684570312</v>
      </c>
      <c r="CO5">
        <v>-0.82384240627288818</v>
      </c>
      <c r="CP5">
        <v>-5.765407532453537E-2</v>
      </c>
      <c r="CQ5">
        <v>0.34133332967758179</v>
      </c>
      <c r="CR5" s="10">
        <v>34.20093551915128</v>
      </c>
      <c r="CS5" s="11">
        <v>2.2720264097837855</v>
      </c>
      <c r="CT5">
        <v>0</v>
      </c>
      <c r="CU5">
        <v>-0.15053053684532641</v>
      </c>
      <c r="CV5">
        <v>-1.2560837015509605</v>
      </c>
      <c r="CW5">
        <v>0.06</v>
      </c>
      <c r="CX5" t="e">
        <v>#VALUE!</v>
      </c>
      <c r="CY5" t="s">
        <v>1158</v>
      </c>
      <c r="CZ5">
        <v>-0.15053053684532641</v>
      </c>
      <c r="DA5" t="e">
        <v>#VALUE!</v>
      </c>
      <c r="DB5" t="s">
        <v>1158</v>
      </c>
      <c r="DC5">
        <v>-0.14300401000306009</v>
      </c>
      <c r="DD5" t="e">
        <v>#VALUE!</v>
      </c>
      <c r="DE5" t="s">
        <v>1158</v>
      </c>
      <c r="DF5">
        <v>-0.13246687242388724</v>
      </c>
      <c r="DG5" t="e">
        <v>#VALUE!</v>
      </c>
      <c r="DH5" t="s">
        <v>1158</v>
      </c>
      <c r="DI5">
        <v>-0.12042442947626114</v>
      </c>
      <c r="DJ5" t="e">
        <v>#VALUE!</v>
      </c>
      <c r="DK5" t="s">
        <v>1158</v>
      </c>
      <c r="DL5">
        <v>-0.10537137579172848</v>
      </c>
      <c r="DM5">
        <v>-678000000</v>
      </c>
      <c r="DN5">
        <v>-0.15053053684532641</v>
      </c>
      <c r="DO5">
        <v>1166127800</v>
      </c>
      <c r="DP5">
        <v>920447599.99999976</v>
      </c>
      <c r="DQ5" s="12">
        <v>128</v>
      </c>
      <c r="DR5">
        <v>0.37650456281935241</v>
      </c>
      <c r="DS5">
        <v>3.8071561914324965</v>
      </c>
      <c r="DT5">
        <v>-0.75666666666666671</v>
      </c>
      <c r="DU5">
        <v>-1.1933333333333336</v>
      </c>
      <c r="DV5">
        <v>-1.9500000000000002</v>
      </c>
      <c r="DW5">
        <v>-3.0036190476190474</v>
      </c>
      <c r="DX5">
        <v>0.36435476190476335</v>
      </c>
      <c r="DY5">
        <v>-3.0004862362811791</v>
      </c>
      <c r="DZ5">
        <v>4351</v>
      </c>
      <c r="EA5">
        <v>-3.0000722217881437</v>
      </c>
      <c r="EB5" s="15">
        <v>3</v>
      </c>
      <c r="EC5" s="15">
        <v>5.0720615048658803E-2</v>
      </c>
      <c r="ED5">
        <v>0.37751259672219423</v>
      </c>
      <c r="EE5">
        <v>-6.0133999999999999</v>
      </c>
      <c r="EF5">
        <v>-6.0199100000000003</v>
      </c>
      <c r="EG5">
        <v>23.134354761904763</v>
      </c>
      <c r="EH5" s="14" t="s">
        <v>1807</v>
      </c>
      <c r="EI5">
        <v>0</v>
      </c>
      <c r="EJ5">
        <v>0</v>
      </c>
      <c r="EK5">
        <v>45470</v>
      </c>
      <c r="EL5">
        <v>-0.24</v>
      </c>
      <c r="EM5">
        <v>-3.38</v>
      </c>
      <c r="EN5" s="16">
        <v>0.25</v>
      </c>
      <c r="EO5" s="16">
        <v>4.99</v>
      </c>
      <c r="EP5" s="16">
        <v>-3.33</v>
      </c>
    </row>
    <row r="6" spans="1:146" ht="108" x14ac:dyDescent="0.25">
      <c r="A6" s="7"/>
      <c r="B6" s="7"/>
      <c r="C6" s="7" t="str">
        <f>""&amp;CHAR(10)&amp;Basic_Fundamental_Information_Constructure(F6)&amp;CHAR(10)&amp;Basic_Fundamental_Information_Concatenate("")</f>
        <v xml:space="preserve">
市值234.62071亿, 利润18.43亿; PE12.21; 平均PE16.92; 平均PEG1.17, PB1.37; ROIC6.3033%; ROE10.91%; 股利率2.1628%; 毛利39.5533%; 净利22.6667%; 上一年度营收增5.99%, 利润增13.91%; 当季营收增16.69%, 利润增20.51%; 过往5年营收增14.4%, 利润增13.36%
Income profile:
</v>
      </c>
      <c r="D6" t="s">
        <v>690</v>
      </c>
      <c r="E6" t="s">
        <v>691</v>
      </c>
      <c r="F6">
        <v>7.86</v>
      </c>
      <c r="G6">
        <v>-0.25</v>
      </c>
      <c r="H6" t="s">
        <v>1808</v>
      </c>
      <c r="I6">
        <v>23462071000</v>
      </c>
      <c r="J6">
        <v>12.21</v>
      </c>
      <c r="K6">
        <v>1.37</v>
      </c>
      <c r="L6" t="s">
        <v>1747</v>
      </c>
      <c r="M6" t="s">
        <v>1809</v>
      </c>
      <c r="N6" t="s">
        <v>1810</v>
      </c>
      <c r="O6" t="s">
        <v>1811</v>
      </c>
      <c r="P6">
        <v>16.7</v>
      </c>
      <c r="Q6" t="s">
        <v>1812</v>
      </c>
      <c r="R6">
        <v>456731470</v>
      </c>
      <c r="S6" s="5">
        <v>0.20549999999999999</v>
      </c>
      <c r="T6" t="s">
        <v>1702</v>
      </c>
      <c r="U6">
        <v>2968576300</v>
      </c>
      <c r="V6">
        <v>2984996300</v>
      </c>
      <c r="W6">
        <v>2.5</v>
      </c>
      <c r="X6">
        <v>0.04</v>
      </c>
      <c r="Y6">
        <v>25.38</v>
      </c>
      <c r="Z6" t="s">
        <v>1813</v>
      </c>
      <c r="AA6" t="s">
        <v>1814</v>
      </c>
      <c r="AB6" t="s">
        <v>1815</v>
      </c>
      <c r="AC6" t="s">
        <v>1816</v>
      </c>
      <c r="AD6" t="s">
        <v>28</v>
      </c>
      <c r="AE6">
        <v>80353856</v>
      </c>
      <c r="AF6" t="s">
        <v>67</v>
      </c>
      <c r="AG6" t="s">
        <v>1817</v>
      </c>
      <c r="AH6" t="s">
        <v>1818</v>
      </c>
      <c r="AI6" t="s">
        <v>1819</v>
      </c>
      <c r="AJ6" t="s">
        <v>1820</v>
      </c>
      <c r="AK6" t="s">
        <v>1821</v>
      </c>
      <c r="AL6" t="s">
        <v>1822</v>
      </c>
      <c r="AM6" t="s">
        <v>28</v>
      </c>
      <c r="AN6" t="s">
        <v>1823</v>
      </c>
      <c r="AO6" t="s">
        <v>1824</v>
      </c>
      <c r="AP6" t="s">
        <v>1825</v>
      </c>
      <c r="AQ6" t="s">
        <v>1826</v>
      </c>
      <c r="AR6" t="s">
        <v>28</v>
      </c>
      <c r="AS6" t="s">
        <v>1827</v>
      </c>
      <c r="AT6" t="s">
        <v>1828</v>
      </c>
      <c r="AU6" t="s">
        <v>1829</v>
      </c>
      <c r="AV6" t="s">
        <v>1830</v>
      </c>
      <c r="AW6" t="s">
        <v>1831</v>
      </c>
      <c r="AX6" t="s">
        <v>1279</v>
      </c>
      <c r="AY6" t="s">
        <v>1281</v>
      </c>
      <c r="AZ6" t="s">
        <v>930</v>
      </c>
      <c r="BA6" t="s">
        <v>693</v>
      </c>
      <c r="BB6" t="s">
        <v>694</v>
      </c>
      <c r="BC6" t="s">
        <v>1280</v>
      </c>
      <c r="BD6" t="s">
        <v>713</v>
      </c>
      <c r="BE6" t="s">
        <v>658</v>
      </c>
      <c r="BF6" t="s">
        <v>364</v>
      </c>
      <c r="BG6" t="s">
        <v>695</v>
      </c>
      <c r="BH6" t="s">
        <v>1812</v>
      </c>
      <c r="BI6" t="s">
        <v>1832</v>
      </c>
      <c r="BJ6" t="s">
        <v>1279</v>
      </c>
      <c r="BK6" t="s">
        <v>1702</v>
      </c>
      <c r="BL6" t="s">
        <v>650</v>
      </c>
      <c r="BM6" t="s">
        <v>1280</v>
      </c>
      <c r="BN6">
        <v>5.4</v>
      </c>
      <c r="BO6">
        <v>6.8</v>
      </c>
      <c r="BP6">
        <v>6.71</v>
      </c>
      <c r="BQ6">
        <v>9.69</v>
      </c>
      <c r="BR6">
        <v>11.48</v>
      </c>
      <c r="BS6">
        <v>11.56</v>
      </c>
      <c r="BT6" t="s">
        <v>1833</v>
      </c>
      <c r="BU6" t="s">
        <v>1159</v>
      </c>
      <c r="BV6">
        <v>40.35</v>
      </c>
      <c r="BW6">
        <v>38.47</v>
      </c>
      <c r="BX6">
        <v>39.840000000000003</v>
      </c>
      <c r="BY6">
        <v>23.37</v>
      </c>
      <c r="BZ6">
        <v>22.18</v>
      </c>
      <c r="CA6">
        <v>22.45</v>
      </c>
      <c r="CB6">
        <v>4.5199999999999996</v>
      </c>
      <c r="CC6">
        <v>10.7</v>
      </c>
      <c r="CD6" t="s">
        <v>196</v>
      </c>
      <c r="CE6" t="s">
        <v>1834</v>
      </c>
      <c r="CF6" s="10">
        <v>0.16687737041719342</v>
      </c>
      <c r="CG6" s="11">
        <v>0.20509622691292875</v>
      </c>
      <c r="CH6" s="10">
        <v>5.9895142912864685E-2</v>
      </c>
      <c r="CI6" s="10">
        <v>0.13020293414592743</v>
      </c>
      <c r="CJ6" s="10">
        <v>0.25646749138832092</v>
      </c>
      <c r="CK6" s="10">
        <v>0.11058289557695389</v>
      </c>
      <c r="CL6" s="10">
        <v>0.16298079490661621</v>
      </c>
      <c r="CM6" s="11">
        <v>0.1390606015920639</v>
      </c>
      <c r="CN6" s="11">
        <v>8.2998663187026978E-2</v>
      </c>
      <c r="CO6" s="11">
        <v>0.15100154280662537</v>
      </c>
      <c r="CP6" s="11">
        <v>0.20074012875556946</v>
      </c>
      <c r="CQ6" s="11">
        <v>9.4129487872123718E-2</v>
      </c>
      <c r="CR6">
        <v>16.915696467195385</v>
      </c>
      <c r="CS6">
        <v>1.1744902916674591</v>
      </c>
      <c r="CT6">
        <v>2.1628498727735366</v>
      </c>
      <c r="CU6" s="10">
        <v>0.14402585178613664</v>
      </c>
      <c r="CV6" s="11">
        <v>0.13358608484268189</v>
      </c>
      <c r="CW6">
        <v>0.06</v>
      </c>
      <c r="CX6">
        <v>15.480450360459923</v>
      </c>
      <c r="CY6">
        <v>1989094004.5677826</v>
      </c>
      <c r="CZ6">
        <v>0.14402585178613664</v>
      </c>
      <c r="DA6">
        <v>4.8340228052559446</v>
      </c>
      <c r="DB6">
        <v>6369864653.2077475</v>
      </c>
      <c r="DC6">
        <v>0.13682455919682979</v>
      </c>
      <c r="DD6">
        <v>2.2365951143904668</v>
      </c>
      <c r="DE6">
        <v>13767387222.604963</v>
      </c>
      <c r="DF6">
        <v>0.12674274957180023</v>
      </c>
      <c r="DG6">
        <v>1.250262559160457</v>
      </c>
      <c r="DH6">
        <v>24628483652.807034</v>
      </c>
      <c r="DI6">
        <v>0.11522068142890932</v>
      </c>
      <c r="DJ6">
        <v>0.54868414955541045</v>
      </c>
      <c r="DK6">
        <v>56119847866.847069</v>
      </c>
      <c r="DL6">
        <v>0.10081809625029564</v>
      </c>
      <c r="DM6">
        <v>1843000000</v>
      </c>
      <c r="DN6">
        <v>0.14402585178613664</v>
      </c>
      <c r="DO6">
        <v>30792071000</v>
      </c>
      <c r="DP6">
        <v>671152300</v>
      </c>
      <c r="DQ6">
        <v>165</v>
      </c>
      <c r="DR6">
        <v>2.2851518631056777E-2</v>
      </c>
      <c r="DS6">
        <v>7.1510142070246863E-2</v>
      </c>
      <c r="DT6" s="12">
        <v>-0.20666666666666669</v>
      </c>
      <c r="DU6">
        <v>0.47</v>
      </c>
      <c r="DV6">
        <v>0.26333333333333331</v>
      </c>
      <c r="DW6">
        <v>8.4224299065420567</v>
      </c>
      <c r="DX6">
        <v>0.34929698708751672</v>
      </c>
      <c r="DY6">
        <v>8.0715161104332314</v>
      </c>
      <c r="DZ6">
        <v>1117</v>
      </c>
      <c r="EA6">
        <v>8.0558833324774746</v>
      </c>
      <c r="EB6">
        <v>8</v>
      </c>
      <c r="EC6">
        <v>3.953103727465257E-2</v>
      </c>
      <c r="ED6">
        <v>0.23350112695282069</v>
      </c>
      <c r="EE6" s="15">
        <v>1.0168999999999999</v>
      </c>
      <c r="EF6">
        <v>1.0209999999999999</v>
      </c>
      <c r="EG6">
        <v>18.169296987087517</v>
      </c>
      <c r="EH6" t="s">
        <v>1175</v>
      </c>
      <c r="EI6">
        <v>0</v>
      </c>
      <c r="EJ6">
        <v>1</v>
      </c>
      <c r="EK6" s="14">
        <v>45470</v>
      </c>
      <c r="EL6" s="16">
        <v>1.08</v>
      </c>
      <c r="EM6" s="16">
        <v>-0.54</v>
      </c>
      <c r="EN6" s="16">
        <v>0</v>
      </c>
      <c r="EO6" s="16">
        <v>0.97</v>
      </c>
      <c r="EP6" s="16">
        <v>0.41</v>
      </c>
    </row>
    <row r="7" spans="1:146" ht="108" x14ac:dyDescent="0.25">
      <c r="A7" s="7"/>
      <c r="B7" s="7"/>
      <c r="C7" s="7" t="str">
        <f>""&amp;CHAR(10)&amp;Basic_Fundamental_Information_Constructure(F7)&amp;CHAR(10)&amp;Basic_Fundamental_Information_Concatenate("")</f>
        <v xml:space="preserve">
市值16.469157亿, 利润2012.18万; PE67.89; 平均PE55.67; 平均PEG48.19, PB.763; ROIC1.6567%; ROE.5967%; 股利率.4283%; 毛利24.43%; 净利2.0633%; 上一年度营收增5.25%, 利润增22.95%; 当季营收增4.92%, 利润增30.27%; 过往5年营收增1.16%, 利润增-14.33%
Income profile:
</v>
      </c>
      <c r="D7" t="s">
        <v>698</v>
      </c>
      <c r="E7" t="s">
        <v>699</v>
      </c>
      <c r="F7">
        <v>4.67</v>
      </c>
      <c r="G7">
        <v>0.86</v>
      </c>
      <c r="H7" t="s">
        <v>1835</v>
      </c>
      <c r="I7">
        <v>1646915700</v>
      </c>
      <c r="J7">
        <v>67.89</v>
      </c>
      <c r="K7">
        <v>0.76300000000000001</v>
      </c>
      <c r="L7" t="s">
        <v>1747</v>
      </c>
      <c r="M7" t="s">
        <v>1836</v>
      </c>
      <c r="N7" t="s">
        <v>1837</v>
      </c>
      <c r="O7" t="s">
        <v>641</v>
      </c>
      <c r="P7">
        <v>4.92</v>
      </c>
      <c r="Q7" t="s">
        <v>1838</v>
      </c>
      <c r="R7">
        <v>17806975</v>
      </c>
      <c r="S7" s="5">
        <v>0.30270000000000002</v>
      </c>
      <c r="T7" t="s">
        <v>1839</v>
      </c>
      <c r="U7">
        <v>337643690</v>
      </c>
      <c r="V7">
        <v>352658600</v>
      </c>
      <c r="W7">
        <v>2.92</v>
      </c>
      <c r="X7">
        <v>7.0000000000000007E-2</v>
      </c>
      <c r="Y7">
        <v>4.3099999999999996</v>
      </c>
      <c r="Z7" t="s">
        <v>836</v>
      </c>
      <c r="AA7" t="s">
        <v>407</v>
      </c>
      <c r="AB7" t="s">
        <v>1840</v>
      </c>
      <c r="AC7" t="s">
        <v>1841</v>
      </c>
      <c r="AD7" t="s">
        <v>28</v>
      </c>
      <c r="AE7">
        <v>29342980</v>
      </c>
      <c r="AF7" t="s">
        <v>1842</v>
      </c>
      <c r="AG7" t="s">
        <v>1843</v>
      </c>
      <c r="AH7" t="s">
        <v>1844</v>
      </c>
      <c r="AI7" t="s">
        <v>803</v>
      </c>
      <c r="AJ7" t="s">
        <v>1845</v>
      </c>
      <c r="AK7" t="s">
        <v>1846</v>
      </c>
      <c r="AL7" t="s">
        <v>1847</v>
      </c>
      <c r="AM7" t="s">
        <v>28</v>
      </c>
      <c r="AN7" t="s">
        <v>518</v>
      </c>
      <c r="AO7" t="s">
        <v>1848</v>
      </c>
      <c r="AP7" t="s">
        <v>1849</v>
      </c>
      <c r="AQ7" t="s">
        <v>820</v>
      </c>
      <c r="AR7" t="s">
        <v>28</v>
      </c>
      <c r="AS7" t="s">
        <v>1850</v>
      </c>
      <c r="AT7" t="s">
        <v>1476</v>
      </c>
      <c r="AU7" t="s">
        <v>1851</v>
      </c>
      <c r="AV7" t="s">
        <v>1852</v>
      </c>
      <c r="AW7" t="s">
        <v>1853</v>
      </c>
      <c r="AX7" t="s">
        <v>1226</v>
      </c>
      <c r="AY7" t="s">
        <v>931</v>
      </c>
      <c r="AZ7" t="s">
        <v>700</v>
      </c>
      <c r="BA7" t="s">
        <v>702</v>
      </c>
      <c r="BB7" t="s">
        <v>264</v>
      </c>
      <c r="BC7" t="s">
        <v>1854</v>
      </c>
      <c r="BD7" t="s">
        <v>932</v>
      </c>
      <c r="BE7" t="s">
        <v>701</v>
      </c>
      <c r="BF7" t="s">
        <v>704</v>
      </c>
      <c r="BG7" t="s">
        <v>705</v>
      </c>
      <c r="BH7" t="s">
        <v>1838</v>
      </c>
      <c r="BI7" t="s">
        <v>1461</v>
      </c>
      <c r="BJ7" t="s">
        <v>1226</v>
      </c>
      <c r="BK7" t="s">
        <v>1839</v>
      </c>
      <c r="BL7" t="s">
        <v>1855</v>
      </c>
      <c r="BM7" t="s">
        <v>1854</v>
      </c>
      <c r="BN7">
        <v>1.19</v>
      </c>
      <c r="BO7">
        <v>1.88</v>
      </c>
      <c r="BP7">
        <v>1.9</v>
      </c>
      <c r="BQ7">
        <v>0.48</v>
      </c>
      <c r="BR7">
        <v>0.74</v>
      </c>
      <c r="BS7">
        <v>0.56999999999999995</v>
      </c>
      <c r="BT7" t="s">
        <v>1246</v>
      </c>
      <c r="BU7" t="s">
        <v>1159</v>
      </c>
      <c r="BV7">
        <v>24.8</v>
      </c>
      <c r="BW7">
        <v>23.03</v>
      </c>
      <c r="BX7">
        <v>25.46</v>
      </c>
      <c r="BY7">
        <v>2.16</v>
      </c>
      <c r="BZ7">
        <v>2.0499999999999998</v>
      </c>
      <c r="CA7">
        <v>1.98</v>
      </c>
      <c r="CB7">
        <v>0.86</v>
      </c>
      <c r="CC7">
        <v>-10.36</v>
      </c>
      <c r="CD7" t="s">
        <v>1856</v>
      </c>
      <c r="CE7" t="s">
        <v>414</v>
      </c>
      <c r="CF7" s="10">
        <v>4.9209138840070298E-2</v>
      </c>
      <c r="CG7" s="11">
        <v>0.30273650403470637</v>
      </c>
      <c r="CH7" s="10">
        <v>5.2481461316347122E-2</v>
      </c>
      <c r="CI7" s="10">
        <v>-3.2560743391513824E-2</v>
      </c>
      <c r="CJ7" s="10">
        <v>-3.9745662361383438E-2</v>
      </c>
      <c r="CK7" s="10">
        <v>-6.319048348814249E-3</v>
      </c>
      <c r="CL7" s="10">
        <v>8.3904072642326355E-2</v>
      </c>
      <c r="CM7" s="11">
        <v>0.22945791482925415</v>
      </c>
      <c r="CN7" s="11">
        <v>0.43054184317588806</v>
      </c>
      <c r="CO7" s="11">
        <v>-0.4334380030632019</v>
      </c>
      <c r="CP7" s="11">
        <v>-0.45353186130523682</v>
      </c>
      <c r="CQ7" s="11">
        <v>-0.48972958326339722</v>
      </c>
      <c r="CR7">
        <v>55.673149992788375</v>
      </c>
      <c r="CS7">
        <v>48.193449637412463</v>
      </c>
      <c r="CT7">
        <v>0.42826552462526768</v>
      </c>
      <c r="CU7" s="10">
        <v>1.1552015971392392E-2</v>
      </c>
      <c r="CV7" s="11">
        <v>-0.14333993792533875</v>
      </c>
      <c r="CW7">
        <v>0.06</v>
      </c>
      <c r="CX7">
        <v>221.01287085424298</v>
      </c>
      <c r="CY7">
        <v>19202120.146201096</v>
      </c>
      <c r="CZ7">
        <v>1.1552015971392392E-2</v>
      </c>
      <c r="DA7">
        <v>77.229905321983367</v>
      </c>
      <c r="DB7">
        <v>54951714.394915573</v>
      </c>
      <c r="DC7">
        <v>1.0974415172822773E-2</v>
      </c>
      <c r="DD7">
        <v>41.464586320697734</v>
      </c>
      <c r="DE7">
        <v>102350368.75025037</v>
      </c>
      <c r="DF7">
        <v>1.0165774054825305E-2</v>
      </c>
      <c r="DG7">
        <v>27.352939825545842</v>
      </c>
      <c r="DH7">
        <v>155153914.97466984</v>
      </c>
      <c r="DI7">
        <v>9.2416127771139146E-3</v>
      </c>
      <c r="DJ7">
        <v>17.13957610022527</v>
      </c>
      <c r="DK7">
        <v>247609140.10844299</v>
      </c>
      <c r="DL7">
        <v>8.086411179974674E-3</v>
      </c>
      <c r="DM7">
        <v>20121800</v>
      </c>
      <c r="DN7">
        <v>1.1552015971392392E-2</v>
      </c>
      <c r="DO7">
        <v>4243915700</v>
      </c>
      <c r="DP7">
        <v>-752249800</v>
      </c>
      <c r="DQ7">
        <v>170</v>
      </c>
      <c r="DR7">
        <v>3.7657122868677909E-2</v>
      </c>
      <c r="DS7">
        <v>0.44607644196004514</v>
      </c>
      <c r="DT7" s="12">
        <v>-0.44</v>
      </c>
      <c r="DU7">
        <v>0.56666666666666676</v>
      </c>
      <c r="DV7">
        <v>0.12666666666666676</v>
      </c>
      <c r="DW7">
        <v>-2.1036000000000001</v>
      </c>
      <c r="DX7">
        <v>0.34449999999999914</v>
      </c>
      <c r="DY7">
        <v>-2.0139342</v>
      </c>
      <c r="DZ7">
        <v>1411</v>
      </c>
      <c r="EA7">
        <v>-2.0100866156164385</v>
      </c>
      <c r="EB7">
        <v>2</v>
      </c>
      <c r="EC7">
        <v>5.5301359445083714E-2</v>
      </c>
      <c r="ED7">
        <v>0.41116252375526924</v>
      </c>
      <c r="EE7" s="15">
        <v>-2.0737100000000002</v>
      </c>
      <c r="EF7">
        <v>-2.07151</v>
      </c>
      <c r="EG7">
        <v>21.134499999999999</v>
      </c>
      <c r="EH7" t="s">
        <v>1268</v>
      </c>
      <c r="EI7">
        <v>0</v>
      </c>
      <c r="EJ7">
        <v>1</v>
      </c>
      <c r="EK7" s="14">
        <v>45470</v>
      </c>
      <c r="EL7" s="16">
        <v>0</v>
      </c>
      <c r="EM7" s="16">
        <v>-4.3600000000000003</v>
      </c>
      <c r="EN7" s="16">
        <v>3.42</v>
      </c>
      <c r="EO7" s="16">
        <v>2.2000000000000002</v>
      </c>
      <c r="EP7" s="16">
        <v>0.22</v>
      </c>
    </row>
    <row r="8" spans="1:146" ht="108" x14ac:dyDescent="0.25">
      <c r="A8" s="7"/>
      <c r="B8" s="7"/>
      <c r="C8" s="7" t="str">
        <f>""&amp;CHAR(10)&amp;Basic_Fundamental_Information_Constructure(F8)&amp;CHAR(10)&amp;Basic_Fundamental_Information_Concatenate("")</f>
        <v xml:space="preserve">
市值105.765484亿, 利润9.67亿; PE12.22; 平均PE9.6; 平均PEG.43, PB.636; ROIC6.1767%; ROE7.4033%; 股利率2.7894%; 毛利24.21%; 净利36.49%; 上一年度营收增43.66%, 利润增-9.79%; 当季营收增2.4%, 利润增-35.01%; 过往5年营收增22.44%, 利润增10.78%
Income profile:
</v>
      </c>
      <c r="D8" t="s">
        <v>706</v>
      </c>
      <c r="E8" t="s">
        <v>707</v>
      </c>
      <c r="F8">
        <v>7.17</v>
      </c>
      <c r="G8">
        <v>-0.14000000000000001</v>
      </c>
      <c r="H8" t="s">
        <v>1857</v>
      </c>
      <c r="I8">
        <v>10576548400</v>
      </c>
      <c r="J8">
        <v>12.22</v>
      </c>
      <c r="K8">
        <v>0.63600000000000001</v>
      </c>
      <c r="L8" t="s">
        <v>1747</v>
      </c>
      <c r="M8" t="s">
        <v>1858</v>
      </c>
      <c r="N8" t="s">
        <v>1859</v>
      </c>
      <c r="O8" t="s">
        <v>618</v>
      </c>
      <c r="P8">
        <v>2.41</v>
      </c>
      <c r="Q8" t="s">
        <v>1860</v>
      </c>
      <c r="R8">
        <v>187807250</v>
      </c>
      <c r="S8" s="5">
        <v>-0.3508</v>
      </c>
      <c r="T8" t="s">
        <v>1504</v>
      </c>
      <c r="U8">
        <v>1253962160</v>
      </c>
      <c r="V8">
        <v>1475111400</v>
      </c>
      <c r="W8">
        <v>1.73</v>
      </c>
      <c r="X8">
        <v>0.03</v>
      </c>
      <c r="Y8">
        <v>21.7</v>
      </c>
      <c r="Z8" t="s">
        <v>1542</v>
      </c>
      <c r="AA8" t="s">
        <v>1410</v>
      </c>
      <c r="AB8" t="s">
        <v>1861</v>
      </c>
      <c r="AC8" t="s">
        <v>1862</v>
      </c>
      <c r="AD8" t="s">
        <v>28</v>
      </c>
      <c r="AE8">
        <v>36347009</v>
      </c>
      <c r="AF8" t="s">
        <v>1863</v>
      </c>
      <c r="AG8" t="s">
        <v>1864</v>
      </c>
      <c r="AH8" t="s">
        <v>1865</v>
      </c>
      <c r="AI8" t="s">
        <v>1866</v>
      </c>
      <c r="AJ8" t="s">
        <v>1867</v>
      </c>
      <c r="AK8" t="s">
        <v>28</v>
      </c>
      <c r="AL8" t="s">
        <v>1868</v>
      </c>
      <c r="AM8" t="s">
        <v>28</v>
      </c>
      <c r="AN8" t="s">
        <v>1694</v>
      </c>
      <c r="AO8" t="s">
        <v>1869</v>
      </c>
      <c r="AP8" t="s">
        <v>28</v>
      </c>
      <c r="AQ8" t="s">
        <v>1870</v>
      </c>
      <c r="AR8" t="s">
        <v>1871</v>
      </c>
      <c r="AS8" t="s">
        <v>1872</v>
      </c>
      <c r="AT8" t="s">
        <v>1873</v>
      </c>
      <c r="AU8" t="s">
        <v>1874</v>
      </c>
      <c r="AV8" t="s">
        <v>1875</v>
      </c>
      <c r="AW8" t="s">
        <v>88</v>
      </c>
      <c r="AX8" t="s">
        <v>1282</v>
      </c>
      <c r="AY8" t="s">
        <v>934</v>
      </c>
      <c r="AZ8" t="s">
        <v>708</v>
      </c>
      <c r="BA8" t="s">
        <v>710</v>
      </c>
      <c r="BB8" t="s">
        <v>711</v>
      </c>
      <c r="BC8" t="s">
        <v>1194</v>
      </c>
      <c r="BD8" t="s">
        <v>935</v>
      </c>
      <c r="BE8" t="s">
        <v>709</v>
      </c>
      <c r="BF8" t="s">
        <v>712</v>
      </c>
      <c r="BG8" t="s">
        <v>507</v>
      </c>
      <c r="BH8" t="s">
        <v>1860</v>
      </c>
      <c r="BI8" t="s">
        <v>1462</v>
      </c>
      <c r="BJ8" t="s">
        <v>1282</v>
      </c>
      <c r="BK8" t="s">
        <v>1504</v>
      </c>
      <c r="BL8" t="s">
        <v>255</v>
      </c>
      <c r="BM8" t="s">
        <v>1194</v>
      </c>
      <c r="BN8">
        <v>4.26</v>
      </c>
      <c r="BO8">
        <v>5.81</v>
      </c>
      <c r="BP8">
        <v>8.4600000000000009</v>
      </c>
      <c r="BQ8">
        <v>5.18</v>
      </c>
      <c r="BR8">
        <v>6.97</v>
      </c>
      <c r="BS8">
        <v>10.06</v>
      </c>
      <c r="BT8" t="s">
        <v>1250</v>
      </c>
      <c r="BU8" t="s">
        <v>1159</v>
      </c>
      <c r="BV8">
        <v>20.16</v>
      </c>
      <c r="BW8">
        <v>20.329999999999998</v>
      </c>
      <c r="BX8">
        <v>32.14</v>
      </c>
      <c r="BY8">
        <v>19.100000000000001</v>
      </c>
      <c r="BZ8">
        <v>28.97</v>
      </c>
      <c r="CA8">
        <v>61.4</v>
      </c>
      <c r="CB8">
        <v>-0.55000000000000004</v>
      </c>
      <c r="CC8">
        <v>-6.4</v>
      </c>
      <c r="CD8" t="s">
        <v>1876</v>
      </c>
      <c r="CE8" t="s">
        <v>1262</v>
      </c>
      <c r="CF8" s="10">
        <v>2.4000000000000136E-2</v>
      </c>
      <c r="CG8" s="11">
        <v>-0.35014792387543253</v>
      </c>
      <c r="CH8" s="10">
        <v>0.43658468127250671</v>
      </c>
      <c r="CI8" s="10">
        <v>0.5263601541519165</v>
      </c>
      <c r="CJ8" s="10">
        <v>8.6120016872882843E-2</v>
      </c>
      <c r="CK8" s="10">
        <v>-1.6666637733578682E-2</v>
      </c>
      <c r="CL8" s="10">
        <v>8.9838027954101563E-2</v>
      </c>
      <c r="CM8" s="11">
        <v>-9.7947761416435242E-2</v>
      </c>
      <c r="CN8" s="11">
        <v>-0.26875853538513184</v>
      </c>
      <c r="CO8" s="11">
        <v>6.6181771457195282E-2</v>
      </c>
      <c r="CP8" s="11">
        <v>0.31453162431716919</v>
      </c>
      <c r="CQ8" s="11">
        <v>0.52478134632110596</v>
      </c>
      <c r="CR8">
        <v>9.5975938294010881</v>
      </c>
      <c r="CS8">
        <v>0.42761022437967694</v>
      </c>
      <c r="CT8">
        <v>2.7894002789400281</v>
      </c>
      <c r="CU8" s="10">
        <v>0.22444724850356579</v>
      </c>
      <c r="CV8" s="11">
        <v>0.10775768905878066</v>
      </c>
      <c r="CW8">
        <v>0.06</v>
      </c>
      <c r="CX8">
        <v>5.3844622389165524</v>
      </c>
      <c r="CY8">
        <v>1117019329.5310831</v>
      </c>
      <c r="CZ8">
        <v>0.22444724850356579</v>
      </c>
      <c r="DA8">
        <v>1.5730754468232535</v>
      </c>
      <c r="DB8">
        <v>3823432888.8331957</v>
      </c>
      <c r="DC8">
        <v>0.21322488607838749</v>
      </c>
      <c r="DD8">
        <v>0.66196302687175845</v>
      </c>
      <c r="DE8">
        <v>9085927998.7629814</v>
      </c>
      <c r="DF8">
        <v>0.1975135786831379</v>
      </c>
      <c r="DG8">
        <v>0.32978835642042975</v>
      </c>
      <c r="DH8">
        <v>18237600821.57774</v>
      </c>
      <c r="DI8">
        <v>0.17955779880285264</v>
      </c>
      <c r="DJ8">
        <v>0.10936804881733694</v>
      </c>
      <c r="DK8">
        <v>54993651848.405106</v>
      </c>
      <c r="DL8">
        <v>0.15711307395249605</v>
      </c>
      <c r="DM8">
        <v>967000000</v>
      </c>
      <c r="DN8">
        <v>0.22444724850356579</v>
      </c>
      <c r="DO8">
        <v>6014548400.0000019</v>
      </c>
      <c r="DP8">
        <v>-2579897800</v>
      </c>
      <c r="DQ8">
        <v>218</v>
      </c>
      <c r="DR8">
        <v>-0.20044724850356566</v>
      </c>
      <c r="DS8">
        <v>-0.45790561293421317</v>
      </c>
      <c r="DT8" s="12">
        <v>-0.12333333333333336</v>
      </c>
      <c r="DU8">
        <v>-0.15333333333333338</v>
      </c>
      <c r="DV8">
        <v>-0.27666666666666673</v>
      </c>
      <c r="DW8">
        <v>-2.0640000000000001</v>
      </c>
      <c r="DX8">
        <v>0.36466836734693797</v>
      </c>
      <c r="DY8">
        <v>-2.009258775510204</v>
      </c>
      <c r="DZ8">
        <v>2378</v>
      </c>
      <c r="EA8">
        <v>-2.0049500928950836</v>
      </c>
      <c r="EB8">
        <v>2</v>
      </c>
      <c r="EC8">
        <v>1.9222277042940623E-2</v>
      </c>
      <c r="ED8">
        <v>0.13287132076940086</v>
      </c>
      <c r="EE8" s="15">
        <v>1.0335099999999999</v>
      </c>
      <c r="EF8">
        <v>1.0459100000000001</v>
      </c>
      <c r="EG8">
        <v>22.144668367346938</v>
      </c>
      <c r="EH8" t="s">
        <v>1160</v>
      </c>
      <c r="EI8">
        <v>0</v>
      </c>
      <c r="EJ8">
        <v>0</v>
      </c>
      <c r="EK8" s="14">
        <v>45470</v>
      </c>
      <c r="EL8" s="16">
        <v>0.42</v>
      </c>
      <c r="EM8" s="16">
        <v>-1.67</v>
      </c>
      <c r="EN8" s="16">
        <v>0.42</v>
      </c>
      <c r="EO8" s="16">
        <v>1.97</v>
      </c>
      <c r="EP8" s="16">
        <v>-1.24</v>
      </c>
    </row>
    <row r="9" spans="1:146" ht="96" x14ac:dyDescent="0.25">
      <c r="A9" s="7"/>
      <c r="B9" s="7"/>
      <c r="C9" s="7" t="str">
        <f>""&amp;CHAR(10)&amp;Basic_Fundamental_Information_Constructure(F9)&amp;CHAR(10)&amp;Basic_Fundamental_Information_Concatenate("")</f>
        <v xml:space="preserve">
市值51.996967亿, 利润10.56亿; PE4.57; 平均PE-6.11; 平均PEG-.16, PB7.28; ROIC0%; ROE-79.76%; 股利率0%; 毛利-14.5%; 净利-147.6867%; 上一年度营收增-23.59%, 利润增178.34%; 当季营收增-89.53%, 利润增86.21%; 过往5年营收增-39.24%, 利润增-201.73%
Income profile:
</v>
      </c>
      <c r="D9" t="s">
        <v>60</v>
      </c>
      <c r="E9" t="s">
        <v>1283</v>
      </c>
      <c r="F9">
        <v>1.82</v>
      </c>
      <c r="G9">
        <v>1.1100000000000001</v>
      </c>
      <c r="H9" t="s">
        <v>1877</v>
      </c>
      <c r="I9">
        <v>5199696700</v>
      </c>
      <c r="J9">
        <v>4.57</v>
      </c>
      <c r="K9">
        <v>7.28</v>
      </c>
      <c r="L9" t="s">
        <v>1747</v>
      </c>
      <c r="M9" t="s">
        <v>135</v>
      </c>
      <c r="N9" t="s">
        <v>1878</v>
      </c>
      <c r="O9" t="s">
        <v>1879</v>
      </c>
      <c r="P9">
        <v>-89.53</v>
      </c>
      <c r="Q9" t="s">
        <v>323</v>
      </c>
      <c r="R9">
        <v>-13290164</v>
      </c>
      <c r="S9" s="5">
        <v>0.86209999999999998</v>
      </c>
      <c r="T9" t="s">
        <v>1219</v>
      </c>
      <c r="U9">
        <v>1058976980</v>
      </c>
      <c r="V9">
        <v>2856976200</v>
      </c>
      <c r="W9">
        <v>1.56</v>
      </c>
      <c r="X9">
        <v>0</v>
      </c>
      <c r="Y9">
        <v>-250.4</v>
      </c>
      <c r="Z9" t="s">
        <v>1880</v>
      </c>
      <c r="AA9" t="s">
        <v>1881</v>
      </c>
      <c r="AB9" t="s">
        <v>1882</v>
      </c>
      <c r="AC9" t="s">
        <v>1883</v>
      </c>
      <c r="AD9" t="s">
        <v>28</v>
      </c>
      <c r="AE9">
        <v>-329555</v>
      </c>
      <c r="AF9" t="s">
        <v>1884</v>
      </c>
      <c r="AG9" t="s">
        <v>28</v>
      </c>
      <c r="AH9" t="s">
        <v>1885</v>
      </c>
      <c r="AI9" t="s">
        <v>284</v>
      </c>
      <c r="AJ9" t="s">
        <v>1886</v>
      </c>
      <c r="AK9" t="s">
        <v>1887</v>
      </c>
      <c r="AL9" t="s">
        <v>1888</v>
      </c>
      <c r="AM9" t="s">
        <v>28</v>
      </c>
      <c r="AN9">
        <v>0</v>
      </c>
      <c r="AO9" t="s">
        <v>28</v>
      </c>
      <c r="AP9" t="s">
        <v>1889</v>
      </c>
      <c r="AQ9" t="s">
        <v>961</v>
      </c>
      <c r="AR9" t="s">
        <v>28</v>
      </c>
      <c r="AS9" t="s">
        <v>535</v>
      </c>
      <c r="AT9" t="s">
        <v>28</v>
      </c>
      <c r="AU9" t="s">
        <v>1631</v>
      </c>
      <c r="AV9" t="s">
        <v>1890</v>
      </c>
      <c r="AW9" t="s">
        <v>1891</v>
      </c>
      <c r="AX9" t="s">
        <v>517</v>
      </c>
      <c r="AY9" t="s">
        <v>730</v>
      </c>
      <c r="AZ9" t="s">
        <v>349</v>
      </c>
      <c r="BA9" t="s">
        <v>61</v>
      </c>
      <c r="BB9" t="s">
        <v>351</v>
      </c>
      <c r="BC9" t="s">
        <v>1892</v>
      </c>
      <c r="BD9" t="s">
        <v>1893</v>
      </c>
      <c r="BE9" t="s">
        <v>350</v>
      </c>
      <c r="BF9" t="s">
        <v>62</v>
      </c>
      <c r="BG9" t="s">
        <v>163</v>
      </c>
      <c r="BH9" t="s">
        <v>323</v>
      </c>
      <c r="BI9" t="s">
        <v>1894</v>
      </c>
      <c r="BJ9" t="s">
        <v>517</v>
      </c>
      <c r="BK9" t="s">
        <v>1219</v>
      </c>
      <c r="BL9" t="s">
        <v>1895</v>
      </c>
      <c r="BM9" t="s">
        <v>1892</v>
      </c>
      <c r="BN9" t="s">
        <v>28</v>
      </c>
      <c r="BO9" t="s">
        <v>28</v>
      </c>
      <c r="BP9" t="s">
        <v>28</v>
      </c>
      <c r="BQ9" t="s">
        <v>28</v>
      </c>
      <c r="BR9" t="s">
        <v>28</v>
      </c>
      <c r="BS9">
        <v>-79.760000000000005</v>
      </c>
      <c r="BT9" t="s">
        <v>1244</v>
      </c>
      <c r="BU9" t="s">
        <v>1153</v>
      </c>
      <c r="BV9">
        <v>-18.78</v>
      </c>
      <c r="BW9">
        <v>-43.57</v>
      </c>
      <c r="BX9">
        <v>18.850000000000001</v>
      </c>
      <c r="BY9">
        <v>568.16</v>
      </c>
      <c r="BZ9">
        <v>-780.84</v>
      </c>
      <c r="CA9">
        <v>-230.38</v>
      </c>
      <c r="CB9">
        <v>5.81</v>
      </c>
      <c r="CC9">
        <v>-3.7</v>
      </c>
      <c r="CD9" t="s">
        <v>1896</v>
      </c>
      <c r="CE9" t="s">
        <v>189</v>
      </c>
      <c r="CF9" s="10">
        <v>-0.8952650106086909</v>
      </c>
      <c r="CG9" s="11">
        <v>0.86206554556087978</v>
      </c>
      <c r="CH9" s="10">
        <v>-0.23589743673801422</v>
      </c>
      <c r="CI9" s="10">
        <v>-0.73577237129211426</v>
      </c>
      <c r="CJ9" s="10">
        <v>-0.36269429326057434</v>
      </c>
      <c r="CK9" s="10">
        <v>-0.39084693789482117</v>
      </c>
      <c r="CL9" s="10">
        <v>-0.23685266077518463</v>
      </c>
      <c r="CM9" s="11">
        <v>1.783382773399353</v>
      </c>
      <c r="CN9" s="11">
        <v>0.11780104786157608</v>
      </c>
      <c r="CO9" s="11">
        <v>0.35116773843765259</v>
      </c>
      <c r="CP9" s="11">
        <v>-1.2709740400314331</v>
      </c>
      <c r="CQ9" s="11">
        <v>-11.067960739135742</v>
      </c>
      <c r="CR9">
        <v>-6.1065140340575459</v>
      </c>
      <c r="CS9">
        <v>-0.15561457138674531</v>
      </c>
      <c r="CT9">
        <v>0</v>
      </c>
      <c r="CU9" s="10">
        <v>-0.39241273999214171</v>
      </c>
      <c r="CV9" s="11">
        <v>-2.0173166438937189</v>
      </c>
      <c r="CW9">
        <v>0.06</v>
      </c>
      <c r="CX9" t="e">
        <v>#VALUE!</v>
      </c>
      <c r="CY9" t="s">
        <v>1897</v>
      </c>
      <c r="CZ9">
        <v>-0.39241273999214171</v>
      </c>
      <c r="DA9">
        <v>1.562719917929293</v>
      </c>
      <c r="DB9" t="s">
        <v>1898</v>
      </c>
      <c r="DC9">
        <v>-0.37279210299253462</v>
      </c>
      <c r="DD9">
        <v>0.78135995896464649</v>
      </c>
      <c r="DE9" t="s">
        <v>1899</v>
      </c>
      <c r="DF9">
        <v>-0.34532321119308473</v>
      </c>
      <c r="DG9">
        <v>0.46881597537878789</v>
      </c>
      <c r="DH9" t="s">
        <v>1900</v>
      </c>
      <c r="DI9">
        <v>-0.31393019199371341</v>
      </c>
      <c r="DJ9">
        <v>0.23440798768939394</v>
      </c>
      <c r="DK9" t="s">
        <v>1901</v>
      </c>
      <c r="DL9">
        <v>-0.27468891799449918</v>
      </c>
      <c r="DM9">
        <v>1056000000</v>
      </c>
      <c r="DN9">
        <v>-0.39241273999214171</v>
      </c>
      <c r="DO9">
        <v>4950696700</v>
      </c>
      <c r="DP9">
        <v>706860170</v>
      </c>
      <c r="DQ9">
        <v>236</v>
      </c>
      <c r="DR9">
        <v>-0.50285227061654925</v>
      </c>
      <c r="DS9">
        <v>2.8793821894545988</v>
      </c>
      <c r="DT9" s="12">
        <v>-1.2566666666666666</v>
      </c>
      <c r="DU9">
        <v>-2.5316666666666667</v>
      </c>
      <c r="DV9">
        <v>-3.7883333333333331</v>
      </c>
      <c r="DW9">
        <v>4.636833046471601</v>
      </c>
      <c r="DX9">
        <v>0.21215082742316724</v>
      </c>
      <c r="DY9">
        <v>4.0395797007686269</v>
      </c>
      <c r="DZ9">
        <v>5056</v>
      </c>
      <c r="EA9">
        <v>4.0004182590687876</v>
      </c>
      <c r="EB9">
        <v>4</v>
      </c>
      <c r="EC9">
        <v>9.2019667507205697E-3</v>
      </c>
      <c r="ED9">
        <v>0.14805863626025309</v>
      </c>
      <c r="EE9" s="15">
        <v>3.0872000000000002</v>
      </c>
      <c r="EF9">
        <v>3.0642999999999998</v>
      </c>
      <c r="EG9">
        <v>15.062150827423167</v>
      </c>
      <c r="EH9" t="s">
        <v>1376</v>
      </c>
      <c r="EI9">
        <v>0</v>
      </c>
      <c r="EJ9">
        <v>0</v>
      </c>
      <c r="EK9" s="14">
        <v>45470</v>
      </c>
      <c r="EL9" s="16">
        <v>3.47</v>
      </c>
      <c r="EM9" s="16">
        <v>-4.47</v>
      </c>
      <c r="EN9" s="16">
        <v>1.17</v>
      </c>
      <c r="EO9" s="16">
        <v>1.1599999999999999</v>
      </c>
      <c r="EP9" s="16">
        <v>-2.29</v>
      </c>
    </row>
    <row r="10" spans="1:146" ht="216" x14ac:dyDescent="0.25">
      <c r="A10" s="7"/>
      <c r="B10" s="7"/>
      <c r="C10" s="7" t="str">
        <f>"公司主营业务为城乡有机废弃物的无害化处理及资源化利用与城市清洁供热业务。主要服务为有机固废领域的无害化处理与资源化利用业务、餐厨废油脂深度资源化业务、城市清洁供暖业务。"&amp;CHAR(10)&amp;Basic_Fundamental_Information_Constructure(F10)&amp;CHAR(10)&amp;Basic_Fundamental_Information_Concatenate("油脂产品加工和销售 7.48亿 66.44% 1.04亿 48.36% 13.89%
供暖 1.56亿 13.84% 4185.28万 19.48% 26.85%
环保无害化处理 1.36亿 12.06% 1886.15万 8.78% 13.89%
节能环保装备与配套工程 8554.21万 7.60% 5023.57万 23.38% 58.73%")</f>
        <v>公司主营业务为城乡有机废弃物的无害化处理及资源化利用与城市清洁供热业务。主要服务为有机固废领域的无害化处理与资源化利用业务、餐厨废油脂深度资源化业务、城市清洁供暖业务。
市值16.779712亿, 利润885.11万; PE; 平均PE181.06; 平均PEG.58, PB1.18; ROIC4.58%; ROE5.57%; 股利率0%; 毛利21.2567%; 净利4.8167%; 上一年度营收增17.31%, 利润增-89.58%; 当季营收增-38.82%, 利润增-78.28%; 过往5年营收增310.35%, 利润增-418.5%
Income profile:
油脂产品加工和销售 7.48亿 66.44% 1.04亿 48.36% 13.89%
供暖 1.56亿 13.84% 4185.28万 19.48% 26.85%
环保无害化处理 1.36亿 12.06% 1886.15万 8.78% 13.89%
节能环保装备与配套工程 8554.21万 7.60% 5023.57万 23.38% 58.73%</v>
      </c>
      <c r="D10" t="s">
        <v>65</v>
      </c>
      <c r="E10" t="s">
        <v>1162</v>
      </c>
      <c r="F10">
        <v>3.52</v>
      </c>
      <c r="G10">
        <v>1.1499999999999999</v>
      </c>
      <c r="H10" t="s">
        <v>1902</v>
      </c>
      <c r="I10">
        <v>1677971200</v>
      </c>
      <c r="K10">
        <v>1.18</v>
      </c>
      <c r="L10" t="s">
        <v>1747</v>
      </c>
      <c r="M10" t="s">
        <v>1320</v>
      </c>
      <c r="N10" t="s">
        <v>1903</v>
      </c>
      <c r="O10" t="s">
        <v>64</v>
      </c>
      <c r="P10">
        <v>-38.79</v>
      </c>
      <c r="Q10" t="s">
        <v>1904</v>
      </c>
      <c r="R10">
        <v>8772491</v>
      </c>
      <c r="S10" s="5">
        <v>-0.78280000000000005</v>
      </c>
      <c r="T10" t="s">
        <v>1905</v>
      </c>
      <c r="U10">
        <v>456341230</v>
      </c>
      <c r="V10">
        <v>476696360</v>
      </c>
      <c r="W10">
        <v>3.71</v>
      </c>
      <c r="X10">
        <v>0.08</v>
      </c>
      <c r="Y10">
        <v>1.95</v>
      </c>
      <c r="Z10" t="s">
        <v>742</v>
      </c>
      <c r="AA10" t="s">
        <v>319</v>
      </c>
      <c r="AB10" t="s">
        <v>1906</v>
      </c>
      <c r="AC10" t="s">
        <v>1907</v>
      </c>
      <c r="AD10" t="s">
        <v>28</v>
      </c>
      <c r="AE10">
        <v>28788303</v>
      </c>
      <c r="AF10" t="s">
        <v>67</v>
      </c>
      <c r="AG10" t="s">
        <v>1908</v>
      </c>
      <c r="AH10" t="s">
        <v>1909</v>
      </c>
      <c r="AI10" t="s">
        <v>197</v>
      </c>
      <c r="AJ10" t="s">
        <v>1910</v>
      </c>
      <c r="AK10" t="s">
        <v>28</v>
      </c>
      <c r="AL10" t="s">
        <v>1911</v>
      </c>
      <c r="AM10" t="s">
        <v>28</v>
      </c>
      <c r="AN10" t="s">
        <v>1355</v>
      </c>
      <c r="AO10" t="s">
        <v>697</v>
      </c>
      <c r="AP10" t="s">
        <v>28</v>
      </c>
      <c r="AQ10" t="s">
        <v>455</v>
      </c>
      <c r="AR10" t="s">
        <v>28</v>
      </c>
      <c r="AS10" t="s">
        <v>1912</v>
      </c>
      <c r="AT10" t="s">
        <v>1913</v>
      </c>
      <c r="AU10" t="s">
        <v>1914</v>
      </c>
      <c r="AV10" t="s">
        <v>1915</v>
      </c>
      <c r="AW10" t="s">
        <v>1916</v>
      </c>
      <c r="AX10" t="s">
        <v>1231</v>
      </c>
      <c r="AY10" t="s">
        <v>689</v>
      </c>
      <c r="AZ10" t="s">
        <v>353</v>
      </c>
      <c r="BA10" t="s">
        <v>66</v>
      </c>
      <c r="BB10" t="s">
        <v>357</v>
      </c>
      <c r="BC10" t="s">
        <v>1284</v>
      </c>
      <c r="BD10" t="s">
        <v>938</v>
      </c>
      <c r="BE10" t="s">
        <v>354</v>
      </c>
      <c r="BF10" t="s">
        <v>358</v>
      </c>
      <c r="BG10" t="s">
        <v>359</v>
      </c>
      <c r="BH10" t="s">
        <v>1904</v>
      </c>
      <c r="BI10" t="s">
        <v>479</v>
      </c>
      <c r="BJ10" t="s">
        <v>1231</v>
      </c>
      <c r="BK10" t="s">
        <v>1905</v>
      </c>
      <c r="BL10" t="s">
        <v>1917</v>
      </c>
      <c r="BM10" t="s">
        <v>1284</v>
      </c>
      <c r="BN10">
        <v>0.97</v>
      </c>
      <c r="BO10">
        <v>4.6100000000000003</v>
      </c>
      <c r="BP10">
        <v>8.16</v>
      </c>
      <c r="BQ10">
        <v>1.23</v>
      </c>
      <c r="BR10">
        <v>6.39</v>
      </c>
      <c r="BS10">
        <v>9.09</v>
      </c>
      <c r="BT10" t="s">
        <v>1244</v>
      </c>
      <c r="BU10" t="s">
        <v>1061</v>
      </c>
      <c r="BV10">
        <v>14.71</v>
      </c>
      <c r="BW10">
        <v>19.27</v>
      </c>
      <c r="BX10">
        <v>29.79</v>
      </c>
      <c r="BY10">
        <v>-0.1</v>
      </c>
      <c r="BZ10">
        <v>4.4400000000000004</v>
      </c>
      <c r="CA10">
        <v>10.11</v>
      </c>
      <c r="CB10">
        <v>0.86</v>
      </c>
      <c r="CC10">
        <v>-15.99</v>
      </c>
      <c r="CD10" t="s">
        <v>1918</v>
      </c>
      <c r="CE10" t="s">
        <v>101</v>
      </c>
      <c r="CF10" s="10">
        <v>-0.38823529411764707</v>
      </c>
      <c r="CG10" s="11">
        <v>-0.78275750289120405</v>
      </c>
      <c r="CH10" s="10">
        <v>0.17308765649795532</v>
      </c>
      <c r="CI10" s="10">
        <v>1.1656590700149536</v>
      </c>
      <c r="CJ10" s="10">
        <v>1.3832852840423584</v>
      </c>
      <c r="CK10" s="10">
        <v>13.747632026672363</v>
      </c>
      <c r="CL10" s="10">
        <v>-0.95207899808883667</v>
      </c>
      <c r="CM10" s="11">
        <v>-0.89583933353424072</v>
      </c>
      <c r="CN10" s="11">
        <v>5.5513665080070496E-2</v>
      </c>
      <c r="CO10" s="11">
        <v>0.78379648923873901</v>
      </c>
      <c r="CP10" s="11">
        <v>1.2623953819274902</v>
      </c>
      <c r="CQ10" s="11">
        <v>-22.130998611450195</v>
      </c>
      <c r="CR10">
        <v>181.06104890602575</v>
      </c>
      <c r="CS10">
        <v>0.58340601469026787</v>
      </c>
      <c r="CT10">
        <v>0</v>
      </c>
      <c r="CU10" s="10">
        <v>3.103517007827759</v>
      </c>
      <c r="CV10" s="11">
        <v>-4.1850264817476273</v>
      </c>
      <c r="CW10">
        <v>0.06</v>
      </c>
      <c r="CX10">
        <v>122.0779575115865</v>
      </c>
      <c r="CY10">
        <v>34264754.139607809</v>
      </c>
      <c r="CZ10">
        <v>3.103517007827759</v>
      </c>
      <c r="DA10">
        <v>6.8215151715156983</v>
      </c>
      <c r="DB10">
        <v>613202652.90424764</v>
      </c>
      <c r="DC10">
        <v>2.9483411574363707</v>
      </c>
      <c r="DD10">
        <v>0.17798624287178541</v>
      </c>
      <c r="DE10">
        <v>23501654580.198399</v>
      </c>
      <c r="DF10">
        <v>2.7310949668884281</v>
      </c>
      <c r="DG10">
        <v>2.2420055762635317E-3</v>
      </c>
      <c r="DH10">
        <v>1865727384572.8926</v>
      </c>
      <c r="DI10">
        <v>2.4828136062622073</v>
      </c>
      <c r="DJ10">
        <v>9.4638769654962867E-8</v>
      </c>
      <c r="DK10">
        <v>4.419934045265396E+16</v>
      </c>
      <c r="DL10">
        <v>2.1724619054794312</v>
      </c>
      <c r="DM10">
        <v>8851100</v>
      </c>
      <c r="DN10">
        <v>3.103517007827759</v>
      </c>
      <c r="DO10">
        <v>4182971200</v>
      </c>
      <c r="DP10">
        <v>-976877870</v>
      </c>
      <c r="DQ10">
        <v>296</v>
      </c>
      <c r="DR10">
        <v>-3.491752301945406</v>
      </c>
      <c r="DS10">
        <v>3.4022689788564233</v>
      </c>
      <c r="DT10" s="12">
        <v>0.61666666666666659</v>
      </c>
      <c r="DU10">
        <v>-0.89</v>
      </c>
      <c r="DV10">
        <v>-0.27333333333333343</v>
      </c>
      <c r="DW10">
        <v>-2.1598999999999999</v>
      </c>
      <c r="DX10">
        <v>0.30252877697841868</v>
      </c>
      <c r="DY10">
        <v>-2.0179933514388488</v>
      </c>
      <c r="DZ10">
        <v>2372</v>
      </c>
      <c r="EA10">
        <v>-2.0096410560155711</v>
      </c>
      <c r="EB10">
        <v>2</v>
      </c>
      <c r="EC10">
        <v>3.2812291665075856E-2</v>
      </c>
      <c r="ED10">
        <v>0.29159022737240958</v>
      </c>
      <c r="EE10" s="15">
        <v>-6.0624000000000002</v>
      </c>
      <c r="EF10">
        <v>-6.0510999999999999</v>
      </c>
      <c r="EG10">
        <v>19.112528776978419</v>
      </c>
      <c r="EH10" t="s">
        <v>1919</v>
      </c>
      <c r="EI10">
        <v>0</v>
      </c>
      <c r="EJ10">
        <v>0</v>
      </c>
      <c r="EK10" s="14">
        <v>45470</v>
      </c>
      <c r="EL10" s="16">
        <v>0.28000000000000003</v>
      </c>
      <c r="EM10" s="16">
        <v>-3.11</v>
      </c>
      <c r="EN10" s="16">
        <v>0</v>
      </c>
      <c r="EO10" s="16">
        <v>2.92</v>
      </c>
      <c r="EP10" s="16">
        <v>-1.1299999999999999</v>
      </c>
    </row>
    <row r="11" spans="1:146" ht="108" x14ac:dyDescent="0.25">
      <c r="A11" s="7"/>
      <c r="B11" s="7"/>
      <c r="C11" s="7" t="str">
        <f>""&amp;CHAR(10)&amp;Basic_Fundamental_Information_Constructure(F11)&amp;CHAR(10)&amp;Basic_Fundamental_Information_Concatenate("")</f>
        <v xml:space="preserve">
市值20.667622亿, 利润-15.72亿; PE; 平均PE-1.6; 平均PEG-.13, PB.496; ROIC0%; ROE-24.0033%; 股利率0%; 毛利14.6267%; 净利-31.4867%; 上一年度营收增-23.92%, 利润增-63.07%; 当季营收增-2.7%, 利润增-9.02%; 过往5年营收增-12.3%, 利润增-161.67%
Income profile:
</v>
      </c>
      <c r="D11" t="s">
        <v>70</v>
      </c>
      <c r="E11" t="s">
        <v>71</v>
      </c>
      <c r="F11">
        <v>1.45</v>
      </c>
      <c r="G11">
        <v>0.69</v>
      </c>
      <c r="H11" t="s">
        <v>1920</v>
      </c>
      <c r="I11">
        <v>2066762200</v>
      </c>
      <c r="K11">
        <v>0.496</v>
      </c>
      <c r="L11" t="s">
        <v>1747</v>
      </c>
      <c r="M11" t="s">
        <v>1921</v>
      </c>
      <c r="N11" t="s">
        <v>1922</v>
      </c>
      <c r="O11" t="s">
        <v>1923</v>
      </c>
      <c r="P11">
        <v>-2.65</v>
      </c>
      <c r="Q11" t="s">
        <v>1924</v>
      </c>
      <c r="R11">
        <v>-84494835</v>
      </c>
      <c r="S11" s="5">
        <v>-9.0200000000000002E-2</v>
      </c>
      <c r="T11" t="s">
        <v>1925</v>
      </c>
      <c r="U11">
        <v>1425173000</v>
      </c>
      <c r="V11">
        <v>1425353200</v>
      </c>
      <c r="W11">
        <v>2.84</v>
      </c>
      <c r="X11">
        <v>0.05</v>
      </c>
      <c r="Y11">
        <v>-4.7</v>
      </c>
      <c r="Z11" t="s">
        <v>541</v>
      </c>
      <c r="AA11" t="s">
        <v>1926</v>
      </c>
      <c r="AB11" t="s">
        <v>1927</v>
      </c>
      <c r="AC11" t="s">
        <v>324</v>
      </c>
      <c r="AD11" t="s">
        <v>28</v>
      </c>
      <c r="AE11">
        <v>114339001</v>
      </c>
      <c r="AF11" t="s">
        <v>1928</v>
      </c>
      <c r="AG11" t="s">
        <v>1929</v>
      </c>
      <c r="AH11" t="s">
        <v>1930</v>
      </c>
      <c r="AI11" t="s">
        <v>993</v>
      </c>
      <c r="AJ11" t="s">
        <v>1931</v>
      </c>
      <c r="AK11" t="s">
        <v>28</v>
      </c>
      <c r="AL11" t="s">
        <v>1932</v>
      </c>
      <c r="AM11" t="s">
        <v>28</v>
      </c>
      <c r="AN11" t="s">
        <v>1541</v>
      </c>
      <c r="AO11" t="s">
        <v>1933</v>
      </c>
      <c r="AP11" t="s">
        <v>28</v>
      </c>
      <c r="AQ11" t="s">
        <v>1934</v>
      </c>
      <c r="AR11" t="s">
        <v>1935</v>
      </c>
      <c r="AS11" t="s">
        <v>1936</v>
      </c>
      <c r="AT11" t="s">
        <v>1937</v>
      </c>
      <c r="AU11" t="s">
        <v>1938</v>
      </c>
      <c r="AV11" t="s">
        <v>1939</v>
      </c>
      <c r="AW11" t="s">
        <v>1940</v>
      </c>
      <c r="AX11" t="s">
        <v>1286</v>
      </c>
      <c r="AY11" t="s">
        <v>939</v>
      </c>
      <c r="AZ11" t="s">
        <v>941</v>
      </c>
      <c r="BA11" t="s">
        <v>1164</v>
      </c>
      <c r="BB11" t="s">
        <v>1165</v>
      </c>
      <c r="BC11" t="s">
        <v>1287</v>
      </c>
      <c r="BD11" t="s">
        <v>940</v>
      </c>
      <c r="BE11" t="s">
        <v>942</v>
      </c>
      <c r="BF11" t="s">
        <v>408</v>
      </c>
      <c r="BG11" t="s">
        <v>270</v>
      </c>
      <c r="BH11" t="s">
        <v>1924</v>
      </c>
      <c r="BI11" t="s">
        <v>1941</v>
      </c>
      <c r="BJ11" t="s">
        <v>1286</v>
      </c>
      <c r="BK11" t="s">
        <v>1925</v>
      </c>
      <c r="BL11" t="s">
        <v>1942</v>
      </c>
      <c r="BM11" t="s">
        <v>1287</v>
      </c>
      <c r="BN11" t="s">
        <v>28</v>
      </c>
      <c r="BO11" t="s">
        <v>28</v>
      </c>
      <c r="BP11" t="s">
        <v>28</v>
      </c>
      <c r="BQ11">
        <v>-5.95</v>
      </c>
      <c r="BR11">
        <v>-16.54</v>
      </c>
      <c r="BS11">
        <v>-49.52</v>
      </c>
      <c r="BT11" t="s">
        <v>1244</v>
      </c>
      <c r="BU11" t="s">
        <v>1153</v>
      </c>
      <c r="BV11">
        <v>18.68</v>
      </c>
      <c r="BW11">
        <v>24.61</v>
      </c>
      <c r="BX11">
        <v>0.59</v>
      </c>
      <c r="BY11">
        <v>-29.74</v>
      </c>
      <c r="BZ11">
        <v>-11.07</v>
      </c>
      <c r="CA11">
        <v>-53.65</v>
      </c>
      <c r="CB11">
        <v>5.07</v>
      </c>
      <c r="CC11">
        <v>-34.39</v>
      </c>
      <c r="CD11" t="s">
        <v>620</v>
      </c>
      <c r="CE11" t="s">
        <v>525</v>
      </c>
      <c r="CF11" s="10">
        <v>-2.6984126984126985E-2</v>
      </c>
      <c r="CG11" s="11">
        <v>-9.0244681345224828E-2</v>
      </c>
      <c r="CH11" s="10">
        <v>-0.23915497958660126</v>
      </c>
      <c r="CI11" s="10">
        <v>-0.1628345400094986</v>
      </c>
      <c r="CJ11" s="10">
        <v>-1.931077241897583E-2</v>
      </c>
      <c r="CK11" s="10">
        <v>-0.1348540186882019</v>
      </c>
      <c r="CL11" s="10">
        <v>-5.8757059276103973E-2</v>
      </c>
      <c r="CM11" s="11">
        <v>-0.63070541620254517</v>
      </c>
      <c r="CN11" s="11">
        <v>0.78766518831253052</v>
      </c>
      <c r="CO11" s="11">
        <v>-1.9121232032775879</v>
      </c>
      <c r="CP11" s="11">
        <v>-5.9025158882141113</v>
      </c>
      <c r="CQ11" s="11">
        <v>-0.42599278688430786</v>
      </c>
      <c r="CR11">
        <v>-1.5973944609042896</v>
      </c>
      <c r="CS11">
        <v>-0.12988818705351401</v>
      </c>
      <c r="CT11">
        <v>0</v>
      </c>
      <c r="CU11" s="10">
        <v>-0.12298227399587632</v>
      </c>
      <c r="CV11" s="11">
        <v>-1.6167344212532044</v>
      </c>
      <c r="CW11">
        <v>0.06</v>
      </c>
      <c r="CX11" t="e">
        <v>#VALUE!</v>
      </c>
      <c r="CY11" t="s">
        <v>1157</v>
      </c>
      <c r="CZ11">
        <v>-0.12298227399587632</v>
      </c>
      <c r="DA11" t="e">
        <v>#VALUE!</v>
      </c>
      <c r="DB11" t="s">
        <v>1158</v>
      </c>
      <c r="DC11">
        <v>-0.1168331602960825</v>
      </c>
      <c r="DD11" t="e">
        <v>#VALUE!</v>
      </c>
      <c r="DE11" t="s">
        <v>1158</v>
      </c>
      <c r="DF11">
        <v>-0.10822440111637116</v>
      </c>
      <c r="DG11" t="e">
        <v>#VALUE!</v>
      </c>
      <c r="DH11" t="s">
        <v>1158</v>
      </c>
      <c r="DI11">
        <v>-9.8385819196701058E-2</v>
      </c>
      <c r="DJ11" t="e">
        <v>#VALUE!</v>
      </c>
      <c r="DK11" t="s">
        <v>1158</v>
      </c>
      <c r="DL11">
        <v>-8.6087591797113422E-2</v>
      </c>
      <c r="DM11">
        <v>-1572000000</v>
      </c>
      <c r="DN11">
        <v>-0.12298227399587632</v>
      </c>
      <c r="DO11">
        <v>9151762200</v>
      </c>
      <c r="DP11">
        <v>-1253856900.000001</v>
      </c>
      <c r="DQ11">
        <v>312</v>
      </c>
      <c r="DR11">
        <v>9.599814701174933E-2</v>
      </c>
      <c r="DS11">
        <v>1.5264897399079795</v>
      </c>
      <c r="DT11" s="12">
        <v>-0.75666666666666671</v>
      </c>
      <c r="DU11">
        <v>-3.1983333333333337</v>
      </c>
      <c r="DV11">
        <v>-3.9550000000000005</v>
      </c>
      <c r="DW11">
        <v>6.1284845413076532</v>
      </c>
      <c r="DX11">
        <v>0.33289765721331604</v>
      </c>
      <c r="DY11">
        <v>6.0196449853540681</v>
      </c>
      <c r="DZ11">
        <v>5065</v>
      </c>
      <c r="EA11">
        <v>6.0001729988925501</v>
      </c>
      <c r="EB11">
        <v>6</v>
      </c>
      <c r="EC11">
        <v>8.6995981066306932E-2</v>
      </c>
      <c r="ED11">
        <v>0.56898177939334615</v>
      </c>
      <c r="EE11" s="15">
        <v>-2.02441</v>
      </c>
      <c r="EF11">
        <v>-2.0514100000000002</v>
      </c>
      <c r="EG11">
        <v>18.152897657213316</v>
      </c>
      <c r="EH11" t="s">
        <v>1268</v>
      </c>
      <c r="EI11">
        <v>0</v>
      </c>
      <c r="EJ11">
        <v>0</v>
      </c>
      <c r="EK11" s="14">
        <v>45470</v>
      </c>
      <c r="EL11" s="16">
        <v>-3.14</v>
      </c>
      <c r="EM11" s="16">
        <v>-5.84</v>
      </c>
      <c r="EN11" s="16">
        <v>-1.38</v>
      </c>
      <c r="EO11" s="16">
        <v>3.5</v>
      </c>
      <c r="EP11" s="16">
        <v>-2.7</v>
      </c>
    </row>
    <row r="12" spans="1:146" ht="108" x14ac:dyDescent="0.25">
      <c r="C12" s="7" t="str">
        <f>""&amp;CHAR(10)&amp;Basic_Fundamental_Information_Constructure(F12)&amp;CHAR(10)&amp;Basic_Fundamental_Information_Concatenate("")</f>
        <v xml:space="preserve">
市值78.654586亿, 利润10.75亿; PE7.94; 平均PE9.59; 平均PEG.34, PB1.02; ROIC7.4667%; ROE16.1967%; 股利率2.0571%; 毛利37.9233%; 净利17.99%; 上一年度营收增2.61%, 利润增1.8%; 当季营收增-10.78%, 利润增-27.39%; 过往5年营收增28.61%, 利润增14.81%
Income profile:
</v>
      </c>
      <c r="D12" t="s">
        <v>1289</v>
      </c>
      <c r="E12" t="s">
        <v>1290</v>
      </c>
      <c r="F12">
        <v>12.25</v>
      </c>
      <c r="G12">
        <v>1.24</v>
      </c>
      <c r="H12" t="s">
        <v>1943</v>
      </c>
      <c r="I12">
        <v>7865458600</v>
      </c>
      <c r="J12">
        <v>7.94</v>
      </c>
      <c r="K12">
        <v>1.02</v>
      </c>
      <c r="L12" t="s">
        <v>1747</v>
      </c>
      <c r="M12" t="s">
        <v>1944</v>
      </c>
      <c r="N12" t="s">
        <v>1945</v>
      </c>
      <c r="O12" t="s">
        <v>1946</v>
      </c>
      <c r="P12" s="5">
        <v>-10.74</v>
      </c>
      <c r="Q12" t="s">
        <v>1947</v>
      </c>
      <c r="R12">
        <v>222924880</v>
      </c>
      <c r="S12">
        <v>-0.27329999999999999</v>
      </c>
      <c r="T12" t="s">
        <v>1948</v>
      </c>
      <c r="U12">
        <v>642078260</v>
      </c>
      <c r="V12">
        <v>642078260</v>
      </c>
      <c r="W12">
        <v>3.38</v>
      </c>
      <c r="X12">
        <v>0.05</v>
      </c>
      <c r="Y12">
        <v>18.41</v>
      </c>
      <c r="Z12" t="s">
        <v>1949</v>
      </c>
      <c r="AA12" t="s">
        <v>1759</v>
      </c>
      <c r="AB12" t="s">
        <v>1950</v>
      </c>
      <c r="AC12" t="s">
        <v>1951</v>
      </c>
      <c r="AD12" t="s">
        <v>28</v>
      </c>
      <c r="AE12">
        <v>138874520</v>
      </c>
      <c r="AF12" t="s">
        <v>1952</v>
      </c>
      <c r="AG12" t="s">
        <v>1953</v>
      </c>
      <c r="AH12" t="s">
        <v>1954</v>
      </c>
      <c r="AI12" t="s">
        <v>1497</v>
      </c>
      <c r="AJ12" t="s">
        <v>1955</v>
      </c>
      <c r="AK12" t="s">
        <v>1956</v>
      </c>
      <c r="AL12" t="s">
        <v>1957</v>
      </c>
      <c r="AM12" t="s">
        <v>28</v>
      </c>
      <c r="AN12" t="s">
        <v>1460</v>
      </c>
      <c r="AO12" t="s">
        <v>1207</v>
      </c>
      <c r="AP12" t="s">
        <v>400</v>
      </c>
      <c r="AQ12" t="s">
        <v>1958</v>
      </c>
      <c r="AR12" t="s">
        <v>1959</v>
      </c>
      <c r="AS12" t="s">
        <v>1960</v>
      </c>
      <c r="AT12" t="s">
        <v>1961</v>
      </c>
      <c r="AU12" t="s">
        <v>1230</v>
      </c>
      <c r="AV12" t="s">
        <v>1962</v>
      </c>
      <c r="AW12" t="s">
        <v>233</v>
      </c>
      <c r="AX12" t="s">
        <v>1291</v>
      </c>
      <c r="AY12" t="s">
        <v>1292</v>
      </c>
      <c r="AZ12" t="s">
        <v>1293</v>
      </c>
      <c r="BA12" t="s">
        <v>1228</v>
      </c>
      <c r="BB12" t="s">
        <v>1294</v>
      </c>
      <c r="BC12" t="s">
        <v>1219</v>
      </c>
      <c r="BD12" t="s">
        <v>1295</v>
      </c>
      <c r="BE12" t="s">
        <v>1296</v>
      </c>
      <c r="BF12" t="s">
        <v>1181</v>
      </c>
      <c r="BG12" t="s">
        <v>740</v>
      </c>
      <c r="BH12" t="s">
        <v>1947</v>
      </c>
      <c r="BI12" t="s">
        <v>1963</v>
      </c>
      <c r="BJ12" t="s">
        <v>1291</v>
      </c>
      <c r="BK12" t="s">
        <v>1948</v>
      </c>
      <c r="BL12" t="s">
        <v>1230</v>
      </c>
      <c r="BM12" t="s">
        <v>1219</v>
      </c>
      <c r="BN12">
        <v>5.9</v>
      </c>
      <c r="BO12">
        <v>8.01</v>
      </c>
      <c r="BP12">
        <v>8.49</v>
      </c>
      <c r="BQ12">
        <v>12.68</v>
      </c>
      <c r="BR12">
        <v>17.350000000000001</v>
      </c>
      <c r="BS12">
        <v>18.559999999999999</v>
      </c>
      <c r="BT12" t="s">
        <v>1964</v>
      </c>
      <c r="BU12" t="s">
        <v>1061</v>
      </c>
      <c r="BV12">
        <v>40.200000000000003</v>
      </c>
      <c r="BW12">
        <v>39.479999999999997</v>
      </c>
      <c r="BX12">
        <v>34.090000000000003</v>
      </c>
      <c r="BY12">
        <v>18.09</v>
      </c>
      <c r="BZ12">
        <v>18.14</v>
      </c>
      <c r="CA12">
        <v>17.739999999999998</v>
      </c>
      <c r="CB12">
        <v>0.66</v>
      </c>
      <c r="CC12" s="10">
        <v>-0.65</v>
      </c>
      <c r="CD12" s="11" t="s">
        <v>1965</v>
      </c>
      <c r="CE12" s="10" t="s">
        <v>120</v>
      </c>
      <c r="CF12" s="10">
        <v>-0.10782380013149244</v>
      </c>
      <c r="CG12" s="10">
        <v>-0.27386032573289903</v>
      </c>
      <c r="CH12" s="10">
        <v>2.6117075234651566E-2</v>
      </c>
      <c r="CI12" s="10">
        <v>0.12555333971977234</v>
      </c>
      <c r="CJ12" s="11">
        <v>0.65941816568374634</v>
      </c>
      <c r="CK12" s="11">
        <v>0.50375604629516602</v>
      </c>
      <c r="CL12" s="11">
        <v>0.11587774008512497</v>
      </c>
      <c r="CM12" s="11">
        <v>1.799248531460762E-2</v>
      </c>
      <c r="CN12" s="11">
        <v>9.0909093618392944E-2</v>
      </c>
      <c r="CO12">
        <v>0.56888169050216675</v>
      </c>
      <c r="CP12">
        <v>-1.1217948980629444E-2</v>
      </c>
      <c r="CQ12">
        <v>7.4010327458381653E-2</v>
      </c>
      <c r="CR12" s="10">
        <v>9.5900734809997967</v>
      </c>
      <c r="CS12" s="11">
        <v>0.33514795400119901</v>
      </c>
      <c r="CT12">
        <v>2.0571428571428569</v>
      </c>
      <c r="CU12">
        <v>0.28614447340369226</v>
      </c>
      <c r="CV12">
        <v>0.14811512958258391</v>
      </c>
      <c r="CW12">
        <v>0.06</v>
      </c>
      <c r="CX12">
        <v>15.158922058919948</v>
      </c>
      <c r="CY12">
        <v>1304344631.0461972</v>
      </c>
      <c r="CZ12">
        <v>0.28614447340369226</v>
      </c>
      <c r="DA12">
        <v>4.2119910293676561</v>
      </c>
      <c r="DB12">
        <v>4694325904.8128662</v>
      </c>
      <c r="DC12">
        <v>0.27183724973350765</v>
      </c>
      <c r="DD12">
        <v>1.6455759203421692</v>
      </c>
      <c r="DE12">
        <v>12015524993.759424</v>
      </c>
      <c r="DF12">
        <v>0.25180713659524917</v>
      </c>
      <c r="DG12">
        <v>0.74643529882061532</v>
      </c>
      <c r="DH12">
        <v>26489179479.106808</v>
      </c>
      <c r="DI12">
        <v>0.22891557872295382</v>
      </c>
      <c r="DJ12">
        <v>0.19519953402595486</v>
      </c>
      <c r="DK12">
        <v>101293574795.98767</v>
      </c>
      <c r="DL12">
        <v>0.20030113138258457</v>
      </c>
      <c r="DM12">
        <v>1075000000</v>
      </c>
      <c r="DN12">
        <v>0.28614447340369226</v>
      </c>
      <c r="DO12">
        <v>19772458600</v>
      </c>
      <c r="DP12">
        <v>-17875700</v>
      </c>
      <c r="DQ12" s="12">
        <v>343</v>
      </c>
      <c r="DR12">
        <v>-0.39396827353518471</v>
      </c>
      <c r="DS12">
        <v>-0.42197545531548297</v>
      </c>
      <c r="DT12">
        <v>-5.6666666666666719E-2</v>
      </c>
      <c r="DU12">
        <v>-8.666666666666667E-2</v>
      </c>
      <c r="DV12">
        <v>-0.1433333333333334</v>
      </c>
      <c r="DW12">
        <v>-6.5000000000000006E-3</v>
      </c>
      <c r="DX12">
        <v>0.34301587301587261</v>
      </c>
      <c r="DY12">
        <v>-1.0596031746031747E-3</v>
      </c>
      <c r="DZ12">
        <v>2053</v>
      </c>
      <c r="EA12">
        <v>-6.3389567607865063E-4</v>
      </c>
      <c r="EB12" s="15">
        <v>0</v>
      </c>
      <c r="EC12" s="15">
        <v>3.1989869895299054E-2</v>
      </c>
      <c r="ED12">
        <v>0.19623776079881602</v>
      </c>
      <c r="EE12">
        <v>3.0443099999999998</v>
      </c>
      <c r="EF12">
        <v>3.0234100000000002</v>
      </c>
      <c r="EG12">
        <v>18.163015873015873</v>
      </c>
      <c r="EH12" s="14" t="s">
        <v>1366</v>
      </c>
      <c r="EI12">
        <v>0</v>
      </c>
      <c r="EJ12">
        <v>0</v>
      </c>
      <c r="EK12">
        <v>45470</v>
      </c>
      <c r="EL12">
        <v>2.89</v>
      </c>
      <c r="EM12">
        <v>-2.98</v>
      </c>
      <c r="EN12" s="16">
        <v>2.71</v>
      </c>
      <c r="EO12" s="16">
        <v>1.23</v>
      </c>
      <c r="EP12" s="16">
        <v>2.09</v>
      </c>
    </row>
    <row r="13" spans="1:146" ht="108" x14ac:dyDescent="0.25">
      <c r="A13" s="7"/>
      <c r="B13" s="7"/>
      <c r="C13" s="7" t="str">
        <f>""&amp;CHAR(10)&amp;Basic_Fundamental_Information_Constructure(F13)&amp;CHAR(10)&amp;Basic_Fundamental_Information_Concatenate("")</f>
        <v xml:space="preserve">
市值18.449161亿, 利润1.29亿; PE14.27; 平均PE16.62; 平均PEG.93, PB1.03; ROIC10.8033%; ROE15.58%; 股利率2.5326%; 毛利26.04%; 净利11.1133%; 上一年度营收增15.29%, 利润增2.38%; 当季营收增11.83%, 利润增-.13%; 过往5年营收增17.81%, 利润增50.99%
Income profile:
</v>
      </c>
      <c r="D13" t="s">
        <v>1169</v>
      </c>
      <c r="E13" t="s">
        <v>1170</v>
      </c>
      <c r="F13">
        <v>13.82</v>
      </c>
      <c r="G13">
        <v>1.99</v>
      </c>
      <c r="H13" t="s">
        <v>1966</v>
      </c>
      <c r="I13">
        <v>1844916100</v>
      </c>
      <c r="J13">
        <v>14.27</v>
      </c>
      <c r="K13">
        <v>1.03</v>
      </c>
      <c r="L13" t="s">
        <v>1747</v>
      </c>
      <c r="M13" t="s">
        <v>1425</v>
      </c>
      <c r="N13" t="s">
        <v>1967</v>
      </c>
      <c r="O13" t="s">
        <v>1968</v>
      </c>
      <c r="P13">
        <v>11.89</v>
      </c>
      <c r="Q13" t="s">
        <v>1969</v>
      </c>
      <c r="R13">
        <v>31971651</v>
      </c>
      <c r="S13" s="5">
        <v>-1.2700000000000001E-3</v>
      </c>
      <c r="T13" t="s">
        <v>84</v>
      </c>
      <c r="U13">
        <v>54077714</v>
      </c>
      <c r="V13">
        <v>133496097</v>
      </c>
      <c r="W13">
        <v>1.61</v>
      </c>
      <c r="X13">
        <v>0.13</v>
      </c>
      <c r="Y13">
        <v>9.52</v>
      </c>
      <c r="Z13" t="s">
        <v>674</v>
      </c>
      <c r="AA13" t="s">
        <v>235</v>
      </c>
      <c r="AB13" t="s">
        <v>1970</v>
      </c>
      <c r="AC13" t="s">
        <v>1971</v>
      </c>
      <c r="AD13" t="s">
        <v>28</v>
      </c>
      <c r="AE13">
        <v>7397664</v>
      </c>
      <c r="AF13" t="s">
        <v>1972</v>
      </c>
      <c r="AG13" t="s">
        <v>1973</v>
      </c>
      <c r="AH13" t="s">
        <v>1974</v>
      </c>
      <c r="AI13" t="s">
        <v>439</v>
      </c>
      <c r="AJ13" t="s">
        <v>1975</v>
      </c>
      <c r="AK13" t="s">
        <v>1976</v>
      </c>
      <c r="AL13" t="s">
        <v>1977</v>
      </c>
      <c r="AM13" t="s">
        <v>28</v>
      </c>
      <c r="AN13" t="s">
        <v>1978</v>
      </c>
      <c r="AO13" t="s">
        <v>1979</v>
      </c>
      <c r="AP13" t="s">
        <v>28</v>
      </c>
      <c r="AQ13" t="s">
        <v>399</v>
      </c>
      <c r="AR13" t="s">
        <v>28</v>
      </c>
      <c r="AS13" t="s">
        <v>1555</v>
      </c>
      <c r="AT13" t="s">
        <v>266</v>
      </c>
      <c r="AU13" t="s">
        <v>1980</v>
      </c>
      <c r="AV13" t="s">
        <v>1981</v>
      </c>
      <c r="AW13" t="s">
        <v>1982</v>
      </c>
      <c r="AX13" t="s">
        <v>1300</v>
      </c>
      <c r="AY13" t="s">
        <v>1171</v>
      </c>
      <c r="AZ13" t="s">
        <v>1172</v>
      </c>
      <c r="BA13" t="s">
        <v>720</v>
      </c>
      <c r="BB13" t="s">
        <v>979</v>
      </c>
      <c r="BC13" t="s">
        <v>120</v>
      </c>
      <c r="BD13" t="s">
        <v>145</v>
      </c>
      <c r="BE13" t="s">
        <v>324</v>
      </c>
      <c r="BF13" t="s">
        <v>1566</v>
      </c>
      <c r="BG13" t="s">
        <v>1567</v>
      </c>
      <c r="BH13" t="s">
        <v>1969</v>
      </c>
      <c r="BI13" t="s">
        <v>76</v>
      </c>
      <c r="BJ13" t="s">
        <v>1300</v>
      </c>
      <c r="BK13" t="s">
        <v>84</v>
      </c>
      <c r="BL13" t="s">
        <v>1983</v>
      </c>
      <c r="BM13" t="s">
        <v>120</v>
      </c>
      <c r="BN13">
        <v>5.94</v>
      </c>
      <c r="BO13">
        <v>9.1300000000000008</v>
      </c>
      <c r="BP13">
        <v>17.34</v>
      </c>
      <c r="BQ13">
        <v>5.34</v>
      </c>
      <c r="BR13">
        <v>11.51</v>
      </c>
      <c r="BS13">
        <v>29.89</v>
      </c>
      <c r="BT13" t="s">
        <v>1984</v>
      </c>
      <c r="BU13" t="s">
        <v>1061</v>
      </c>
      <c r="BV13">
        <v>24.78</v>
      </c>
      <c r="BW13">
        <v>25.1</v>
      </c>
      <c r="BX13">
        <v>28.24</v>
      </c>
      <c r="BY13">
        <v>9.43</v>
      </c>
      <c r="BZ13">
        <v>10.36</v>
      </c>
      <c r="CA13">
        <v>13.55</v>
      </c>
      <c r="CB13">
        <v>-0.5</v>
      </c>
      <c r="CC13">
        <v>-11.08</v>
      </c>
      <c r="CD13" t="s">
        <v>1985</v>
      </c>
      <c r="CE13" t="s">
        <v>1986</v>
      </c>
      <c r="CF13" s="10">
        <v>0.11834319526627218</v>
      </c>
      <c r="CG13" s="11">
        <v>-1.2697931732490325E-3</v>
      </c>
      <c r="CH13" s="10">
        <v>0.15293189883232117</v>
      </c>
      <c r="CI13" s="10">
        <v>-7.815919816493988E-2</v>
      </c>
      <c r="CJ13" s="10">
        <v>0.11755102872848511</v>
      </c>
      <c r="CK13" s="10">
        <v>0.23487897217273712</v>
      </c>
      <c r="CL13" s="10">
        <v>0.46312683820724487</v>
      </c>
      <c r="CM13" s="11">
        <v>2.380952425301075E-2</v>
      </c>
      <c r="CN13" s="11">
        <v>-0.2881355881690979</v>
      </c>
      <c r="CO13" s="11">
        <v>0.18000000715255737</v>
      </c>
      <c r="CP13" s="11">
        <v>1.7067165374755859</v>
      </c>
      <c r="CQ13" s="11">
        <v>0.9271431565284729</v>
      </c>
      <c r="CR13">
        <v>16.616522017292475</v>
      </c>
      <c r="CS13">
        <v>0.93316694970470671</v>
      </c>
      <c r="CT13">
        <v>2.5325615050651229</v>
      </c>
      <c r="CU13" s="10">
        <v>0.17806590795516969</v>
      </c>
      <c r="CV13" s="11">
        <v>0.50990672744810583</v>
      </c>
      <c r="CW13">
        <v>0.06</v>
      </c>
      <c r="CX13">
        <v>7.8323822672601366</v>
      </c>
      <c r="CY13">
        <v>143368398.23228008</v>
      </c>
      <c r="CZ13">
        <v>0.17806590795516969</v>
      </c>
      <c r="DA13">
        <v>2.3774341201050837</v>
      </c>
      <c r="DB13">
        <v>472322698.87266809</v>
      </c>
      <c r="DC13">
        <v>0.16916261255741119</v>
      </c>
      <c r="DD13">
        <v>1.0570395987050167</v>
      </c>
      <c r="DE13">
        <v>1062321696.7232721</v>
      </c>
      <c r="DF13">
        <v>0.15669799900054932</v>
      </c>
      <c r="DG13">
        <v>0.56340950806063517</v>
      </c>
      <c r="DH13">
        <v>1993072683.2518237</v>
      </c>
      <c r="DI13">
        <v>0.14245272636413575</v>
      </c>
      <c r="DJ13">
        <v>0.22067776917047588</v>
      </c>
      <c r="DK13">
        <v>5088487636.1630049</v>
      </c>
      <c r="DL13">
        <v>0.12464613556861877</v>
      </c>
      <c r="DM13">
        <v>129000000</v>
      </c>
      <c r="DN13">
        <v>0.17806590795516969</v>
      </c>
      <c r="DO13">
        <v>1122916100</v>
      </c>
      <c r="DP13">
        <v>1392780500</v>
      </c>
      <c r="DQ13">
        <v>452</v>
      </c>
      <c r="DR13">
        <v>-5.9722712688897506E-2</v>
      </c>
      <c r="DS13">
        <v>-0.51117652062135488</v>
      </c>
      <c r="DT13" s="12">
        <v>-5.6666666666666719E-2</v>
      </c>
      <c r="DU13">
        <v>0.41666666666666657</v>
      </c>
      <c r="DV13">
        <v>0.35999999999999988</v>
      </c>
      <c r="DW13">
        <v>-2.1107999999999998</v>
      </c>
      <c r="DX13">
        <v>0.28408632836885606</v>
      </c>
      <c r="DY13">
        <v>-2.0126407651832694</v>
      </c>
      <c r="DZ13">
        <v>944</v>
      </c>
      <c r="EA13">
        <v>-2.0103055631611548</v>
      </c>
      <c r="EB13">
        <v>2</v>
      </c>
      <c r="EC13">
        <v>2.6831496054899644E-2</v>
      </c>
      <c r="ED13">
        <v>0.23518590210169216</v>
      </c>
      <c r="EE13" s="15">
        <v>-2.0676999999999999</v>
      </c>
      <c r="EF13">
        <v>-2.0459000000000001</v>
      </c>
      <c r="EG13">
        <v>17.114086328368856</v>
      </c>
      <c r="EH13" t="s">
        <v>1553</v>
      </c>
      <c r="EI13">
        <v>0</v>
      </c>
      <c r="EJ13">
        <v>1</v>
      </c>
      <c r="EK13" s="14">
        <v>45470</v>
      </c>
      <c r="EL13" s="16">
        <v>-1.9</v>
      </c>
      <c r="EM13" s="16">
        <v>-5.47</v>
      </c>
      <c r="EN13" s="16">
        <v>-2.2599999999999998</v>
      </c>
      <c r="EO13" s="16">
        <v>2.38</v>
      </c>
      <c r="EP13" s="16">
        <v>-2.1800000000000002</v>
      </c>
    </row>
    <row r="14" spans="1:146" ht="84" x14ac:dyDescent="0.25">
      <c r="A14" s="7" t="s">
        <v>916</v>
      </c>
      <c r="B14" s="7" t="s">
        <v>917</v>
      </c>
      <c r="C14" s="7" t="s">
        <v>918</v>
      </c>
      <c r="D14" t="s">
        <v>79</v>
      </c>
      <c r="E14" t="s">
        <v>19</v>
      </c>
      <c r="F14">
        <v>12.85</v>
      </c>
      <c r="G14">
        <v>0.08</v>
      </c>
      <c r="H14" t="s">
        <v>1987</v>
      </c>
      <c r="I14">
        <v>5519026600</v>
      </c>
      <c r="J14">
        <v>8.89</v>
      </c>
      <c r="K14">
        <v>0.85899999999999999</v>
      </c>
      <c r="L14" t="s">
        <v>1747</v>
      </c>
      <c r="M14" t="s">
        <v>1988</v>
      </c>
      <c r="N14" t="s">
        <v>1989</v>
      </c>
      <c r="O14" t="s">
        <v>457</v>
      </c>
      <c r="P14">
        <v>-9.08</v>
      </c>
      <c r="Q14" t="s">
        <v>1990</v>
      </c>
      <c r="R14">
        <v>181384420</v>
      </c>
      <c r="S14" s="5">
        <v>0.1069</v>
      </c>
      <c r="T14" t="s">
        <v>1220</v>
      </c>
      <c r="U14">
        <v>426665440</v>
      </c>
      <c r="V14">
        <v>429496230</v>
      </c>
      <c r="W14">
        <v>2.17</v>
      </c>
      <c r="X14">
        <v>0.05</v>
      </c>
      <c r="Y14">
        <v>22.02</v>
      </c>
      <c r="Z14" t="s">
        <v>1991</v>
      </c>
      <c r="AA14" t="s">
        <v>1992</v>
      </c>
      <c r="AB14" t="s">
        <v>1993</v>
      </c>
      <c r="AC14" t="s">
        <v>1994</v>
      </c>
      <c r="AD14" t="s">
        <v>28</v>
      </c>
      <c r="AE14">
        <v>56552629</v>
      </c>
      <c r="AF14" t="s">
        <v>1995</v>
      </c>
      <c r="AG14" t="s">
        <v>1996</v>
      </c>
      <c r="AH14" t="s">
        <v>1997</v>
      </c>
      <c r="AI14" t="s">
        <v>1297</v>
      </c>
      <c r="AJ14" t="s">
        <v>1998</v>
      </c>
      <c r="AK14" t="s">
        <v>28</v>
      </c>
      <c r="AL14" t="s">
        <v>1999</v>
      </c>
      <c r="AM14" t="s">
        <v>28</v>
      </c>
      <c r="AN14" t="s">
        <v>1686</v>
      </c>
      <c r="AO14" t="s">
        <v>150</v>
      </c>
      <c r="AP14" t="s">
        <v>2000</v>
      </c>
      <c r="AQ14" t="s">
        <v>1628</v>
      </c>
      <c r="AR14" t="s">
        <v>2001</v>
      </c>
      <c r="AS14" t="s">
        <v>2002</v>
      </c>
      <c r="AT14" t="s">
        <v>2003</v>
      </c>
      <c r="AU14" t="s">
        <v>381</v>
      </c>
      <c r="AV14" t="s">
        <v>2004</v>
      </c>
      <c r="AW14" t="s">
        <v>2005</v>
      </c>
      <c r="AX14" t="s">
        <v>1301</v>
      </c>
      <c r="AY14" t="s">
        <v>1304</v>
      </c>
      <c r="AZ14" t="s">
        <v>370</v>
      </c>
      <c r="BA14" t="s">
        <v>151</v>
      </c>
      <c r="BB14" t="s">
        <v>283</v>
      </c>
      <c r="BC14" t="s">
        <v>1550</v>
      </c>
      <c r="BD14" t="s">
        <v>1569</v>
      </c>
      <c r="BE14" t="s">
        <v>371</v>
      </c>
      <c r="BF14" t="s">
        <v>1540</v>
      </c>
      <c r="BG14" t="s">
        <v>374</v>
      </c>
      <c r="BH14" t="s">
        <v>1990</v>
      </c>
      <c r="BI14" t="s">
        <v>2006</v>
      </c>
      <c r="BJ14" t="s">
        <v>1301</v>
      </c>
      <c r="BK14" t="s">
        <v>1220</v>
      </c>
      <c r="BL14" t="s">
        <v>315</v>
      </c>
      <c r="BM14" t="s">
        <v>1550</v>
      </c>
      <c r="BN14">
        <v>5.46</v>
      </c>
      <c r="BO14">
        <v>8.6300000000000008</v>
      </c>
      <c r="BP14">
        <v>8.5299999999999994</v>
      </c>
      <c r="BQ14">
        <v>8.1300000000000008</v>
      </c>
      <c r="BR14">
        <v>12.65</v>
      </c>
      <c r="BS14">
        <v>12.93</v>
      </c>
      <c r="BT14" t="s">
        <v>2007</v>
      </c>
      <c r="BU14" t="s">
        <v>1061</v>
      </c>
      <c r="BV14">
        <v>37.340000000000003</v>
      </c>
      <c r="BW14">
        <v>36.380000000000003</v>
      </c>
      <c r="BX14">
        <v>36.92</v>
      </c>
      <c r="BY14">
        <v>17.649999999999999</v>
      </c>
      <c r="BZ14">
        <v>21.71</v>
      </c>
      <c r="CA14">
        <v>21.8</v>
      </c>
      <c r="CB14">
        <v>-1.23</v>
      </c>
      <c r="CC14">
        <v>-11.26</v>
      </c>
      <c r="CD14" t="s">
        <v>2008</v>
      </c>
      <c r="CE14" t="s">
        <v>2009</v>
      </c>
      <c r="CF14" s="10">
        <v>-9.1329479768786123E-2</v>
      </c>
      <c r="CG14" s="11">
        <v>0.10600256097560976</v>
      </c>
      <c r="CH14" s="10">
        <v>-5.1343359053134918E-2</v>
      </c>
      <c r="CI14" s="10">
        <v>0.11666671186685562</v>
      </c>
      <c r="CJ14" s="10">
        <v>0.7667844295501709</v>
      </c>
      <c r="CK14" s="10">
        <v>0.45004260540008545</v>
      </c>
      <c r="CL14" s="10">
        <v>0.40071776509284973</v>
      </c>
      <c r="CM14" s="11">
        <v>-0.17170329391956329</v>
      </c>
      <c r="CN14" s="11">
        <v>8.6567163467407227E-2</v>
      </c>
      <c r="CO14" s="11">
        <v>0.28352490067481995</v>
      </c>
      <c r="CP14" s="11">
        <v>0.23990498483181</v>
      </c>
      <c r="CQ14" s="11">
        <v>0.37581700086593628</v>
      </c>
      <c r="CR14">
        <v>10.188972184615386</v>
      </c>
      <c r="CS14">
        <v>0.30272639503334375</v>
      </c>
      <c r="CT14">
        <v>2.3346303501945527</v>
      </c>
      <c r="CU14" s="10">
        <v>0.33657363057136536</v>
      </c>
      <c r="CV14" s="11">
        <v>0.16282215118408203</v>
      </c>
      <c r="CW14">
        <v>0.06</v>
      </c>
      <c r="CX14">
        <v>8.9079638460943613</v>
      </c>
      <c r="CY14">
        <v>760333867.20238984</v>
      </c>
      <c r="CZ14">
        <v>0.33657363057136536</v>
      </c>
      <c r="DA14">
        <v>2.3771125713164412</v>
      </c>
      <c r="DB14">
        <v>2849266240.786026</v>
      </c>
      <c r="DC14">
        <v>0.3197449490427971</v>
      </c>
      <c r="DD14">
        <v>0.87344474486227075</v>
      </c>
      <c r="DE14">
        <v>7754384739.0918884</v>
      </c>
      <c r="DF14">
        <v>0.29618479490280153</v>
      </c>
      <c r="DG14">
        <v>0.36600204979531981</v>
      </c>
      <c r="DH14">
        <v>18505433518.166622</v>
      </c>
      <c r="DI14">
        <v>0.26925890445709227</v>
      </c>
      <c r="DJ14">
        <v>7.8054263129335416E-2</v>
      </c>
      <c r="DK14">
        <v>86773307804.816986</v>
      </c>
      <c r="DL14">
        <v>0.23560154139995573</v>
      </c>
      <c r="DM14">
        <v>603000000</v>
      </c>
      <c r="DN14">
        <v>0.33657363057136536</v>
      </c>
      <c r="DO14">
        <v>6773026600</v>
      </c>
      <c r="DP14">
        <v>-17374399.999999762</v>
      </c>
      <c r="DQ14">
        <v>552</v>
      </c>
      <c r="DR14">
        <v>-0.42790311034015149</v>
      </c>
      <c r="DS14">
        <v>-5.681959020847227E-2</v>
      </c>
      <c r="DT14" s="12">
        <v>4.33333333333333E-2</v>
      </c>
      <c r="DU14">
        <v>0.18333333333333326</v>
      </c>
      <c r="DV14">
        <v>0.22666666666666657</v>
      </c>
      <c r="DW14">
        <v>-2.1126</v>
      </c>
      <c r="DX14">
        <v>0.35061809838082747</v>
      </c>
      <c r="DY14">
        <v>-2.0225895978776811</v>
      </c>
      <c r="DZ14">
        <v>1210</v>
      </c>
      <c r="EA14">
        <v>-2.0172405932921635</v>
      </c>
      <c r="EB14">
        <v>2</v>
      </c>
      <c r="EC14">
        <v>3.1437994228726993E-2</v>
      </c>
      <c r="ED14">
        <v>0.15670568284150013</v>
      </c>
      <c r="EE14" s="15">
        <v>4.7010000000000003E-2</v>
      </c>
      <c r="EF14">
        <v>7.4709999999999999E-2</v>
      </c>
      <c r="EG14">
        <v>15.200618098380827</v>
      </c>
      <c r="EH14">
        <v>-1</v>
      </c>
      <c r="EI14">
        <v>0</v>
      </c>
      <c r="EJ14">
        <v>1</v>
      </c>
      <c r="EK14" s="14">
        <v>45470</v>
      </c>
      <c r="EL14" s="16">
        <v>0.51</v>
      </c>
      <c r="EM14" s="16">
        <v>-2.98</v>
      </c>
      <c r="EN14" s="16">
        <v>-1.05</v>
      </c>
      <c r="EO14" s="16">
        <v>1.21</v>
      </c>
      <c r="EP14" s="16">
        <v>-2.77</v>
      </c>
    </row>
    <row r="15" spans="1:146" ht="108" x14ac:dyDescent="0.25">
      <c r="A15" s="7"/>
      <c r="B15" s="7"/>
      <c r="C15" s="7" t="str">
        <f>""&amp;CHAR(10)&amp;Basic_Fundamental_Information_Constructure(F15)&amp;CHAR(10)&amp;Basic_Fundamental_Information_Concatenate("")</f>
        <v xml:space="preserve">
市值36.192766亿, 利润1638.58万; PE163.9; 平均PE-3.53; 平均PEG-.22, PB12.52; ROIC11.13%; ROE16.6467%; 股利率0%; 毛利20.09%; 净利10.4733%; 上一年度营收增.56%, 利润增-81.45%; 当季营收增-16.59%, 利润增994.39%; 过往5年营收增-15.82%, 利润增245%
Income profile:
</v>
      </c>
      <c r="D15" t="s">
        <v>379</v>
      </c>
      <c r="E15" t="s">
        <v>944</v>
      </c>
      <c r="F15">
        <v>1.36</v>
      </c>
      <c r="G15">
        <v>1.49</v>
      </c>
      <c r="H15" t="s">
        <v>2010</v>
      </c>
      <c r="I15">
        <v>3619276600</v>
      </c>
      <c r="J15">
        <v>163.9</v>
      </c>
      <c r="K15">
        <v>12.52</v>
      </c>
      <c r="L15" t="s">
        <v>1747</v>
      </c>
      <c r="M15" t="s">
        <v>1639</v>
      </c>
      <c r="N15" t="s">
        <v>255</v>
      </c>
      <c r="O15" t="s">
        <v>2011</v>
      </c>
      <c r="P15">
        <v>-16.59</v>
      </c>
      <c r="Q15" t="s">
        <v>1195</v>
      </c>
      <c r="R15">
        <v>6274120</v>
      </c>
      <c r="S15" s="5">
        <v>9.9440000000000008</v>
      </c>
      <c r="T15" t="s">
        <v>2012</v>
      </c>
      <c r="U15">
        <v>2661223200</v>
      </c>
      <c r="V15">
        <v>2661232800</v>
      </c>
      <c r="W15">
        <v>4.6100000000000003</v>
      </c>
      <c r="X15">
        <v>0.05</v>
      </c>
      <c r="Y15">
        <v>10.08</v>
      </c>
      <c r="Z15" t="s">
        <v>2013</v>
      </c>
      <c r="AA15" t="s">
        <v>2014</v>
      </c>
      <c r="AB15" t="s">
        <v>28</v>
      </c>
      <c r="AC15" t="s">
        <v>2015</v>
      </c>
      <c r="AD15" t="s">
        <v>28</v>
      </c>
      <c r="AE15">
        <v>7387437</v>
      </c>
      <c r="AF15" t="s">
        <v>400</v>
      </c>
      <c r="AG15">
        <v>1870.67</v>
      </c>
      <c r="AH15" t="s">
        <v>2016</v>
      </c>
      <c r="AI15" t="s">
        <v>2017</v>
      </c>
      <c r="AJ15" t="s">
        <v>2018</v>
      </c>
      <c r="AK15" t="s">
        <v>28</v>
      </c>
      <c r="AL15" t="s">
        <v>2019</v>
      </c>
      <c r="AM15" t="s">
        <v>28</v>
      </c>
      <c r="AN15" t="s">
        <v>2020</v>
      </c>
      <c r="AO15" t="s">
        <v>2021</v>
      </c>
      <c r="AP15" t="s">
        <v>2022</v>
      </c>
      <c r="AQ15" t="s">
        <v>517</v>
      </c>
      <c r="AR15" t="s">
        <v>28</v>
      </c>
      <c r="AS15" t="s">
        <v>307</v>
      </c>
      <c r="AT15" t="s">
        <v>227</v>
      </c>
      <c r="AU15" t="s">
        <v>2023</v>
      </c>
      <c r="AV15" t="s">
        <v>2024</v>
      </c>
      <c r="AW15" t="s">
        <v>2025</v>
      </c>
      <c r="AX15" t="s">
        <v>1183</v>
      </c>
      <c r="AY15" t="s">
        <v>656</v>
      </c>
      <c r="AZ15" t="s">
        <v>369</v>
      </c>
      <c r="BA15" t="s">
        <v>383</v>
      </c>
      <c r="BB15" t="s">
        <v>384</v>
      </c>
      <c r="BC15" t="s">
        <v>2026</v>
      </c>
      <c r="BD15" t="s">
        <v>945</v>
      </c>
      <c r="BE15" t="s">
        <v>380</v>
      </c>
      <c r="BF15" t="s">
        <v>385</v>
      </c>
      <c r="BG15" t="s">
        <v>386</v>
      </c>
      <c r="BH15" t="s">
        <v>1195</v>
      </c>
      <c r="BI15" t="s">
        <v>2027</v>
      </c>
      <c r="BJ15" t="s">
        <v>1183</v>
      </c>
      <c r="BK15" t="s">
        <v>2012</v>
      </c>
      <c r="BL15" t="s">
        <v>2028</v>
      </c>
      <c r="BM15" t="s">
        <v>2026</v>
      </c>
      <c r="BN15">
        <v>3.66</v>
      </c>
      <c r="BO15">
        <v>25.41</v>
      </c>
      <c r="BP15">
        <v>4.32</v>
      </c>
      <c r="BQ15">
        <v>4.5999999999999996</v>
      </c>
      <c r="BR15">
        <v>41.64</v>
      </c>
      <c r="BS15">
        <v>3.7</v>
      </c>
      <c r="BT15" t="s">
        <v>1244</v>
      </c>
      <c r="BU15" t="s">
        <v>1061</v>
      </c>
      <c r="BV15">
        <v>21.06</v>
      </c>
      <c r="BW15">
        <v>13.93</v>
      </c>
      <c r="BX15">
        <v>25.28</v>
      </c>
      <c r="BY15">
        <v>4.6100000000000003</v>
      </c>
      <c r="BZ15">
        <v>24.96</v>
      </c>
      <c r="CA15">
        <v>1.85</v>
      </c>
      <c r="CB15">
        <v>-0.73</v>
      </c>
      <c r="CC15">
        <v>-16.559999999999999</v>
      </c>
      <c r="CD15" t="s">
        <v>2029</v>
      </c>
      <c r="CE15" t="s">
        <v>787</v>
      </c>
      <c r="CF15" s="10">
        <v>-0.16594741774218846</v>
      </c>
      <c r="CG15" s="11">
        <v>9.9438688295831152</v>
      </c>
      <c r="CH15" s="10">
        <v>5.6497175246477127E-3</v>
      </c>
      <c r="CI15" s="10">
        <v>0.33082705736160278</v>
      </c>
      <c r="CJ15" s="10">
        <v>8.1300809979438782E-2</v>
      </c>
      <c r="CK15" s="10">
        <v>-0.21656051278114319</v>
      </c>
      <c r="CL15" s="10">
        <v>-0.99235063791275024</v>
      </c>
      <c r="CM15" s="11">
        <v>-0.81453514099121094</v>
      </c>
      <c r="CN15" s="11">
        <v>16.974468231201172</v>
      </c>
      <c r="CO15" s="11">
        <v>-0.99940645694732666</v>
      </c>
      <c r="CP15" s="11">
        <v>1.6718319654464722</v>
      </c>
      <c r="CQ15" s="11">
        <v>-4.5824275016784668</v>
      </c>
      <c r="CR15">
        <v>-3.5348243441809997</v>
      </c>
      <c r="CS15">
        <v>-0.22340250097216782</v>
      </c>
      <c r="CT15">
        <v>0</v>
      </c>
      <c r="CU15" s="10">
        <v>-0.15822671316564083</v>
      </c>
      <c r="CV15" s="11">
        <v>2.4499862194061279</v>
      </c>
      <c r="CW15">
        <v>0.06</v>
      </c>
      <c r="CX15">
        <v>269.64057903794748</v>
      </c>
      <c r="CY15" t="s">
        <v>2030</v>
      </c>
      <c r="CZ15">
        <v>-0.15822671316564083</v>
      </c>
      <c r="DA15">
        <v>89.880193012649158</v>
      </c>
      <c r="DB15" t="s">
        <v>2031</v>
      </c>
      <c r="DC15">
        <v>-0.15031537750735877</v>
      </c>
      <c r="DD15">
        <v>44.940096506324579</v>
      </c>
      <c r="DE15" t="s">
        <v>2032</v>
      </c>
      <c r="DF15">
        <v>-0.13923950758576392</v>
      </c>
      <c r="DG15">
        <v>26.96405790379475</v>
      </c>
      <c r="DH15" t="s">
        <v>2033</v>
      </c>
      <c r="DI15">
        <v>-0.12658137053251267</v>
      </c>
      <c r="DJ15">
        <v>13.482028951897375</v>
      </c>
      <c r="DK15" t="s">
        <v>2034</v>
      </c>
      <c r="DL15">
        <v>-0.11075869921594857</v>
      </c>
      <c r="DM15">
        <v>16385800</v>
      </c>
      <c r="DN15">
        <v>-0.15822671316564083</v>
      </c>
      <c r="DO15">
        <v>4418276600</v>
      </c>
      <c r="DP15">
        <v>-350855780</v>
      </c>
      <c r="DQ15">
        <v>720</v>
      </c>
      <c r="DR15">
        <v>-7.7207045765476379E-3</v>
      </c>
      <c r="DS15">
        <v>7.4938826101769873</v>
      </c>
      <c r="DT15" s="12">
        <v>-0.60666666666666669</v>
      </c>
      <c r="DU15">
        <v>-6.6666666666666832E-2</v>
      </c>
      <c r="DV15">
        <v>-0.67333333333333356</v>
      </c>
      <c r="DW15">
        <v>-3.0063333333333335</v>
      </c>
      <c r="DX15">
        <v>0.36654341637010801</v>
      </c>
      <c r="DY15">
        <v>-3.0008014416370106</v>
      </c>
      <c r="DZ15">
        <v>3159</v>
      </c>
      <c r="EA15">
        <v>-3.0003059907306864</v>
      </c>
      <c r="EB15">
        <v>3</v>
      </c>
      <c r="EC15">
        <v>2.6723479434042748E-2</v>
      </c>
      <c r="ED15">
        <v>0.21118032214242963</v>
      </c>
      <c r="EE15" s="15">
        <v>1.6099999999999996E-2</v>
      </c>
      <c r="EF15">
        <v>4.5700000000000005E-2</v>
      </c>
      <c r="EG15">
        <v>24.126543416370108</v>
      </c>
      <c r="EH15" t="s">
        <v>1161</v>
      </c>
      <c r="EI15">
        <v>0</v>
      </c>
      <c r="EJ15">
        <v>0</v>
      </c>
      <c r="EK15" s="14">
        <v>45470</v>
      </c>
      <c r="EL15" s="16">
        <v>-0.76</v>
      </c>
      <c r="EM15" s="16">
        <v>-3.82</v>
      </c>
      <c r="EN15" s="16">
        <v>1.59</v>
      </c>
      <c r="EO15" s="16">
        <v>5.47</v>
      </c>
      <c r="EP15" s="16">
        <v>2.96</v>
      </c>
    </row>
    <row r="16" spans="1:146" ht="108" x14ac:dyDescent="0.25">
      <c r="A16" s="7"/>
      <c r="B16" s="7"/>
      <c r="C16" s="7" t="str">
        <f>""&amp;CHAR(10)&amp;Basic_Fundamental_Information_Constructure(F16)&amp;CHAR(10)&amp;Basic_Fundamental_Information_Concatenate("")</f>
        <v xml:space="preserve">
市值145.09574亿, 利润10.26亿; PE17.23; 平均PE12.91; 平均PEG.1, PB1.32; ROIC11.0033%; ROE16.71%; 股利率1.7986%; 毛利17.7733%; 净利10.2233%; 上一年度营收增12.94%, 利润增-30.06%; 当季营收增-4.01%, 利润增-37.08%; 过往5年营收增124.21%, 利润增104.03%
Income profile:
</v>
      </c>
      <c r="D16" t="s">
        <v>86</v>
      </c>
      <c r="E16" t="s">
        <v>87</v>
      </c>
      <c r="F16">
        <v>2.78</v>
      </c>
      <c r="G16">
        <v>0.72</v>
      </c>
      <c r="H16" t="s">
        <v>2035</v>
      </c>
      <c r="I16">
        <v>14509574000</v>
      </c>
      <c r="J16">
        <v>17.23</v>
      </c>
      <c r="K16">
        <v>1.32</v>
      </c>
      <c r="L16" t="s">
        <v>1747</v>
      </c>
      <c r="M16" t="s">
        <v>2036</v>
      </c>
      <c r="N16" t="s">
        <v>2037</v>
      </c>
      <c r="O16" t="s">
        <v>2038</v>
      </c>
      <c r="P16">
        <v>-4</v>
      </c>
      <c r="Q16" t="s">
        <v>2039</v>
      </c>
      <c r="R16">
        <v>310843950</v>
      </c>
      <c r="S16" s="5">
        <v>-0.371</v>
      </c>
      <c r="T16" t="s">
        <v>1633</v>
      </c>
      <c r="U16">
        <v>4896801000</v>
      </c>
      <c r="V16">
        <v>5219271400</v>
      </c>
      <c r="W16">
        <v>2.06</v>
      </c>
      <c r="X16">
        <v>0.2</v>
      </c>
      <c r="Y16">
        <v>7.03</v>
      </c>
      <c r="Z16" t="s">
        <v>2040</v>
      </c>
      <c r="AA16" t="s">
        <v>2041</v>
      </c>
      <c r="AB16" t="s">
        <v>2042</v>
      </c>
      <c r="AC16" t="s">
        <v>196</v>
      </c>
      <c r="AD16" t="s">
        <v>28</v>
      </c>
      <c r="AE16">
        <v>22749262</v>
      </c>
      <c r="AF16" t="s">
        <v>2043</v>
      </c>
      <c r="AG16" t="s">
        <v>2044</v>
      </c>
      <c r="AH16" t="s">
        <v>2045</v>
      </c>
      <c r="AI16" t="s">
        <v>2046</v>
      </c>
      <c r="AJ16" t="s">
        <v>2047</v>
      </c>
      <c r="AK16" t="s">
        <v>2048</v>
      </c>
      <c r="AL16" t="s">
        <v>2049</v>
      </c>
      <c r="AM16" t="s">
        <v>28</v>
      </c>
      <c r="AN16" t="s">
        <v>854</v>
      </c>
      <c r="AO16" t="s">
        <v>2050</v>
      </c>
      <c r="AP16" t="s">
        <v>2051</v>
      </c>
      <c r="AQ16" t="s">
        <v>2052</v>
      </c>
      <c r="AR16" t="s">
        <v>2053</v>
      </c>
      <c r="AS16" t="s">
        <v>2054</v>
      </c>
      <c r="AT16" t="s">
        <v>2055</v>
      </c>
      <c r="AU16" t="s">
        <v>2056</v>
      </c>
      <c r="AV16" t="s">
        <v>2057</v>
      </c>
      <c r="AW16" t="s">
        <v>2058</v>
      </c>
      <c r="AX16" t="s">
        <v>1305</v>
      </c>
      <c r="AY16" t="s">
        <v>1307</v>
      </c>
      <c r="AZ16" t="s">
        <v>387</v>
      </c>
      <c r="BA16" t="s">
        <v>392</v>
      </c>
      <c r="BB16" t="s">
        <v>393</v>
      </c>
      <c r="BC16" t="s">
        <v>1306</v>
      </c>
      <c r="BD16" t="s">
        <v>1572</v>
      </c>
      <c r="BE16" t="s">
        <v>1573</v>
      </c>
      <c r="BF16" t="s">
        <v>394</v>
      </c>
      <c r="BG16" t="s">
        <v>241</v>
      </c>
      <c r="BH16" t="s">
        <v>2039</v>
      </c>
      <c r="BI16" t="s">
        <v>2059</v>
      </c>
      <c r="BJ16" t="s">
        <v>1305</v>
      </c>
      <c r="BK16" t="s">
        <v>1633</v>
      </c>
      <c r="BL16" t="s">
        <v>218</v>
      </c>
      <c r="BM16" t="s">
        <v>1306</v>
      </c>
      <c r="BN16">
        <v>6.15</v>
      </c>
      <c r="BO16">
        <v>9.6300000000000008</v>
      </c>
      <c r="BP16">
        <v>17.23</v>
      </c>
      <c r="BQ16">
        <v>9.09</v>
      </c>
      <c r="BR16">
        <v>14.47</v>
      </c>
      <c r="BS16">
        <v>26.57</v>
      </c>
      <c r="BT16" t="s">
        <v>1247</v>
      </c>
      <c r="BU16" t="s">
        <v>1061</v>
      </c>
      <c r="BV16">
        <v>13.02</v>
      </c>
      <c r="BW16">
        <v>17.399999999999999</v>
      </c>
      <c r="BX16">
        <v>22.9</v>
      </c>
      <c r="BY16">
        <v>5.42</v>
      </c>
      <c r="BZ16">
        <v>8.83</v>
      </c>
      <c r="CA16">
        <v>16.420000000000002</v>
      </c>
      <c r="CB16">
        <v>-0.36</v>
      </c>
      <c r="CC16">
        <v>-10.32</v>
      </c>
      <c r="CD16" t="s">
        <v>2060</v>
      </c>
      <c r="CE16" t="s">
        <v>770</v>
      </c>
      <c r="CF16" s="10">
        <v>-4.0086206896551721E-2</v>
      </c>
      <c r="CG16" s="11">
        <v>-0.37076123481781387</v>
      </c>
      <c r="CH16" s="10">
        <v>0.12938019633293152</v>
      </c>
      <c r="CI16" s="10">
        <v>0.18561437726020813</v>
      </c>
      <c r="CJ16" s="10">
        <v>0.69639217853546143</v>
      </c>
      <c r="CK16" s="10">
        <v>0.27588319778442383</v>
      </c>
      <c r="CL16" s="10">
        <v>4.9230070114135742</v>
      </c>
      <c r="CM16" s="11">
        <v>-0.30061352252960205</v>
      </c>
      <c r="CN16" s="11">
        <v>-0.36520984768867493</v>
      </c>
      <c r="CO16" s="11">
        <v>0.69676947593688965</v>
      </c>
      <c r="CP16" s="11">
        <v>1.8978723287582397</v>
      </c>
      <c r="CQ16" s="11">
        <v>3.2727272510528564</v>
      </c>
      <c r="CR16">
        <v>12.905046546101394</v>
      </c>
      <c r="CS16">
        <v>0.10390073282129997</v>
      </c>
      <c r="CT16">
        <v>1.7985611510791368</v>
      </c>
      <c r="CU16" s="10">
        <v>1.2420553922653199</v>
      </c>
      <c r="CV16" s="11">
        <v>1.0403091371059419</v>
      </c>
      <c r="CW16">
        <v>0.06</v>
      </c>
      <c r="CX16">
        <v>6.5850918896387114</v>
      </c>
      <c r="CY16">
        <v>2170140407.9851112</v>
      </c>
      <c r="CZ16">
        <v>1.2420553922653199</v>
      </c>
      <c r="DA16">
        <v>0.92954901340847329</v>
      </c>
      <c r="DB16">
        <v>15373663780.890131</v>
      </c>
      <c r="DC16">
        <v>1.1799526226520538</v>
      </c>
      <c r="DD16">
        <v>0.11798719145723038</v>
      </c>
      <c r="DE16">
        <v>121119706499.49951</v>
      </c>
      <c r="DF16">
        <v>1.0930087451934816</v>
      </c>
      <c r="DG16">
        <v>1.1797846966487146E-2</v>
      </c>
      <c r="DH16">
        <v>1211286605140.2151</v>
      </c>
      <c r="DI16">
        <v>0.99364431381225593</v>
      </c>
      <c r="DJ16">
        <v>7.1166003106781626E-5</v>
      </c>
      <c r="DK16">
        <v>200806190823413.09</v>
      </c>
      <c r="DL16">
        <v>0.86943877458572394</v>
      </c>
      <c r="DM16">
        <v>1026000000</v>
      </c>
      <c r="DN16">
        <v>1.2420553922653199</v>
      </c>
      <c r="DO16">
        <v>14290574000</v>
      </c>
      <c r="DP16">
        <v>4257884000</v>
      </c>
      <c r="DQ16">
        <v>773</v>
      </c>
      <c r="DR16">
        <v>-1.2821415991618716</v>
      </c>
      <c r="DS16">
        <v>-1.4110703719237558</v>
      </c>
      <c r="DT16" s="12">
        <v>0.64666666666666672</v>
      </c>
      <c r="DU16">
        <v>0.6695000000000001</v>
      </c>
      <c r="DV16">
        <v>1.3161666666666667</v>
      </c>
      <c r="DW16">
        <v>-2.1032000000000002</v>
      </c>
      <c r="DX16">
        <v>0.36446792831541047</v>
      </c>
      <c r="DY16">
        <v>-2.0169730902021503</v>
      </c>
      <c r="DZ16">
        <v>88</v>
      </c>
      <c r="EA16">
        <v>-2.0166807943239138</v>
      </c>
      <c r="EB16">
        <v>2</v>
      </c>
      <c r="EC16">
        <v>1.7583507920281748E-2</v>
      </c>
      <c r="ED16">
        <v>0.10691147427206027</v>
      </c>
      <c r="EE16" s="15">
        <v>-2.0232100000000002</v>
      </c>
      <c r="EF16">
        <v>-2.0477099999999999</v>
      </c>
      <c r="EG16">
        <v>20.16446792831541</v>
      </c>
      <c r="EH16" t="s">
        <v>1268</v>
      </c>
      <c r="EI16">
        <v>0</v>
      </c>
      <c r="EJ16">
        <v>1</v>
      </c>
      <c r="EK16" s="14">
        <v>45470</v>
      </c>
      <c r="EL16" s="16">
        <v>-0.35</v>
      </c>
      <c r="EM16" s="16">
        <v>-1.75</v>
      </c>
      <c r="EN16" s="16">
        <v>-0.71</v>
      </c>
      <c r="EO16" s="16">
        <v>2.88</v>
      </c>
      <c r="EP16" s="16">
        <v>-2.4500000000000002</v>
      </c>
    </row>
    <row r="17" spans="1:146" ht="108" x14ac:dyDescent="0.25">
      <c r="A17" s="7"/>
      <c r="B17" s="7"/>
      <c r="C17" s="7" t="str">
        <f>""&amp;CHAR(10)&amp;Basic_Fundamental_Information_Constructure(F17)&amp;CHAR(10)&amp;Basic_Fundamental_Information_Concatenate("")</f>
        <v xml:space="preserve">
市值38.13356亿, 利润-50.83亿; PE; 平均PE-2.09; 平均PEG-.06, PB; ROIC0%; ROE-44.87%; 股利率0%; 毛利-113.55%; 净利-366.7633%; 上一年度营收增-83.31%, 利润增12.6%; 当季营收增-31.83%, 利润增45.35%; 过往5年营收增-32.39%, 利润增-741.64%
Income profile:
</v>
      </c>
      <c r="D17" t="s">
        <v>91</v>
      </c>
      <c r="E17" t="s">
        <v>2061</v>
      </c>
      <c r="F17">
        <v>1.42</v>
      </c>
      <c r="G17">
        <v>1.43</v>
      </c>
      <c r="H17" t="s">
        <v>2062</v>
      </c>
      <c r="I17">
        <v>3813356000</v>
      </c>
      <c r="L17" t="s">
        <v>1747</v>
      </c>
      <c r="M17" t="s">
        <v>2063</v>
      </c>
      <c r="N17" t="s">
        <v>495</v>
      </c>
      <c r="O17" t="s">
        <v>353</v>
      </c>
      <c r="P17">
        <v>-31.71</v>
      </c>
      <c r="Q17" t="s">
        <v>1461</v>
      </c>
      <c r="R17">
        <v>-287998440</v>
      </c>
      <c r="S17" s="5">
        <v>0.45390000000000003</v>
      </c>
      <c r="T17" t="s">
        <v>2064</v>
      </c>
      <c r="U17">
        <v>2685233300</v>
      </c>
      <c r="V17">
        <v>2685462000</v>
      </c>
      <c r="W17">
        <v>47.54</v>
      </c>
      <c r="X17">
        <v>0.01</v>
      </c>
      <c r="Y17">
        <v>-87.34</v>
      </c>
      <c r="Z17" t="s">
        <v>2065</v>
      </c>
      <c r="AA17" t="s">
        <v>107</v>
      </c>
      <c r="AB17" t="s">
        <v>2066</v>
      </c>
      <c r="AC17" t="s">
        <v>2067</v>
      </c>
      <c r="AD17" t="s">
        <v>28</v>
      </c>
      <c r="AE17">
        <v>240216720</v>
      </c>
      <c r="AF17" t="s">
        <v>2068</v>
      </c>
      <c r="AG17" t="s">
        <v>2069</v>
      </c>
      <c r="AH17" t="s">
        <v>2070</v>
      </c>
      <c r="AI17" t="s">
        <v>169</v>
      </c>
      <c r="AJ17" t="s">
        <v>2071</v>
      </c>
      <c r="AK17" t="s">
        <v>2072</v>
      </c>
      <c r="AL17" t="s">
        <v>2073</v>
      </c>
      <c r="AM17" t="s">
        <v>28</v>
      </c>
      <c r="AN17" t="s">
        <v>645</v>
      </c>
      <c r="AO17" t="s">
        <v>190</v>
      </c>
      <c r="AP17" t="s">
        <v>2074</v>
      </c>
      <c r="AQ17" t="s">
        <v>2075</v>
      </c>
      <c r="AR17" t="s">
        <v>2076</v>
      </c>
      <c r="AS17" t="s">
        <v>2077</v>
      </c>
      <c r="AT17" t="s">
        <v>2078</v>
      </c>
      <c r="AU17" t="s">
        <v>2079</v>
      </c>
      <c r="AV17" t="s">
        <v>2080</v>
      </c>
      <c r="AW17" t="s">
        <v>104</v>
      </c>
      <c r="AX17" t="s">
        <v>2081</v>
      </c>
      <c r="AY17" t="s">
        <v>946</v>
      </c>
      <c r="AZ17" t="s">
        <v>395</v>
      </c>
      <c r="BA17" t="s">
        <v>2082</v>
      </c>
      <c r="BB17" t="s">
        <v>396</v>
      </c>
      <c r="BC17" t="s">
        <v>2083</v>
      </c>
      <c r="BD17" t="s">
        <v>1575</v>
      </c>
      <c r="BE17" t="s">
        <v>1576</v>
      </c>
      <c r="BF17" t="s">
        <v>2084</v>
      </c>
      <c r="BG17" t="s">
        <v>1577</v>
      </c>
      <c r="BH17" t="s">
        <v>1461</v>
      </c>
      <c r="BI17" t="s">
        <v>424</v>
      </c>
      <c r="BJ17" t="s">
        <v>2081</v>
      </c>
      <c r="BK17" t="s">
        <v>2064</v>
      </c>
      <c r="BL17" t="s">
        <v>2085</v>
      </c>
      <c r="BM17" t="s">
        <v>2083</v>
      </c>
      <c r="BN17" t="s">
        <v>28</v>
      </c>
      <c r="BO17" t="s">
        <v>28</v>
      </c>
      <c r="BP17" t="s">
        <v>28</v>
      </c>
      <c r="BQ17">
        <v>-49.67</v>
      </c>
      <c r="BR17">
        <v>-74.73</v>
      </c>
      <c r="BS17">
        <v>-10.210000000000001</v>
      </c>
      <c r="BT17" t="s">
        <v>1244</v>
      </c>
      <c r="BU17" t="s">
        <v>1153</v>
      </c>
      <c r="BV17">
        <v>-325.29000000000002</v>
      </c>
      <c r="BW17">
        <v>-24.67</v>
      </c>
      <c r="BX17">
        <v>9.31</v>
      </c>
      <c r="BY17">
        <v>-910.89</v>
      </c>
      <c r="BZ17">
        <v>-178.24</v>
      </c>
      <c r="CA17">
        <v>-11.16</v>
      </c>
      <c r="CB17">
        <v>-4.7</v>
      </c>
      <c r="CC17">
        <v>0.71</v>
      </c>
      <c r="CD17" t="s">
        <v>214</v>
      </c>
      <c r="CE17" t="s">
        <v>2086</v>
      </c>
      <c r="CF17" s="10">
        <v>-0.31827111984282908</v>
      </c>
      <c r="CG17" s="11">
        <v>0.45351339658444018</v>
      </c>
      <c r="CH17" s="10">
        <v>-0.83308887481689453</v>
      </c>
      <c r="CI17" s="10">
        <v>-0.6749308705329895</v>
      </c>
      <c r="CJ17" s="10">
        <v>0.20181074738502502</v>
      </c>
      <c r="CK17" s="10">
        <v>7.7549979090690613E-2</v>
      </c>
      <c r="CL17" s="10">
        <v>-0.39080718159675598</v>
      </c>
      <c r="CM17" s="11">
        <v>0.12603166699409485</v>
      </c>
      <c r="CN17" s="11">
        <v>-4.0224523544311523</v>
      </c>
      <c r="CO17" s="11">
        <v>-1.3536585569381714</v>
      </c>
      <c r="CP17" s="11">
        <v>-30.84205436706543</v>
      </c>
      <c r="CQ17" s="11">
        <v>-0.98966991901397705</v>
      </c>
      <c r="CR17">
        <v>-2.0920869002380029</v>
      </c>
      <c r="CS17">
        <v>-6.4591866740708923E-2</v>
      </c>
      <c r="CT17">
        <v>0</v>
      </c>
      <c r="CU17" s="10">
        <v>-0.32389324009418485</v>
      </c>
      <c r="CV17" s="11">
        <v>-7.4163607060909271</v>
      </c>
      <c r="CW17">
        <v>0.06</v>
      </c>
      <c r="CX17" t="e">
        <v>#VALUE!</v>
      </c>
      <c r="CY17" t="s">
        <v>1157</v>
      </c>
      <c r="CZ17">
        <v>-0.32389324009418485</v>
      </c>
      <c r="DA17" t="e">
        <v>#VALUE!</v>
      </c>
      <c r="DB17" t="s">
        <v>1158</v>
      </c>
      <c r="DC17">
        <v>-0.30769857808947559</v>
      </c>
      <c r="DD17" t="e">
        <v>#VALUE!</v>
      </c>
      <c r="DE17" t="s">
        <v>1158</v>
      </c>
      <c r="DF17">
        <v>-0.28502605128288266</v>
      </c>
      <c r="DG17" t="e">
        <v>#VALUE!</v>
      </c>
      <c r="DH17" t="s">
        <v>1158</v>
      </c>
      <c r="DI17">
        <v>-0.25911459207534787</v>
      </c>
      <c r="DJ17" t="e">
        <v>#VALUE!</v>
      </c>
      <c r="DK17" t="s">
        <v>1158</v>
      </c>
      <c r="DL17">
        <v>-0.22672526806592938</v>
      </c>
      <c r="DM17">
        <v>-5083000000</v>
      </c>
      <c r="DN17">
        <v>-0.32389324009418485</v>
      </c>
      <c r="DO17">
        <v>38185356000</v>
      </c>
      <c r="DP17">
        <v>-12599289000</v>
      </c>
      <c r="DQ17">
        <v>817</v>
      </c>
      <c r="DR17">
        <v>5.6221202513557778E-3</v>
      </c>
      <c r="DS17">
        <v>7.8698741026753671</v>
      </c>
      <c r="DT17" s="12">
        <v>-1.04</v>
      </c>
      <c r="DU17">
        <v>-2.6850000000000001</v>
      </c>
      <c r="DV17">
        <v>-3.7250000000000001</v>
      </c>
      <c r="DW17">
        <v>-4.1510638297872342</v>
      </c>
      <c r="DX17">
        <v>0.32609195971638893</v>
      </c>
      <c r="DY17">
        <v>-4.0175372960422626</v>
      </c>
      <c r="DZ17">
        <v>5049</v>
      </c>
      <c r="EA17">
        <v>-4.000209349326532</v>
      </c>
      <c r="EB17">
        <v>4</v>
      </c>
      <c r="EC17">
        <v>0.11282974773055809</v>
      </c>
      <c r="ED17">
        <v>0.97189980718401525</v>
      </c>
      <c r="EE17" s="15">
        <v>1.10971</v>
      </c>
      <c r="EF17">
        <v>1.0582100000000001</v>
      </c>
      <c r="EG17">
        <v>21.116091959716389</v>
      </c>
      <c r="EH17" t="s">
        <v>1160</v>
      </c>
      <c r="EI17">
        <v>0</v>
      </c>
      <c r="EJ17">
        <v>0</v>
      </c>
      <c r="EK17" s="14">
        <v>45470</v>
      </c>
      <c r="EL17" s="16">
        <v>0</v>
      </c>
      <c r="EM17" s="16">
        <v>-5.03</v>
      </c>
      <c r="EN17" s="16">
        <v>-5.3</v>
      </c>
      <c r="EO17" s="16">
        <v>-4.9000000000000004</v>
      </c>
      <c r="EP17" s="16">
        <v>5.15</v>
      </c>
    </row>
    <row r="18" spans="1:146" ht="108" x14ac:dyDescent="0.25">
      <c r="A18" s="7"/>
      <c r="B18" s="7"/>
      <c r="C18" s="7" t="str">
        <f>""&amp;CHAR(10)&amp;Basic_Fundamental_Information_Constructure(F18)&amp;CHAR(10)&amp;Basic_Fundamental_Information_Concatenate("")</f>
        <v xml:space="preserve">
市值34.906465亿, 利润-2561.11万; PE; 平均PE39.17; 平均PEG7.52, PB1.82; ROIC9.935%; ROE8.9567%; 股利率0%; 毛利34.6467%; 净利11.92%; 上一年度营收增-32.98%, 利润增-115.43%; 当季营收增2.88%, 利润增-747%; 过往5年营收增5.21%, 利润增-5.49%
Income profile:
</v>
      </c>
      <c r="D18" t="s">
        <v>949</v>
      </c>
      <c r="E18" t="s">
        <v>950</v>
      </c>
      <c r="F18">
        <v>5.0199999999999996</v>
      </c>
      <c r="G18">
        <v>1.62</v>
      </c>
      <c r="H18" t="s">
        <v>2087</v>
      </c>
      <c r="I18">
        <v>3490646500</v>
      </c>
      <c r="K18">
        <v>1.82</v>
      </c>
      <c r="L18" t="s">
        <v>1747</v>
      </c>
      <c r="M18" t="s">
        <v>948</v>
      </c>
      <c r="N18" t="s">
        <v>2088</v>
      </c>
      <c r="O18" t="s">
        <v>166</v>
      </c>
      <c r="P18">
        <v>2.56</v>
      </c>
      <c r="Q18" t="s">
        <v>1480</v>
      </c>
      <c r="R18">
        <v>-75595178</v>
      </c>
      <c r="S18" s="5">
        <v>-7.47</v>
      </c>
      <c r="T18" t="s">
        <v>2089</v>
      </c>
      <c r="U18">
        <v>692359530</v>
      </c>
      <c r="V18">
        <v>695347900</v>
      </c>
      <c r="W18">
        <v>1.59</v>
      </c>
      <c r="X18">
        <v>0.05</v>
      </c>
      <c r="Y18">
        <v>-53.25</v>
      </c>
      <c r="Z18" t="s">
        <v>56</v>
      </c>
      <c r="AA18" t="s">
        <v>100</v>
      </c>
      <c r="AB18" t="s">
        <v>2090</v>
      </c>
      <c r="AC18" t="s">
        <v>2091</v>
      </c>
      <c r="AD18" t="s">
        <v>28</v>
      </c>
      <c r="AE18">
        <v>-663736</v>
      </c>
      <c r="AF18" t="s">
        <v>2092</v>
      </c>
      <c r="AG18">
        <v>5500.96</v>
      </c>
      <c r="AH18" t="s">
        <v>2093</v>
      </c>
      <c r="AI18" t="s">
        <v>1707</v>
      </c>
      <c r="AJ18" t="s">
        <v>2094</v>
      </c>
      <c r="AK18" t="s">
        <v>2095</v>
      </c>
      <c r="AL18" t="s">
        <v>2096</v>
      </c>
      <c r="AM18" t="s">
        <v>28</v>
      </c>
      <c r="AN18" t="s">
        <v>115</v>
      </c>
      <c r="AO18" t="s">
        <v>976</v>
      </c>
      <c r="AP18" t="s">
        <v>2097</v>
      </c>
      <c r="AQ18" t="s">
        <v>2098</v>
      </c>
      <c r="AR18" t="s">
        <v>28</v>
      </c>
      <c r="AS18" t="s">
        <v>720</v>
      </c>
      <c r="AT18" t="s">
        <v>411</v>
      </c>
      <c r="AU18" t="s">
        <v>2099</v>
      </c>
      <c r="AV18" t="s">
        <v>2100</v>
      </c>
      <c r="AW18" t="s">
        <v>162</v>
      </c>
      <c r="AX18" t="s">
        <v>928</v>
      </c>
      <c r="AY18" t="s">
        <v>595</v>
      </c>
      <c r="AZ18" t="s">
        <v>85</v>
      </c>
      <c r="BA18" t="s">
        <v>465</v>
      </c>
      <c r="BB18" t="s">
        <v>320</v>
      </c>
      <c r="BC18" t="s">
        <v>113</v>
      </c>
      <c r="BD18" t="s">
        <v>101</v>
      </c>
      <c r="BE18" t="s">
        <v>951</v>
      </c>
      <c r="BF18" t="s">
        <v>952</v>
      </c>
      <c r="BG18" t="s">
        <v>953</v>
      </c>
      <c r="BH18" t="s">
        <v>1480</v>
      </c>
      <c r="BI18" t="s">
        <v>101</v>
      </c>
      <c r="BJ18" t="s">
        <v>928</v>
      </c>
      <c r="BK18" t="s">
        <v>2089</v>
      </c>
      <c r="BL18" t="s">
        <v>2101</v>
      </c>
      <c r="BM18" t="s">
        <v>113</v>
      </c>
      <c r="BN18" t="s">
        <v>28</v>
      </c>
      <c r="BO18">
        <v>10.06</v>
      </c>
      <c r="BP18">
        <v>9.81</v>
      </c>
      <c r="BQ18">
        <v>-0.93</v>
      </c>
      <c r="BR18">
        <v>14.36</v>
      </c>
      <c r="BS18">
        <v>13.44</v>
      </c>
      <c r="BT18" t="s">
        <v>1244</v>
      </c>
      <c r="BU18" t="s">
        <v>1062</v>
      </c>
      <c r="BV18">
        <v>22.23</v>
      </c>
      <c r="BW18">
        <v>39.76</v>
      </c>
      <c r="BX18">
        <v>41.95</v>
      </c>
      <c r="BY18">
        <v>-4.68</v>
      </c>
      <c r="BZ18">
        <v>19.7</v>
      </c>
      <c r="CA18">
        <v>20.74</v>
      </c>
      <c r="CB18">
        <v>-1.76</v>
      </c>
      <c r="CC18">
        <v>-21.56</v>
      </c>
      <c r="CD18" t="s">
        <v>2102</v>
      </c>
      <c r="CE18" t="s">
        <v>240</v>
      </c>
      <c r="CF18" s="10">
        <v>2.8776978417266189E-2</v>
      </c>
      <c r="CG18" s="11">
        <v>-7.4700479551820731</v>
      </c>
      <c r="CH18" s="10">
        <v>-0.32981219887733459</v>
      </c>
      <c r="CI18" s="10">
        <v>0.27544909715652466</v>
      </c>
      <c r="CJ18" s="10">
        <v>0.28709056973457336</v>
      </c>
      <c r="CK18" s="10">
        <v>7.7669904567301273E-3</v>
      </c>
      <c r="CL18" s="10">
        <v>1.9801979884505272E-2</v>
      </c>
      <c r="CM18" s="11">
        <v>-1.1542837619781494</v>
      </c>
      <c r="CN18" s="11">
        <v>0.19424460828304291</v>
      </c>
      <c r="CO18" s="11">
        <v>0.92605072259902954</v>
      </c>
      <c r="CP18" s="11">
        <v>-0.191097691655159</v>
      </c>
      <c r="CQ18" s="11">
        <v>-4.9400079995393753E-2</v>
      </c>
      <c r="CR18">
        <v>39.1745959956164</v>
      </c>
      <c r="CS18">
        <v>7.5249965468580671</v>
      </c>
      <c r="CT18">
        <v>0</v>
      </c>
      <c r="CU18" s="10">
        <v>5.2059287670999765E-2</v>
      </c>
      <c r="CV18" s="11">
        <v>-5.4897240549325946E-2</v>
      </c>
      <c r="CW18">
        <v>0.06</v>
      </c>
      <c r="CX18" t="e">
        <v>#VALUE!</v>
      </c>
      <c r="CY18" t="s">
        <v>1157</v>
      </c>
      <c r="CZ18">
        <v>5.2059287670999765E-2</v>
      </c>
      <c r="DA18" t="e">
        <v>#VALUE!</v>
      </c>
      <c r="DB18" t="s">
        <v>1158</v>
      </c>
      <c r="DC18">
        <v>4.9456323287449776E-2</v>
      </c>
      <c r="DD18" t="e">
        <v>#VALUE!</v>
      </c>
      <c r="DE18" t="s">
        <v>1158</v>
      </c>
      <c r="DF18">
        <v>4.5812173150479793E-2</v>
      </c>
      <c r="DG18" t="e">
        <v>#VALUE!</v>
      </c>
      <c r="DH18" t="s">
        <v>1158</v>
      </c>
      <c r="DI18">
        <v>4.1647430136799814E-2</v>
      </c>
      <c r="DJ18" t="e">
        <v>#VALUE!</v>
      </c>
      <c r="DK18" t="s">
        <v>1158</v>
      </c>
      <c r="DL18">
        <v>3.6441501369699834E-2</v>
      </c>
      <c r="DM18">
        <v>-25611100</v>
      </c>
      <c r="DN18">
        <v>5.2059287670999765E-2</v>
      </c>
      <c r="DO18">
        <v>2455646500</v>
      </c>
      <c r="DP18">
        <v>873340500</v>
      </c>
      <c r="DQ18">
        <v>1042</v>
      </c>
      <c r="DR18">
        <v>-2.3282309253733577E-2</v>
      </c>
      <c r="DS18">
        <v>-7.4151507146327473</v>
      </c>
      <c r="DT18" s="12">
        <v>-0.32333333333333331</v>
      </c>
      <c r="DU18">
        <v>-1.3483333333333334</v>
      </c>
      <c r="DV18">
        <v>-1.6716666666666666</v>
      </c>
      <c r="DW18">
        <v>-3.0628809523809521</v>
      </c>
      <c r="DX18">
        <v>0.33734838709677373</v>
      </c>
      <c r="DY18">
        <v>-3.0080077878648233</v>
      </c>
      <c r="DZ18">
        <v>4154</v>
      </c>
      <c r="EA18">
        <v>-3.001498130175885</v>
      </c>
      <c r="EB18">
        <v>3</v>
      </c>
      <c r="EC18">
        <v>4.5419566234398634E-2</v>
      </c>
      <c r="ED18">
        <v>0.35665599910490847</v>
      </c>
      <c r="EE18" s="15">
        <v>-4.0189000000000004</v>
      </c>
      <c r="EF18">
        <v>-4.0255099999999997</v>
      </c>
      <c r="EG18">
        <v>21.127348387096774</v>
      </c>
      <c r="EH18" t="s">
        <v>1740</v>
      </c>
      <c r="EI18">
        <v>0</v>
      </c>
      <c r="EJ18">
        <v>0</v>
      </c>
      <c r="EK18" s="14">
        <v>45470</v>
      </c>
      <c r="EL18" s="16">
        <v>-2.33</v>
      </c>
      <c r="EM18" s="16">
        <v>-6.04</v>
      </c>
      <c r="EN18" s="16">
        <v>0</v>
      </c>
      <c r="EO18" s="16">
        <v>5.26</v>
      </c>
      <c r="EP18" s="16">
        <v>-4.4400000000000004</v>
      </c>
    </row>
    <row r="19" spans="1:146" ht="108" x14ac:dyDescent="0.25">
      <c r="A19" s="7"/>
      <c r="B19" s="7"/>
      <c r="C19" s="7" t="str">
        <f>""&amp;CHAR(10)&amp;Basic_Fundamental_Information_Constructure(F19)&amp;CHAR(10)&amp;Basic_Fundamental_Information_Concatenate("")</f>
        <v xml:space="preserve">
市值55.123838亿, 利润1.27亿; PE43.03; 平均PE13.84; 平均PEG.75, PB.851; ROIC5.0167%; ROE6.5067%; 股利率2.584%; 毛利21.11%; 净利6.2467%; 上一年度营收增7.25%, 利润增-71.65%; 当季营收增4.43%, 利润增.92%; 过往5年营收增18.44%, 利润增-12.82%
Income profile:
</v>
      </c>
      <c r="D19" t="s">
        <v>97</v>
      </c>
      <c r="E19" t="s">
        <v>23</v>
      </c>
      <c r="F19">
        <v>3.87</v>
      </c>
      <c r="G19">
        <v>0.78</v>
      </c>
      <c r="H19" t="s">
        <v>2103</v>
      </c>
      <c r="I19">
        <v>5512383800</v>
      </c>
      <c r="J19">
        <v>43.03</v>
      </c>
      <c r="K19">
        <v>0.85099999999999998</v>
      </c>
      <c r="L19" t="s">
        <v>1747</v>
      </c>
      <c r="M19" t="s">
        <v>2104</v>
      </c>
      <c r="N19" t="s">
        <v>2105</v>
      </c>
      <c r="O19" t="s">
        <v>2106</v>
      </c>
      <c r="P19">
        <v>4.4400000000000004</v>
      </c>
      <c r="Q19" t="s">
        <v>2107</v>
      </c>
      <c r="R19">
        <v>118076415</v>
      </c>
      <c r="S19" s="5">
        <v>6.1900000000000002E-3</v>
      </c>
      <c r="T19" t="s">
        <v>124</v>
      </c>
      <c r="U19">
        <v>1402348200</v>
      </c>
      <c r="V19">
        <v>1424388600</v>
      </c>
      <c r="W19">
        <v>3.09</v>
      </c>
      <c r="X19">
        <v>0.09</v>
      </c>
      <c r="Y19">
        <v>6.96</v>
      </c>
      <c r="Z19" t="s">
        <v>2108</v>
      </c>
      <c r="AA19" t="s">
        <v>2109</v>
      </c>
      <c r="AB19" t="s">
        <v>2110</v>
      </c>
      <c r="AC19" t="s">
        <v>241</v>
      </c>
      <c r="AD19" t="s">
        <v>28</v>
      </c>
      <c r="AE19">
        <v>97477259</v>
      </c>
      <c r="AF19" t="s">
        <v>2111</v>
      </c>
      <c r="AG19" t="s">
        <v>2112</v>
      </c>
      <c r="AH19" t="s">
        <v>2113</v>
      </c>
      <c r="AI19" t="s">
        <v>1592</v>
      </c>
      <c r="AJ19" t="s">
        <v>2114</v>
      </c>
      <c r="AK19" t="s">
        <v>2115</v>
      </c>
      <c r="AL19" t="s">
        <v>2116</v>
      </c>
      <c r="AM19" t="s">
        <v>28</v>
      </c>
      <c r="AN19" t="s">
        <v>2117</v>
      </c>
      <c r="AO19" t="s">
        <v>2118</v>
      </c>
      <c r="AP19" t="s">
        <v>391</v>
      </c>
      <c r="AQ19" t="s">
        <v>1554</v>
      </c>
      <c r="AR19" t="s">
        <v>2119</v>
      </c>
      <c r="AS19" t="s">
        <v>2120</v>
      </c>
      <c r="AT19" t="s">
        <v>2121</v>
      </c>
      <c r="AU19" t="s">
        <v>348</v>
      </c>
      <c r="AV19" t="s">
        <v>2122</v>
      </c>
      <c r="AW19" t="s">
        <v>2123</v>
      </c>
      <c r="AX19" t="s">
        <v>1310</v>
      </c>
      <c r="AY19" t="s">
        <v>954</v>
      </c>
      <c r="AZ19" t="s">
        <v>955</v>
      </c>
      <c r="BA19" t="s">
        <v>98</v>
      </c>
      <c r="BB19" t="s">
        <v>402</v>
      </c>
      <c r="BC19" t="s">
        <v>747</v>
      </c>
      <c r="BD19" t="s">
        <v>52</v>
      </c>
      <c r="BE19" t="s">
        <v>510</v>
      </c>
      <c r="BF19" t="s">
        <v>99</v>
      </c>
      <c r="BG19" t="s">
        <v>403</v>
      </c>
      <c r="BH19" t="s">
        <v>2107</v>
      </c>
      <c r="BI19" t="s">
        <v>2124</v>
      </c>
      <c r="BJ19" t="s">
        <v>1310</v>
      </c>
      <c r="BK19" t="s">
        <v>124</v>
      </c>
      <c r="BL19" t="s">
        <v>411</v>
      </c>
      <c r="BM19" t="s">
        <v>747</v>
      </c>
      <c r="BN19">
        <v>3.12</v>
      </c>
      <c r="BO19">
        <v>5.44</v>
      </c>
      <c r="BP19">
        <v>6.49</v>
      </c>
      <c r="BQ19">
        <v>4.03</v>
      </c>
      <c r="BR19">
        <v>7.13</v>
      </c>
      <c r="BS19">
        <v>8.36</v>
      </c>
      <c r="BT19" t="s">
        <v>1245</v>
      </c>
      <c r="BU19" t="s">
        <v>1062</v>
      </c>
      <c r="BV19">
        <v>17.78</v>
      </c>
      <c r="BW19">
        <v>22.95</v>
      </c>
      <c r="BX19">
        <v>22.6</v>
      </c>
      <c r="BY19">
        <v>2.76</v>
      </c>
      <c r="BZ19">
        <v>6.86</v>
      </c>
      <c r="CA19">
        <v>9.1199999999999992</v>
      </c>
      <c r="CB19">
        <v>0</v>
      </c>
      <c r="CC19">
        <v>-16.23</v>
      </c>
      <c r="CD19" t="s">
        <v>2125</v>
      </c>
      <c r="CE19" t="s">
        <v>59</v>
      </c>
      <c r="CF19" s="10">
        <v>4.4282238442822384E-2</v>
      </c>
      <c r="CG19" s="11">
        <v>9.2001282051282045E-3</v>
      </c>
      <c r="CH19" s="10">
        <v>7.24601149559021E-2</v>
      </c>
      <c r="CI19" s="10">
        <v>0.16744185984134674</v>
      </c>
      <c r="CJ19" s="10">
        <v>0.46351835131645203</v>
      </c>
      <c r="CK19" s="10">
        <v>0.39288893342018127</v>
      </c>
      <c r="CL19" s="10">
        <v>-0.17441290616989136</v>
      </c>
      <c r="CM19" s="11">
        <v>-0.7165178656578064</v>
      </c>
      <c r="CN19" s="11">
        <v>-0.21126760542392731</v>
      </c>
      <c r="CO19" s="11">
        <v>0.66568917036056519</v>
      </c>
      <c r="CP19" s="11">
        <v>-0.102631576359272</v>
      </c>
      <c r="CQ19" s="11">
        <v>-0.27619048953056335</v>
      </c>
      <c r="CR19">
        <v>13.844413059857681</v>
      </c>
      <c r="CS19">
        <v>0.75086602790755996</v>
      </c>
      <c r="CT19">
        <v>2.5839793281653747</v>
      </c>
      <c r="CU19" s="10">
        <v>0.18437927067279816</v>
      </c>
      <c r="CV19" s="11">
        <v>-0.12818367332220076</v>
      </c>
      <c r="CW19">
        <v>0.06</v>
      </c>
      <c r="CX19">
        <v>100.29019547045438</v>
      </c>
      <c r="CY19">
        <v>141902044.69381639</v>
      </c>
      <c r="CZ19">
        <v>0.18437927067279816</v>
      </c>
      <c r="DA19">
        <v>30.283157991847368</v>
      </c>
      <c r="DB19">
        <v>469943848.12281728</v>
      </c>
      <c r="DC19">
        <v>0.17516030713915826</v>
      </c>
      <c r="DD19">
        <v>13.364475791690234</v>
      </c>
      <c r="DE19">
        <v>1064866592.7360048</v>
      </c>
      <c r="DF19">
        <v>0.16225375819206239</v>
      </c>
      <c r="DG19">
        <v>7.0593809860868948</v>
      </c>
      <c r="DH19">
        <v>2015953499.0459039</v>
      </c>
      <c r="DI19">
        <v>0.14750341653823854</v>
      </c>
      <c r="DJ19">
        <v>2.7050818883200169</v>
      </c>
      <c r="DK19">
        <v>5260980771.5796576</v>
      </c>
      <c r="DL19">
        <v>0.12906548947095869</v>
      </c>
      <c r="DM19">
        <v>127000000</v>
      </c>
      <c r="DN19">
        <v>0.18437927067279816</v>
      </c>
      <c r="DO19">
        <v>14231383800</v>
      </c>
      <c r="DP19">
        <v>1055146100</v>
      </c>
      <c r="DQ19">
        <v>1066</v>
      </c>
      <c r="DR19">
        <v>-0.14009703222997577</v>
      </c>
      <c r="DS19">
        <v>0.13738380152732896</v>
      </c>
      <c r="DT19" s="12">
        <v>-0.14000000000000001</v>
      </c>
      <c r="DU19">
        <v>-0.31666666666666665</v>
      </c>
      <c r="DV19">
        <v>-0.45666666666666667</v>
      </c>
      <c r="DW19">
        <v>-3.0026011904761907</v>
      </c>
      <c r="DX19">
        <v>0.32299207920792156</v>
      </c>
      <c r="DY19">
        <v>-3.0003719496346064</v>
      </c>
      <c r="DZ19">
        <v>2796</v>
      </c>
      <c r="EA19">
        <v>-3.0001684327699567</v>
      </c>
      <c r="EB19">
        <v>3</v>
      </c>
      <c r="EC19">
        <v>2.027845491040858E-2</v>
      </c>
      <c r="ED19">
        <v>0.14181523216347</v>
      </c>
      <c r="EE19" s="15">
        <v>1.0792999999999999</v>
      </c>
      <c r="EF19">
        <v>1.0665</v>
      </c>
      <c r="EG19">
        <v>18.142992079207922</v>
      </c>
      <c r="EH19" t="s">
        <v>1175</v>
      </c>
      <c r="EI19">
        <v>0</v>
      </c>
      <c r="EJ19">
        <v>0</v>
      </c>
      <c r="EK19" s="14">
        <v>45470</v>
      </c>
      <c r="EL19" s="16">
        <v>2.31</v>
      </c>
      <c r="EM19" s="16">
        <v>-4.01</v>
      </c>
      <c r="EN19" s="16">
        <v>1.04</v>
      </c>
      <c r="EO19" s="16">
        <v>1.03</v>
      </c>
      <c r="EP19" s="16">
        <v>-1.28</v>
      </c>
    </row>
    <row r="20" spans="1:146" ht="96" x14ac:dyDescent="0.25">
      <c r="A20" s="7"/>
      <c r="B20" s="7"/>
      <c r="C20" s="7" t="str">
        <f>""&amp;CHAR(10)&amp;Basic_Fundamental_Information_Constructure(F20)&amp;CHAR(10)&amp;Basic_Fundamental_Information_Concatenate("")</f>
        <v xml:space="preserve">
市值36.98496亿, 利润-1.59亿; PE; 平均PE16.55; 平均PEG.47, PB1.04; ROIC12.265%; ROE7.7433%; 股利率0%; 毛利9.9233%; 净利3.2167%; 上一年度营收增-18.81%, 利润增-139.07%; 当季营收增-31.46%, 利润增53.08%; 过往5年营收增35.2%, 利润增2.72%
Income profile:
</v>
      </c>
      <c r="D20" t="s">
        <v>722</v>
      </c>
      <c r="E20" t="s">
        <v>723</v>
      </c>
      <c r="F20">
        <v>6.36</v>
      </c>
      <c r="G20">
        <v>1.44</v>
      </c>
      <c r="H20" t="s">
        <v>2126</v>
      </c>
      <c r="I20">
        <v>3698496000</v>
      </c>
      <c r="K20">
        <v>1.04</v>
      </c>
      <c r="L20" t="s">
        <v>1747</v>
      </c>
      <c r="M20" t="s">
        <v>2127</v>
      </c>
      <c r="N20" t="s">
        <v>2128</v>
      </c>
      <c r="O20" t="s">
        <v>1655</v>
      </c>
      <c r="P20">
        <v>-31.44</v>
      </c>
      <c r="Q20" t="s">
        <v>2129</v>
      </c>
      <c r="R20">
        <v>-27725877</v>
      </c>
      <c r="S20" s="5">
        <v>0.53080000000000005</v>
      </c>
      <c r="T20" t="s">
        <v>2130</v>
      </c>
      <c r="U20">
        <v>509070130</v>
      </c>
      <c r="V20">
        <v>581524530</v>
      </c>
      <c r="W20">
        <v>1.57</v>
      </c>
      <c r="X20">
        <v>0.2</v>
      </c>
      <c r="Y20">
        <v>-1.42</v>
      </c>
      <c r="Z20" t="s">
        <v>2131</v>
      </c>
      <c r="AA20" t="s">
        <v>1277</v>
      </c>
      <c r="AB20" t="s">
        <v>2132</v>
      </c>
      <c r="AC20" t="s">
        <v>2133</v>
      </c>
      <c r="AD20" t="s">
        <v>28</v>
      </c>
      <c r="AE20">
        <v>11838783</v>
      </c>
      <c r="AF20" t="s">
        <v>2134</v>
      </c>
      <c r="AG20" t="s">
        <v>2135</v>
      </c>
      <c r="AH20" t="s">
        <v>2136</v>
      </c>
      <c r="AI20" t="s">
        <v>2137</v>
      </c>
      <c r="AJ20" t="s">
        <v>2138</v>
      </c>
      <c r="AK20" t="s">
        <v>2139</v>
      </c>
      <c r="AL20" t="s">
        <v>2140</v>
      </c>
      <c r="AM20" t="s">
        <v>28</v>
      </c>
      <c r="AN20" t="s">
        <v>241</v>
      </c>
      <c r="AO20" t="s">
        <v>1173</v>
      </c>
      <c r="AP20" t="s">
        <v>94</v>
      </c>
      <c r="AQ20" t="s">
        <v>595</v>
      </c>
      <c r="AR20" t="s">
        <v>2141</v>
      </c>
      <c r="AS20" t="s">
        <v>2142</v>
      </c>
      <c r="AT20" t="s">
        <v>656</v>
      </c>
      <c r="AU20" t="s">
        <v>45</v>
      </c>
      <c r="AV20" t="s">
        <v>2143</v>
      </c>
      <c r="AW20" t="s">
        <v>2144</v>
      </c>
      <c r="AX20" t="s">
        <v>1313</v>
      </c>
      <c r="AY20" t="s">
        <v>957</v>
      </c>
      <c r="AZ20" t="s">
        <v>724</v>
      </c>
      <c r="BA20" t="s">
        <v>726</v>
      </c>
      <c r="BB20" t="s">
        <v>727</v>
      </c>
      <c r="BC20" t="s">
        <v>1204</v>
      </c>
      <c r="BD20" t="s">
        <v>183</v>
      </c>
      <c r="BE20" t="s">
        <v>56</v>
      </c>
      <c r="BF20" t="s">
        <v>377</v>
      </c>
      <c r="BG20" t="s">
        <v>429</v>
      </c>
      <c r="BH20" t="s">
        <v>2129</v>
      </c>
      <c r="BI20" t="s">
        <v>2145</v>
      </c>
      <c r="BJ20" t="s">
        <v>1313</v>
      </c>
      <c r="BK20" t="s">
        <v>2130</v>
      </c>
      <c r="BL20" t="s">
        <v>2146</v>
      </c>
      <c r="BM20" t="s">
        <v>1204</v>
      </c>
      <c r="BN20" t="s">
        <v>28</v>
      </c>
      <c r="BO20">
        <v>8.8699999999999992</v>
      </c>
      <c r="BP20">
        <v>15.66</v>
      </c>
      <c r="BQ20">
        <v>-3.97</v>
      </c>
      <c r="BR20">
        <v>11.02</v>
      </c>
      <c r="BS20">
        <v>16.18</v>
      </c>
      <c r="BT20" t="s">
        <v>1244</v>
      </c>
      <c r="BU20" t="s">
        <v>1153</v>
      </c>
      <c r="BV20">
        <v>3.75</v>
      </c>
      <c r="BW20">
        <v>10.31</v>
      </c>
      <c r="BX20">
        <v>15.71</v>
      </c>
      <c r="BY20">
        <v>-2.81</v>
      </c>
      <c r="BZ20">
        <v>4.47</v>
      </c>
      <c r="CA20">
        <v>7.99</v>
      </c>
      <c r="CB20">
        <v>0</v>
      </c>
      <c r="CC20">
        <v>-28.05</v>
      </c>
      <c r="CD20" t="s">
        <v>2147</v>
      </c>
      <c r="CE20" t="s">
        <v>175</v>
      </c>
      <c r="CF20" s="10">
        <v>-0.31462585034013607</v>
      </c>
      <c r="CG20" s="11">
        <v>0.53077451488104299</v>
      </c>
      <c r="CH20" s="10">
        <v>-0.18808259069919586</v>
      </c>
      <c r="CI20" s="10">
        <v>0.25055333971977234</v>
      </c>
      <c r="CJ20" s="10">
        <v>1.007405161857605</v>
      </c>
      <c r="CK20" s="10">
        <v>0.56223976612091064</v>
      </c>
      <c r="CL20" s="10">
        <v>0.12787052989006042</v>
      </c>
      <c r="CM20" s="11">
        <v>-1.3906633853912354</v>
      </c>
      <c r="CN20" s="11">
        <v>-0.23496240377426147</v>
      </c>
      <c r="CO20" s="11">
        <v>1.3644444942474365</v>
      </c>
      <c r="CP20" s="11">
        <v>0.25698325037956238</v>
      </c>
      <c r="CQ20" s="11">
        <v>0.14012739062309265</v>
      </c>
      <c r="CR20">
        <v>16.548080536912753</v>
      </c>
      <c r="CS20">
        <v>0.47011960866904068</v>
      </c>
      <c r="CT20">
        <v>0</v>
      </c>
      <c r="CU20" s="10">
        <v>0.35199724137783051</v>
      </c>
      <c r="CV20" s="11">
        <v>2.7185869216918946E-2</v>
      </c>
      <c r="CW20">
        <v>0.06</v>
      </c>
      <c r="CX20" t="e">
        <v>#VALUE!</v>
      </c>
      <c r="CY20" t="s">
        <v>1157</v>
      </c>
      <c r="CZ20">
        <v>0.35199724137783051</v>
      </c>
      <c r="DA20" t="e">
        <v>#VALUE!</v>
      </c>
      <c r="DB20" t="s">
        <v>1158</v>
      </c>
      <c r="DC20">
        <v>0.33439737930893898</v>
      </c>
      <c r="DD20" t="e">
        <v>#VALUE!</v>
      </c>
      <c r="DE20" t="s">
        <v>1158</v>
      </c>
      <c r="DF20">
        <v>0.30975757241249086</v>
      </c>
      <c r="DG20" t="e">
        <v>#VALUE!</v>
      </c>
      <c r="DH20" t="s">
        <v>1158</v>
      </c>
      <c r="DI20">
        <v>0.2815977931022644</v>
      </c>
      <c r="DJ20" t="e">
        <v>#VALUE!</v>
      </c>
      <c r="DK20" t="s">
        <v>1158</v>
      </c>
      <c r="DL20">
        <v>0.24639806896448133</v>
      </c>
      <c r="DM20">
        <v>-159000000</v>
      </c>
      <c r="DN20">
        <v>0.35199724137783051</v>
      </c>
      <c r="DO20">
        <v>2252496000</v>
      </c>
      <c r="DP20">
        <v>2078898400</v>
      </c>
      <c r="DQ20">
        <v>1135</v>
      </c>
      <c r="DR20">
        <v>-0.66662309171796652</v>
      </c>
      <c r="DS20">
        <v>0.50358864566412409</v>
      </c>
      <c r="DT20" s="12">
        <v>-7.3333333333333403E-2</v>
      </c>
      <c r="DU20">
        <v>-0.97500000000000009</v>
      </c>
      <c r="DV20">
        <v>-1.0483333333333336</v>
      </c>
      <c r="DW20">
        <v>-3.136279761904762</v>
      </c>
      <c r="DX20">
        <v>0.38473155835962125</v>
      </c>
      <c r="DY20">
        <v>-3.0347147561228782</v>
      </c>
      <c r="DZ20">
        <v>3613</v>
      </c>
      <c r="EA20">
        <v>-3.0101698610403029</v>
      </c>
      <c r="EB20">
        <v>3</v>
      </c>
      <c r="EC20">
        <v>0.13885897470223654</v>
      </c>
      <c r="ED20">
        <v>0.54511887916404833</v>
      </c>
      <c r="EE20" s="15">
        <v>-4.0107999999999997</v>
      </c>
      <c r="EF20">
        <v>-4.0184100000000003</v>
      </c>
      <c r="EG20">
        <v>13.254731558359621</v>
      </c>
      <c r="EH20" t="s">
        <v>1740</v>
      </c>
      <c r="EI20">
        <v>0</v>
      </c>
      <c r="EJ20">
        <v>0</v>
      </c>
      <c r="EK20" s="14">
        <v>45470</v>
      </c>
      <c r="EL20" s="16">
        <v>-1.66</v>
      </c>
      <c r="EM20" s="16">
        <v>-4.45</v>
      </c>
      <c r="EN20" s="16">
        <v>1.29</v>
      </c>
      <c r="EO20" s="16">
        <v>3.33</v>
      </c>
      <c r="EP20" s="16">
        <v>-2.92</v>
      </c>
    </row>
    <row r="21" spans="1:146" ht="96" x14ac:dyDescent="0.25">
      <c r="A21" s="7"/>
      <c r="B21" s="7"/>
      <c r="C21" s="7" t="str">
        <f>""&amp;CHAR(10)&amp;Basic_Fundamental_Information_Constructure(F21)&amp;CHAR(10)&amp;Basic_Fundamental_Information_Concatenate("")</f>
        <v xml:space="preserve">
市值39.789209亿, 利润-7.50亿; PE; 平均PE507.95; 平均PEG112.46, PB.917; ROIC2.72%; ROE-5.3533%; 股利率0%; 毛利15.85%; 净利-10.9633%; 上一年度营收增3.71%, 利润增-50.3%; 当季营收增-4.7%, 利润增-32.09%; 过往5年营收增4.52%, 利润增-106.34%
Income profile:
</v>
      </c>
      <c r="D21" t="s">
        <v>111</v>
      </c>
      <c r="E21" t="s">
        <v>17</v>
      </c>
      <c r="F21">
        <v>3.6</v>
      </c>
      <c r="G21">
        <v>1.69</v>
      </c>
      <c r="H21" t="s">
        <v>2148</v>
      </c>
      <c r="I21">
        <v>3978920900</v>
      </c>
      <c r="K21">
        <v>0.91700000000000004</v>
      </c>
      <c r="L21" t="s">
        <v>1747</v>
      </c>
      <c r="M21" t="s">
        <v>2149</v>
      </c>
      <c r="N21" t="s">
        <v>2150</v>
      </c>
      <c r="O21" t="s">
        <v>1634</v>
      </c>
      <c r="P21">
        <v>-4.66</v>
      </c>
      <c r="Q21" t="s">
        <v>2151</v>
      </c>
      <c r="R21">
        <v>-155869080</v>
      </c>
      <c r="S21" s="5">
        <v>-0.32469999999999999</v>
      </c>
      <c r="T21" t="s">
        <v>1715</v>
      </c>
      <c r="U21">
        <v>839696340</v>
      </c>
      <c r="V21">
        <v>1105255800</v>
      </c>
      <c r="W21">
        <v>2.44</v>
      </c>
      <c r="X21">
        <v>7.0000000000000007E-2</v>
      </c>
      <c r="Y21">
        <v>-24.42</v>
      </c>
      <c r="Z21" t="s">
        <v>1635</v>
      </c>
      <c r="AA21" t="s">
        <v>1191</v>
      </c>
      <c r="AB21" t="s">
        <v>2152</v>
      </c>
      <c r="AC21" t="s">
        <v>2153</v>
      </c>
      <c r="AD21" t="s">
        <v>28</v>
      </c>
      <c r="AE21">
        <v>46986341</v>
      </c>
      <c r="AF21" t="s">
        <v>2154</v>
      </c>
      <c r="AG21" t="s">
        <v>2155</v>
      </c>
      <c r="AH21" t="s">
        <v>2156</v>
      </c>
      <c r="AI21" t="s">
        <v>1192</v>
      </c>
      <c r="AJ21" t="s">
        <v>2157</v>
      </c>
      <c r="AK21" t="s">
        <v>2158</v>
      </c>
      <c r="AL21" t="s">
        <v>2159</v>
      </c>
      <c r="AM21" t="s">
        <v>28</v>
      </c>
      <c r="AN21" t="s">
        <v>92</v>
      </c>
      <c r="AO21" t="s">
        <v>2160</v>
      </c>
      <c r="AP21" t="s">
        <v>28</v>
      </c>
      <c r="AQ21" t="s">
        <v>294</v>
      </c>
      <c r="AR21" t="s">
        <v>2161</v>
      </c>
      <c r="AS21" t="s">
        <v>2162</v>
      </c>
      <c r="AT21" t="s">
        <v>2163</v>
      </c>
      <c r="AU21" t="s">
        <v>2164</v>
      </c>
      <c r="AV21" t="s">
        <v>1670</v>
      </c>
      <c r="AW21" t="s">
        <v>2165</v>
      </c>
      <c r="AX21" t="s">
        <v>1316</v>
      </c>
      <c r="AY21" t="s">
        <v>958</v>
      </c>
      <c r="AZ21" t="s">
        <v>413</v>
      </c>
      <c r="BA21" t="s">
        <v>54</v>
      </c>
      <c r="BB21" t="s">
        <v>416</v>
      </c>
      <c r="BC21" t="s">
        <v>2166</v>
      </c>
      <c r="BD21" t="s">
        <v>88</v>
      </c>
      <c r="BE21" t="s">
        <v>214</v>
      </c>
      <c r="BF21" t="s">
        <v>112</v>
      </c>
      <c r="BG21" t="s">
        <v>360</v>
      </c>
      <c r="BH21" t="s">
        <v>2151</v>
      </c>
      <c r="BI21" t="s">
        <v>521</v>
      </c>
      <c r="BJ21" t="s">
        <v>1316</v>
      </c>
      <c r="BK21" t="s">
        <v>1715</v>
      </c>
      <c r="BL21" t="s">
        <v>1464</v>
      </c>
      <c r="BM21" t="s">
        <v>2166</v>
      </c>
      <c r="BN21" t="s">
        <v>28</v>
      </c>
      <c r="BO21" t="s">
        <v>28</v>
      </c>
      <c r="BP21">
        <v>2.72</v>
      </c>
      <c r="BQ21">
        <v>-7.97</v>
      </c>
      <c r="BR21">
        <v>-11.59</v>
      </c>
      <c r="BS21">
        <v>3.5</v>
      </c>
      <c r="BT21" t="s">
        <v>1244</v>
      </c>
      <c r="BU21" t="s">
        <v>1061</v>
      </c>
      <c r="BV21">
        <v>4.33</v>
      </c>
      <c r="BW21">
        <v>15.74</v>
      </c>
      <c r="BX21">
        <v>27.48</v>
      </c>
      <c r="BY21">
        <v>-22.11</v>
      </c>
      <c r="BZ21">
        <v>-14.66</v>
      </c>
      <c r="CA21">
        <v>3.88</v>
      </c>
      <c r="CB21">
        <v>1.41</v>
      </c>
      <c r="CC21">
        <v>-18.739999999999998</v>
      </c>
      <c r="CD21" t="s">
        <v>2167</v>
      </c>
      <c r="CE21" t="s">
        <v>660</v>
      </c>
      <c r="CF21" s="10">
        <v>-4.7044632086851494E-2</v>
      </c>
      <c r="CG21" s="11">
        <v>-0.320924406779661</v>
      </c>
      <c r="CH21" s="10">
        <v>3.7132542580366135E-2</v>
      </c>
      <c r="CI21" s="10">
        <v>-3.4122027456760406E-2</v>
      </c>
      <c r="CJ21" s="10">
        <v>0.21116138994693756</v>
      </c>
      <c r="CK21" s="10">
        <v>-4.163052886724472E-2</v>
      </c>
      <c r="CL21" s="10">
        <v>5.3288690745830536E-2</v>
      </c>
      <c r="CM21" s="11">
        <v>-0.50300604104995728</v>
      </c>
      <c r="CN21" s="11">
        <v>-4.0993790626525879</v>
      </c>
      <c r="CO21" s="11">
        <v>-0.46864685416221619</v>
      </c>
      <c r="CP21" s="11">
        <v>-0.28537735342979431</v>
      </c>
      <c r="CQ21" s="11">
        <v>3.9215687662363052E-2</v>
      </c>
      <c r="CR21">
        <v>507.94734893617021</v>
      </c>
      <c r="CS21">
        <v>112.46229428134372</v>
      </c>
      <c r="CT21">
        <v>0</v>
      </c>
      <c r="CU21" s="10">
        <v>4.5166013389825822E-2</v>
      </c>
      <c r="CV21" s="11">
        <v>-1.0634387247264385</v>
      </c>
      <c r="CW21">
        <v>0.06</v>
      </c>
      <c r="CX21" t="e">
        <v>#VALUE!</v>
      </c>
      <c r="CY21" t="s">
        <v>1157</v>
      </c>
      <c r="CZ21">
        <v>4.5166013389825822E-2</v>
      </c>
      <c r="DA21" t="e">
        <v>#VALUE!</v>
      </c>
      <c r="DB21" t="s">
        <v>1158</v>
      </c>
      <c r="DC21">
        <v>4.2907712720334529E-2</v>
      </c>
      <c r="DD21" t="e">
        <v>#VALUE!</v>
      </c>
      <c r="DE21" t="s">
        <v>1158</v>
      </c>
      <c r="DF21">
        <v>3.9746091783046722E-2</v>
      </c>
      <c r="DG21" t="e">
        <v>#VALUE!</v>
      </c>
      <c r="DH21" t="s">
        <v>1158</v>
      </c>
      <c r="DI21">
        <v>3.6132810711860662E-2</v>
      </c>
      <c r="DJ21" t="e">
        <v>#VALUE!</v>
      </c>
      <c r="DK21" t="s">
        <v>1158</v>
      </c>
      <c r="DL21">
        <v>3.1616209372878075E-2</v>
      </c>
      <c r="DM21">
        <v>-750000000</v>
      </c>
      <c r="DN21">
        <v>4.5166013389825822E-2</v>
      </c>
      <c r="DO21">
        <v>6247920900</v>
      </c>
      <c r="DP21">
        <v>-353643700</v>
      </c>
      <c r="DQ21">
        <v>1162</v>
      </c>
      <c r="DR21">
        <v>-9.2210645476677316E-2</v>
      </c>
      <c r="DS21">
        <v>0.74251431794677747</v>
      </c>
      <c r="DT21" s="12">
        <v>-0.3066666666666667</v>
      </c>
      <c r="DU21">
        <v>-2.4483333333333337</v>
      </c>
      <c r="DV21">
        <v>-2.7550000000000003</v>
      </c>
      <c r="DW21">
        <v>-3.0309880952380954</v>
      </c>
      <c r="DX21">
        <v>0.35969391304347709</v>
      </c>
      <c r="DY21">
        <v>-3.0037090863768117</v>
      </c>
      <c r="DZ21">
        <v>4813</v>
      </c>
      <c r="EA21">
        <v>-3.0002155770359908</v>
      </c>
      <c r="EB21">
        <v>3</v>
      </c>
      <c r="EC21">
        <v>1.2453949574388119E-2</v>
      </c>
      <c r="ED21">
        <v>0.10404831171209415</v>
      </c>
      <c r="EE21" s="15">
        <v>3.1225000000000001</v>
      </c>
      <c r="EF21">
        <v>3.0977999999999999</v>
      </c>
      <c r="EG21">
        <v>24.119693913043477</v>
      </c>
      <c r="EH21" t="s">
        <v>1376</v>
      </c>
      <c r="EI21">
        <v>0</v>
      </c>
      <c r="EJ21">
        <v>0</v>
      </c>
      <c r="EK21" s="14">
        <v>45470</v>
      </c>
      <c r="EL21" s="16">
        <v>1.64</v>
      </c>
      <c r="EM21" s="16">
        <v>-4.8499999999999996</v>
      </c>
      <c r="EN21" s="16">
        <v>1.42</v>
      </c>
      <c r="EO21" s="16">
        <v>1.68</v>
      </c>
      <c r="EP21" s="16">
        <v>-2.4700000000000002</v>
      </c>
    </row>
    <row r="22" spans="1:146" ht="108" x14ac:dyDescent="0.25">
      <c r="A22" s="7"/>
      <c r="B22" s="7"/>
      <c r="C22" s="7" t="str">
        <f>""&amp;CHAR(10)&amp;Basic_Fundamental_Information_Constructure(F22)&amp;CHAR(10)&amp;Basic_Fundamental_Information_Concatenate("")</f>
        <v xml:space="preserve">
市值18.705269亿, 利润-10.96亿; PE; 平均PE-5.87; 平均PEG-.25, PB.985; ROIC2.22%; ROE-14.1367%; 股利率0%; 毛利1.95%; 净利-37.3033%; 上一年度营收增-17.09%, 利润增27.37%; 当季营收增-39.12%, 利润增-78.45%; 过往5年营收增-23.57%, 利润增-694.38%
Income profile:
</v>
      </c>
      <c r="D22" t="s">
        <v>116</v>
      </c>
      <c r="E22" t="s">
        <v>25</v>
      </c>
      <c r="F22">
        <v>1.1100000000000001</v>
      </c>
      <c r="G22">
        <v>-2.63</v>
      </c>
      <c r="H22" t="s">
        <v>237</v>
      </c>
      <c r="I22">
        <v>1870526900</v>
      </c>
      <c r="K22">
        <v>0.98499999999999999</v>
      </c>
      <c r="L22" t="s">
        <v>1747</v>
      </c>
      <c r="M22" t="s">
        <v>2168</v>
      </c>
      <c r="N22" t="s">
        <v>2169</v>
      </c>
      <c r="O22" t="s">
        <v>104</v>
      </c>
      <c r="P22">
        <v>-39.090000000000003</v>
      </c>
      <c r="Q22" t="s">
        <v>2170</v>
      </c>
      <c r="R22">
        <v>-90161322</v>
      </c>
      <c r="S22" s="5">
        <v>-0.78449999999999998</v>
      </c>
      <c r="T22" t="s">
        <v>2171</v>
      </c>
      <c r="U22">
        <v>1465708900</v>
      </c>
      <c r="V22">
        <v>1685159400</v>
      </c>
      <c r="W22">
        <v>6.84</v>
      </c>
      <c r="X22">
        <v>0.02</v>
      </c>
      <c r="Y22">
        <v>-30.28</v>
      </c>
      <c r="Z22" t="s">
        <v>125</v>
      </c>
      <c r="AA22" t="s">
        <v>255</v>
      </c>
      <c r="AB22" t="s">
        <v>2172</v>
      </c>
      <c r="AC22" t="s">
        <v>2173</v>
      </c>
      <c r="AD22" t="s">
        <v>28</v>
      </c>
      <c r="AE22">
        <v>59218813</v>
      </c>
      <c r="AF22" t="s">
        <v>2174</v>
      </c>
      <c r="AG22" t="s">
        <v>2175</v>
      </c>
      <c r="AH22" t="s">
        <v>2176</v>
      </c>
      <c r="AI22" t="s">
        <v>655</v>
      </c>
      <c r="AJ22" t="s">
        <v>2177</v>
      </c>
      <c r="AK22" t="s">
        <v>2178</v>
      </c>
      <c r="AL22" t="s">
        <v>2179</v>
      </c>
      <c r="AM22" t="s">
        <v>28</v>
      </c>
      <c r="AN22" t="s">
        <v>2180</v>
      </c>
      <c r="AO22" t="s">
        <v>2181</v>
      </c>
      <c r="AP22" t="s">
        <v>856</v>
      </c>
      <c r="AQ22" t="s">
        <v>2182</v>
      </c>
      <c r="AR22" t="s">
        <v>28</v>
      </c>
      <c r="AS22" t="s">
        <v>2183</v>
      </c>
      <c r="AT22" t="s">
        <v>1711</v>
      </c>
      <c r="AU22" t="s">
        <v>2184</v>
      </c>
      <c r="AV22" t="s">
        <v>2185</v>
      </c>
      <c r="AW22" t="s">
        <v>2186</v>
      </c>
      <c r="AX22" t="s">
        <v>417</v>
      </c>
      <c r="AY22" t="s">
        <v>959</v>
      </c>
      <c r="AZ22" t="s">
        <v>419</v>
      </c>
      <c r="BA22" t="s">
        <v>117</v>
      </c>
      <c r="BB22" t="s">
        <v>422</v>
      </c>
      <c r="BC22" t="s">
        <v>1317</v>
      </c>
      <c r="BD22" t="s">
        <v>960</v>
      </c>
      <c r="BE22" t="s">
        <v>420</v>
      </c>
      <c r="BF22" t="s">
        <v>118</v>
      </c>
      <c r="BG22" t="s">
        <v>423</v>
      </c>
      <c r="BH22" t="s">
        <v>2170</v>
      </c>
      <c r="BI22" t="s">
        <v>251</v>
      </c>
      <c r="BJ22" t="s">
        <v>417</v>
      </c>
      <c r="BK22" t="s">
        <v>2171</v>
      </c>
      <c r="BL22" t="s">
        <v>2187</v>
      </c>
      <c r="BM22" t="s">
        <v>1317</v>
      </c>
      <c r="BN22" t="s">
        <v>28</v>
      </c>
      <c r="BO22" t="s">
        <v>28</v>
      </c>
      <c r="BP22">
        <v>2.2200000000000002</v>
      </c>
      <c r="BQ22">
        <v>-6.48</v>
      </c>
      <c r="BR22">
        <v>-36.96</v>
      </c>
      <c r="BS22">
        <v>1.03</v>
      </c>
      <c r="BT22" t="s">
        <v>1244</v>
      </c>
      <c r="BU22" t="s">
        <v>1153</v>
      </c>
      <c r="BV22">
        <v>2.21</v>
      </c>
      <c r="BW22">
        <v>-14.38</v>
      </c>
      <c r="BX22">
        <v>18.02</v>
      </c>
      <c r="BY22">
        <v>-53</v>
      </c>
      <c r="BZ22">
        <v>-59.98</v>
      </c>
      <c r="CA22">
        <v>1.07</v>
      </c>
      <c r="CB22">
        <v>23.33</v>
      </c>
      <c r="CC22">
        <v>-26.49</v>
      </c>
      <c r="CD22" t="s">
        <v>1191</v>
      </c>
      <c r="CE22" t="s">
        <v>1697</v>
      </c>
      <c r="CF22" s="10">
        <v>-0.39121756487025949</v>
      </c>
      <c r="CG22" s="11">
        <v>-0.78448930232558145</v>
      </c>
      <c r="CH22" s="10">
        <v>-0.17088359594345093</v>
      </c>
      <c r="CI22" s="10">
        <v>-0.46468016505241394</v>
      </c>
      <c r="CJ22" s="10">
        <v>-0.27845433354377747</v>
      </c>
      <c r="CK22" s="10">
        <v>-0.1641322523355484</v>
      </c>
      <c r="CL22" s="10">
        <v>-0.10019220411777496</v>
      </c>
      <c r="CM22" s="11">
        <v>0.27369114756584167</v>
      </c>
      <c r="CN22" s="11">
        <v>-33.113555908203125</v>
      </c>
      <c r="CO22" s="11">
        <v>1.1021510362625122</v>
      </c>
      <c r="CP22" s="11">
        <v>-2.4024391174316406</v>
      </c>
      <c r="CQ22" s="11">
        <v>-0.57894736528396606</v>
      </c>
      <c r="CR22">
        <v>-5.8728936340224189</v>
      </c>
      <c r="CS22">
        <v>-0.24920145797473955</v>
      </c>
      <c r="CT22">
        <v>0</v>
      </c>
      <c r="CU22" s="10">
        <v>-0.23566851019859314</v>
      </c>
      <c r="CV22" s="11">
        <v>-6.9438200414180757</v>
      </c>
      <c r="CW22">
        <v>0.06</v>
      </c>
      <c r="CX22" t="e">
        <v>#VALUE!</v>
      </c>
      <c r="CY22" t="s">
        <v>1157</v>
      </c>
      <c r="CZ22">
        <v>-0.23566851019859314</v>
      </c>
      <c r="DA22" t="e">
        <v>#VALUE!</v>
      </c>
      <c r="DB22" t="s">
        <v>1158</v>
      </c>
      <c r="DC22">
        <v>-0.22388508468866347</v>
      </c>
      <c r="DD22" t="e">
        <v>#VALUE!</v>
      </c>
      <c r="DE22" t="s">
        <v>1158</v>
      </c>
      <c r="DF22">
        <v>-0.20738828897476197</v>
      </c>
      <c r="DG22" t="e">
        <v>#VALUE!</v>
      </c>
      <c r="DH22" t="s">
        <v>1158</v>
      </c>
      <c r="DI22">
        <v>-0.18853480815887452</v>
      </c>
      <c r="DJ22" t="e">
        <v>#VALUE!</v>
      </c>
      <c r="DK22" t="s">
        <v>1158</v>
      </c>
      <c r="DL22">
        <v>-0.16496795713901519</v>
      </c>
      <c r="DM22">
        <v>-1096000000</v>
      </c>
      <c r="DN22">
        <v>-0.23566851019859314</v>
      </c>
      <c r="DO22">
        <v>13201526900</v>
      </c>
      <c r="DP22">
        <v>-2853399100</v>
      </c>
      <c r="DQ22">
        <v>1201</v>
      </c>
      <c r="DR22">
        <v>-0.15554905467166635</v>
      </c>
      <c r="DS22">
        <v>6.1593307390924945</v>
      </c>
      <c r="DT22" s="12">
        <v>-1.0066666666666666</v>
      </c>
      <c r="DU22">
        <v>-2.3483333333333332</v>
      </c>
      <c r="DV22">
        <v>-3.3549999999999995</v>
      </c>
      <c r="DW22">
        <v>7.4682858289843432</v>
      </c>
      <c r="DX22">
        <v>0.40248927990148065</v>
      </c>
      <c r="DY22">
        <v>7.1135542934584812</v>
      </c>
      <c r="DZ22">
        <v>4997</v>
      </c>
      <c r="EA22">
        <v>7.0025110832017239</v>
      </c>
      <c r="EB22">
        <v>7</v>
      </c>
      <c r="EC22">
        <v>0.46939179759493377</v>
      </c>
      <c r="ED22">
        <v>1.9357219263649477</v>
      </c>
      <c r="EE22" s="15">
        <v>-8.0201999999999991</v>
      </c>
      <c r="EF22">
        <v>-8.0319099999999999</v>
      </c>
      <c r="EG22">
        <v>16.242489279901481</v>
      </c>
      <c r="EH22" t="s">
        <v>2188</v>
      </c>
      <c r="EI22">
        <v>1</v>
      </c>
      <c r="EJ22">
        <v>0</v>
      </c>
      <c r="EK22" s="14">
        <v>45470</v>
      </c>
      <c r="EL22" s="16">
        <v>-7.92</v>
      </c>
      <c r="EM22" s="16">
        <v>-9.68</v>
      </c>
      <c r="EN22" s="16">
        <v>9.52</v>
      </c>
      <c r="EO22" s="16">
        <v>4.3499999999999996</v>
      </c>
      <c r="EP22" s="16">
        <v>-5.21</v>
      </c>
    </row>
    <row r="23" spans="1:146" ht="108" x14ac:dyDescent="0.25">
      <c r="C23" s="7" t="str">
        <f>""&amp;CHAR(10)&amp;Basic_Fundamental_Information_Constructure(F23)&amp;CHAR(10)&amp;Basic_Fundamental_Information_Concatenate("")</f>
        <v xml:space="preserve">
市值12.7622626亿, 利润-1.55亿; PE; 平均PE2000.56; 平均PEG6871.92, PB3.03; ROIC10.83%; ROE1.9833%; 股利率0%; 毛利16.7867%; 净利-5.74%; 上一年度营收增-14.54%, 利润增-338.03%; 当季营收增-31.68%, 利润增-280.53%; 过往5年营收增.29%, 利润增-23%
Income profile:
</v>
      </c>
      <c r="D23" t="s">
        <v>426</v>
      </c>
      <c r="E23" t="s">
        <v>729</v>
      </c>
      <c r="F23">
        <v>10.23</v>
      </c>
      <c r="G23">
        <v>0</v>
      </c>
      <c r="H23" t="s">
        <v>2189</v>
      </c>
      <c r="I23">
        <v>1276226260</v>
      </c>
      <c r="K23">
        <v>3.03</v>
      </c>
      <c r="L23" t="s">
        <v>1747</v>
      </c>
      <c r="M23" t="s">
        <v>2190</v>
      </c>
      <c r="N23" t="s">
        <v>1470</v>
      </c>
      <c r="O23" t="s">
        <v>241</v>
      </c>
      <c r="P23">
        <v>-31.94</v>
      </c>
      <c r="Q23" t="s">
        <v>1296</v>
      </c>
      <c r="R23">
        <v>-2396744</v>
      </c>
      <c r="S23" s="5">
        <v>-2.8050000000000002</v>
      </c>
      <c r="T23" t="s">
        <v>2191</v>
      </c>
      <c r="U23">
        <v>122990620</v>
      </c>
      <c r="V23">
        <v>124753300</v>
      </c>
      <c r="W23">
        <v>2.59</v>
      </c>
      <c r="X23">
        <v>0.08</v>
      </c>
      <c r="Y23">
        <v>2.0099999999999998</v>
      </c>
      <c r="Z23" t="s">
        <v>254</v>
      </c>
      <c r="AA23" t="s">
        <v>110</v>
      </c>
      <c r="AB23" t="s">
        <v>2192</v>
      </c>
      <c r="AC23" t="s">
        <v>2193</v>
      </c>
      <c r="AD23" t="s">
        <v>28</v>
      </c>
      <c r="AE23">
        <v>4903055</v>
      </c>
      <c r="AF23" t="s">
        <v>2194</v>
      </c>
      <c r="AG23">
        <v>200</v>
      </c>
      <c r="AH23" t="s">
        <v>2195</v>
      </c>
      <c r="AI23" t="s">
        <v>2196</v>
      </c>
      <c r="AJ23" t="s">
        <v>2197</v>
      </c>
      <c r="AK23" t="s">
        <v>2198</v>
      </c>
      <c r="AL23" t="s">
        <v>2199</v>
      </c>
      <c r="AM23" t="s">
        <v>28</v>
      </c>
      <c r="AN23" t="s">
        <v>2200</v>
      </c>
      <c r="AO23" t="s">
        <v>409</v>
      </c>
      <c r="AP23" t="s">
        <v>28</v>
      </c>
      <c r="AQ23" t="s">
        <v>158</v>
      </c>
      <c r="AR23" t="s">
        <v>28</v>
      </c>
      <c r="AS23" t="s">
        <v>466</v>
      </c>
      <c r="AT23" t="s">
        <v>456</v>
      </c>
      <c r="AU23" t="s">
        <v>2201</v>
      </c>
      <c r="AV23" t="s">
        <v>2202</v>
      </c>
      <c r="AW23" t="s">
        <v>2203</v>
      </c>
      <c r="AX23" t="s">
        <v>1302</v>
      </c>
      <c r="AY23" t="s">
        <v>692</v>
      </c>
      <c r="AZ23" t="s">
        <v>427</v>
      </c>
      <c r="BA23" t="s">
        <v>431</v>
      </c>
      <c r="BB23" t="s">
        <v>415</v>
      </c>
      <c r="BC23" t="s">
        <v>1319</v>
      </c>
      <c r="BD23" t="s">
        <v>962</v>
      </c>
      <c r="BE23" t="s">
        <v>428</v>
      </c>
      <c r="BF23" t="s">
        <v>432</v>
      </c>
      <c r="BG23" t="s">
        <v>433</v>
      </c>
      <c r="BH23" t="s">
        <v>1296</v>
      </c>
      <c r="BI23" t="s">
        <v>88</v>
      </c>
      <c r="BJ23" t="s">
        <v>1302</v>
      </c>
      <c r="BK23" t="s">
        <v>2191</v>
      </c>
      <c r="BL23" t="s">
        <v>2204</v>
      </c>
      <c r="BM23" t="s">
        <v>1319</v>
      </c>
      <c r="BN23" t="s">
        <v>28</v>
      </c>
      <c r="BO23" t="s">
        <v>28</v>
      </c>
      <c r="BP23">
        <v>10.83</v>
      </c>
      <c r="BQ23">
        <v>-3.8</v>
      </c>
      <c r="BR23">
        <v>-6.58</v>
      </c>
      <c r="BS23">
        <v>16.329999999999998</v>
      </c>
      <c r="BT23" t="s">
        <v>1244</v>
      </c>
      <c r="BU23" t="s">
        <v>1153</v>
      </c>
      <c r="BV23">
        <v>10.15</v>
      </c>
      <c r="BW23">
        <v>14.9</v>
      </c>
      <c r="BX23">
        <v>25.31</v>
      </c>
      <c r="BY23">
        <v>-25.65</v>
      </c>
      <c r="BZ23">
        <v>-3.74</v>
      </c>
      <c r="CA23">
        <v>12.17</v>
      </c>
      <c r="CB23">
        <v>-2.76</v>
      </c>
      <c r="CC23">
        <v>-8.9</v>
      </c>
      <c r="CD23" t="s">
        <v>2205</v>
      </c>
      <c r="CE23" t="s">
        <v>2206</v>
      </c>
      <c r="CF23" s="10">
        <v>-0.31677018633540366</v>
      </c>
      <c r="CG23" s="11">
        <v>-2.8053208797830673</v>
      </c>
      <c r="CH23" s="10">
        <v>-0.14542935788631439</v>
      </c>
      <c r="CI23" s="10">
        <v>-0.30038759112358093</v>
      </c>
      <c r="CJ23" s="10">
        <v>5.1987767219543457E-2</v>
      </c>
      <c r="CK23" s="10">
        <v>0.36629527807235718</v>
      </c>
      <c r="CL23" s="10">
        <v>4.2089983820915222E-2</v>
      </c>
      <c r="CM23" s="11">
        <v>-3.3803005218505859</v>
      </c>
      <c r="CN23" s="11">
        <v>-1.4142651557922363</v>
      </c>
      <c r="CO23" s="11">
        <v>0.14668430387973785</v>
      </c>
      <c r="CP23" s="11">
        <v>3.6058475971221924</v>
      </c>
      <c r="CQ23" s="11">
        <v>-0.10797096788883209</v>
      </c>
      <c r="CR23">
        <v>2000.56368481555</v>
      </c>
      <c r="CS23">
        <v>6871.9176820624834</v>
      </c>
      <c r="CT23">
        <v>0</v>
      </c>
      <c r="CU23" s="10">
        <v>2.9112160205841064E-3</v>
      </c>
      <c r="CV23" s="11">
        <v>-0.23000094890594483</v>
      </c>
      <c r="CW23">
        <v>0.06</v>
      </c>
      <c r="CX23" t="e">
        <v>#VALUE!</v>
      </c>
      <c r="CY23" t="s">
        <v>1157</v>
      </c>
      <c r="CZ23">
        <v>2.9112160205841064E-3</v>
      </c>
      <c r="DA23" t="e">
        <v>#VALUE!</v>
      </c>
      <c r="DB23" t="s">
        <v>1158</v>
      </c>
      <c r="DC23">
        <v>2.7656552195549008E-3</v>
      </c>
      <c r="DD23" t="e">
        <v>#VALUE!</v>
      </c>
      <c r="DE23" t="s">
        <v>1158</v>
      </c>
      <c r="DF23">
        <v>2.5618700981140138E-3</v>
      </c>
      <c r="DG23" t="e">
        <v>#VALUE!</v>
      </c>
      <c r="DH23" t="s">
        <v>1158</v>
      </c>
      <c r="DI23">
        <v>2.3289728164672852E-3</v>
      </c>
      <c r="DJ23" t="e">
        <v>#VALUE!</v>
      </c>
      <c r="DK23" t="s">
        <v>1158</v>
      </c>
      <c r="DL23">
        <v>2.0378512144088741E-3</v>
      </c>
      <c r="DM23">
        <v>-155000000</v>
      </c>
      <c r="DN23">
        <v>2.9112160205841064E-3</v>
      </c>
      <c r="DO23">
        <v>1682226260</v>
      </c>
      <c r="DP23">
        <v>429434440.00000006</v>
      </c>
      <c r="DQ23">
        <v>1254</v>
      </c>
      <c r="DR23">
        <v>-0.31968140235598774</v>
      </c>
      <c r="DS23">
        <v>-2.5753199308771224</v>
      </c>
      <c r="DT23" s="12">
        <v>-0.47333333333333338</v>
      </c>
      <c r="DU23">
        <v>-2.061666666666667</v>
      </c>
      <c r="DV23">
        <v>-2.5350000000000001</v>
      </c>
      <c r="DW23">
        <v>-8.3101123595505619</v>
      </c>
      <c r="DX23">
        <v>0.32314385979441096</v>
      </c>
      <c r="DY23">
        <v>-8.0319861857339969</v>
      </c>
      <c r="DZ23">
        <v>4697</v>
      </c>
      <c r="EA23">
        <v>-8.0025851848743912</v>
      </c>
      <c r="EB23">
        <v>8</v>
      </c>
      <c r="EC23">
        <v>3.9934013769575637E-2</v>
      </c>
      <c r="ED23">
        <v>0.38716811499174769</v>
      </c>
      <c r="EE23" s="15">
        <v>-1.0616000000000001</v>
      </c>
      <c r="EF23">
        <v>-1.0653999999999999</v>
      </c>
      <c r="EG23">
        <v>22.103143859794411</v>
      </c>
      <c r="EH23" t="s">
        <v>1154</v>
      </c>
      <c r="EI23">
        <v>0</v>
      </c>
      <c r="EJ23">
        <v>0</v>
      </c>
      <c r="EK23" s="14">
        <v>45470</v>
      </c>
      <c r="EL23" s="16">
        <v>3.33</v>
      </c>
      <c r="EM23" s="16">
        <v>-3.32</v>
      </c>
      <c r="EN23" s="16">
        <v>-2.78</v>
      </c>
      <c r="EO23" s="16">
        <v>1.24</v>
      </c>
      <c r="EP23" s="16">
        <v>0.38</v>
      </c>
    </row>
    <row r="24" spans="1:146" ht="108" x14ac:dyDescent="0.25">
      <c r="A24" s="7"/>
      <c r="B24" s="7"/>
      <c r="C24" s="7" t="str">
        <f>""&amp;CHAR(10)&amp;Basic_Fundamental_Information_Constructure(F24)&amp;CHAR(10)&amp;Basic_Fundamental_Information_Concatenate("")</f>
        <v xml:space="preserve">
市值19.491249亿, 利润1.14亿; PE16.53; 平均PE10.86; 平均PEG20.23, PB.874; ROIC3.9833%; ROE5.9033%; 股利率3.9246%; 毛利39.9033%; 净利27.99%; 上一年度营收增-31.86%, 利润增-25.97%; 当季营收增33.21%, 利润增13.01%; 过往5年营收增.54%, 利润增-.62%
Income profile:
</v>
      </c>
      <c r="D24" t="s">
        <v>122</v>
      </c>
      <c r="E24" t="s">
        <v>16</v>
      </c>
      <c r="F24">
        <v>6.37</v>
      </c>
      <c r="G24">
        <v>3.58</v>
      </c>
      <c r="H24" t="s">
        <v>2207</v>
      </c>
      <c r="I24">
        <v>1949124900</v>
      </c>
      <c r="J24">
        <v>16.53</v>
      </c>
      <c r="K24">
        <v>0.874</v>
      </c>
      <c r="L24" t="s">
        <v>1747</v>
      </c>
      <c r="M24" t="s">
        <v>2208</v>
      </c>
      <c r="N24" t="s">
        <v>2209</v>
      </c>
      <c r="O24" t="s">
        <v>2210</v>
      </c>
      <c r="P24">
        <v>33.21</v>
      </c>
      <c r="Q24" t="s">
        <v>738</v>
      </c>
      <c r="R24">
        <v>37325607</v>
      </c>
      <c r="S24" s="5">
        <v>0.13009999999999999</v>
      </c>
      <c r="T24" t="s">
        <v>142</v>
      </c>
      <c r="U24">
        <v>159464410</v>
      </c>
      <c r="V24">
        <v>305985080</v>
      </c>
      <c r="W24">
        <v>1.8</v>
      </c>
      <c r="X24">
        <v>0.02</v>
      </c>
      <c r="Y24">
        <v>43.73</v>
      </c>
      <c r="Z24" t="s">
        <v>2211</v>
      </c>
      <c r="AA24" t="s">
        <v>2212</v>
      </c>
      <c r="AB24" t="s">
        <v>28</v>
      </c>
      <c r="AC24" t="s">
        <v>2213</v>
      </c>
      <c r="AD24" t="s">
        <v>28</v>
      </c>
      <c r="AE24">
        <v>5157848</v>
      </c>
      <c r="AF24" t="s">
        <v>2214</v>
      </c>
      <c r="AG24" t="s">
        <v>28</v>
      </c>
      <c r="AH24" t="s">
        <v>2215</v>
      </c>
      <c r="AI24" t="s">
        <v>261</v>
      </c>
      <c r="AJ24" t="s">
        <v>2216</v>
      </c>
      <c r="AK24" t="s">
        <v>2217</v>
      </c>
      <c r="AL24" t="s">
        <v>2218</v>
      </c>
      <c r="AM24" t="s">
        <v>28</v>
      </c>
      <c r="AN24">
        <v>0</v>
      </c>
      <c r="AO24" t="s">
        <v>163</v>
      </c>
      <c r="AP24" t="s">
        <v>2219</v>
      </c>
      <c r="AQ24" t="s">
        <v>301</v>
      </c>
      <c r="AR24" t="s">
        <v>2220</v>
      </c>
      <c r="AS24" t="s">
        <v>1508</v>
      </c>
      <c r="AT24" t="s">
        <v>2221</v>
      </c>
      <c r="AU24" t="s">
        <v>2222</v>
      </c>
      <c r="AV24" t="s">
        <v>324</v>
      </c>
      <c r="AW24" t="s">
        <v>2223</v>
      </c>
      <c r="AX24" t="s">
        <v>436</v>
      </c>
      <c r="AY24" t="s">
        <v>813</v>
      </c>
      <c r="AZ24" t="s">
        <v>434</v>
      </c>
      <c r="BA24" t="s">
        <v>51</v>
      </c>
      <c r="BB24" t="s">
        <v>435</v>
      </c>
      <c r="BC24" t="s">
        <v>215</v>
      </c>
      <c r="BD24" t="s">
        <v>113</v>
      </c>
      <c r="BE24" t="s">
        <v>123</v>
      </c>
      <c r="BF24" t="s">
        <v>78</v>
      </c>
      <c r="BG24" t="s">
        <v>228</v>
      </c>
      <c r="BH24" t="s">
        <v>738</v>
      </c>
      <c r="BI24" t="s">
        <v>2224</v>
      </c>
      <c r="BJ24" t="s">
        <v>436</v>
      </c>
      <c r="BK24" t="s">
        <v>142</v>
      </c>
      <c r="BL24" t="s">
        <v>2225</v>
      </c>
      <c r="BM24" t="s">
        <v>215</v>
      </c>
      <c r="BN24">
        <v>2.17</v>
      </c>
      <c r="BO24">
        <v>4.4400000000000004</v>
      </c>
      <c r="BP24">
        <v>5.34</v>
      </c>
      <c r="BQ24">
        <v>3.21</v>
      </c>
      <c r="BR24">
        <v>6.75</v>
      </c>
      <c r="BS24">
        <v>7.75</v>
      </c>
      <c r="BT24" t="s">
        <v>1251</v>
      </c>
      <c r="BU24" t="s">
        <v>1153</v>
      </c>
      <c r="BV24">
        <v>38.64</v>
      </c>
      <c r="BW24">
        <v>42.34</v>
      </c>
      <c r="BX24">
        <v>38.729999999999997</v>
      </c>
      <c r="BY24">
        <v>28.77</v>
      </c>
      <c r="BZ24">
        <v>26.54</v>
      </c>
      <c r="CA24">
        <v>28.66</v>
      </c>
      <c r="CB24">
        <v>-2.15</v>
      </c>
      <c r="CC24">
        <v>-9.26</v>
      </c>
      <c r="CD24" t="s">
        <v>2226</v>
      </c>
      <c r="CE24" t="s">
        <v>212</v>
      </c>
      <c r="CF24" s="10">
        <v>0.33210928907879372</v>
      </c>
      <c r="CG24" s="11">
        <v>0.13013721898417985</v>
      </c>
      <c r="CH24" s="10">
        <v>-0.31856900453567505</v>
      </c>
      <c r="CI24" s="10">
        <v>3.4188034478574991E-3</v>
      </c>
      <c r="CJ24" s="10">
        <v>-0.38291138410568237</v>
      </c>
      <c r="CK24" s="10">
        <v>0.32959327101707458</v>
      </c>
      <c r="CL24" s="10">
        <v>0.39530333876609802</v>
      </c>
      <c r="CM24" s="11">
        <v>-0.25974026322364807</v>
      </c>
      <c r="CN24" s="11">
        <v>-7.2289153933525085E-2</v>
      </c>
      <c r="CO24" s="11">
        <v>-0.40925267338752747</v>
      </c>
      <c r="CP24" s="11">
        <v>0.34449762105941772</v>
      </c>
      <c r="CQ24" s="11">
        <v>0.36601307988166809</v>
      </c>
      <c r="CR24">
        <v>10.858634540389971</v>
      </c>
      <c r="CS24">
        <v>20.23220531083258</v>
      </c>
      <c r="CT24">
        <v>3.9246467817896389</v>
      </c>
      <c r="CU24" s="10">
        <v>5.3670049179345373E-3</v>
      </c>
      <c r="CV24" s="11">
        <v>-6.1542779207229611E-3</v>
      </c>
      <c r="CW24">
        <v>0.06</v>
      </c>
      <c r="CX24">
        <v>14.059039748737616</v>
      </c>
      <c r="CY24">
        <v>108124376.00060804</v>
      </c>
      <c r="CZ24">
        <v>5.3670049179345373E-3</v>
      </c>
      <c r="DA24">
        <v>4.9389900347447346</v>
      </c>
      <c r="DB24">
        <v>307780515.71399164</v>
      </c>
      <c r="DC24">
        <v>5.0986546720378102E-3</v>
      </c>
      <c r="DD24">
        <v>2.6694174122990346</v>
      </c>
      <c r="DE24">
        <v>569459423.24201488</v>
      </c>
      <c r="DF24">
        <v>4.7229643277823929E-3</v>
      </c>
      <c r="DG24">
        <v>1.7730242832787684</v>
      </c>
      <c r="DH24">
        <v>857362707.51402581</v>
      </c>
      <c r="DI24">
        <v>4.2936039343476297E-3</v>
      </c>
      <c r="DJ24">
        <v>1.1253947409078151</v>
      </c>
      <c r="DK24">
        <v>1350748181.721349</v>
      </c>
      <c r="DL24">
        <v>3.7569034425541758E-3</v>
      </c>
      <c r="DM24">
        <v>113999999.99999999</v>
      </c>
      <c r="DN24">
        <v>5.3670049179345373E-3</v>
      </c>
      <c r="DO24">
        <v>1520124900</v>
      </c>
      <c r="DP24">
        <v>1748880600</v>
      </c>
      <c r="DQ24">
        <v>1354</v>
      </c>
      <c r="DR24">
        <v>0.32674228416085921</v>
      </c>
      <c r="DS24">
        <v>0.1362914969049028</v>
      </c>
      <c r="DT24" s="12">
        <v>-0.52333333333333332</v>
      </c>
      <c r="DU24">
        <v>-8.333333333333337E-2</v>
      </c>
      <c r="DV24">
        <v>-0.60666666666666669</v>
      </c>
      <c r="DW24">
        <v>-2.0926</v>
      </c>
      <c r="DX24">
        <v>0.45695670995671023</v>
      </c>
      <c r="DY24">
        <v>-2.0191641913419915</v>
      </c>
      <c r="DZ24">
        <v>3043</v>
      </c>
      <c r="EA24">
        <v>-2.0077519341494905</v>
      </c>
      <c r="EB24">
        <v>2</v>
      </c>
      <c r="EC24">
        <v>0.15623964410290855</v>
      </c>
      <c r="ED24">
        <v>0.75493877021716227</v>
      </c>
      <c r="EE24" s="15">
        <v>-1.00231</v>
      </c>
      <c r="EF24">
        <v>-1.0582100000000001</v>
      </c>
      <c r="EG24">
        <v>25.20695670995671</v>
      </c>
      <c r="EH24" t="s">
        <v>1168</v>
      </c>
      <c r="EI24">
        <v>0</v>
      </c>
      <c r="EJ24">
        <v>0</v>
      </c>
      <c r="EK24" s="14">
        <v>45470</v>
      </c>
      <c r="EL24" s="16">
        <v>10.050000000000001</v>
      </c>
      <c r="EM24" s="16">
        <v>5.12</v>
      </c>
      <c r="EN24" s="16">
        <v>-7.24</v>
      </c>
      <c r="EO24" s="16">
        <v>-3.55</v>
      </c>
      <c r="EP24" s="16">
        <v>-5.59</v>
      </c>
    </row>
    <row r="25" spans="1:146" ht="108" x14ac:dyDescent="0.25">
      <c r="A25" s="7"/>
      <c r="B25" s="7"/>
      <c r="C25" s="7" t="str">
        <f>""&amp;CHAR(10)&amp;Basic_Fundamental_Information_Constructure(F25)&amp;CHAR(10)&amp;Basic_Fundamental_Information_Concatenate("")</f>
        <v xml:space="preserve">
市值35.880783亿, 利润3.17亿; PE11.7; 平均PE14.38; 平均PEG.69, PB1.59; ROIC7.39%; ROE15.7567%; 股利率1.139%; 毛利25.21%; 净利7.8833%; 上一年度营收增-.3%, 利润增.63%; 当季营收增-.61%, 利润增-9.25%; 过往5年营收增20.87%, 利润增41.24%
Income profile:
</v>
      </c>
      <c r="D25" t="s">
        <v>126</v>
      </c>
      <c r="E25" t="s">
        <v>437</v>
      </c>
      <c r="F25">
        <v>8.7799999999999994</v>
      </c>
      <c r="G25">
        <v>1.39</v>
      </c>
      <c r="H25" t="s">
        <v>2227</v>
      </c>
      <c r="I25">
        <v>3588078300</v>
      </c>
      <c r="J25">
        <v>11.7</v>
      </c>
      <c r="K25">
        <v>1.59</v>
      </c>
      <c r="L25" t="s">
        <v>1747</v>
      </c>
      <c r="M25" t="s">
        <v>2228</v>
      </c>
      <c r="N25" t="s">
        <v>2229</v>
      </c>
      <c r="O25" t="s">
        <v>1177</v>
      </c>
      <c r="P25">
        <v>-0.6</v>
      </c>
      <c r="Q25" t="s">
        <v>2230</v>
      </c>
      <c r="R25">
        <v>96198365</v>
      </c>
      <c r="S25" s="5">
        <v>-9.4500000000000001E-2</v>
      </c>
      <c r="T25" t="s">
        <v>175</v>
      </c>
      <c r="U25">
        <v>172606180</v>
      </c>
      <c r="V25">
        <v>408664950</v>
      </c>
      <c r="W25">
        <v>3.11</v>
      </c>
      <c r="X25">
        <v>0.13</v>
      </c>
      <c r="Y25">
        <v>9.74</v>
      </c>
      <c r="Z25" t="s">
        <v>2231</v>
      </c>
      <c r="AA25" t="s">
        <v>1550</v>
      </c>
      <c r="AB25" t="s">
        <v>2232</v>
      </c>
      <c r="AC25" t="s">
        <v>2233</v>
      </c>
      <c r="AD25" t="s">
        <v>28</v>
      </c>
      <c r="AE25">
        <v>55067538</v>
      </c>
      <c r="AF25" t="s">
        <v>2234</v>
      </c>
      <c r="AG25" t="s">
        <v>2235</v>
      </c>
      <c r="AH25" t="s">
        <v>2236</v>
      </c>
      <c r="AI25" t="s">
        <v>747</v>
      </c>
      <c r="AJ25" t="s">
        <v>2237</v>
      </c>
      <c r="AK25" t="s">
        <v>28</v>
      </c>
      <c r="AL25" t="s">
        <v>2238</v>
      </c>
      <c r="AM25" t="s">
        <v>28</v>
      </c>
      <c r="AN25" t="s">
        <v>2239</v>
      </c>
      <c r="AO25" t="s">
        <v>1351</v>
      </c>
      <c r="AP25" t="s">
        <v>2240</v>
      </c>
      <c r="AQ25" t="s">
        <v>1191</v>
      </c>
      <c r="AR25" t="s">
        <v>28</v>
      </c>
      <c r="AS25" t="s">
        <v>2241</v>
      </c>
      <c r="AT25" t="s">
        <v>1913</v>
      </c>
      <c r="AU25" t="s">
        <v>2242</v>
      </c>
      <c r="AV25" t="s">
        <v>1438</v>
      </c>
      <c r="AW25" t="s">
        <v>2243</v>
      </c>
      <c r="AX25" t="s">
        <v>1320</v>
      </c>
      <c r="AY25" t="s">
        <v>963</v>
      </c>
      <c r="AZ25" t="s">
        <v>438</v>
      </c>
      <c r="BA25" t="s">
        <v>127</v>
      </c>
      <c r="BB25" t="s">
        <v>440</v>
      </c>
      <c r="BC25" t="s">
        <v>499</v>
      </c>
      <c r="BD25" t="s">
        <v>659</v>
      </c>
      <c r="BE25" t="s">
        <v>439</v>
      </c>
      <c r="BF25" t="s">
        <v>128</v>
      </c>
      <c r="BG25" t="s">
        <v>163</v>
      </c>
      <c r="BH25" t="s">
        <v>2230</v>
      </c>
      <c r="BI25" t="s">
        <v>1467</v>
      </c>
      <c r="BJ25" t="s">
        <v>1320</v>
      </c>
      <c r="BK25" t="s">
        <v>175</v>
      </c>
      <c r="BL25" t="s">
        <v>365</v>
      </c>
      <c r="BM25" t="s">
        <v>499</v>
      </c>
      <c r="BN25">
        <v>6.57</v>
      </c>
      <c r="BO25">
        <v>8.0399999999999991</v>
      </c>
      <c r="BP25">
        <v>7.56</v>
      </c>
      <c r="BQ25">
        <v>13.3</v>
      </c>
      <c r="BR25">
        <v>17.670000000000002</v>
      </c>
      <c r="BS25">
        <v>16.3</v>
      </c>
      <c r="BT25" t="s">
        <v>1245</v>
      </c>
      <c r="BU25" t="s">
        <v>1061</v>
      </c>
      <c r="BV25">
        <v>26.04</v>
      </c>
      <c r="BW25">
        <v>25.4</v>
      </c>
      <c r="BX25">
        <v>24.19</v>
      </c>
      <c r="BY25">
        <v>8.34</v>
      </c>
      <c r="BZ25">
        <v>7.71</v>
      </c>
      <c r="CA25">
        <v>7.6</v>
      </c>
      <c r="CB25">
        <v>-1.79</v>
      </c>
      <c r="CC25">
        <v>-8.5399999999999991</v>
      </c>
      <c r="CD25" t="s">
        <v>2244</v>
      </c>
      <c r="CE25" t="s">
        <v>2245</v>
      </c>
      <c r="CF25" s="10">
        <v>-6.0975609756098769E-3</v>
      </c>
      <c r="CG25" s="11">
        <v>-9.2468254716981127E-2</v>
      </c>
      <c r="CH25" s="10">
        <v>-3.034133929759264E-3</v>
      </c>
      <c r="CI25" s="10">
        <v>0.18697480857372284</v>
      </c>
      <c r="CJ25" s="10">
        <v>0.17780137062072754</v>
      </c>
      <c r="CK25" s="10">
        <v>0.28883820772171021</v>
      </c>
      <c r="CL25" s="10">
        <v>0.39276653528213501</v>
      </c>
      <c r="CM25" s="11">
        <v>6.3492064364254475E-3</v>
      </c>
      <c r="CN25" s="11">
        <v>0.23529411852359772</v>
      </c>
      <c r="CO25" s="11">
        <v>-0.32180851697921753</v>
      </c>
      <c r="CP25" s="11">
        <v>1.8702290058135986</v>
      </c>
      <c r="CQ25" s="11">
        <v>0.27184465527534485</v>
      </c>
      <c r="CR25">
        <v>14.381075350701403</v>
      </c>
      <c r="CS25">
        <v>0.68918002683303448</v>
      </c>
      <c r="CT25">
        <v>1.1389521640091116</v>
      </c>
      <c r="CU25" s="10">
        <v>0.20866935765370725</v>
      </c>
      <c r="CV25" s="11">
        <v>0.41238169381394985</v>
      </c>
      <c r="CW25">
        <v>0.06</v>
      </c>
      <c r="CX25">
        <v>16.964723386730178</v>
      </c>
      <c r="CY25">
        <v>361460553.18511808</v>
      </c>
      <c r="CZ25">
        <v>0.20866935765370725</v>
      </c>
      <c r="DA25">
        <v>5.0209015793010137</v>
      </c>
      <c r="DB25">
        <v>1221310197.6107006</v>
      </c>
      <c r="DC25">
        <v>0.19823588977102188</v>
      </c>
      <c r="DD25">
        <v>2.1529511504884717</v>
      </c>
      <c r="DE25">
        <v>2848219895.1001396</v>
      </c>
      <c r="DF25">
        <v>0.18362903473526238</v>
      </c>
      <c r="DG25">
        <v>1.0978704626228619</v>
      </c>
      <c r="DH25">
        <v>5585429710.3049746</v>
      </c>
      <c r="DI25">
        <v>0.16693548612296583</v>
      </c>
      <c r="DJ25">
        <v>0.38581333471683138</v>
      </c>
      <c r="DK25">
        <v>15893899324.399075</v>
      </c>
      <c r="DL25">
        <v>0.14606855035759506</v>
      </c>
      <c r="DM25">
        <v>317000000</v>
      </c>
      <c r="DN25">
        <v>0.20866935765370725</v>
      </c>
      <c r="DO25">
        <v>6132078300</v>
      </c>
      <c r="DP25">
        <v>552913100</v>
      </c>
      <c r="DQ25">
        <v>1432</v>
      </c>
      <c r="DR25">
        <v>-0.21476691862931713</v>
      </c>
      <c r="DS25">
        <v>-0.50484994853093101</v>
      </c>
      <c r="DT25" s="12">
        <v>5.9999999999999908E-2</v>
      </c>
      <c r="DU25">
        <v>0.56833333333333325</v>
      </c>
      <c r="DV25">
        <v>0.62833333333333319</v>
      </c>
      <c r="DW25">
        <v>-2.0853999999999999</v>
      </c>
      <c r="DX25">
        <v>0.33693856763458357</v>
      </c>
      <c r="DY25">
        <v>-2.0116945536759934</v>
      </c>
      <c r="DZ25">
        <v>544</v>
      </c>
      <c r="EA25">
        <v>-2.0104495757504082</v>
      </c>
      <c r="EB25">
        <v>2</v>
      </c>
      <c r="EC25">
        <v>1.9771208663723179E-2</v>
      </c>
      <c r="ED25">
        <v>0.14438013340757511</v>
      </c>
      <c r="EE25" s="15">
        <v>-3.0527099999999998</v>
      </c>
      <c r="EF25">
        <v>-3.07551</v>
      </c>
      <c r="EG25">
        <v>20.136938567634584</v>
      </c>
      <c r="EH25" t="s">
        <v>2246</v>
      </c>
      <c r="EI25">
        <v>0</v>
      </c>
      <c r="EJ25">
        <v>1</v>
      </c>
      <c r="EK25" s="14">
        <v>45470</v>
      </c>
      <c r="EL25" s="16">
        <v>2.59</v>
      </c>
      <c r="EM25" s="16">
        <v>-1.1000000000000001</v>
      </c>
      <c r="EN25" s="16">
        <v>3.22</v>
      </c>
      <c r="EO25" s="16">
        <v>-0.86</v>
      </c>
      <c r="EP25" s="16">
        <v>-2.2799999999999998</v>
      </c>
    </row>
    <row r="26" spans="1:146" ht="180" x14ac:dyDescent="0.25">
      <c r="B26" s="8" t="s">
        <v>1243</v>
      </c>
      <c r="C26" s="7" t="str">
        <f>"公司主营业务是为钢铁、焦化、建材等非电行业工业企业提供超低排放整体解决方案，包括除尘、脱硫、脱硝项目总承包及低温SCR脱硝催化剂。公司主要产品及服务有烟气治理工程服务、低温SCR脱硝催化剂、脱硝设备、除尘设备。"&amp;CHAR(10)&amp;Basic_Fundamental_Information_Constructure(F26)&amp;CHAR(10)&amp;Basic_Fundamental_Information_Concatenate("烟气治理工程 2.37亿 57.90% 73.94% 36.75%
烟气治理设备 8567.59万 20.93%
催化剂 8424.58万 20.58% 24.52% 34.29%")</f>
        <v>公司主营业务是为钢铁、焦化、建材等非电行业工业企业提供超低排放整体解决方案，包括除尘、脱硫、脱硝项目总承包及低温SCR脱硝催化剂。公司主要产品及服务有烟气治理工程服务、低温SCR脱硝催化剂、脱硝设备、除尘设备。
市值15.847096亿, 利润2554.37万; PE226.1; 平均PE12.34; 平均PEG5.56, PB.933; ROIC6.2567%; ROE6.5133%; 股利率.4983%; 毛利30.41%; 净利12.4533%; 上一年度营收增-17.38%, 利润增-78.71%; 当季营收增-27.97%, 利润增-68.75%; 过往5年营收增2.22%, 利润增-17.31%
Income profile:
烟气治理工程 2.37亿 57.90% 73.94% 36.75%
烟气治理设备 8567.59万 20.93%
催化剂 8424.58万 20.58% 24.52% 34.29%</v>
      </c>
      <c r="D26" t="s">
        <v>442</v>
      </c>
      <c r="E26" t="s">
        <v>443</v>
      </c>
      <c r="F26">
        <v>12.04</v>
      </c>
      <c r="G26">
        <v>1.26</v>
      </c>
      <c r="H26" t="s">
        <v>2247</v>
      </c>
      <c r="I26">
        <v>1584709600</v>
      </c>
      <c r="J26">
        <v>226.1</v>
      </c>
      <c r="K26">
        <v>0.93300000000000005</v>
      </c>
      <c r="L26" t="s">
        <v>1747</v>
      </c>
      <c r="M26" t="s">
        <v>482</v>
      </c>
      <c r="N26" t="s">
        <v>2248</v>
      </c>
      <c r="O26" t="s">
        <v>163</v>
      </c>
      <c r="P26">
        <v>-28.49</v>
      </c>
      <c r="Q26" t="s">
        <v>1878</v>
      </c>
      <c r="R26">
        <v>8424195</v>
      </c>
      <c r="S26" s="5">
        <v>-0.6875</v>
      </c>
      <c r="T26" t="s">
        <v>2249</v>
      </c>
      <c r="U26">
        <v>104887966</v>
      </c>
      <c r="V26">
        <v>131620400</v>
      </c>
      <c r="W26">
        <v>1.45</v>
      </c>
      <c r="X26">
        <v>0.04</v>
      </c>
      <c r="Y26">
        <v>9.9700000000000006</v>
      </c>
      <c r="Z26" t="s">
        <v>660</v>
      </c>
      <c r="AA26" t="s">
        <v>2250</v>
      </c>
      <c r="AB26" t="s">
        <v>2251</v>
      </c>
      <c r="AC26" t="s">
        <v>2252</v>
      </c>
      <c r="AD26" t="s">
        <v>28</v>
      </c>
      <c r="AE26">
        <v>1978852</v>
      </c>
      <c r="AF26" t="s">
        <v>2253</v>
      </c>
      <c r="AG26" t="s">
        <v>2254</v>
      </c>
      <c r="AH26" t="s">
        <v>2255</v>
      </c>
      <c r="AI26" t="s">
        <v>641</v>
      </c>
      <c r="AJ26" t="s">
        <v>2256</v>
      </c>
      <c r="AK26" t="s">
        <v>128</v>
      </c>
      <c r="AL26" t="s">
        <v>2257</v>
      </c>
      <c r="AM26" t="s">
        <v>28</v>
      </c>
      <c r="AN26" t="s">
        <v>2258</v>
      </c>
      <c r="AO26" t="s">
        <v>1267</v>
      </c>
      <c r="AP26" t="s">
        <v>314</v>
      </c>
      <c r="AQ26" t="s">
        <v>537</v>
      </c>
      <c r="AR26" t="s">
        <v>2259</v>
      </c>
      <c r="AS26" t="s">
        <v>2065</v>
      </c>
      <c r="AT26" t="s">
        <v>2260</v>
      </c>
      <c r="AU26" t="s">
        <v>2261</v>
      </c>
      <c r="AV26" t="s">
        <v>2262</v>
      </c>
      <c r="AW26" t="s">
        <v>2263</v>
      </c>
      <c r="AX26" t="s">
        <v>468</v>
      </c>
      <c r="AY26" t="s">
        <v>948</v>
      </c>
      <c r="AZ26" t="s">
        <v>444</v>
      </c>
      <c r="BA26" t="s">
        <v>447</v>
      </c>
      <c r="BB26" t="s">
        <v>448</v>
      </c>
      <c r="BC26" t="s">
        <v>100</v>
      </c>
      <c r="BD26" t="s">
        <v>511</v>
      </c>
      <c r="BE26" t="s">
        <v>215</v>
      </c>
      <c r="BF26" t="s">
        <v>450</v>
      </c>
      <c r="BG26" t="s">
        <v>101</v>
      </c>
      <c r="BH26" t="s">
        <v>1878</v>
      </c>
      <c r="BI26" t="s">
        <v>166</v>
      </c>
      <c r="BJ26" t="s">
        <v>468</v>
      </c>
      <c r="BK26" t="s">
        <v>2249</v>
      </c>
      <c r="BL26" t="s">
        <v>2264</v>
      </c>
      <c r="BM26" t="s">
        <v>100</v>
      </c>
      <c r="BN26">
        <v>1.58</v>
      </c>
      <c r="BO26">
        <v>6.39</v>
      </c>
      <c r="BP26">
        <v>10.8</v>
      </c>
      <c r="BQ26">
        <v>1.65</v>
      </c>
      <c r="BR26">
        <v>7.29</v>
      </c>
      <c r="BS26">
        <v>10.6</v>
      </c>
      <c r="BT26" t="s">
        <v>1308</v>
      </c>
      <c r="BU26" t="s">
        <v>1062</v>
      </c>
      <c r="BV26">
        <v>23.16</v>
      </c>
      <c r="BW26">
        <v>31.52</v>
      </c>
      <c r="BX26">
        <v>36.549999999999997</v>
      </c>
      <c r="BY26">
        <v>3.71</v>
      </c>
      <c r="BZ26">
        <v>14.17</v>
      </c>
      <c r="CA26">
        <v>19.48</v>
      </c>
      <c r="CB26">
        <v>-2.11</v>
      </c>
      <c r="CC26">
        <v>-18.37</v>
      </c>
      <c r="CD26" t="s">
        <v>2265</v>
      </c>
      <c r="CE26" t="s">
        <v>2266</v>
      </c>
      <c r="CF26" s="10">
        <v>-0.27972027972027974</v>
      </c>
      <c r="CG26" s="11">
        <v>-0.68750899540770527</v>
      </c>
      <c r="CH26" s="10">
        <v>-0.17377398908138275</v>
      </c>
      <c r="CI26" s="10">
        <v>5.3590568713843822E-3</v>
      </c>
      <c r="CJ26" s="10">
        <v>0.21484375</v>
      </c>
      <c r="CK26" s="10">
        <v>1.1857707053422928E-2</v>
      </c>
      <c r="CL26" s="10">
        <v>5.2704576402902603E-2</v>
      </c>
      <c r="CM26" s="11">
        <v>-0.78713583946228027</v>
      </c>
      <c r="CN26" s="11">
        <v>-0.25925925374031067</v>
      </c>
      <c r="CO26" s="11">
        <v>5.1948051899671555E-2</v>
      </c>
      <c r="CP26" s="11">
        <v>-9.4117648899555206E-2</v>
      </c>
      <c r="CQ26" s="11">
        <v>0.22302158176898956</v>
      </c>
      <c r="CR26">
        <v>12.339673402040663</v>
      </c>
      <c r="CS26">
        <v>5.5588570901079333</v>
      </c>
      <c r="CT26">
        <v>0.49833887043189368</v>
      </c>
      <c r="CU26" s="10">
        <v>2.2198220249265432E-2</v>
      </c>
      <c r="CV26" s="11">
        <v>-0.173108621686697</v>
      </c>
      <c r="CW26">
        <v>0.06</v>
      </c>
      <c r="CX26">
        <v>30.070102828056193</v>
      </c>
      <c r="CY26">
        <v>24632759.130736943</v>
      </c>
      <c r="CZ26">
        <v>2.2198220249265432E-2</v>
      </c>
      <c r="DA26">
        <v>10.411794079084666</v>
      </c>
      <c r="DB26">
        <v>71141399.299083918</v>
      </c>
      <c r="DC26">
        <v>2.1088309236802161E-2</v>
      </c>
      <c r="DD26">
        <v>5.5260872784664352</v>
      </c>
      <c r="DE26">
        <v>134038708.16270514</v>
      </c>
      <c r="DF26">
        <v>1.9534433819353582E-2</v>
      </c>
      <c r="DG26">
        <v>3.6019832495509552</v>
      </c>
      <c r="DH26">
        <v>205639379.38699225</v>
      </c>
      <c r="DI26">
        <v>1.7758576199412346E-2</v>
      </c>
      <c r="DJ26">
        <v>2.2057487736484491</v>
      </c>
      <c r="DK26">
        <v>335808687.21274143</v>
      </c>
      <c r="DL26">
        <v>1.5538754174485801E-2</v>
      </c>
      <c r="DM26">
        <v>25543700</v>
      </c>
      <c r="DN26">
        <v>2.2198220249265432E-2</v>
      </c>
      <c r="DO26">
        <v>740709600</v>
      </c>
      <c r="DP26">
        <v>1186113200</v>
      </c>
      <c r="DQ26">
        <v>1482</v>
      </c>
      <c r="DR26">
        <v>-0.30191849996954517</v>
      </c>
      <c r="DS26">
        <v>-0.51440037372100833</v>
      </c>
      <c r="DT26" s="12">
        <v>-0.47333333333333333</v>
      </c>
      <c r="DU26">
        <v>-0.82333333333333325</v>
      </c>
      <c r="DV26">
        <v>-1.2966666666666666</v>
      </c>
      <c r="DW26">
        <v>-3.0268035714285713</v>
      </c>
      <c r="DX26">
        <v>0.34659977188599922</v>
      </c>
      <c r="DY26">
        <v>-3.0033933260285872</v>
      </c>
      <c r="DZ26">
        <v>3849</v>
      </c>
      <c r="EA26">
        <v>-3.000837374583571</v>
      </c>
      <c r="EB26">
        <v>3</v>
      </c>
      <c r="EC26">
        <v>5.4983877879112963E-2</v>
      </c>
      <c r="ED26">
        <v>0.43431261415403688</v>
      </c>
      <c r="EE26" s="15">
        <v>-2.1069</v>
      </c>
      <c r="EF26">
        <v>-2.0947</v>
      </c>
      <c r="EG26">
        <v>22.126599771885999</v>
      </c>
      <c r="EH26" t="s">
        <v>1553</v>
      </c>
      <c r="EI26">
        <v>0</v>
      </c>
      <c r="EJ26">
        <v>0</v>
      </c>
      <c r="EK26" s="14">
        <v>45470</v>
      </c>
      <c r="EL26" s="16">
        <v>-0.08</v>
      </c>
      <c r="EM26" s="16">
        <v>-4.22</v>
      </c>
      <c r="EN26" s="16">
        <v>0.93</v>
      </c>
      <c r="EO26" s="16">
        <v>3.52</v>
      </c>
      <c r="EP26" s="16">
        <v>-1.22</v>
      </c>
    </row>
    <row r="27" spans="1:146" ht="108" x14ac:dyDescent="0.25">
      <c r="A27" s="7"/>
      <c r="B27" s="7"/>
      <c r="C27" s="7" t="str">
        <f>""&amp;CHAR(10)&amp;Basic_Fundamental_Information_Constructure(F27)&amp;CHAR(10)&amp;Basic_Fundamental_Information_Concatenate("")</f>
        <v xml:space="preserve">
市值75.399037亿, 利润2.44亿; PE28.46; 平均PE31.05; 平均PEG2.53, PB2.87; ROIC9.15%; ROE10.3233%; 股利率1.4169%; 毛利45.4133%; 净利25.33%; 上一年度营收增10.3%, 利润增2.09%; 当季营收增34.55%, 利润增73.33%; 过往5年营收增12.29%, 利润增4.97%
Income profile:
</v>
      </c>
      <c r="D27" t="s">
        <v>733</v>
      </c>
      <c r="E27" t="s">
        <v>734</v>
      </c>
      <c r="F27">
        <v>12.21</v>
      </c>
      <c r="G27">
        <v>-0.65</v>
      </c>
      <c r="H27" t="s">
        <v>2267</v>
      </c>
      <c r="I27">
        <v>7539903700</v>
      </c>
      <c r="J27">
        <v>28.46</v>
      </c>
      <c r="K27">
        <v>2.87</v>
      </c>
      <c r="L27" t="s">
        <v>1747</v>
      </c>
      <c r="M27" t="s">
        <v>2268</v>
      </c>
      <c r="N27" t="s">
        <v>2269</v>
      </c>
      <c r="O27" t="s">
        <v>1208</v>
      </c>
      <c r="P27">
        <v>34.6</v>
      </c>
      <c r="Q27" t="s">
        <v>2270</v>
      </c>
      <c r="R27">
        <v>50529360</v>
      </c>
      <c r="S27" s="5">
        <v>0.73329999999999995</v>
      </c>
      <c r="T27" t="s">
        <v>290</v>
      </c>
      <c r="U27">
        <v>617518730</v>
      </c>
      <c r="V27">
        <v>617518730</v>
      </c>
      <c r="W27">
        <v>1.96</v>
      </c>
      <c r="X27">
        <v>7.0000000000000007E-2</v>
      </c>
      <c r="Y27">
        <v>19.579999999999998</v>
      </c>
      <c r="Z27" t="s">
        <v>235</v>
      </c>
      <c r="AA27" t="s">
        <v>82</v>
      </c>
      <c r="AB27" t="s">
        <v>2271</v>
      </c>
      <c r="AC27" t="s">
        <v>2272</v>
      </c>
      <c r="AD27" t="s">
        <v>28</v>
      </c>
      <c r="AE27">
        <v>10693226</v>
      </c>
      <c r="AF27" t="s">
        <v>2273</v>
      </c>
      <c r="AG27" t="s">
        <v>2274</v>
      </c>
      <c r="AH27" t="s">
        <v>2275</v>
      </c>
      <c r="AI27" t="s">
        <v>2276</v>
      </c>
      <c r="AJ27" t="s">
        <v>2277</v>
      </c>
      <c r="AK27" t="s">
        <v>28</v>
      </c>
      <c r="AL27" t="s">
        <v>2278</v>
      </c>
      <c r="AM27" t="s">
        <v>28</v>
      </c>
      <c r="AN27" t="s">
        <v>124</v>
      </c>
      <c r="AO27" t="s">
        <v>716</v>
      </c>
      <c r="AP27" t="s">
        <v>28</v>
      </c>
      <c r="AQ27" t="s">
        <v>451</v>
      </c>
      <c r="AR27" t="s">
        <v>28</v>
      </c>
      <c r="AS27" t="s">
        <v>1642</v>
      </c>
      <c r="AT27" t="s">
        <v>2279</v>
      </c>
      <c r="AU27" t="s">
        <v>451</v>
      </c>
      <c r="AV27" t="s">
        <v>2280</v>
      </c>
      <c r="AW27" t="s">
        <v>1360</v>
      </c>
      <c r="AX27" t="s">
        <v>1234</v>
      </c>
      <c r="AY27" t="s">
        <v>964</v>
      </c>
      <c r="AZ27" t="s">
        <v>735</v>
      </c>
      <c r="BA27" t="s">
        <v>524</v>
      </c>
      <c r="BB27" t="s">
        <v>736</v>
      </c>
      <c r="BC27" t="s">
        <v>454</v>
      </c>
      <c r="BD27" t="s">
        <v>688</v>
      </c>
      <c r="BE27" t="s">
        <v>500</v>
      </c>
      <c r="BF27" t="s">
        <v>391</v>
      </c>
      <c r="BG27" t="s">
        <v>95</v>
      </c>
      <c r="BH27" t="s">
        <v>2270</v>
      </c>
      <c r="BI27" t="s">
        <v>592</v>
      </c>
      <c r="BJ27" t="s">
        <v>1234</v>
      </c>
      <c r="BK27" t="s">
        <v>290</v>
      </c>
      <c r="BL27" t="s">
        <v>2281</v>
      </c>
      <c r="BM27" t="s">
        <v>454</v>
      </c>
      <c r="BN27">
        <v>6.69</v>
      </c>
      <c r="BO27">
        <v>9.26</v>
      </c>
      <c r="BP27">
        <v>11.5</v>
      </c>
      <c r="BQ27">
        <v>7.45</v>
      </c>
      <c r="BR27">
        <v>10.27</v>
      </c>
      <c r="BS27">
        <v>13.25</v>
      </c>
      <c r="BT27" t="s">
        <v>2282</v>
      </c>
      <c r="BU27" t="s">
        <v>1159</v>
      </c>
      <c r="BV27">
        <v>42.8</v>
      </c>
      <c r="BW27">
        <v>45.16</v>
      </c>
      <c r="BX27">
        <v>48.28</v>
      </c>
      <c r="BY27">
        <v>23.54</v>
      </c>
      <c r="BZ27">
        <v>25.02</v>
      </c>
      <c r="CA27">
        <v>27.43</v>
      </c>
      <c r="CB27">
        <v>-2.5499999999999998</v>
      </c>
      <c r="CC27">
        <v>-14.6</v>
      </c>
      <c r="CD27" t="s">
        <v>2283</v>
      </c>
      <c r="CE27" t="s">
        <v>2284</v>
      </c>
      <c r="CF27" s="10">
        <v>0.34551495016611294</v>
      </c>
      <c r="CG27" s="11">
        <v>0.7333424809786151</v>
      </c>
      <c r="CH27" s="10">
        <v>0.10303030163049698</v>
      </c>
      <c r="CI27" s="10">
        <v>-1.3452914543449879E-2</v>
      </c>
      <c r="CJ27" s="10">
        <v>8.4278769791126251E-2</v>
      </c>
      <c r="CK27" s="10">
        <v>4.0472175925970078E-2</v>
      </c>
      <c r="CL27" s="10">
        <v>0.40023612976074219</v>
      </c>
      <c r="CM27" s="11">
        <v>2.092050202190876E-2</v>
      </c>
      <c r="CN27" s="11">
        <v>-0.12454212456941605</v>
      </c>
      <c r="CO27" s="11">
        <v>1.8656715750694275E-2</v>
      </c>
      <c r="CP27" s="11">
        <v>0.1355932205915451</v>
      </c>
      <c r="CQ27" s="11">
        <v>0.19796954095363617</v>
      </c>
      <c r="CR27">
        <v>31.049706382978723</v>
      </c>
      <c r="CS27">
        <v>2.5261553729768829</v>
      </c>
      <c r="CT27">
        <v>1.4168714168714167</v>
      </c>
      <c r="CU27" s="10">
        <v>0.12291289251297713</v>
      </c>
      <c r="CV27" s="11">
        <v>4.971957094967365E-2</v>
      </c>
      <c r="CW27">
        <v>0.06</v>
      </c>
      <c r="CX27">
        <v>23.3281525766991</v>
      </c>
      <c r="CY27">
        <v>258481835.63506266</v>
      </c>
      <c r="CZ27">
        <v>0.12291289251297713</v>
      </c>
      <c r="DA27">
        <v>7.4146692318639458</v>
      </c>
      <c r="DB27">
        <v>813239742.92568207</v>
      </c>
      <c r="DC27">
        <v>0.11676724788732827</v>
      </c>
      <c r="DD27">
        <v>3.5154168294516097</v>
      </c>
      <c r="DE27">
        <v>1715274174.4541969</v>
      </c>
      <c r="DF27">
        <v>0.10816334541141988</v>
      </c>
      <c r="DG27">
        <v>2.0221499045416333</v>
      </c>
      <c r="DH27">
        <v>2981927149.1481323</v>
      </c>
      <c r="DI27">
        <v>9.8330314010381711E-2</v>
      </c>
      <c r="DJ27">
        <v>0.94837732498025396</v>
      </c>
      <c r="DK27">
        <v>6358127236.0403051</v>
      </c>
      <c r="DL27">
        <v>8.6039024759083982E-2</v>
      </c>
      <c r="DM27">
        <v>244000000</v>
      </c>
      <c r="DN27">
        <v>0.12291289251297713</v>
      </c>
      <c r="DO27">
        <v>6029903700</v>
      </c>
      <c r="DP27">
        <v>319789800.00000024</v>
      </c>
      <c r="DQ27">
        <v>1493</v>
      </c>
      <c r="DR27">
        <v>0.22260205765313582</v>
      </c>
      <c r="DS27">
        <v>0.68362291002894149</v>
      </c>
      <c r="DT27" s="12">
        <v>-0.34</v>
      </c>
      <c r="DU27">
        <v>9.9999999999999992E-2</v>
      </c>
      <c r="DV27">
        <v>-0.24000000000000005</v>
      </c>
      <c r="DW27">
        <v>-8.1746575342465757</v>
      </c>
      <c r="DX27">
        <v>0.37995226419340655</v>
      </c>
      <c r="DY27">
        <v>-8.0192039913488493</v>
      </c>
      <c r="DZ27">
        <v>2297</v>
      </c>
      <c r="EA27">
        <v>-8.0105715905409607</v>
      </c>
      <c r="EB27">
        <v>8</v>
      </c>
      <c r="EC27">
        <v>1.5031932715627912E-2</v>
      </c>
      <c r="ED27">
        <v>0.13671326212242987</v>
      </c>
      <c r="EE27" s="15">
        <v>2.7799999999999998E-2</v>
      </c>
      <c r="EF27">
        <v>1.6E-2</v>
      </c>
      <c r="EG27">
        <v>27.109952264193407</v>
      </c>
      <c r="EH27" t="s">
        <v>1161</v>
      </c>
      <c r="EI27">
        <v>0</v>
      </c>
      <c r="EJ27">
        <v>0</v>
      </c>
      <c r="EK27" s="14">
        <v>45470</v>
      </c>
      <c r="EL27" s="16">
        <v>1.57</v>
      </c>
      <c r="EM27" s="16">
        <v>-3.4</v>
      </c>
      <c r="EN27" s="16">
        <v>0.08</v>
      </c>
      <c r="EO27" s="16">
        <v>1.52</v>
      </c>
      <c r="EP27" s="16">
        <v>-1.18</v>
      </c>
    </row>
    <row r="28" spans="1:146" ht="108" x14ac:dyDescent="0.25">
      <c r="A28" s="7"/>
      <c r="B28" s="7"/>
      <c r="C28" s="7" t="str">
        <f>""&amp;CHAR(10)&amp;Basic_Fundamental_Information_Constructure(F28)&amp;CHAR(10)&amp;Basic_Fundamental_Information_Concatenate("")</f>
        <v xml:space="preserve">
市值32.843786亿, 利润-1.60亿; PE; 平均PE-17.79; 平均PEG-6.43, PB10.28; ROIC0%; ROE-31.67%; 股利率0%; 毛利11.3767%; 净利-29.1033%; 上一年度营收增-48.86%, 利润增-92.92%; 当季营收增58.05%, 利润增216.86%; 过往5年营收增2.77%, 利润增-623.13%
Income profile:
</v>
      </c>
      <c r="D28" t="s">
        <v>137</v>
      </c>
      <c r="E28" t="s">
        <v>138</v>
      </c>
      <c r="F28">
        <v>8.52</v>
      </c>
      <c r="G28">
        <v>-1.05</v>
      </c>
      <c r="H28" t="s">
        <v>2285</v>
      </c>
      <c r="I28">
        <v>3284378600</v>
      </c>
      <c r="K28">
        <v>10.28</v>
      </c>
      <c r="L28" t="s">
        <v>1747</v>
      </c>
      <c r="M28" t="s">
        <v>473</v>
      </c>
      <c r="N28" t="s">
        <v>305</v>
      </c>
      <c r="O28" t="s">
        <v>2286</v>
      </c>
      <c r="P28">
        <v>58.05</v>
      </c>
      <c r="Q28" t="s">
        <v>465</v>
      </c>
      <c r="R28">
        <v>17444127</v>
      </c>
      <c r="S28" s="5">
        <v>2.169</v>
      </c>
      <c r="T28" t="s">
        <v>1558</v>
      </c>
      <c r="U28">
        <v>385193290</v>
      </c>
      <c r="V28">
        <v>385490440</v>
      </c>
      <c r="W28">
        <v>3.27</v>
      </c>
      <c r="X28">
        <v>0.1</v>
      </c>
      <c r="Y28">
        <v>13.64</v>
      </c>
      <c r="Z28" t="s">
        <v>660</v>
      </c>
      <c r="AA28" t="s">
        <v>2287</v>
      </c>
      <c r="AB28" t="s">
        <v>2288</v>
      </c>
      <c r="AC28" t="s">
        <v>2289</v>
      </c>
      <c r="AD28" t="s">
        <v>28</v>
      </c>
      <c r="AE28">
        <v>3808910</v>
      </c>
      <c r="AF28" t="s">
        <v>2290</v>
      </c>
      <c r="AG28" t="s">
        <v>2291</v>
      </c>
      <c r="AH28" t="s">
        <v>2292</v>
      </c>
      <c r="AI28" t="s">
        <v>2293</v>
      </c>
      <c r="AJ28" t="s">
        <v>2294</v>
      </c>
      <c r="AK28" t="s">
        <v>2295</v>
      </c>
      <c r="AL28" t="s">
        <v>2296</v>
      </c>
      <c r="AM28" t="s">
        <v>28</v>
      </c>
      <c r="AN28" t="s">
        <v>2297</v>
      </c>
      <c r="AO28" t="s">
        <v>469</v>
      </c>
      <c r="AP28" t="s">
        <v>28</v>
      </c>
      <c r="AQ28" t="s">
        <v>101</v>
      </c>
      <c r="AR28" t="s">
        <v>2298</v>
      </c>
      <c r="AS28" t="s">
        <v>2299</v>
      </c>
      <c r="AT28" t="s">
        <v>28</v>
      </c>
      <c r="AU28" t="s">
        <v>2300</v>
      </c>
      <c r="AV28" t="s">
        <v>487</v>
      </c>
      <c r="AW28" t="s">
        <v>2301</v>
      </c>
      <c r="AX28" t="s">
        <v>1217</v>
      </c>
      <c r="AY28" t="s">
        <v>725</v>
      </c>
      <c r="AZ28" t="s">
        <v>965</v>
      </c>
      <c r="BA28" t="s">
        <v>139</v>
      </c>
      <c r="BB28" t="s">
        <v>457</v>
      </c>
      <c r="BC28" t="s">
        <v>1322</v>
      </c>
      <c r="BD28" t="s">
        <v>458</v>
      </c>
      <c r="BE28" t="s">
        <v>966</v>
      </c>
      <c r="BF28" t="s">
        <v>140</v>
      </c>
      <c r="BG28" t="s">
        <v>458</v>
      </c>
      <c r="BH28" t="s">
        <v>465</v>
      </c>
      <c r="BI28" t="s">
        <v>2302</v>
      </c>
      <c r="BJ28" t="s">
        <v>1217</v>
      </c>
      <c r="BK28" t="s">
        <v>1558</v>
      </c>
      <c r="BL28" t="s">
        <v>2303</v>
      </c>
      <c r="BM28" t="s">
        <v>1322</v>
      </c>
      <c r="BN28" t="s">
        <v>28</v>
      </c>
      <c r="BO28" t="s">
        <v>28</v>
      </c>
      <c r="BP28" t="s">
        <v>28</v>
      </c>
      <c r="BQ28">
        <v>-18.940000000000001</v>
      </c>
      <c r="BR28">
        <v>-18.18</v>
      </c>
      <c r="BS28">
        <v>-57.89</v>
      </c>
      <c r="BT28" t="s">
        <v>1244</v>
      </c>
      <c r="BU28" t="s">
        <v>1153</v>
      </c>
      <c r="BV28">
        <v>7.48</v>
      </c>
      <c r="BW28">
        <v>12.35</v>
      </c>
      <c r="BX28">
        <v>14.3</v>
      </c>
      <c r="BY28">
        <v>-39.42</v>
      </c>
      <c r="BZ28">
        <v>-11</v>
      </c>
      <c r="CA28">
        <v>-36.89</v>
      </c>
      <c r="CB28">
        <v>7.17</v>
      </c>
      <c r="CC28">
        <v>-16.22</v>
      </c>
      <c r="CD28" t="s">
        <v>2304</v>
      </c>
      <c r="CE28" t="s">
        <v>977</v>
      </c>
      <c r="CF28" s="10">
        <v>0.58046694505431429</v>
      </c>
      <c r="CG28" s="11">
        <v>2.1686056420116162</v>
      </c>
      <c r="CH28" s="10">
        <v>-0.48857992887496948</v>
      </c>
      <c r="CI28" s="10">
        <v>-0.11821366101503372</v>
      </c>
      <c r="CJ28" s="10">
        <v>-0.37934783101081848</v>
      </c>
      <c r="CK28" s="10">
        <v>0.24661245942115784</v>
      </c>
      <c r="CL28" s="10">
        <v>0.87786257266998291</v>
      </c>
      <c r="CM28" s="11">
        <v>-0.9292030930519104</v>
      </c>
      <c r="CN28" s="11">
        <v>0.80667644739151001</v>
      </c>
      <c r="CO28" s="11">
        <v>-33.639957427978516</v>
      </c>
      <c r="CP28" s="11">
        <v>1.6530654430389404</v>
      </c>
      <c r="CQ28" s="11">
        <v>0.9530869722366333</v>
      </c>
      <c r="CR28">
        <v>-17.786758425555103</v>
      </c>
      <c r="CS28">
        <v>-6.428935915322894</v>
      </c>
      <c r="CT28">
        <v>0</v>
      </c>
      <c r="CU28" s="10">
        <v>2.7666722238063813E-2</v>
      </c>
      <c r="CV28" s="11">
        <v>-6.2312663316726686</v>
      </c>
      <c r="CW28">
        <v>0.06</v>
      </c>
      <c r="CX28" t="e">
        <v>#VALUE!</v>
      </c>
      <c r="CY28" t="s">
        <v>1158</v>
      </c>
      <c r="CZ28">
        <v>2.7666722238063813E-2</v>
      </c>
      <c r="DA28" t="e">
        <v>#VALUE!</v>
      </c>
      <c r="DB28" t="s">
        <v>1158</v>
      </c>
      <c r="DC28">
        <v>2.6283386126160622E-2</v>
      </c>
      <c r="DD28" t="e">
        <v>#VALUE!</v>
      </c>
      <c r="DE28" t="s">
        <v>1158</v>
      </c>
      <c r="DF28">
        <v>2.4346715569496157E-2</v>
      </c>
      <c r="DG28" t="e">
        <v>#VALUE!</v>
      </c>
      <c r="DH28" t="s">
        <v>1158</v>
      </c>
      <c r="DI28">
        <v>2.2133377790451051E-2</v>
      </c>
      <c r="DJ28" t="e">
        <v>#VALUE!</v>
      </c>
      <c r="DK28" t="s">
        <v>1158</v>
      </c>
      <c r="DL28">
        <v>1.9366705566644667E-2</v>
      </c>
      <c r="DM28">
        <v>-160000000</v>
      </c>
      <c r="DN28">
        <v>2.7666722238063813E-2</v>
      </c>
      <c r="DO28">
        <v>3759378600</v>
      </c>
      <c r="DP28">
        <v>-94019480</v>
      </c>
      <c r="DQ28">
        <v>1551</v>
      </c>
      <c r="DR28">
        <v>0.55280022281625052</v>
      </c>
      <c r="DS28">
        <v>8.3998719736842844</v>
      </c>
      <c r="DT28" s="12">
        <v>-0.42333333333333334</v>
      </c>
      <c r="DU28">
        <v>-0.93333333333333324</v>
      </c>
      <c r="DV28">
        <v>-1.3566666666666665</v>
      </c>
      <c r="DW28">
        <v>7.3065412569474137</v>
      </c>
      <c r="DX28">
        <v>0.21105812672176363</v>
      </c>
      <c r="DY28">
        <v>7.0340438977595143</v>
      </c>
      <c r="DZ28">
        <v>3900</v>
      </c>
      <c r="EA28">
        <v>7.0080612752033291</v>
      </c>
      <c r="EB28">
        <v>7</v>
      </c>
      <c r="EC28">
        <v>0.10457872833370395</v>
      </c>
      <c r="ED28">
        <v>0.94165759337637533</v>
      </c>
      <c r="EE28" s="15">
        <v>2.01261</v>
      </c>
      <c r="EF28">
        <v>2.0457100000000001</v>
      </c>
      <c r="EG28">
        <v>10.111058126721764</v>
      </c>
      <c r="EH28" t="s">
        <v>1270</v>
      </c>
      <c r="EI28">
        <v>1</v>
      </c>
      <c r="EJ28">
        <v>0</v>
      </c>
      <c r="EK28" s="14">
        <v>45470</v>
      </c>
      <c r="EL28" s="16">
        <v>-3.03</v>
      </c>
      <c r="EM28" s="16">
        <v>-4.8099999999999996</v>
      </c>
      <c r="EN28" s="16">
        <v>-0.76</v>
      </c>
      <c r="EO28" s="16">
        <v>3.82</v>
      </c>
      <c r="EP28" s="16">
        <v>-3.31</v>
      </c>
    </row>
    <row r="29" spans="1:146" ht="120" x14ac:dyDescent="0.25">
      <c r="A29" s="7" t="s">
        <v>896</v>
      </c>
      <c r="B29" s="7" t="s">
        <v>897</v>
      </c>
      <c r="C29" s="7" t="s">
        <v>898</v>
      </c>
      <c r="D29" t="s">
        <v>146</v>
      </c>
      <c r="E29" t="s">
        <v>9</v>
      </c>
      <c r="F29">
        <v>4.21</v>
      </c>
      <c r="G29">
        <v>0.96</v>
      </c>
      <c r="H29" t="s">
        <v>2305</v>
      </c>
      <c r="I29">
        <v>15257921000</v>
      </c>
      <c r="J29">
        <v>18.89</v>
      </c>
      <c r="K29">
        <v>0.55500000000000005</v>
      </c>
      <c r="L29" t="s">
        <v>1747</v>
      </c>
      <c r="M29" t="s">
        <v>2306</v>
      </c>
      <c r="N29" t="s">
        <v>2307</v>
      </c>
      <c r="O29" t="s">
        <v>2308</v>
      </c>
      <c r="P29">
        <v>6.13</v>
      </c>
      <c r="Q29" t="s">
        <v>2309</v>
      </c>
      <c r="R29">
        <v>91377740</v>
      </c>
      <c r="S29" s="5">
        <v>0.89739999999999998</v>
      </c>
      <c r="T29" t="s">
        <v>2310</v>
      </c>
      <c r="U29">
        <v>3371832100</v>
      </c>
      <c r="V29">
        <v>3624209400</v>
      </c>
      <c r="W29">
        <v>2.6</v>
      </c>
      <c r="X29">
        <v>0.02</v>
      </c>
      <c r="Y29">
        <v>5.82</v>
      </c>
      <c r="Z29" t="s">
        <v>1708</v>
      </c>
      <c r="AA29" t="s">
        <v>2311</v>
      </c>
      <c r="AB29" t="s">
        <v>2312</v>
      </c>
      <c r="AC29" t="s">
        <v>193</v>
      </c>
      <c r="AD29" t="s">
        <v>28</v>
      </c>
      <c r="AE29">
        <v>76802526</v>
      </c>
      <c r="AF29" t="s">
        <v>2313</v>
      </c>
      <c r="AG29" t="s">
        <v>2314</v>
      </c>
      <c r="AH29" t="s">
        <v>2315</v>
      </c>
      <c r="AI29" t="s">
        <v>2316</v>
      </c>
      <c r="AJ29" t="s">
        <v>2317</v>
      </c>
      <c r="AK29" t="s">
        <v>46</v>
      </c>
      <c r="AL29" t="s">
        <v>2318</v>
      </c>
      <c r="AM29" t="s">
        <v>28</v>
      </c>
      <c r="AN29" t="s">
        <v>120</v>
      </c>
      <c r="AO29" t="s">
        <v>2319</v>
      </c>
      <c r="AP29" t="s">
        <v>1714</v>
      </c>
      <c r="AQ29" t="s">
        <v>2320</v>
      </c>
      <c r="AR29" t="s">
        <v>2321</v>
      </c>
      <c r="AS29" t="s">
        <v>2322</v>
      </c>
      <c r="AT29" t="s">
        <v>2323</v>
      </c>
      <c r="AU29" t="s">
        <v>100</v>
      </c>
      <c r="AV29" t="s">
        <v>1741</v>
      </c>
      <c r="AW29" t="s">
        <v>948</v>
      </c>
      <c r="AX29" t="s">
        <v>1324</v>
      </c>
      <c r="AY29" t="s">
        <v>967</v>
      </c>
      <c r="AZ29" t="s">
        <v>460</v>
      </c>
      <c r="BA29" t="s">
        <v>147</v>
      </c>
      <c r="BB29" t="s">
        <v>463</v>
      </c>
      <c r="BC29" t="s">
        <v>2324</v>
      </c>
      <c r="BD29" t="s">
        <v>277</v>
      </c>
      <c r="BE29" t="s">
        <v>461</v>
      </c>
      <c r="BF29" t="s">
        <v>148</v>
      </c>
      <c r="BG29" t="s">
        <v>464</v>
      </c>
      <c r="BH29" t="s">
        <v>2309</v>
      </c>
      <c r="BI29" t="s">
        <v>2325</v>
      </c>
      <c r="BJ29" t="s">
        <v>1324</v>
      </c>
      <c r="BK29" t="s">
        <v>2310</v>
      </c>
      <c r="BL29" t="s">
        <v>2326</v>
      </c>
      <c r="BM29" t="s">
        <v>2324</v>
      </c>
      <c r="BN29">
        <v>1.1299999999999999</v>
      </c>
      <c r="BO29">
        <v>1.74</v>
      </c>
      <c r="BP29">
        <v>1.86</v>
      </c>
      <c r="BQ29">
        <v>1.47</v>
      </c>
      <c r="BR29">
        <v>2.77</v>
      </c>
      <c r="BS29">
        <v>2.78</v>
      </c>
      <c r="BT29" t="s">
        <v>2327</v>
      </c>
      <c r="BU29" t="s">
        <v>1159</v>
      </c>
      <c r="BV29">
        <v>28.88</v>
      </c>
      <c r="BW29">
        <v>29.84</v>
      </c>
      <c r="BX29">
        <v>29.18</v>
      </c>
      <c r="BY29">
        <v>9.11</v>
      </c>
      <c r="BZ29">
        <v>9.07</v>
      </c>
      <c r="CA29">
        <v>6.95</v>
      </c>
      <c r="CB29">
        <v>0.48</v>
      </c>
      <c r="CC29">
        <v>-10.23</v>
      </c>
      <c r="CD29" t="s">
        <v>2328</v>
      </c>
      <c r="CE29" t="s">
        <v>251</v>
      </c>
      <c r="CF29" s="10">
        <v>6.1188811188811192E-2</v>
      </c>
      <c r="CG29" s="11">
        <v>0.89740984069502816</v>
      </c>
      <c r="CH29" s="10">
        <v>3.0264679342508316E-2</v>
      </c>
      <c r="CI29" s="10">
        <v>-8.9957043528556824E-2</v>
      </c>
      <c r="CJ29" s="10">
        <v>-7.174068596214056E-3</v>
      </c>
      <c r="CK29" s="10">
        <v>-0.21517746150493622</v>
      </c>
      <c r="CL29" s="10">
        <v>6.3986755907535553E-2</v>
      </c>
      <c r="CM29" s="11">
        <v>7.7464789152145386E-2</v>
      </c>
      <c r="CN29" s="11">
        <v>0.21575342118740082</v>
      </c>
      <c r="CO29" s="11">
        <v>-0.48906388878822327</v>
      </c>
      <c r="CP29" s="11">
        <v>-0.17233879864215851</v>
      </c>
      <c r="CQ29" s="11">
        <v>0.1092369556427002</v>
      </c>
      <c r="CR29">
        <v>15.708223404255319</v>
      </c>
      <c r="CS29">
        <v>3.6018594761400213</v>
      </c>
      <c r="CT29">
        <v>1.0213776722090262</v>
      </c>
      <c r="CU29" s="10">
        <v>-4.3611427675932644E-2</v>
      </c>
      <c r="CV29" s="11">
        <v>-5.1789504289627072E-2</v>
      </c>
      <c r="CW29">
        <v>0.06</v>
      </c>
      <c r="CX29">
        <v>40.977674509803919</v>
      </c>
      <c r="CY29" t="s">
        <v>2329</v>
      </c>
      <c r="CZ29">
        <v>-4.3611427675932644E-2</v>
      </c>
      <c r="DA29">
        <v>13.659224836601307</v>
      </c>
      <c r="DB29" t="s">
        <v>2330</v>
      </c>
      <c r="DC29">
        <v>-4.1430856292136012E-2</v>
      </c>
      <c r="DD29">
        <v>6.8296124183006537</v>
      </c>
      <c r="DE29" t="s">
        <v>2331</v>
      </c>
      <c r="DF29">
        <v>-3.8378056354820729E-2</v>
      </c>
      <c r="DG29">
        <v>4.0977674509803919</v>
      </c>
      <c r="DH29" t="s">
        <v>2332</v>
      </c>
      <c r="DI29">
        <v>-3.4889142140746114E-2</v>
      </c>
      <c r="DJ29">
        <v>2.0488837254901959</v>
      </c>
      <c r="DK29" t="s">
        <v>2333</v>
      </c>
      <c r="DL29">
        <v>-3.0527999373152849E-2</v>
      </c>
      <c r="DM29">
        <v>765000000</v>
      </c>
      <c r="DN29">
        <v>-4.3611427675932644E-2</v>
      </c>
      <c r="DO29">
        <v>31347921000</v>
      </c>
      <c r="DP29">
        <v>-2017349000</v>
      </c>
      <c r="DQ29">
        <v>1563</v>
      </c>
      <c r="DR29">
        <v>0.10480023886474384</v>
      </c>
      <c r="DS29">
        <v>0.94919934498465519</v>
      </c>
      <c r="DT29" s="12">
        <v>-0.55666666666666664</v>
      </c>
      <c r="DU29">
        <v>-9.9999999999999992E-2</v>
      </c>
      <c r="DV29">
        <v>-0.65666666666666662</v>
      </c>
      <c r="DW29">
        <v>-2.1023000000000001</v>
      </c>
      <c r="DX29">
        <v>0.37993293413173657</v>
      </c>
      <c r="DY29">
        <v>-2.0173841391616767</v>
      </c>
      <c r="DZ29">
        <v>3124</v>
      </c>
      <c r="EA29">
        <v>-2.0067563405822093</v>
      </c>
      <c r="EB29">
        <v>2</v>
      </c>
      <c r="EC29">
        <v>2.3491026760208724E-2</v>
      </c>
      <c r="ED29">
        <v>0.1382370455746845</v>
      </c>
      <c r="EE29" s="15">
        <v>1.08701</v>
      </c>
      <c r="EF29">
        <v>1.1080099999999999</v>
      </c>
      <c r="EG29">
        <v>21.169932934131737</v>
      </c>
      <c r="EH29" t="s">
        <v>1160</v>
      </c>
      <c r="EI29">
        <v>0</v>
      </c>
      <c r="EJ29">
        <v>0</v>
      </c>
      <c r="EK29" s="14">
        <v>45470</v>
      </c>
      <c r="EL29" s="16">
        <v>0.47</v>
      </c>
      <c r="EM29" s="16">
        <v>-2.31</v>
      </c>
      <c r="EN29" s="16">
        <v>-0.95</v>
      </c>
      <c r="EO29" s="16">
        <v>2.39</v>
      </c>
      <c r="EP29" s="16">
        <v>-2.1</v>
      </c>
    </row>
    <row r="30" spans="1:146" ht="108" x14ac:dyDescent="0.25">
      <c r="C30" s="7" t="str">
        <f>""&amp;CHAR(10)&amp;Basic_Fundamental_Information_Constructure(F30)&amp;CHAR(10)&amp;Basic_Fundamental_Information_Concatenate("")</f>
        <v xml:space="preserve">
市值209.61747亿, 利润-1.51亿; PE; 平均PE-156.25; 平均PEG-13.93, PB1.6; ROIC0%; ROE-13.27%; 股利率0%; 毛利22.2267%; 净利-11.0167%; 上一年度营收增-25.22%, 利润增36.02%; 当季营收增-6.6%, 利润增-4.9%; 过往5年营收增-11.22%, 利润增-307.38%
Income profile:
</v>
      </c>
      <c r="D30" t="s">
        <v>1326</v>
      </c>
      <c r="E30" t="s">
        <v>1598</v>
      </c>
      <c r="F30">
        <v>6.73</v>
      </c>
      <c r="G30">
        <v>-1.32</v>
      </c>
      <c r="H30" t="s">
        <v>1599</v>
      </c>
      <c r="I30">
        <v>20961747000</v>
      </c>
      <c r="K30">
        <v>1.6</v>
      </c>
      <c r="L30" t="s">
        <v>679</v>
      </c>
      <c r="M30" t="s">
        <v>1600</v>
      </c>
      <c r="N30" t="s">
        <v>1601</v>
      </c>
      <c r="O30" t="s">
        <v>1602</v>
      </c>
      <c r="P30" s="5">
        <v>0.72</v>
      </c>
      <c r="Q30" t="s">
        <v>1327</v>
      </c>
      <c r="R30">
        <v>686572130</v>
      </c>
      <c r="S30">
        <v>0.13250000000000001</v>
      </c>
      <c r="T30" t="s">
        <v>1233</v>
      </c>
      <c r="U30">
        <v>423395430</v>
      </c>
      <c r="V30">
        <v>2606198000</v>
      </c>
      <c r="W30">
        <v>2.92</v>
      </c>
      <c r="X30">
        <v>0.28000000000000003</v>
      </c>
      <c r="Y30">
        <v>15.38</v>
      </c>
      <c r="Z30" t="s">
        <v>1603</v>
      </c>
      <c r="AA30" t="s">
        <v>1604</v>
      </c>
      <c r="AB30" t="s">
        <v>1605</v>
      </c>
      <c r="AC30" t="s">
        <v>1267</v>
      </c>
      <c r="AD30" t="s">
        <v>1606</v>
      </c>
      <c r="AE30">
        <v>388590100</v>
      </c>
      <c r="AF30" t="s">
        <v>1607</v>
      </c>
      <c r="AG30" t="s">
        <v>1608</v>
      </c>
      <c r="AH30" t="s">
        <v>1609</v>
      </c>
      <c r="AI30" t="s">
        <v>1610</v>
      </c>
      <c r="AJ30" t="s">
        <v>1611</v>
      </c>
      <c r="AK30" t="s">
        <v>1612</v>
      </c>
      <c r="AL30" t="s">
        <v>1613</v>
      </c>
      <c r="AM30" t="s">
        <v>28</v>
      </c>
      <c r="AN30" t="s">
        <v>374</v>
      </c>
      <c r="AO30" t="s">
        <v>486</v>
      </c>
      <c r="AP30" t="s">
        <v>1614</v>
      </c>
      <c r="AQ30" t="s">
        <v>1615</v>
      </c>
      <c r="AR30" t="s">
        <v>28</v>
      </c>
      <c r="AS30" t="s">
        <v>1616</v>
      </c>
      <c r="AT30" t="s">
        <v>1617</v>
      </c>
      <c r="AU30" t="s">
        <v>105</v>
      </c>
      <c r="AV30" t="s">
        <v>1618</v>
      </c>
      <c r="AW30" t="s">
        <v>1619</v>
      </c>
      <c r="AX30" t="s">
        <v>631</v>
      </c>
      <c r="AY30" t="s">
        <v>1328</v>
      </c>
      <c r="AZ30" t="s">
        <v>1329</v>
      </c>
      <c r="BA30" t="s">
        <v>1330</v>
      </c>
      <c r="BB30" t="s">
        <v>61</v>
      </c>
      <c r="BC30" t="s">
        <v>1331</v>
      </c>
      <c r="BD30" t="s">
        <v>1332</v>
      </c>
      <c r="BE30" t="s">
        <v>1333</v>
      </c>
      <c r="BF30" t="s">
        <v>1334</v>
      </c>
      <c r="BG30" t="s">
        <v>1335</v>
      </c>
      <c r="BH30" t="s">
        <v>1620</v>
      </c>
      <c r="BI30" t="s">
        <v>1621</v>
      </c>
      <c r="BJ30" t="s">
        <v>1622</v>
      </c>
      <c r="BK30" t="s">
        <v>131</v>
      </c>
      <c r="BL30" t="s">
        <v>1595</v>
      </c>
      <c r="BM30" t="s">
        <v>539</v>
      </c>
      <c r="BN30" t="s">
        <v>28</v>
      </c>
      <c r="BO30" t="s">
        <v>28</v>
      </c>
      <c r="BP30" t="s">
        <v>28</v>
      </c>
      <c r="BQ30">
        <v>-0.01</v>
      </c>
      <c r="BR30">
        <v>-14.8</v>
      </c>
      <c r="BS30">
        <v>-25</v>
      </c>
      <c r="BT30" t="s">
        <v>1244</v>
      </c>
      <c r="BU30" t="s">
        <v>1061</v>
      </c>
      <c r="BV30">
        <v>34.03</v>
      </c>
      <c r="BW30">
        <v>13.49</v>
      </c>
      <c r="BX30">
        <v>19.16</v>
      </c>
      <c r="BY30">
        <v>15.29</v>
      </c>
      <c r="BZ30">
        <v>-20.61</v>
      </c>
      <c r="CA30">
        <v>-27.73</v>
      </c>
      <c r="CB30">
        <v>3.54</v>
      </c>
      <c r="CC30" s="10">
        <v>1.51</v>
      </c>
      <c r="CD30" s="11" t="s">
        <v>1623</v>
      </c>
      <c r="CE30" s="10" t="s">
        <v>88</v>
      </c>
      <c r="CF30" s="10">
        <v>-6.6037735849056603E-2</v>
      </c>
      <c r="CG30" s="10">
        <v>-4.904665236051528E-2</v>
      </c>
      <c r="CH30" s="10">
        <v>-0.25220459699630737</v>
      </c>
      <c r="CI30" s="10">
        <v>-0.39808917045593262</v>
      </c>
      <c r="CJ30" s="11">
        <v>-0.25386136770248413</v>
      </c>
      <c r="CK30" s="11">
        <v>0.38280391693115234</v>
      </c>
      <c r="CL30" s="11">
        <v>-3.9452951401472092E-2</v>
      </c>
      <c r="CM30" s="11">
        <v>0.36016950011253357</v>
      </c>
      <c r="CN30" s="11">
        <v>0.51836735010147095</v>
      </c>
      <c r="CO30">
        <v>-13.509705543518066</v>
      </c>
      <c r="CP30">
        <v>-2.1309952735900879</v>
      </c>
      <c r="CQ30">
        <v>-0.60700643062591553</v>
      </c>
      <c r="CR30" s="10">
        <v>-156.24966705295151</v>
      </c>
      <c r="CS30" s="11">
        <v>-13.930858177946567</v>
      </c>
      <c r="CT30">
        <v>0</v>
      </c>
      <c r="CU30">
        <v>-0.11216083392500878</v>
      </c>
      <c r="CV30">
        <v>-3.0738340795040129</v>
      </c>
      <c r="CW30">
        <v>0.06</v>
      </c>
      <c r="CX30" t="e">
        <v>#VALUE!</v>
      </c>
      <c r="CY30" t="s">
        <v>1158</v>
      </c>
      <c r="CZ30">
        <v>-0.11216083392500878</v>
      </c>
      <c r="DA30" t="e">
        <v>#VALUE!</v>
      </c>
      <c r="DB30" t="s">
        <v>1158</v>
      </c>
      <c r="DC30">
        <v>-0.10655279222875834</v>
      </c>
      <c r="DD30" t="e">
        <v>#VALUE!</v>
      </c>
      <c r="DE30" t="s">
        <v>1158</v>
      </c>
      <c r="DF30">
        <v>-9.870153385400772E-2</v>
      </c>
      <c r="DG30" t="e">
        <v>#VALUE!</v>
      </c>
      <c r="DH30" t="s">
        <v>1158</v>
      </c>
      <c r="DI30">
        <v>-8.9728667140007032E-2</v>
      </c>
      <c r="DJ30" t="e">
        <v>#VALUE!</v>
      </c>
      <c r="DK30" t="s">
        <v>1158</v>
      </c>
      <c r="DL30">
        <v>-7.8512583747506137E-2</v>
      </c>
      <c r="DM30">
        <v>-151000000</v>
      </c>
      <c r="DN30">
        <v>-0.11216083392500878</v>
      </c>
      <c r="DO30">
        <v>30691747000</v>
      </c>
      <c r="DP30">
        <v>1384482900</v>
      </c>
      <c r="DQ30" s="12">
        <v>1637</v>
      </c>
      <c r="DR30">
        <v>4.6123098075952176E-2</v>
      </c>
      <c r="DS30">
        <v>3.0247874271434978</v>
      </c>
      <c r="DT30">
        <v>-0.77333333333333332</v>
      </c>
      <c r="DU30">
        <v>-1.45</v>
      </c>
      <c r="DV30">
        <v>-2.2233333333333332</v>
      </c>
      <c r="DW30">
        <v>4.4265536723163841</v>
      </c>
      <c r="DX30">
        <v>0.30997950310559147</v>
      </c>
      <c r="DY30">
        <v>4.0554432343755487</v>
      </c>
      <c r="DZ30">
        <v>4608</v>
      </c>
      <c r="EA30">
        <v>4.0055053094336941</v>
      </c>
      <c r="EB30" s="15">
        <v>4</v>
      </c>
      <c r="EC30" s="15">
        <v>8.0295894632717857E-3</v>
      </c>
      <c r="ED30">
        <v>6.1775812889120471E-2</v>
      </c>
      <c r="EE30">
        <v>2.1280999999999999</v>
      </c>
      <c r="EF30">
        <v>2.1149</v>
      </c>
      <c r="EG30">
        <v>18.129979503105591</v>
      </c>
      <c r="EH30" s="14" t="s">
        <v>1155</v>
      </c>
      <c r="EI30">
        <v>0</v>
      </c>
      <c r="EJ30">
        <v>0</v>
      </c>
      <c r="EK30">
        <v>45385</v>
      </c>
      <c r="EL30">
        <v>2.46</v>
      </c>
      <c r="EM30">
        <v>1.35</v>
      </c>
      <c r="EN30" s="16">
        <v>1.04</v>
      </c>
      <c r="EO30" s="16">
        <v>0</v>
      </c>
      <c r="EP30" s="16">
        <v>-1.32</v>
      </c>
    </row>
    <row r="31" spans="1:146" ht="108" x14ac:dyDescent="0.25">
      <c r="A31" s="7"/>
      <c r="B31" s="7"/>
      <c r="C31" s="7" t="str">
        <f>""&amp;CHAR(10)&amp;Basic_Fundamental_Information_Constructure(F31)&amp;CHAR(10)&amp;Basic_Fundamental_Information_Concatenate("")</f>
        <v xml:space="preserve">
市值11.97504亿, 利润-6999.78万; PE; 平均PE-7.8; 平均PEG-.73, PB3.88; ROIC0%; ROE-23.0133%; 股利率0%; 毛利23.3867%; 净利-77.33%; 上一年度营收增8.56%, 利润增19.35%; 当季营收增-45.33%, 利润增-2497.35%; 过往5年营收增-10.62%, 利润增-376.47%
Income profile:
</v>
      </c>
      <c r="D31" t="s">
        <v>159</v>
      </c>
      <c r="E31" t="s">
        <v>1212</v>
      </c>
      <c r="F31">
        <v>1.68</v>
      </c>
      <c r="G31">
        <v>9.8000000000000007</v>
      </c>
      <c r="H31" t="s">
        <v>2334</v>
      </c>
      <c r="I31">
        <v>1197504000</v>
      </c>
      <c r="K31">
        <v>3.88</v>
      </c>
      <c r="L31" t="s">
        <v>1747</v>
      </c>
      <c r="M31" t="s">
        <v>1548</v>
      </c>
      <c r="N31" t="s">
        <v>505</v>
      </c>
      <c r="O31" t="s">
        <v>2335</v>
      </c>
      <c r="P31">
        <v>-45.33</v>
      </c>
      <c r="Q31" t="s">
        <v>158</v>
      </c>
      <c r="R31">
        <v>-16225617</v>
      </c>
      <c r="S31" s="5">
        <v>-24.97</v>
      </c>
      <c r="T31" t="s">
        <v>2336</v>
      </c>
      <c r="U31">
        <v>712461080</v>
      </c>
      <c r="V31">
        <v>712800000</v>
      </c>
      <c r="W31">
        <v>3.01</v>
      </c>
      <c r="X31">
        <v>0.04</v>
      </c>
      <c r="Y31">
        <v>-51.52</v>
      </c>
      <c r="Z31" t="s">
        <v>2337</v>
      </c>
      <c r="AA31" t="s">
        <v>2338</v>
      </c>
      <c r="AB31" t="s">
        <v>2339</v>
      </c>
      <c r="AC31" t="s">
        <v>2340</v>
      </c>
      <c r="AD31" t="s">
        <v>28</v>
      </c>
      <c r="AE31">
        <v>1142830</v>
      </c>
      <c r="AF31" t="s">
        <v>2341</v>
      </c>
      <c r="AG31" t="s">
        <v>2342</v>
      </c>
      <c r="AH31" t="s">
        <v>2343</v>
      </c>
      <c r="AI31" t="s">
        <v>2344</v>
      </c>
      <c r="AJ31" t="s">
        <v>2345</v>
      </c>
      <c r="AK31" t="s">
        <v>2346</v>
      </c>
      <c r="AL31" t="s">
        <v>2347</v>
      </c>
      <c r="AM31" t="s">
        <v>28</v>
      </c>
      <c r="AN31">
        <v>0</v>
      </c>
      <c r="AO31" t="s">
        <v>2348</v>
      </c>
      <c r="AP31" t="s">
        <v>28</v>
      </c>
      <c r="AQ31" t="s">
        <v>511</v>
      </c>
      <c r="AR31" t="s">
        <v>2349</v>
      </c>
      <c r="AS31" t="s">
        <v>1664</v>
      </c>
      <c r="AT31" t="s">
        <v>2350</v>
      </c>
      <c r="AU31" t="s">
        <v>2351</v>
      </c>
      <c r="AV31" t="s">
        <v>2352</v>
      </c>
      <c r="AW31" t="s">
        <v>2353</v>
      </c>
      <c r="AX31" t="s">
        <v>515</v>
      </c>
      <c r="AY31" t="s">
        <v>217</v>
      </c>
      <c r="AZ31" t="s">
        <v>465</v>
      </c>
      <c r="BA31" t="s">
        <v>161</v>
      </c>
      <c r="BB31" t="s">
        <v>135</v>
      </c>
      <c r="BC31" t="s">
        <v>1336</v>
      </c>
      <c r="BD31" t="s">
        <v>728</v>
      </c>
      <c r="BE31" t="s">
        <v>472</v>
      </c>
      <c r="BF31" t="s">
        <v>474</v>
      </c>
      <c r="BG31" t="s">
        <v>475</v>
      </c>
      <c r="BH31" t="s">
        <v>158</v>
      </c>
      <c r="BI31" t="s">
        <v>2354</v>
      </c>
      <c r="BJ31" t="s">
        <v>515</v>
      </c>
      <c r="BK31" t="s">
        <v>2336</v>
      </c>
      <c r="BL31" t="s">
        <v>2355</v>
      </c>
      <c r="BM31" t="s">
        <v>1336</v>
      </c>
      <c r="BN31" t="s">
        <v>28</v>
      </c>
      <c r="BO31" t="s">
        <v>28</v>
      </c>
      <c r="BP31" t="s">
        <v>28</v>
      </c>
      <c r="BQ31">
        <v>-6.36</v>
      </c>
      <c r="BR31">
        <v>-19.45</v>
      </c>
      <c r="BS31">
        <v>-43.23</v>
      </c>
      <c r="BT31" t="s">
        <v>1244</v>
      </c>
      <c r="BU31" t="s">
        <v>1153</v>
      </c>
      <c r="BV31">
        <v>17.149999999999999</v>
      </c>
      <c r="BW31">
        <v>28.22</v>
      </c>
      <c r="BX31">
        <v>24.79</v>
      </c>
      <c r="BY31">
        <v>-34.43</v>
      </c>
      <c r="BZ31">
        <v>-46.47</v>
      </c>
      <c r="CA31">
        <v>-151.09</v>
      </c>
      <c r="CB31">
        <v>9.8000000000000007</v>
      </c>
      <c r="CC31">
        <v>-24.66</v>
      </c>
      <c r="CD31" t="s">
        <v>113</v>
      </c>
      <c r="CE31" t="s">
        <v>1229</v>
      </c>
      <c r="CF31" s="10">
        <v>-0.45325691983701077</v>
      </c>
      <c r="CG31" s="11">
        <v>-24.973454458139908</v>
      </c>
      <c r="CH31" s="10">
        <v>8.5561498999595642E-2</v>
      </c>
      <c r="CI31" s="10">
        <v>6.25E-2</v>
      </c>
      <c r="CJ31" s="10">
        <v>-0.65825241804122925</v>
      </c>
      <c r="CK31" s="10">
        <v>3.8986355066299438E-3</v>
      </c>
      <c r="CL31" s="10">
        <v>-2.471482940018177E-2</v>
      </c>
      <c r="CM31" s="11">
        <v>0.19352824985980988</v>
      </c>
      <c r="CN31" s="11">
        <v>0.67492473125457764</v>
      </c>
      <c r="CO31" s="11">
        <v>-21.551898956298828</v>
      </c>
      <c r="CP31" s="11">
        <v>0.84656387567520142</v>
      </c>
      <c r="CQ31" s="11">
        <v>1.0136083364486694</v>
      </c>
      <c r="CR31">
        <v>-7.8033124380474987</v>
      </c>
      <c r="CS31">
        <v>-0.73476534004545135</v>
      </c>
      <c r="CT31">
        <v>0</v>
      </c>
      <c r="CU31" s="10">
        <v>-0.10620142258703709</v>
      </c>
      <c r="CV31" s="11">
        <v>-3.7646547526121141</v>
      </c>
      <c r="CW31">
        <v>0.06</v>
      </c>
      <c r="CX31" t="e">
        <v>#VALUE!</v>
      </c>
      <c r="CY31" t="s">
        <v>1157</v>
      </c>
      <c r="CZ31">
        <v>-0.10620142258703709</v>
      </c>
      <c r="DA31" t="e">
        <v>#VALUE!</v>
      </c>
      <c r="DB31" t="s">
        <v>1158</v>
      </c>
      <c r="DC31">
        <v>-0.10089135145768523</v>
      </c>
      <c r="DD31" t="e">
        <v>#VALUE!</v>
      </c>
      <c r="DE31" t="s">
        <v>1158</v>
      </c>
      <c r="DF31">
        <v>-9.3457251876592637E-2</v>
      </c>
      <c r="DG31" t="e">
        <v>#VALUE!</v>
      </c>
      <c r="DH31" t="s">
        <v>1158</v>
      </c>
      <c r="DI31">
        <v>-8.4961138069629683E-2</v>
      </c>
      <c r="DJ31" t="e">
        <v>#VALUE!</v>
      </c>
      <c r="DK31" t="s">
        <v>1158</v>
      </c>
      <c r="DL31">
        <v>-7.4340995810925958E-2</v>
      </c>
      <c r="DM31">
        <v>-69997800</v>
      </c>
      <c r="DN31">
        <v>-0.10620142258703709</v>
      </c>
      <c r="DO31">
        <v>1363504000</v>
      </c>
      <c r="DP31">
        <v>-62455030</v>
      </c>
      <c r="DQ31">
        <v>1642</v>
      </c>
      <c r="DR31">
        <v>-0.3470554972499737</v>
      </c>
      <c r="DS31">
        <v>-21.208799705527795</v>
      </c>
      <c r="DT31" s="12">
        <v>-0.70666666666666667</v>
      </c>
      <c r="DU31">
        <v>-1.5149999999999999</v>
      </c>
      <c r="DV31">
        <v>-2.2216666666666667</v>
      </c>
      <c r="DW31">
        <v>7.2843876958792801</v>
      </c>
      <c r="DX31">
        <v>0.63324796274737816</v>
      </c>
      <c r="DY31">
        <v>7.0549573428590922</v>
      </c>
      <c r="DZ31">
        <v>4541</v>
      </c>
      <c r="EA31">
        <v>7.0061195162596519</v>
      </c>
      <c r="EB31">
        <v>7</v>
      </c>
      <c r="EC31">
        <v>0.23288439955106621</v>
      </c>
      <c r="ED31">
        <v>1.2051066217732884</v>
      </c>
      <c r="EE31" s="15">
        <v>-4.0191100000000004</v>
      </c>
      <c r="EF31">
        <v>-4.0256100000000004</v>
      </c>
      <c r="EG31">
        <v>44.193247962747378</v>
      </c>
      <c r="EH31" t="s">
        <v>1740</v>
      </c>
      <c r="EI31">
        <v>1</v>
      </c>
      <c r="EJ31">
        <v>0</v>
      </c>
      <c r="EK31" s="14">
        <v>45470</v>
      </c>
      <c r="EL31" s="16">
        <v>-0.65</v>
      </c>
      <c r="EM31" s="16">
        <v>-4.55</v>
      </c>
      <c r="EN31" s="16">
        <v>0</v>
      </c>
      <c r="EO31" s="16">
        <v>4.08</v>
      </c>
      <c r="EP31" s="16">
        <v>-0.65</v>
      </c>
    </row>
    <row r="32" spans="1:146" ht="108" x14ac:dyDescent="0.25">
      <c r="A32" s="7"/>
      <c r="B32" s="7"/>
      <c r="C32" s="7" t="str">
        <f>""&amp;CHAR(10)&amp;Basic_Fundamental_Information_Constructure(F32)&amp;CHAR(10)&amp;Basic_Fundamental_Information_Concatenate("")</f>
        <v xml:space="preserve">
市值29.978253亿, 利润8581.57万; PE33.98; 平均PE25.3; 平均PEG4.96, PB1.61; ROIC4.8333%; ROE5.4167%; 股利率.6772%; 毛利25.6133%; 净利9.0167%; 上一年度营收增-1.66%, 利润增12.55%; 当季营收增-22.73%, 利润增8.23%; 过往5年营收增5.1%, 利润增-2.95%
Income profile:
</v>
      </c>
      <c r="D32" t="s">
        <v>165</v>
      </c>
      <c r="E32" t="s">
        <v>13</v>
      </c>
      <c r="F32">
        <v>4.43</v>
      </c>
      <c r="G32">
        <v>1.84</v>
      </c>
      <c r="H32" t="s">
        <v>2356</v>
      </c>
      <c r="I32">
        <v>2997825300</v>
      </c>
      <c r="J32">
        <v>33.979999999999997</v>
      </c>
      <c r="K32">
        <v>1.61</v>
      </c>
      <c r="L32" t="s">
        <v>1747</v>
      </c>
      <c r="M32" t="s">
        <v>2357</v>
      </c>
      <c r="N32" t="s">
        <v>2358</v>
      </c>
      <c r="O32" t="s">
        <v>514</v>
      </c>
      <c r="P32">
        <v>-22.95</v>
      </c>
      <c r="Q32" t="s">
        <v>2359</v>
      </c>
      <c r="R32">
        <v>31680517</v>
      </c>
      <c r="S32" s="5">
        <v>8.2299999999999998E-2</v>
      </c>
      <c r="T32" t="s">
        <v>2360</v>
      </c>
      <c r="U32">
        <v>523512390</v>
      </c>
      <c r="V32">
        <v>676710000</v>
      </c>
      <c r="W32">
        <v>1.48</v>
      </c>
      <c r="X32">
        <v>7.0000000000000007E-2</v>
      </c>
      <c r="Y32">
        <v>16.68</v>
      </c>
      <c r="Z32" t="s">
        <v>145</v>
      </c>
      <c r="AA32" t="s">
        <v>106</v>
      </c>
      <c r="AB32" t="s">
        <v>2361</v>
      </c>
      <c r="AC32" t="s">
        <v>2362</v>
      </c>
      <c r="AD32" t="s">
        <v>28</v>
      </c>
      <c r="AE32">
        <v>474268</v>
      </c>
      <c r="AF32" t="s">
        <v>2363</v>
      </c>
      <c r="AG32">
        <v>3883.91</v>
      </c>
      <c r="AH32" t="s">
        <v>2364</v>
      </c>
      <c r="AI32" t="s">
        <v>1468</v>
      </c>
      <c r="AJ32" t="s">
        <v>2365</v>
      </c>
      <c r="AK32" t="s">
        <v>2366</v>
      </c>
      <c r="AL32" t="s">
        <v>2367</v>
      </c>
      <c r="AM32" t="s">
        <v>28</v>
      </c>
      <c r="AN32" t="s">
        <v>2368</v>
      </c>
      <c r="AO32" t="s">
        <v>1477</v>
      </c>
      <c r="AP32" t="s">
        <v>2369</v>
      </c>
      <c r="AQ32" t="s">
        <v>1190</v>
      </c>
      <c r="AR32" t="s">
        <v>2185</v>
      </c>
      <c r="AS32" t="s">
        <v>448</v>
      </c>
      <c r="AT32" t="s">
        <v>114</v>
      </c>
      <c r="AU32" t="s">
        <v>2370</v>
      </c>
      <c r="AV32" t="s">
        <v>196</v>
      </c>
      <c r="AW32" t="s">
        <v>2371</v>
      </c>
      <c r="AX32" t="s">
        <v>879</v>
      </c>
      <c r="AY32" t="s">
        <v>696</v>
      </c>
      <c r="AZ32" t="s">
        <v>476</v>
      </c>
      <c r="BA32" t="s">
        <v>160</v>
      </c>
      <c r="BB32" t="s">
        <v>246</v>
      </c>
      <c r="BC32" t="s">
        <v>1337</v>
      </c>
      <c r="BD32" t="s">
        <v>94</v>
      </c>
      <c r="BE32" t="s">
        <v>145</v>
      </c>
      <c r="BF32" t="s">
        <v>166</v>
      </c>
      <c r="BG32" t="s">
        <v>254</v>
      </c>
      <c r="BH32" t="s">
        <v>2359</v>
      </c>
      <c r="BI32" t="s">
        <v>300</v>
      </c>
      <c r="BJ32" t="s">
        <v>879</v>
      </c>
      <c r="BK32" t="s">
        <v>2360</v>
      </c>
      <c r="BL32" t="s">
        <v>2372</v>
      </c>
      <c r="BM32" t="s">
        <v>1337</v>
      </c>
      <c r="BN32">
        <v>4.8499999999999996</v>
      </c>
      <c r="BO32">
        <v>3.81</v>
      </c>
      <c r="BP32">
        <v>5.84</v>
      </c>
      <c r="BQ32">
        <v>5.58</v>
      </c>
      <c r="BR32">
        <v>4.3499999999999996</v>
      </c>
      <c r="BS32">
        <v>6.32</v>
      </c>
      <c r="BT32" t="s">
        <v>1325</v>
      </c>
      <c r="BU32" t="s">
        <v>1159</v>
      </c>
      <c r="BV32">
        <v>24.46</v>
      </c>
      <c r="BW32">
        <v>24.32</v>
      </c>
      <c r="BX32">
        <v>28.06</v>
      </c>
      <c r="BY32">
        <v>7.97</v>
      </c>
      <c r="BZ32">
        <v>6.79</v>
      </c>
      <c r="CA32">
        <v>12.29</v>
      </c>
      <c r="CB32">
        <v>-1.77</v>
      </c>
      <c r="CC32">
        <v>-11.04</v>
      </c>
      <c r="CD32" t="s">
        <v>2373</v>
      </c>
      <c r="CE32" t="s">
        <v>1205</v>
      </c>
      <c r="CF32" s="10">
        <v>-0.22727272727272727</v>
      </c>
      <c r="CG32" s="11">
        <v>8.2280575293796121E-2</v>
      </c>
      <c r="CH32" s="10">
        <v>-1.6617791727185249E-2</v>
      </c>
      <c r="CI32" s="10">
        <v>0.17048054933547974</v>
      </c>
      <c r="CJ32" s="10">
        <v>-5.000000074505806E-2</v>
      </c>
      <c r="CK32" s="10">
        <v>1.4332965947687626E-2</v>
      </c>
      <c r="CL32" s="10">
        <v>0.13659147918224335</v>
      </c>
      <c r="CM32" s="11">
        <v>0.12551528215408325</v>
      </c>
      <c r="CN32" s="11">
        <v>-0.28742340207099915</v>
      </c>
      <c r="CO32" s="11">
        <v>-0.39548021554946899</v>
      </c>
      <c r="CP32" s="11">
        <v>0.23776224255561829</v>
      </c>
      <c r="CQ32" s="11">
        <v>0.17213115096092224</v>
      </c>
      <c r="CR32">
        <v>25.295919311609378</v>
      </c>
      <c r="CS32">
        <v>4.9641267523883981</v>
      </c>
      <c r="CT32">
        <v>0.67720090293453727</v>
      </c>
      <c r="CU32" s="10">
        <v>5.095744039863348E-2</v>
      </c>
      <c r="CV32" s="11">
        <v>-2.9498988389968873E-2</v>
      </c>
      <c r="CW32">
        <v>0.06</v>
      </c>
      <c r="CX32">
        <v>24.703051404803233</v>
      </c>
      <c r="CY32">
        <v>85083630.583034918</v>
      </c>
      <c r="CZ32">
        <v>5.095744039863348E-2</v>
      </c>
      <c r="DA32">
        <v>8.3452795812382394</v>
      </c>
      <c r="DB32">
        <v>251857985.04885316</v>
      </c>
      <c r="DC32">
        <v>4.8409568378701806E-2</v>
      </c>
      <c r="DD32">
        <v>4.2918032026116544</v>
      </c>
      <c r="DE32">
        <v>489730120.59849209</v>
      </c>
      <c r="DF32">
        <v>4.484254755079746E-2</v>
      </c>
      <c r="DG32">
        <v>2.705014803083738</v>
      </c>
      <c r="DH32">
        <v>777010646.15391481</v>
      </c>
      <c r="DI32">
        <v>4.0765952318906784E-2</v>
      </c>
      <c r="DJ32">
        <v>1.5488164179223425</v>
      </c>
      <c r="DK32">
        <v>1357052569.7419262</v>
      </c>
      <c r="DL32">
        <v>3.5670208279043436E-2</v>
      </c>
      <c r="DM32">
        <v>85815700</v>
      </c>
      <c r="DN32">
        <v>5.095744039863348E-2</v>
      </c>
      <c r="DO32">
        <v>2101825300</v>
      </c>
      <c r="DP32">
        <v>1177063200</v>
      </c>
      <c r="DQ32">
        <v>1661</v>
      </c>
      <c r="DR32">
        <v>-0.27823016767136077</v>
      </c>
      <c r="DS32">
        <v>0.11177956368376499</v>
      </c>
      <c r="DT32" s="12">
        <v>-0.28999999999999998</v>
      </c>
      <c r="DU32">
        <v>0.15333333333333329</v>
      </c>
      <c r="DV32">
        <v>-0.13666666666666669</v>
      </c>
      <c r="DW32">
        <v>-2.1103999999999998</v>
      </c>
      <c r="DX32">
        <v>0.31976212121212072</v>
      </c>
      <c r="DY32">
        <v>-2.0143257381818183</v>
      </c>
      <c r="DZ32">
        <v>2031</v>
      </c>
      <c r="EA32">
        <v>-2.0086318880355809</v>
      </c>
      <c r="EB32">
        <v>2</v>
      </c>
      <c r="EC32">
        <v>0.10124632412702635</v>
      </c>
      <c r="ED32">
        <v>0.78024560003546573</v>
      </c>
      <c r="EE32" s="15">
        <v>1.1459999999999999</v>
      </c>
      <c r="EF32">
        <v>1.1198999999999999</v>
      </c>
      <c r="EG32">
        <v>19.129762121212121</v>
      </c>
      <c r="EH32" t="s">
        <v>1175</v>
      </c>
      <c r="EI32">
        <v>0</v>
      </c>
      <c r="EJ32">
        <v>0</v>
      </c>
      <c r="EK32" s="14">
        <v>45470</v>
      </c>
      <c r="EL32" s="16">
        <v>0</v>
      </c>
      <c r="EM32" s="16">
        <v>1.33</v>
      </c>
      <c r="EN32" s="16">
        <v>-1.97</v>
      </c>
      <c r="EO32" s="16">
        <v>2.46</v>
      </c>
      <c r="EP32" s="16">
        <v>-2.61</v>
      </c>
    </row>
    <row r="33" spans="1:146" ht="108" x14ac:dyDescent="0.25">
      <c r="A33" s="7"/>
      <c r="B33" s="7"/>
      <c r="C33" s="7" t="str">
        <f>""&amp;CHAR(10)&amp;Basic_Fundamental_Information_Constructure(F33)&amp;CHAR(10)&amp;Basic_Fundamental_Information_Concatenate("")</f>
        <v xml:space="preserve">
市值27.503504亿, 利润7984.66万; PE32.57; 平均PE-53.13; 平均PEG-11.83, PB2.61; ROIC4.78%; ROE-6.4667%; 股利率.7042%; 毛利24.53%; 净利-10.48%; 上一年度营收增-9.4%, 利润增120.63%; 当季营收增-47.06%, 利润增21.57%; 过往5年营收增-4.49%, 利润增-58.1%
Income profile:
</v>
      </c>
      <c r="D33" t="s">
        <v>168</v>
      </c>
      <c r="E33" t="s">
        <v>26</v>
      </c>
      <c r="F33">
        <v>4.26</v>
      </c>
      <c r="G33">
        <v>1.43</v>
      </c>
      <c r="H33" t="s">
        <v>2374</v>
      </c>
      <c r="I33">
        <v>2750350400</v>
      </c>
      <c r="J33">
        <v>32.57</v>
      </c>
      <c r="K33">
        <v>2.61</v>
      </c>
      <c r="L33" t="s">
        <v>1747</v>
      </c>
      <c r="M33" t="s">
        <v>2375</v>
      </c>
      <c r="N33" t="s">
        <v>1693</v>
      </c>
      <c r="O33" t="s">
        <v>152</v>
      </c>
      <c r="P33">
        <v>-47.2</v>
      </c>
      <c r="Q33" t="s">
        <v>2376</v>
      </c>
      <c r="R33">
        <v>25852552</v>
      </c>
      <c r="S33" s="5">
        <v>0.2157</v>
      </c>
      <c r="T33" t="s">
        <v>2377</v>
      </c>
      <c r="U33">
        <v>644529870</v>
      </c>
      <c r="V33">
        <v>645622170</v>
      </c>
      <c r="W33">
        <v>3.22</v>
      </c>
      <c r="X33">
        <v>0.03</v>
      </c>
      <c r="Y33">
        <v>23.86</v>
      </c>
      <c r="Z33" t="s">
        <v>47</v>
      </c>
      <c r="AA33" t="s">
        <v>2378</v>
      </c>
      <c r="AB33" t="s">
        <v>2379</v>
      </c>
      <c r="AC33" t="s">
        <v>2380</v>
      </c>
      <c r="AD33" t="s">
        <v>28</v>
      </c>
      <c r="AE33">
        <v>16281483</v>
      </c>
      <c r="AF33" t="s">
        <v>2381</v>
      </c>
      <c r="AG33" t="s">
        <v>2382</v>
      </c>
      <c r="AH33" t="s">
        <v>2383</v>
      </c>
      <c r="AI33" t="s">
        <v>109</v>
      </c>
      <c r="AJ33" t="s">
        <v>2384</v>
      </c>
      <c r="AK33" t="s">
        <v>2385</v>
      </c>
      <c r="AL33" t="s">
        <v>2386</v>
      </c>
      <c r="AM33" t="s">
        <v>28</v>
      </c>
      <c r="AN33" t="s">
        <v>2387</v>
      </c>
      <c r="AO33" t="s">
        <v>1031</v>
      </c>
      <c r="AP33" t="s">
        <v>2388</v>
      </c>
      <c r="AQ33" t="s">
        <v>1474</v>
      </c>
      <c r="AR33" t="s">
        <v>28</v>
      </c>
      <c r="AS33" t="s">
        <v>1656</v>
      </c>
      <c r="AT33" t="s">
        <v>1744</v>
      </c>
      <c r="AU33" t="s">
        <v>110</v>
      </c>
      <c r="AV33" t="s">
        <v>2389</v>
      </c>
      <c r="AW33" t="s">
        <v>2390</v>
      </c>
      <c r="AX33" t="s">
        <v>51</v>
      </c>
      <c r="AY33" t="s">
        <v>1167</v>
      </c>
      <c r="AZ33" t="s">
        <v>265</v>
      </c>
      <c r="BA33" t="s">
        <v>481</v>
      </c>
      <c r="BB33" t="s">
        <v>482</v>
      </c>
      <c r="BC33" t="s">
        <v>338</v>
      </c>
      <c r="BD33" t="s">
        <v>1339</v>
      </c>
      <c r="BE33" t="s">
        <v>480</v>
      </c>
      <c r="BF33" t="s">
        <v>483</v>
      </c>
      <c r="BG33" t="s">
        <v>484</v>
      </c>
      <c r="BH33" t="s">
        <v>2376</v>
      </c>
      <c r="BI33" t="s">
        <v>514</v>
      </c>
      <c r="BJ33" t="s">
        <v>51</v>
      </c>
      <c r="BK33" t="s">
        <v>2377</v>
      </c>
      <c r="BL33" t="s">
        <v>2391</v>
      </c>
      <c r="BM33" t="s">
        <v>338</v>
      </c>
      <c r="BN33">
        <v>4.6500000000000004</v>
      </c>
      <c r="BO33" t="s">
        <v>28</v>
      </c>
      <c r="BP33">
        <v>4.91</v>
      </c>
      <c r="BQ33">
        <v>6.65</v>
      </c>
      <c r="BR33">
        <v>-30.67</v>
      </c>
      <c r="BS33">
        <v>4.62</v>
      </c>
      <c r="BT33" t="s">
        <v>1325</v>
      </c>
      <c r="BU33" t="s">
        <v>1153</v>
      </c>
      <c r="BV33">
        <v>23.97</v>
      </c>
      <c r="BW33">
        <v>22.73</v>
      </c>
      <c r="BX33">
        <v>26.89</v>
      </c>
      <c r="BY33">
        <v>12.45</v>
      </c>
      <c r="BZ33">
        <v>-53.61</v>
      </c>
      <c r="CA33">
        <v>9.7200000000000006</v>
      </c>
      <c r="CB33">
        <v>1.67</v>
      </c>
      <c r="CC33">
        <v>-25.91</v>
      </c>
      <c r="CD33" t="s">
        <v>2392</v>
      </c>
      <c r="CE33" t="s">
        <v>519</v>
      </c>
      <c r="CF33" s="10">
        <v>-0.47058823529411764</v>
      </c>
      <c r="CG33" s="11">
        <v>0.215738235307949</v>
      </c>
      <c r="CH33" s="10">
        <v>-9.3969143927097321E-2</v>
      </c>
      <c r="CI33" s="10">
        <v>-0.28984063863754272</v>
      </c>
      <c r="CJ33" s="10">
        <v>0.34045395255088806</v>
      </c>
      <c r="CK33" s="10">
        <v>0.10798816382884979</v>
      </c>
      <c r="CL33" s="10">
        <v>-0.28916928172111511</v>
      </c>
      <c r="CM33" s="11">
        <v>1.2063219547271729</v>
      </c>
      <c r="CN33" s="11">
        <v>-6.2751173973083496</v>
      </c>
      <c r="CO33" s="11">
        <v>1.2537055015563965</v>
      </c>
      <c r="CP33" s="11">
        <v>-0.43508931994438171</v>
      </c>
      <c r="CQ33" s="11">
        <v>1.3450527191162109</v>
      </c>
      <c r="CR33">
        <v>-53.127361934748592</v>
      </c>
      <c r="CS33">
        <v>-11.830427559963473</v>
      </c>
      <c r="CT33">
        <v>0.70422535211267612</v>
      </c>
      <c r="CU33" s="10">
        <v>-4.4907389581203459E-2</v>
      </c>
      <c r="CV33" s="11">
        <v>-0.58102530837059019</v>
      </c>
      <c r="CW33">
        <v>0.06</v>
      </c>
      <c r="CX33">
        <v>50.488692067038549</v>
      </c>
      <c r="CY33" t="s">
        <v>2393</v>
      </c>
      <c r="CZ33">
        <v>-4.4907389581203459E-2</v>
      </c>
      <c r="DA33">
        <v>16.829564022346183</v>
      </c>
      <c r="DB33" t="s">
        <v>2394</v>
      </c>
      <c r="DC33">
        <v>-4.2662020102143282E-2</v>
      </c>
      <c r="DD33">
        <v>8.4147820111730915</v>
      </c>
      <c r="DE33" t="s">
        <v>2395</v>
      </c>
      <c r="DF33">
        <v>-3.9518502831459044E-2</v>
      </c>
      <c r="DG33">
        <v>5.0488692067038548</v>
      </c>
      <c r="DH33" t="s">
        <v>2396</v>
      </c>
      <c r="DI33">
        <v>-3.592591166496277E-2</v>
      </c>
      <c r="DJ33">
        <v>2.5244346033519274</v>
      </c>
      <c r="DK33" t="s">
        <v>2397</v>
      </c>
      <c r="DL33">
        <v>-3.1435172706842422E-2</v>
      </c>
      <c r="DM33">
        <v>79846600</v>
      </c>
      <c r="DN33">
        <v>-4.4907389581203459E-2</v>
      </c>
      <c r="DO33">
        <v>4031350400</v>
      </c>
      <c r="DP33">
        <v>-207381380</v>
      </c>
      <c r="DQ33">
        <v>1674</v>
      </c>
      <c r="DR33">
        <v>-0.4256808457129142</v>
      </c>
      <c r="DS33">
        <v>0.79676354367853919</v>
      </c>
      <c r="DT33" s="12">
        <v>-0.55666666666666664</v>
      </c>
      <c r="DU33">
        <v>0.18666666666666665</v>
      </c>
      <c r="DV33">
        <v>-0.37</v>
      </c>
      <c r="DW33">
        <v>-3.112077380952381</v>
      </c>
      <c r="DX33">
        <v>0.30467409326424871</v>
      </c>
      <c r="DY33">
        <v>-3.012852372036146</v>
      </c>
      <c r="DZ33">
        <v>2611</v>
      </c>
      <c r="EA33">
        <v>-3.0062853381053483</v>
      </c>
      <c r="EB33">
        <v>3</v>
      </c>
      <c r="EC33">
        <v>3.4280266428892925E-2</v>
      </c>
      <c r="ED33">
        <v>0.29893645071079267</v>
      </c>
      <c r="EE33" s="15">
        <v>1.00621</v>
      </c>
      <c r="EF33">
        <v>1.0296099999999999</v>
      </c>
      <c r="EG33">
        <v>19.114674093264249</v>
      </c>
      <c r="EH33" t="s">
        <v>1160</v>
      </c>
      <c r="EI33">
        <v>0</v>
      </c>
      <c r="EJ33">
        <v>0</v>
      </c>
      <c r="EK33" s="14">
        <v>45470</v>
      </c>
      <c r="EL33" s="16">
        <v>0.23</v>
      </c>
      <c r="EM33" s="16">
        <v>-6.19</v>
      </c>
      <c r="EN33" s="16">
        <v>2.2000000000000002</v>
      </c>
      <c r="EO33" s="16">
        <v>2.15</v>
      </c>
      <c r="EP33" s="16">
        <v>-2.34</v>
      </c>
    </row>
    <row r="34" spans="1:146" ht="108" x14ac:dyDescent="0.25">
      <c r="A34" s="7"/>
      <c r="B34" s="7"/>
      <c r="C34" s="7" t="str">
        <f>""&amp;CHAR(10)&amp;Basic_Fundamental_Information_Constructure(F34)&amp;CHAR(10)&amp;Basic_Fundamental_Information_Concatenate("")</f>
        <v xml:space="preserve">
市值22.666203亿, 利润-1.97亿; PE; 平均PE30.22; 平均PEG7.28, PB.636; ROIC2.54%; ROE-2.0467%; 股利率.3462%; 毛利20.0133%; 净利-8.7%; 上一年度营收增6.09%, 利润增56.22%; 当季营收增-9.22%, 利润增244.32%; 过往5年营收增4.15%, 利润增-55.32%
Income profile:
</v>
      </c>
      <c r="D34" t="s">
        <v>173</v>
      </c>
      <c r="E34" t="s">
        <v>18</v>
      </c>
      <c r="F34">
        <v>2.9</v>
      </c>
      <c r="G34">
        <v>2.84</v>
      </c>
      <c r="H34" t="s">
        <v>2398</v>
      </c>
      <c r="I34">
        <v>2266620300</v>
      </c>
      <c r="K34">
        <v>0.63600000000000001</v>
      </c>
      <c r="L34" t="s">
        <v>1747</v>
      </c>
      <c r="M34" t="s">
        <v>2399</v>
      </c>
      <c r="N34" t="s">
        <v>2400</v>
      </c>
      <c r="O34" t="s">
        <v>776</v>
      </c>
      <c r="P34">
        <v>-9.3000000000000007</v>
      </c>
      <c r="Q34" t="s">
        <v>2401</v>
      </c>
      <c r="R34">
        <v>36953367</v>
      </c>
      <c r="S34" s="5">
        <v>2.4430000000000001</v>
      </c>
      <c r="T34" t="s">
        <v>2402</v>
      </c>
      <c r="U34">
        <v>776169110</v>
      </c>
      <c r="V34">
        <v>781593220</v>
      </c>
      <c r="W34">
        <v>2.39</v>
      </c>
      <c r="X34">
        <v>0.04</v>
      </c>
      <c r="Y34">
        <v>9.85</v>
      </c>
      <c r="Z34" t="s">
        <v>1640</v>
      </c>
      <c r="AA34" t="s">
        <v>53</v>
      </c>
      <c r="AB34" t="s">
        <v>2403</v>
      </c>
      <c r="AC34" t="s">
        <v>2404</v>
      </c>
      <c r="AD34" t="s">
        <v>28</v>
      </c>
      <c r="AE34">
        <v>32812923</v>
      </c>
      <c r="AF34" t="s">
        <v>2405</v>
      </c>
      <c r="AG34" t="s">
        <v>2406</v>
      </c>
      <c r="AH34" t="s">
        <v>2407</v>
      </c>
      <c r="AI34" t="s">
        <v>577</v>
      </c>
      <c r="AJ34" t="s">
        <v>2408</v>
      </c>
      <c r="AK34" t="s">
        <v>2409</v>
      </c>
      <c r="AL34" t="s">
        <v>2410</v>
      </c>
      <c r="AM34" t="s">
        <v>28</v>
      </c>
      <c r="AN34" t="s">
        <v>2411</v>
      </c>
      <c r="AO34" t="s">
        <v>1941</v>
      </c>
      <c r="AP34" t="s">
        <v>1299</v>
      </c>
      <c r="AQ34" t="s">
        <v>1788</v>
      </c>
      <c r="AR34" t="s">
        <v>28</v>
      </c>
      <c r="AS34" t="s">
        <v>2412</v>
      </c>
      <c r="AT34" t="s">
        <v>1235</v>
      </c>
      <c r="AU34" t="s">
        <v>2413</v>
      </c>
      <c r="AV34" t="s">
        <v>150</v>
      </c>
      <c r="AW34" t="s">
        <v>1466</v>
      </c>
      <c r="AX34" t="s">
        <v>1340</v>
      </c>
      <c r="AY34" t="s">
        <v>1342</v>
      </c>
      <c r="AZ34" t="s">
        <v>485</v>
      </c>
      <c r="BA34" t="s">
        <v>174</v>
      </c>
      <c r="BB34" t="s">
        <v>488</v>
      </c>
      <c r="BC34" t="s">
        <v>1341</v>
      </c>
      <c r="BD34" t="s">
        <v>170</v>
      </c>
      <c r="BE34" t="s">
        <v>302</v>
      </c>
      <c r="BF34" t="s">
        <v>175</v>
      </c>
      <c r="BG34" t="s">
        <v>469</v>
      </c>
      <c r="BH34" t="s">
        <v>2401</v>
      </c>
      <c r="BI34" t="s">
        <v>189</v>
      </c>
      <c r="BJ34" t="s">
        <v>1340</v>
      </c>
      <c r="BK34" t="s">
        <v>2402</v>
      </c>
      <c r="BL34" t="s">
        <v>2414</v>
      </c>
      <c r="BM34" t="s">
        <v>1341</v>
      </c>
      <c r="BN34">
        <v>1.17</v>
      </c>
      <c r="BO34" t="s">
        <v>28</v>
      </c>
      <c r="BP34">
        <v>3.91</v>
      </c>
      <c r="BQ34">
        <v>0.55000000000000004</v>
      </c>
      <c r="BR34">
        <v>-10.95</v>
      </c>
      <c r="BS34">
        <v>4.26</v>
      </c>
      <c r="BT34" t="s">
        <v>2415</v>
      </c>
      <c r="BU34" t="s">
        <v>1153</v>
      </c>
      <c r="BV34">
        <v>15.46</v>
      </c>
      <c r="BW34">
        <v>17.18</v>
      </c>
      <c r="BX34">
        <v>27.4</v>
      </c>
      <c r="BY34">
        <v>-9.57</v>
      </c>
      <c r="BZ34">
        <v>-22.32</v>
      </c>
      <c r="CA34">
        <v>5.79</v>
      </c>
      <c r="CB34">
        <v>5.45</v>
      </c>
      <c r="CC34">
        <v>-12.65</v>
      </c>
      <c r="CD34" t="s">
        <v>2416</v>
      </c>
      <c r="CE34" t="s">
        <v>322</v>
      </c>
      <c r="CF34" s="10">
        <v>-9.2198581560283821E-2</v>
      </c>
      <c r="CG34" s="11">
        <v>2.4432238497232626</v>
      </c>
      <c r="CH34" s="10">
        <v>6.0911238193511963E-2</v>
      </c>
      <c r="CI34" s="10">
        <v>-0.34985968470573425</v>
      </c>
      <c r="CJ34" s="10">
        <v>1.2488291831687093E-3</v>
      </c>
      <c r="CK34" s="10">
        <v>0.17283046245574951</v>
      </c>
      <c r="CL34" s="10">
        <v>0.32251822948455811</v>
      </c>
      <c r="CM34" s="11">
        <v>0.56222224235534668</v>
      </c>
      <c r="CN34" s="11">
        <v>-3.3560209274291992</v>
      </c>
      <c r="CO34" s="11">
        <v>-0.46498599648475647</v>
      </c>
      <c r="CP34" s="11">
        <v>0.12618295848369598</v>
      </c>
      <c r="CQ34" s="11">
        <v>0.36637932062149048</v>
      </c>
      <c r="CR34">
        <v>30.221603999999999</v>
      </c>
      <c r="CS34">
        <v>7.2770861263356839</v>
      </c>
      <c r="CT34">
        <v>0.34615862068965519</v>
      </c>
      <c r="CU34" s="10">
        <v>4.1529814922250809E-2</v>
      </c>
      <c r="CV34" s="11">
        <v>-0.55324448049068453</v>
      </c>
      <c r="CW34">
        <v>0.06</v>
      </c>
      <c r="CX34" t="e">
        <v>#VALUE!</v>
      </c>
      <c r="CY34" t="s">
        <v>1158</v>
      </c>
      <c r="CZ34">
        <v>4.1529814922250809E-2</v>
      </c>
      <c r="DA34" t="e">
        <v>#VALUE!</v>
      </c>
      <c r="DB34" t="s">
        <v>1158</v>
      </c>
      <c r="DC34">
        <v>3.9453324176138269E-2</v>
      </c>
      <c r="DD34" t="e">
        <v>#VALUE!</v>
      </c>
      <c r="DE34" t="s">
        <v>1158</v>
      </c>
      <c r="DF34">
        <v>3.6546237131580714E-2</v>
      </c>
      <c r="DG34" t="e">
        <v>#VALUE!</v>
      </c>
      <c r="DH34" t="s">
        <v>1158</v>
      </c>
      <c r="DI34">
        <v>3.3223851937800648E-2</v>
      </c>
      <c r="DJ34" t="e">
        <v>#VALUE!</v>
      </c>
      <c r="DK34" t="s">
        <v>1158</v>
      </c>
      <c r="DL34">
        <v>2.9070870445575565E-2</v>
      </c>
      <c r="DM34">
        <v>-197000000</v>
      </c>
      <c r="DN34">
        <v>4.1529814922250809E-2</v>
      </c>
      <c r="DO34">
        <v>3962620300</v>
      </c>
      <c r="DP34">
        <v>1222929200</v>
      </c>
      <c r="DQ34">
        <v>1677</v>
      </c>
      <c r="DR34">
        <v>-0.13372839648253462</v>
      </c>
      <c r="DS34">
        <v>2.996468330213947</v>
      </c>
      <c r="DT34" s="12">
        <v>-0.37333333333333335</v>
      </c>
      <c r="DU34">
        <v>-0.55999999999999994</v>
      </c>
      <c r="DV34">
        <v>-0.93333333333333335</v>
      </c>
      <c r="DW34">
        <v>6.3011049723756907</v>
      </c>
      <c r="DX34">
        <v>0.33147528089887573</v>
      </c>
      <c r="DY34">
        <v>6.0395878608231426</v>
      </c>
      <c r="DZ34">
        <v>3491</v>
      </c>
      <c r="EA34">
        <v>6.0125426118733207</v>
      </c>
      <c r="EB34">
        <v>6</v>
      </c>
      <c r="EC34">
        <v>2.99421737563179E-2</v>
      </c>
      <c r="ED34">
        <v>0.22773994892125599</v>
      </c>
      <c r="EE34" s="15">
        <v>-1.10551</v>
      </c>
      <c r="EF34">
        <v>-1.1270100000000001</v>
      </c>
      <c r="EG34">
        <v>20.131475280898876</v>
      </c>
      <c r="EH34" t="s">
        <v>1168</v>
      </c>
      <c r="EI34">
        <v>0</v>
      </c>
      <c r="EJ34">
        <v>0</v>
      </c>
      <c r="EK34" s="14">
        <v>45470</v>
      </c>
      <c r="EL34" s="16">
        <v>0</v>
      </c>
      <c r="EM34" s="16">
        <v>-3.57</v>
      </c>
      <c r="EN34" s="16">
        <v>0.37</v>
      </c>
      <c r="EO34" s="16">
        <v>2.95</v>
      </c>
      <c r="EP34" s="16">
        <v>-2.15</v>
      </c>
    </row>
    <row r="35" spans="1:146" ht="108" x14ac:dyDescent="0.25">
      <c r="A35" s="7"/>
      <c r="B35" s="7"/>
      <c r="C35" s="7" t="str">
        <f>""&amp;CHAR(10)&amp;Basic_Fundamental_Information_Constructure(F35)&amp;CHAR(10)&amp;Basic_Fundamental_Information_Concatenate("")</f>
        <v xml:space="preserve">
市值42.107233亿, 利润-14.83亿; PE; 平均PE-7.77; 平均PEG-.29, PB1.01; ROIC0%; ROE-9.7933%; 股利率0%; 毛利-1.1767%; 净利-51.1533%; 上一年度营收增-49.18%, 利润增-71.25%; 当季营收增-49.8%, 利润增-1124.92%; 过往5年营收增-26.53%, 利润增-242.28%
Income profile:
</v>
      </c>
      <c r="D35" t="s">
        <v>176</v>
      </c>
      <c r="E35" t="s">
        <v>490</v>
      </c>
      <c r="F35">
        <v>1.42</v>
      </c>
      <c r="G35">
        <v>0</v>
      </c>
      <c r="H35" t="s">
        <v>106</v>
      </c>
      <c r="I35">
        <v>4210723300</v>
      </c>
      <c r="K35">
        <v>1.01</v>
      </c>
      <c r="L35" t="s">
        <v>1747</v>
      </c>
      <c r="M35" t="s">
        <v>2417</v>
      </c>
      <c r="N35" t="s">
        <v>2418</v>
      </c>
      <c r="O35" t="s">
        <v>1156</v>
      </c>
      <c r="P35">
        <v>-49.93</v>
      </c>
      <c r="Q35" t="s">
        <v>489</v>
      </c>
      <c r="R35">
        <v>-201965410</v>
      </c>
      <c r="S35" s="5">
        <v>-11.25</v>
      </c>
      <c r="T35" t="s">
        <v>2419</v>
      </c>
      <c r="U35">
        <v>2700332000</v>
      </c>
      <c r="V35">
        <v>2965298100</v>
      </c>
      <c r="W35">
        <v>5.22</v>
      </c>
      <c r="X35">
        <v>0.01</v>
      </c>
      <c r="Y35">
        <v>-83.17</v>
      </c>
      <c r="Z35" t="s">
        <v>1548</v>
      </c>
      <c r="AA35" t="s">
        <v>53</v>
      </c>
      <c r="AB35" t="s">
        <v>1653</v>
      </c>
      <c r="AC35" t="s">
        <v>2420</v>
      </c>
      <c r="AD35" t="s">
        <v>28</v>
      </c>
      <c r="AE35">
        <v>96094278</v>
      </c>
      <c r="AF35" t="s">
        <v>2421</v>
      </c>
      <c r="AG35" t="s">
        <v>1667</v>
      </c>
      <c r="AH35" t="s">
        <v>2422</v>
      </c>
      <c r="AI35" t="s">
        <v>2423</v>
      </c>
      <c r="AJ35" t="s">
        <v>2424</v>
      </c>
      <c r="AK35" t="s">
        <v>2425</v>
      </c>
      <c r="AL35" t="s">
        <v>2426</v>
      </c>
      <c r="AM35" t="s">
        <v>28</v>
      </c>
      <c r="AN35" t="s">
        <v>2427</v>
      </c>
      <c r="AO35" t="s">
        <v>2428</v>
      </c>
      <c r="AP35" t="s">
        <v>28</v>
      </c>
      <c r="AQ35" t="s">
        <v>2429</v>
      </c>
      <c r="AR35" t="s">
        <v>28</v>
      </c>
      <c r="AS35" t="s">
        <v>2430</v>
      </c>
      <c r="AT35" t="s">
        <v>2431</v>
      </c>
      <c r="AU35" t="s">
        <v>2432</v>
      </c>
      <c r="AV35" t="s">
        <v>2433</v>
      </c>
      <c r="AW35" t="s">
        <v>2434</v>
      </c>
      <c r="AX35" t="s">
        <v>1343</v>
      </c>
      <c r="AY35" t="s">
        <v>968</v>
      </c>
      <c r="AZ35" t="s">
        <v>491</v>
      </c>
      <c r="BA35" t="s">
        <v>177</v>
      </c>
      <c r="BB35" t="s">
        <v>494</v>
      </c>
      <c r="BC35" t="s">
        <v>1344</v>
      </c>
      <c r="BD35" t="s">
        <v>969</v>
      </c>
      <c r="BE35" t="s">
        <v>492</v>
      </c>
      <c r="BF35" t="s">
        <v>178</v>
      </c>
      <c r="BG35" t="s">
        <v>456</v>
      </c>
      <c r="BH35" t="s">
        <v>489</v>
      </c>
      <c r="BI35" t="s">
        <v>1470</v>
      </c>
      <c r="BJ35" t="s">
        <v>1343</v>
      </c>
      <c r="BK35" t="s">
        <v>2419</v>
      </c>
      <c r="BL35" t="s">
        <v>2435</v>
      </c>
      <c r="BM35" t="s">
        <v>1344</v>
      </c>
      <c r="BN35" t="s">
        <v>28</v>
      </c>
      <c r="BO35" t="s">
        <v>28</v>
      </c>
      <c r="BP35" t="s">
        <v>28</v>
      </c>
      <c r="BQ35">
        <v>-6.69</v>
      </c>
      <c r="BR35">
        <v>-16.03</v>
      </c>
      <c r="BS35">
        <v>-6.66</v>
      </c>
      <c r="BT35" t="s">
        <v>1244</v>
      </c>
      <c r="BU35" t="s">
        <v>1153</v>
      </c>
      <c r="BV35">
        <v>-29.27</v>
      </c>
      <c r="BW35">
        <v>7.04</v>
      </c>
      <c r="BX35">
        <v>18.7</v>
      </c>
      <c r="BY35">
        <v>-107.24</v>
      </c>
      <c r="BZ35">
        <v>-32.619999999999997</v>
      </c>
      <c r="CA35">
        <v>-13.6</v>
      </c>
      <c r="CB35">
        <v>24.56</v>
      </c>
      <c r="CC35">
        <v>-14.97</v>
      </c>
      <c r="CD35" t="s">
        <v>1479</v>
      </c>
      <c r="CE35" t="s">
        <v>1379</v>
      </c>
      <c r="CF35" s="10">
        <v>-0.49804687500000006</v>
      </c>
      <c r="CG35" s="11">
        <v>-11.249189820100987</v>
      </c>
      <c r="CH35" s="10">
        <v>-0.49175629019737244</v>
      </c>
      <c r="CI35" s="10">
        <v>4.7690596431493759E-2</v>
      </c>
      <c r="CJ35" s="10">
        <v>-0.36760863661766052</v>
      </c>
      <c r="CK35" s="10">
        <v>-0.16877217590808868</v>
      </c>
      <c r="CL35" s="10">
        <v>-0.34623825550079346</v>
      </c>
      <c r="CM35" s="11">
        <v>-0.71247118711471558</v>
      </c>
      <c r="CN35" s="11">
        <v>-1.4463276863098145</v>
      </c>
      <c r="CO35" s="11">
        <v>-7.0194563865661621</v>
      </c>
      <c r="CP35" s="11">
        <v>1.0644838809967041</v>
      </c>
      <c r="CQ35" s="11">
        <v>-4</v>
      </c>
      <c r="CR35">
        <v>-7.7684066312593529</v>
      </c>
      <c r="CS35">
        <v>-0.2927751510752194</v>
      </c>
      <c r="CT35">
        <v>0</v>
      </c>
      <c r="CU35" s="10">
        <v>-0.26533695235848426</v>
      </c>
      <c r="CV35" s="11">
        <v>-2.4227542757987974</v>
      </c>
      <c r="CW35">
        <v>0.06</v>
      </c>
      <c r="CX35" t="e">
        <v>#VALUE!</v>
      </c>
      <c r="CY35" t="s">
        <v>1157</v>
      </c>
      <c r="CZ35">
        <v>-0.26533695235848426</v>
      </c>
      <c r="DA35" t="e">
        <v>#VALUE!</v>
      </c>
      <c r="DB35" t="s">
        <v>1158</v>
      </c>
      <c r="DC35">
        <v>-0.25207010474056002</v>
      </c>
      <c r="DD35" t="e">
        <v>#VALUE!</v>
      </c>
      <c r="DE35" t="s">
        <v>1158</v>
      </c>
      <c r="DF35">
        <v>-0.23349651807546615</v>
      </c>
      <c r="DG35" t="e">
        <v>#VALUE!</v>
      </c>
      <c r="DH35" t="s">
        <v>1158</v>
      </c>
      <c r="DI35">
        <v>-0.21226956188678742</v>
      </c>
      <c r="DJ35" t="e">
        <v>#VALUE!</v>
      </c>
      <c r="DK35" t="s">
        <v>1158</v>
      </c>
      <c r="DL35">
        <v>-0.18573586665093897</v>
      </c>
      <c r="DM35">
        <v>-1483000000</v>
      </c>
      <c r="DN35">
        <v>-0.26533695235848426</v>
      </c>
      <c r="DO35">
        <v>23148723300</v>
      </c>
      <c r="DP35">
        <v>-5651174300</v>
      </c>
      <c r="DQ35">
        <v>1684</v>
      </c>
      <c r="DR35">
        <v>-0.2327099226415158</v>
      </c>
      <c r="DS35">
        <v>-8.8264355443021891</v>
      </c>
      <c r="DT35" s="12">
        <v>-0.95666666666666655</v>
      </c>
      <c r="DU35">
        <v>-3.4316666666666671</v>
      </c>
      <c r="DV35">
        <v>-4.3883333333333336</v>
      </c>
      <c r="DW35">
        <v>5.609527687296417</v>
      </c>
      <c r="DX35">
        <v>0.61733043355981299</v>
      </c>
      <c r="DY35">
        <v>5.272660284625017</v>
      </c>
      <c r="DZ35">
        <v>5076</v>
      </c>
      <c r="EA35">
        <v>5.0018141780190311</v>
      </c>
      <c r="EB35">
        <v>5</v>
      </c>
      <c r="EC35">
        <v>0.31362782716516768</v>
      </c>
      <c r="ED35">
        <v>0.70110994911439084</v>
      </c>
      <c r="EE35" s="15">
        <v>8.3999999999999977E-3</v>
      </c>
      <c r="EF35">
        <v>4.9010000000000005E-2</v>
      </c>
      <c r="EG35">
        <v>17.447330433559813</v>
      </c>
      <c r="EH35">
        <v>-1</v>
      </c>
      <c r="EI35">
        <v>1</v>
      </c>
      <c r="EJ35">
        <v>0</v>
      </c>
      <c r="EK35" s="14">
        <v>45470</v>
      </c>
      <c r="EL35" s="16">
        <v>2.29</v>
      </c>
      <c r="EM35" s="16">
        <v>-7.46</v>
      </c>
      <c r="EN35" s="16">
        <v>-5.65</v>
      </c>
      <c r="EO35" s="16">
        <v>4.2699999999999996</v>
      </c>
      <c r="EP35" s="16">
        <v>-5.74</v>
      </c>
    </row>
    <row r="36" spans="1:146" ht="108" x14ac:dyDescent="0.25">
      <c r="A36" s="7"/>
      <c r="B36" s="7"/>
      <c r="C36" s="7" t="str">
        <f>""&amp;CHAR(10)&amp;Basic_Fundamental_Information_Constructure(F36)&amp;CHAR(10)&amp;Basic_Fundamental_Information_Concatenate("")</f>
        <v xml:space="preserve">
市值4.5544156亿, 利润-1.08亿; PE; 平均PE-1.32; 平均PEG-.16, PB6.39; ROIC0%; ROE-99.8%; 股利率0%; 毛利-85.87%; 净利-405.36%; 上一年度营收增1.52%, 利润增72.02%; 当季营收增-15.37%, 利润增71.13%; 过往5年营收增-8.21%, 利润增-150.65%
Income profile:
</v>
      </c>
      <c r="D36" t="s">
        <v>179</v>
      </c>
      <c r="E36" t="s">
        <v>2436</v>
      </c>
      <c r="F36" t="s">
        <v>28</v>
      </c>
      <c r="G36" t="s">
        <v>28</v>
      </c>
      <c r="H36" t="s">
        <v>28</v>
      </c>
      <c r="I36">
        <v>455441560</v>
      </c>
      <c r="K36">
        <v>6.39</v>
      </c>
      <c r="L36" t="s">
        <v>1747</v>
      </c>
      <c r="M36" t="s">
        <v>2437</v>
      </c>
      <c r="N36" t="s">
        <v>2438</v>
      </c>
      <c r="O36" t="s">
        <v>2439</v>
      </c>
      <c r="P36">
        <v>-15.37</v>
      </c>
      <c r="Q36" t="s">
        <v>500</v>
      </c>
      <c r="R36">
        <v>-5478250</v>
      </c>
      <c r="S36" s="5">
        <v>0.71130000000000004</v>
      </c>
      <c r="T36" t="s">
        <v>1588</v>
      </c>
      <c r="U36">
        <v>668273990</v>
      </c>
      <c r="V36">
        <v>669767000</v>
      </c>
      <c r="W36" t="s">
        <v>28</v>
      </c>
      <c r="X36">
        <v>0.02</v>
      </c>
      <c r="Y36">
        <v>-9.01</v>
      </c>
      <c r="Z36" t="s">
        <v>2440</v>
      </c>
      <c r="AA36" t="s">
        <v>2441</v>
      </c>
      <c r="AB36" t="s">
        <v>2442</v>
      </c>
      <c r="AC36" t="s">
        <v>2443</v>
      </c>
      <c r="AD36" t="s">
        <v>28</v>
      </c>
      <c r="AE36">
        <v>24946235</v>
      </c>
      <c r="AF36" t="s">
        <v>2444</v>
      </c>
      <c r="AG36" t="s">
        <v>2445</v>
      </c>
      <c r="AH36" t="s">
        <v>2446</v>
      </c>
      <c r="AI36" t="s">
        <v>2447</v>
      </c>
      <c r="AJ36" t="s">
        <v>2448</v>
      </c>
      <c r="AK36" t="s">
        <v>2449</v>
      </c>
      <c r="AL36" t="s">
        <v>2450</v>
      </c>
      <c r="AM36" t="s">
        <v>28</v>
      </c>
      <c r="AN36" t="s">
        <v>745</v>
      </c>
      <c r="AO36" t="s">
        <v>740</v>
      </c>
      <c r="AP36" t="s">
        <v>28</v>
      </c>
      <c r="AQ36" t="s">
        <v>1508</v>
      </c>
      <c r="AR36" t="s">
        <v>28</v>
      </c>
      <c r="AS36" t="s">
        <v>1676</v>
      </c>
      <c r="AT36" t="s">
        <v>1213</v>
      </c>
      <c r="AU36" t="s">
        <v>2451</v>
      </c>
      <c r="AV36" t="s">
        <v>2452</v>
      </c>
      <c r="AW36" t="s">
        <v>2453</v>
      </c>
      <c r="AX36" t="s">
        <v>300</v>
      </c>
      <c r="AY36" t="s">
        <v>90</v>
      </c>
      <c r="AZ36" t="s">
        <v>496</v>
      </c>
      <c r="BA36" t="s">
        <v>180</v>
      </c>
      <c r="BB36" t="s">
        <v>393</v>
      </c>
      <c r="BC36" t="s">
        <v>1345</v>
      </c>
      <c r="BD36" t="s">
        <v>970</v>
      </c>
      <c r="BE36" t="s">
        <v>497</v>
      </c>
      <c r="BF36" t="s">
        <v>181</v>
      </c>
      <c r="BG36" t="s">
        <v>150</v>
      </c>
      <c r="BH36" t="s">
        <v>500</v>
      </c>
      <c r="BI36" t="s">
        <v>2454</v>
      </c>
      <c r="BJ36" t="s">
        <v>300</v>
      </c>
      <c r="BK36" t="s">
        <v>1588</v>
      </c>
      <c r="BL36" t="s">
        <v>2455</v>
      </c>
      <c r="BM36" t="s">
        <v>1345</v>
      </c>
      <c r="BN36" t="s">
        <v>28</v>
      </c>
      <c r="BO36" t="s">
        <v>28</v>
      </c>
      <c r="BP36" t="s">
        <v>28</v>
      </c>
      <c r="BQ36">
        <v>-78.36</v>
      </c>
      <c r="BR36">
        <v>-105.8</v>
      </c>
      <c r="BS36">
        <v>-115.24</v>
      </c>
      <c r="BT36" t="s">
        <v>1244</v>
      </c>
      <c r="BU36" t="s">
        <v>1159</v>
      </c>
      <c r="BV36">
        <v>24.38</v>
      </c>
      <c r="BW36">
        <v>15.82</v>
      </c>
      <c r="BX36">
        <v>-297.81</v>
      </c>
      <c r="BY36">
        <v>-41.44</v>
      </c>
      <c r="BZ36">
        <v>-155.01</v>
      </c>
      <c r="CA36">
        <v>-1019.63</v>
      </c>
      <c r="CB36">
        <v>0</v>
      </c>
      <c r="CC36">
        <v>-17.07</v>
      </c>
      <c r="CD36" t="s">
        <v>28</v>
      </c>
      <c r="CE36" t="s">
        <v>2456</v>
      </c>
      <c r="CF36" s="10">
        <v>-0.15370596187027186</v>
      </c>
      <c r="CG36" s="11">
        <v>0.71131399362369241</v>
      </c>
      <c r="CH36" s="10">
        <v>1.5151515603065491E-2</v>
      </c>
      <c r="CI36" s="10">
        <v>0.94117647409439087</v>
      </c>
      <c r="CJ36" s="10">
        <v>-0.68298369646072388</v>
      </c>
      <c r="CK36" s="10">
        <v>-0.55265903472900391</v>
      </c>
      <c r="CL36" s="10">
        <v>-0.13134057819843292</v>
      </c>
      <c r="CM36" s="11">
        <v>0.72020727396011353</v>
      </c>
      <c r="CN36" s="11">
        <v>0.703987717628479</v>
      </c>
      <c r="CO36" s="11">
        <v>-1.7744680643081665</v>
      </c>
      <c r="CP36" s="11">
        <v>-6.836667537689209</v>
      </c>
      <c r="CQ36" s="11">
        <v>-0.34532195329666138</v>
      </c>
      <c r="CR36">
        <v>-1.3236536598706519</v>
      </c>
      <c r="CS36">
        <v>-0.16116358371633854</v>
      </c>
      <c r="CT36">
        <v>0</v>
      </c>
      <c r="CU36" s="10">
        <v>-8.2131063938140875E-2</v>
      </c>
      <c r="CV36" s="11">
        <v>-1.5064525127410888</v>
      </c>
      <c r="CW36">
        <v>0.06</v>
      </c>
      <c r="CX36" t="e">
        <v>#VALUE!</v>
      </c>
      <c r="CY36" t="s">
        <v>1157</v>
      </c>
      <c r="CZ36">
        <v>-8.2131063938140875E-2</v>
      </c>
      <c r="DA36" t="e">
        <v>#VALUE!</v>
      </c>
      <c r="DB36" t="s">
        <v>1158</v>
      </c>
      <c r="DC36">
        <v>-7.802451074123383E-2</v>
      </c>
      <c r="DD36" t="e">
        <v>#VALUE!</v>
      </c>
      <c r="DE36" t="s">
        <v>1158</v>
      </c>
      <c r="DF36">
        <v>-7.2275336265563969E-2</v>
      </c>
      <c r="DG36" t="e">
        <v>#VALUE!</v>
      </c>
      <c r="DH36" t="s">
        <v>1158</v>
      </c>
      <c r="DI36">
        <v>-6.5704851150512708E-2</v>
      </c>
      <c r="DJ36" t="e">
        <v>#VALUE!</v>
      </c>
      <c r="DK36" t="s">
        <v>1158</v>
      </c>
      <c r="DL36">
        <v>-5.7491744756698611E-2</v>
      </c>
      <c r="DM36">
        <v>-108000000</v>
      </c>
      <c r="DN36">
        <v>-8.2131063938140875E-2</v>
      </c>
      <c r="DO36">
        <v>3643762760</v>
      </c>
      <c r="DP36">
        <v>-2098774260</v>
      </c>
      <c r="DQ36">
        <v>1747</v>
      </c>
      <c r="DR36">
        <v>-7.1574897932130982E-2</v>
      </c>
      <c r="DS36">
        <v>2.2177665063647813</v>
      </c>
      <c r="DT36" s="12">
        <v>-0.52333333333333332</v>
      </c>
      <c r="DU36">
        <v>-1.6516666666666664</v>
      </c>
      <c r="DV36">
        <v>-2.1749999999999998</v>
      </c>
      <c r="DW36">
        <v>-3.0121011904761903</v>
      </c>
      <c r="DX36" t="e">
        <v>#VALUE!</v>
      </c>
      <c r="DY36">
        <v>-3</v>
      </c>
      <c r="DZ36">
        <v>4516</v>
      </c>
      <c r="EA36">
        <v>-3</v>
      </c>
      <c r="EB36">
        <v>3</v>
      </c>
      <c r="EC36">
        <v>0</v>
      </c>
      <c r="ED36">
        <v>1.9812860293206442</v>
      </c>
      <c r="EE36" s="15">
        <v>-6.0648</v>
      </c>
      <c r="EF36">
        <v>-6.0648</v>
      </c>
      <c r="EG36" t="e">
        <v>#VALUE!</v>
      </c>
      <c r="EH36" t="s">
        <v>1919</v>
      </c>
      <c r="EI36">
        <v>0</v>
      </c>
      <c r="EJ36">
        <v>0</v>
      </c>
      <c r="EK36" s="14">
        <v>45470</v>
      </c>
      <c r="EL36" s="16">
        <v>0</v>
      </c>
      <c r="EM36" s="16">
        <v>0</v>
      </c>
      <c r="EN36" s="16">
        <v>0</v>
      </c>
      <c r="EO36" s="16">
        <v>0</v>
      </c>
      <c r="EP36" s="16">
        <v>0</v>
      </c>
    </row>
    <row r="37" spans="1:146" ht="108" x14ac:dyDescent="0.25">
      <c r="A37" s="7"/>
      <c r="B37" s="7"/>
      <c r="C37" s="7" t="str">
        <f>""&amp;CHAR(10)&amp;Basic_Fundamental_Information_Constructure(F37)&amp;CHAR(10)&amp;Basic_Fundamental_Information_Concatenate("")</f>
        <v xml:space="preserve">
市值21.597922亿, 利润-9.90亿; PE; 平均PE-3.85; 平均PEG-.21, PB8.32; ROIC0%; ROE-20.2167%; 股利率0%; 毛利-6.4%; 净利-61.61%; 上一年度营收增-45.98%, 利润增-79.35%; 当季营收增9.43%, 利润增74.8%; 过往5年营收增-18.17%, 利润增-581.58%
Income profile:
</v>
      </c>
      <c r="D37" t="s">
        <v>185</v>
      </c>
      <c r="E37" t="s">
        <v>10</v>
      </c>
      <c r="F37">
        <v>1.39</v>
      </c>
      <c r="G37">
        <v>2.96</v>
      </c>
      <c r="H37" t="s">
        <v>2457</v>
      </c>
      <c r="I37">
        <v>2159792200</v>
      </c>
      <c r="K37">
        <v>8.32</v>
      </c>
      <c r="L37" t="s">
        <v>1747</v>
      </c>
      <c r="M37" t="s">
        <v>2458</v>
      </c>
      <c r="N37" t="s">
        <v>2459</v>
      </c>
      <c r="O37" t="s">
        <v>164</v>
      </c>
      <c r="P37">
        <v>9.64</v>
      </c>
      <c r="Q37" t="s">
        <v>1661</v>
      </c>
      <c r="R37">
        <v>-20034001</v>
      </c>
      <c r="S37" s="6">
        <v>0.748</v>
      </c>
      <c r="T37" t="s">
        <v>2460</v>
      </c>
      <c r="U37">
        <v>1553774900</v>
      </c>
      <c r="V37">
        <v>1553807300</v>
      </c>
      <c r="W37">
        <v>10.050000000000001</v>
      </c>
      <c r="X37">
        <v>0.02</v>
      </c>
      <c r="Y37">
        <v>-13.72</v>
      </c>
      <c r="Z37" t="s">
        <v>155</v>
      </c>
      <c r="AA37" t="s">
        <v>114</v>
      </c>
      <c r="AB37" t="s">
        <v>2461</v>
      </c>
      <c r="AC37" t="s">
        <v>2462</v>
      </c>
      <c r="AD37" t="s">
        <v>28</v>
      </c>
      <c r="AE37">
        <v>46134353</v>
      </c>
      <c r="AF37" t="s">
        <v>2463</v>
      </c>
      <c r="AG37" t="s">
        <v>2464</v>
      </c>
      <c r="AH37" t="s">
        <v>2465</v>
      </c>
      <c r="AI37" t="s">
        <v>368</v>
      </c>
      <c r="AJ37" t="s">
        <v>2466</v>
      </c>
      <c r="AK37" t="s">
        <v>2467</v>
      </c>
      <c r="AL37" t="s">
        <v>2468</v>
      </c>
      <c r="AM37" t="s">
        <v>28</v>
      </c>
      <c r="AN37" t="s">
        <v>2469</v>
      </c>
      <c r="AO37" t="s">
        <v>1207</v>
      </c>
      <c r="AP37" t="s">
        <v>28</v>
      </c>
      <c r="AQ37" t="s">
        <v>1641</v>
      </c>
      <c r="AR37" t="s">
        <v>2470</v>
      </c>
      <c r="AS37" t="s">
        <v>2471</v>
      </c>
      <c r="AT37" t="s">
        <v>2472</v>
      </c>
      <c r="AU37" t="s">
        <v>2473</v>
      </c>
      <c r="AV37" t="s">
        <v>2474</v>
      </c>
      <c r="AW37" t="s">
        <v>2191</v>
      </c>
      <c r="AX37" t="s">
        <v>1346</v>
      </c>
      <c r="AY37" t="s">
        <v>1643</v>
      </c>
      <c r="AZ37" t="s">
        <v>972</v>
      </c>
      <c r="BA37" t="s">
        <v>1340</v>
      </c>
      <c r="BB37" t="s">
        <v>2475</v>
      </c>
      <c r="BC37" t="s">
        <v>1347</v>
      </c>
      <c r="BD37" t="s">
        <v>971</v>
      </c>
      <c r="BE37" t="s">
        <v>501</v>
      </c>
      <c r="BF37" t="s">
        <v>186</v>
      </c>
      <c r="BG37" t="s">
        <v>2476</v>
      </c>
      <c r="BH37" t="s">
        <v>1661</v>
      </c>
      <c r="BI37" t="s">
        <v>352</v>
      </c>
      <c r="BJ37" t="s">
        <v>1346</v>
      </c>
      <c r="BK37" t="s">
        <v>2460</v>
      </c>
      <c r="BL37" t="s">
        <v>2477</v>
      </c>
      <c r="BM37" t="s">
        <v>1347</v>
      </c>
      <c r="BN37" t="s">
        <v>28</v>
      </c>
      <c r="BO37" t="s">
        <v>28</v>
      </c>
      <c r="BP37" t="s">
        <v>28</v>
      </c>
      <c r="BQ37">
        <v>-23.67</v>
      </c>
      <c r="BR37">
        <v>-35.11</v>
      </c>
      <c r="BS37">
        <v>-1.87</v>
      </c>
      <c r="BT37" t="s">
        <v>1244</v>
      </c>
      <c r="BU37" t="s">
        <v>1153</v>
      </c>
      <c r="BV37">
        <v>-33.94</v>
      </c>
      <c r="BW37">
        <v>2.23</v>
      </c>
      <c r="BX37">
        <v>12.51</v>
      </c>
      <c r="BY37">
        <v>-141.88999999999999</v>
      </c>
      <c r="BZ37">
        <v>-41.7</v>
      </c>
      <c r="CA37">
        <v>-1.24</v>
      </c>
      <c r="CB37">
        <v>19.829999999999998</v>
      </c>
      <c r="CC37">
        <v>-15.76</v>
      </c>
      <c r="CD37" t="s">
        <v>296</v>
      </c>
      <c r="CE37" t="s">
        <v>878</v>
      </c>
      <c r="CF37" s="10">
        <v>9.4339622641509441E-2</v>
      </c>
      <c r="CG37" s="11">
        <v>0.74796701706889956</v>
      </c>
      <c r="CH37" s="10">
        <v>-0.45977863669395447</v>
      </c>
      <c r="CI37" s="10">
        <v>-0.4214346706867218</v>
      </c>
      <c r="CJ37" s="10">
        <v>-4.4471617788076401E-2</v>
      </c>
      <c r="CK37" s="10">
        <v>0.17553956806659698</v>
      </c>
      <c r="CL37" s="10">
        <v>-0.15825590491294861</v>
      </c>
      <c r="CM37" s="11">
        <v>-0.79347825050354004</v>
      </c>
      <c r="CN37" s="11">
        <v>-14.31890869140625</v>
      </c>
      <c r="CO37" s="11">
        <v>0.93188303709030151</v>
      </c>
      <c r="CP37" s="11">
        <v>-15.925624847412109</v>
      </c>
      <c r="CQ37" s="11">
        <v>1.0273686647415161</v>
      </c>
      <c r="CR37">
        <v>-3.8492205543797038</v>
      </c>
      <c r="CS37">
        <v>-0.21186785594292259</v>
      </c>
      <c r="CT37">
        <v>0</v>
      </c>
      <c r="CU37" s="10">
        <v>-0.18168025240302085</v>
      </c>
      <c r="CV37" s="11">
        <v>-5.8157520174980162</v>
      </c>
      <c r="CW37">
        <v>0.06</v>
      </c>
      <c r="CX37" t="e">
        <v>#VALUE!</v>
      </c>
      <c r="CY37" t="s">
        <v>1157</v>
      </c>
      <c r="CZ37">
        <v>-0.18168025240302085</v>
      </c>
      <c r="DA37" t="e">
        <v>#VALUE!</v>
      </c>
      <c r="DB37" t="s">
        <v>1158</v>
      </c>
      <c r="DC37">
        <v>-0.17259623978286981</v>
      </c>
      <c r="DD37" t="e">
        <v>#VALUE!</v>
      </c>
      <c r="DE37" t="s">
        <v>1158</v>
      </c>
      <c r="DF37">
        <v>-0.15987862211465836</v>
      </c>
      <c r="DG37" t="e">
        <v>#VALUE!</v>
      </c>
      <c r="DH37" t="s">
        <v>1158</v>
      </c>
      <c r="DI37">
        <v>-0.14534420192241668</v>
      </c>
      <c r="DJ37" t="e">
        <v>#VALUE!</v>
      </c>
      <c r="DK37" t="s">
        <v>1158</v>
      </c>
      <c r="DL37">
        <v>-0.12717617668211459</v>
      </c>
      <c r="DM37">
        <v>-990000000</v>
      </c>
      <c r="DN37">
        <v>-0.18168025240302085</v>
      </c>
      <c r="DO37">
        <v>10408792200</v>
      </c>
      <c r="DP37">
        <v>-2638493100</v>
      </c>
      <c r="DQ37">
        <v>1751</v>
      </c>
      <c r="DR37">
        <v>0.27601987504453029</v>
      </c>
      <c r="DS37">
        <v>6.5637190345669154</v>
      </c>
      <c r="DT37" s="12">
        <v>-0.7400000000000001</v>
      </c>
      <c r="DU37">
        <v>-2.0849999999999995</v>
      </c>
      <c r="DV37">
        <v>-2.8249999999999997</v>
      </c>
      <c r="DW37">
        <v>5.7947554210791727</v>
      </c>
      <c r="DX37">
        <v>0.48060263653484087</v>
      </c>
      <c r="DY37">
        <v>5.2230104665551726</v>
      </c>
      <c r="DZ37">
        <v>4844</v>
      </c>
      <c r="EA37">
        <v>5.0116087640124611</v>
      </c>
      <c r="EB37">
        <v>5</v>
      </c>
      <c r="EC37">
        <v>0.19178697384160828</v>
      </c>
      <c r="ED37">
        <v>0.68348243697915434</v>
      </c>
      <c r="EE37" s="15">
        <v>-5.0578000000000003</v>
      </c>
      <c r="EF37">
        <v>-5.0131100000000002</v>
      </c>
      <c r="EG37">
        <v>20.280602636534841</v>
      </c>
      <c r="EH37" t="s">
        <v>2478</v>
      </c>
      <c r="EI37">
        <v>1</v>
      </c>
      <c r="EJ37">
        <v>0</v>
      </c>
      <c r="EK37" s="14">
        <v>45470</v>
      </c>
      <c r="EL37" s="16">
        <v>-2.52</v>
      </c>
      <c r="EM37" s="16">
        <v>-7.76</v>
      </c>
      <c r="EN37" s="16">
        <v>19.63</v>
      </c>
      <c r="EO37" s="16">
        <v>-0.78</v>
      </c>
      <c r="EP37" s="16">
        <v>-7.09</v>
      </c>
    </row>
    <row r="38" spans="1:146" x14ac:dyDescent="0.25">
      <c r="A38" s="7"/>
      <c r="B38" s="7"/>
      <c r="C38" s="7" t="str">
        <f>""&amp;CHAR(10)&amp;Basic_Fundamental_Information_Constructure(F38)&amp;CHAR(10)&amp;Basic_Fundamental_Information_Concatenate("")</f>
        <v xml:space="preserve">
市值37.057992亿, 利润2.49亿; PE21.26; 平均PE17.93; 平均PEG1.49, PB.854; ROIC2.5533%; ROE5.16%; 股利率.9957%; 毛利34.4267%; 净利11.8733%; 上一年度营收增-14.76%, 利润增34.59%; 当季营收增-44.37%, 利润增-164.36%; 过往5年营收增-12.03%, 利润增47.63%
Income profile:
</v>
      </c>
      <c r="D38" t="s">
        <v>198</v>
      </c>
      <c r="E38" t="s">
        <v>199</v>
      </c>
      <c r="F38">
        <v>2.31</v>
      </c>
      <c r="G38">
        <v>2.67</v>
      </c>
      <c r="H38" t="s">
        <v>2479</v>
      </c>
      <c r="I38">
        <v>3705799200</v>
      </c>
      <c r="J38">
        <v>21.26</v>
      </c>
      <c r="K38">
        <v>0.85399999999999998</v>
      </c>
      <c r="L38" t="s">
        <v>1747</v>
      </c>
      <c r="M38" t="s">
        <v>2480</v>
      </c>
      <c r="N38" t="s">
        <v>2481</v>
      </c>
      <c r="O38" t="s">
        <v>250</v>
      </c>
      <c r="P38">
        <v>-44.24</v>
      </c>
      <c r="Q38" t="s">
        <v>1691</v>
      </c>
      <c r="R38">
        <v>-29310588</v>
      </c>
      <c r="S38" s="5">
        <v>-1.6439999999999999</v>
      </c>
      <c r="T38" t="s">
        <v>1299</v>
      </c>
      <c r="U38">
        <v>1368773200</v>
      </c>
      <c r="V38">
        <v>1604242100</v>
      </c>
      <c r="W38">
        <v>2.61</v>
      </c>
      <c r="X38">
        <v>0.01</v>
      </c>
      <c r="Y38">
        <v>-18.63</v>
      </c>
      <c r="Z38" t="s">
        <v>517</v>
      </c>
      <c r="AA38" t="s">
        <v>470</v>
      </c>
      <c r="AB38" t="s">
        <v>2482</v>
      </c>
      <c r="AC38" t="s">
        <v>2483</v>
      </c>
      <c r="AD38" t="s">
        <v>28</v>
      </c>
      <c r="AE38">
        <v>4287306</v>
      </c>
      <c r="AF38" t="s">
        <v>2484</v>
      </c>
      <c r="AG38" t="s">
        <v>2485</v>
      </c>
      <c r="AH38" t="s">
        <v>2486</v>
      </c>
      <c r="AI38" t="s">
        <v>2487</v>
      </c>
      <c r="AJ38" t="s">
        <v>2488</v>
      </c>
      <c r="AK38" t="s">
        <v>2489</v>
      </c>
      <c r="AL38" t="s">
        <v>2490</v>
      </c>
      <c r="AM38" t="s">
        <v>28</v>
      </c>
      <c r="AN38" t="s">
        <v>2491</v>
      </c>
      <c r="AO38" t="s">
        <v>1705</v>
      </c>
      <c r="AP38" t="s">
        <v>2492</v>
      </c>
      <c r="AQ38" t="s">
        <v>1400</v>
      </c>
      <c r="AR38" t="s">
        <v>2493</v>
      </c>
      <c r="AS38" t="s">
        <v>2494</v>
      </c>
      <c r="AT38" t="s">
        <v>2495</v>
      </c>
      <c r="AU38" t="s">
        <v>2496</v>
      </c>
      <c r="AV38" t="s">
        <v>2497</v>
      </c>
      <c r="AW38" t="s">
        <v>2498</v>
      </c>
      <c r="AX38" t="s">
        <v>1348</v>
      </c>
      <c r="AY38" t="s">
        <v>973</v>
      </c>
      <c r="AZ38" t="s">
        <v>512</v>
      </c>
      <c r="BA38" t="s">
        <v>200</v>
      </c>
      <c r="BB38" t="s">
        <v>513</v>
      </c>
      <c r="BC38" t="s">
        <v>285</v>
      </c>
      <c r="BD38" t="s">
        <v>280</v>
      </c>
      <c r="BE38" t="s">
        <v>469</v>
      </c>
      <c r="BF38" t="s">
        <v>201</v>
      </c>
      <c r="BG38" t="s">
        <v>514</v>
      </c>
      <c r="BH38" t="s">
        <v>1691</v>
      </c>
      <c r="BI38" t="s">
        <v>1196</v>
      </c>
      <c r="BJ38" t="s">
        <v>1348</v>
      </c>
      <c r="BK38" t="s">
        <v>1299</v>
      </c>
      <c r="BL38" t="s">
        <v>2499</v>
      </c>
      <c r="BM38" t="s">
        <v>285</v>
      </c>
      <c r="BN38">
        <v>2.71</v>
      </c>
      <c r="BO38">
        <v>1.75</v>
      </c>
      <c r="BP38">
        <v>3.2</v>
      </c>
      <c r="BQ38">
        <v>6.51</v>
      </c>
      <c r="BR38">
        <v>2.94</v>
      </c>
      <c r="BS38">
        <v>6.03</v>
      </c>
      <c r="BT38" t="s">
        <v>2500</v>
      </c>
      <c r="BU38" t="s">
        <v>1153</v>
      </c>
      <c r="BV38">
        <v>27.18</v>
      </c>
      <c r="BW38">
        <v>36.78</v>
      </c>
      <c r="BX38">
        <v>39.32</v>
      </c>
      <c r="BY38">
        <v>13.87</v>
      </c>
      <c r="BZ38">
        <v>9.09</v>
      </c>
      <c r="CA38">
        <v>12.66</v>
      </c>
      <c r="CB38">
        <v>5</v>
      </c>
      <c r="CC38">
        <v>-16</v>
      </c>
      <c r="CD38" t="s">
        <v>2501</v>
      </c>
      <c r="CE38" t="s">
        <v>2502</v>
      </c>
      <c r="CF38" s="10">
        <v>-0.44368600682593856</v>
      </c>
      <c r="CG38" s="11">
        <v>-1.6436229249011858</v>
      </c>
      <c r="CH38" s="10">
        <v>-0.14761480689048767</v>
      </c>
      <c r="CI38" s="10">
        <v>-0.23668839037418365</v>
      </c>
      <c r="CJ38" s="10">
        <v>0.14516125619411469</v>
      </c>
      <c r="CK38" s="10">
        <v>-0.10869560390710831</v>
      </c>
      <c r="CL38" s="10">
        <v>-0.25359851121902466</v>
      </c>
      <c r="CM38" s="11">
        <v>0.34594595432281494</v>
      </c>
      <c r="CN38" s="11">
        <v>-0.40129449963569641</v>
      </c>
      <c r="CO38" s="11">
        <v>0.33189654350280762</v>
      </c>
      <c r="CP38" s="11">
        <v>2.8060429096221924</v>
      </c>
      <c r="CQ38" s="11">
        <v>-0.70119756460189819</v>
      </c>
      <c r="CR38">
        <v>17.931927084169217</v>
      </c>
      <c r="CS38">
        <v>1.4907592336220761</v>
      </c>
      <c r="CT38">
        <v>0.99567099567099571</v>
      </c>
      <c r="CU38" s="10">
        <v>-0.12028721123933792</v>
      </c>
      <c r="CV38" s="11">
        <v>0.47627866864204405</v>
      </c>
      <c r="CW38">
        <v>0.06</v>
      </c>
      <c r="CX38" t="e">
        <v>#VALUE!</v>
      </c>
      <c r="CY38" t="s">
        <v>1897</v>
      </c>
      <c r="CZ38">
        <v>-0.12028721123933792</v>
      </c>
      <c r="DA38">
        <v>10.499061847389559</v>
      </c>
      <c r="DB38" t="s">
        <v>2503</v>
      </c>
      <c r="DC38">
        <v>-0.11427285067737102</v>
      </c>
      <c r="DD38">
        <v>5.2495309236947794</v>
      </c>
      <c r="DE38" t="s">
        <v>2504</v>
      </c>
      <c r="DF38">
        <v>-0.10585274589061737</v>
      </c>
      <c r="DG38">
        <v>3.1497185542168675</v>
      </c>
      <c r="DH38" t="s">
        <v>2505</v>
      </c>
      <c r="DI38">
        <v>-9.6229768991470344E-2</v>
      </c>
      <c r="DJ38">
        <v>1.5748592771084338</v>
      </c>
      <c r="DK38" t="s">
        <v>2506</v>
      </c>
      <c r="DL38">
        <v>-8.420104786753653E-2</v>
      </c>
      <c r="DM38">
        <v>249000000.00000003</v>
      </c>
      <c r="DN38">
        <v>-0.12028721123933792</v>
      </c>
      <c r="DO38">
        <v>7842799200</v>
      </c>
      <c r="DP38">
        <v>1444691400</v>
      </c>
      <c r="DQ38">
        <v>1833</v>
      </c>
      <c r="DR38">
        <v>-0.32339879558660067</v>
      </c>
      <c r="DS38">
        <v>-2.1199015935432297</v>
      </c>
      <c r="DT38" s="12">
        <v>-0.69</v>
      </c>
      <c r="DU38">
        <v>-0.48333333333333334</v>
      </c>
      <c r="DV38">
        <v>-1.1733333333333333</v>
      </c>
      <c r="DW38">
        <v>6.2380952380952381</v>
      </c>
      <c r="DX38">
        <v>0.39197542329020263</v>
      </c>
      <c r="DY38">
        <v>6.0409465293548106</v>
      </c>
      <c r="DZ38">
        <v>3737</v>
      </c>
      <c r="EA38">
        <v>6.0110018756955297</v>
      </c>
      <c r="EB38">
        <v>6</v>
      </c>
      <c r="EC38">
        <v>5.799542350870858E-2</v>
      </c>
      <c r="ED38">
        <v>0.33723089551134455</v>
      </c>
      <c r="EE38" s="15">
        <v>-2.1052</v>
      </c>
      <c r="EF38">
        <v>-2.0876000000000001</v>
      </c>
      <c r="EG38">
        <v>22.171975423290203</v>
      </c>
      <c r="EH38" t="s">
        <v>1553</v>
      </c>
      <c r="EI38">
        <v>0</v>
      </c>
      <c r="EJ38">
        <v>0</v>
      </c>
      <c r="EK38" s="14">
        <v>45470</v>
      </c>
      <c r="EL38" s="16">
        <v>1.32</v>
      </c>
      <c r="EM38" s="16">
        <v>-4.3499999999999996</v>
      </c>
      <c r="EN38" s="16">
        <v>0.45</v>
      </c>
      <c r="EO38" s="16">
        <v>2.71</v>
      </c>
      <c r="EP38" s="16">
        <v>-1.76</v>
      </c>
    </row>
    <row r="39" spans="1:146" ht="108" x14ac:dyDescent="0.25">
      <c r="A39" s="7"/>
      <c r="B39" s="7"/>
      <c r="C39" s="7" t="str">
        <f>""&amp;CHAR(10)&amp;Basic_Fundamental_Information_Constructure(F39)&amp;CHAR(10)&amp;Basic_Fundamental_Information_Concatenate("")</f>
        <v xml:space="preserve">
市值38.070261亿, 利润3.92亿; PE9.22; 平均PE10.87; 平均PEG11.19, PB.915; ROIC4.7933%; ROE8.89%; 股利率2.3256%; 毛利25.6033%; 净利9.8767%; 上一年度营收增.71%, 利润增-3.21%; 当季营收增10.52%, 利润增37.57%; 过往5年营收增.97%, 利润增7.11%
Income profile:
</v>
      </c>
      <c r="D39" t="s">
        <v>756</v>
      </c>
      <c r="E39" t="s">
        <v>757</v>
      </c>
      <c r="F39">
        <v>5.59</v>
      </c>
      <c r="G39">
        <v>0.9</v>
      </c>
      <c r="H39" t="s">
        <v>2507</v>
      </c>
      <c r="I39">
        <v>3807026100</v>
      </c>
      <c r="J39">
        <v>9.2200000000000006</v>
      </c>
      <c r="K39">
        <v>0.91500000000000004</v>
      </c>
      <c r="L39" t="s">
        <v>1747</v>
      </c>
      <c r="M39" t="s">
        <v>2508</v>
      </c>
      <c r="N39" t="s">
        <v>2509</v>
      </c>
      <c r="O39" t="s">
        <v>1759</v>
      </c>
      <c r="P39">
        <v>10.52</v>
      </c>
      <c r="Q39" t="s">
        <v>2510</v>
      </c>
      <c r="R39">
        <v>75368810</v>
      </c>
      <c r="S39" s="5">
        <v>0.37569999999999998</v>
      </c>
      <c r="T39" t="s">
        <v>775</v>
      </c>
      <c r="U39">
        <v>679020100</v>
      </c>
      <c r="V39">
        <v>681042230</v>
      </c>
      <c r="W39">
        <v>3.52</v>
      </c>
      <c r="X39">
        <v>0.05</v>
      </c>
      <c r="Y39">
        <v>10.25</v>
      </c>
      <c r="Z39" t="s">
        <v>415</v>
      </c>
      <c r="AA39" t="s">
        <v>1314</v>
      </c>
      <c r="AB39" t="s">
        <v>2511</v>
      </c>
      <c r="AC39" t="s">
        <v>2512</v>
      </c>
      <c r="AD39" t="s">
        <v>28</v>
      </c>
      <c r="AE39">
        <v>59173711</v>
      </c>
      <c r="AF39" t="s">
        <v>2513</v>
      </c>
      <c r="AG39" t="s">
        <v>2514</v>
      </c>
      <c r="AH39" t="s">
        <v>2515</v>
      </c>
      <c r="AI39" t="s">
        <v>1321</v>
      </c>
      <c r="AJ39" t="s">
        <v>2516</v>
      </c>
      <c r="AK39" t="s">
        <v>1483</v>
      </c>
      <c r="AL39" t="s">
        <v>2517</v>
      </c>
      <c r="AM39" t="s">
        <v>28</v>
      </c>
      <c r="AN39" t="s">
        <v>2518</v>
      </c>
      <c r="AO39" t="s">
        <v>2519</v>
      </c>
      <c r="AP39" t="s">
        <v>346</v>
      </c>
      <c r="AQ39" t="s">
        <v>2520</v>
      </c>
      <c r="AR39" t="s">
        <v>28</v>
      </c>
      <c r="AS39" t="s">
        <v>2521</v>
      </c>
      <c r="AT39" t="s">
        <v>2522</v>
      </c>
      <c r="AU39" t="s">
        <v>1631</v>
      </c>
      <c r="AV39" t="s">
        <v>2523</v>
      </c>
      <c r="AW39" t="s">
        <v>63</v>
      </c>
      <c r="AX39" t="s">
        <v>1350</v>
      </c>
      <c r="AY39" t="s">
        <v>974</v>
      </c>
      <c r="AZ39" t="s">
        <v>758</v>
      </c>
      <c r="BA39" t="s">
        <v>759</v>
      </c>
      <c r="BB39" t="s">
        <v>760</v>
      </c>
      <c r="BC39" t="s">
        <v>1208</v>
      </c>
      <c r="BD39" t="s">
        <v>81</v>
      </c>
      <c r="BE39" t="s">
        <v>648</v>
      </c>
      <c r="BF39" t="s">
        <v>195</v>
      </c>
      <c r="BG39" t="s">
        <v>123</v>
      </c>
      <c r="BH39" t="s">
        <v>2510</v>
      </c>
      <c r="BI39" t="s">
        <v>51</v>
      </c>
      <c r="BJ39" t="s">
        <v>1350</v>
      </c>
      <c r="BK39" t="s">
        <v>775</v>
      </c>
      <c r="BL39" t="s">
        <v>2524</v>
      </c>
      <c r="BM39" t="s">
        <v>1208</v>
      </c>
      <c r="BN39">
        <v>3.54</v>
      </c>
      <c r="BO39">
        <v>5.39</v>
      </c>
      <c r="BP39">
        <v>5.45</v>
      </c>
      <c r="BQ39">
        <v>6.34</v>
      </c>
      <c r="BR39">
        <v>9.9</v>
      </c>
      <c r="BS39">
        <v>10.43</v>
      </c>
      <c r="BT39" t="s">
        <v>1398</v>
      </c>
      <c r="BU39" t="s">
        <v>1159</v>
      </c>
      <c r="BV39">
        <v>27.01</v>
      </c>
      <c r="BW39">
        <v>24.95</v>
      </c>
      <c r="BX39">
        <v>24.85</v>
      </c>
      <c r="BY39">
        <v>10.29</v>
      </c>
      <c r="BZ39">
        <v>10.61</v>
      </c>
      <c r="CA39">
        <v>8.73</v>
      </c>
      <c r="CB39">
        <v>0.9</v>
      </c>
      <c r="CC39">
        <v>-7.76</v>
      </c>
      <c r="CD39" t="s">
        <v>2525</v>
      </c>
      <c r="CE39" t="s">
        <v>2526</v>
      </c>
      <c r="CF39" s="10">
        <v>0.10518934081346423</v>
      </c>
      <c r="CG39" s="11">
        <v>0.37565452766684432</v>
      </c>
      <c r="CH39" s="10">
        <v>7.074880413711071E-3</v>
      </c>
      <c r="CI39" s="10">
        <v>-8.4431566298007965E-2</v>
      </c>
      <c r="CJ39" s="10">
        <v>0.15714661777019501</v>
      </c>
      <c r="CK39" s="10">
        <v>-7.2182297706604004E-2</v>
      </c>
      <c r="CL39" s="10">
        <v>4.0938589721918106E-2</v>
      </c>
      <c r="CM39" s="11">
        <v>-3.2098766416311264E-2</v>
      </c>
      <c r="CN39" s="11">
        <v>0.10354223102331161</v>
      </c>
      <c r="CO39" s="11">
        <v>0.10876133292913437</v>
      </c>
      <c r="CP39" s="11">
        <v>1.5337423421442509E-2</v>
      </c>
      <c r="CQ39" s="11">
        <v>0.16014234721660614</v>
      </c>
      <c r="CR39">
        <v>10.866868030447193</v>
      </c>
      <c r="CS39">
        <v>11.192289695446163</v>
      </c>
      <c r="CT39">
        <v>2.3255813953488373</v>
      </c>
      <c r="CU39" s="10">
        <v>9.7092447802424424E-3</v>
      </c>
      <c r="CV39" s="11">
        <v>7.1136913634836679E-2</v>
      </c>
      <c r="CW39">
        <v>0.06</v>
      </c>
      <c r="CX39">
        <v>28.200247066733123</v>
      </c>
      <c r="CY39">
        <v>373401909.39042926</v>
      </c>
      <c r="CZ39">
        <v>9.7092447802424424E-3</v>
      </c>
      <c r="DA39">
        <v>9.869840913969286</v>
      </c>
      <c r="DB39">
        <v>1066889141.5561035</v>
      </c>
      <c r="DC39">
        <v>9.2237825412303191E-3</v>
      </c>
      <c r="DD39">
        <v>5.3096195825839612</v>
      </c>
      <c r="DE39">
        <v>1983197842.3726346</v>
      </c>
      <c r="DF39">
        <v>8.5441354066133502E-3</v>
      </c>
      <c r="DG39">
        <v>3.5097757808976886</v>
      </c>
      <c r="DH39">
        <v>3000199088.8736362</v>
      </c>
      <c r="DI39">
        <v>7.7673958241939543E-3</v>
      </c>
      <c r="DJ39">
        <v>2.2077907475509306</v>
      </c>
      <c r="DK39">
        <v>4769485564.553978</v>
      </c>
      <c r="DL39">
        <v>6.7964713461697093E-3</v>
      </c>
      <c r="DM39">
        <v>392000000</v>
      </c>
      <c r="DN39">
        <v>9.7092447802424424E-3</v>
      </c>
      <c r="DO39">
        <v>10530026100</v>
      </c>
      <c r="DP39">
        <v>-418957400</v>
      </c>
      <c r="DQ39">
        <v>1861</v>
      </c>
      <c r="DR39">
        <v>9.5480096033221787E-2</v>
      </c>
      <c r="DS39">
        <v>0.30451761403200761</v>
      </c>
      <c r="DT39" s="12">
        <v>-0.3066666666666667</v>
      </c>
      <c r="DU39">
        <v>9.9999999999999992E-2</v>
      </c>
      <c r="DV39">
        <v>-0.20666666666666672</v>
      </c>
      <c r="DW39">
        <v>-2.0775999999999999</v>
      </c>
      <c r="DX39">
        <v>0.29716414593160667</v>
      </c>
      <c r="DY39">
        <v>-2.0106439377242928</v>
      </c>
      <c r="DZ39">
        <v>2220</v>
      </c>
      <c r="EA39">
        <v>-2.0060197612569874</v>
      </c>
      <c r="EB39">
        <v>2</v>
      </c>
      <c r="EC39">
        <v>1.9007778709992772E-2</v>
      </c>
      <c r="ED39">
        <v>0.13857686916125597</v>
      </c>
      <c r="EE39" s="15">
        <v>-1.01681</v>
      </c>
      <c r="EF39">
        <v>-1.03461</v>
      </c>
      <c r="EG39">
        <v>16.137164145931607</v>
      </c>
      <c r="EH39" t="s">
        <v>1168</v>
      </c>
      <c r="EI39">
        <v>0</v>
      </c>
      <c r="EJ39">
        <v>0</v>
      </c>
      <c r="EK39" s="14">
        <v>45470</v>
      </c>
      <c r="EL39" s="16">
        <v>0.53</v>
      </c>
      <c r="EM39" s="16">
        <v>-3.67</v>
      </c>
      <c r="EN39" s="16">
        <v>0.54</v>
      </c>
      <c r="EO39" s="16">
        <v>1.44</v>
      </c>
      <c r="EP39" s="16">
        <v>-1.78</v>
      </c>
    </row>
    <row r="40" spans="1:146" ht="108" x14ac:dyDescent="0.25">
      <c r="A40" s="7"/>
      <c r="B40" s="7"/>
      <c r="C40" s="7" t="str">
        <f>""&amp;CHAR(10)&amp;Basic_Fundamental_Information_Constructure(F40)&amp;CHAR(10)&amp;Basic_Fundamental_Information_Concatenate("")</f>
        <v xml:space="preserve">
市值23.656769亿, 利润-2.16亿; PE; 平均PE-30.39; 平均PEG-6.82, PB1.15; ROIC1.74%; ROE-12.7%; 股利率0%; 毛利15.7433%; 净利-17.0633%; 上一年度营收增-9.94%, 利润增51.79%; 当季营收增53.43%, 利润增7224.25%; 过往5年营收增-4.45%, 利润增-62.03%
Income profile:
</v>
      </c>
      <c r="D40" t="s">
        <v>205</v>
      </c>
      <c r="E40" t="s">
        <v>21</v>
      </c>
      <c r="F40">
        <v>4.54</v>
      </c>
      <c r="G40">
        <v>2.25</v>
      </c>
      <c r="H40" t="s">
        <v>2527</v>
      </c>
      <c r="I40">
        <v>2365676900</v>
      </c>
      <c r="K40">
        <v>1.1499999999999999</v>
      </c>
      <c r="L40" t="s">
        <v>1747</v>
      </c>
      <c r="M40" t="s">
        <v>2528</v>
      </c>
      <c r="N40" t="s">
        <v>2529</v>
      </c>
      <c r="O40" t="s">
        <v>1586</v>
      </c>
      <c r="P40">
        <v>53.3</v>
      </c>
      <c r="Q40" t="s">
        <v>2530</v>
      </c>
      <c r="R40">
        <v>66716610</v>
      </c>
      <c r="S40" s="5">
        <v>72.239999999999995</v>
      </c>
      <c r="T40" t="s">
        <v>2531</v>
      </c>
      <c r="U40">
        <v>404725980</v>
      </c>
      <c r="V40">
        <v>521074220</v>
      </c>
      <c r="W40">
        <v>4.66</v>
      </c>
      <c r="X40">
        <v>0.06</v>
      </c>
      <c r="Y40">
        <v>10.69</v>
      </c>
      <c r="Z40" t="s">
        <v>1650</v>
      </c>
      <c r="AA40" t="s">
        <v>1992</v>
      </c>
      <c r="AB40" t="s">
        <v>2532</v>
      </c>
      <c r="AC40" t="s">
        <v>2533</v>
      </c>
      <c r="AD40" t="s">
        <v>28</v>
      </c>
      <c r="AE40">
        <v>57560991</v>
      </c>
      <c r="AF40" t="s">
        <v>2534</v>
      </c>
      <c r="AG40" t="s">
        <v>2535</v>
      </c>
      <c r="AH40" t="s">
        <v>2536</v>
      </c>
      <c r="AI40" t="s">
        <v>508</v>
      </c>
      <c r="AJ40" t="s">
        <v>2537</v>
      </c>
      <c r="AK40" t="s">
        <v>2538</v>
      </c>
      <c r="AL40" t="s">
        <v>2539</v>
      </c>
      <c r="AM40" t="s">
        <v>28</v>
      </c>
      <c r="AN40" t="s">
        <v>739</v>
      </c>
      <c r="AO40" t="s">
        <v>2540</v>
      </c>
      <c r="AP40" t="s">
        <v>131</v>
      </c>
      <c r="AQ40" t="s">
        <v>1578</v>
      </c>
      <c r="AR40" t="s">
        <v>2541</v>
      </c>
      <c r="AS40" t="s">
        <v>2542</v>
      </c>
      <c r="AT40" t="s">
        <v>1171</v>
      </c>
      <c r="AU40" t="s">
        <v>1262</v>
      </c>
      <c r="AV40" t="s">
        <v>2543</v>
      </c>
      <c r="AW40" t="s">
        <v>2122</v>
      </c>
      <c r="AX40" t="s">
        <v>1351</v>
      </c>
      <c r="AY40" t="s">
        <v>1352</v>
      </c>
      <c r="AZ40" t="s">
        <v>516</v>
      </c>
      <c r="BA40" t="s">
        <v>206</v>
      </c>
      <c r="BB40" t="s">
        <v>520</v>
      </c>
      <c r="BC40" t="s">
        <v>2544</v>
      </c>
      <c r="BD40" t="s">
        <v>1353</v>
      </c>
      <c r="BE40" t="s">
        <v>517</v>
      </c>
      <c r="BF40" t="s">
        <v>207</v>
      </c>
      <c r="BG40" t="s">
        <v>375</v>
      </c>
      <c r="BH40" t="s">
        <v>2530</v>
      </c>
      <c r="BI40" t="s">
        <v>360</v>
      </c>
      <c r="BJ40" t="s">
        <v>1351</v>
      </c>
      <c r="BK40" t="s">
        <v>2531</v>
      </c>
      <c r="BL40" t="s">
        <v>2545</v>
      </c>
      <c r="BM40" t="s">
        <v>2544</v>
      </c>
      <c r="BN40">
        <v>1.74</v>
      </c>
      <c r="BO40" t="s">
        <v>28</v>
      </c>
      <c r="BP40" t="s">
        <v>28</v>
      </c>
      <c r="BQ40">
        <v>0.48</v>
      </c>
      <c r="BR40">
        <v>-17.940000000000001</v>
      </c>
      <c r="BS40">
        <v>-20.64</v>
      </c>
      <c r="BT40" t="s">
        <v>1244</v>
      </c>
      <c r="BU40" t="s">
        <v>1159</v>
      </c>
      <c r="BV40">
        <v>20.329999999999998</v>
      </c>
      <c r="BW40">
        <v>11.2</v>
      </c>
      <c r="BX40">
        <v>15.7</v>
      </c>
      <c r="BY40">
        <v>-11.19</v>
      </c>
      <c r="BZ40">
        <v>-20.100000000000001</v>
      </c>
      <c r="CA40">
        <v>-19.899999999999999</v>
      </c>
      <c r="CB40">
        <v>-4.62</v>
      </c>
      <c r="CC40">
        <v>-10.28</v>
      </c>
      <c r="CD40" t="s">
        <v>2546</v>
      </c>
      <c r="CE40" t="s">
        <v>478</v>
      </c>
      <c r="CF40" s="10">
        <v>0.53431372549019607</v>
      </c>
      <c r="CG40" s="11">
        <v>72.242518388407063</v>
      </c>
      <c r="CH40" s="10">
        <v>-9.9370472133159637E-2</v>
      </c>
      <c r="CI40" s="10">
        <v>-0.16296572983264923</v>
      </c>
      <c r="CJ40" s="10">
        <v>-0.2637849748134613</v>
      </c>
      <c r="CK40" s="10">
        <v>0.11251538991928101</v>
      </c>
      <c r="CL40" s="10">
        <v>0.19089573621749878</v>
      </c>
      <c r="CM40" s="11">
        <v>0.5178571343421936</v>
      </c>
      <c r="CN40" s="11">
        <v>0.13009709119796753</v>
      </c>
      <c r="CO40" s="11">
        <v>-3.6410255432128906</v>
      </c>
      <c r="CP40" s="11">
        <v>-0.30851063132286072</v>
      </c>
      <c r="CQ40" s="11">
        <v>0.20000000298023224</v>
      </c>
      <c r="CR40">
        <v>-30.394135760171295</v>
      </c>
      <c r="CS40">
        <v>-6.8237009673537523</v>
      </c>
      <c r="CT40">
        <v>0</v>
      </c>
      <c r="CU40" s="10">
        <v>-4.454201012849808E-2</v>
      </c>
      <c r="CV40" s="11">
        <v>-0.62031638920307164</v>
      </c>
      <c r="CW40">
        <v>0.06</v>
      </c>
      <c r="CX40" t="e">
        <v>#VALUE!</v>
      </c>
      <c r="CY40" t="s">
        <v>1158</v>
      </c>
      <c r="CZ40">
        <v>-4.454201012849808E-2</v>
      </c>
      <c r="DA40" t="e">
        <v>#VALUE!</v>
      </c>
      <c r="DB40" t="s">
        <v>1158</v>
      </c>
      <c r="DC40">
        <v>-4.2314909622073175E-2</v>
      </c>
      <c r="DD40" t="e">
        <v>#VALUE!</v>
      </c>
      <c r="DE40" t="s">
        <v>1158</v>
      </c>
      <c r="DF40">
        <v>-3.9196968913078313E-2</v>
      </c>
      <c r="DG40" t="e">
        <v>#VALUE!</v>
      </c>
      <c r="DH40" t="s">
        <v>1158</v>
      </c>
      <c r="DI40">
        <v>-3.5633608102798468E-2</v>
      </c>
      <c r="DJ40" t="e">
        <v>#VALUE!</v>
      </c>
      <c r="DK40" t="s">
        <v>1158</v>
      </c>
      <c r="DL40">
        <v>-3.1179407089948655E-2</v>
      </c>
      <c r="DM40">
        <v>-216000000</v>
      </c>
      <c r="DN40">
        <v>-4.454201012849808E-2</v>
      </c>
      <c r="DO40">
        <v>8782676900</v>
      </c>
      <c r="DP40">
        <v>-2179547600</v>
      </c>
      <c r="DQ40">
        <v>1894</v>
      </c>
      <c r="DR40">
        <v>0.57885573561869419</v>
      </c>
      <c r="DS40">
        <v>72.862834777610132</v>
      </c>
      <c r="DT40" s="12">
        <v>-0.62333333333333341</v>
      </c>
      <c r="DU40">
        <v>-1.8066666666666666</v>
      </c>
      <c r="DV40">
        <v>-2.4300000000000002</v>
      </c>
      <c r="DW40">
        <v>-8.4494163424124515</v>
      </c>
      <c r="DX40">
        <v>0.44903310037174793</v>
      </c>
      <c r="DY40">
        <v>-8.1343903622293254</v>
      </c>
      <c r="DZ40">
        <v>4635</v>
      </c>
      <c r="EA40">
        <v>-8.0124922548060535</v>
      </c>
      <c r="EB40">
        <v>8</v>
      </c>
      <c r="EC40">
        <v>0.15437321001987012</v>
      </c>
      <c r="ED40">
        <v>0.5162412371888212</v>
      </c>
      <c r="EE40" s="15">
        <v>1.7509999999999994E-2</v>
      </c>
      <c r="EF40">
        <v>1.5410000000000002E-2</v>
      </c>
      <c r="EG40">
        <v>15.299033100371748</v>
      </c>
      <c r="EH40">
        <v>-1</v>
      </c>
      <c r="EI40">
        <v>0</v>
      </c>
      <c r="EJ40">
        <v>0</v>
      </c>
      <c r="EK40" s="14">
        <v>45470</v>
      </c>
      <c r="EL40" s="16">
        <v>0</v>
      </c>
      <c r="EM40" s="16">
        <v>-5.42</v>
      </c>
      <c r="EN40" s="16">
        <v>4.3600000000000003</v>
      </c>
      <c r="EO40" s="16">
        <v>3.74</v>
      </c>
      <c r="EP40" s="16">
        <v>0.21</v>
      </c>
    </row>
    <row r="41" spans="1:146" ht="108" x14ac:dyDescent="0.25">
      <c r="A41" s="7"/>
      <c r="B41" s="7"/>
      <c r="C41" s="7" t="str">
        <f>""&amp;CHAR(10)&amp;Basic_Fundamental_Information_Constructure(F41)&amp;CHAR(10)&amp;Basic_Fundamental_Information_Concatenate("")</f>
        <v xml:space="preserve">
市值28.426122亿, 利润1.67亿; PE17.4; 平均PE17.04; 平均PEG2.29, PB1.22; ROIC5.4967%; ROE6.8867%; 股利率1.199%; 毛利35.5567%; 净利11.63%; 上一年度营收增-2.85%, 利润增-13.02%; 当季营收增6%, 利润增-56.81%; 过往5年营收增7.44%, 利润增4.47%
Income profile:
</v>
      </c>
      <c r="D41" t="s">
        <v>209</v>
      </c>
      <c r="E41" t="s">
        <v>210</v>
      </c>
      <c r="F41">
        <v>4.17</v>
      </c>
      <c r="G41">
        <v>1.21</v>
      </c>
      <c r="H41" t="s">
        <v>2547</v>
      </c>
      <c r="I41">
        <v>2842612200</v>
      </c>
      <c r="J41">
        <v>17.399999999999999</v>
      </c>
      <c r="K41">
        <v>1.22</v>
      </c>
      <c r="L41" t="s">
        <v>1747</v>
      </c>
      <c r="M41" t="s">
        <v>1496</v>
      </c>
      <c r="N41" t="s">
        <v>2548</v>
      </c>
      <c r="O41" t="s">
        <v>162</v>
      </c>
      <c r="P41">
        <v>6</v>
      </c>
      <c r="Q41" t="s">
        <v>2549</v>
      </c>
      <c r="R41">
        <v>3071470</v>
      </c>
      <c r="S41" s="5">
        <v>-0.56810000000000005</v>
      </c>
      <c r="T41" t="s">
        <v>410</v>
      </c>
      <c r="U41">
        <v>678089110</v>
      </c>
      <c r="V41">
        <v>681681590</v>
      </c>
      <c r="W41">
        <v>1.75</v>
      </c>
      <c r="X41">
        <v>0.05</v>
      </c>
      <c r="Y41">
        <v>1.77</v>
      </c>
      <c r="Z41" t="s">
        <v>680</v>
      </c>
      <c r="AA41" t="s">
        <v>477</v>
      </c>
      <c r="AB41" t="s">
        <v>2550</v>
      </c>
      <c r="AC41" t="s">
        <v>2551</v>
      </c>
      <c r="AD41" t="s">
        <v>28</v>
      </c>
      <c r="AE41">
        <v>4851243</v>
      </c>
      <c r="AF41" t="s">
        <v>2552</v>
      </c>
      <c r="AG41" t="s">
        <v>2553</v>
      </c>
      <c r="AH41" t="s">
        <v>2554</v>
      </c>
      <c r="AI41" t="s">
        <v>226</v>
      </c>
      <c r="AJ41" t="s">
        <v>2555</v>
      </c>
      <c r="AK41" t="s">
        <v>28</v>
      </c>
      <c r="AL41" t="s">
        <v>2556</v>
      </c>
      <c r="AM41" t="s">
        <v>28</v>
      </c>
      <c r="AN41" t="s">
        <v>228</v>
      </c>
      <c r="AO41" t="s">
        <v>1640</v>
      </c>
      <c r="AP41" t="s">
        <v>2557</v>
      </c>
      <c r="AQ41" t="s">
        <v>1201</v>
      </c>
      <c r="AR41" t="s">
        <v>2558</v>
      </c>
      <c r="AS41" t="s">
        <v>2559</v>
      </c>
      <c r="AT41" t="s">
        <v>56</v>
      </c>
      <c r="AU41" t="s">
        <v>2560</v>
      </c>
      <c r="AV41" t="s">
        <v>2561</v>
      </c>
      <c r="AW41" t="s">
        <v>2562</v>
      </c>
      <c r="AX41" t="s">
        <v>1354</v>
      </c>
      <c r="AY41" t="s">
        <v>194</v>
      </c>
      <c r="AZ41" t="s">
        <v>522</v>
      </c>
      <c r="BA41" t="s">
        <v>211</v>
      </c>
      <c r="BB41" t="s">
        <v>524</v>
      </c>
      <c r="BC41" t="s">
        <v>197</v>
      </c>
      <c r="BD41" t="s">
        <v>409</v>
      </c>
      <c r="BE41" t="s">
        <v>262</v>
      </c>
      <c r="BF41" t="s">
        <v>72</v>
      </c>
      <c r="BG41" t="s">
        <v>376</v>
      </c>
      <c r="BH41" t="s">
        <v>2549</v>
      </c>
      <c r="BI41" t="s">
        <v>585</v>
      </c>
      <c r="BJ41" t="s">
        <v>1354</v>
      </c>
      <c r="BK41" t="s">
        <v>410</v>
      </c>
      <c r="BL41" t="s">
        <v>2563</v>
      </c>
      <c r="BM41" t="s">
        <v>197</v>
      </c>
      <c r="BN41">
        <v>1.9</v>
      </c>
      <c r="BO41">
        <v>7.25</v>
      </c>
      <c r="BP41">
        <v>7.34</v>
      </c>
      <c r="BQ41">
        <v>2.08</v>
      </c>
      <c r="BR41">
        <v>9.2200000000000006</v>
      </c>
      <c r="BS41">
        <v>9.36</v>
      </c>
      <c r="BT41" t="s">
        <v>1247</v>
      </c>
      <c r="BU41" t="s">
        <v>1159</v>
      </c>
      <c r="BV41">
        <v>36.44</v>
      </c>
      <c r="BW41">
        <v>33.67</v>
      </c>
      <c r="BX41">
        <v>36.56</v>
      </c>
      <c r="BY41">
        <v>10.74</v>
      </c>
      <c r="BZ41">
        <v>11.56</v>
      </c>
      <c r="CA41">
        <v>12.59</v>
      </c>
      <c r="CB41">
        <v>-0.95</v>
      </c>
      <c r="CC41">
        <v>-5.01</v>
      </c>
      <c r="CD41" t="s">
        <v>2564</v>
      </c>
      <c r="CE41" t="s">
        <v>149</v>
      </c>
      <c r="CF41" s="10">
        <v>0.06</v>
      </c>
      <c r="CG41" s="11">
        <v>-0.56814673171829089</v>
      </c>
      <c r="CH41" s="10">
        <v>-2.8488334268331528E-2</v>
      </c>
      <c r="CI41" s="10">
        <v>0.1772758960723877</v>
      </c>
      <c r="CJ41" s="10">
        <v>0.17632845044136047</v>
      </c>
      <c r="CK41" s="10">
        <v>8.1168832257390022E-3</v>
      </c>
      <c r="CL41" s="10">
        <v>3.8785833865404129E-2</v>
      </c>
      <c r="CM41" s="11">
        <v>-0.1302083283662796</v>
      </c>
      <c r="CN41" s="11">
        <v>6.6666670143604279E-2</v>
      </c>
      <c r="CO41" s="11">
        <v>6.5088756382465363E-2</v>
      </c>
      <c r="CP41" s="11">
        <v>8.3333335816860199E-2</v>
      </c>
      <c r="CQ41" s="11">
        <v>0.13868613541126251</v>
      </c>
      <c r="CR41">
        <v>17.038634565434563</v>
      </c>
      <c r="CS41">
        <v>2.2900237571130413</v>
      </c>
      <c r="CT41">
        <v>1.1990407673860912</v>
      </c>
      <c r="CU41" s="10">
        <v>7.4403745867311952E-2</v>
      </c>
      <c r="CV41" s="11">
        <v>4.4713313877582553E-2</v>
      </c>
      <c r="CW41">
        <v>0.06</v>
      </c>
      <c r="CX41">
        <v>13.709589509540294</v>
      </c>
      <c r="CY41">
        <v>169269269.39607647</v>
      </c>
      <c r="CZ41">
        <v>7.4403745867311952E-2</v>
      </c>
      <c r="DA41">
        <v>4.5398316653357496</v>
      </c>
      <c r="DB41">
        <v>511167014.78586125</v>
      </c>
      <c r="DC41">
        <v>7.0683558573946356E-2</v>
      </c>
      <c r="DD41">
        <v>2.2745040779823773</v>
      </c>
      <c r="DE41">
        <v>1020271725.3681618</v>
      </c>
      <c r="DF41">
        <v>6.5475296363234514E-2</v>
      </c>
      <c r="DG41">
        <v>1.3930312696580265</v>
      </c>
      <c r="DH41">
        <v>1665872296.2979031</v>
      </c>
      <c r="DI41">
        <v>5.9522996693849563E-2</v>
      </c>
      <c r="DJ41">
        <v>0.7509975743866768</v>
      </c>
      <c r="DK41">
        <v>3090039540.9335284</v>
      </c>
      <c r="DL41">
        <v>5.2082622107118365E-2</v>
      </c>
      <c r="DM41">
        <v>167000000</v>
      </c>
      <c r="DN41">
        <v>7.4403745867311952E-2</v>
      </c>
      <c r="DO41">
        <v>2320612200</v>
      </c>
      <c r="DP41">
        <v>907076000</v>
      </c>
      <c r="DQ41">
        <v>1897</v>
      </c>
      <c r="DR41">
        <v>-1.4403745867311954E-2</v>
      </c>
      <c r="DS41">
        <v>-0.61286004559587348</v>
      </c>
      <c r="DT41" s="12">
        <v>-0.15666666666666665</v>
      </c>
      <c r="DU41">
        <v>-0.22</v>
      </c>
      <c r="DV41">
        <v>-0.37666666666666665</v>
      </c>
      <c r="DW41">
        <v>-1.0501</v>
      </c>
      <c r="DX41">
        <v>0.32592626728110702</v>
      </c>
      <c r="DY41">
        <v>-1.0068099059907833</v>
      </c>
      <c r="DZ41">
        <v>2626</v>
      </c>
      <c r="EA41">
        <v>-1.0033103339493359</v>
      </c>
      <c r="EB41">
        <v>1</v>
      </c>
      <c r="EC41">
        <v>4.3269468374523654E-2</v>
      </c>
      <c r="ED41">
        <v>0.31833043928911148</v>
      </c>
      <c r="EE41" s="15">
        <v>1.0589</v>
      </c>
      <c r="EF41">
        <v>1.0732999999999999</v>
      </c>
      <c r="EG41">
        <v>19.135926267281107</v>
      </c>
      <c r="EH41" t="s">
        <v>1175</v>
      </c>
      <c r="EI41">
        <v>0</v>
      </c>
      <c r="EJ41">
        <v>0</v>
      </c>
      <c r="EK41" s="14">
        <v>45470</v>
      </c>
      <c r="EL41" s="16">
        <v>3.37</v>
      </c>
      <c r="EM41" s="16">
        <v>-4.2</v>
      </c>
      <c r="EN41" s="16">
        <v>-0.73</v>
      </c>
      <c r="EO41" s="16">
        <v>1.96</v>
      </c>
      <c r="EP41" s="16">
        <v>1.44</v>
      </c>
    </row>
    <row r="42" spans="1:146" ht="108" x14ac:dyDescent="0.25">
      <c r="A42" s="7"/>
      <c r="B42" s="7"/>
      <c r="C42" s="7" t="str">
        <f>""&amp;CHAR(10)&amp;Basic_Fundamental_Information_Constructure(F42)&amp;CHAR(10)&amp;Basic_Fundamental_Information_Concatenate("")</f>
        <v xml:space="preserve">
市值.87656333亿, 利润-5.45亿; PE; 平均PE-.3; 平均PEG-.01, PB; ROIC0%; ROE-62.72%; 股利率0%; 毛利-1.8033%; 净利-552.6167%; 上一年度营收增-34.21%, 利润增20.67%; 当季营收增-95.47%, 利润增-92.76%; 过往5年营收增-38.29%, 利润增-231.56%
Income profile:
</v>
      </c>
      <c r="D42" t="s">
        <v>216</v>
      </c>
      <c r="E42" t="s">
        <v>527</v>
      </c>
      <c r="F42" t="s">
        <v>28</v>
      </c>
      <c r="G42" t="s">
        <v>28</v>
      </c>
      <c r="H42" t="s">
        <v>28</v>
      </c>
      <c r="I42">
        <v>87656333</v>
      </c>
      <c r="L42" t="s">
        <v>1747</v>
      </c>
      <c r="M42" t="s">
        <v>2565</v>
      </c>
      <c r="N42" t="s">
        <v>2566</v>
      </c>
      <c r="O42" t="s">
        <v>2567</v>
      </c>
      <c r="P42">
        <v>-95.47</v>
      </c>
      <c r="Q42" t="s">
        <v>2568</v>
      </c>
      <c r="R42">
        <v>-169762950</v>
      </c>
      <c r="S42" s="6">
        <v>-0.92759999999999998</v>
      </c>
      <c r="T42" t="s">
        <v>2569</v>
      </c>
      <c r="U42">
        <v>673338230</v>
      </c>
      <c r="V42">
        <v>674279490</v>
      </c>
      <c r="W42" t="s">
        <v>28</v>
      </c>
      <c r="X42">
        <v>0</v>
      </c>
      <c r="Y42" t="s">
        <v>2570</v>
      </c>
      <c r="Z42" t="s">
        <v>2571</v>
      </c>
      <c r="AA42" t="s">
        <v>2572</v>
      </c>
      <c r="AB42" t="s">
        <v>28</v>
      </c>
      <c r="AC42" t="s">
        <v>2573</v>
      </c>
      <c r="AD42" t="s">
        <v>28</v>
      </c>
      <c r="AE42">
        <v>67081735</v>
      </c>
      <c r="AF42" t="s">
        <v>67</v>
      </c>
      <c r="AG42" t="s">
        <v>2574</v>
      </c>
      <c r="AH42" t="s">
        <v>2575</v>
      </c>
      <c r="AI42" t="s">
        <v>2576</v>
      </c>
      <c r="AJ42" t="s">
        <v>2577</v>
      </c>
      <c r="AK42" t="s">
        <v>2578</v>
      </c>
      <c r="AL42" t="s">
        <v>2579</v>
      </c>
      <c r="AM42" t="s">
        <v>28</v>
      </c>
      <c r="AN42">
        <v>0</v>
      </c>
      <c r="AO42" t="s">
        <v>1645</v>
      </c>
      <c r="AP42" t="s">
        <v>28</v>
      </c>
      <c r="AQ42" t="s">
        <v>1718</v>
      </c>
      <c r="AR42" t="s">
        <v>28</v>
      </c>
      <c r="AS42" t="s">
        <v>1720</v>
      </c>
      <c r="AT42" t="s">
        <v>225</v>
      </c>
      <c r="AU42" t="s">
        <v>2580</v>
      </c>
      <c r="AV42" t="s">
        <v>2581</v>
      </c>
      <c r="AW42">
        <v>0</v>
      </c>
      <c r="AX42" t="s">
        <v>93</v>
      </c>
      <c r="AY42" t="s">
        <v>68</v>
      </c>
      <c r="AZ42" t="s">
        <v>471</v>
      </c>
      <c r="BA42" t="s">
        <v>1472</v>
      </c>
      <c r="BB42" t="s">
        <v>1473</v>
      </c>
      <c r="BC42" t="s">
        <v>1356</v>
      </c>
      <c r="BD42" t="s">
        <v>1357</v>
      </c>
      <c r="BE42" t="s">
        <v>1358</v>
      </c>
      <c r="BF42" t="s">
        <v>310</v>
      </c>
      <c r="BG42" t="s">
        <v>748</v>
      </c>
      <c r="BH42" t="s">
        <v>2568</v>
      </c>
      <c r="BI42" t="s">
        <v>2582</v>
      </c>
      <c r="BJ42" t="s">
        <v>93</v>
      </c>
      <c r="BK42" t="s">
        <v>2569</v>
      </c>
      <c r="BL42" t="s">
        <v>2583</v>
      </c>
      <c r="BM42" t="s">
        <v>1356</v>
      </c>
      <c r="BN42" t="s">
        <v>28</v>
      </c>
      <c r="BO42" t="s">
        <v>28</v>
      </c>
      <c r="BP42" t="s">
        <v>28</v>
      </c>
      <c r="BQ42">
        <v>-67.53</v>
      </c>
      <c r="BR42">
        <v>-65.77</v>
      </c>
      <c r="BS42">
        <v>-54.86</v>
      </c>
      <c r="BT42" t="s">
        <v>1244</v>
      </c>
      <c r="BU42" t="s">
        <v>1153</v>
      </c>
      <c r="BV42">
        <v>-0.6</v>
      </c>
      <c r="BW42">
        <v>1.69</v>
      </c>
      <c r="BX42">
        <v>-6.5</v>
      </c>
      <c r="BY42">
        <v>-637.05999999999995</v>
      </c>
      <c r="BZ42">
        <v>-530.21</v>
      </c>
      <c r="CA42">
        <v>-490.58</v>
      </c>
      <c r="CB42">
        <v>0</v>
      </c>
      <c r="CC42">
        <v>0</v>
      </c>
      <c r="CD42" t="s">
        <v>28</v>
      </c>
      <c r="CE42" t="s">
        <v>28</v>
      </c>
      <c r="CF42" s="10">
        <v>-0.95465366214435943</v>
      </c>
      <c r="CG42" s="11">
        <v>-0.92761081923171695</v>
      </c>
      <c r="CH42" s="10">
        <v>-0.34209552407264709</v>
      </c>
      <c r="CI42" s="10">
        <v>-0.37850466370582581</v>
      </c>
      <c r="CJ42" s="10">
        <v>-0.83738601207733154</v>
      </c>
      <c r="CK42" s="10">
        <v>-0.26726058125495911</v>
      </c>
      <c r="CL42" s="10">
        <v>-8.9249491691589355E-2</v>
      </c>
      <c r="CM42" s="11">
        <v>0.20669578015804291</v>
      </c>
      <c r="CN42" s="11">
        <v>0.34258374571800232</v>
      </c>
      <c r="CO42" s="11">
        <v>-10.398292541503906</v>
      </c>
      <c r="CP42" s="11">
        <v>-1.3917964696884155</v>
      </c>
      <c r="CQ42" s="11">
        <v>-0.3371104896068573</v>
      </c>
      <c r="CR42">
        <v>-0.295192110773627</v>
      </c>
      <c r="CS42">
        <v>-7.7093937180023383E-3</v>
      </c>
      <c r="CT42">
        <v>0</v>
      </c>
      <c r="CU42" s="10">
        <v>-0.38289925456047058</v>
      </c>
      <c r="CV42" s="11">
        <v>-2.3155839949846269</v>
      </c>
      <c r="CW42">
        <v>0.06</v>
      </c>
      <c r="CX42" t="e">
        <v>#VALUE!</v>
      </c>
      <c r="CY42" t="s">
        <v>1157</v>
      </c>
      <c r="CZ42">
        <v>-0.38289925456047058</v>
      </c>
      <c r="DA42" t="e">
        <v>#VALUE!</v>
      </c>
      <c r="DB42" t="s">
        <v>1158</v>
      </c>
      <c r="DC42">
        <v>-0.36375429183244701</v>
      </c>
      <c r="DD42" t="e">
        <v>#VALUE!</v>
      </c>
      <c r="DE42" t="s">
        <v>1158</v>
      </c>
      <c r="DF42">
        <v>-0.33695134401321414</v>
      </c>
      <c r="DG42" t="e">
        <v>#VALUE!</v>
      </c>
      <c r="DH42" t="s">
        <v>1158</v>
      </c>
      <c r="DI42">
        <v>-0.30631940364837651</v>
      </c>
      <c r="DJ42" t="e">
        <v>#VALUE!</v>
      </c>
      <c r="DK42" t="s">
        <v>1158</v>
      </c>
      <c r="DL42">
        <v>-0.26802947819232936</v>
      </c>
      <c r="DM42">
        <v>-545000000</v>
      </c>
      <c r="DN42">
        <v>-0.38289925456047058</v>
      </c>
      <c r="DO42">
        <v>3909390533</v>
      </c>
      <c r="DP42">
        <v>-1383384800</v>
      </c>
      <c r="DQ42">
        <v>1966</v>
      </c>
      <c r="DR42">
        <v>-0.57175440758388885</v>
      </c>
      <c r="DS42">
        <v>1.3879731757529099</v>
      </c>
      <c r="DT42" s="12">
        <v>-1.1399999999999999</v>
      </c>
      <c r="DU42">
        <v>-2.8483333333333332</v>
      </c>
      <c r="DV42">
        <v>-3.9883333333333333</v>
      </c>
      <c r="DW42">
        <v>0</v>
      </c>
      <c r="DX42" t="e">
        <v>#VALUE!</v>
      </c>
      <c r="DY42" t="e">
        <v>#VALUE!</v>
      </c>
      <c r="DZ42">
        <v>5067</v>
      </c>
      <c r="EA42" t="e">
        <v>#VALUE!</v>
      </c>
      <c r="EB42" t="e">
        <v>#VALUE!</v>
      </c>
      <c r="EC42">
        <v>0</v>
      </c>
      <c r="ED42">
        <v>0</v>
      </c>
      <c r="EE42" s="15">
        <v>-9.1235099999999996</v>
      </c>
      <c r="EF42">
        <v>-9.1235099999999996</v>
      </c>
      <c r="EG42" t="e">
        <v>#VALUE!</v>
      </c>
      <c r="EH42" t="s">
        <v>2584</v>
      </c>
      <c r="EI42" t="e">
        <v>#VALUE!</v>
      </c>
      <c r="EJ42">
        <v>0</v>
      </c>
      <c r="EK42" s="14">
        <v>45470</v>
      </c>
      <c r="EL42" s="16">
        <v>0</v>
      </c>
      <c r="EM42" s="16">
        <v>0</v>
      </c>
      <c r="EN42" s="16">
        <v>0</v>
      </c>
      <c r="EO42" s="16">
        <v>0</v>
      </c>
      <c r="EP42" s="16">
        <v>0</v>
      </c>
    </row>
    <row r="43" spans="1:146" ht="108" x14ac:dyDescent="0.25">
      <c r="A43" s="7"/>
      <c r="B43" s="7"/>
      <c r="C43" s="7" t="str">
        <f>""&amp;CHAR(10)&amp;Basic_Fundamental_Information_Constructure(F43)&amp;CHAR(10)&amp;Basic_Fundamental_Information_Concatenate("")</f>
        <v xml:space="preserve">
市值14.198501亿, 利润-9173.81万; PE; 平均PE21.66; 平均PEG3.05, PB1; ROIC3.8433%; ROE4.1067%; 股利率0%; 毛利31.5967%; 净利1.9467%; 上一年度营收增-9.44%, 利润增-343.44%; 当季营收增1.56%, 利润增-211.82%; 过往5年营收增7.1%, 利润增-77.49%
Income profile:
</v>
      </c>
      <c r="D43" t="s">
        <v>530</v>
      </c>
      <c r="E43" t="s">
        <v>531</v>
      </c>
      <c r="F43">
        <v>8.85</v>
      </c>
      <c r="G43">
        <v>2.19</v>
      </c>
      <c r="H43" t="s">
        <v>1663</v>
      </c>
      <c r="I43">
        <v>1419850100</v>
      </c>
      <c r="K43">
        <v>1</v>
      </c>
      <c r="L43" t="s">
        <v>1747</v>
      </c>
      <c r="M43" t="s">
        <v>2585</v>
      </c>
      <c r="N43" t="s">
        <v>2586</v>
      </c>
      <c r="O43" t="s">
        <v>2587</v>
      </c>
      <c r="P43">
        <v>1.56</v>
      </c>
      <c r="Q43" t="s">
        <v>1198</v>
      </c>
      <c r="R43">
        <v>-12612706</v>
      </c>
      <c r="S43" s="5">
        <v>-2.1179999999999999</v>
      </c>
      <c r="T43" t="s">
        <v>2588</v>
      </c>
      <c r="U43">
        <v>160435040</v>
      </c>
      <c r="V43">
        <v>160435040</v>
      </c>
      <c r="W43">
        <v>1.45</v>
      </c>
      <c r="X43">
        <v>0.04</v>
      </c>
      <c r="Y43">
        <v>-13.87</v>
      </c>
      <c r="Z43" t="s">
        <v>142</v>
      </c>
      <c r="AA43" t="s">
        <v>2589</v>
      </c>
      <c r="AB43" t="s">
        <v>2590</v>
      </c>
      <c r="AC43" t="s">
        <v>2591</v>
      </c>
      <c r="AD43" t="s">
        <v>28</v>
      </c>
      <c r="AE43">
        <v>10305930</v>
      </c>
      <c r="AF43" t="s">
        <v>2592</v>
      </c>
      <c r="AG43">
        <v>42.87</v>
      </c>
      <c r="AH43" t="s">
        <v>2593</v>
      </c>
      <c r="AI43" t="s">
        <v>450</v>
      </c>
      <c r="AJ43" t="s">
        <v>2594</v>
      </c>
      <c r="AK43" t="s">
        <v>2595</v>
      </c>
      <c r="AL43" t="s">
        <v>2596</v>
      </c>
      <c r="AM43" t="s">
        <v>28</v>
      </c>
      <c r="AN43" t="s">
        <v>101</v>
      </c>
      <c r="AO43" t="s">
        <v>220</v>
      </c>
      <c r="AP43" t="s">
        <v>2597</v>
      </c>
      <c r="AQ43" t="s">
        <v>2598</v>
      </c>
      <c r="AR43" t="s">
        <v>2599</v>
      </c>
      <c r="AS43" t="s">
        <v>1297</v>
      </c>
      <c r="AT43" t="s">
        <v>2600</v>
      </c>
      <c r="AU43" t="s">
        <v>2601</v>
      </c>
      <c r="AV43" t="s">
        <v>2602</v>
      </c>
      <c r="AW43" t="s">
        <v>2603</v>
      </c>
      <c r="AX43" t="s">
        <v>566</v>
      </c>
      <c r="AY43" t="s">
        <v>755</v>
      </c>
      <c r="AZ43" t="s">
        <v>85</v>
      </c>
      <c r="BA43" t="s">
        <v>382</v>
      </c>
      <c r="BB43" t="s">
        <v>383</v>
      </c>
      <c r="BC43" t="s">
        <v>1359</v>
      </c>
      <c r="BD43" t="s">
        <v>192</v>
      </c>
      <c r="BE43" t="s">
        <v>314</v>
      </c>
      <c r="BF43" t="s">
        <v>227</v>
      </c>
      <c r="BG43" t="s">
        <v>533</v>
      </c>
      <c r="BH43" t="s">
        <v>1198</v>
      </c>
      <c r="BI43" t="s">
        <v>2604</v>
      </c>
      <c r="BJ43" t="s">
        <v>566</v>
      </c>
      <c r="BK43" t="s">
        <v>2588</v>
      </c>
      <c r="BL43" t="s">
        <v>2605</v>
      </c>
      <c r="BM43" t="s">
        <v>1359</v>
      </c>
      <c r="BN43">
        <v>1.57</v>
      </c>
      <c r="BO43">
        <v>2.2999999999999998</v>
      </c>
      <c r="BP43">
        <v>7.66</v>
      </c>
      <c r="BQ43">
        <v>1.27</v>
      </c>
      <c r="BR43">
        <v>2.5299999999999998</v>
      </c>
      <c r="BS43">
        <v>8.52</v>
      </c>
      <c r="BT43" t="s">
        <v>1244</v>
      </c>
      <c r="BU43" t="s">
        <v>1061</v>
      </c>
      <c r="BV43">
        <v>22.99</v>
      </c>
      <c r="BW43">
        <v>30.77</v>
      </c>
      <c r="BX43">
        <v>41.03</v>
      </c>
      <c r="BY43">
        <v>-23.79</v>
      </c>
      <c r="BZ43">
        <v>8.02</v>
      </c>
      <c r="CA43">
        <v>21.61</v>
      </c>
      <c r="CB43">
        <v>-2.64</v>
      </c>
      <c r="CC43">
        <v>-18.809999999999999</v>
      </c>
      <c r="CD43" t="s">
        <v>2606</v>
      </c>
      <c r="CE43" t="s">
        <v>2607</v>
      </c>
      <c r="CF43" s="10">
        <v>1.562592329582253E-2</v>
      </c>
      <c r="CG43" s="11">
        <v>-2.1181873470690449</v>
      </c>
      <c r="CH43" s="10">
        <v>-9.4382025301456451E-2</v>
      </c>
      <c r="CI43" s="10">
        <v>-0.10821643471717834</v>
      </c>
      <c r="CJ43" s="10">
        <v>-3.8535647094249725E-2</v>
      </c>
      <c r="CK43" s="10">
        <v>0.11853448301553726</v>
      </c>
      <c r="CL43" s="10">
        <v>0.47770699858665466</v>
      </c>
      <c r="CM43" s="11">
        <v>-3.4344110488891602</v>
      </c>
      <c r="CN43" s="11">
        <v>-0.65427613258361816</v>
      </c>
      <c r="CO43" s="11">
        <v>-0.12800000607967377</v>
      </c>
      <c r="CP43" s="11">
        <v>3.3057849854230881E-2</v>
      </c>
      <c r="CQ43" s="11">
        <v>0.30932110548019409</v>
      </c>
      <c r="CR43">
        <v>21.657256544321605</v>
      </c>
      <c r="CS43">
        <v>3.0493954927671778</v>
      </c>
      <c r="CT43">
        <v>0</v>
      </c>
      <c r="CU43" s="10">
        <v>7.1021474897861481E-2</v>
      </c>
      <c r="CV43" s="11">
        <v>-0.77486164644360545</v>
      </c>
      <c r="CW43">
        <v>0.06</v>
      </c>
      <c r="CX43" t="e">
        <v>#VALUE!</v>
      </c>
      <c r="CY43" t="s">
        <v>1157</v>
      </c>
      <c r="CZ43">
        <v>7.1021474897861481E-2</v>
      </c>
      <c r="DA43" t="e">
        <v>#VALUE!</v>
      </c>
      <c r="DB43" t="s">
        <v>1158</v>
      </c>
      <c r="DC43">
        <v>6.7470401152968401E-2</v>
      </c>
      <c r="DD43" t="e">
        <v>#VALUE!</v>
      </c>
      <c r="DE43" t="s">
        <v>1158</v>
      </c>
      <c r="DF43">
        <v>6.2498897910118104E-2</v>
      </c>
      <c r="DG43" t="e">
        <v>#VALUE!</v>
      </c>
      <c r="DH43" t="s">
        <v>1158</v>
      </c>
      <c r="DI43">
        <v>5.681717991828919E-2</v>
      </c>
      <c r="DJ43" t="e">
        <v>#VALUE!</v>
      </c>
      <c r="DK43" t="s">
        <v>1158</v>
      </c>
      <c r="DL43">
        <v>4.9715032428503031E-2</v>
      </c>
      <c r="DM43">
        <v>-91738100</v>
      </c>
      <c r="DN43">
        <v>7.1021474897861481E-2</v>
      </c>
      <c r="DO43">
        <v>513850100</v>
      </c>
      <c r="DP43">
        <v>604886710</v>
      </c>
      <c r="DQ43">
        <v>2081</v>
      </c>
      <c r="DR43">
        <v>-5.5395551602038948E-2</v>
      </c>
      <c r="DS43">
        <v>-1.3433257006254395</v>
      </c>
      <c r="DT43" s="12">
        <v>-0.34</v>
      </c>
      <c r="DU43">
        <v>-1.8483333333333336</v>
      </c>
      <c r="DV43">
        <v>-2.1883333333333335</v>
      </c>
      <c r="DW43">
        <v>-8.1403508771929829</v>
      </c>
      <c r="DX43">
        <v>0.32793075656766657</v>
      </c>
      <c r="DY43">
        <v>-8.0165516851323044</v>
      </c>
      <c r="DZ43">
        <v>4525</v>
      </c>
      <c r="EA43">
        <v>-8.0018948602353035</v>
      </c>
      <c r="EB43">
        <v>8</v>
      </c>
      <c r="EC43">
        <v>6.8586014626231262E-2</v>
      </c>
      <c r="ED43">
        <v>0.58157868754855546</v>
      </c>
      <c r="EE43" s="15">
        <v>-4.0613099999999998</v>
      </c>
      <c r="EF43">
        <v>-4.0744100000000003</v>
      </c>
      <c r="EG43">
        <v>21.117930756567667</v>
      </c>
      <c r="EH43" t="s">
        <v>1740</v>
      </c>
      <c r="EI43">
        <v>0</v>
      </c>
      <c r="EJ43">
        <v>0</v>
      </c>
      <c r="EK43" s="14">
        <v>45470</v>
      </c>
      <c r="EL43" s="16">
        <v>-0.54</v>
      </c>
      <c r="EM43" s="16">
        <v>-5.01</v>
      </c>
      <c r="EN43" s="16">
        <v>-0.46</v>
      </c>
      <c r="EO43" s="16">
        <v>5.52</v>
      </c>
      <c r="EP43" s="16">
        <v>-1.31</v>
      </c>
    </row>
    <row r="44" spans="1:146" ht="240" x14ac:dyDescent="0.25">
      <c r="A44" s="7"/>
      <c r="B44" s="7"/>
      <c r="C44" s="7" t="str">
        <f>"公司主营业务为提供环保水处理相关的研发、咨询与设计、设备生产及销售、工程承包、项目投资及运营管理等一站式服务。目前公司主要产品有格栅除污机、刮吸泥机、曝气设备、污泥处理设备等。"&amp;CHAR(10)&amp;Basic_Fundamental_Information_Constructure(F44)&amp;CHAR(10)&amp;Basic_Fundamental_Information_Concatenate("工程承包 3.81亿 43.14% 2745.69万 11.15% 7.21%
污水处理 1.67亿 18.95% 8029.12万 32.60% 47.97%
供水 1.07亿 12.07% 8171.15万 33.17% 76.66%
污泥处置 7150.61万 8.10% 2190.87万 8.89% 30.64%
其他业务 5385.45万 6.10% 2276.52万 9.24% 42.27%
环保设备销售 4350.82万 4.93% 1218.45万 4.95% 28.01%")</f>
        <v>公司主营业务为提供环保水处理相关的研发、咨询与设计、设备生产及销售、工程承包、项目投资及运营管理等一站式服务。目前公司主要产品有格栅除污机、刮吸泥机、曝气设备、污泥处理设备等。
市值35.265226亿, 利润2.58亿; PE12.22; 平均PE12.85; 平均PEG.4, PB.82; ROIC5.6533%; ROE7.2367%; 股利率1.7978%; 毛利34.4%; 净利12.7767%; 上一年度营收增10.36%, 利润增10.73%; 当季营收增48.16%, 利润增45.91%; 过往5年营收增31.82%, 利润增14.39%
Income profile:
工程承包 3.81亿 43.14% 2745.69万 11.15% 7.21%
污水处理 1.67亿 18.95% 8029.12万 32.60% 47.97%
供水 1.07亿 12.07% 8171.15万 33.17% 76.66%
污泥处置 7150.61万 8.10% 2190.87万 8.89% 30.64%
其他业务 5385.45万 6.10% 2276.52万 9.24% 42.27%
环保设备销售 4350.82万 4.93% 1218.45万 4.95% 28.01%</v>
      </c>
      <c r="D44" t="s">
        <v>762</v>
      </c>
      <c r="E44" t="s">
        <v>763</v>
      </c>
      <c r="F44">
        <v>4.45</v>
      </c>
      <c r="G44">
        <v>0.45</v>
      </c>
      <c r="H44" t="s">
        <v>2608</v>
      </c>
      <c r="I44">
        <v>3526522600</v>
      </c>
      <c r="J44">
        <v>12.22</v>
      </c>
      <c r="K44">
        <v>0.82</v>
      </c>
      <c r="L44" t="s">
        <v>1747</v>
      </c>
      <c r="M44" t="s">
        <v>2609</v>
      </c>
      <c r="N44" t="s">
        <v>2610</v>
      </c>
      <c r="O44" t="s">
        <v>1564</v>
      </c>
      <c r="P44">
        <v>47.95</v>
      </c>
      <c r="Q44" t="s">
        <v>2611</v>
      </c>
      <c r="R44">
        <v>97280335</v>
      </c>
      <c r="S44" s="5">
        <v>0.45910000000000001</v>
      </c>
      <c r="T44" t="s">
        <v>627</v>
      </c>
      <c r="U44">
        <v>769026980</v>
      </c>
      <c r="V44">
        <v>792476980</v>
      </c>
      <c r="W44">
        <v>1.8</v>
      </c>
      <c r="X44">
        <v>7.0000000000000007E-2</v>
      </c>
      <c r="Y44">
        <v>17.7</v>
      </c>
      <c r="Z44" t="s">
        <v>1548</v>
      </c>
      <c r="AA44" t="s">
        <v>1198</v>
      </c>
      <c r="AB44" t="s">
        <v>2612</v>
      </c>
      <c r="AC44" t="s">
        <v>2613</v>
      </c>
      <c r="AD44" t="s">
        <v>28</v>
      </c>
      <c r="AE44">
        <v>18176269</v>
      </c>
      <c r="AF44" t="s">
        <v>2614</v>
      </c>
      <c r="AG44" t="s">
        <v>2615</v>
      </c>
      <c r="AH44" t="s">
        <v>2616</v>
      </c>
      <c r="AI44" t="s">
        <v>1182</v>
      </c>
      <c r="AJ44" t="s">
        <v>2617</v>
      </c>
      <c r="AK44" t="s">
        <v>2618</v>
      </c>
      <c r="AL44" t="s">
        <v>2619</v>
      </c>
      <c r="AM44" t="s">
        <v>28</v>
      </c>
      <c r="AN44" t="s">
        <v>445</v>
      </c>
      <c r="AO44" t="s">
        <v>2620</v>
      </c>
      <c r="AP44" t="s">
        <v>28</v>
      </c>
      <c r="AQ44" t="s">
        <v>2117</v>
      </c>
      <c r="AR44" t="s">
        <v>28</v>
      </c>
      <c r="AS44" t="s">
        <v>2621</v>
      </c>
      <c r="AT44" t="s">
        <v>1662</v>
      </c>
      <c r="AU44" t="s">
        <v>2622</v>
      </c>
      <c r="AV44" t="s">
        <v>2623</v>
      </c>
      <c r="AW44" t="s">
        <v>2624</v>
      </c>
      <c r="AX44" t="s">
        <v>1361</v>
      </c>
      <c r="AY44" t="s">
        <v>978</v>
      </c>
      <c r="AZ44" t="s">
        <v>764</v>
      </c>
      <c r="BA44" t="s">
        <v>765</v>
      </c>
      <c r="BB44" t="s">
        <v>473</v>
      </c>
      <c r="BC44" t="s">
        <v>653</v>
      </c>
      <c r="BD44" t="s">
        <v>777</v>
      </c>
      <c r="BE44" t="s">
        <v>143</v>
      </c>
      <c r="BF44" t="s">
        <v>235</v>
      </c>
      <c r="BG44" t="s">
        <v>46</v>
      </c>
      <c r="BH44" t="s">
        <v>2611</v>
      </c>
      <c r="BI44" t="s">
        <v>748</v>
      </c>
      <c r="BJ44" t="s">
        <v>1361</v>
      </c>
      <c r="BK44" t="s">
        <v>627</v>
      </c>
      <c r="BL44" t="s">
        <v>2625</v>
      </c>
      <c r="BM44" t="s">
        <v>653</v>
      </c>
      <c r="BN44">
        <v>5.74</v>
      </c>
      <c r="BO44">
        <v>4.3</v>
      </c>
      <c r="BP44">
        <v>6.92</v>
      </c>
      <c r="BQ44">
        <v>7.22</v>
      </c>
      <c r="BR44">
        <v>5.96</v>
      </c>
      <c r="BS44">
        <v>8.5299999999999994</v>
      </c>
      <c r="BT44" t="s">
        <v>2626</v>
      </c>
      <c r="BU44" t="s">
        <v>1159</v>
      </c>
      <c r="BV44">
        <v>35.21</v>
      </c>
      <c r="BW44">
        <v>34.46</v>
      </c>
      <c r="BX44">
        <v>33.53</v>
      </c>
      <c r="BY44">
        <v>11.91</v>
      </c>
      <c r="BZ44">
        <v>11.35</v>
      </c>
      <c r="CA44">
        <v>15.07</v>
      </c>
      <c r="CB44">
        <v>0</v>
      </c>
      <c r="CC44">
        <v>-9.3699999999999992</v>
      </c>
      <c r="CD44" t="s">
        <v>2627</v>
      </c>
      <c r="CE44" t="s">
        <v>136</v>
      </c>
      <c r="CF44" s="10">
        <v>0.48158640226628913</v>
      </c>
      <c r="CG44" s="11">
        <v>0.45910142879855531</v>
      </c>
      <c r="CH44" s="10">
        <v>0.10361314564943314</v>
      </c>
      <c r="CI44" s="10">
        <v>-0.10081220418214798</v>
      </c>
      <c r="CJ44" s="10">
        <v>-1.5058823861181736E-2</v>
      </c>
      <c r="CK44" s="10">
        <v>9.932747483253479E-2</v>
      </c>
      <c r="CL44" s="10">
        <v>1.5038859844207764</v>
      </c>
      <c r="CM44" s="11">
        <v>0.10729613900184631</v>
      </c>
      <c r="CN44" s="11">
        <v>-0.25080385804176331</v>
      </c>
      <c r="CO44" s="11">
        <v>-0.19430051743984222</v>
      </c>
      <c r="CP44" s="11">
        <v>0.33103448152542114</v>
      </c>
      <c r="CQ44" s="11">
        <v>0.72619044780731201</v>
      </c>
      <c r="CR44">
        <v>12.854881895504255</v>
      </c>
      <c r="CS44">
        <v>0.4039987691196289</v>
      </c>
      <c r="CT44">
        <v>1.797752808988764</v>
      </c>
      <c r="CU44" s="10">
        <v>0.31819111537188294</v>
      </c>
      <c r="CV44" s="11">
        <v>0.14388333857059479</v>
      </c>
      <c r="CW44">
        <v>0.06</v>
      </c>
      <c r="CX44">
        <v>8.1676230980459827</v>
      </c>
      <c r="CY44">
        <v>320842743.17542052</v>
      </c>
      <c r="CZ44">
        <v>0.31819111537188294</v>
      </c>
      <c r="DA44">
        <v>2.2117508220897641</v>
      </c>
      <c r="DB44">
        <v>1184818187.3959968</v>
      </c>
      <c r="DC44">
        <v>0.30228155960328879</v>
      </c>
      <c r="DD44">
        <v>0.8311080956812088</v>
      </c>
      <c r="DE44">
        <v>3153046653.7594209</v>
      </c>
      <c r="DF44">
        <v>0.28000818152725698</v>
      </c>
      <c r="DG44">
        <v>0.35855424802063501</v>
      </c>
      <c r="DH44">
        <v>7308580541.0655384</v>
      </c>
      <c r="DI44">
        <v>0.25455289229750638</v>
      </c>
      <c r="DJ44">
        <v>8.2432833106008643E-2</v>
      </c>
      <c r="DK44">
        <v>31789791776.657818</v>
      </c>
      <c r="DL44">
        <v>0.22273378076031805</v>
      </c>
      <c r="DM44">
        <v>258000000</v>
      </c>
      <c r="DN44">
        <v>0.31819111537188294</v>
      </c>
      <c r="DO44">
        <v>2620522600</v>
      </c>
      <c r="DP44">
        <v>857185600</v>
      </c>
      <c r="DQ44">
        <v>2130</v>
      </c>
      <c r="DR44">
        <v>0.16339528689440619</v>
      </c>
      <c r="DS44">
        <v>0.31521809022796055</v>
      </c>
      <c r="DT44" s="12">
        <v>-0.24000000000000002</v>
      </c>
      <c r="DU44">
        <v>0.2533333333333333</v>
      </c>
      <c r="DV44">
        <v>1.333333333333328E-2</v>
      </c>
      <c r="DW44">
        <v>-2.0937000000000001</v>
      </c>
      <c r="DX44">
        <v>0.3181659863945579</v>
      </c>
      <c r="DY44">
        <v>-2.0129461529251702</v>
      </c>
      <c r="DZ44">
        <v>1679</v>
      </c>
      <c r="EA44">
        <v>-2.0086924169640428</v>
      </c>
      <c r="EB44">
        <v>2</v>
      </c>
      <c r="EC44">
        <v>2.5629009438229992E-2</v>
      </c>
      <c r="ED44">
        <v>0.18549434710393733</v>
      </c>
      <c r="EE44" s="15">
        <v>4.0300000000000002E-2</v>
      </c>
      <c r="EF44">
        <v>2.0300000000000002E-2</v>
      </c>
      <c r="EG44">
        <v>18.138165986394558</v>
      </c>
      <c r="EH44" t="s">
        <v>1161</v>
      </c>
      <c r="EI44">
        <v>0</v>
      </c>
      <c r="EJ44">
        <v>0</v>
      </c>
      <c r="EK44" s="14">
        <v>45470</v>
      </c>
      <c r="EL44" s="16">
        <v>0.66</v>
      </c>
      <c r="EM44" s="16">
        <v>-2.63</v>
      </c>
      <c r="EN44" s="16">
        <v>-0.45</v>
      </c>
      <c r="EO44" s="16">
        <v>2.04</v>
      </c>
      <c r="EP44" s="16">
        <v>-2</v>
      </c>
    </row>
    <row r="45" spans="1:146" ht="180" x14ac:dyDescent="0.25">
      <c r="A45" s="7" t="s">
        <v>899</v>
      </c>
      <c r="B45" s="7"/>
      <c r="C45" s="7" t="str">
        <f>""&amp;CHAR(10)&amp;Basic_Fundamental_Information_Constructure(F45)&amp;CHAR(10)&amp;Basic_Fundamental_Information_Concatenate("工程建造行业 6.74亿 70.96%（毛利22.27%，增速45.03%）
水处理行业 2.28亿 24.00%（毛利59.33%，增速20.8%）
固废处理行业 4782.23万 5.03%（毛利50.75%，新增）
其他业务 6.42万 0.0068%")</f>
        <v xml:space="preserve">
市值19.323222亿, 利润1.08亿; PE20.26; 平均PE14.56; 平均PEG.69, PB.91; ROIC6.2833%; ROE8.3333%; 股利率.8777%; 毛利37.69%; 净利16.3033%; 上一年度营收增-30.61%, 利润增-36.84%; 当季营收增9.45%, 利润增-28.22%; 过往5年营收增21.14%, 利润增19.8%
Income profile:
工程建造行业 6.74亿 70.96%（毛利22.27%，增速45.03%）
水处理行业 2.28亿 24.00%（毛利59.33%，增速20.8%）
固废处理行业 4782.23万 5.03%（毛利50.75%，新增）
其他业务 6.42万 0.0068%</v>
      </c>
      <c r="D45" t="s">
        <v>767</v>
      </c>
      <c r="E45" t="s">
        <v>768</v>
      </c>
      <c r="F45">
        <v>4.5599999999999996</v>
      </c>
      <c r="G45">
        <v>1.56</v>
      </c>
      <c r="H45" t="s">
        <v>2628</v>
      </c>
      <c r="I45">
        <v>1932322200</v>
      </c>
      <c r="J45">
        <v>20.260000000000002</v>
      </c>
      <c r="K45">
        <v>0.91</v>
      </c>
      <c r="L45" t="s">
        <v>1747</v>
      </c>
      <c r="M45" t="s">
        <v>2629</v>
      </c>
      <c r="N45" t="s">
        <v>2630</v>
      </c>
      <c r="O45" t="s">
        <v>96</v>
      </c>
      <c r="P45">
        <v>9.77</v>
      </c>
      <c r="Q45" t="s">
        <v>565</v>
      </c>
      <c r="R45">
        <v>32015750</v>
      </c>
      <c r="S45" s="5">
        <v>-0.28220000000000001</v>
      </c>
      <c r="T45" t="s">
        <v>152</v>
      </c>
      <c r="U45">
        <v>374580790</v>
      </c>
      <c r="V45">
        <v>423754870</v>
      </c>
      <c r="W45">
        <v>2.85</v>
      </c>
      <c r="X45">
        <v>0.03</v>
      </c>
      <c r="Y45">
        <v>15.21</v>
      </c>
      <c r="Z45" t="s">
        <v>739</v>
      </c>
      <c r="AA45" t="s">
        <v>124</v>
      </c>
      <c r="AB45" t="s">
        <v>2631</v>
      </c>
      <c r="AC45" t="s">
        <v>2632</v>
      </c>
      <c r="AD45" t="s">
        <v>28</v>
      </c>
      <c r="AE45">
        <v>38201498</v>
      </c>
      <c r="AF45" t="s">
        <v>2633</v>
      </c>
      <c r="AG45">
        <v>0.99</v>
      </c>
      <c r="AH45" t="s">
        <v>2634</v>
      </c>
      <c r="AI45" t="s">
        <v>187</v>
      </c>
      <c r="AJ45" t="s">
        <v>2635</v>
      </c>
      <c r="AK45" t="s">
        <v>2636</v>
      </c>
      <c r="AL45" t="s">
        <v>2637</v>
      </c>
      <c r="AM45" t="s">
        <v>28</v>
      </c>
      <c r="AN45" t="s">
        <v>2638</v>
      </c>
      <c r="AO45" t="s">
        <v>56</v>
      </c>
      <c r="AP45" t="s">
        <v>2639</v>
      </c>
      <c r="AQ45" t="s">
        <v>394</v>
      </c>
      <c r="AR45" t="s">
        <v>28</v>
      </c>
      <c r="AS45" t="s">
        <v>1038</v>
      </c>
      <c r="AT45" t="s">
        <v>2640</v>
      </c>
      <c r="AU45" t="s">
        <v>2641</v>
      </c>
      <c r="AV45" t="s">
        <v>2642</v>
      </c>
      <c r="AW45" t="s">
        <v>856</v>
      </c>
      <c r="AX45" t="s">
        <v>2643</v>
      </c>
      <c r="AY45" t="s">
        <v>586</v>
      </c>
      <c r="AZ45" t="s">
        <v>769</v>
      </c>
      <c r="BA45" t="s">
        <v>341</v>
      </c>
      <c r="BB45" t="s">
        <v>742</v>
      </c>
      <c r="BC45" t="s">
        <v>1263</v>
      </c>
      <c r="BD45" t="s">
        <v>59</v>
      </c>
      <c r="BE45" t="s">
        <v>681</v>
      </c>
      <c r="BF45" t="s">
        <v>771</v>
      </c>
      <c r="BG45" t="s">
        <v>772</v>
      </c>
      <c r="BH45" t="s">
        <v>565</v>
      </c>
      <c r="BI45" t="s">
        <v>309</v>
      </c>
      <c r="BJ45" t="s">
        <v>2643</v>
      </c>
      <c r="BK45" t="s">
        <v>152</v>
      </c>
      <c r="BL45" t="s">
        <v>2644</v>
      </c>
      <c r="BM45" t="s">
        <v>1263</v>
      </c>
      <c r="BN45">
        <v>3.54</v>
      </c>
      <c r="BO45">
        <v>6.79</v>
      </c>
      <c r="BP45">
        <v>8.52</v>
      </c>
      <c r="BQ45">
        <v>4.6399999999999997</v>
      </c>
      <c r="BR45">
        <v>9.75</v>
      </c>
      <c r="BS45">
        <v>10.61</v>
      </c>
      <c r="BT45" t="s">
        <v>2645</v>
      </c>
      <c r="BU45" t="s">
        <v>1159</v>
      </c>
      <c r="BV45">
        <v>44.09</v>
      </c>
      <c r="BW45">
        <v>33.229999999999997</v>
      </c>
      <c r="BX45">
        <v>35.75</v>
      </c>
      <c r="BY45">
        <v>14.44</v>
      </c>
      <c r="BZ45">
        <v>16.05</v>
      </c>
      <c r="CA45">
        <v>18.420000000000002</v>
      </c>
      <c r="CB45">
        <v>-1.51</v>
      </c>
      <c r="CC45">
        <v>-10.94</v>
      </c>
      <c r="CD45" t="s">
        <v>2646</v>
      </c>
      <c r="CE45" t="s">
        <v>2647</v>
      </c>
      <c r="CF45" s="10">
        <v>9.4527363184079907E-2</v>
      </c>
      <c r="CG45" s="11">
        <v>-0.28222083719136665</v>
      </c>
      <c r="CH45" s="10">
        <v>-0.3060528039932251</v>
      </c>
      <c r="CI45" s="10">
        <v>6.003375630825758E-3</v>
      </c>
      <c r="CJ45" s="10">
        <v>0.22736841440200806</v>
      </c>
      <c r="CK45" s="10">
        <v>0.45259937644004822</v>
      </c>
      <c r="CL45" s="10">
        <v>0.67692309617996216</v>
      </c>
      <c r="CM45" s="11">
        <v>-0.3684210479259491</v>
      </c>
      <c r="CN45" s="11">
        <v>-0.15346534550189972</v>
      </c>
      <c r="CO45" s="11">
        <v>0.27848100662231445</v>
      </c>
      <c r="CP45" s="11">
        <v>0.62698578834533691</v>
      </c>
      <c r="CQ45" s="11">
        <v>0.60662716627120972</v>
      </c>
      <c r="CR45">
        <v>14.555061484629846</v>
      </c>
      <c r="CS45">
        <v>0.68861139792386061</v>
      </c>
      <c r="CT45">
        <v>0.87774780701754396</v>
      </c>
      <c r="CU45" s="10">
        <v>0.21136829173192381</v>
      </c>
      <c r="CV45" s="11">
        <v>0.19804151356220245</v>
      </c>
      <c r="CW45">
        <v>0.06</v>
      </c>
      <c r="CX45">
        <v>29.470512030469393</v>
      </c>
      <c r="CY45">
        <v>123422429.72362997</v>
      </c>
      <c r="CZ45">
        <v>0.21136829173192381</v>
      </c>
      <c r="DA45">
        <v>8.7027868032213131</v>
      </c>
      <c r="DB45">
        <v>417949133.10454243</v>
      </c>
      <c r="DC45">
        <v>0.20079987714532763</v>
      </c>
      <c r="DD45">
        <v>3.7197710974709097</v>
      </c>
      <c r="DE45">
        <v>977834954.00376463</v>
      </c>
      <c r="DF45">
        <v>0.18600409672409296</v>
      </c>
      <c r="DG45">
        <v>1.8893501176182601</v>
      </c>
      <c r="DH45">
        <v>1925171076.5949812</v>
      </c>
      <c r="DI45">
        <v>0.16909463338553907</v>
      </c>
      <c r="DJ45">
        <v>0.65746575689203357</v>
      </c>
      <c r="DK45">
        <v>5532337101.7744226</v>
      </c>
      <c r="DL45">
        <v>0.14795780421234667</v>
      </c>
      <c r="DM45">
        <v>108000000</v>
      </c>
      <c r="DN45">
        <v>0.21136829173192381</v>
      </c>
      <c r="DO45">
        <v>3637322200</v>
      </c>
      <c r="DP45">
        <v>756760900</v>
      </c>
      <c r="DQ45">
        <v>2158</v>
      </c>
      <c r="DR45">
        <v>-0.11684092854784391</v>
      </c>
      <c r="DS45">
        <v>-0.4802623507535691</v>
      </c>
      <c r="DT45" s="12">
        <v>-0.15666666666666665</v>
      </c>
      <c r="DU45">
        <v>2.9999999999999916E-2</v>
      </c>
      <c r="DV45">
        <v>-0.12666666666666673</v>
      </c>
      <c r="DW45">
        <v>-2.1093999999999999</v>
      </c>
      <c r="DX45">
        <v>0.27821818914395224</v>
      </c>
      <c r="DY45">
        <v>-2.0151210698923485</v>
      </c>
      <c r="DZ45">
        <v>2017</v>
      </c>
      <c r="EA45">
        <v>-2.0091525379994195</v>
      </c>
      <c r="EB45">
        <v>2</v>
      </c>
      <c r="EC45">
        <v>3.0593866685237153E-2</v>
      </c>
      <c r="ED45">
        <v>0.22134471280530651</v>
      </c>
      <c r="EE45" s="15">
        <v>5.0799999999999998E-2</v>
      </c>
      <c r="EF45">
        <v>3.5499999999999997E-2</v>
      </c>
      <c r="EG45">
        <v>14.138218189143952</v>
      </c>
      <c r="EH45" t="s">
        <v>1161</v>
      </c>
      <c r="EI45">
        <v>0</v>
      </c>
      <c r="EJ45">
        <v>0</v>
      </c>
      <c r="EK45" s="14">
        <v>45470</v>
      </c>
      <c r="EL45" s="16">
        <v>0.66</v>
      </c>
      <c r="EM45" s="16">
        <v>-3.9</v>
      </c>
      <c r="EN45" s="16">
        <v>0.9</v>
      </c>
      <c r="EO45" s="16">
        <v>2.46</v>
      </c>
      <c r="EP45" s="16">
        <v>-1.53</v>
      </c>
    </row>
    <row r="46" spans="1:146" ht="108" x14ac:dyDescent="0.25">
      <c r="A46" s="7"/>
      <c r="B46" s="7"/>
      <c r="C46" s="7" t="str">
        <f>""&amp;CHAR(10)&amp;Basic_Fundamental_Information_Constructure(F46)&amp;CHAR(10)&amp;Basic_Fundamental_Information_Concatenate("")</f>
        <v xml:space="preserve">
市值26.160874亿, 利润1.04亿; PE31.54; 平均PE23.08; 平均PEG1.95, PB1.77; ROIC7.8367%; ROE8.42%; 股利率2.3438%; 毛利33.7567%; 净利14.44%; 上一年度营收增-22.17%, 利润增215.62%; 当季营收增-27.55%, 利润增-44.93%; 过往5年营收增11.86%, 利润增38.87%
Income profile:
</v>
      </c>
      <c r="D46" t="s">
        <v>773</v>
      </c>
      <c r="E46" t="s">
        <v>774</v>
      </c>
      <c r="F46">
        <v>6.4</v>
      </c>
      <c r="G46">
        <v>1.59</v>
      </c>
      <c r="H46" t="s">
        <v>2648</v>
      </c>
      <c r="I46">
        <v>2616087400</v>
      </c>
      <c r="J46">
        <v>31.54</v>
      </c>
      <c r="K46">
        <v>1.77</v>
      </c>
      <c r="L46" t="s">
        <v>1747</v>
      </c>
      <c r="M46" t="s">
        <v>735</v>
      </c>
      <c r="N46" t="s">
        <v>1717</v>
      </c>
      <c r="O46" t="s">
        <v>109</v>
      </c>
      <c r="P46">
        <v>-27.25</v>
      </c>
      <c r="Q46" t="s">
        <v>2649</v>
      </c>
      <c r="R46">
        <v>25851086</v>
      </c>
      <c r="S46" s="5">
        <v>-0.44929999999999998</v>
      </c>
      <c r="T46" t="s">
        <v>451</v>
      </c>
      <c r="U46">
        <v>123648105</v>
      </c>
      <c r="V46">
        <v>408763660</v>
      </c>
      <c r="W46">
        <v>1.67</v>
      </c>
      <c r="X46">
        <v>0.05</v>
      </c>
      <c r="Y46">
        <v>16.57</v>
      </c>
      <c r="Z46" t="s">
        <v>196</v>
      </c>
      <c r="AA46" t="s">
        <v>2650</v>
      </c>
      <c r="AB46" t="s">
        <v>2651</v>
      </c>
      <c r="AC46" t="s">
        <v>2652</v>
      </c>
      <c r="AD46" t="s">
        <v>28</v>
      </c>
      <c r="AE46">
        <v>-2822787</v>
      </c>
      <c r="AF46" t="s">
        <v>2653</v>
      </c>
      <c r="AG46" t="s">
        <v>2654</v>
      </c>
      <c r="AH46" t="s">
        <v>2655</v>
      </c>
      <c r="AI46" t="s">
        <v>136</v>
      </c>
      <c r="AJ46" t="s">
        <v>2656</v>
      </c>
      <c r="AK46" t="s">
        <v>2657</v>
      </c>
      <c r="AL46" t="s">
        <v>2658</v>
      </c>
      <c r="AM46" t="s">
        <v>28</v>
      </c>
      <c r="AN46" t="s">
        <v>2659</v>
      </c>
      <c r="AO46" t="s">
        <v>2660</v>
      </c>
      <c r="AP46" t="s">
        <v>2661</v>
      </c>
      <c r="AQ46" t="s">
        <v>1223</v>
      </c>
      <c r="AR46" t="s">
        <v>28</v>
      </c>
      <c r="AS46" t="s">
        <v>434</v>
      </c>
      <c r="AT46" t="s">
        <v>1443</v>
      </c>
      <c r="AU46" t="s">
        <v>2662</v>
      </c>
      <c r="AV46" t="s">
        <v>2663</v>
      </c>
      <c r="AW46" t="s">
        <v>2664</v>
      </c>
      <c r="AX46" t="s">
        <v>1362</v>
      </c>
      <c r="AY46" t="s">
        <v>51</v>
      </c>
      <c r="AZ46" t="s">
        <v>740</v>
      </c>
      <c r="BA46" t="s">
        <v>580</v>
      </c>
      <c r="BB46" t="s">
        <v>738</v>
      </c>
      <c r="BC46" t="s">
        <v>1363</v>
      </c>
      <c r="BD46" t="s">
        <v>164</v>
      </c>
      <c r="BE46" t="s">
        <v>323</v>
      </c>
      <c r="BF46" t="s">
        <v>129</v>
      </c>
      <c r="BG46" t="s">
        <v>110</v>
      </c>
      <c r="BH46" t="s">
        <v>2649</v>
      </c>
      <c r="BI46" t="s">
        <v>1262</v>
      </c>
      <c r="BJ46" t="s">
        <v>1362</v>
      </c>
      <c r="BK46" t="s">
        <v>451</v>
      </c>
      <c r="BL46" t="s">
        <v>2665</v>
      </c>
      <c r="BM46" t="s">
        <v>1363</v>
      </c>
      <c r="BN46">
        <v>7.84</v>
      </c>
      <c r="BO46">
        <v>2.17</v>
      </c>
      <c r="BP46">
        <v>13.5</v>
      </c>
      <c r="BQ46">
        <v>8.43</v>
      </c>
      <c r="BR46">
        <v>2.34</v>
      </c>
      <c r="BS46">
        <v>14.49</v>
      </c>
      <c r="BT46" t="s">
        <v>1249</v>
      </c>
      <c r="BU46" t="s">
        <v>1159</v>
      </c>
      <c r="BV46">
        <v>32.92</v>
      </c>
      <c r="BW46">
        <v>31.58</v>
      </c>
      <c r="BX46">
        <v>36.770000000000003</v>
      </c>
      <c r="BY46">
        <v>14.74</v>
      </c>
      <c r="BZ46">
        <v>3.97</v>
      </c>
      <c r="CA46">
        <v>24.61</v>
      </c>
      <c r="CB46">
        <v>-1.99</v>
      </c>
      <c r="CC46">
        <v>-16.88</v>
      </c>
      <c r="CD46" t="s">
        <v>2666</v>
      </c>
      <c r="CE46" t="s">
        <v>2667</v>
      </c>
      <c r="CF46" s="10">
        <v>-0.27551020408163263</v>
      </c>
      <c r="CG46" s="11">
        <v>-0.44933836043923275</v>
      </c>
      <c r="CH46" s="10">
        <v>-0.22169248759746552</v>
      </c>
      <c r="CI46" s="10">
        <v>0.1767180860042572</v>
      </c>
      <c r="CJ46" s="10">
        <v>0.22719448804855347</v>
      </c>
      <c r="CK46" s="10">
        <v>0.22058823704719543</v>
      </c>
      <c r="CL46" s="10">
        <v>0.18999999761581421</v>
      </c>
      <c r="CM46" s="11">
        <v>2.1562399864196777</v>
      </c>
      <c r="CN46" s="11">
        <v>-0.81062877178192139</v>
      </c>
      <c r="CO46" s="11">
        <v>0.16778524219989777</v>
      </c>
      <c r="CP46" s="11">
        <v>0.25210085511207581</v>
      </c>
      <c r="CQ46" s="11">
        <v>0.17821782827377319</v>
      </c>
      <c r="CR46">
        <v>23.0848011605549</v>
      </c>
      <c r="CS46">
        <v>1.9470712824176093</v>
      </c>
      <c r="CT46">
        <v>2.34375</v>
      </c>
      <c r="CU46" s="10">
        <v>0.11856166422367095</v>
      </c>
      <c r="CV46" s="11">
        <v>0.38874302804470062</v>
      </c>
      <c r="CW46">
        <v>0.06</v>
      </c>
      <c r="CX46">
        <v>20.593863466879412</v>
      </c>
      <c r="CY46">
        <v>109745672.71628469</v>
      </c>
      <c r="CZ46">
        <v>0.11856166422367095</v>
      </c>
      <c r="DA46">
        <v>6.5695880244257747</v>
      </c>
      <c r="DB46">
        <v>344022698.47012919</v>
      </c>
      <c r="DC46">
        <v>0.1126335810124874</v>
      </c>
      <c r="DD46">
        <v>3.1303760626919117</v>
      </c>
      <c r="DE46">
        <v>721985906.72089338</v>
      </c>
      <c r="DF46">
        <v>0.10433426451683044</v>
      </c>
      <c r="DG46">
        <v>1.8111410620653416</v>
      </c>
      <c r="DH46">
        <v>1247880381.7868834</v>
      </c>
      <c r="DI46">
        <v>9.4849331378936766E-2</v>
      </c>
      <c r="DJ46">
        <v>0.8607629083120133</v>
      </c>
      <c r="DK46">
        <v>2625679357.434339</v>
      </c>
      <c r="DL46">
        <v>8.2993164956569665E-2</v>
      </c>
      <c r="DM46">
        <v>104000000</v>
      </c>
      <c r="DN46">
        <v>0.11856166422367095</v>
      </c>
      <c r="DO46">
        <v>2260087400</v>
      </c>
      <c r="DP46">
        <v>703340800</v>
      </c>
      <c r="DQ46">
        <v>2232</v>
      </c>
      <c r="DR46">
        <v>-0.39407186830530361</v>
      </c>
      <c r="DS46">
        <v>-0.83808138848393332</v>
      </c>
      <c r="DT46" s="12">
        <v>-0.10666666666666676</v>
      </c>
      <c r="DU46">
        <v>0.12999999999999992</v>
      </c>
      <c r="DV46">
        <v>2.3333333333333164E-2</v>
      </c>
      <c r="DW46">
        <v>-3.0099523809523809</v>
      </c>
      <c r="DX46">
        <v>0.41545325863583216</v>
      </c>
      <c r="DY46">
        <v>-3.0016466538597566</v>
      </c>
      <c r="DZ46">
        <v>3219</v>
      </c>
      <c r="EA46">
        <v>-3.0006093586005478</v>
      </c>
      <c r="EB46">
        <v>3</v>
      </c>
      <c r="EC46">
        <v>2.3734008057369874E-2</v>
      </c>
      <c r="ED46">
        <v>0.14344841711222567</v>
      </c>
      <c r="EE46" s="15">
        <v>2.0247099999999998</v>
      </c>
      <c r="EF46">
        <v>2.0525099999999998</v>
      </c>
      <c r="EG46">
        <v>25.165453258635832</v>
      </c>
      <c r="EH46" t="s">
        <v>1270</v>
      </c>
      <c r="EI46">
        <v>0</v>
      </c>
      <c r="EJ46">
        <v>0</v>
      </c>
      <c r="EK46" s="14">
        <v>45470</v>
      </c>
      <c r="EL46" s="16">
        <v>-0.16</v>
      </c>
      <c r="EM46" s="16">
        <v>-2.56</v>
      </c>
      <c r="EN46" s="16">
        <v>-1.2</v>
      </c>
      <c r="EO46" s="16">
        <v>4.2699999999999996</v>
      </c>
      <c r="EP46" s="16">
        <v>-2.78</v>
      </c>
    </row>
    <row r="47" spans="1:146" ht="156" x14ac:dyDescent="0.25">
      <c r="A47" s="7" t="s">
        <v>675</v>
      </c>
      <c r="B47" s="7" t="s">
        <v>676</v>
      </c>
      <c r="C47" s="7" t="str">
        <f>""&amp;CHAR(10)&amp;Basic_Fundamental_Information_Constructure(F47)&amp;CHAR(10)&amp;Basic_Fundamental_Information_Concatenate("资源化综合利用产品 2.66亿 82.22%（毛利24.36%）
危险废物处理处置服务 3833.86万 11.84%（毛利52.43%）
其他产品 1407.89万 4.35%
其他业务 514.88万 1.59%（毛利35.51%）")</f>
        <v xml:space="preserve">
市值85.586349亿, 利润1.39亿; PE69.64; 平均PE179.02; 平均PEG4.38, PB6.56; ROIC3.2533%; ROE5.5%; 股利率.3417%; 毛利27.36%; 净利6.4033%; 上一年度营收增195.04%, 利润增5519.34%; 当季营收增23.65%, 利润增-43.18%; 过往5年营收增40.91%, 利润增1062.83%
Income profile:
资源化综合利用产品 2.66亿 82.22%（毛利24.36%）
危险废物处理处置服务 3833.86万 11.84%（毛利52.43%）
其他产品 1407.89万 4.35%
其他业务 514.88万 1.59%（毛利35.51%）</v>
      </c>
      <c r="D47" t="s">
        <v>221</v>
      </c>
      <c r="E47" t="s">
        <v>222</v>
      </c>
      <c r="F47">
        <v>43.9</v>
      </c>
      <c r="G47">
        <v>-1.59</v>
      </c>
      <c r="H47" t="s">
        <v>2668</v>
      </c>
      <c r="I47">
        <v>8558634900</v>
      </c>
      <c r="J47">
        <v>69.64</v>
      </c>
      <c r="K47">
        <v>6.56</v>
      </c>
      <c r="L47" t="s">
        <v>1747</v>
      </c>
      <c r="M47" t="s">
        <v>2669</v>
      </c>
      <c r="N47" t="s">
        <v>2670</v>
      </c>
      <c r="O47" t="s">
        <v>296</v>
      </c>
      <c r="P47">
        <v>23.6</v>
      </c>
      <c r="Q47" t="s">
        <v>1684</v>
      </c>
      <c r="R47">
        <v>20535629</v>
      </c>
      <c r="S47" s="5">
        <v>-0.43180000000000002</v>
      </c>
      <c r="T47" t="s">
        <v>101</v>
      </c>
      <c r="U47">
        <v>148379250</v>
      </c>
      <c r="V47">
        <v>194957510</v>
      </c>
      <c r="W47">
        <v>2.4</v>
      </c>
      <c r="X47">
        <v>0.09</v>
      </c>
      <c r="Y47">
        <v>7.79</v>
      </c>
      <c r="Z47" t="s">
        <v>144</v>
      </c>
      <c r="AA47" t="s">
        <v>1696</v>
      </c>
      <c r="AB47" t="s">
        <v>2671</v>
      </c>
      <c r="AC47" t="s">
        <v>2672</v>
      </c>
      <c r="AD47" t="s">
        <v>28</v>
      </c>
      <c r="AE47">
        <v>14269588</v>
      </c>
      <c r="AF47" t="s">
        <v>2673</v>
      </c>
      <c r="AG47" t="s">
        <v>2674</v>
      </c>
      <c r="AH47" t="s">
        <v>2675</v>
      </c>
      <c r="AI47" t="s">
        <v>418</v>
      </c>
      <c r="AJ47" t="s">
        <v>2676</v>
      </c>
      <c r="AK47" t="s">
        <v>2677</v>
      </c>
      <c r="AL47" t="s">
        <v>2678</v>
      </c>
      <c r="AM47" t="s">
        <v>28</v>
      </c>
      <c r="AN47" t="s">
        <v>862</v>
      </c>
      <c r="AO47" t="s">
        <v>2679</v>
      </c>
      <c r="AP47" t="s">
        <v>2680</v>
      </c>
      <c r="AQ47" t="s">
        <v>532</v>
      </c>
      <c r="AR47" t="s">
        <v>2681</v>
      </c>
      <c r="AS47" t="s">
        <v>697</v>
      </c>
      <c r="AT47" t="s">
        <v>1420</v>
      </c>
      <c r="AU47" t="s">
        <v>2682</v>
      </c>
      <c r="AV47" t="s">
        <v>1451</v>
      </c>
      <c r="AW47" t="s">
        <v>262</v>
      </c>
      <c r="AX47" t="s">
        <v>977</v>
      </c>
      <c r="AY47" t="s">
        <v>459</v>
      </c>
      <c r="AZ47" t="s">
        <v>319</v>
      </c>
      <c r="BA47" t="s">
        <v>223</v>
      </c>
      <c r="BB47" t="s">
        <v>223</v>
      </c>
      <c r="BC47" t="s">
        <v>1364</v>
      </c>
      <c r="BD47" t="s">
        <v>981</v>
      </c>
      <c r="BE47" t="s">
        <v>536</v>
      </c>
      <c r="BF47" t="s">
        <v>224</v>
      </c>
      <c r="BG47" t="s">
        <v>538</v>
      </c>
      <c r="BH47" t="s">
        <v>1684</v>
      </c>
      <c r="BI47" t="s">
        <v>1338</v>
      </c>
      <c r="BJ47" t="s">
        <v>977</v>
      </c>
      <c r="BK47" t="s">
        <v>101</v>
      </c>
      <c r="BL47" t="s">
        <v>2683</v>
      </c>
      <c r="BM47" t="s">
        <v>1364</v>
      </c>
      <c r="BN47">
        <v>8.0500000000000007</v>
      </c>
      <c r="BO47">
        <v>0.41</v>
      </c>
      <c r="BP47">
        <v>1.3</v>
      </c>
      <c r="BQ47">
        <v>14.47</v>
      </c>
      <c r="BR47">
        <v>0.33</v>
      </c>
      <c r="BS47">
        <v>1.7</v>
      </c>
      <c r="BT47" t="s">
        <v>1442</v>
      </c>
      <c r="BU47" t="s">
        <v>1061</v>
      </c>
      <c r="BV47">
        <v>32.22</v>
      </c>
      <c r="BW47">
        <v>21.55</v>
      </c>
      <c r="BX47">
        <v>28.31</v>
      </c>
      <c r="BY47">
        <v>14.34</v>
      </c>
      <c r="BZ47">
        <v>0.74</v>
      </c>
      <c r="CA47">
        <v>4.13</v>
      </c>
      <c r="CB47">
        <v>-9.3000000000000007</v>
      </c>
      <c r="CC47">
        <v>-14.5</v>
      </c>
      <c r="CD47" t="s">
        <v>2684</v>
      </c>
      <c r="CE47" t="s">
        <v>250</v>
      </c>
      <c r="CF47" s="10">
        <v>0.23651452282157676</v>
      </c>
      <c r="CG47" s="11">
        <v>-0.43181649908971687</v>
      </c>
      <c r="CH47" s="10">
        <v>1.9504132270812988</v>
      </c>
      <c r="CI47" s="10">
        <v>0.27368420362472534</v>
      </c>
      <c r="CJ47" s="10">
        <v>-0.12037037312984467</v>
      </c>
      <c r="CK47" s="10">
        <v>-5.8139536529779434E-2</v>
      </c>
      <c r="CL47" s="10">
        <v>0</v>
      </c>
      <c r="CM47" s="11">
        <v>55.193401336669922</v>
      </c>
      <c r="CN47" s="11">
        <v>-0.78955608606338501</v>
      </c>
      <c r="CO47" s="11">
        <v>-0.56490421295166016</v>
      </c>
      <c r="CP47" s="11">
        <v>-0.36967706680297852</v>
      </c>
      <c r="CQ47" s="11">
        <v>-0.32765927910804749</v>
      </c>
      <c r="CR47">
        <v>179.02054079380525</v>
      </c>
      <c r="CS47">
        <v>4.3757731935671238</v>
      </c>
      <c r="CT47">
        <v>0.34168564920273348</v>
      </c>
      <c r="CU47" s="10">
        <v>0.40911750420928</v>
      </c>
      <c r="CV47" s="11">
        <v>10.62832093834877</v>
      </c>
      <c r="CW47">
        <v>0.06</v>
      </c>
      <c r="CX47">
        <v>48.893875477640904</v>
      </c>
      <c r="CY47">
        <v>184780502.91046217</v>
      </c>
      <c r="CZ47">
        <v>0.40911750420928</v>
      </c>
      <c r="DA47">
        <v>12.322475855107429</v>
      </c>
      <c r="DB47">
        <v>733183412.6707027</v>
      </c>
      <c r="DC47">
        <v>0.38866162899881601</v>
      </c>
      <c r="DD47">
        <v>4.1427520414021108</v>
      </c>
      <c r="DE47">
        <v>2180829267.5277362</v>
      </c>
      <c r="DF47">
        <v>0.36002340370416641</v>
      </c>
      <c r="DG47">
        <v>1.5443324059777963</v>
      </c>
      <c r="DH47">
        <v>5850187993.8728008</v>
      </c>
      <c r="DI47">
        <v>0.32729400336742404</v>
      </c>
      <c r="DJ47">
        <v>0.24334763656892797</v>
      </c>
      <c r="DK47">
        <v>37126454266.758202</v>
      </c>
      <c r="DL47">
        <v>0.286382252946496</v>
      </c>
      <c r="DM47">
        <v>139000000</v>
      </c>
      <c r="DN47">
        <v>0.40911750420928</v>
      </c>
      <c r="DO47">
        <v>9034634900</v>
      </c>
      <c r="DP47">
        <v>381826870</v>
      </c>
      <c r="DQ47">
        <v>2237</v>
      </c>
      <c r="DR47">
        <v>-0.17260298138770325</v>
      </c>
      <c r="DS47">
        <v>-11.060137437438486</v>
      </c>
      <c r="DT47" s="12">
        <v>1.0000000000000011E-2</v>
      </c>
      <c r="DU47">
        <v>-0.56999999999999995</v>
      </c>
      <c r="DV47">
        <v>-0.55999999999999994</v>
      </c>
      <c r="DW47">
        <v>-9.6413793103448278</v>
      </c>
      <c r="DX47">
        <v>0.63462883435582884</v>
      </c>
      <c r="DY47">
        <v>-9.0671067696213239</v>
      </c>
      <c r="DZ47">
        <v>4620</v>
      </c>
      <c r="EA47">
        <v>-9.0064348957171134</v>
      </c>
      <c r="EB47">
        <v>9</v>
      </c>
      <c r="EC47">
        <v>8.7478035598628642E-2</v>
      </c>
      <c r="ED47">
        <v>0.83607961550185983</v>
      </c>
      <c r="EE47" s="15">
        <v>3.0420099999999999</v>
      </c>
      <c r="EF47">
        <v>3.05491</v>
      </c>
      <c r="EG47">
        <v>53.104628834355829</v>
      </c>
      <c r="EH47" t="s">
        <v>1366</v>
      </c>
      <c r="EI47">
        <v>0</v>
      </c>
      <c r="EJ47">
        <v>0</v>
      </c>
      <c r="EK47" s="14">
        <v>45470</v>
      </c>
      <c r="EL47" s="16">
        <v>20</v>
      </c>
      <c r="EM47" s="16">
        <v>-3.87</v>
      </c>
      <c r="EN47" s="16">
        <v>-4.38</v>
      </c>
      <c r="EO47" s="16">
        <v>1.78</v>
      </c>
      <c r="EP47" s="16">
        <v>-1.29</v>
      </c>
    </row>
    <row r="48" spans="1:146" ht="168" x14ac:dyDescent="0.25">
      <c r="A48" s="7"/>
      <c r="B48" s="7"/>
      <c r="C48" s="7" t="str">
        <f>"公司的主营业务是市政环卫和物业清洁。主要产品为物业清洁、市政环卫、其他业务。经过24年的积累，公司业务范围从深圳扩展至全国89座城市，服务超过1,200家品牌客户和近200家政府客户"&amp;CHAR(10)&amp;Basic_Fundamental_Information_Constructure(F48)&amp;CHAR(10)&amp;Basic_Fundamental_Information_Concatenate("市政环卫 20.58亿 79.01% 90.30% 26.31%
物业清洁 5.45亿 20.92% 9.54% 10.50%
其他业务 200.58万 0.08% 0.15% 45.64%")</f>
        <v>公司的主营业务是市政环卫和物业清洁。主要产品为物业清洁、市政环卫、其他业务。经过24年的积累，公司业务范围从深圳扩展至全国89座城市，服务超过1,200家品牌客户和近200家政府客户
市值45.31991亿, 利润1068.94万; PE8.57; 平均PE12.93; 平均PEG6.96, PB1.2; ROIC13.0433%; ROE15.53%; 股利率1.759%; 毛利22.5933%; 净利10.1933%; 上一年度营收增-80.59%, 利润增-97.84%; 当季营收增591.87%, 利润增1667.93%; 过往5年营收增-1.86%, 利润增11.03%
Income profile:
市政环卫 20.58亿 79.01% 90.30% 26.31%
物业清洁 5.45亿 20.92% 9.54% 10.50%
其他业务 200.58万 0.08% 0.15% 45.64%</v>
      </c>
      <c r="D48" t="s">
        <v>230</v>
      </c>
      <c r="E48" t="s">
        <v>231</v>
      </c>
      <c r="F48">
        <v>11.37</v>
      </c>
      <c r="G48">
        <v>1.07</v>
      </c>
      <c r="H48" t="s">
        <v>2685</v>
      </c>
      <c r="I48">
        <v>4531991000</v>
      </c>
      <c r="J48">
        <v>8.57</v>
      </c>
      <c r="K48">
        <v>1.2</v>
      </c>
      <c r="L48" t="s">
        <v>1747</v>
      </c>
      <c r="M48" t="s">
        <v>416</v>
      </c>
      <c r="N48" t="s">
        <v>2686</v>
      </c>
      <c r="O48" t="s">
        <v>2687</v>
      </c>
      <c r="P48">
        <v>20.059999999999999</v>
      </c>
      <c r="Q48" t="s">
        <v>1054</v>
      </c>
      <c r="R48">
        <v>147680680</v>
      </c>
      <c r="S48" s="5">
        <v>5.5899999999999998E-2</v>
      </c>
      <c r="T48" t="s">
        <v>2688</v>
      </c>
      <c r="U48">
        <v>387792000</v>
      </c>
      <c r="V48">
        <v>398592000</v>
      </c>
      <c r="W48">
        <v>1.76</v>
      </c>
      <c r="X48">
        <v>0.23</v>
      </c>
      <c r="Y48">
        <v>9.99</v>
      </c>
      <c r="Z48" t="s">
        <v>1685</v>
      </c>
      <c r="AA48" t="s">
        <v>2689</v>
      </c>
      <c r="AB48" t="s">
        <v>2690</v>
      </c>
      <c r="AC48" t="s">
        <v>152</v>
      </c>
      <c r="AD48" t="s">
        <v>28</v>
      </c>
      <c r="AE48">
        <v>14414184</v>
      </c>
      <c r="AF48" t="s">
        <v>2691</v>
      </c>
      <c r="AG48" t="s">
        <v>2692</v>
      </c>
      <c r="AH48" t="s">
        <v>2693</v>
      </c>
      <c r="AI48" t="s">
        <v>1563</v>
      </c>
      <c r="AJ48" t="s">
        <v>2694</v>
      </c>
      <c r="AK48" t="s">
        <v>2695</v>
      </c>
      <c r="AL48" t="s">
        <v>2696</v>
      </c>
      <c r="AM48" t="s">
        <v>28</v>
      </c>
      <c r="AN48" t="s">
        <v>2697</v>
      </c>
      <c r="AO48" t="s">
        <v>1045</v>
      </c>
      <c r="AP48" t="s">
        <v>2698</v>
      </c>
      <c r="AQ48" t="s">
        <v>473</v>
      </c>
      <c r="AR48" t="s">
        <v>28</v>
      </c>
      <c r="AS48" t="s">
        <v>2699</v>
      </c>
      <c r="AT48" t="s">
        <v>425</v>
      </c>
      <c r="AU48" t="s">
        <v>2700</v>
      </c>
      <c r="AV48" t="s">
        <v>2701</v>
      </c>
      <c r="AW48" t="s">
        <v>2702</v>
      </c>
      <c r="AX48" t="s">
        <v>1365</v>
      </c>
      <c r="AY48" t="s">
        <v>983</v>
      </c>
      <c r="AZ48" t="s">
        <v>540</v>
      </c>
      <c r="BA48" t="s">
        <v>232</v>
      </c>
      <c r="BB48" t="s">
        <v>542</v>
      </c>
      <c r="BC48" t="s">
        <v>218</v>
      </c>
      <c r="BD48" t="s">
        <v>418</v>
      </c>
      <c r="BE48" t="s">
        <v>452</v>
      </c>
      <c r="BF48" t="s">
        <v>233</v>
      </c>
      <c r="BG48" t="s">
        <v>487</v>
      </c>
      <c r="BH48" t="s">
        <v>2703</v>
      </c>
      <c r="BI48" t="s">
        <v>369</v>
      </c>
      <c r="BJ48" t="s">
        <v>1365</v>
      </c>
      <c r="BK48" t="s">
        <v>1465</v>
      </c>
      <c r="BL48" t="s">
        <v>2704</v>
      </c>
      <c r="BM48" t="s">
        <v>218</v>
      </c>
      <c r="BN48">
        <v>11.16</v>
      </c>
      <c r="BO48">
        <v>13.44</v>
      </c>
      <c r="BP48">
        <v>14.53</v>
      </c>
      <c r="BQ48">
        <v>13.23</v>
      </c>
      <c r="BR48">
        <v>15.98</v>
      </c>
      <c r="BS48">
        <v>17.38</v>
      </c>
      <c r="BT48" t="s">
        <v>1250</v>
      </c>
      <c r="BU48" t="s">
        <v>1061</v>
      </c>
      <c r="BV48">
        <v>22.72</v>
      </c>
      <c r="BW48">
        <v>22.4</v>
      </c>
      <c r="BX48">
        <v>22.66</v>
      </c>
      <c r="BY48">
        <v>9.4600000000000009</v>
      </c>
      <c r="BZ48">
        <v>10.32</v>
      </c>
      <c r="CA48">
        <v>10.8</v>
      </c>
      <c r="CB48">
        <v>-2.3199999999999998</v>
      </c>
      <c r="CC48">
        <v>-14.38</v>
      </c>
      <c r="CD48" t="s">
        <v>2705</v>
      </c>
      <c r="CE48" t="s">
        <v>2706</v>
      </c>
      <c r="CF48" s="10">
        <v>5.9186991869918701</v>
      </c>
      <c r="CG48" s="11">
        <v>16.679321944620689</v>
      </c>
      <c r="CH48" s="10">
        <v>-0.80589544773101807</v>
      </c>
      <c r="CI48" s="10">
        <v>0.11584609001874924</v>
      </c>
      <c r="CJ48" s="10">
        <v>0.12027812004089355</v>
      </c>
      <c r="CK48" s="10">
        <v>0.20027808845043182</v>
      </c>
      <c r="CL48" s="10">
        <v>0.27663353085517883</v>
      </c>
      <c r="CM48" s="11">
        <v>-0.97836154699325562</v>
      </c>
      <c r="CN48" s="11">
        <v>4.4397462159395218E-2</v>
      </c>
      <c r="CO48" s="11">
        <v>-0.25039619207382202</v>
      </c>
      <c r="CP48" s="11">
        <v>1.0159744024276733</v>
      </c>
      <c r="CQ48" s="11">
        <v>0.71978020668029785</v>
      </c>
      <c r="CR48">
        <v>12.925836865461223</v>
      </c>
      <c r="CS48">
        <v>6.95988045877362</v>
      </c>
      <c r="CT48">
        <v>1.759014951627089</v>
      </c>
      <c r="CU48" s="10">
        <v>-1.8571923673152923E-2</v>
      </c>
      <c r="CV48" s="11">
        <v>0.11027886644005776</v>
      </c>
      <c r="CW48">
        <v>0.06</v>
      </c>
      <c r="CX48">
        <v>335.28458098677191</v>
      </c>
      <c r="CY48" t="s">
        <v>2707</v>
      </c>
      <c r="CZ48">
        <v>-1.8571923673152923E-2</v>
      </c>
      <c r="DA48">
        <v>111.76152699559064</v>
      </c>
      <c r="DB48" t="s">
        <v>2708</v>
      </c>
      <c r="DC48">
        <v>-1.7643327489495274E-2</v>
      </c>
      <c r="DD48">
        <v>55.880763497795321</v>
      </c>
      <c r="DE48" t="s">
        <v>2709</v>
      </c>
      <c r="DF48">
        <v>-1.6343292832374571E-2</v>
      </c>
      <c r="DG48">
        <v>33.528458098677191</v>
      </c>
      <c r="DH48" t="s">
        <v>2710</v>
      </c>
      <c r="DI48">
        <v>-1.485753893852234E-2</v>
      </c>
      <c r="DJ48">
        <v>16.764229049338596</v>
      </c>
      <c r="DK48" t="s">
        <v>2711</v>
      </c>
      <c r="DL48">
        <v>-1.3000346571207045E-2</v>
      </c>
      <c r="DM48">
        <v>10689400</v>
      </c>
      <c r="DN48">
        <v>-1.8571923673152923E-2</v>
      </c>
      <c r="DO48">
        <v>3583991000</v>
      </c>
      <c r="DP48">
        <v>2364080200</v>
      </c>
      <c r="DQ48">
        <v>2272</v>
      </c>
      <c r="DR48">
        <v>5.9372711106650229</v>
      </c>
      <c r="DS48">
        <v>16.569043078180631</v>
      </c>
      <c r="DT48" s="12">
        <v>-0.55666666666666675</v>
      </c>
      <c r="DU48">
        <v>-3.3333333333333402E-2</v>
      </c>
      <c r="DV48">
        <v>-0.59000000000000019</v>
      </c>
      <c r="DW48">
        <v>-2.1438000000000001</v>
      </c>
      <c r="DX48">
        <v>0.2949364300124363</v>
      </c>
      <c r="DY48">
        <v>-2.0179658586357885</v>
      </c>
      <c r="DZ48">
        <v>3209</v>
      </c>
      <c r="EA48">
        <v>-2.006683580678402</v>
      </c>
      <c r="EB48">
        <v>2</v>
      </c>
      <c r="EC48">
        <v>2.5333925417469493E-2</v>
      </c>
      <c r="ED48">
        <v>0.20277451629736673</v>
      </c>
      <c r="EE48" s="15">
        <v>2.0193099999999999</v>
      </c>
      <c r="EF48">
        <v>2.04521</v>
      </c>
      <c r="EG48">
        <v>17.124936430012436</v>
      </c>
      <c r="EH48" t="s">
        <v>1270</v>
      </c>
      <c r="EI48">
        <v>0</v>
      </c>
      <c r="EJ48">
        <v>0</v>
      </c>
      <c r="EK48" s="14">
        <v>45470</v>
      </c>
      <c r="EL48" s="16">
        <v>1.19</v>
      </c>
      <c r="EM48" s="16">
        <v>0.4</v>
      </c>
      <c r="EN48" s="16">
        <v>-6.81</v>
      </c>
      <c r="EO48" s="16">
        <v>5.05</v>
      </c>
      <c r="EP48" s="16">
        <v>-2.59</v>
      </c>
    </row>
    <row r="49" spans="1:146" ht="108" x14ac:dyDescent="0.25">
      <c r="A49" s="7"/>
      <c r="B49" s="7"/>
      <c r="C49" s="7" t="str">
        <f>""&amp;CHAR(10)&amp;Basic_Fundamental_Information_Constructure(F49)&amp;CHAR(10)&amp;Basic_Fundamental_Information_Concatenate("")</f>
        <v xml:space="preserve">
市值10.1897208亿, 利润3.30亿; PE71.86; 平均PE8.81; 平均PEG.26, PB1.04; ROIC5.39%; ROE5.8267%; 股利率1.0913%; 毛利26.3767%; 净利7.12%; 上一年度营收增91.56%, 利润增1073.54%; 当季营收增-75.67%, 利润增-106.81%; 过往5年营收增34.24%, 利润增214.96%
Income profile:
</v>
      </c>
      <c r="D49" t="s">
        <v>778</v>
      </c>
      <c r="E49" t="s">
        <v>779</v>
      </c>
      <c r="F49">
        <v>10.08</v>
      </c>
      <c r="G49">
        <v>2.96</v>
      </c>
      <c r="H49" t="s">
        <v>2712</v>
      </c>
      <c r="I49">
        <v>1018972080</v>
      </c>
      <c r="J49">
        <v>71.86</v>
      </c>
      <c r="K49">
        <v>1.04</v>
      </c>
      <c r="L49" t="s">
        <v>1747</v>
      </c>
      <c r="M49" t="s">
        <v>2713</v>
      </c>
      <c r="N49" t="s">
        <v>1559</v>
      </c>
      <c r="O49" t="s">
        <v>2714</v>
      </c>
      <c r="P49">
        <v>18.690000000000001</v>
      </c>
      <c r="Q49" t="s">
        <v>2715</v>
      </c>
      <c r="R49">
        <v>-5683055</v>
      </c>
      <c r="S49" s="5">
        <v>-9.9130000000000003</v>
      </c>
      <c r="T49" t="s">
        <v>388</v>
      </c>
      <c r="U49">
        <v>46480413</v>
      </c>
      <c r="V49">
        <v>101088500</v>
      </c>
      <c r="W49">
        <v>1.62</v>
      </c>
      <c r="X49">
        <v>0.05</v>
      </c>
      <c r="Y49">
        <v>-8.3800000000000008</v>
      </c>
      <c r="Z49" t="s">
        <v>2716</v>
      </c>
      <c r="AA49" t="s">
        <v>2717</v>
      </c>
      <c r="AB49" t="s">
        <v>2718</v>
      </c>
      <c r="AC49" t="s">
        <v>2719</v>
      </c>
      <c r="AD49" t="s">
        <v>28</v>
      </c>
      <c r="AE49">
        <v>-494</v>
      </c>
      <c r="AF49" t="s">
        <v>2720</v>
      </c>
      <c r="AG49">
        <v>20.059999999999999</v>
      </c>
      <c r="AH49" t="s">
        <v>2721</v>
      </c>
      <c r="AI49" t="s">
        <v>2722</v>
      </c>
      <c r="AJ49" t="s">
        <v>2723</v>
      </c>
      <c r="AK49" t="s">
        <v>2724</v>
      </c>
      <c r="AL49" t="s">
        <v>2725</v>
      </c>
      <c r="AM49" t="s">
        <v>28</v>
      </c>
      <c r="AN49">
        <v>0</v>
      </c>
      <c r="AO49" t="s">
        <v>2726</v>
      </c>
      <c r="AP49" t="s">
        <v>2727</v>
      </c>
      <c r="AQ49" t="s">
        <v>2728</v>
      </c>
      <c r="AR49" t="s">
        <v>28</v>
      </c>
      <c r="AS49" t="s">
        <v>261</v>
      </c>
      <c r="AT49" t="s">
        <v>28</v>
      </c>
      <c r="AU49" t="s">
        <v>2729</v>
      </c>
      <c r="AV49" t="s">
        <v>2730</v>
      </c>
      <c r="AW49" t="s">
        <v>2731</v>
      </c>
      <c r="AX49" t="s">
        <v>1207</v>
      </c>
      <c r="AY49" t="s">
        <v>208</v>
      </c>
      <c r="AZ49" t="s">
        <v>415</v>
      </c>
      <c r="BA49" t="s">
        <v>781</v>
      </c>
      <c r="BB49" t="s">
        <v>378</v>
      </c>
      <c r="BC49" t="s">
        <v>2732</v>
      </c>
      <c r="BD49" t="s">
        <v>219</v>
      </c>
      <c r="BE49" t="s">
        <v>780</v>
      </c>
      <c r="BF49" t="s">
        <v>985</v>
      </c>
      <c r="BG49" t="s">
        <v>782</v>
      </c>
      <c r="BH49" t="s">
        <v>283</v>
      </c>
      <c r="BI49" t="s">
        <v>648</v>
      </c>
      <c r="BJ49" t="s">
        <v>1207</v>
      </c>
      <c r="BK49" t="s">
        <v>2733</v>
      </c>
      <c r="BL49" t="s">
        <v>2734</v>
      </c>
      <c r="BM49" t="s">
        <v>2732</v>
      </c>
      <c r="BN49">
        <v>0.64</v>
      </c>
      <c r="BO49">
        <v>2.54</v>
      </c>
      <c r="BP49">
        <v>12.99</v>
      </c>
      <c r="BQ49">
        <v>0.98</v>
      </c>
      <c r="BR49">
        <v>2.92</v>
      </c>
      <c r="BS49">
        <v>13.58</v>
      </c>
      <c r="BT49" t="s">
        <v>1298</v>
      </c>
      <c r="BU49" t="s">
        <v>1061</v>
      </c>
      <c r="BV49">
        <v>22.75</v>
      </c>
      <c r="BW49">
        <v>29.26</v>
      </c>
      <c r="BX49">
        <v>27.12</v>
      </c>
      <c r="BY49">
        <v>2.08</v>
      </c>
      <c r="BZ49">
        <v>3.6</v>
      </c>
      <c r="CA49">
        <v>15.68</v>
      </c>
      <c r="CB49">
        <v>1.41</v>
      </c>
      <c r="CC49">
        <v>-10.8</v>
      </c>
      <c r="CD49" t="s">
        <v>2735</v>
      </c>
      <c r="CE49" t="s">
        <v>2736</v>
      </c>
      <c r="CF49" s="10">
        <v>-0.75667099697885198</v>
      </c>
      <c r="CG49" s="11">
        <v>-1.0680571971915152</v>
      </c>
      <c r="CH49" s="10">
        <v>0.91562920808792114</v>
      </c>
      <c r="CI49" s="10">
        <v>3.4334763884544373E-2</v>
      </c>
      <c r="CJ49" s="10">
        <v>1.4513787813484669E-2</v>
      </c>
      <c r="CK49" s="10">
        <v>7.3099415749311447E-3</v>
      </c>
      <c r="CL49" s="10">
        <v>0.74045801162719727</v>
      </c>
      <c r="CM49" s="11">
        <v>10.735419273376465</v>
      </c>
      <c r="CN49" s="11">
        <v>-0.72431373596191406</v>
      </c>
      <c r="CO49" s="11">
        <v>3.0390458181500435E-2</v>
      </c>
      <c r="CP49" s="11">
        <v>0.23509624600410461</v>
      </c>
      <c r="CQ49" s="11">
        <v>0.47125634551048279</v>
      </c>
      <c r="CR49">
        <v>8.8128966452704702</v>
      </c>
      <c r="CS49">
        <v>0.25734906440182831</v>
      </c>
      <c r="CT49">
        <v>1.0912698412698414</v>
      </c>
      <c r="CU49" s="10">
        <v>0.34244914259761572</v>
      </c>
      <c r="CV49" s="11">
        <v>2.1495697174221275</v>
      </c>
      <c r="CW49">
        <v>0.06</v>
      </c>
      <c r="CX49">
        <v>1.8327660154780865</v>
      </c>
      <c r="CY49">
        <v>417932280.24265397</v>
      </c>
      <c r="CZ49">
        <v>0.34244914259761572</v>
      </c>
      <c r="DA49">
        <v>0.48679846586872738</v>
      </c>
      <c r="DB49">
        <v>1573489100.1208618</v>
      </c>
      <c r="DC49">
        <v>0.32532668546773491</v>
      </c>
      <c r="DD49">
        <v>0.17758996640124644</v>
      </c>
      <c r="DE49">
        <v>4313149529.3453913</v>
      </c>
      <c r="DF49">
        <v>0.30135524548590181</v>
      </c>
      <c r="DG49">
        <v>7.3722787008094592E-2</v>
      </c>
      <c r="DH49">
        <v>10389895866.469316</v>
      </c>
      <c r="DI49">
        <v>0.2739593140780926</v>
      </c>
      <c r="DJ49">
        <v>1.5346667284348142E-2</v>
      </c>
      <c r="DK49">
        <v>49911297730.498428</v>
      </c>
      <c r="DL49">
        <v>0.23971439981833098</v>
      </c>
      <c r="DM49">
        <v>330000000</v>
      </c>
      <c r="DN49">
        <v>0.34244914259761572</v>
      </c>
      <c r="DO49">
        <v>765972079.99999988</v>
      </c>
      <c r="DP49">
        <v>736576500</v>
      </c>
      <c r="DQ49">
        <v>2311</v>
      </c>
      <c r="DR49">
        <v>-1.0991201395764678</v>
      </c>
      <c r="DS49">
        <v>-3.2176269146136427</v>
      </c>
      <c r="DT49" s="12">
        <v>9.3333333333333338E-2</v>
      </c>
      <c r="DU49">
        <v>-0.68166666666666675</v>
      </c>
      <c r="DV49">
        <v>-0.58833333333333337</v>
      </c>
      <c r="DW49">
        <v>-2.1080000000000001</v>
      </c>
      <c r="DX49">
        <v>0.36937649160263075</v>
      </c>
      <c r="DY49">
        <v>-2.0161326610930841</v>
      </c>
      <c r="DZ49">
        <v>4590</v>
      </c>
      <c r="EA49">
        <v>-2.001641679798122</v>
      </c>
      <c r="EB49">
        <v>2</v>
      </c>
      <c r="EC49">
        <v>0.11822610880565051</v>
      </c>
      <c r="ED49">
        <v>0.79146391528215376</v>
      </c>
      <c r="EE49" s="15">
        <v>-5.0744100000000003</v>
      </c>
      <c r="EF49">
        <v>-5.0862100000000003</v>
      </c>
      <c r="EG49">
        <v>22.149376491602631</v>
      </c>
      <c r="EH49" t="s">
        <v>2478</v>
      </c>
      <c r="EI49">
        <v>0</v>
      </c>
      <c r="EJ49">
        <v>0</v>
      </c>
      <c r="EK49" s="14">
        <v>45470</v>
      </c>
      <c r="EL49" s="16">
        <v>-2.08</v>
      </c>
      <c r="EM49" s="16">
        <v>-4.53</v>
      </c>
      <c r="EN49" s="16">
        <v>0.96</v>
      </c>
      <c r="EO49" s="16">
        <v>5.73</v>
      </c>
      <c r="EP49" s="16">
        <v>-1.18</v>
      </c>
    </row>
    <row r="50" spans="1:146" ht="108" x14ac:dyDescent="0.25">
      <c r="A50" s="7"/>
      <c r="B50" s="7"/>
      <c r="C50" s="7" t="str">
        <f>""&amp;CHAR(10)&amp;Basic_Fundamental_Information_Constructure(F50)&amp;CHAR(10)&amp;Basic_Fundamental_Information_Concatenate("")</f>
        <v xml:space="preserve">
市值30.914976亿, 利润-3320.14万; PE19.32; 平均PE38.22; 平均PEG2.79, PB2.63; ROIC8.41%; ROE9.7533%; 股利率4.012%; 毛利34.83%; 净利19.62%; 上一年度营收增-18.2%, 利润增-126.99%; 当季营收增96.21%, 利润增1523.08%; 过往5年营收增13.7%, 利润增-4.49%
Income profile:
</v>
      </c>
      <c r="D50" t="s">
        <v>238</v>
      </c>
      <c r="E50" t="s">
        <v>239</v>
      </c>
      <c r="F50">
        <v>19.940000000000001</v>
      </c>
      <c r="G50">
        <v>2.68</v>
      </c>
      <c r="H50" t="s">
        <v>2737</v>
      </c>
      <c r="I50">
        <v>3091497600</v>
      </c>
      <c r="J50">
        <v>19.32</v>
      </c>
      <c r="K50">
        <v>2.63</v>
      </c>
      <c r="L50" t="s">
        <v>1747</v>
      </c>
      <c r="M50" t="s">
        <v>526</v>
      </c>
      <c r="N50" t="s">
        <v>2738</v>
      </c>
      <c r="O50" t="s">
        <v>285</v>
      </c>
      <c r="P50">
        <v>12.22</v>
      </c>
      <c r="Q50" t="s">
        <v>1624</v>
      </c>
      <c r="R50">
        <v>51890012</v>
      </c>
      <c r="S50" s="5">
        <v>0.1201</v>
      </c>
      <c r="T50" t="s">
        <v>2739</v>
      </c>
      <c r="U50">
        <v>155040000</v>
      </c>
      <c r="V50">
        <v>155040000</v>
      </c>
      <c r="W50">
        <v>1.41</v>
      </c>
      <c r="X50">
        <v>0.11</v>
      </c>
      <c r="Y50">
        <v>29.5</v>
      </c>
      <c r="Z50" t="s">
        <v>193</v>
      </c>
      <c r="AA50" t="s">
        <v>532</v>
      </c>
      <c r="AB50" t="s">
        <v>2740</v>
      </c>
      <c r="AC50" t="s">
        <v>2741</v>
      </c>
      <c r="AD50" t="s">
        <v>28</v>
      </c>
      <c r="AE50">
        <v>-8179194</v>
      </c>
      <c r="AF50" t="s">
        <v>2742</v>
      </c>
      <c r="AG50">
        <v>1092.54</v>
      </c>
      <c r="AH50" t="s">
        <v>2743</v>
      </c>
      <c r="AI50" t="s">
        <v>254</v>
      </c>
      <c r="AJ50" t="s">
        <v>2744</v>
      </c>
      <c r="AK50" t="s">
        <v>28</v>
      </c>
      <c r="AL50" t="s">
        <v>2745</v>
      </c>
      <c r="AM50" t="s">
        <v>28</v>
      </c>
      <c r="AN50" t="s">
        <v>2746</v>
      </c>
      <c r="AO50" t="s">
        <v>28</v>
      </c>
      <c r="AP50" t="s">
        <v>28</v>
      </c>
      <c r="AQ50" t="s">
        <v>90</v>
      </c>
      <c r="AR50" t="s">
        <v>28</v>
      </c>
      <c r="AS50" t="s">
        <v>526</v>
      </c>
      <c r="AT50" t="s">
        <v>28</v>
      </c>
      <c r="AU50" t="s">
        <v>2747</v>
      </c>
      <c r="AV50" t="s">
        <v>2748</v>
      </c>
      <c r="AW50" t="s">
        <v>2749</v>
      </c>
      <c r="AX50" t="s">
        <v>717</v>
      </c>
      <c r="AY50" t="s">
        <v>85</v>
      </c>
      <c r="AZ50" t="s">
        <v>545</v>
      </c>
      <c r="BA50" t="s">
        <v>189</v>
      </c>
      <c r="BB50" t="s">
        <v>280</v>
      </c>
      <c r="BC50" t="s">
        <v>150</v>
      </c>
      <c r="BD50" t="s">
        <v>986</v>
      </c>
      <c r="BE50" t="s">
        <v>445</v>
      </c>
      <c r="BF50" t="s">
        <v>241</v>
      </c>
      <c r="BG50" t="s">
        <v>546</v>
      </c>
      <c r="BH50" t="s">
        <v>265</v>
      </c>
      <c r="BI50" t="s">
        <v>2750</v>
      </c>
      <c r="BJ50" t="s">
        <v>717</v>
      </c>
      <c r="BK50" t="s">
        <v>215</v>
      </c>
      <c r="BL50" t="s">
        <v>2751</v>
      </c>
      <c r="BM50" t="s">
        <v>150</v>
      </c>
      <c r="BN50">
        <v>8.43</v>
      </c>
      <c r="BO50">
        <v>9.32</v>
      </c>
      <c r="BP50">
        <v>7.48</v>
      </c>
      <c r="BQ50">
        <v>9.8800000000000008</v>
      </c>
      <c r="BR50">
        <v>10.84</v>
      </c>
      <c r="BS50">
        <v>8.5399999999999991</v>
      </c>
      <c r="BT50" t="s">
        <v>2752</v>
      </c>
      <c r="BU50" t="s">
        <v>1153</v>
      </c>
      <c r="BV50">
        <v>35.869999999999997</v>
      </c>
      <c r="BW50">
        <v>35.590000000000003</v>
      </c>
      <c r="BX50">
        <v>33.03</v>
      </c>
      <c r="BY50">
        <v>21.44</v>
      </c>
      <c r="BZ50">
        <v>18.96</v>
      </c>
      <c r="CA50">
        <v>18.46</v>
      </c>
      <c r="CB50">
        <v>1.73</v>
      </c>
      <c r="CC50">
        <v>-4.18</v>
      </c>
      <c r="CD50" t="s">
        <v>2753</v>
      </c>
      <c r="CE50" t="s">
        <v>2754</v>
      </c>
      <c r="CF50" s="10">
        <v>0.96209445628771728</v>
      </c>
      <c r="CG50" s="11">
        <v>15.230845167344386</v>
      </c>
      <c r="CH50" s="10">
        <v>-0.18195489048957825</v>
      </c>
      <c r="CI50" s="10">
        <v>0.28131020069122314</v>
      </c>
      <c r="CJ50" s="10">
        <v>7.2314046323299408E-2</v>
      </c>
      <c r="CK50" s="10">
        <v>0.14420804381370544</v>
      </c>
      <c r="CL50" s="10">
        <v>0.36893203854560852</v>
      </c>
      <c r="CM50" s="11">
        <v>-1.2699301242828369</v>
      </c>
      <c r="CN50" s="11">
        <v>0.32288220524787903</v>
      </c>
      <c r="CO50" s="11">
        <v>-0.29561513662338257</v>
      </c>
      <c r="CP50" s="11">
        <v>0.20000000298023224</v>
      </c>
      <c r="CQ50" s="11">
        <v>0.81795346736907959</v>
      </c>
      <c r="CR50">
        <v>38.222870272108146</v>
      </c>
      <c r="CS50">
        <v>2.7907668981887612</v>
      </c>
      <c r="CT50">
        <v>4.0120361083249749</v>
      </c>
      <c r="CU50" s="10">
        <v>0.13696188777685164</v>
      </c>
      <c r="CV50" s="11">
        <v>-4.4941917061805725E-2</v>
      </c>
      <c r="CW50">
        <v>0.06</v>
      </c>
      <c r="CX50" t="e">
        <v>#VALUE!</v>
      </c>
      <c r="CY50" t="s">
        <v>1158</v>
      </c>
      <c r="CZ50">
        <v>0.13696188777685164</v>
      </c>
      <c r="DA50" t="e">
        <v>#VALUE!</v>
      </c>
      <c r="DB50" t="s">
        <v>1158</v>
      </c>
      <c r="DC50">
        <v>0.13011379338800905</v>
      </c>
      <c r="DD50" t="e">
        <v>#VALUE!</v>
      </c>
      <c r="DE50" t="s">
        <v>1158</v>
      </c>
      <c r="DF50">
        <v>0.12052646124362945</v>
      </c>
      <c r="DG50" t="e">
        <v>#VALUE!</v>
      </c>
      <c r="DH50" t="s">
        <v>1158</v>
      </c>
      <c r="DI50">
        <v>0.10956951022148131</v>
      </c>
      <c r="DJ50" t="e">
        <v>#VALUE!</v>
      </c>
      <c r="DK50" t="s">
        <v>1158</v>
      </c>
      <c r="DL50">
        <v>9.587332144379615E-2</v>
      </c>
      <c r="DM50">
        <v>-33201400</v>
      </c>
      <c r="DN50">
        <v>0.13696188777685164</v>
      </c>
      <c r="DO50">
        <v>2367497600</v>
      </c>
      <c r="DP50">
        <v>1053222100</v>
      </c>
      <c r="DQ50">
        <v>2321</v>
      </c>
      <c r="DR50">
        <v>0.82513256851086569</v>
      </c>
      <c r="DS50">
        <v>15.275787084406192</v>
      </c>
      <c r="DT50" s="12">
        <v>-0.35666666666666669</v>
      </c>
      <c r="DU50">
        <v>-0.41666666666666669</v>
      </c>
      <c r="DV50">
        <v>-0.77333333333333343</v>
      </c>
      <c r="DW50">
        <v>-1.0418000000000001</v>
      </c>
      <c r="DX50">
        <v>0.461448017615956</v>
      </c>
      <c r="DY50">
        <v>-1.0046585271363471</v>
      </c>
      <c r="DZ50">
        <v>116</v>
      </c>
      <c r="EA50">
        <v>-1.0045527758354045</v>
      </c>
      <c r="EB50">
        <v>1</v>
      </c>
      <c r="EC50">
        <v>2.4418214654282767E-2</v>
      </c>
      <c r="ED50">
        <v>0.21909958720330239</v>
      </c>
      <c r="EE50" s="15">
        <v>1.3010000000000001E-2</v>
      </c>
      <c r="EF50">
        <v>7.8009999999999996E-2</v>
      </c>
      <c r="EG50">
        <v>35.111448017615956</v>
      </c>
      <c r="EH50">
        <v>-1</v>
      </c>
      <c r="EI50">
        <v>0</v>
      </c>
      <c r="EJ50">
        <v>1</v>
      </c>
      <c r="EK50" s="14">
        <v>45470</v>
      </c>
      <c r="EL50" s="16">
        <v>-3.96</v>
      </c>
      <c r="EM50" s="16">
        <v>4.97</v>
      </c>
      <c r="EN50" s="16">
        <v>6.21</v>
      </c>
      <c r="EO50" s="16">
        <v>-1.71</v>
      </c>
      <c r="EP50" s="16">
        <v>-6.5</v>
      </c>
    </row>
    <row r="51" spans="1:146" ht="168" x14ac:dyDescent="0.25">
      <c r="A51" s="7" t="s">
        <v>1261</v>
      </c>
      <c r="B51" s="7" t="s">
        <v>915</v>
      </c>
      <c r="C51" s="7" t="str">
        <f>"公司地处福建省，与同行业上市公司相比，公司专注于生活垃圾焚烧发电和生活污水处理业务，具有十几年的项目拓展及经营积累"&amp;CHAR(10)&amp;Basic_Fundamental_Information_Constructure(F51)&amp;CHAR(10)&amp;Basic_Fundamental_Information_Concatenate("垃圾焚烧收入（含售电） 5.90亿 64.68% 86.31% 44.42%
PPP项目建设收入 2.24亿 24.53% 0.73% 0.99%
污水处理收入 7387.59万 8.10% 9.34% 38.41%")</f>
        <v>公司地处福建省，与同行业上市公司相比，公司专注于生活垃圾焚烧发电和生活污水处理业务，具有十几年的项目拓展及经营积累
市值28.967596亿, 利润-9162.29万; PE19.34; 平均PE13.38; 平均PEG.86, PB.818; ROIC5.8167%; ROE8.37%; 股利率.5066%; 毛利30.8%; 净利13.02%; 上一年度营收增-61.42%, 利润增-150.9%; 当季营收增310.9%, 利润增575.51%; 过往5年营收增15.58%, 利润增-22.42%
Income profile:
垃圾焚烧收入（含售电） 5.90亿 64.68% 86.31% 44.42%
PPP项目建设收入 2.24亿 24.53% 0.73% 0.99%
污水处理收入 7387.59万 8.10% 9.34% 38.41%</v>
      </c>
      <c r="D51" t="s">
        <v>242</v>
      </c>
      <c r="E51" t="s">
        <v>243</v>
      </c>
      <c r="F51">
        <v>10.66</v>
      </c>
      <c r="G51">
        <v>2.7</v>
      </c>
      <c r="H51" t="s">
        <v>2755</v>
      </c>
      <c r="I51">
        <v>2896759600</v>
      </c>
      <c r="J51">
        <v>19.34</v>
      </c>
      <c r="K51">
        <v>0.81799999999999995</v>
      </c>
      <c r="L51" t="s">
        <v>1747</v>
      </c>
      <c r="M51" t="s">
        <v>1637</v>
      </c>
      <c r="N51" t="s">
        <v>1505</v>
      </c>
      <c r="O51" t="s">
        <v>462</v>
      </c>
      <c r="P51">
        <v>-2.3199999999999998</v>
      </c>
      <c r="Q51" t="s">
        <v>481</v>
      </c>
      <c r="R51">
        <v>44541966</v>
      </c>
      <c r="S51" s="5">
        <v>7.9000000000000001E-2</v>
      </c>
      <c r="T51" t="s">
        <v>2756</v>
      </c>
      <c r="U51">
        <v>191627820</v>
      </c>
      <c r="V51">
        <v>271741050</v>
      </c>
      <c r="W51">
        <v>2.4</v>
      </c>
      <c r="X51">
        <v>0.04</v>
      </c>
      <c r="Y51">
        <v>11.97</v>
      </c>
      <c r="Z51" t="s">
        <v>1503</v>
      </c>
      <c r="AA51" t="s">
        <v>366</v>
      </c>
      <c r="AB51" t="s">
        <v>1629</v>
      </c>
      <c r="AC51" t="s">
        <v>2757</v>
      </c>
      <c r="AD51" t="s">
        <v>28</v>
      </c>
      <c r="AE51">
        <v>47823516</v>
      </c>
      <c r="AF51" t="s">
        <v>2758</v>
      </c>
      <c r="AG51">
        <v>9435.42</v>
      </c>
      <c r="AH51" t="s">
        <v>2759</v>
      </c>
      <c r="AI51" t="s">
        <v>2760</v>
      </c>
      <c r="AJ51" t="s">
        <v>2761</v>
      </c>
      <c r="AK51" t="s">
        <v>28</v>
      </c>
      <c r="AL51" t="s">
        <v>2762</v>
      </c>
      <c r="AM51" t="s">
        <v>28</v>
      </c>
      <c r="AN51" t="s">
        <v>2763</v>
      </c>
      <c r="AO51" t="s">
        <v>322</v>
      </c>
      <c r="AP51" t="s">
        <v>28</v>
      </c>
      <c r="AQ51" t="s">
        <v>404</v>
      </c>
      <c r="AR51" t="s">
        <v>28</v>
      </c>
      <c r="AS51" t="s">
        <v>2764</v>
      </c>
      <c r="AT51" t="s">
        <v>2765</v>
      </c>
      <c r="AU51" t="s">
        <v>2766</v>
      </c>
      <c r="AV51" t="s">
        <v>2767</v>
      </c>
      <c r="AW51" t="s">
        <v>2768</v>
      </c>
      <c r="AX51" t="s">
        <v>264</v>
      </c>
      <c r="AY51" t="s">
        <v>1367</v>
      </c>
      <c r="AZ51" t="s">
        <v>401</v>
      </c>
      <c r="BA51" t="s">
        <v>202</v>
      </c>
      <c r="BB51" t="s">
        <v>548</v>
      </c>
      <c r="BC51" t="s">
        <v>409</v>
      </c>
      <c r="BD51" t="s">
        <v>1190</v>
      </c>
      <c r="BE51" t="s">
        <v>456</v>
      </c>
      <c r="BF51" t="s">
        <v>149</v>
      </c>
      <c r="BG51" t="s">
        <v>400</v>
      </c>
      <c r="BH51" t="s">
        <v>1669</v>
      </c>
      <c r="BI51" t="s">
        <v>2769</v>
      </c>
      <c r="BJ51" t="s">
        <v>264</v>
      </c>
      <c r="BK51" t="s">
        <v>136</v>
      </c>
      <c r="BL51" t="s">
        <v>2770</v>
      </c>
      <c r="BM51" t="s">
        <v>409</v>
      </c>
      <c r="BN51">
        <v>3.21</v>
      </c>
      <c r="BO51">
        <v>4.7300000000000004</v>
      </c>
      <c r="BP51">
        <v>9.51</v>
      </c>
      <c r="BQ51">
        <v>3.86</v>
      </c>
      <c r="BR51">
        <v>5.47</v>
      </c>
      <c r="BS51">
        <v>15.78</v>
      </c>
      <c r="BT51" t="s">
        <v>2771</v>
      </c>
      <c r="BU51" t="s">
        <v>1061</v>
      </c>
      <c r="BV51">
        <v>31.36</v>
      </c>
      <c r="BW51">
        <v>29.86</v>
      </c>
      <c r="BX51">
        <v>31.18</v>
      </c>
      <c r="BY51">
        <v>8.31</v>
      </c>
      <c r="BZ51">
        <v>10.220000000000001</v>
      </c>
      <c r="CA51">
        <v>20.53</v>
      </c>
      <c r="CB51">
        <v>0.47</v>
      </c>
      <c r="CC51">
        <v>-12.95</v>
      </c>
      <c r="CD51" t="s">
        <v>2772</v>
      </c>
      <c r="CE51" t="s">
        <v>2773</v>
      </c>
      <c r="CF51" s="10">
        <v>3.1090052610526246</v>
      </c>
      <c r="CG51" s="11">
        <v>5.7550992826031262</v>
      </c>
      <c r="CH51" s="10">
        <v>-0.61415523290634155</v>
      </c>
      <c r="CI51" s="10">
        <v>-0.2490355521440506</v>
      </c>
      <c r="CJ51" s="10">
        <v>1.2562862634658813</v>
      </c>
      <c r="CK51" s="10">
        <v>0.1644144207239151</v>
      </c>
      <c r="CL51" s="10">
        <v>0.22145804762840271</v>
      </c>
      <c r="CM51" s="11">
        <v>-1.5090161561965942</v>
      </c>
      <c r="CN51" s="11">
        <v>-0.625</v>
      </c>
      <c r="CO51" s="11">
        <v>0.57894736528396606</v>
      </c>
      <c r="CP51" s="11">
        <v>0.40092167258262634</v>
      </c>
      <c r="CQ51" s="11">
        <v>3.3333335071802139E-2</v>
      </c>
      <c r="CR51">
        <v>13.376068887161395</v>
      </c>
      <c r="CS51">
        <v>0.85857633440907821</v>
      </c>
      <c r="CT51">
        <v>0.50656660412757981</v>
      </c>
      <c r="CU51" s="10">
        <v>0.15579358935356141</v>
      </c>
      <c r="CV51" s="11">
        <v>-0.22416275665163993</v>
      </c>
      <c r="CW51">
        <v>0.06</v>
      </c>
      <c r="CX51" t="e">
        <v>#VALUE!</v>
      </c>
      <c r="CY51" t="s">
        <v>1158</v>
      </c>
      <c r="CZ51">
        <v>0.15579358935356141</v>
      </c>
      <c r="DA51" t="e">
        <v>#VALUE!</v>
      </c>
      <c r="DB51" t="s">
        <v>1158</v>
      </c>
      <c r="DC51">
        <v>0.14800390988588333</v>
      </c>
      <c r="DD51" t="e">
        <v>#VALUE!</v>
      </c>
      <c r="DE51" t="s">
        <v>1158</v>
      </c>
      <c r="DF51">
        <v>0.13709835863113404</v>
      </c>
      <c r="DG51" t="e">
        <v>#VALUE!</v>
      </c>
      <c r="DH51" t="s">
        <v>1158</v>
      </c>
      <c r="DI51">
        <v>0.12463487148284913</v>
      </c>
      <c r="DJ51" t="e">
        <v>#VALUE!</v>
      </c>
      <c r="DK51" t="s">
        <v>1158</v>
      </c>
      <c r="DL51">
        <v>0.10905551254749299</v>
      </c>
      <c r="DM51">
        <v>-91622900.000000015</v>
      </c>
      <c r="DN51">
        <v>0.15579358935356141</v>
      </c>
      <c r="DO51">
        <v>4355759600</v>
      </c>
      <c r="DP51">
        <v>12169800.000000238</v>
      </c>
      <c r="DQ51">
        <v>2324</v>
      </c>
      <c r="DR51">
        <v>2.9532116716990631</v>
      </c>
      <c r="DS51">
        <v>5.979262039254766</v>
      </c>
      <c r="DT51" s="12">
        <v>-0.44</v>
      </c>
      <c r="DU51">
        <v>-1.02</v>
      </c>
      <c r="DV51">
        <v>-1.46</v>
      </c>
      <c r="DW51">
        <v>-2.1295000000000002</v>
      </c>
      <c r="DX51">
        <v>0.41432533819807449</v>
      </c>
      <c r="DY51">
        <v>-2.0173951312966509</v>
      </c>
      <c r="DZ51">
        <v>457</v>
      </c>
      <c r="EA51">
        <v>-2.0158394414722736</v>
      </c>
      <c r="EB51">
        <v>2</v>
      </c>
      <c r="EC51">
        <v>3.0781510559409409E-2</v>
      </c>
      <c r="ED51">
        <v>0.22915639723920991</v>
      </c>
      <c r="EE51" s="15">
        <v>2.00421</v>
      </c>
      <c r="EF51">
        <v>2.0161099999999998</v>
      </c>
      <c r="EG51">
        <v>28.134325338198074</v>
      </c>
      <c r="EH51" t="s">
        <v>1270</v>
      </c>
      <c r="EI51">
        <v>0</v>
      </c>
      <c r="EJ51">
        <v>1</v>
      </c>
      <c r="EK51" s="14">
        <v>45470</v>
      </c>
      <c r="EL51" s="16">
        <v>1.97</v>
      </c>
      <c r="EM51" s="16">
        <v>-2.72</v>
      </c>
      <c r="EN51" s="16">
        <v>-0.33</v>
      </c>
      <c r="EO51" s="16">
        <v>-0.47</v>
      </c>
      <c r="EP51" s="16">
        <v>-1.19</v>
      </c>
    </row>
    <row r="52" spans="1:146" ht="108" x14ac:dyDescent="0.25">
      <c r="A52" s="7"/>
      <c r="B52" s="7"/>
      <c r="C52" s="7" t="str">
        <f>""&amp;CHAR(10)&amp;Basic_Fundamental_Information_Constructure(F52)&amp;CHAR(10)&amp;Basic_Fundamental_Information_Concatenate("")</f>
        <v xml:space="preserve">
市值11.4427538亿, 利润1.05亿; PE62.97; 平均PE21.09; 平均PEG.28, PB1.72; ROIC3.7833%; ROE4.3067%; 股利率2.0067%; 毛利37.96%; 净利17.1033%; 上一年度营收增380.52%, 利润增283.65%; 当季营收增-80.21%, 利润增-80.65%; 过往5年营收增74.72%, 利润增52.62%
Income profile:
</v>
      </c>
      <c r="D52" t="s">
        <v>549</v>
      </c>
      <c r="E52" t="s">
        <v>550</v>
      </c>
      <c r="F52">
        <v>17.940000000000001</v>
      </c>
      <c r="G52">
        <v>1.82</v>
      </c>
      <c r="H52" t="s">
        <v>2774</v>
      </c>
      <c r="I52">
        <v>1144275380</v>
      </c>
      <c r="J52">
        <v>62.97</v>
      </c>
      <c r="K52">
        <v>1.72</v>
      </c>
      <c r="L52" t="s">
        <v>1747</v>
      </c>
      <c r="M52" t="s">
        <v>2775</v>
      </c>
      <c r="N52" t="s">
        <v>441</v>
      </c>
      <c r="O52" t="s">
        <v>2776</v>
      </c>
      <c r="P52">
        <v>55.32</v>
      </c>
      <c r="Q52" t="s">
        <v>615</v>
      </c>
      <c r="R52">
        <v>4887679</v>
      </c>
      <c r="S52" s="5">
        <v>1.1259999999999999</v>
      </c>
      <c r="T52" t="s">
        <v>229</v>
      </c>
      <c r="U52">
        <v>40936066</v>
      </c>
      <c r="V52">
        <v>63783466</v>
      </c>
      <c r="W52">
        <v>1.07</v>
      </c>
      <c r="X52">
        <v>0.04</v>
      </c>
      <c r="Y52">
        <v>15.61</v>
      </c>
      <c r="Z52" t="s">
        <v>2777</v>
      </c>
      <c r="AA52" t="s">
        <v>2778</v>
      </c>
      <c r="AB52" t="s">
        <v>2779</v>
      </c>
      <c r="AC52" t="s">
        <v>2780</v>
      </c>
      <c r="AD52" t="s">
        <v>28</v>
      </c>
      <c r="AE52">
        <v>-355343</v>
      </c>
      <c r="AF52" t="s">
        <v>2781</v>
      </c>
      <c r="AG52">
        <v>0.06</v>
      </c>
      <c r="AH52" t="s">
        <v>2782</v>
      </c>
      <c r="AI52" t="s">
        <v>410</v>
      </c>
      <c r="AJ52" t="s">
        <v>2783</v>
      </c>
      <c r="AK52" t="s">
        <v>2784</v>
      </c>
      <c r="AL52" t="s">
        <v>2785</v>
      </c>
      <c r="AM52" t="s">
        <v>28</v>
      </c>
      <c r="AN52">
        <v>0</v>
      </c>
      <c r="AO52" t="s">
        <v>28</v>
      </c>
      <c r="AP52" t="s">
        <v>2786</v>
      </c>
      <c r="AQ52" t="s">
        <v>2787</v>
      </c>
      <c r="AR52" t="s">
        <v>28</v>
      </c>
      <c r="AS52" t="s">
        <v>2788</v>
      </c>
      <c r="AT52" t="s">
        <v>28</v>
      </c>
      <c r="AU52" t="s">
        <v>2789</v>
      </c>
      <c r="AV52" t="s">
        <v>2790</v>
      </c>
      <c r="AW52" t="s">
        <v>2791</v>
      </c>
      <c r="AX52" t="s">
        <v>215</v>
      </c>
      <c r="AY52" t="s">
        <v>92</v>
      </c>
      <c r="AZ52" t="s">
        <v>119</v>
      </c>
      <c r="BA52" t="s">
        <v>425</v>
      </c>
      <c r="BB52" t="s">
        <v>95</v>
      </c>
      <c r="BC52" t="s">
        <v>2792</v>
      </c>
      <c r="BD52" t="s">
        <v>988</v>
      </c>
      <c r="BE52" t="s">
        <v>551</v>
      </c>
      <c r="BF52" t="s">
        <v>552</v>
      </c>
      <c r="BG52" t="s">
        <v>553</v>
      </c>
      <c r="BH52" t="s">
        <v>314</v>
      </c>
      <c r="BI52" t="s">
        <v>681</v>
      </c>
      <c r="BJ52" t="s">
        <v>215</v>
      </c>
      <c r="BK52" t="s">
        <v>2793</v>
      </c>
      <c r="BL52" t="s">
        <v>2794</v>
      </c>
      <c r="BM52" t="s">
        <v>2792</v>
      </c>
      <c r="BN52">
        <v>0.57999999999999996</v>
      </c>
      <c r="BO52">
        <v>3.78</v>
      </c>
      <c r="BP52">
        <v>6.99</v>
      </c>
      <c r="BQ52">
        <v>1.1599999999999999</v>
      </c>
      <c r="BR52">
        <v>4.17</v>
      </c>
      <c r="BS52">
        <v>7.59</v>
      </c>
      <c r="BT52" t="s">
        <v>2795</v>
      </c>
      <c r="BU52" t="s">
        <v>1159</v>
      </c>
      <c r="BV52">
        <v>36.85</v>
      </c>
      <c r="BW52">
        <v>39.700000000000003</v>
      </c>
      <c r="BX52">
        <v>37.33</v>
      </c>
      <c r="BY52">
        <v>12.51</v>
      </c>
      <c r="BZ52">
        <v>17.72</v>
      </c>
      <c r="CA52">
        <v>21.08</v>
      </c>
      <c r="CB52">
        <v>-3.44</v>
      </c>
      <c r="CC52">
        <v>-10.52</v>
      </c>
      <c r="CD52" t="s">
        <v>2796</v>
      </c>
      <c r="CE52" t="s">
        <v>2797</v>
      </c>
      <c r="CF52" s="10">
        <v>-0.80214620253164559</v>
      </c>
      <c r="CG52" s="11">
        <v>-0.80648603385133133</v>
      </c>
      <c r="CH52" s="10">
        <v>3.8051948547363281</v>
      </c>
      <c r="CI52" s="10">
        <v>-0.32456141710281372</v>
      </c>
      <c r="CJ52" s="10">
        <v>0.2063492089509964</v>
      </c>
      <c r="CK52" s="10">
        <v>-0.27586206793785095</v>
      </c>
      <c r="CL52" s="10">
        <v>0.32487308979034424</v>
      </c>
      <c r="CM52" s="11">
        <v>2.8364572525024414</v>
      </c>
      <c r="CN52" s="11">
        <v>-0.43056464195251465</v>
      </c>
      <c r="CO52" s="11">
        <v>9.543214738368988E-2</v>
      </c>
      <c r="CP52" s="11">
        <v>-0.25251072645187378</v>
      </c>
      <c r="CQ52" s="11">
        <v>0.3823319673538208</v>
      </c>
      <c r="CR52">
        <v>21.094590895990965</v>
      </c>
      <c r="CS52">
        <v>0.28231566710358119</v>
      </c>
      <c r="CT52">
        <v>2.0066889632107023</v>
      </c>
      <c r="CU52" s="10">
        <v>0.74719873368740086</v>
      </c>
      <c r="CV52" s="11">
        <v>0.52622919976711269</v>
      </c>
      <c r="CW52">
        <v>0.06</v>
      </c>
      <c r="CX52">
        <v>3.1288880757554463</v>
      </c>
      <c r="CY52">
        <v>173071572.67658216</v>
      </c>
      <c r="CZ52">
        <v>0.74719873368740086</v>
      </c>
      <c r="DA52">
        <v>0.61308765325510828</v>
      </c>
      <c r="DB52">
        <v>883269426.68778658</v>
      </c>
      <c r="DC52">
        <v>0.70983879700303076</v>
      </c>
      <c r="DD52">
        <v>0.13650762949681852</v>
      </c>
      <c r="DE52">
        <v>3966969333.4805202</v>
      </c>
      <c r="DF52">
        <v>0.6575348856449128</v>
      </c>
      <c r="DG52">
        <v>2.9152931406991017E-2</v>
      </c>
      <c r="DH52">
        <v>18575201664.630558</v>
      </c>
      <c r="DI52">
        <v>0.59775898694992069</v>
      </c>
      <c r="DJ52">
        <v>1.1156762127690438E-3</v>
      </c>
      <c r="DK52">
        <v>485375213527.20679</v>
      </c>
      <c r="DL52">
        <v>0.5230391135811806</v>
      </c>
      <c r="DM52">
        <v>105000000</v>
      </c>
      <c r="DN52">
        <v>0.74719873368740086</v>
      </c>
      <c r="DO52">
        <v>541521580</v>
      </c>
      <c r="DP52">
        <v>612171790</v>
      </c>
      <c r="DQ52">
        <v>2355</v>
      </c>
      <c r="DR52">
        <v>-1.5493449362190463</v>
      </c>
      <c r="DS52">
        <v>-1.332715233618444</v>
      </c>
      <c r="DT52" s="12">
        <v>-0.17333333333333334</v>
      </c>
      <c r="DU52">
        <v>-0.3066666666666667</v>
      </c>
      <c r="DV52">
        <v>-0.48000000000000004</v>
      </c>
      <c r="DW52">
        <v>-8.326996197718632</v>
      </c>
      <c r="DX52">
        <v>0.34195100147179769</v>
      </c>
      <c r="DY52">
        <v>-8.0431474757664443</v>
      </c>
      <c r="DZ52">
        <v>1960</v>
      </c>
      <c r="EA52">
        <v>-8.0265977590341091</v>
      </c>
      <c r="EB52">
        <v>8</v>
      </c>
      <c r="EC52">
        <v>9.8812441456223157E-2</v>
      </c>
      <c r="ED52">
        <v>0.74885707841590166</v>
      </c>
      <c r="EE52" s="15">
        <v>-2.10981</v>
      </c>
      <c r="EF52">
        <v>-2.1267100000000001</v>
      </c>
      <c r="EG52">
        <v>21.131951001471798</v>
      </c>
      <c r="EH52" t="s">
        <v>1268</v>
      </c>
      <c r="EI52">
        <v>0</v>
      </c>
      <c r="EJ52">
        <v>0</v>
      </c>
      <c r="EK52" s="14">
        <v>45470</v>
      </c>
      <c r="EL52" s="16">
        <v>0.64</v>
      </c>
      <c r="EM52" s="16">
        <v>-4.1500000000000004</v>
      </c>
      <c r="EN52" s="16">
        <v>1.1399999999999999</v>
      </c>
      <c r="EO52" s="16">
        <v>1.9</v>
      </c>
      <c r="EP52" s="16">
        <v>-1.69</v>
      </c>
    </row>
    <row r="53" spans="1:146" ht="156" x14ac:dyDescent="0.25">
      <c r="A53" s="7"/>
      <c r="B53" s="7"/>
      <c r="C53" s="7" t="str">
        <f>""&amp;CHAR(10)&amp;Basic_Fundamental_Information_Constructure(F53)&amp;CHAR(10)&amp;Basic_Fundamental_Information_Concatenate("水环境治理工程 4.37亿 74.41%（毛利22.16%）
水处理产品销售 7824.89万 13.32%（毛利40.69%）
污水处理投资运营 6930.21万 11.80%（毛利41.10%）
其他业务 280.44万 0.48%（毛利44.00%）")</f>
        <v xml:space="preserve">
市值9.5135728亿, 利润5050.75万; PE; 平均PE15.28; 平均PEG3.57, PB1.14; ROIC4.6933%; ROE5.6733%; 股利率.2778%; 毛利28.15%; 净利7.81%; 上一年度营收增-8.6%, 利润增15.23%; 当季营收增-60.03%, 利润增-162.81%; 过往5年营收增-4.29%, 利润增-1.52%
Income profile:
水环境治理工程 4.37亿 74.41%（毛利22.16%）
水处理产品销售 7824.89万 13.32%（毛利40.69%）
污水处理投资运营 6930.21万 11.80%（毛利41.10%）
其他业务 280.44万 0.48%（毛利44.00%）</v>
      </c>
      <c r="D53" t="s">
        <v>784</v>
      </c>
      <c r="E53" t="s">
        <v>785</v>
      </c>
      <c r="F53">
        <v>7.2</v>
      </c>
      <c r="G53">
        <v>1.84</v>
      </c>
      <c r="H53" t="s">
        <v>2798</v>
      </c>
      <c r="I53">
        <v>951357280</v>
      </c>
      <c r="K53">
        <v>1.1399999999999999</v>
      </c>
      <c r="L53" t="s">
        <v>1747</v>
      </c>
      <c r="M53" t="s">
        <v>367</v>
      </c>
      <c r="N53" t="s">
        <v>2799</v>
      </c>
      <c r="O53" t="s">
        <v>2800</v>
      </c>
      <c r="P53">
        <v>-54.02</v>
      </c>
      <c r="Q53" t="s">
        <v>378</v>
      </c>
      <c r="R53">
        <v>-8959141</v>
      </c>
      <c r="S53" s="5">
        <v>-3.0219999999999998</v>
      </c>
      <c r="T53" t="s">
        <v>2801</v>
      </c>
      <c r="U53">
        <v>124039539</v>
      </c>
      <c r="V53">
        <v>132132956</v>
      </c>
      <c r="W53">
        <v>2.1</v>
      </c>
      <c r="X53">
        <v>0.02</v>
      </c>
      <c r="Y53">
        <v>-25.04</v>
      </c>
      <c r="Z53" t="s">
        <v>2802</v>
      </c>
      <c r="AA53" t="s">
        <v>2803</v>
      </c>
      <c r="AB53" t="s">
        <v>2804</v>
      </c>
      <c r="AC53" t="s">
        <v>2805</v>
      </c>
      <c r="AD53" t="s">
        <v>28</v>
      </c>
      <c r="AE53">
        <v>5545912</v>
      </c>
      <c r="AF53" t="s">
        <v>2806</v>
      </c>
      <c r="AG53">
        <v>4120.09</v>
      </c>
      <c r="AH53" t="s">
        <v>2807</v>
      </c>
      <c r="AI53" t="s">
        <v>2808</v>
      </c>
      <c r="AJ53" t="s">
        <v>2809</v>
      </c>
      <c r="AK53" t="s">
        <v>2810</v>
      </c>
      <c r="AL53" t="s">
        <v>2811</v>
      </c>
      <c r="AM53" t="s">
        <v>28</v>
      </c>
      <c r="AN53" t="s">
        <v>2812</v>
      </c>
      <c r="AO53" t="s">
        <v>2813</v>
      </c>
      <c r="AP53" t="s">
        <v>2814</v>
      </c>
      <c r="AQ53" t="s">
        <v>381</v>
      </c>
      <c r="AR53" t="s">
        <v>28</v>
      </c>
      <c r="AS53" t="s">
        <v>64</v>
      </c>
      <c r="AT53" t="s">
        <v>534</v>
      </c>
      <c r="AU53" t="s">
        <v>2815</v>
      </c>
      <c r="AV53" t="s">
        <v>2816</v>
      </c>
      <c r="AW53" t="s">
        <v>2817</v>
      </c>
      <c r="AX53" t="s">
        <v>754</v>
      </c>
      <c r="AY53" t="s">
        <v>989</v>
      </c>
      <c r="AZ53" t="s">
        <v>436</v>
      </c>
      <c r="BA53" t="s">
        <v>44</v>
      </c>
      <c r="BB53" t="s">
        <v>135</v>
      </c>
      <c r="BC53" t="s">
        <v>2818</v>
      </c>
      <c r="BD53" t="s">
        <v>990</v>
      </c>
      <c r="BE53" t="s">
        <v>786</v>
      </c>
      <c r="BF53" t="s">
        <v>788</v>
      </c>
      <c r="BG53" t="s">
        <v>789</v>
      </c>
      <c r="BH53" t="s">
        <v>1549</v>
      </c>
      <c r="BI53" t="s">
        <v>2819</v>
      </c>
      <c r="BJ53" t="s">
        <v>754</v>
      </c>
      <c r="BK53" t="s">
        <v>2820</v>
      </c>
      <c r="BL53" t="s">
        <v>2821</v>
      </c>
      <c r="BM53" t="s">
        <v>2818</v>
      </c>
      <c r="BN53">
        <v>2.12</v>
      </c>
      <c r="BO53">
        <v>4.21</v>
      </c>
      <c r="BP53">
        <v>7.75</v>
      </c>
      <c r="BQ53">
        <v>2</v>
      </c>
      <c r="BR53">
        <v>5.32</v>
      </c>
      <c r="BS53">
        <v>9.6999999999999993</v>
      </c>
      <c r="BT53" t="s">
        <v>1246</v>
      </c>
      <c r="BU53" t="s">
        <v>1159</v>
      </c>
      <c r="BV53">
        <v>27.88</v>
      </c>
      <c r="BW53">
        <v>30.09</v>
      </c>
      <c r="BX53">
        <v>26.48</v>
      </c>
      <c r="BY53">
        <v>1.84</v>
      </c>
      <c r="BZ53">
        <v>10.119999999999999</v>
      </c>
      <c r="CA53">
        <v>11.47</v>
      </c>
      <c r="CB53">
        <v>-1.64</v>
      </c>
      <c r="CC53">
        <v>-14.99</v>
      </c>
      <c r="CD53" t="s">
        <v>2822</v>
      </c>
      <c r="CE53" t="s">
        <v>2823</v>
      </c>
      <c r="CF53" s="10">
        <v>-0.60029329279154253</v>
      </c>
      <c r="CG53" s="11">
        <v>-1.6281077840952911</v>
      </c>
      <c r="CH53" s="10">
        <v>-8.6046509444713593E-2</v>
      </c>
      <c r="CI53" s="10">
        <v>-0.32283464074134827</v>
      </c>
      <c r="CJ53" s="10">
        <v>8.1771723926067352E-2</v>
      </c>
      <c r="CK53" s="10">
        <v>6.148282065987587E-2</v>
      </c>
      <c r="CL53" s="10">
        <v>5.1330797374248505E-2</v>
      </c>
      <c r="CM53" s="11">
        <v>0.15230266749858856</v>
      </c>
      <c r="CN53" s="11">
        <v>-0.40222328901290894</v>
      </c>
      <c r="CO53" s="11">
        <v>1.0550061240792274E-2</v>
      </c>
      <c r="CP53" s="11">
        <v>2.1691411733627319E-2</v>
      </c>
      <c r="CQ53" s="11">
        <v>0.1416403204202652</v>
      </c>
      <c r="CR53">
        <v>15.284914506512928</v>
      </c>
      <c r="CS53">
        <v>3.5663120601972906</v>
      </c>
      <c r="CT53">
        <v>0.27777777777777779</v>
      </c>
      <c r="CU53" s="10">
        <v>-4.2859161645174025E-2</v>
      </c>
      <c r="CV53" s="11">
        <v>-1.5207765623927116E-2</v>
      </c>
      <c r="CW53">
        <v>0.06</v>
      </c>
      <c r="CX53" t="e">
        <v>#VALUE!</v>
      </c>
      <c r="CY53" t="s">
        <v>1897</v>
      </c>
      <c r="CZ53">
        <v>-4.2859161645174025E-2</v>
      </c>
      <c r="DA53">
        <v>6.826426966292134</v>
      </c>
      <c r="DB53" t="s">
        <v>2824</v>
      </c>
      <c r="DC53">
        <v>-4.0716203562915325E-2</v>
      </c>
      <c r="DD53">
        <v>3.413213483146067</v>
      </c>
      <c r="DE53" t="s">
        <v>2825</v>
      </c>
      <c r="DF53">
        <v>-3.7716062247753139E-2</v>
      </c>
      <c r="DG53">
        <v>2.0479280898876402</v>
      </c>
      <c r="DH53" t="s">
        <v>2826</v>
      </c>
      <c r="DI53">
        <v>-3.4287329316139224E-2</v>
      </c>
      <c r="DJ53">
        <v>1.0239640449438201</v>
      </c>
      <c r="DK53" t="s">
        <v>2827</v>
      </c>
      <c r="DL53">
        <v>-3.0001413151621817E-2</v>
      </c>
      <c r="DM53">
        <v>50507500</v>
      </c>
      <c r="DN53">
        <v>-4.2859161645174025E-2</v>
      </c>
      <c r="DO53">
        <v>1034357279.9999999</v>
      </c>
      <c r="DP53">
        <v>271635530</v>
      </c>
      <c r="DQ53">
        <v>2383</v>
      </c>
      <c r="DR53">
        <v>-0.55743413114636853</v>
      </c>
      <c r="DS53">
        <v>-1.612900018471364</v>
      </c>
      <c r="DT53" s="12">
        <v>-0.59</v>
      </c>
      <c r="DU53">
        <v>-0.88166666666666671</v>
      </c>
      <c r="DV53">
        <v>-1.4716666666666667</v>
      </c>
      <c r="DW53">
        <v>-2.1499000000000001</v>
      </c>
      <c r="DX53">
        <v>0.32725529758862365</v>
      </c>
      <c r="DY53">
        <v>-2.0205745691085344</v>
      </c>
      <c r="DZ53">
        <v>4465</v>
      </c>
      <c r="EA53">
        <v>-2.0025969857289638</v>
      </c>
      <c r="EB53">
        <v>2</v>
      </c>
      <c r="EC53">
        <v>4.6334390642104456E-2</v>
      </c>
      <c r="ED53">
        <v>0.33757815877516589</v>
      </c>
      <c r="EE53" s="15">
        <v>-3.0348999999999999</v>
      </c>
      <c r="EF53">
        <v>-3.0073099999999999</v>
      </c>
      <c r="EG53">
        <v>19.137255297588624</v>
      </c>
      <c r="EH53" t="s">
        <v>2246</v>
      </c>
      <c r="EI53">
        <v>0</v>
      </c>
      <c r="EJ53">
        <v>0</v>
      </c>
      <c r="EK53" s="14">
        <v>45470</v>
      </c>
      <c r="EL53" s="16">
        <v>3.6</v>
      </c>
      <c r="EM53" s="16">
        <v>-7.22</v>
      </c>
      <c r="EN53" s="16">
        <v>-4.49</v>
      </c>
      <c r="EO53" s="16">
        <v>4.17</v>
      </c>
      <c r="EP53" s="16">
        <v>-4.22</v>
      </c>
    </row>
    <row r="54" spans="1:146" ht="156" x14ac:dyDescent="0.25">
      <c r="A54" s="7" t="s">
        <v>1274</v>
      </c>
      <c r="B54" s="7" t="s">
        <v>1275</v>
      </c>
      <c r="C54" s="7" t="str">
        <f>"公司的主营业务为生态修复、园林绿化、市政公用服务。公司的主要产品及服务包括植被恢复、水环境治理、综合性治理、园林绿化、市政公用。"&amp;CHAR(10)&amp;Basic_Fundamental_Information_Constructure(F54)&amp;CHAR(10)&amp;Basic_Fundamental_Information_Concatenate("生态修复项目 3.37亿 83.86% 100.00% 42.22%
城市环境建设 6340.70万 15.77%
其他业务 149.52万 0.37%")</f>
        <v>公司的主营业务为生态修复、园林绿化、市政公用服务。公司的主要产品及服务包括植被恢复、水环境治理、综合性治理、园林绿化、市政公用。
市值11.9434828亿, 利润-1.77亿; PE47.19; 平均PE49.12; 平均PEG5.23, PB1.39; ROIC7.4233%; ROE7.53%; 股利率.7034%; 毛利33.56%; 净利13.3533%; 上一年度营收增5.74%, 利润增-414.75%; 当季营收增-66.49%, 利润增93.1%; 过往5年营收增9.39%, 利润增-81.56%
Income profile:
生态修复项目 3.37亿 83.86% 100.00% 42.22%
城市环境建设 6340.70万 15.77%
其他业务 149.52万 0.37%</v>
      </c>
      <c r="D54" t="s">
        <v>554</v>
      </c>
      <c r="E54" t="s">
        <v>555</v>
      </c>
      <c r="F54">
        <v>8.5299999999999994</v>
      </c>
      <c r="G54">
        <v>-2.0699999999999998</v>
      </c>
      <c r="H54" t="s">
        <v>2828</v>
      </c>
      <c r="I54">
        <v>1194348280</v>
      </c>
      <c r="J54">
        <v>47.19</v>
      </c>
      <c r="K54">
        <v>1.39</v>
      </c>
      <c r="L54" t="s">
        <v>1747</v>
      </c>
      <c r="M54" t="s">
        <v>608</v>
      </c>
      <c r="N54" t="s">
        <v>1665</v>
      </c>
      <c r="O54" t="s">
        <v>2829</v>
      </c>
      <c r="P54">
        <v>-51.73</v>
      </c>
      <c r="Q54" t="s">
        <v>1695</v>
      </c>
      <c r="R54">
        <v>-2150590</v>
      </c>
      <c r="S54" s="5">
        <v>-1.32</v>
      </c>
      <c r="T54" t="s">
        <v>2830</v>
      </c>
      <c r="U54">
        <v>130792946</v>
      </c>
      <c r="V54">
        <v>140017380</v>
      </c>
      <c r="W54">
        <v>1.9</v>
      </c>
      <c r="X54">
        <v>0.02</v>
      </c>
      <c r="Y54">
        <v>-6.42</v>
      </c>
      <c r="Z54" t="s">
        <v>2831</v>
      </c>
      <c r="AA54" t="s">
        <v>2832</v>
      </c>
      <c r="AB54" t="s">
        <v>2833</v>
      </c>
      <c r="AC54" t="s">
        <v>2834</v>
      </c>
      <c r="AD54" t="s">
        <v>28</v>
      </c>
      <c r="AE54">
        <v>5303942</v>
      </c>
      <c r="AF54" t="s">
        <v>2835</v>
      </c>
      <c r="AG54">
        <v>41</v>
      </c>
      <c r="AH54" t="s">
        <v>2836</v>
      </c>
      <c r="AI54" t="s">
        <v>227</v>
      </c>
      <c r="AJ54" t="s">
        <v>2837</v>
      </c>
      <c r="AK54" t="s">
        <v>2838</v>
      </c>
      <c r="AL54" t="s">
        <v>2839</v>
      </c>
      <c r="AM54" t="s">
        <v>28</v>
      </c>
      <c r="AN54" t="s">
        <v>2840</v>
      </c>
      <c r="AO54" t="s">
        <v>2841</v>
      </c>
      <c r="AP54" t="s">
        <v>2842</v>
      </c>
      <c r="AQ54" t="s">
        <v>651</v>
      </c>
      <c r="AR54" t="s">
        <v>28</v>
      </c>
      <c r="AS54" t="s">
        <v>943</v>
      </c>
      <c r="AT54" t="s">
        <v>28</v>
      </c>
      <c r="AU54" t="s">
        <v>2843</v>
      </c>
      <c r="AV54" t="s">
        <v>2844</v>
      </c>
      <c r="AW54" t="s">
        <v>2845</v>
      </c>
      <c r="AX54" t="s">
        <v>783</v>
      </c>
      <c r="AY54" t="s">
        <v>249</v>
      </c>
      <c r="AZ54" t="s">
        <v>557</v>
      </c>
      <c r="BA54" t="s">
        <v>144</v>
      </c>
      <c r="BB54" t="s">
        <v>319</v>
      </c>
      <c r="BC54" t="s">
        <v>1369</v>
      </c>
      <c r="BD54" t="s">
        <v>991</v>
      </c>
      <c r="BE54" t="s">
        <v>558</v>
      </c>
      <c r="BF54" t="s">
        <v>559</v>
      </c>
      <c r="BG54" t="s">
        <v>560</v>
      </c>
      <c r="BH54" t="s">
        <v>462</v>
      </c>
      <c r="BI54" t="s">
        <v>115</v>
      </c>
      <c r="BJ54" t="s">
        <v>783</v>
      </c>
      <c r="BK54" t="s">
        <v>2846</v>
      </c>
      <c r="BL54" t="s">
        <v>2847</v>
      </c>
      <c r="BM54" t="s">
        <v>1369</v>
      </c>
      <c r="BN54">
        <v>3.99</v>
      </c>
      <c r="BO54">
        <v>6.27</v>
      </c>
      <c r="BP54">
        <v>12.01</v>
      </c>
      <c r="BQ54">
        <v>4.8099999999999996</v>
      </c>
      <c r="BR54">
        <v>6.88</v>
      </c>
      <c r="BS54">
        <v>10.9</v>
      </c>
      <c r="BT54" t="s">
        <v>1308</v>
      </c>
      <c r="BU54" t="s">
        <v>1153</v>
      </c>
      <c r="BV54">
        <v>32.200000000000003</v>
      </c>
      <c r="BW54">
        <v>27.67</v>
      </c>
      <c r="BX54">
        <v>40.81</v>
      </c>
      <c r="BY54">
        <v>9.06</v>
      </c>
      <c r="BZ54">
        <v>11.57</v>
      </c>
      <c r="CA54">
        <v>19.43</v>
      </c>
      <c r="CB54">
        <v>-3.62</v>
      </c>
      <c r="CC54">
        <v>-10.59</v>
      </c>
      <c r="CD54" t="s">
        <v>2848</v>
      </c>
      <c r="CE54" t="s">
        <v>2849</v>
      </c>
      <c r="CF54" s="10">
        <v>-0.66489600000000004</v>
      </c>
      <c r="CG54" s="11">
        <v>0.93098522847249632</v>
      </c>
      <c r="CH54" s="10">
        <v>5.7395145297050476E-2</v>
      </c>
      <c r="CI54" s="10">
        <v>0.12686567008495331</v>
      </c>
      <c r="CJ54" s="10">
        <v>0.37671232223510742</v>
      </c>
      <c r="CK54" s="10">
        <v>5.0359711050987244E-2</v>
      </c>
      <c r="CL54" s="10">
        <v>-0.14197531342506409</v>
      </c>
      <c r="CM54" s="11">
        <v>-4.1475281715393066</v>
      </c>
      <c r="CN54" s="11">
        <v>-0.28021737933158875</v>
      </c>
      <c r="CO54" s="11">
        <v>0.23050463199615479</v>
      </c>
      <c r="CP54" s="11">
        <v>-6.2715895473957062E-2</v>
      </c>
      <c r="CQ54" s="11">
        <v>0.18206772208213806</v>
      </c>
      <c r="CR54">
        <v>49.116144451473566</v>
      </c>
      <c r="CS54">
        <v>5.2322739876798954</v>
      </c>
      <c r="CT54">
        <v>0.70339976553341155</v>
      </c>
      <c r="CU54" s="10">
        <v>9.3871507048606875E-2</v>
      </c>
      <c r="CV54" s="11">
        <v>-0.8155778184533119</v>
      </c>
      <c r="CW54">
        <v>0.06</v>
      </c>
      <c r="CX54" t="e">
        <v>#VALUE!</v>
      </c>
      <c r="CY54" t="s">
        <v>1157</v>
      </c>
      <c r="CZ54">
        <v>9.3871507048606875E-2</v>
      </c>
      <c r="DA54" t="e">
        <v>#VALUE!</v>
      </c>
      <c r="DB54" t="s">
        <v>1158</v>
      </c>
      <c r="DC54">
        <v>8.9177931696176521E-2</v>
      </c>
      <c r="DD54" t="e">
        <v>#VALUE!</v>
      </c>
      <c r="DE54" t="s">
        <v>1158</v>
      </c>
      <c r="DF54">
        <v>8.2606926202774045E-2</v>
      </c>
      <c r="DG54" t="e">
        <v>#VALUE!</v>
      </c>
      <c r="DH54" t="s">
        <v>1158</v>
      </c>
      <c r="DI54">
        <v>7.50972056388855E-2</v>
      </c>
      <c r="DJ54" t="e">
        <v>#VALUE!</v>
      </c>
      <c r="DK54" t="s">
        <v>1158</v>
      </c>
      <c r="DL54">
        <v>6.5710054934024806E-2</v>
      </c>
      <c r="DM54">
        <v>-177000000</v>
      </c>
      <c r="DN54">
        <v>9.3871507048606875E-2</v>
      </c>
      <c r="DO54">
        <v>1182348280</v>
      </c>
      <c r="DP54">
        <v>1032773500</v>
      </c>
      <c r="DQ54">
        <v>2400</v>
      </c>
      <c r="DR54">
        <v>-0.75876750704860696</v>
      </c>
      <c r="DS54">
        <v>1.7465630469258082</v>
      </c>
      <c r="DT54" s="12">
        <v>-0.3066666666666667</v>
      </c>
      <c r="DU54">
        <v>-1.5650000000000002</v>
      </c>
      <c r="DV54">
        <v>-1.8716666666666668</v>
      </c>
      <c r="DW54">
        <v>-8.3418319169027377</v>
      </c>
      <c r="DX54">
        <v>0.52808700828629396</v>
      </c>
      <c r="DY54">
        <v>-8.146333802643662</v>
      </c>
      <c r="DZ54">
        <v>2725</v>
      </c>
      <c r="EA54">
        <v>-8.068298653484371</v>
      </c>
      <c r="EB54">
        <v>8</v>
      </c>
      <c r="EC54">
        <v>0.2660826820213319</v>
      </c>
      <c r="ED54">
        <v>0.62156212321641779</v>
      </c>
      <c r="EE54" s="15">
        <v>1.1999999999999999E-2</v>
      </c>
      <c r="EF54">
        <v>4.6099999999999995E-3</v>
      </c>
      <c r="EG54">
        <v>10.428087008286294</v>
      </c>
      <c r="EH54">
        <v>-1</v>
      </c>
      <c r="EI54">
        <v>0</v>
      </c>
      <c r="EJ54">
        <v>0</v>
      </c>
      <c r="EK54" s="14">
        <v>45470</v>
      </c>
      <c r="EL54" s="16">
        <v>0.7</v>
      </c>
      <c r="EM54" s="16">
        <v>-4.8499999999999996</v>
      </c>
      <c r="EN54" s="16">
        <v>3.2</v>
      </c>
      <c r="EO54" s="16">
        <v>1.97</v>
      </c>
      <c r="EP54" s="16">
        <v>-1.66</v>
      </c>
    </row>
    <row r="55" spans="1:146" ht="120" x14ac:dyDescent="0.25">
      <c r="A55" s="7"/>
      <c r="B55" s="7"/>
      <c r="C55" s="7" t="str">
        <f>"公司主要从事土壤和地下水的修复，以及水环境、矿山、农田等生态修复"&amp;CHAR(10)&amp;Basic_Fundamental_Information_Constructure(F55)&amp;CHAR(10)&amp;Basic_Fundamental_Information_Concatenate("")</f>
        <v xml:space="preserve">公司主要从事土壤和地下水的修复，以及水环境、矿山、农田等生态修复
市值16.331952亿, 利润2638.61万; PE34.09; 平均PE23.27; 平均PEG2.21, PB1.18; ROIC7.3%; ROE7.7567%; 股利率1.1324%; 毛利22.9633%; 净利7.2733%; 上一年度营收增28.74%, 利润增-73.02%; 当季营收增-55.4%, 利润增-127.02%; 过往5年营收增10.52%, 利润增3.61%
Income profile:
</v>
      </c>
      <c r="D55" t="s">
        <v>561</v>
      </c>
      <c r="E55" t="s">
        <v>562</v>
      </c>
      <c r="F55">
        <v>10.42</v>
      </c>
      <c r="G55">
        <v>2.16</v>
      </c>
      <c r="H55" t="s">
        <v>2850</v>
      </c>
      <c r="I55">
        <v>1633195200</v>
      </c>
      <c r="J55">
        <v>34.090000000000003</v>
      </c>
      <c r="K55">
        <v>1.18</v>
      </c>
      <c r="L55" t="s">
        <v>1747</v>
      </c>
      <c r="M55" t="s">
        <v>1231</v>
      </c>
      <c r="N55" t="s">
        <v>1374</v>
      </c>
      <c r="O55" t="s">
        <v>1506</v>
      </c>
      <c r="P55">
        <v>-24</v>
      </c>
      <c r="Q55" t="s">
        <v>2851</v>
      </c>
      <c r="R55">
        <v>-3422771</v>
      </c>
      <c r="S55" s="5">
        <v>-1.2010000000000001</v>
      </c>
      <c r="T55" t="s">
        <v>2852</v>
      </c>
      <c r="U55">
        <v>91049052</v>
      </c>
      <c r="V55">
        <v>156736580</v>
      </c>
      <c r="W55">
        <v>2.1</v>
      </c>
      <c r="X55">
        <v>7.0000000000000007E-2</v>
      </c>
      <c r="Y55">
        <v>-2.56</v>
      </c>
      <c r="Z55" t="s">
        <v>191</v>
      </c>
      <c r="AA55" t="s">
        <v>399</v>
      </c>
      <c r="AB55" t="s">
        <v>2853</v>
      </c>
      <c r="AC55" t="s">
        <v>2854</v>
      </c>
      <c r="AD55" t="s">
        <v>28</v>
      </c>
      <c r="AE55">
        <v>155571</v>
      </c>
      <c r="AF55" t="s">
        <v>2855</v>
      </c>
      <c r="AG55" t="s">
        <v>2856</v>
      </c>
      <c r="AH55" t="s">
        <v>2857</v>
      </c>
      <c r="AI55" t="s">
        <v>1196</v>
      </c>
      <c r="AJ55" t="s">
        <v>2858</v>
      </c>
      <c r="AK55" t="s">
        <v>2859</v>
      </c>
      <c r="AL55" t="s">
        <v>2860</v>
      </c>
      <c r="AM55" t="s">
        <v>28</v>
      </c>
      <c r="AN55">
        <v>0</v>
      </c>
      <c r="AO55" t="s">
        <v>2861</v>
      </c>
      <c r="AP55" t="s">
        <v>2862</v>
      </c>
      <c r="AQ55" t="s">
        <v>2863</v>
      </c>
      <c r="AR55" t="s">
        <v>28</v>
      </c>
      <c r="AS55" t="s">
        <v>2864</v>
      </c>
      <c r="AT55" t="s">
        <v>2865</v>
      </c>
      <c r="AU55" t="s">
        <v>2866</v>
      </c>
      <c r="AV55" t="s">
        <v>2867</v>
      </c>
      <c r="AW55" t="s">
        <v>2868</v>
      </c>
      <c r="AX55" t="s">
        <v>1371</v>
      </c>
      <c r="AY55" t="s">
        <v>364</v>
      </c>
      <c r="AZ55" t="s">
        <v>547</v>
      </c>
      <c r="BA55" t="s">
        <v>544</v>
      </c>
      <c r="BB55" t="s">
        <v>564</v>
      </c>
      <c r="BC55" t="s">
        <v>1372</v>
      </c>
      <c r="BD55" t="s">
        <v>992</v>
      </c>
      <c r="BE55" t="s">
        <v>563</v>
      </c>
      <c r="BF55" t="s">
        <v>567</v>
      </c>
      <c r="BG55" t="s">
        <v>568</v>
      </c>
      <c r="BH55" t="s">
        <v>2869</v>
      </c>
      <c r="BI55" t="s">
        <v>1535</v>
      </c>
      <c r="BJ55" t="s">
        <v>1371</v>
      </c>
      <c r="BK55" t="s">
        <v>2870</v>
      </c>
      <c r="BL55" t="s">
        <v>2871</v>
      </c>
      <c r="BM55" t="s">
        <v>1372</v>
      </c>
      <c r="BN55">
        <v>4.21</v>
      </c>
      <c r="BO55">
        <v>8.3699999999999992</v>
      </c>
      <c r="BP55">
        <v>9.32</v>
      </c>
      <c r="BQ55">
        <v>4.9000000000000004</v>
      </c>
      <c r="BR55">
        <v>9.01</v>
      </c>
      <c r="BS55">
        <v>9.36</v>
      </c>
      <c r="BT55" t="s">
        <v>2872</v>
      </c>
      <c r="BU55" t="s">
        <v>1153</v>
      </c>
      <c r="BV55">
        <v>23.61</v>
      </c>
      <c r="BW55">
        <v>21.78</v>
      </c>
      <c r="BX55">
        <v>23.5</v>
      </c>
      <c r="BY55">
        <v>5.69</v>
      </c>
      <c r="BZ55">
        <v>7.96</v>
      </c>
      <c r="CA55">
        <v>8.17</v>
      </c>
      <c r="CB55">
        <v>-0.88</v>
      </c>
      <c r="CC55">
        <v>-15.78</v>
      </c>
      <c r="CD55" t="s">
        <v>2873</v>
      </c>
      <c r="CE55" t="s">
        <v>2874</v>
      </c>
      <c r="CF55" s="10">
        <v>-0.55400000000000005</v>
      </c>
      <c r="CG55" s="11">
        <v>-1.270230852432872</v>
      </c>
      <c r="CH55" s="10">
        <v>0.28740161657333374</v>
      </c>
      <c r="CI55" s="10">
        <v>0.17483818531036377</v>
      </c>
      <c r="CJ55" s="10">
        <v>4.1425757110118866E-2</v>
      </c>
      <c r="CK55" s="10">
        <v>-7.2386108338832855E-2</v>
      </c>
      <c r="CL55" s="10">
        <v>9.4912000000476837E-2</v>
      </c>
      <c r="CM55" s="11">
        <v>-0.73016351461410522</v>
      </c>
      <c r="CN55" s="11">
        <v>9.9416360259056091E-2</v>
      </c>
      <c r="CO55" s="11">
        <v>6.8186700344085693E-2</v>
      </c>
      <c r="CP55" s="11">
        <v>6.6027693450450897E-2</v>
      </c>
      <c r="CQ55" s="11">
        <v>0.67681092023849487</v>
      </c>
      <c r="CR55">
        <v>23.272082680828689</v>
      </c>
      <c r="CS55">
        <v>2.2113702770958534</v>
      </c>
      <c r="CT55">
        <v>1.1324376199616122</v>
      </c>
      <c r="CU55" s="10">
        <v>0.10523829013109207</v>
      </c>
      <c r="CV55" s="11">
        <v>3.6055631935596466E-2</v>
      </c>
      <c r="CW55">
        <v>0.06</v>
      </c>
      <c r="CX55">
        <v>72.374999814211833</v>
      </c>
      <c r="CY55">
        <v>27512196.270969816</v>
      </c>
      <c r="CZ55">
        <v>0.10523829013109207</v>
      </c>
      <c r="DA55">
        <v>23.348770707518575</v>
      </c>
      <c r="DB55">
        <v>85280515.404556692</v>
      </c>
      <c r="DC55">
        <v>9.9976375624537456E-2</v>
      </c>
      <c r="DD55">
        <v>11.296630566864305</v>
      </c>
      <c r="DE55">
        <v>176264523.14379895</v>
      </c>
      <c r="DF55">
        <v>9.2609695315361021E-2</v>
      </c>
      <c r="DG55">
        <v>6.6516293514105449</v>
      </c>
      <c r="DH55">
        <v>299354503.2057066</v>
      </c>
      <c r="DI55">
        <v>8.4190632104873653E-2</v>
      </c>
      <c r="DJ55">
        <v>3.2893183672888693</v>
      </c>
      <c r="DK55">
        <v>605351923.30476308</v>
      </c>
      <c r="DL55">
        <v>7.3666803091764446E-2</v>
      </c>
      <c r="DM55">
        <v>26386100</v>
      </c>
      <c r="DN55">
        <v>0.10523829013109207</v>
      </c>
      <c r="DO55">
        <v>1991195200</v>
      </c>
      <c r="DP55">
        <v>1191654300</v>
      </c>
      <c r="DQ55">
        <v>2409</v>
      </c>
      <c r="DR55">
        <v>-0.65923829013109214</v>
      </c>
      <c r="DS55">
        <v>-1.3062864843684685</v>
      </c>
      <c r="DT55" s="12">
        <v>-0.12333333333333336</v>
      </c>
      <c r="DU55">
        <v>-1.0316666666666667</v>
      </c>
      <c r="DV55">
        <v>-1.155</v>
      </c>
      <c r="DW55">
        <v>-2.1577999999999999</v>
      </c>
      <c r="DX55">
        <v>0.36001637514176432</v>
      </c>
      <c r="DY55">
        <v>-2.0331405839973704</v>
      </c>
      <c r="DZ55">
        <v>886</v>
      </c>
      <c r="EA55">
        <v>-2.0273944866545777</v>
      </c>
      <c r="EB55">
        <v>2</v>
      </c>
      <c r="EC55">
        <v>9.0500890092153341E-2</v>
      </c>
      <c r="ED55">
        <v>0.4309230174602508</v>
      </c>
      <c r="EE55" s="15">
        <v>-2.02881</v>
      </c>
      <c r="EF55">
        <v>-2.01301</v>
      </c>
      <c r="EG55">
        <v>15.210016375141764</v>
      </c>
      <c r="EH55" t="s">
        <v>1268</v>
      </c>
      <c r="EI55">
        <v>0</v>
      </c>
      <c r="EJ55">
        <v>1</v>
      </c>
      <c r="EK55" s="14">
        <v>45470</v>
      </c>
      <c r="EL55" s="16">
        <v>-0.81</v>
      </c>
      <c r="EM55" s="16">
        <v>-2.96</v>
      </c>
      <c r="EN55" s="16">
        <v>-0.3</v>
      </c>
      <c r="EO55" s="16">
        <v>4.91</v>
      </c>
      <c r="EP55" s="16">
        <v>1.58</v>
      </c>
    </row>
    <row r="56" spans="1:146" ht="108" x14ac:dyDescent="0.25">
      <c r="A56" s="7"/>
      <c r="B56" s="7"/>
      <c r="C56" s="7" t="str">
        <f>""&amp;CHAR(10)&amp;Basic_Fundamental_Information_Constructure(F56)&amp;CHAR(10)&amp;Basic_Fundamental_Information_Concatenate("")</f>
        <v xml:space="preserve">
市值13.242816亿, 利润1.08亿; PE; 平均PE19.78; 平均PEG801.52, PB1.32; ROIC4.08%; ROE.49%; 股利率0%; 毛利34.6267%; 净利.2467%; 上一年度营收增-30.72%, 利润增8968.45%; 当季营收增26.97%, 利润增-97.36%; 过往5年营收增.02%, 利润增1769.19%
Income profile:
</v>
      </c>
      <c r="D56" t="s">
        <v>790</v>
      </c>
      <c r="E56" t="s">
        <v>791</v>
      </c>
      <c r="F56">
        <v>7.47</v>
      </c>
      <c r="G56">
        <v>1.08</v>
      </c>
      <c r="H56" t="s">
        <v>2875</v>
      </c>
      <c r="I56">
        <v>1324281600</v>
      </c>
      <c r="K56">
        <v>1.32</v>
      </c>
      <c r="L56" t="s">
        <v>1747</v>
      </c>
      <c r="M56" t="s">
        <v>2876</v>
      </c>
      <c r="N56" t="s">
        <v>2877</v>
      </c>
      <c r="O56" t="s">
        <v>219</v>
      </c>
      <c r="P56">
        <v>0</v>
      </c>
      <c r="Q56" t="s">
        <v>1687</v>
      </c>
      <c r="R56">
        <v>774277</v>
      </c>
      <c r="S56" s="5">
        <v>1.113</v>
      </c>
      <c r="T56" t="s">
        <v>152</v>
      </c>
      <c r="U56">
        <v>158751700</v>
      </c>
      <c r="V56">
        <v>177280000</v>
      </c>
      <c r="W56">
        <v>2.7</v>
      </c>
      <c r="X56">
        <v>0.04</v>
      </c>
      <c r="Y56">
        <v>1.64</v>
      </c>
      <c r="Z56" t="s">
        <v>2878</v>
      </c>
      <c r="AA56" t="s">
        <v>2879</v>
      </c>
      <c r="AB56" t="s">
        <v>2880</v>
      </c>
      <c r="AC56" t="s">
        <v>2881</v>
      </c>
      <c r="AD56" t="s">
        <v>28</v>
      </c>
      <c r="AE56">
        <v>5332898</v>
      </c>
      <c r="AF56" t="s">
        <v>2882</v>
      </c>
      <c r="AG56" t="s">
        <v>2883</v>
      </c>
      <c r="AH56" t="s">
        <v>2884</v>
      </c>
      <c r="AI56" t="s">
        <v>163</v>
      </c>
      <c r="AJ56" t="s">
        <v>2885</v>
      </c>
      <c r="AK56" t="s">
        <v>2886</v>
      </c>
      <c r="AL56" t="s">
        <v>2887</v>
      </c>
      <c r="AM56" t="s">
        <v>28</v>
      </c>
      <c r="AN56" t="s">
        <v>2888</v>
      </c>
      <c r="AO56" t="s">
        <v>752</v>
      </c>
      <c r="AP56" t="s">
        <v>2889</v>
      </c>
      <c r="AQ56" t="s">
        <v>383</v>
      </c>
      <c r="AR56" t="s">
        <v>28</v>
      </c>
      <c r="AS56" t="s">
        <v>2890</v>
      </c>
      <c r="AT56" t="s">
        <v>1597</v>
      </c>
      <c r="AU56" t="s">
        <v>2891</v>
      </c>
      <c r="AV56" t="s">
        <v>2892</v>
      </c>
      <c r="AW56" t="s">
        <v>2893</v>
      </c>
      <c r="AX56" t="s">
        <v>430</v>
      </c>
      <c r="AY56" t="s">
        <v>993</v>
      </c>
      <c r="AZ56" t="s">
        <v>368</v>
      </c>
      <c r="BA56" t="s">
        <v>715</v>
      </c>
      <c r="BB56" t="s">
        <v>793</v>
      </c>
      <c r="BC56" t="s">
        <v>1373</v>
      </c>
      <c r="BD56" t="s">
        <v>994</v>
      </c>
      <c r="BE56" t="s">
        <v>792</v>
      </c>
      <c r="BF56" t="s">
        <v>794</v>
      </c>
      <c r="BG56" t="s">
        <v>795</v>
      </c>
      <c r="BH56" t="s">
        <v>534</v>
      </c>
      <c r="BI56" t="s">
        <v>2894</v>
      </c>
      <c r="BJ56" t="s">
        <v>430</v>
      </c>
      <c r="BK56" t="s">
        <v>2895</v>
      </c>
      <c r="BL56" t="s">
        <v>2896</v>
      </c>
      <c r="BM56" t="s">
        <v>1373</v>
      </c>
      <c r="BN56" t="s">
        <v>28</v>
      </c>
      <c r="BO56" t="s">
        <v>28</v>
      </c>
      <c r="BP56">
        <v>4.08</v>
      </c>
      <c r="BQ56">
        <v>-2.5299999999999998</v>
      </c>
      <c r="BR56">
        <v>-0.12</v>
      </c>
      <c r="BS56">
        <v>4.12</v>
      </c>
      <c r="BT56" t="s">
        <v>1244</v>
      </c>
      <c r="BU56" t="s">
        <v>1159</v>
      </c>
      <c r="BV56">
        <v>32.950000000000003</v>
      </c>
      <c r="BW56">
        <v>31.97</v>
      </c>
      <c r="BX56">
        <v>38.96</v>
      </c>
      <c r="BY56">
        <v>-6.74</v>
      </c>
      <c r="BZ56">
        <v>0.15</v>
      </c>
      <c r="CA56">
        <v>7.33</v>
      </c>
      <c r="CB56">
        <v>-4.2300000000000004</v>
      </c>
      <c r="CC56">
        <v>-15.11</v>
      </c>
      <c r="CD56" t="s">
        <v>2897</v>
      </c>
      <c r="CE56" t="s">
        <v>2898</v>
      </c>
      <c r="CF56" s="10">
        <v>0.26969268457846202</v>
      </c>
      <c r="CG56" s="11">
        <v>-0.97357677909012419</v>
      </c>
      <c r="CH56" s="10">
        <v>-0.30722892284393311</v>
      </c>
      <c r="CI56" s="10">
        <v>-9.2896178364753723E-2</v>
      </c>
      <c r="CJ56" s="10">
        <v>-3.0035335570573807E-2</v>
      </c>
      <c r="CK56" s="10">
        <v>3.5460991784930229E-3</v>
      </c>
      <c r="CL56" s="10">
        <v>0.42784810066223145</v>
      </c>
      <c r="CM56" s="11">
        <v>89.68450927734375</v>
      </c>
      <c r="CN56" s="11">
        <v>-1.0311986207962036</v>
      </c>
      <c r="CO56" s="11">
        <v>-0.57767188549041748</v>
      </c>
      <c r="CP56" s="11">
        <v>-3.6763951182365417E-2</v>
      </c>
      <c r="CQ56" s="11">
        <v>0.42039239406585693</v>
      </c>
      <c r="CR56">
        <v>19.777795035694016</v>
      </c>
      <c r="CS56">
        <v>801.52322814025968</v>
      </c>
      <c r="CT56">
        <v>0</v>
      </c>
      <c r="CU56" s="10">
        <v>2.4675261229276655E-4</v>
      </c>
      <c r="CV56" s="11">
        <v>17.691853442788123</v>
      </c>
      <c r="CW56">
        <v>0.06</v>
      </c>
      <c r="CX56">
        <v>19.921922139596091</v>
      </c>
      <c r="CY56">
        <v>101911933.28502604</v>
      </c>
      <c r="CZ56">
        <v>2.4675261229276655E-4</v>
      </c>
      <c r="DA56">
        <v>7.02962213116251</v>
      </c>
      <c r="DB56">
        <v>288818027.78554845</v>
      </c>
      <c r="DC56">
        <v>2.344149816781282E-4</v>
      </c>
      <c r="DD56">
        <v>3.8202308271708065</v>
      </c>
      <c r="DE56">
        <v>531455216.15079725</v>
      </c>
      <c r="DF56">
        <v>2.1714229881763457E-4</v>
      </c>
      <c r="DG56">
        <v>2.5516376771446567</v>
      </c>
      <c r="DH56">
        <v>795677857.47384536</v>
      </c>
      <c r="DI56">
        <v>1.9740208983421326E-4</v>
      </c>
      <c r="DJ56">
        <v>1.6365392788204598</v>
      </c>
      <c r="DK56">
        <v>1240594482.6838076</v>
      </c>
      <c r="DL56">
        <v>1.7272682860493656E-4</v>
      </c>
      <c r="DM56">
        <v>108000000</v>
      </c>
      <c r="DN56">
        <v>2.4675261229276655E-4</v>
      </c>
      <c r="DO56">
        <v>2030281600</v>
      </c>
      <c r="DP56">
        <v>-271332420</v>
      </c>
      <c r="DQ56">
        <v>2412</v>
      </c>
      <c r="DR56">
        <v>0.26944593196616923</v>
      </c>
      <c r="DS56">
        <v>-18.665430221878246</v>
      </c>
      <c r="DT56" s="12">
        <v>-0.50666666666666671</v>
      </c>
      <c r="DU56">
        <v>-0.89</v>
      </c>
      <c r="DV56">
        <v>-1.3966666666666667</v>
      </c>
      <c r="DW56">
        <v>-8.2799470549305099</v>
      </c>
      <c r="DX56">
        <v>0.35727003297338311</v>
      </c>
      <c r="DY56">
        <v>-8.0384283414611133</v>
      </c>
      <c r="DZ56">
        <v>3422</v>
      </c>
      <c r="EA56">
        <v>-8.01269413706191</v>
      </c>
      <c r="EB56">
        <v>8</v>
      </c>
      <c r="EC56">
        <v>4.5956114620938626E-2</v>
      </c>
      <c r="ED56">
        <v>0.33478621389891694</v>
      </c>
      <c r="EE56" s="15">
        <v>-1.00291</v>
      </c>
      <c r="EF56">
        <v>-1.0162100000000001</v>
      </c>
      <c r="EG56">
        <v>22.137270032973383</v>
      </c>
      <c r="EH56" t="s">
        <v>1168</v>
      </c>
      <c r="EI56">
        <v>0</v>
      </c>
      <c r="EJ56">
        <v>0</v>
      </c>
      <c r="EK56" s="14">
        <v>45470</v>
      </c>
      <c r="EL56" s="16">
        <v>-0.46</v>
      </c>
      <c r="EM56" s="16">
        <v>-5.6</v>
      </c>
      <c r="EN56" s="16">
        <v>1.98</v>
      </c>
      <c r="EO56" s="16">
        <v>4.43</v>
      </c>
      <c r="EP56" s="16">
        <v>-1.33</v>
      </c>
    </row>
    <row r="57" spans="1:146" ht="108" x14ac:dyDescent="0.25">
      <c r="A57" s="7"/>
      <c r="B57" s="7"/>
      <c r="C57" s="7" t="str">
        <f>""&amp;CHAR(10)&amp;Basic_Fundamental_Information_Constructure(F57)&amp;CHAR(10)&amp;Basic_Fundamental_Information_Concatenate("")</f>
        <v xml:space="preserve">
市值16.305827亿, 利润3.05亿; PE; 平均PE13.98; 平均PEG.22, PB2.2; ROIC11.85%; ROE1.61%; 股利率0%; 毛利14.3733%; 净利-6.0433%; 上一年度营收增319.91%, 利润增1510.37%; 当季营收增-77.46%, 利润增-113.2%; 过往5年营收增62.89%, 利润增278.98%
Income profile:
</v>
      </c>
      <c r="D57" t="s">
        <v>797</v>
      </c>
      <c r="E57" t="s">
        <v>798</v>
      </c>
      <c r="F57">
        <v>17.3</v>
      </c>
      <c r="G57">
        <v>1.29</v>
      </c>
      <c r="H57" t="s">
        <v>2899</v>
      </c>
      <c r="I57">
        <v>1630582700</v>
      </c>
      <c r="K57">
        <v>2.2000000000000002</v>
      </c>
      <c r="L57" t="s">
        <v>1747</v>
      </c>
      <c r="M57" t="s">
        <v>389</v>
      </c>
      <c r="N57" t="s">
        <v>1594</v>
      </c>
      <c r="O57" t="s">
        <v>2900</v>
      </c>
      <c r="P57">
        <v>13.49</v>
      </c>
      <c r="Q57" t="s">
        <v>608</v>
      </c>
      <c r="R57">
        <v>-11821462</v>
      </c>
      <c r="S57" s="5">
        <v>-0.1512</v>
      </c>
      <c r="T57" t="s">
        <v>104</v>
      </c>
      <c r="U57">
        <v>25684034</v>
      </c>
      <c r="V57">
        <v>94253334</v>
      </c>
      <c r="W57">
        <v>1.64</v>
      </c>
      <c r="X57">
        <v>0.04</v>
      </c>
      <c r="Y57">
        <v>-21.32</v>
      </c>
      <c r="Z57" t="s">
        <v>2901</v>
      </c>
      <c r="AA57" t="s">
        <v>2902</v>
      </c>
      <c r="AB57" t="s">
        <v>2903</v>
      </c>
      <c r="AC57" t="s">
        <v>2904</v>
      </c>
      <c r="AD57" t="s">
        <v>28</v>
      </c>
      <c r="AE57">
        <v>2265139</v>
      </c>
      <c r="AF57" t="s">
        <v>67</v>
      </c>
      <c r="AG57" t="s">
        <v>28</v>
      </c>
      <c r="AH57" t="s">
        <v>2905</v>
      </c>
      <c r="AI57" t="s">
        <v>2906</v>
      </c>
      <c r="AJ57" t="s">
        <v>2907</v>
      </c>
      <c r="AK57" t="s">
        <v>2908</v>
      </c>
      <c r="AL57" t="s">
        <v>2909</v>
      </c>
      <c r="AM57" t="s">
        <v>28</v>
      </c>
      <c r="AN57" t="s">
        <v>100</v>
      </c>
      <c r="AO57" t="s">
        <v>2910</v>
      </c>
      <c r="AP57" t="s">
        <v>2911</v>
      </c>
      <c r="AQ57" t="s">
        <v>47</v>
      </c>
      <c r="AR57" t="s">
        <v>28</v>
      </c>
      <c r="AS57" t="s">
        <v>425</v>
      </c>
      <c r="AT57" t="s">
        <v>219</v>
      </c>
      <c r="AU57" t="s">
        <v>2912</v>
      </c>
      <c r="AV57" t="s">
        <v>2913</v>
      </c>
      <c r="AW57" t="s">
        <v>2914</v>
      </c>
      <c r="AX57" t="s">
        <v>862</v>
      </c>
      <c r="AY57" t="s">
        <v>82</v>
      </c>
      <c r="AZ57" t="s">
        <v>505</v>
      </c>
      <c r="BA57" t="s">
        <v>627</v>
      </c>
      <c r="BB57" t="s">
        <v>266</v>
      </c>
      <c r="BC57" t="s">
        <v>1375</v>
      </c>
      <c r="BD57" t="s">
        <v>995</v>
      </c>
      <c r="BE57" t="s">
        <v>109</v>
      </c>
      <c r="BF57" t="s">
        <v>996</v>
      </c>
      <c r="BG57" t="s">
        <v>365</v>
      </c>
      <c r="BH57" t="s">
        <v>300</v>
      </c>
      <c r="BI57" t="s">
        <v>369</v>
      </c>
      <c r="BJ57" t="s">
        <v>862</v>
      </c>
      <c r="BK57" t="s">
        <v>2164</v>
      </c>
      <c r="BL57" t="s">
        <v>2915</v>
      </c>
      <c r="BM57" t="s">
        <v>1375</v>
      </c>
      <c r="BN57" t="s">
        <v>28</v>
      </c>
      <c r="BO57" t="s">
        <v>28</v>
      </c>
      <c r="BP57">
        <v>11.85</v>
      </c>
      <c r="BQ57">
        <v>-6.77</v>
      </c>
      <c r="BR57">
        <v>-2.39</v>
      </c>
      <c r="BS57">
        <v>13.99</v>
      </c>
      <c r="BT57" t="s">
        <v>1244</v>
      </c>
      <c r="BU57" t="s">
        <v>1061</v>
      </c>
      <c r="BV57">
        <v>-11.33</v>
      </c>
      <c r="BW57">
        <v>7.57</v>
      </c>
      <c r="BX57">
        <v>46.88</v>
      </c>
      <c r="BY57">
        <v>-45.76</v>
      </c>
      <c r="BZ57">
        <v>-10.24</v>
      </c>
      <c r="CA57">
        <v>37.869999999999997</v>
      </c>
      <c r="CB57">
        <v>-3.62</v>
      </c>
      <c r="CC57">
        <v>-29.5</v>
      </c>
      <c r="CD57" t="s">
        <v>2916</v>
      </c>
      <c r="CE57" t="s">
        <v>2917</v>
      </c>
      <c r="CF57" s="10">
        <v>-0.77463943089430898</v>
      </c>
      <c r="CG57" s="11">
        <v>-1.1320053510271582</v>
      </c>
      <c r="CH57" s="10">
        <v>3.199052095413208</v>
      </c>
      <c r="CI57" s="10">
        <v>-6.6371679306030273E-2</v>
      </c>
      <c r="CJ57" s="10">
        <v>-0.26623377203941345</v>
      </c>
      <c r="CK57" s="10">
        <v>0.19379845261573792</v>
      </c>
      <c r="CL57" s="10">
        <v>8.403361588716507E-2</v>
      </c>
      <c r="CM57" s="11">
        <v>15.103654861450195</v>
      </c>
      <c r="CN57" s="11">
        <v>-1.252429723739624</v>
      </c>
      <c r="CO57" s="11">
        <v>-0.39669156074523926</v>
      </c>
      <c r="CP57" s="11">
        <v>0.71215534210205078</v>
      </c>
      <c r="CQ57" s="11">
        <v>-0.2175811380147934</v>
      </c>
      <c r="CR57">
        <v>13.97681050017672</v>
      </c>
      <c r="CS57">
        <v>0.22225781773572009</v>
      </c>
      <c r="CT57">
        <v>0</v>
      </c>
      <c r="CU57" s="10">
        <v>0.62885574251413345</v>
      </c>
      <c r="CV57" s="11">
        <v>2.789821556210518</v>
      </c>
      <c r="CW57">
        <v>0.06</v>
      </c>
      <c r="CX57">
        <v>2.8816722546313964</v>
      </c>
      <c r="CY57">
        <v>468680190.06302893</v>
      </c>
      <c r="CZ57">
        <v>0.62885574251413345</v>
      </c>
      <c r="DA57">
        <v>0.6149811885538502</v>
      </c>
      <c r="DB57">
        <v>2196136605.6999931</v>
      </c>
      <c r="DC57">
        <v>0.59741295538842676</v>
      </c>
      <c r="DD57">
        <v>0.15794314481924254</v>
      </c>
      <c r="DE57">
        <v>8551068813.6903286</v>
      </c>
      <c r="DF57">
        <v>0.5533930534124375</v>
      </c>
      <c r="DG57">
        <v>4.0960701403796783E-2</v>
      </c>
      <c r="DH57">
        <v>32972645821.802505</v>
      </c>
      <c r="DI57">
        <v>0.50308459401130678</v>
      </c>
      <c r="DJ57">
        <v>2.549311955567523E-3</v>
      </c>
      <c r="DK57">
        <v>529783221331.70862</v>
      </c>
      <c r="DL57">
        <v>0.4401990197598934</v>
      </c>
      <c r="DM57">
        <v>305000000</v>
      </c>
      <c r="DN57">
        <v>0.62885574251413345</v>
      </c>
      <c r="DO57">
        <v>1350582700</v>
      </c>
      <c r="DP57">
        <v>37846690</v>
      </c>
      <c r="DQ57">
        <v>2496</v>
      </c>
      <c r="DR57">
        <v>-1.4034951734084424</v>
      </c>
      <c r="DS57">
        <v>-3.9218269072376764</v>
      </c>
      <c r="DT57" s="12">
        <v>-0.15666666666666673</v>
      </c>
      <c r="DU57">
        <v>-1.3149999999999999</v>
      </c>
      <c r="DV57">
        <v>-1.4716666666666667</v>
      </c>
      <c r="DW57">
        <v>-8.1227118644067797</v>
      </c>
      <c r="DX57">
        <v>0.27580349394709841</v>
      </c>
      <c r="DY57">
        <v>-8.0117562253589316</v>
      </c>
      <c r="DZ57">
        <v>1586</v>
      </c>
      <c r="EA57">
        <v>-8.0081074242984105</v>
      </c>
      <c r="EB57">
        <v>8</v>
      </c>
      <c r="EC57">
        <v>9.767718137164251E-2</v>
      </c>
      <c r="ED57">
        <v>1.0195575681174314</v>
      </c>
      <c r="EE57" s="15">
        <v>3.0095000000000001</v>
      </c>
      <c r="EF57">
        <v>3.0036100000000001</v>
      </c>
      <c r="EG57">
        <v>18.095803493947098</v>
      </c>
      <c r="EH57" t="s">
        <v>1366</v>
      </c>
      <c r="EI57">
        <v>0</v>
      </c>
      <c r="EJ57">
        <v>0</v>
      </c>
      <c r="EK57" s="14">
        <v>45470</v>
      </c>
      <c r="EL57" s="16">
        <v>1.77</v>
      </c>
      <c r="EM57" s="16">
        <v>-5.68</v>
      </c>
      <c r="EN57" s="16">
        <v>0.12</v>
      </c>
      <c r="EO57" s="16">
        <v>3.31</v>
      </c>
      <c r="EP57" s="16">
        <v>-1.31</v>
      </c>
    </row>
    <row r="58" spans="1:146" ht="108" x14ac:dyDescent="0.25">
      <c r="A58" s="7"/>
      <c r="B58" s="7"/>
      <c r="C58" s="7" t="str">
        <f>""&amp;CHAR(10)&amp;Basic_Fundamental_Information_Constructure(F58)&amp;CHAR(10)&amp;Basic_Fundamental_Information_Concatenate("")</f>
        <v xml:space="preserve">
市值21.914681亿, 利润1.58亿; PE37.52; 平均PE27.91; 平均PEG1.08, PB2.7; ROIC6.2%; ROE7.0833%; 股利率1.2425%; 毛利22.45%; 净利7.56%; 上一年度营收增23.38%, 利润增185.94%; 当季营收增-35.08%, 利润增-85.51%; 过往5年营收增25.74%, 利润增36.21%
Income profile:
</v>
      </c>
      <c r="D58" t="s">
        <v>799</v>
      </c>
      <c r="E58" t="s">
        <v>997</v>
      </c>
      <c r="F58">
        <v>20.12</v>
      </c>
      <c r="G58">
        <v>-0.1</v>
      </c>
      <c r="H58" t="s">
        <v>2918</v>
      </c>
      <c r="I58">
        <v>2191468100</v>
      </c>
      <c r="J58">
        <v>37.520000000000003</v>
      </c>
      <c r="K58">
        <v>2.7</v>
      </c>
      <c r="L58" t="s">
        <v>1747</v>
      </c>
      <c r="M58" t="s">
        <v>840</v>
      </c>
      <c r="N58" t="s">
        <v>565</v>
      </c>
      <c r="O58" t="s">
        <v>88</v>
      </c>
      <c r="P58">
        <v>-13.52</v>
      </c>
      <c r="Q58" t="s">
        <v>1660</v>
      </c>
      <c r="R58">
        <v>7343045</v>
      </c>
      <c r="S58" s="5">
        <v>0.66500000000000004</v>
      </c>
      <c r="T58" t="s">
        <v>681</v>
      </c>
      <c r="U58">
        <v>50326103</v>
      </c>
      <c r="V58">
        <v>108919888</v>
      </c>
      <c r="W58">
        <v>1.55</v>
      </c>
      <c r="X58">
        <v>0.12</v>
      </c>
      <c r="Y58">
        <v>4.4800000000000004</v>
      </c>
      <c r="Z58" t="s">
        <v>493</v>
      </c>
      <c r="AA58" t="s">
        <v>84</v>
      </c>
      <c r="AB58" t="s">
        <v>2919</v>
      </c>
      <c r="AC58" t="s">
        <v>2920</v>
      </c>
      <c r="AD58" t="s">
        <v>28</v>
      </c>
      <c r="AE58">
        <v>2180446</v>
      </c>
      <c r="AF58" t="s">
        <v>67</v>
      </c>
      <c r="AG58">
        <v>0.02</v>
      </c>
      <c r="AH58" t="s">
        <v>2921</v>
      </c>
      <c r="AI58" t="s">
        <v>2922</v>
      </c>
      <c r="AJ58" t="s">
        <v>2923</v>
      </c>
      <c r="AK58" t="s">
        <v>28</v>
      </c>
      <c r="AL58" t="s">
        <v>2924</v>
      </c>
      <c r="AM58" t="s">
        <v>28</v>
      </c>
      <c r="AN58" t="s">
        <v>2925</v>
      </c>
      <c r="AO58" t="s">
        <v>398</v>
      </c>
      <c r="AP58" t="s">
        <v>28</v>
      </c>
      <c r="AQ58" t="s">
        <v>2926</v>
      </c>
      <c r="AR58" t="s">
        <v>28</v>
      </c>
      <c r="AS58" t="s">
        <v>195</v>
      </c>
      <c r="AT58" t="s">
        <v>28</v>
      </c>
      <c r="AU58" t="s">
        <v>2927</v>
      </c>
      <c r="AV58" t="s">
        <v>2928</v>
      </c>
      <c r="AW58" t="s">
        <v>2929</v>
      </c>
      <c r="AX58" t="s">
        <v>751</v>
      </c>
      <c r="AY58" t="s">
        <v>649</v>
      </c>
      <c r="AZ58" t="s">
        <v>389</v>
      </c>
      <c r="BA58" t="s">
        <v>747</v>
      </c>
      <c r="BB58" t="s">
        <v>118</v>
      </c>
      <c r="BC58" t="s">
        <v>1377</v>
      </c>
      <c r="BD58" t="s">
        <v>998</v>
      </c>
      <c r="BE58" t="s">
        <v>800</v>
      </c>
      <c r="BF58" t="s">
        <v>999</v>
      </c>
      <c r="BG58" t="s">
        <v>801</v>
      </c>
      <c r="BH58" t="s">
        <v>468</v>
      </c>
      <c r="BI58" t="s">
        <v>240</v>
      </c>
      <c r="BJ58" t="s">
        <v>751</v>
      </c>
      <c r="BK58" t="s">
        <v>2930</v>
      </c>
      <c r="BL58" t="s">
        <v>2931</v>
      </c>
      <c r="BM58" t="s">
        <v>1377</v>
      </c>
      <c r="BN58">
        <v>4.0599999999999996</v>
      </c>
      <c r="BO58">
        <v>6.68</v>
      </c>
      <c r="BP58">
        <v>7.86</v>
      </c>
      <c r="BQ58">
        <v>4.37</v>
      </c>
      <c r="BR58">
        <v>7.25</v>
      </c>
      <c r="BS58">
        <v>9.6300000000000008</v>
      </c>
      <c r="BT58" t="s">
        <v>2932</v>
      </c>
      <c r="BU58" t="s">
        <v>1061</v>
      </c>
      <c r="BV58">
        <v>17.899999999999999</v>
      </c>
      <c r="BW58">
        <v>21.9</v>
      </c>
      <c r="BX58">
        <v>27.55</v>
      </c>
      <c r="BY58">
        <v>5.99</v>
      </c>
      <c r="BZ58">
        <v>6.91</v>
      </c>
      <c r="CA58">
        <v>9.7799999999999994</v>
      </c>
      <c r="CB58">
        <v>-2.99</v>
      </c>
      <c r="CC58">
        <v>-12.48</v>
      </c>
      <c r="CD58" t="s">
        <v>2933</v>
      </c>
      <c r="CE58" t="s">
        <v>2934</v>
      </c>
      <c r="CF58" s="10">
        <v>-0.35080645161290325</v>
      </c>
      <c r="CG58" s="11">
        <v>-0.85508730625471163</v>
      </c>
      <c r="CH58" s="10">
        <v>0.23375000059604645</v>
      </c>
      <c r="CI58" s="10">
        <v>0.51802659034729004</v>
      </c>
      <c r="CJ58" s="10">
        <v>0.10251045972108841</v>
      </c>
      <c r="CK58" s="10">
        <v>6.6964283585548401E-2</v>
      </c>
      <c r="CL58" s="10">
        <v>0.36585366725921631</v>
      </c>
      <c r="CM58" s="11">
        <v>1.8593661785125732</v>
      </c>
      <c r="CN58" s="11">
        <v>7.0901148021221161E-2</v>
      </c>
      <c r="CO58" s="11">
        <v>-0.34822931885719299</v>
      </c>
      <c r="CP58" s="11">
        <v>0.27870085835456848</v>
      </c>
      <c r="CQ58" s="11">
        <v>-5.0212472677230835E-2</v>
      </c>
      <c r="CR58">
        <v>27.909721805071456</v>
      </c>
      <c r="CS58">
        <v>1.0842053201699176</v>
      </c>
      <c r="CT58">
        <v>1.242544731610338</v>
      </c>
      <c r="CU58" s="10">
        <v>0.2574210003018379</v>
      </c>
      <c r="CV58" s="11">
        <v>0.36210527867078779</v>
      </c>
      <c r="CW58">
        <v>0.06</v>
      </c>
      <c r="CX58">
        <v>10.059751623625401</v>
      </c>
      <c r="CY58">
        <v>187426903.81857583</v>
      </c>
      <c r="CZ58">
        <v>0.2574210003018379</v>
      </c>
      <c r="DA58">
        <v>2.8609250292386594</v>
      </c>
      <c r="DB58">
        <v>659041422.1730777</v>
      </c>
      <c r="DC58">
        <v>0.244549950286746</v>
      </c>
      <c r="DD58">
        <v>1.1572013561293943</v>
      </c>
      <c r="DE58">
        <v>1629334506.0590937</v>
      </c>
      <c r="DF58">
        <v>0.22653048026561734</v>
      </c>
      <c r="DG58">
        <v>0.54860520792676393</v>
      </c>
      <c r="DH58">
        <v>3436839593.8590884</v>
      </c>
      <c r="DI58">
        <v>0.20593680024147032</v>
      </c>
      <c r="DJ58">
        <v>0.16055583735645482</v>
      </c>
      <c r="DK58">
        <v>11743379319.270815</v>
      </c>
      <c r="DL58">
        <v>0.18019470021128653</v>
      </c>
      <c r="DM58">
        <v>158000000</v>
      </c>
      <c r="DN58">
        <v>0.2574210003018379</v>
      </c>
      <c r="DO58">
        <v>1885468100</v>
      </c>
      <c r="DP58">
        <v>398435630</v>
      </c>
      <c r="DQ58">
        <v>2513</v>
      </c>
      <c r="DR58">
        <v>-0.60822745191474115</v>
      </c>
      <c r="DS58">
        <v>-1.2171925849254994</v>
      </c>
      <c r="DT58" s="12">
        <v>-2.3333333333333355E-2</v>
      </c>
      <c r="DU58">
        <v>-0.15666666666666673</v>
      </c>
      <c r="DV58">
        <v>-0.18000000000000008</v>
      </c>
      <c r="DW58">
        <v>-8.2395833333333339</v>
      </c>
      <c r="DX58">
        <v>0.2627816495413412</v>
      </c>
      <c r="DY58">
        <v>-8.0318122702026127</v>
      </c>
      <c r="DZ58">
        <v>1597</v>
      </c>
      <c r="EA58">
        <v>-8.0218701575776468</v>
      </c>
      <c r="EB58">
        <v>8</v>
      </c>
      <c r="EC58">
        <v>1.194731305636304E-2</v>
      </c>
      <c r="ED58">
        <v>8.997713989570022E-2</v>
      </c>
      <c r="EE58" s="15">
        <v>-1.02701</v>
      </c>
      <c r="EF58">
        <v>-1.0313099999999999</v>
      </c>
      <c r="EG58">
        <v>13.132781649541341</v>
      </c>
      <c r="EH58" t="s">
        <v>1168</v>
      </c>
      <c r="EI58">
        <v>0</v>
      </c>
      <c r="EJ58">
        <v>0</v>
      </c>
      <c r="EK58" s="14">
        <v>45470</v>
      </c>
      <c r="EL58" s="16">
        <v>-1.17</v>
      </c>
      <c r="EM58" s="16">
        <v>-6.14</v>
      </c>
      <c r="EN58" s="16">
        <v>0.34</v>
      </c>
      <c r="EO58" s="16">
        <v>5.77</v>
      </c>
      <c r="EP58" s="16">
        <v>-0.43</v>
      </c>
    </row>
    <row r="59" spans="1:146" ht="108" x14ac:dyDescent="0.25">
      <c r="A59" s="7"/>
      <c r="B59" s="7"/>
      <c r="C59" s="7" t="str">
        <f>""&amp;CHAR(10)&amp;Basic_Fundamental_Information_Constructure(F59)&amp;CHAR(10)&amp;Basic_Fundamental_Information_Concatenate("")</f>
        <v xml:space="preserve">
市值61.009488亿, 利润5208.30万; PE11.59; 平均PE18.63; 平均PEG1.7, PB1.16; ROIC9.5333%; ROE13.4267%; 股利率6.0484%; 毛利48.8067%; 净利32.76%; 上一年度营收增-38.45%, 利润增-88.82%; 当季营收增133.33%, 利润增1169.57%; 过往5年营收增10.98%, 利润增-5.37%
Income profile:
</v>
      </c>
      <c r="D59" t="s">
        <v>1000</v>
      </c>
      <c r="E59" t="s">
        <v>1001</v>
      </c>
      <c r="F59">
        <v>14.88</v>
      </c>
      <c r="G59">
        <v>-0.6</v>
      </c>
      <c r="H59" t="s">
        <v>2935</v>
      </c>
      <c r="I59">
        <v>6100948800</v>
      </c>
      <c r="J59">
        <v>11.59</v>
      </c>
      <c r="K59">
        <v>1.1599999999999999</v>
      </c>
      <c r="L59" t="s">
        <v>1747</v>
      </c>
      <c r="M59" t="s">
        <v>2936</v>
      </c>
      <c r="N59" t="s">
        <v>2481</v>
      </c>
      <c r="O59" t="s">
        <v>1654</v>
      </c>
      <c r="P59">
        <v>38.049999999999997</v>
      </c>
      <c r="Q59" t="s">
        <v>1504</v>
      </c>
      <c r="R59">
        <v>123993877</v>
      </c>
      <c r="S59" s="5">
        <v>0.1137</v>
      </c>
      <c r="T59" t="s">
        <v>2937</v>
      </c>
      <c r="U59">
        <v>98650831</v>
      </c>
      <c r="V59">
        <v>410010000</v>
      </c>
      <c r="W59">
        <v>1.67</v>
      </c>
      <c r="X59">
        <v>0.05</v>
      </c>
      <c r="Y59">
        <v>31.13</v>
      </c>
      <c r="Z59" t="s">
        <v>1266</v>
      </c>
      <c r="AA59" t="s">
        <v>537</v>
      </c>
      <c r="AB59" t="s">
        <v>28</v>
      </c>
      <c r="AC59" t="s">
        <v>2938</v>
      </c>
      <c r="AD59" t="s">
        <v>28</v>
      </c>
      <c r="AE59">
        <v>26979642</v>
      </c>
      <c r="AF59" t="s">
        <v>2939</v>
      </c>
      <c r="AG59" t="s">
        <v>2940</v>
      </c>
      <c r="AH59" t="s">
        <v>2941</v>
      </c>
      <c r="AI59" t="s">
        <v>1721</v>
      </c>
      <c r="AJ59" t="s">
        <v>2942</v>
      </c>
      <c r="AK59" t="s">
        <v>2943</v>
      </c>
      <c r="AL59" t="s">
        <v>2944</v>
      </c>
      <c r="AM59" t="s">
        <v>28</v>
      </c>
      <c r="AN59" t="s">
        <v>2945</v>
      </c>
      <c r="AO59" t="s">
        <v>28</v>
      </c>
      <c r="AP59" t="s">
        <v>28</v>
      </c>
      <c r="AQ59" t="s">
        <v>280</v>
      </c>
      <c r="AR59" t="s">
        <v>28</v>
      </c>
      <c r="AS59" t="s">
        <v>1636</v>
      </c>
      <c r="AT59" t="s">
        <v>2946</v>
      </c>
      <c r="AU59" t="s">
        <v>459</v>
      </c>
      <c r="AV59" t="s">
        <v>2947</v>
      </c>
      <c r="AW59" t="s">
        <v>2948</v>
      </c>
      <c r="AX59" t="s">
        <v>1378</v>
      </c>
      <c r="AY59" t="s">
        <v>1379</v>
      </c>
      <c r="AZ59" t="s">
        <v>850</v>
      </c>
      <c r="BA59" t="s">
        <v>837</v>
      </c>
      <c r="BB59" t="s">
        <v>975</v>
      </c>
      <c r="BC59" t="s">
        <v>1206</v>
      </c>
      <c r="BD59" t="s">
        <v>1370</v>
      </c>
      <c r="BE59" t="s">
        <v>535</v>
      </c>
      <c r="BF59" t="s">
        <v>956</v>
      </c>
      <c r="BG59" t="s">
        <v>656</v>
      </c>
      <c r="BH59" t="s">
        <v>2949</v>
      </c>
      <c r="BI59" t="s">
        <v>171</v>
      </c>
      <c r="BJ59" t="s">
        <v>1378</v>
      </c>
      <c r="BK59" t="s">
        <v>1222</v>
      </c>
      <c r="BL59" t="s">
        <v>2950</v>
      </c>
      <c r="BM59" t="s">
        <v>1206</v>
      </c>
      <c r="BN59">
        <v>7.05</v>
      </c>
      <c r="BO59">
        <v>10.039999999999999</v>
      </c>
      <c r="BP59">
        <v>11.51</v>
      </c>
      <c r="BQ59">
        <v>8.01</v>
      </c>
      <c r="BR59">
        <v>11.51</v>
      </c>
      <c r="BS59">
        <v>20.76</v>
      </c>
      <c r="BT59" t="s">
        <v>1380</v>
      </c>
      <c r="BU59" t="s">
        <v>1061</v>
      </c>
      <c r="BV59">
        <v>51.73</v>
      </c>
      <c r="BW59">
        <v>56.56</v>
      </c>
      <c r="BX59">
        <v>38.130000000000003</v>
      </c>
      <c r="BY59">
        <v>35.14</v>
      </c>
      <c r="BZ59">
        <v>37.4</v>
      </c>
      <c r="CA59">
        <v>25.74</v>
      </c>
      <c r="CB59">
        <v>-0.47</v>
      </c>
      <c r="CC59">
        <v>-5.64</v>
      </c>
      <c r="CD59" t="s">
        <v>2951</v>
      </c>
      <c r="CE59" t="s">
        <v>2952</v>
      </c>
      <c r="CF59" s="10">
        <v>1.3333333333333333</v>
      </c>
      <c r="CG59" s="11">
        <v>11.695705465566318</v>
      </c>
      <c r="CH59" s="10">
        <v>-0.38446852564811707</v>
      </c>
      <c r="CI59" s="10">
        <v>-0.24434824287891388</v>
      </c>
      <c r="CJ59" s="10">
        <v>0.88828355073928833</v>
      </c>
      <c r="CK59" s="10">
        <v>0.10542162507772446</v>
      </c>
      <c r="CL59" s="10">
        <v>0.18430440127849579</v>
      </c>
      <c r="CM59" s="11">
        <v>-0.88823390007019043</v>
      </c>
      <c r="CN59" s="11">
        <v>4.2505592107772827E-2</v>
      </c>
      <c r="CO59" s="11">
        <v>7.7108435332775116E-2</v>
      </c>
      <c r="CP59" s="11">
        <v>0.30094042420387268</v>
      </c>
      <c r="CQ59" s="11">
        <v>0.19924812018871307</v>
      </c>
      <c r="CR59">
        <v>18.628064463434878</v>
      </c>
      <c r="CS59">
        <v>1.6959494163798929</v>
      </c>
      <c r="CT59">
        <v>6.0483870967741931</v>
      </c>
      <c r="CU59" s="10">
        <v>0.10983856171369552</v>
      </c>
      <c r="CV59" s="11">
        <v>-5.3686265647411344E-2</v>
      </c>
      <c r="CW59">
        <v>0.06</v>
      </c>
      <c r="CX59">
        <v>75.936385938055722</v>
      </c>
      <c r="CY59">
        <v>54531813.028051324</v>
      </c>
      <c r="CZ59">
        <v>0.10983856171369552</v>
      </c>
      <c r="DA59">
        <v>24.402840662211201</v>
      </c>
      <c r="DB59">
        <v>169691260.83802322</v>
      </c>
      <c r="DC59">
        <v>0.10434663362801073</v>
      </c>
      <c r="DD59">
        <v>11.744706832151042</v>
      </c>
      <c r="DE59">
        <v>352580005.5446412</v>
      </c>
      <c r="DF59">
        <v>9.6657934308052057E-2</v>
      </c>
      <c r="DG59">
        <v>6.873924202156914</v>
      </c>
      <c r="DH59">
        <v>602414091.02251148</v>
      </c>
      <c r="DI59">
        <v>8.7870849370956419E-2</v>
      </c>
      <c r="DJ59">
        <v>3.3534889193175546</v>
      </c>
      <c r="DK59">
        <v>1234818095.311523</v>
      </c>
      <c r="DL59">
        <v>7.6886993199586862E-2</v>
      </c>
      <c r="DM59">
        <v>52083000</v>
      </c>
      <c r="DN59">
        <v>0.10983856171369552</v>
      </c>
      <c r="DO59">
        <v>4140948800</v>
      </c>
      <c r="DP59">
        <v>1983568900</v>
      </c>
      <c r="DQ59">
        <v>2550</v>
      </c>
      <c r="DR59">
        <v>1.2234947716196378</v>
      </c>
      <c r="DS59">
        <v>11.749391731213729</v>
      </c>
      <c r="DT59" s="12">
        <v>-0.38999999999999996</v>
      </c>
      <c r="DU59">
        <v>-0.1166666666666667</v>
      </c>
      <c r="DV59">
        <v>-0.5066666666666666</v>
      </c>
      <c r="DW59">
        <v>-1.0564</v>
      </c>
      <c r="DX59">
        <v>0.23955001036607493</v>
      </c>
      <c r="DY59">
        <v>-1.0056146205846466</v>
      </c>
      <c r="DZ59">
        <v>2903</v>
      </c>
      <c r="EA59">
        <v>-1.0024249447417446</v>
      </c>
      <c r="EB59">
        <v>1</v>
      </c>
      <c r="EC59">
        <v>1.428770029999268E-2</v>
      </c>
      <c r="ED59">
        <v>0.14352284090631937</v>
      </c>
      <c r="EE59" s="15">
        <v>5.67E-2</v>
      </c>
      <c r="EF59">
        <v>4.5699999999999998E-2</v>
      </c>
      <c r="EG59">
        <v>14.099550010366075</v>
      </c>
      <c r="EH59" t="s">
        <v>1161</v>
      </c>
      <c r="EI59">
        <v>0</v>
      </c>
      <c r="EJ59">
        <v>0</v>
      </c>
      <c r="EK59" s="14">
        <v>45470</v>
      </c>
      <c r="EL59" s="16">
        <v>0.16</v>
      </c>
      <c r="EM59" s="16">
        <v>-3.71</v>
      </c>
      <c r="EN59" s="16">
        <v>-0.28999999999999998</v>
      </c>
      <c r="EO59" s="16">
        <v>2.2000000000000002</v>
      </c>
      <c r="EP59" s="16">
        <v>-1.1000000000000001</v>
      </c>
    </row>
    <row r="60" spans="1:146" ht="108" x14ac:dyDescent="0.25">
      <c r="A60" s="7"/>
      <c r="B60" s="7"/>
      <c r="C60" s="7" t="str">
        <f>""&amp;CHAR(10)&amp;Basic_Fundamental_Information_Constructure(F60)&amp;CHAR(10)&amp;Basic_Fundamental_Information_Concatenate("")</f>
        <v xml:space="preserve">
市值46.842748亿, 利润5574.50万; PE16.49; 平均PE40.72; 平均PEG1.35, PB1.97; ROIC8.52%; ROE13.6067%; 股利率2.1277%; 毛利31.99%; 净利17.2%; 上一年度营收增-47.01%, 利润增-72.4%; 当季营收增181.27%, 利润增2920.76%; 过往5年营收增30.26%, 利润增34.04%
Income profile:
</v>
      </c>
      <c r="D60" t="s">
        <v>1002</v>
      </c>
      <c r="E60" t="s">
        <v>1003</v>
      </c>
      <c r="F60">
        <v>7.99</v>
      </c>
      <c r="G60">
        <v>-1.36</v>
      </c>
      <c r="H60" t="s">
        <v>2953</v>
      </c>
      <c r="I60">
        <v>4684274800</v>
      </c>
      <c r="J60">
        <v>16.489999999999998</v>
      </c>
      <c r="K60">
        <v>1.97</v>
      </c>
      <c r="L60" t="s">
        <v>1747</v>
      </c>
      <c r="M60" t="s">
        <v>2954</v>
      </c>
      <c r="N60" t="s">
        <v>2955</v>
      </c>
      <c r="O60" t="s">
        <v>613</v>
      </c>
      <c r="P60">
        <v>-7.86</v>
      </c>
      <c r="Q60" t="s">
        <v>1209</v>
      </c>
      <c r="R60">
        <v>26634001</v>
      </c>
      <c r="S60" s="5">
        <v>5.2400000000000002E-2</v>
      </c>
      <c r="T60" t="s">
        <v>2956</v>
      </c>
      <c r="U60">
        <v>343488500</v>
      </c>
      <c r="V60">
        <v>586267190</v>
      </c>
      <c r="W60">
        <v>2.19</v>
      </c>
      <c r="X60">
        <v>0.04</v>
      </c>
      <c r="Y60">
        <v>11.13</v>
      </c>
      <c r="Z60" t="s">
        <v>191</v>
      </c>
      <c r="AA60" t="s">
        <v>250</v>
      </c>
      <c r="AB60" t="s">
        <v>2957</v>
      </c>
      <c r="AC60" t="s">
        <v>2958</v>
      </c>
      <c r="AD60" t="s">
        <v>28</v>
      </c>
      <c r="AE60">
        <v>10201698</v>
      </c>
      <c r="AF60" t="s">
        <v>2959</v>
      </c>
      <c r="AG60">
        <v>1600</v>
      </c>
      <c r="AH60" t="s">
        <v>2960</v>
      </c>
      <c r="AI60" t="s">
        <v>1716</v>
      </c>
      <c r="AJ60" t="s">
        <v>2961</v>
      </c>
      <c r="AK60" t="s">
        <v>2962</v>
      </c>
      <c r="AL60" t="s">
        <v>2963</v>
      </c>
      <c r="AM60" t="s">
        <v>28</v>
      </c>
      <c r="AN60" t="s">
        <v>2964</v>
      </c>
      <c r="AO60" t="s">
        <v>28</v>
      </c>
      <c r="AP60" t="s">
        <v>28</v>
      </c>
      <c r="AQ60" t="s">
        <v>1489</v>
      </c>
      <c r="AR60" t="s">
        <v>28</v>
      </c>
      <c r="AS60" t="s">
        <v>2877</v>
      </c>
      <c r="AT60" t="s">
        <v>2965</v>
      </c>
      <c r="AU60" t="s">
        <v>2966</v>
      </c>
      <c r="AV60" t="s">
        <v>2967</v>
      </c>
      <c r="AW60" t="s">
        <v>2968</v>
      </c>
      <c r="AX60" t="s">
        <v>1381</v>
      </c>
      <c r="AY60" t="s">
        <v>987</v>
      </c>
      <c r="AZ60" t="s">
        <v>617</v>
      </c>
      <c r="BA60" t="s">
        <v>980</v>
      </c>
      <c r="BB60" t="s">
        <v>300</v>
      </c>
      <c r="BC60" t="s">
        <v>59</v>
      </c>
      <c r="BD60" t="s">
        <v>89</v>
      </c>
      <c r="BE60" t="s">
        <v>414</v>
      </c>
      <c r="BF60" t="s">
        <v>1004</v>
      </c>
      <c r="BG60" t="s">
        <v>1005</v>
      </c>
      <c r="BH60" t="s">
        <v>2969</v>
      </c>
      <c r="BI60" t="s">
        <v>2970</v>
      </c>
      <c r="BJ60" t="s">
        <v>1381</v>
      </c>
      <c r="BK60" t="s">
        <v>75</v>
      </c>
      <c r="BL60" t="s">
        <v>2971</v>
      </c>
      <c r="BM60" t="s">
        <v>59</v>
      </c>
      <c r="BN60">
        <v>5.42</v>
      </c>
      <c r="BO60">
        <v>8.7799999999999994</v>
      </c>
      <c r="BP60">
        <v>11.36</v>
      </c>
      <c r="BQ60">
        <v>7.84</v>
      </c>
      <c r="BR60">
        <v>9.98</v>
      </c>
      <c r="BS60">
        <v>23</v>
      </c>
      <c r="BT60" t="s">
        <v>2972</v>
      </c>
      <c r="BU60" t="s">
        <v>1159</v>
      </c>
      <c r="BV60">
        <v>29.48</v>
      </c>
      <c r="BW60">
        <v>28.68</v>
      </c>
      <c r="BX60">
        <v>37.81</v>
      </c>
      <c r="BY60">
        <v>14.58</v>
      </c>
      <c r="BZ60">
        <v>15.95</v>
      </c>
      <c r="CA60">
        <v>21.07</v>
      </c>
      <c r="CB60">
        <v>-3.98</v>
      </c>
      <c r="CC60">
        <v>10.64</v>
      </c>
      <c r="CD60" t="s">
        <v>2973</v>
      </c>
      <c r="CE60" t="s">
        <v>511</v>
      </c>
      <c r="CF60" s="10">
        <v>1.812721371589431</v>
      </c>
      <c r="CG60" s="11">
        <v>29.207554723828967</v>
      </c>
      <c r="CH60" s="10">
        <v>-0.47012579441070557</v>
      </c>
      <c r="CI60" s="10">
        <v>0.67368423938751221</v>
      </c>
      <c r="CJ60" s="10">
        <v>0.38181817531585693</v>
      </c>
      <c r="CK60" s="10">
        <v>0.21951219439506531</v>
      </c>
      <c r="CL60" s="10">
        <v>0.70833331346511841</v>
      </c>
      <c r="CM60" s="11">
        <v>-0.72403466701507568</v>
      </c>
      <c r="CN60" s="11">
        <v>0.26249998807907104</v>
      </c>
      <c r="CO60" s="11">
        <v>0.10344827920198441</v>
      </c>
      <c r="CP60" s="11">
        <v>0.60045391321182251</v>
      </c>
      <c r="CQ60" s="11">
        <v>1.4595112800598145</v>
      </c>
      <c r="CR60">
        <v>40.722165763569706</v>
      </c>
      <c r="CS60">
        <v>1.345544880885341</v>
      </c>
      <c r="CT60">
        <v>2.1276595744680851</v>
      </c>
      <c r="CU60" s="10">
        <v>0.30264442563056948</v>
      </c>
      <c r="CV60" s="11">
        <v>0.34037575870752335</v>
      </c>
      <c r="CW60">
        <v>0.06</v>
      </c>
      <c r="CX60">
        <v>74.786242102335351</v>
      </c>
      <c r="CY60">
        <v>68505578.779977441</v>
      </c>
      <c r="CZ60">
        <v>0.30264442563056948</v>
      </c>
      <c r="DA60">
        <v>20.505642104407286</v>
      </c>
      <c r="DB60">
        <v>249847079.83852172</v>
      </c>
      <c r="DC60">
        <v>0.28751220434904101</v>
      </c>
      <c r="DD60">
        <v>7.8525147602144818</v>
      </c>
      <c r="DE60">
        <v>652437461.93990779</v>
      </c>
      <c r="DF60">
        <v>0.26632709455490117</v>
      </c>
      <c r="DG60">
        <v>3.4714992959716531</v>
      </c>
      <c r="DH60">
        <v>1475810410.2008824</v>
      </c>
      <c r="DI60">
        <v>0.24211554050445561</v>
      </c>
      <c r="DJ60">
        <v>0.84989609626844875</v>
      </c>
      <c r="DK60">
        <v>6028118993.0089512</v>
      </c>
      <c r="DL60">
        <v>0.21185109794139861</v>
      </c>
      <c r="DM60">
        <v>55745000</v>
      </c>
      <c r="DN60">
        <v>0.30264442563056948</v>
      </c>
      <c r="DO60">
        <v>5123274800</v>
      </c>
      <c r="DP60">
        <v>1729695600</v>
      </c>
      <c r="DQ60">
        <v>2566</v>
      </c>
      <c r="DR60">
        <v>1.5100769459588617</v>
      </c>
      <c r="DS60">
        <v>28.867178965121443</v>
      </c>
      <c r="DT60" s="12">
        <v>0.14333333333333331</v>
      </c>
      <c r="DU60">
        <v>0.46999999999999992</v>
      </c>
      <c r="DV60">
        <v>0.61333333333333329</v>
      </c>
      <c r="DW60">
        <v>-6.2722298221614228</v>
      </c>
      <c r="DX60">
        <v>0.47296111111111172</v>
      </c>
      <c r="DY60">
        <v>-6.0307513831889343</v>
      </c>
      <c r="DZ60">
        <v>2533</v>
      </c>
      <c r="EA60">
        <v>-6.0155080850250258</v>
      </c>
      <c r="EB60">
        <v>6</v>
      </c>
      <c r="EC60">
        <v>3.1213924831781904E-2</v>
      </c>
      <c r="ED60">
        <v>0.27632452022430248</v>
      </c>
      <c r="EE60" s="15">
        <v>-2.0958999999999999</v>
      </c>
      <c r="EF60">
        <v>-2.0823999999999998</v>
      </c>
      <c r="EG60">
        <v>36.112961111111112</v>
      </c>
      <c r="EH60" t="s">
        <v>1553</v>
      </c>
      <c r="EI60">
        <v>0</v>
      </c>
      <c r="EJ60">
        <v>0</v>
      </c>
      <c r="EK60" s="14">
        <v>45470</v>
      </c>
      <c r="EL60" s="16">
        <v>0.56000000000000005</v>
      </c>
      <c r="EM60" s="16">
        <v>-5.15</v>
      </c>
      <c r="EN60" s="16">
        <v>0.12</v>
      </c>
      <c r="EO60" s="16">
        <v>4.72</v>
      </c>
      <c r="EP60" s="16">
        <v>-1.35</v>
      </c>
    </row>
    <row r="61" spans="1:146" ht="108" x14ac:dyDescent="0.25">
      <c r="A61" s="7"/>
      <c r="B61" s="7"/>
      <c r="C61" s="7" t="str">
        <f>""&amp;CHAR(10)&amp;Basic_Fundamental_Information_Constructure(F61)&amp;CHAR(10)&amp;Basic_Fundamental_Information_Concatenate("")</f>
        <v xml:space="preserve">
市值19.280267亿, 利润2.48亿; PE37.3; 平均PE12.56; 平均PEG.09, PB1.09; ROIC11.0833%; ROE11.9267%; 股利率2.3565%; 毛利38.35%; 净利15.5733%; 上一年度营收增564.15%, 利润增131.78%; 当季营收增-87.09%, 利润增-68.72%; 过往5年营收增137.1%, 利润增40.4%
Income profile:
</v>
      </c>
      <c r="D61" t="s">
        <v>1006</v>
      </c>
      <c r="E61" t="s">
        <v>1007</v>
      </c>
      <c r="F61">
        <v>16.55</v>
      </c>
      <c r="G61">
        <v>0.98</v>
      </c>
      <c r="H61" t="s">
        <v>2974</v>
      </c>
      <c r="I61">
        <v>1928026700</v>
      </c>
      <c r="J61">
        <v>37.299999999999997</v>
      </c>
      <c r="K61">
        <v>1.0900000000000001</v>
      </c>
      <c r="L61" t="s">
        <v>1747</v>
      </c>
      <c r="M61" t="s">
        <v>1224</v>
      </c>
      <c r="N61" t="s">
        <v>2975</v>
      </c>
      <c r="O61" t="s">
        <v>94</v>
      </c>
      <c r="P61">
        <v>-19.96</v>
      </c>
      <c r="Q61" t="s">
        <v>2976</v>
      </c>
      <c r="R61">
        <v>12792694</v>
      </c>
      <c r="S61" s="5">
        <v>-0.33279999999999998</v>
      </c>
      <c r="T61" t="s">
        <v>240</v>
      </c>
      <c r="U61">
        <v>38489080</v>
      </c>
      <c r="V61">
        <v>116497080</v>
      </c>
      <c r="W61">
        <v>1.24</v>
      </c>
      <c r="X61">
        <v>0.05</v>
      </c>
      <c r="Y61">
        <v>10.85</v>
      </c>
      <c r="Z61" t="s">
        <v>2977</v>
      </c>
      <c r="AA61" t="s">
        <v>2978</v>
      </c>
      <c r="AB61" t="s">
        <v>2979</v>
      </c>
      <c r="AC61" t="s">
        <v>2980</v>
      </c>
      <c r="AD61" t="s">
        <v>28</v>
      </c>
      <c r="AE61">
        <v>66309</v>
      </c>
      <c r="AF61" t="s">
        <v>2981</v>
      </c>
      <c r="AG61" t="s">
        <v>2982</v>
      </c>
      <c r="AH61" t="s">
        <v>2983</v>
      </c>
      <c r="AI61" t="s">
        <v>1503</v>
      </c>
      <c r="AJ61" t="s">
        <v>2984</v>
      </c>
      <c r="AK61" t="s">
        <v>2985</v>
      </c>
      <c r="AL61" t="s">
        <v>2986</v>
      </c>
      <c r="AM61" t="s">
        <v>28</v>
      </c>
      <c r="AN61" t="s">
        <v>142</v>
      </c>
      <c r="AO61" t="s">
        <v>2987</v>
      </c>
      <c r="AP61" t="s">
        <v>2988</v>
      </c>
      <c r="AQ61" t="s">
        <v>660</v>
      </c>
      <c r="AR61" t="s">
        <v>28</v>
      </c>
      <c r="AS61" t="s">
        <v>102</v>
      </c>
      <c r="AT61" t="s">
        <v>365</v>
      </c>
      <c r="AU61" t="s">
        <v>2989</v>
      </c>
      <c r="AV61" t="s">
        <v>2990</v>
      </c>
      <c r="AW61" t="s">
        <v>2991</v>
      </c>
      <c r="AX61" t="s">
        <v>1382</v>
      </c>
      <c r="AY61" t="s">
        <v>577</v>
      </c>
      <c r="AZ61" t="s">
        <v>851</v>
      </c>
      <c r="BA61" t="s">
        <v>601</v>
      </c>
      <c r="BB61" t="s">
        <v>284</v>
      </c>
      <c r="BC61" t="s">
        <v>94</v>
      </c>
      <c r="BD61" t="s">
        <v>323</v>
      </c>
      <c r="BE61" t="s">
        <v>136</v>
      </c>
      <c r="BF61" t="s">
        <v>285</v>
      </c>
      <c r="BG61" t="s">
        <v>1008</v>
      </c>
      <c r="BH61" t="s">
        <v>645</v>
      </c>
      <c r="BI61" t="s">
        <v>521</v>
      </c>
      <c r="BJ61" t="s">
        <v>1382</v>
      </c>
      <c r="BK61" t="s">
        <v>2992</v>
      </c>
      <c r="BL61" t="s">
        <v>2993</v>
      </c>
      <c r="BM61" t="s">
        <v>94</v>
      </c>
      <c r="BN61">
        <v>3.02</v>
      </c>
      <c r="BO61">
        <v>7.82</v>
      </c>
      <c r="BP61">
        <v>22.41</v>
      </c>
      <c r="BQ61">
        <v>3.28</v>
      </c>
      <c r="BR61">
        <v>7.78</v>
      </c>
      <c r="BS61">
        <v>24.72</v>
      </c>
      <c r="BT61" t="s">
        <v>1315</v>
      </c>
      <c r="BU61" t="s">
        <v>1159</v>
      </c>
      <c r="BV61">
        <v>39.340000000000003</v>
      </c>
      <c r="BW61">
        <v>32.479999999999997</v>
      </c>
      <c r="BX61">
        <v>43.23</v>
      </c>
      <c r="BY61">
        <v>10.4</v>
      </c>
      <c r="BZ61">
        <v>14.18</v>
      </c>
      <c r="CA61">
        <v>22.14</v>
      </c>
      <c r="CB61">
        <v>-6.5</v>
      </c>
      <c r="CC61">
        <v>-7.07</v>
      </c>
      <c r="CD61" t="s">
        <v>2994</v>
      </c>
      <c r="CE61" t="s">
        <v>2995</v>
      </c>
      <c r="CF61" s="10">
        <v>-0.87092882991556086</v>
      </c>
      <c r="CG61" s="11">
        <v>-0.6871574741146147</v>
      </c>
      <c r="CH61" s="10">
        <v>5.6415348052978516</v>
      </c>
      <c r="CI61" s="10">
        <v>0.11999999731779099</v>
      </c>
      <c r="CJ61" s="10">
        <v>0.12876254320144653</v>
      </c>
      <c r="CK61" s="10">
        <v>3.81944440305233E-2</v>
      </c>
      <c r="CL61" s="10">
        <v>0.9264214038848877</v>
      </c>
      <c r="CM61" s="11">
        <v>1.3177570104598999</v>
      </c>
      <c r="CN61" s="11">
        <v>-0.28187918663024902</v>
      </c>
      <c r="CO61" s="11">
        <v>1.3605441898107529E-2</v>
      </c>
      <c r="CP61" s="11">
        <v>-0.20540539920330048</v>
      </c>
      <c r="CQ61" s="11">
        <v>1.1759841442108154</v>
      </c>
      <c r="CR61">
        <v>12.560175414405132</v>
      </c>
      <c r="CS61">
        <v>9.1614401666595846E-2</v>
      </c>
      <c r="CT61">
        <v>2.3564954682779455</v>
      </c>
      <c r="CU61" s="10">
        <v>1.3709826387465001</v>
      </c>
      <c r="CV61" s="11">
        <v>0.40401240214705469</v>
      </c>
      <c r="CW61">
        <v>0.06</v>
      </c>
      <c r="CX61">
        <v>1.0852794090711566</v>
      </c>
      <c r="CY61">
        <v>554720466.42370939</v>
      </c>
      <c r="CZ61">
        <v>1.3709826387465001</v>
      </c>
      <c r="DA61">
        <v>0.14164369133275659</v>
      </c>
      <c r="DB61">
        <v>4250289542.2690444</v>
      </c>
      <c r="DC61">
        <v>1.302433506809175</v>
      </c>
      <c r="DD61">
        <v>1.5698308259337036E-2</v>
      </c>
      <c r="DE61">
        <v>38349782030.93486</v>
      </c>
      <c r="DF61">
        <v>1.20646472209692</v>
      </c>
      <c r="DG61">
        <v>1.3100569947173868E-3</v>
      </c>
      <c r="DH61">
        <v>459542372910.17444</v>
      </c>
      <c r="DI61">
        <v>1.0967861109972001</v>
      </c>
      <c r="DJ61">
        <v>5.1221269760417164E-6</v>
      </c>
      <c r="DK61">
        <v>117534513067701.17</v>
      </c>
      <c r="DL61">
        <v>0.95968784712254995</v>
      </c>
      <c r="DM61">
        <v>248000000</v>
      </c>
      <c r="DN61">
        <v>1.3709826387465001</v>
      </c>
      <c r="DO61">
        <v>602026699.99999976</v>
      </c>
      <c r="DP61">
        <v>1516929700</v>
      </c>
      <c r="DQ61">
        <v>2579</v>
      </c>
      <c r="DR61">
        <v>-2.2419114686620611</v>
      </c>
      <c r="DS61">
        <v>-1.0911698762616693</v>
      </c>
      <c r="DT61" s="12">
        <v>5.9999999999999977E-2</v>
      </c>
      <c r="DU61">
        <v>-0.17333333333333334</v>
      </c>
      <c r="DV61">
        <v>-0.11333333333333337</v>
      </c>
      <c r="DW61">
        <v>-9.9193776520509189</v>
      </c>
      <c r="DX61">
        <v>0.28466112183771408</v>
      </c>
      <c r="DY61">
        <v>-9.1421919790587189</v>
      </c>
      <c r="DZ61">
        <v>2676</v>
      </c>
      <c r="EA61">
        <v>-9.0677290170311</v>
      </c>
      <c r="EB61">
        <v>9</v>
      </c>
      <c r="EC61">
        <v>6.4358694655694368E-2</v>
      </c>
      <c r="ED61">
        <v>0.4161271681659317</v>
      </c>
      <c r="EE61" s="15">
        <v>-3.0396999999999998</v>
      </c>
      <c r="EF61">
        <v>-3.0514000000000001</v>
      </c>
      <c r="EG61">
        <v>13.154661121837714</v>
      </c>
      <c r="EH61" t="s">
        <v>1551</v>
      </c>
      <c r="EI61">
        <v>0</v>
      </c>
      <c r="EJ61">
        <v>0</v>
      </c>
      <c r="EK61" s="14">
        <v>45470</v>
      </c>
      <c r="EL61" s="16">
        <v>0.44</v>
      </c>
      <c r="EM61" s="16">
        <v>-2.87</v>
      </c>
      <c r="EN61" s="16">
        <v>2.75</v>
      </c>
      <c r="EO61" s="16">
        <v>2.61</v>
      </c>
      <c r="EP61" s="16">
        <v>1.17</v>
      </c>
    </row>
    <row r="62" spans="1:146" ht="108" x14ac:dyDescent="0.25">
      <c r="A62" s="7"/>
      <c r="B62" s="7"/>
      <c r="C62" s="7" t="str">
        <f>""&amp;CHAR(10)&amp;Basic_Fundamental_Information_Constructure(F62)&amp;CHAR(10)&amp;Basic_Fundamental_Information_Concatenate("")</f>
        <v xml:space="preserve">
市值65.351472亿, 利润-3295.59万; PE23.2; 平均PE60.56; 平均PEG2.28, PB1.88; ROIC6.3733%; ROE8.84%; 股利率2.2523%; 毛利32.28%; 净利16.9633%; 上一年度营收增-20.04%, 利润增-115.55%; 当季营收增22.37%, 利润增2711.38%; 过往5年营收增26.6%, 利润增4.2%
Income profile:
</v>
      </c>
      <c r="D62" t="s">
        <v>1185</v>
      </c>
      <c r="E62" t="s">
        <v>1186</v>
      </c>
      <c r="F62">
        <v>4.4400000000000004</v>
      </c>
      <c r="G62">
        <v>1.1399999999999999</v>
      </c>
      <c r="H62" t="s">
        <v>2996</v>
      </c>
      <c r="I62">
        <v>6535147200</v>
      </c>
      <c r="J62">
        <v>23.2</v>
      </c>
      <c r="K62">
        <v>1.88</v>
      </c>
      <c r="L62" t="s">
        <v>1747</v>
      </c>
      <c r="M62" t="s">
        <v>2997</v>
      </c>
      <c r="N62" t="s">
        <v>1556</v>
      </c>
      <c r="O62" t="s">
        <v>745</v>
      </c>
      <c r="P62">
        <v>15.97</v>
      </c>
      <c r="Q62" t="s">
        <v>1178</v>
      </c>
      <c r="R62">
        <v>72518090</v>
      </c>
      <c r="S62" s="5">
        <v>0.1983</v>
      </c>
      <c r="T62" t="s">
        <v>2998</v>
      </c>
      <c r="U62">
        <v>621880000</v>
      </c>
      <c r="V62">
        <v>1471880000</v>
      </c>
      <c r="W62">
        <v>1.98</v>
      </c>
      <c r="X62">
        <v>0.05</v>
      </c>
      <c r="Y62">
        <v>23.05</v>
      </c>
      <c r="Z62" t="s">
        <v>204</v>
      </c>
      <c r="AA62" t="s">
        <v>366</v>
      </c>
      <c r="AB62" t="s">
        <v>2999</v>
      </c>
      <c r="AC62" t="s">
        <v>3000</v>
      </c>
      <c r="AD62" t="s">
        <v>28</v>
      </c>
      <c r="AE62">
        <v>16463342</v>
      </c>
      <c r="AF62" t="s">
        <v>67</v>
      </c>
      <c r="AG62" t="s">
        <v>3001</v>
      </c>
      <c r="AH62" t="s">
        <v>3002</v>
      </c>
      <c r="AI62" t="s">
        <v>1682</v>
      </c>
      <c r="AJ62" t="s">
        <v>3003</v>
      </c>
      <c r="AK62" t="s">
        <v>3004</v>
      </c>
      <c r="AL62" t="s">
        <v>3005</v>
      </c>
      <c r="AM62" t="s">
        <v>28</v>
      </c>
      <c r="AN62" t="s">
        <v>241</v>
      </c>
      <c r="AO62" t="s">
        <v>3006</v>
      </c>
      <c r="AP62" t="s">
        <v>28</v>
      </c>
      <c r="AQ62" t="s">
        <v>649</v>
      </c>
      <c r="AR62" t="s">
        <v>28</v>
      </c>
      <c r="AS62" t="s">
        <v>1587</v>
      </c>
      <c r="AT62" t="s">
        <v>3007</v>
      </c>
      <c r="AU62" t="s">
        <v>3008</v>
      </c>
      <c r="AV62" t="s">
        <v>597</v>
      </c>
      <c r="AW62" t="s">
        <v>750</v>
      </c>
      <c r="AX62" t="s">
        <v>1383</v>
      </c>
      <c r="AY62" t="s">
        <v>1349</v>
      </c>
      <c r="AZ62" t="s">
        <v>507</v>
      </c>
      <c r="BA62" t="s">
        <v>746</v>
      </c>
      <c r="BB62" t="s">
        <v>80</v>
      </c>
      <c r="BC62" t="s">
        <v>162</v>
      </c>
      <c r="BD62" t="s">
        <v>133</v>
      </c>
      <c r="BE62" t="s">
        <v>93</v>
      </c>
      <c r="BF62" t="s">
        <v>1187</v>
      </c>
      <c r="BG62" t="s">
        <v>1188</v>
      </c>
      <c r="BH62" t="s">
        <v>3009</v>
      </c>
      <c r="BI62" t="s">
        <v>102</v>
      </c>
      <c r="BJ62" t="s">
        <v>1383</v>
      </c>
      <c r="BK62" t="s">
        <v>652</v>
      </c>
      <c r="BL62" t="s">
        <v>3010</v>
      </c>
      <c r="BM62" t="s">
        <v>162</v>
      </c>
      <c r="BN62">
        <v>5.0199999999999996</v>
      </c>
      <c r="BO62">
        <v>6.66</v>
      </c>
      <c r="BP62">
        <v>7.44</v>
      </c>
      <c r="BQ62">
        <v>6.3</v>
      </c>
      <c r="BR62">
        <v>9.16</v>
      </c>
      <c r="BS62">
        <v>11.06</v>
      </c>
      <c r="BT62" t="s">
        <v>1245</v>
      </c>
      <c r="BU62" t="s">
        <v>1061</v>
      </c>
      <c r="BV62">
        <v>39.83</v>
      </c>
      <c r="BW62">
        <v>28.94</v>
      </c>
      <c r="BX62">
        <v>28.07</v>
      </c>
      <c r="BY62">
        <v>22.13</v>
      </c>
      <c r="BZ62">
        <v>15.67</v>
      </c>
      <c r="CA62">
        <v>13.09</v>
      </c>
      <c r="CB62">
        <v>1.1399999999999999</v>
      </c>
      <c r="CC62">
        <v>-7.5</v>
      </c>
      <c r="CD62" t="s">
        <v>3011</v>
      </c>
      <c r="CE62" t="s">
        <v>716</v>
      </c>
      <c r="CF62" s="10">
        <v>0.22372881355932203</v>
      </c>
      <c r="CG62" s="11">
        <v>27.113824270795824</v>
      </c>
      <c r="CH62" s="10">
        <v>-0.20037570595741272</v>
      </c>
      <c r="CI62" s="10">
        <v>5.3430035710334778E-2</v>
      </c>
      <c r="CJ62" s="10">
        <v>1.2099125385284424</v>
      </c>
      <c r="CK62" s="10">
        <v>0.13576158881187439</v>
      </c>
      <c r="CL62" s="10">
        <v>0.13108614087104797</v>
      </c>
      <c r="CM62" s="11">
        <v>-1.1554523706436157</v>
      </c>
      <c r="CN62" s="11">
        <v>0.22543352842330933</v>
      </c>
      <c r="CO62" s="11">
        <v>0.30075186491012573</v>
      </c>
      <c r="CP62" s="11">
        <v>0.38048282265663147</v>
      </c>
      <c r="CQ62" s="11">
        <v>0.45861467719078064</v>
      </c>
      <c r="CR62">
        <v>60.563119605373984</v>
      </c>
      <c r="CS62">
        <v>2.2771264392075978</v>
      </c>
      <c r="CT62">
        <v>2.2522522522522519</v>
      </c>
      <c r="CU62" s="10">
        <v>0.26596291959285734</v>
      </c>
      <c r="CV62" s="11">
        <v>4.196610450744629E-2</v>
      </c>
      <c r="CW62">
        <v>0.06</v>
      </c>
      <c r="CX62" t="e">
        <v>#VALUE!</v>
      </c>
      <c r="CY62" t="s">
        <v>1158</v>
      </c>
      <c r="CZ62">
        <v>0.26596291959285734</v>
      </c>
      <c r="DA62" t="e">
        <v>#VALUE!</v>
      </c>
      <c r="DB62" t="s">
        <v>1158</v>
      </c>
      <c r="DC62">
        <v>0.25266477361321443</v>
      </c>
      <c r="DD62" t="e">
        <v>#VALUE!</v>
      </c>
      <c r="DE62" t="s">
        <v>1158</v>
      </c>
      <c r="DF62">
        <v>0.23404736924171446</v>
      </c>
      <c r="DG62" t="e">
        <v>#VALUE!</v>
      </c>
      <c r="DH62" t="s">
        <v>1158</v>
      </c>
      <c r="DI62">
        <v>0.21277033567428588</v>
      </c>
      <c r="DJ62" t="e">
        <v>#VALUE!</v>
      </c>
      <c r="DK62" t="s">
        <v>1158</v>
      </c>
      <c r="DL62">
        <v>0.18617404371500013</v>
      </c>
      <c r="DM62">
        <v>-32955900</v>
      </c>
      <c r="DN62">
        <v>0.26596291959285734</v>
      </c>
      <c r="DO62">
        <v>6216147200</v>
      </c>
      <c r="DP62">
        <v>1032572400</v>
      </c>
      <c r="DQ62">
        <v>2602</v>
      </c>
      <c r="DR62">
        <v>-4.2234106033535307E-2</v>
      </c>
      <c r="DS62">
        <v>27.071858166288379</v>
      </c>
      <c r="DT62" s="12">
        <v>-0.34</v>
      </c>
      <c r="DU62">
        <v>-0.25000000000000006</v>
      </c>
      <c r="DV62">
        <v>-0.59000000000000008</v>
      </c>
      <c r="DW62">
        <v>-2.0750000000000002</v>
      </c>
      <c r="DX62">
        <v>0.32101757812499826</v>
      </c>
      <c r="DY62">
        <v>-2.0105763183593748</v>
      </c>
      <c r="DZ62">
        <v>2407</v>
      </c>
      <c r="EA62">
        <v>-2.0055944791634812</v>
      </c>
      <c r="EB62">
        <v>2</v>
      </c>
      <c r="EC62">
        <v>2.4526795662689893E-2</v>
      </c>
      <c r="ED62">
        <v>0.17392722232790717</v>
      </c>
      <c r="EE62" s="15">
        <v>5.0260999999999996</v>
      </c>
      <c r="EF62">
        <v>5.0053999999999998</v>
      </c>
      <c r="EG62">
        <v>18.141017578124998</v>
      </c>
      <c r="EH62" t="s">
        <v>1448</v>
      </c>
      <c r="EI62">
        <v>0</v>
      </c>
      <c r="EJ62">
        <v>0</v>
      </c>
      <c r="EK62" s="14">
        <v>45470</v>
      </c>
      <c r="EL62" s="16">
        <v>0.06</v>
      </c>
      <c r="EM62" s="16">
        <v>-5.81</v>
      </c>
      <c r="EN62" s="16">
        <v>-2.5</v>
      </c>
      <c r="EO62" s="16">
        <v>6.81</v>
      </c>
      <c r="EP62" s="16">
        <v>-2.0699999999999998</v>
      </c>
    </row>
    <row r="63" spans="1:146" ht="108" x14ac:dyDescent="0.25">
      <c r="C63" s="7" t="str">
        <f>""&amp;CHAR(10)&amp;Basic_Fundamental_Information_Constructure(F63)&amp;CHAR(10)&amp;Basic_Fundamental_Information_Concatenate("")</f>
        <v xml:space="preserve">
市值22.424亿, 利润2648.27万; PE15.92; 平均PE20.74; 平均PEG.7, PB1.53; ROIC22.7%; ROE19.56%; 股利率5.3514%; 毛利55.46%; 净利43.4833%; 上一年度营收增65.57%, 利润增-82.11%; 当季营收增-54.34%, 利润增25%; 过往5年营收增29.8%, 利润增22.48%
Income profile:
</v>
      </c>
      <c r="D63" t="s">
        <v>1384</v>
      </c>
      <c r="E63" t="s">
        <v>1385</v>
      </c>
      <c r="F63">
        <v>28.03</v>
      </c>
      <c r="G63">
        <v>1.41</v>
      </c>
      <c r="H63" t="s">
        <v>3012</v>
      </c>
      <c r="I63">
        <v>2242400000</v>
      </c>
      <c r="J63">
        <v>15.92</v>
      </c>
      <c r="K63">
        <v>1.53</v>
      </c>
      <c r="L63" t="s">
        <v>1747</v>
      </c>
      <c r="M63" t="s">
        <v>3013</v>
      </c>
      <c r="N63" t="s">
        <v>3014</v>
      </c>
      <c r="O63" t="s">
        <v>3015</v>
      </c>
      <c r="P63" s="5">
        <v>3.46</v>
      </c>
      <c r="Q63" t="s">
        <v>1595</v>
      </c>
      <c r="R63">
        <v>33102285</v>
      </c>
      <c r="S63">
        <v>7.2900000000000006E-2</v>
      </c>
      <c r="T63" t="s">
        <v>3016</v>
      </c>
      <c r="U63">
        <v>30510440</v>
      </c>
      <c r="V63">
        <v>80000000</v>
      </c>
      <c r="W63">
        <v>1.03</v>
      </c>
      <c r="X63">
        <v>0.05</v>
      </c>
      <c r="Y63">
        <v>40.659999999999997</v>
      </c>
      <c r="Z63" t="s">
        <v>3017</v>
      </c>
      <c r="AA63" t="s">
        <v>3018</v>
      </c>
      <c r="AB63" t="s">
        <v>3019</v>
      </c>
      <c r="AC63" t="s">
        <v>3020</v>
      </c>
      <c r="AD63" t="s">
        <v>28</v>
      </c>
      <c r="AE63">
        <v>-7780705</v>
      </c>
      <c r="AF63" t="s">
        <v>3021</v>
      </c>
      <c r="AG63">
        <v>5594</v>
      </c>
      <c r="AH63" t="s">
        <v>3022</v>
      </c>
      <c r="AI63" t="s">
        <v>3023</v>
      </c>
      <c r="AJ63" t="s">
        <v>3024</v>
      </c>
      <c r="AK63" t="s">
        <v>3025</v>
      </c>
      <c r="AL63" t="s">
        <v>3026</v>
      </c>
      <c r="AM63" t="s">
        <v>28</v>
      </c>
      <c r="AN63" t="s">
        <v>309</v>
      </c>
      <c r="AO63" t="s">
        <v>28</v>
      </c>
      <c r="AP63" t="s">
        <v>28</v>
      </c>
      <c r="AQ63" t="s">
        <v>3027</v>
      </c>
      <c r="AR63" t="s">
        <v>28</v>
      </c>
      <c r="AS63" t="s">
        <v>3028</v>
      </c>
      <c r="AT63" t="s">
        <v>28</v>
      </c>
      <c r="AU63" t="s">
        <v>3029</v>
      </c>
      <c r="AV63" t="s">
        <v>3030</v>
      </c>
      <c r="AW63" t="s">
        <v>3031</v>
      </c>
      <c r="AX63" t="s">
        <v>77</v>
      </c>
      <c r="AY63" t="s">
        <v>648</v>
      </c>
      <c r="AZ63" t="s">
        <v>1285</v>
      </c>
      <c r="BA63" t="s">
        <v>1297</v>
      </c>
      <c r="BB63" t="s">
        <v>220</v>
      </c>
      <c r="BC63" t="s">
        <v>477</v>
      </c>
      <c r="BD63" t="s">
        <v>193</v>
      </c>
      <c r="BE63" t="s">
        <v>739</v>
      </c>
      <c r="BF63" t="s">
        <v>365</v>
      </c>
      <c r="BG63" t="s">
        <v>1386</v>
      </c>
      <c r="BH63" t="s">
        <v>280</v>
      </c>
      <c r="BI63" t="s">
        <v>409</v>
      </c>
      <c r="BJ63" t="s">
        <v>77</v>
      </c>
      <c r="BK63" t="s">
        <v>101</v>
      </c>
      <c r="BL63" t="s">
        <v>3016</v>
      </c>
      <c r="BM63" t="s">
        <v>477</v>
      </c>
      <c r="BN63">
        <v>10.25</v>
      </c>
      <c r="BO63">
        <v>26.59</v>
      </c>
      <c r="BP63">
        <v>31.26</v>
      </c>
      <c r="BQ63">
        <v>9.83</v>
      </c>
      <c r="BR63">
        <v>29.29</v>
      </c>
      <c r="BS63" t="s">
        <v>28</v>
      </c>
      <c r="BT63" t="s">
        <v>1387</v>
      </c>
      <c r="BU63" t="s">
        <v>1159</v>
      </c>
      <c r="BV63">
        <v>58.53</v>
      </c>
      <c r="BW63">
        <v>52.34</v>
      </c>
      <c r="BX63">
        <v>55.51</v>
      </c>
      <c r="BY63">
        <v>46.03</v>
      </c>
      <c r="BZ63">
        <v>41.34</v>
      </c>
      <c r="CA63">
        <v>43.08</v>
      </c>
      <c r="CB63">
        <v>-0.99</v>
      </c>
      <c r="CC63" s="10">
        <v>-10.93</v>
      </c>
      <c r="CD63" s="11" t="s">
        <v>3032</v>
      </c>
      <c r="CE63" s="10" t="s">
        <v>3033</v>
      </c>
      <c r="CF63" s="10">
        <v>-0.5433716666666667</v>
      </c>
      <c r="CG63" s="10">
        <v>0.24995884105472629</v>
      </c>
      <c r="CH63" s="10">
        <v>0.65573769807815552</v>
      </c>
      <c r="CI63" s="10">
        <v>0.10574018210172653</v>
      </c>
      <c r="CJ63" s="11">
        <v>-0.27412280440330505</v>
      </c>
      <c r="CK63" s="11">
        <v>0.25274726748466492</v>
      </c>
      <c r="CL63" s="11">
        <v>0.75</v>
      </c>
      <c r="CM63" s="11">
        <v>-0.82106280326843262</v>
      </c>
      <c r="CN63" s="11">
        <v>5.714285746216774E-2</v>
      </c>
      <c r="CO63">
        <v>-0.23913043737411499</v>
      </c>
      <c r="CP63">
        <v>0.73584908246994019</v>
      </c>
      <c r="CQ63">
        <v>1.3911842107772827</v>
      </c>
      <c r="CR63" s="10">
        <v>20.73697134548333</v>
      </c>
      <c r="CS63" s="11">
        <v>0.69582372778833224</v>
      </c>
      <c r="CT63">
        <v>5.3514092044238311</v>
      </c>
      <c r="CU63">
        <v>0.2980204686522484</v>
      </c>
      <c r="CV63">
        <v>0.22479658201336861</v>
      </c>
      <c r="CW63">
        <v>0.06</v>
      </c>
      <c r="CX63">
        <v>25.371852426004988</v>
      </c>
      <c r="CY63">
        <v>32429327.042619709</v>
      </c>
      <c r="CZ63">
        <v>0.2980204686522484</v>
      </c>
      <c r="DA63">
        <v>6.9826065461755134</v>
      </c>
      <c r="DB63">
        <v>117834521.32938187</v>
      </c>
      <c r="DC63">
        <v>0.28311944521963595</v>
      </c>
      <c r="DD63">
        <v>2.6890083660824566</v>
      </c>
      <c r="DE63">
        <v>305983466.01602566</v>
      </c>
      <c r="DF63">
        <v>0.26225801241397861</v>
      </c>
      <c r="DG63">
        <v>1.1974018196321647</v>
      </c>
      <c r="DH63">
        <v>687147861.73680377</v>
      </c>
      <c r="DI63">
        <v>0.23841637492179873</v>
      </c>
      <c r="DJ63">
        <v>0.29864230638509442</v>
      </c>
      <c r="DK63">
        <v>2755108979.566421</v>
      </c>
      <c r="DL63">
        <v>0.20861432805657387</v>
      </c>
      <c r="DM63">
        <v>26482700</v>
      </c>
      <c r="DN63">
        <v>0.2980204686522484</v>
      </c>
      <c r="DO63">
        <v>822792100</v>
      </c>
      <c r="DP63">
        <v>1207481390</v>
      </c>
      <c r="DQ63" s="12">
        <v>2628</v>
      </c>
      <c r="DR63">
        <v>-0.8413921353189151</v>
      </c>
      <c r="DS63">
        <v>2.5162259041357687E-2</v>
      </c>
      <c r="DT63">
        <v>7.6666666666666591E-2</v>
      </c>
      <c r="DU63">
        <v>0.18666666666666662</v>
      </c>
      <c r="DV63">
        <v>0.2633333333333332</v>
      </c>
      <c r="DW63">
        <v>-2.1093000000000002</v>
      </c>
      <c r="DX63">
        <v>0.28666115464807007</v>
      </c>
      <c r="DY63">
        <v>-2.0171230642030342</v>
      </c>
      <c r="DZ63">
        <v>1677</v>
      </c>
      <c r="EA63">
        <v>-2.0115036163227038</v>
      </c>
      <c r="EB63" s="15">
        <v>2</v>
      </c>
      <c r="EC63" s="15">
        <v>2.4513750000000004E-2</v>
      </c>
      <c r="ED63">
        <v>0.15647625000000001</v>
      </c>
      <c r="EE63">
        <v>3.0228099999999998</v>
      </c>
      <c r="EF63">
        <v>3.0524100000000001</v>
      </c>
      <c r="EG63">
        <v>13.15666115464807</v>
      </c>
      <c r="EH63" s="14" t="s">
        <v>1366</v>
      </c>
      <c r="EI63">
        <v>0</v>
      </c>
      <c r="EJ63">
        <v>0</v>
      </c>
      <c r="EK63">
        <v>45470</v>
      </c>
      <c r="EL63">
        <v>-1.06</v>
      </c>
      <c r="EM63">
        <v>-6.57</v>
      </c>
      <c r="EN63" s="16">
        <v>-1.72</v>
      </c>
      <c r="EO63" s="16">
        <v>6.57</v>
      </c>
      <c r="EP63" s="16">
        <v>-2.96</v>
      </c>
    </row>
    <row r="64" spans="1:146" ht="108" x14ac:dyDescent="0.25">
      <c r="A64" s="7"/>
      <c r="B64" s="7"/>
      <c r="C64" s="7" t="str">
        <f>""&amp;CHAR(10)&amp;Basic_Fundamental_Information_Constructure(F64)&amp;CHAR(10)&amp;Basic_Fundamental_Information_Concatenate("")</f>
        <v xml:space="preserve">
市值31.3716亿, 利润-4.74亿; PE; 平均PE-104.86; 平均PEG-.57, PB3.64; ROIC14.625%; ROE10.4267%; 股利率0%; 毛利29.8233%; 净利4.5667%; 上一年度营收增869.96%, 利润增-740.89%; 当季营收增-98.43%, 利润增-104.5%; 过往5年营收增184.02%, 利润增-133.29%
Income profile:
</v>
      </c>
      <c r="D64" t="s">
        <v>1009</v>
      </c>
      <c r="E64" t="s">
        <v>1189</v>
      </c>
      <c r="F64">
        <v>20.11</v>
      </c>
      <c r="G64">
        <v>0.95</v>
      </c>
      <c r="H64" t="s">
        <v>3034</v>
      </c>
      <c r="I64">
        <v>3137160000</v>
      </c>
      <c r="K64">
        <v>3.64</v>
      </c>
      <c r="L64" t="s">
        <v>1747</v>
      </c>
      <c r="M64" t="s">
        <v>1474</v>
      </c>
      <c r="N64" t="s">
        <v>582</v>
      </c>
      <c r="O64" t="s">
        <v>3035</v>
      </c>
      <c r="P64">
        <v>-59.94</v>
      </c>
      <c r="Q64" t="s">
        <v>3036</v>
      </c>
      <c r="R64">
        <v>-3938394</v>
      </c>
      <c r="S64" s="5">
        <v>-1.371</v>
      </c>
      <c r="T64" t="s">
        <v>3037</v>
      </c>
      <c r="U64">
        <v>74441250</v>
      </c>
      <c r="V64">
        <v>156000000</v>
      </c>
      <c r="W64">
        <v>1.59</v>
      </c>
      <c r="X64">
        <v>0.02</v>
      </c>
      <c r="Y64">
        <v>-15.89</v>
      </c>
      <c r="Z64" t="s">
        <v>3038</v>
      </c>
      <c r="AA64" t="s">
        <v>3039</v>
      </c>
      <c r="AB64" t="s">
        <v>3040</v>
      </c>
      <c r="AC64" t="s">
        <v>3041</v>
      </c>
      <c r="AD64" t="s">
        <v>28</v>
      </c>
      <c r="AE64">
        <v>-1640254</v>
      </c>
      <c r="AF64" t="s">
        <v>3042</v>
      </c>
      <c r="AG64">
        <v>3360.54</v>
      </c>
      <c r="AH64" t="s">
        <v>3043</v>
      </c>
      <c r="AI64" t="s">
        <v>3044</v>
      </c>
      <c r="AJ64" t="s">
        <v>3045</v>
      </c>
      <c r="AK64" t="s">
        <v>3046</v>
      </c>
      <c r="AL64" t="s">
        <v>3047</v>
      </c>
      <c r="AM64" t="s">
        <v>28</v>
      </c>
      <c r="AN64" t="s">
        <v>3048</v>
      </c>
      <c r="AO64" t="s">
        <v>28</v>
      </c>
      <c r="AP64" t="s">
        <v>3049</v>
      </c>
      <c r="AQ64" t="s">
        <v>627</v>
      </c>
      <c r="AR64" t="s">
        <v>28</v>
      </c>
      <c r="AS64" t="s">
        <v>353</v>
      </c>
      <c r="AT64" t="s">
        <v>445</v>
      </c>
      <c r="AU64" t="s">
        <v>3050</v>
      </c>
      <c r="AV64" t="s">
        <v>3051</v>
      </c>
      <c r="AW64" t="s">
        <v>3052</v>
      </c>
      <c r="AX64" t="s">
        <v>580</v>
      </c>
      <c r="AY64" t="s">
        <v>371</v>
      </c>
      <c r="AZ64" t="s">
        <v>188</v>
      </c>
      <c r="BA64" t="s">
        <v>812</v>
      </c>
      <c r="BB64" t="s">
        <v>647</v>
      </c>
      <c r="BC64" t="s">
        <v>3053</v>
      </c>
      <c r="BD64" t="s">
        <v>1010</v>
      </c>
      <c r="BE64" t="s">
        <v>1011</v>
      </c>
      <c r="BF64" t="s">
        <v>1012</v>
      </c>
      <c r="BG64" t="s">
        <v>1013</v>
      </c>
      <c r="BH64" t="s">
        <v>322</v>
      </c>
      <c r="BI64" t="s">
        <v>3054</v>
      </c>
      <c r="BJ64" t="s">
        <v>580</v>
      </c>
      <c r="BK64" t="s">
        <v>3055</v>
      </c>
      <c r="BL64" t="s">
        <v>3056</v>
      </c>
      <c r="BM64" t="s">
        <v>3053</v>
      </c>
      <c r="BN64" t="s">
        <v>28</v>
      </c>
      <c r="BO64">
        <v>10.15</v>
      </c>
      <c r="BP64">
        <v>19.100000000000001</v>
      </c>
      <c r="BQ64">
        <v>-0.33</v>
      </c>
      <c r="BR64">
        <v>10.199999999999999</v>
      </c>
      <c r="BS64">
        <v>21.41</v>
      </c>
      <c r="BT64" t="s">
        <v>1244</v>
      </c>
      <c r="BU64" t="s">
        <v>1153</v>
      </c>
      <c r="BV64">
        <v>24.3</v>
      </c>
      <c r="BW64">
        <v>36.78</v>
      </c>
      <c r="BX64">
        <v>28.39</v>
      </c>
      <c r="BY64">
        <v>-15.51</v>
      </c>
      <c r="BZ64">
        <v>15.6</v>
      </c>
      <c r="CA64">
        <v>13.61</v>
      </c>
      <c r="CB64">
        <v>-1.18</v>
      </c>
      <c r="CC64">
        <v>-9.7799999999999994</v>
      </c>
      <c r="CD64" t="s">
        <v>3057</v>
      </c>
      <c r="CE64" t="s">
        <v>3058</v>
      </c>
      <c r="CF64" s="10">
        <v>-0.98429516441005804</v>
      </c>
      <c r="CG64" s="11">
        <v>-1.0450188607641238</v>
      </c>
      <c r="CH64" s="10">
        <v>8.6995792388916016</v>
      </c>
      <c r="CI64" s="10">
        <v>-8.812260627746582E-2</v>
      </c>
      <c r="CJ64" s="10">
        <v>6.0975611209869385E-2</v>
      </c>
      <c r="CK64" s="10">
        <v>0.11818181723356247</v>
      </c>
      <c r="CL64" s="10">
        <v>0.41025641560554504</v>
      </c>
      <c r="CM64" s="11">
        <v>-7.4089221954345703</v>
      </c>
      <c r="CN64" s="11">
        <v>4.6907380223274231E-2</v>
      </c>
      <c r="CO64" s="11">
        <v>0.19944038987159729</v>
      </c>
      <c r="CP64" s="11">
        <v>0.11539561301469803</v>
      </c>
      <c r="CQ64" s="11">
        <v>0.38269966840744019</v>
      </c>
      <c r="CR64">
        <v>-104.86276113378818</v>
      </c>
      <c r="CS64">
        <v>-0.56985239276957433</v>
      </c>
      <c r="CT64">
        <v>0</v>
      </c>
      <c r="CU64" s="10">
        <v>1.8401740953326224</v>
      </c>
      <c r="CV64" s="11">
        <v>-1.3328958287835122</v>
      </c>
      <c r="CW64">
        <v>0.06</v>
      </c>
      <c r="CX64" t="e">
        <v>#VALUE!</v>
      </c>
      <c r="CY64" t="s">
        <v>1157</v>
      </c>
      <c r="CZ64">
        <v>1.8401740953326224</v>
      </c>
      <c r="DA64" t="e">
        <v>#VALUE!</v>
      </c>
      <c r="DB64" t="s">
        <v>1158</v>
      </c>
      <c r="DC64">
        <v>1.7481653905659913</v>
      </c>
      <c r="DD64" t="e">
        <v>#VALUE!</v>
      </c>
      <c r="DE64" t="s">
        <v>1158</v>
      </c>
      <c r="DF64">
        <v>1.6193532038927076</v>
      </c>
      <c r="DG64" t="e">
        <v>#VALUE!</v>
      </c>
      <c r="DH64" t="s">
        <v>1158</v>
      </c>
      <c r="DI64">
        <v>1.4721392762660981</v>
      </c>
      <c r="DJ64" t="e">
        <v>#VALUE!</v>
      </c>
      <c r="DK64" t="s">
        <v>1158</v>
      </c>
      <c r="DL64">
        <v>1.2881218667328356</v>
      </c>
      <c r="DM64">
        <v>-474000000</v>
      </c>
      <c r="DN64">
        <v>1.8401740953326224</v>
      </c>
      <c r="DO64">
        <v>2831160000</v>
      </c>
      <c r="DP64">
        <v>224552920</v>
      </c>
      <c r="DQ64">
        <v>2670</v>
      </c>
      <c r="DR64">
        <v>-2.8244692597426804</v>
      </c>
      <c r="DS64">
        <v>0.28787696801938845</v>
      </c>
      <c r="DT64" s="12">
        <v>-4.0000000000000036E-2</v>
      </c>
      <c r="DU64">
        <v>-1.415</v>
      </c>
      <c r="DV64">
        <v>-1.4550000000000001</v>
      </c>
      <c r="DW64">
        <v>-2.0977999999999999</v>
      </c>
      <c r="DX64">
        <v>0.23636665046636893</v>
      </c>
      <c r="DY64">
        <v>-2.0074686584156107</v>
      </c>
      <c r="DZ64">
        <v>3200</v>
      </c>
      <c r="EA64">
        <v>-2.0027916120496707</v>
      </c>
      <c r="EB64">
        <v>2</v>
      </c>
      <c r="EC64">
        <v>1.4705769230769231E-2</v>
      </c>
      <c r="ED64">
        <v>0.19256794871794872</v>
      </c>
      <c r="EE64" s="15">
        <v>-2.0024999999999999</v>
      </c>
      <c r="EF64">
        <v>-2.0247099999999998</v>
      </c>
      <c r="EG64">
        <v>16.076366650466369</v>
      </c>
      <c r="EH64" t="s">
        <v>1268</v>
      </c>
      <c r="EI64">
        <v>0</v>
      </c>
      <c r="EJ64">
        <v>0</v>
      </c>
      <c r="EK64" s="14">
        <v>45470</v>
      </c>
      <c r="EL64" s="16">
        <v>-0.38</v>
      </c>
      <c r="EM64" s="16">
        <v>-6.41</v>
      </c>
      <c r="EN64" s="16">
        <v>1.53</v>
      </c>
      <c r="EO64" s="16">
        <v>3.25</v>
      </c>
      <c r="EP64" s="16">
        <v>-2.72</v>
      </c>
    </row>
    <row r="65" spans="1:146" ht="108" x14ac:dyDescent="0.25">
      <c r="C65" s="7" t="str">
        <f>""&amp;CHAR(10)&amp;Basic_Fundamental_Information_Constructure(F65)&amp;CHAR(10)&amp;Basic_Fundamental_Information_Concatenate("")</f>
        <v xml:space="preserve">
市值23.541016亿, 利润1.51亿; PE38.9; 平均PE20.35; 平均PEG.3, PB1.16; ROIC9.2967%; ROE10.7%; 股利率0%; 毛利28.96%; 净利15.62%; 上一年度营收增267.29%, 利润增34.82%; 当季营收增-86.24%, 利润增-100.41%; 过往5年营收增67.31%, 利润增25.74%
Income profile:
</v>
      </c>
      <c r="D65" t="s">
        <v>1252</v>
      </c>
      <c r="E65" t="s">
        <v>1253</v>
      </c>
      <c r="F65">
        <v>7.77</v>
      </c>
      <c r="G65">
        <v>0.65</v>
      </c>
      <c r="H65" t="s">
        <v>3059</v>
      </c>
      <c r="I65">
        <v>2354101600</v>
      </c>
      <c r="J65">
        <v>38.9</v>
      </c>
      <c r="K65">
        <v>1.1599999999999999</v>
      </c>
      <c r="L65" t="s">
        <v>1747</v>
      </c>
      <c r="M65" t="s">
        <v>585</v>
      </c>
      <c r="N65" t="s">
        <v>3060</v>
      </c>
      <c r="O65" t="s">
        <v>3061</v>
      </c>
      <c r="P65">
        <v>-52.46</v>
      </c>
      <c r="Q65" t="s">
        <v>3062</v>
      </c>
      <c r="R65">
        <v>-148958</v>
      </c>
      <c r="S65">
        <v>-1.0049999999999999</v>
      </c>
      <c r="T65" t="s">
        <v>114</v>
      </c>
      <c r="U65">
        <v>169797150</v>
      </c>
      <c r="V65">
        <v>302973180</v>
      </c>
      <c r="W65">
        <v>1.1000000000000001</v>
      </c>
      <c r="X65">
        <v>0.03</v>
      </c>
      <c r="Y65">
        <v>-0.61</v>
      </c>
      <c r="Z65" t="s">
        <v>3063</v>
      </c>
      <c r="AA65" t="s">
        <v>3064</v>
      </c>
      <c r="AB65" t="s">
        <v>3065</v>
      </c>
      <c r="AC65" t="s">
        <v>3066</v>
      </c>
      <c r="AD65" t="s">
        <v>28</v>
      </c>
      <c r="AE65">
        <v>-916080</v>
      </c>
      <c r="AF65" t="s">
        <v>3067</v>
      </c>
      <c r="AG65">
        <v>2004.95</v>
      </c>
      <c r="AH65" t="s">
        <v>3068</v>
      </c>
      <c r="AI65" t="s">
        <v>3069</v>
      </c>
      <c r="AJ65" t="s">
        <v>3070</v>
      </c>
      <c r="AK65" t="s">
        <v>3071</v>
      </c>
      <c r="AL65" t="s">
        <v>3072</v>
      </c>
      <c r="AM65" t="s">
        <v>28</v>
      </c>
      <c r="AN65" t="s">
        <v>3073</v>
      </c>
      <c r="AO65" t="s">
        <v>3074</v>
      </c>
      <c r="AP65" t="s">
        <v>28</v>
      </c>
      <c r="AQ65" t="s">
        <v>3075</v>
      </c>
      <c r="AR65" t="s">
        <v>28</v>
      </c>
      <c r="AS65" t="s">
        <v>3076</v>
      </c>
      <c r="AT65" t="s">
        <v>28</v>
      </c>
      <c r="AU65" t="s">
        <v>3077</v>
      </c>
      <c r="AV65" t="s">
        <v>3078</v>
      </c>
      <c r="AW65" t="s">
        <v>3079</v>
      </c>
      <c r="AX65" t="s">
        <v>1232</v>
      </c>
      <c r="AY65" t="s">
        <v>1254</v>
      </c>
      <c r="AZ65" t="s">
        <v>836</v>
      </c>
      <c r="BA65" t="s">
        <v>1255</v>
      </c>
      <c r="BB65" t="s">
        <v>933</v>
      </c>
      <c r="BC65" t="s">
        <v>47</v>
      </c>
      <c r="BD65" t="s">
        <v>72</v>
      </c>
      <c r="BE65" t="s">
        <v>445</v>
      </c>
      <c r="BF65" t="s">
        <v>1256</v>
      </c>
      <c r="BG65" t="s">
        <v>1257</v>
      </c>
      <c r="BH65" t="s">
        <v>625</v>
      </c>
      <c r="BI65" t="s">
        <v>270</v>
      </c>
      <c r="BJ65" t="s">
        <v>1232</v>
      </c>
      <c r="BK65" t="s">
        <v>3080</v>
      </c>
      <c r="BL65" t="s">
        <v>3081</v>
      </c>
      <c r="BM65" t="s">
        <v>47</v>
      </c>
      <c r="BN65">
        <v>3.74</v>
      </c>
      <c r="BO65">
        <v>7.53</v>
      </c>
      <c r="BP65">
        <v>16.62</v>
      </c>
      <c r="BQ65">
        <v>4.01</v>
      </c>
      <c r="BR65">
        <v>10.76</v>
      </c>
      <c r="BS65">
        <v>17.329999999999998</v>
      </c>
      <c r="BT65" t="s">
        <v>1244</v>
      </c>
      <c r="BU65" t="s">
        <v>1061</v>
      </c>
      <c r="BV65">
        <v>25.17</v>
      </c>
      <c r="BW65">
        <v>27.91</v>
      </c>
      <c r="BX65">
        <v>33.799999999999997</v>
      </c>
      <c r="BY65">
        <v>12.04</v>
      </c>
      <c r="BZ65">
        <v>14.82</v>
      </c>
      <c r="CA65">
        <v>20</v>
      </c>
      <c r="CB65">
        <v>-1.77</v>
      </c>
      <c r="CC65" s="10">
        <v>-12.4</v>
      </c>
      <c r="CD65" s="11" t="s">
        <v>3082</v>
      </c>
      <c r="CE65" s="10" t="s">
        <v>3083</v>
      </c>
      <c r="CF65" s="10">
        <v>-0.86239819494584835</v>
      </c>
      <c r="CG65" s="10">
        <v>-1.0041231879845767</v>
      </c>
      <c r="CH65" s="10">
        <v>2.6728720664978027</v>
      </c>
      <c r="CI65" s="10">
        <v>-3.8363169878721237E-2</v>
      </c>
      <c r="CJ65" s="11">
        <v>0.3719298243522644</v>
      </c>
      <c r="CK65" s="11">
        <v>-2.2298457100987434E-2</v>
      </c>
      <c r="CL65" s="11">
        <v>0.38151657581329346</v>
      </c>
      <c r="CM65" s="11">
        <v>0.34821429848670959</v>
      </c>
      <c r="CN65" s="11">
        <v>-0.28205129504203796</v>
      </c>
      <c r="CO65">
        <v>0.18181818723678589</v>
      </c>
      <c r="CP65">
        <v>0.53864806890487671</v>
      </c>
      <c r="CQ65">
        <v>0.50047135353088379</v>
      </c>
      <c r="CR65" s="10">
        <v>20.353498672194711</v>
      </c>
      <c r="CS65" s="11">
        <v>0.30237037882489226</v>
      </c>
      <c r="CT65">
        <v>0</v>
      </c>
      <c r="CU65">
        <v>0.67313136793673034</v>
      </c>
      <c r="CV65">
        <v>0.2574201226234436</v>
      </c>
      <c r="CW65">
        <v>0.06</v>
      </c>
      <c r="CX65">
        <v>2.0856625233389541</v>
      </c>
      <c r="CY65">
        <v>238342298.64004365</v>
      </c>
      <c r="CZ65">
        <v>0.67313136793673034</v>
      </c>
      <c r="DA65">
        <v>0.43096422886018221</v>
      </c>
      <c r="DB65">
        <v>1153463713.9484603</v>
      </c>
      <c r="DC65">
        <v>0.63947479953989383</v>
      </c>
      <c r="DD65">
        <v>0.10489655754719363</v>
      </c>
      <c r="DE65">
        <v>4738969625.1600142</v>
      </c>
      <c r="DF65">
        <v>0.59235560378432273</v>
      </c>
      <c r="DG65">
        <v>2.5288384077097079E-2</v>
      </c>
      <c r="DH65">
        <v>19657309794.270714</v>
      </c>
      <c r="DI65">
        <v>0.53850509434938432</v>
      </c>
      <c r="DJ65">
        <v>1.3097599663508214E-3</v>
      </c>
      <c r="DK65">
        <v>379536413366.63861</v>
      </c>
      <c r="DL65">
        <v>0.47119195755571119</v>
      </c>
      <c r="DM65">
        <v>151000000</v>
      </c>
      <c r="DN65">
        <v>0.67313136793673034</v>
      </c>
      <c r="DO65">
        <v>497101600</v>
      </c>
      <c r="DP65">
        <v>1596475700</v>
      </c>
      <c r="DQ65" s="12">
        <v>2675</v>
      </c>
      <c r="DR65">
        <v>-1.5355295628825787</v>
      </c>
      <c r="DS65">
        <v>-1.2615433106080203</v>
      </c>
      <c r="DT65">
        <v>9.3333333333333268E-2</v>
      </c>
      <c r="DU65">
        <v>-0.53166666666666673</v>
      </c>
      <c r="DV65">
        <v>-0.43833333333333346</v>
      </c>
      <c r="DW65">
        <v>-2.1240000000000001</v>
      </c>
      <c r="DX65">
        <v>0.30476124821421469</v>
      </c>
      <c r="DY65">
        <v>-2.016710394778563</v>
      </c>
      <c r="DZ65">
        <v>1273</v>
      </c>
      <c r="EA65">
        <v>-2.0125475116957623</v>
      </c>
      <c r="EB65" s="15">
        <v>2</v>
      </c>
      <c r="EC65">
        <v>2.4969866969742998E-2</v>
      </c>
      <c r="ED65">
        <v>0.18528966821419637</v>
      </c>
      <c r="EE65">
        <v>-4.0088999999999997</v>
      </c>
      <c r="EF65">
        <v>-4.0199100000000003</v>
      </c>
      <c r="EG65">
        <v>17.134761248214215</v>
      </c>
      <c r="EH65" s="14" t="s">
        <v>1740</v>
      </c>
      <c r="EI65" s="16">
        <v>0</v>
      </c>
      <c r="EJ65" s="16">
        <v>1</v>
      </c>
      <c r="EK65" s="16">
        <v>45470</v>
      </c>
      <c r="EL65" s="16">
        <v>1.25</v>
      </c>
      <c r="EM65" s="16">
        <v>-3.4</v>
      </c>
      <c r="EN65" s="16">
        <v>0.48</v>
      </c>
      <c r="EO65" s="16">
        <v>2.39</v>
      </c>
      <c r="EP65" s="16">
        <v>-2.88</v>
      </c>
    </row>
    <row r="66" spans="1:146" ht="216" x14ac:dyDescent="0.25">
      <c r="C66" s="7" t="str">
        <f>"公司的主营业务为有机固废(餐饮垃圾、厨余垃圾、粪污、动物固废等),城市生活垃圾的无害化处理及资源化利用。主要产品或服务为有机固废项目、生活垃圾焚烧发电等资源再生中心项目的投资、建设和运营。"&amp;CHAR(10)&amp;Basic_Fundamental_Information_Constructure(F66)&amp;CHAR(10)&amp;Basic_Fundamental_Information_Concatenate("有机固废处理 6.50亿 82.14% 1.49亿 70.72% 22.96%
生活垃圾处理 1.01亿 12.77% 4824.50万 22.85% 47.71%
环境工程及其他 3715.78万 4.69% 1166.32万 5.52% 31.39%")</f>
        <v>公司的主营业务为有机固废(餐饮垃圾、厨余垃圾、粪污、动物固废等),城市生活垃圾的无害化处理及资源化利用。主要产品或服务为有机固废项目、生活垃圾焚烧发电等资源再生中心项目的投资、建设和运营。
市值36.584319亿, 利润-5169.93万; PE20.79; 平均PE32.32; 平均PEG2.58, PB1.06; ROIC7.4133%; ROE9.95%; 股利率.6658%; 毛利26.04%; 净利13.1267%; 上一年度营收增-84%, 利润增-121.28%; 当季营收增894.64%, 利润增771.54%; 过往5年营收增12.51%, 利润增59.94%
Income profile:
有机固废处理 6.50亿 82.14% 1.49亿 70.72% 22.96%
生活垃圾处理 1.01亿 12.77% 4824.50万 22.85% 47.71%
环境工程及其他 3715.78万 4.69% 1166.32万 5.52% 31.39%</v>
      </c>
      <c r="D66" t="s">
        <v>1389</v>
      </c>
      <c r="E66" t="s">
        <v>1390</v>
      </c>
      <c r="F66">
        <v>15.02</v>
      </c>
      <c r="G66">
        <v>0.47</v>
      </c>
      <c r="H66" t="s">
        <v>3084</v>
      </c>
      <c r="I66">
        <v>3658431900</v>
      </c>
      <c r="J66">
        <v>20.79</v>
      </c>
      <c r="K66">
        <v>1.06</v>
      </c>
      <c r="L66" t="s">
        <v>1747</v>
      </c>
      <c r="M66" t="s">
        <v>3085</v>
      </c>
      <c r="N66" t="s">
        <v>3086</v>
      </c>
      <c r="O66" t="s">
        <v>632</v>
      </c>
      <c r="P66">
        <v>28.66</v>
      </c>
      <c r="Q66" t="s">
        <v>598</v>
      </c>
      <c r="R66">
        <v>39453146</v>
      </c>
      <c r="S66">
        <v>-6.8900000000000003E-2</v>
      </c>
      <c r="T66" t="s">
        <v>3087</v>
      </c>
      <c r="U66">
        <v>124262700</v>
      </c>
      <c r="V66">
        <v>243570700</v>
      </c>
      <c r="W66">
        <v>1.67</v>
      </c>
      <c r="X66">
        <v>0.08</v>
      </c>
      <c r="Y66">
        <v>8.75</v>
      </c>
      <c r="Z66" t="s">
        <v>1596</v>
      </c>
      <c r="AA66" t="s">
        <v>650</v>
      </c>
      <c r="AB66" t="s">
        <v>3088</v>
      </c>
      <c r="AC66" t="s">
        <v>3089</v>
      </c>
      <c r="AD66" t="s">
        <v>28</v>
      </c>
      <c r="AE66">
        <v>4112278</v>
      </c>
      <c r="AF66" t="s">
        <v>3090</v>
      </c>
      <c r="AG66" t="s">
        <v>1772</v>
      </c>
      <c r="AH66" t="s">
        <v>3091</v>
      </c>
      <c r="AI66" t="s">
        <v>3092</v>
      </c>
      <c r="AJ66" t="s">
        <v>3093</v>
      </c>
      <c r="AK66" t="s">
        <v>3094</v>
      </c>
      <c r="AL66" t="s">
        <v>3095</v>
      </c>
      <c r="AM66" t="s">
        <v>28</v>
      </c>
      <c r="AN66" t="s">
        <v>3096</v>
      </c>
      <c r="AO66" t="s">
        <v>1719</v>
      </c>
      <c r="AP66" t="s">
        <v>28</v>
      </c>
      <c r="AQ66" t="s">
        <v>255</v>
      </c>
      <c r="AR66" t="s">
        <v>28</v>
      </c>
      <c r="AS66" t="s">
        <v>1474</v>
      </c>
      <c r="AT66" t="s">
        <v>3097</v>
      </c>
      <c r="AU66" t="s">
        <v>493</v>
      </c>
      <c r="AV66" t="s">
        <v>241</v>
      </c>
      <c r="AW66" t="s">
        <v>3098</v>
      </c>
      <c r="AX66" t="s">
        <v>1174</v>
      </c>
      <c r="AY66" t="s">
        <v>1176</v>
      </c>
      <c r="AZ66" t="s">
        <v>1166</v>
      </c>
      <c r="BA66" t="s">
        <v>766</v>
      </c>
      <c r="BB66" t="s">
        <v>80</v>
      </c>
      <c r="BC66" t="s">
        <v>613</v>
      </c>
      <c r="BD66" t="s">
        <v>92</v>
      </c>
      <c r="BE66" t="s">
        <v>215</v>
      </c>
      <c r="BF66" t="s">
        <v>1391</v>
      </c>
      <c r="BG66" t="s">
        <v>1392</v>
      </c>
      <c r="BH66" t="s">
        <v>1226</v>
      </c>
      <c r="BI66" t="s">
        <v>3099</v>
      </c>
      <c r="BJ66" t="s">
        <v>1174</v>
      </c>
      <c r="BK66" t="s">
        <v>377</v>
      </c>
      <c r="BL66" t="s">
        <v>3100</v>
      </c>
      <c r="BM66" t="s">
        <v>613</v>
      </c>
      <c r="BN66">
        <v>4.55</v>
      </c>
      <c r="BO66">
        <v>8.6</v>
      </c>
      <c r="BP66">
        <v>9.09</v>
      </c>
      <c r="BQ66">
        <v>5.84</v>
      </c>
      <c r="BR66">
        <v>14.06</v>
      </c>
      <c r="BS66" t="s">
        <v>28</v>
      </c>
      <c r="BT66" t="s">
        <v>1245</v>
      </c>
      <c r="BU66" t="s">
        <v>1061</v>
      </c>
      <c r="BV66">
        <v>26.17</v>
      </c>
      <c r="BW66">
        <v>25.34</v>
      </c>
      <c r="BX66">
        <v>26.61</v>
      </c>
      <c r="BY66">
        <v>10.63</v>
      </c>
      <c r="BZ66">
        <v>13.98</v>
      </c>
      <c r="CA66">
        <v>14.77</v>
      </c>
      <c r="CB66">
        <v>-1.25</v>
      </c>
      <c r="CC66" s="10">
        <v>-9.9</v>
      </c>
      <c r="CD66" s="11" t="s">
        <v>3101</v>
      </c>
      <c r="CE66" s="10" t="s">
        <v>3102</v>
      </c>
      <c r="CF66" s="10">
        <v>8.9463743145475316</v>
      </c>
      <c r="CG66" s="10">
        <v>7.7154291063829783</v>
      </c>
      <c r="CH66" s="10">
        <v>-0.84002196788787842</v>
      </c>
      <c r="CI66" s="10">
        <v>0.12353304028511047</v>
      </c>
      <c r="CJ66" s="11">
        <v>0.44167405366897583</v>
      </c>
      <c r="CK66" s="11">
        <v>0.43239805102348328</v>
      </c>
      <c r="CL66" s="11">
        <v>0.46816480159759521</v>
      </c>
      <c r="CM66" s="11">
        <v>-1.2127542495727539</v>
      </c>
      <c r="CN66" s="11">
        <v>6.5789476037025452E-2</v>
      </c>
      <c r="CO66">
        <v>0.48051947355270386</v>
      </c>
      <c r="CP66">
        <v>0.83409756422042847</v>
      </c>
      <c r="CQ66">
        <v>2.8291749954223633</v>
      </c>
      <c r="CR66" s="10">
        <v>32.318617053699285</v>
      </c>
      <c r="CS66" s="11">
        <v>2.5823988374279923</v>
      </c>
      <c r="CT66">
        <v>0.66577896138482029</v>
      </c>
      <c r="CU66">
        <v>0.12514959573745726</v>
      </c>
      <c r="CV66">
        <v>0.59936545193195345</v>
      </c>
      <c r="CW66">
        <v>0.06</v>
      </c>
      <c r="CX66" t="e">
        <v>#VALUE!</v>
      </c>
      <c r="CY66" t="s">
        <v>1158</v>
      </c>
      <c r="CZ66">
        <v>0.12514959573745726</v>
      </c>
      <c r="DA66" t="e">
        <v>#VALUE!</v>
      </c>
      <c r="DB66" t="s">
        <v>1158</v>
      </c>
      <c r="DC66">
        <v>0.1188921159505844</v>
      </c>
      <c r="DD66" t="e">
        <v>#VALUE!</v>
      </c>
      <c r="DE66" t="s">
        <v>1158</v>
      </c>
      <c r="DF66">
        <v>0.11013164424896239</v>
      </c>
      <c r="DG66" t="e">
        <v>#VALUE!</v>
      </c>
      <c r="DH66" t="s">
        <v>1158</v>
      </c>
      <c r="DI66">
        <v>0.10011967658996582</v>
      </c>
      <c r="DJ66" t="e">
        <v>#VALUE!</v>
      </c>
      <c r="DK66" t="s">
        <v>1158</v>
      </c>
      <c r="DL66">
        <v>8.7604717016220079E-2</v>
      </c>
      <c r="DM66">
        <v>-51699300</v>
      </c>
      <c r="DN66">
        <v>0.12514959573745726</v>
      </c>
      <c r="DO66">
        <v>2564431900</v>
      </c>
      <c r="DP66">
        <v>1710947900</v>
      </c>
      <c r="DQ66" s="12">
        <v>2709</v>
      </c>
      <c r="DR66">
        <v>8.8212247188100736</v>
      </c>
      <c r="DS66">
        <v>7.1160636544510245</v>
      </c>
      <c r="DT66">
        <v>-0.42333333333333339</v>
      </c>
      <c r="DU66">
        <v>0.29833333333333328</v>
      </c>
      <c r="DV66">
        <v>-0.12500000000000011</v>
      </c>
      <c r="DW66">
        <v>-2.0990000000000002</v>
      </c>
      <c r="DX66">
        <v>0.33265405727469854</v>
      </c>
      <c r="DY66">
        <v>-2.0081827516701951</v>
      </c>
      <c r="DZ66">
        <v>523</v>
      </c>
      <c r="EA66">
        <v>-2.0073452606479814</v>
      </c>
      <c r="EB66" s="15">
        <v>2</v>
      </c>
      <c r="EC66" s="15">
        <v>1.3384204257737077E-2</v>
      </c>
      <c r="ED66">
        <v>0.16193039639004198</v>
      </c>
      <c r="EE66">
        <v>-2.0200999999999998</v>
      </c>
      <c r="EF66">
        <v>-2.0097</v>
      </c>
      <c r="EG66">
        <v>25.082654057274699</v>
      </c>
      <c r="EH66" s="14" t="s">
        <v>1553</v>
      </c>
      <c r="EI66">
        <v>0</v>
      </c>
      <c r="EJ66">
        <v>1</v>
      </c>
      <c r="EK66">
        <v>45470</v>
      </c>
      <c r="EL66">
        <v>-2.11</v>
      </c>
      <c r="EM66">
        <v>-4.1399999999999997</v>
      </c>
      <c r="EN66" s="16">
        <v>0.99</v>
      </c>
      <c r="EO66" s="16">
        <v>2.85</v>
      </c>
      <c r="EP66" s="16">
        <v>-1.04</v>
      </c>
    </row>
    <row r="67" spans="1:146" ht="108" x14ac:dyDescent="0.25">
      <c r="C67" s="7" t="str">
        <f>""&amp;CHAR(10)&amp;Basic_Fundamental_Information_Constructure(F67)&amp;CHAR(10)&amp;Basic_Fundamental_Information_Concatenate("")</f>
        <v xml:space="preserve">
市值16.806857亿, 利润1.25亿; PE584.3; 平均PE22.69; 平均PEG1.79, PB1.87; ROIC23.6133%; ROE22.38%; 股利率.9751%; 毛利45.86%; 净利15.0267%; 上一年度营收增6.15%, 利润增44.79%; 当季营收增-68.96%, 利润增-178.88%; 过往5年营收增12.69%, 利润增34.05%
Income profile:
</v>
      </c>
      <c r="D67" t="s">
        <v>1393</v>
      </c>
      <c r="E67" t="s">
        <v>1394</v>
      </c>
      <c r="F67">
        <v>24.51</v>
      </c>
      <c r="G67">
        <v>-1.37</v>
      </c>
      <c r="H67" t="s">
        <v>3103</v>
      </c>
      <c r="I67">
        <v>1680685700</v>
      </c>
      <c r="J67">
        <v>584.29999999999995</v>
      </c>
      <c r="K67">
        <v>1.87</v>
      </c>
      <c r="L67" t="s">
        <v>1747</v>
      </c>
      <c r="M67" t="s">
        <v>1502</v>
      </c>
      <c r="N67" t="s">
        <v>1406</v>
      </c>
      <c r="O67" t="s">
        <v>3104</v>
      </c>
      <c r="P67" s="5">
        <v>-24.62</v>
      </c>
      <c r="Q67" t="s">
        <v>1206</v>
      </c>
      <c r="R67">
        <v>-19742803</v>
      </c>
      <c r="S67">
        <v>-5.1379999999999999</v>
      </c>
      <c r="T67" t="s">
        <v>314</v>
      </c>
      <c r="U67">
        <v>17142858</v>
      </c>
      <c r="V67">
        <v>68571430</v>
      </c>
      <c r="W67">
        <v>1.64</v>
      </c>
      <c r="X67">
        <v>0.02</v>
      </c>
      <c r="Y67">
        <v>-64.180000000000007</v>
      </c>
      <c r="Z67" t="s">
        <v>3105</v>
      </c>
      <c r="AA67" t="s">
        <v>3106</v>
      </c>
      <c r="AB67" t="s">
        <v>3107</v>
      </c>
      <c r="AC67" t="s">
        <v>3108</v>
      </c>
      <c r="AD67" t="s">
        <v>28</v>
      </c>
      <c r="AE67">
        <v>576285</v>
      </c>
      <c r="AF67" t="s">
        <v>3109</v>
      </c>
      <c r="AG67" t="s">
        <v>3110</v>
      </c>
      <c r="AH67" t="s">
        <v>3111</v>
      </c>
      <c r="AI67" t="s">
        <v>104</v>
      </c>
      <c r="AJ67" t="s">
        <v>3112</v>
      </c>
      <c r="AK67" t="s">
        <v>3113</v>
      </c>
      <c r="AL67" t="s">
        <v>3114</v>
      </c>
      <c r="AM67" t="s">
        <v>28</v>
      </c>
      <c r="AN67" t="s">
        <v>529</v>
      </c>
      <c r="AO67" t="s">
        <v>69</v>
      </c>
      <c r="AP67" t="s">
        <v>28</v>
      </c>
      <c r="AQ67" t="s">
        <v>469</v>
      </c>
      <c r="AR67" t="s">
        <v>28</v>
      </c>
      <c r="AS67" t="s">
        <v>3115</v>
      </c>
      <c r="AT67" t="s">
        <v>3116</v>
      </c>
      <c r="AU67" t="s">
        <v>3117</v>
      </c>
      <c r="AV67" t="s">
        <v>3118</v>
      </c>
      <c r="AW67" t="s">
        <v>3119</v>
      </c>
      <c r="AX67" t="s">
        <v>943</v>
      </c>
      <c r="AY67" t="s">
        <v>1190</v>
      </c>
      <c r="AZ67" t="s">
        <v>1478</v>
      </c>
      <c r="BA67" t="s">
        <v>777</v>
      </c>
      <c r="BB67" t="s">
        <v>172</v>
      </c>
      <c r="BC67" t="s">
        <v>3120</v>
      </c>
      <c r="BD67" t="s">
        <v>1485</v>
      </c>
      <c r="BE67" t="s">
        <v>1486</v>
      </c>
      <c r="BF67" t="s">
        <v>1487</v>
      </c>
      <c r="BG67" t="s">
        <v>1488</v>
      </c>
      <c r="BH67" t="s">
        <v>1688</v>
      </c>
      <c r="BI67" t="s">
        <v>3121</v>
      </c>
      <c r="BJ67" t="s">
        <v>943</v>
      </c>
      <c r="BK67" t="s">
        <v>3122</v>
      </c>
      <c r="BL67" t="s">
        <v>3123</v>
      </c>
      <c r="BM67" t="s">
        <v>3120</v>
      </c>
      <c r="BN67">
        <v>5.44</v>
      </c>
      <c r="BO67">
        <v>24.67</v>
      </c>
      <c r="BP67">
        <v>40.729999999999997</v>
      </c>
      <c r="BQ67">
        <v>7.08</v>
      </c>
      <c r="BR67">
        <v>37.68</v>
      </c>
      <c r="BS67" t="s">
        <v>28</v>
      </c>
      <c r="BT67" t="s">
        <v>3124</v>
      </c>
      <c r="BU67" t="s">
        <v>1159</v>
      </c>
      <c r="BV67">
        <v>46.42</v>
      </c>
      <c r="BW67">
        <v>46.55</v>
      </c>
      <c r="BX67">
        <v>44.61</v>
      </c>
      <c r="BY67">
        <v>6.32</v>
      </c>
      <c r="BZ67">
        <v>19.64</v>
      </c>
      <c r="CA67">
        <v>19.12</v>
      </c>
      <c r="CB67">
        <v>-8.0299999999999994</v>
      </c>
      <c r="CC67" s="10">
        <v>-6.35</v>
      </c>
      <c r="CD67" s="11" t="s">
        <v>3125</v>
      </c>
      <c r="CE67" s="10" t="s">
        <v>3126</v>
      </c>
      <c r="CF67" s="10">
        <v>-0.68961603418948281</v>
      </c>
      <c r="CG67" s="10">
        <v>-1.788828631932236</v>
      </c>
      <c r="CH67" s="10">
        <v>6.1503417789936066E-2</v>
      </c>
      <c r="CI67" s="10">
        <v>-8.541666716337204E-2</v>
      </c>
      <c r="CJ67" s="11">
        <v>0.49532711505889893</v>
      </c>
      <c r="CK67" s="11">
        <v>3.2154340296983719E-2</v>
      </c>
      <c r="CL67" s="11">
        <v>0.13090908527374268</v>
      </c>
      <c r="CM67" s="11">
        <v>0.4478820264339447</v>
      </c>
      <c r="CN67" s="11">
        <v>-6.1398841440677643E-2</v>
      </c>
      <c r="CO67">
        <v>0.29849019646644592</v>
      </c>
      <c r="CP67">
        <v>1.0161234140396118</v>
      </c>
      <c r="CQ67">
        <v>1.2652961304411292E-3</v>
      </c>
      <c r="CR67" s="10">
        <v>22.692772060392155</v>
      </c>
      <c r="CS67" s="11">
        <v>1.7883045124801213</v>
      </c>
      <c r="CT67">
        <v>0.97511219910240721</v>
      </c>
      <c r="CU67">
        <v>0.12689545825123788</v>
      </c>
      <c r="CV67">
        <v>0.34047241832595321</v>
      </c>
      <c r="CW67">
        <v>0.06</v>
      </c>
      <c r="CX67">
        <v>10.743476377824599</v>
      </c>
      <c r="CY67">
        <v>132888615.35981578</v>
      </c>
      <c r="CZ67">
        <v>0.12689545825123788</v>
      </c>
      <c r="DA67">
        <v>3.4033251168559899</v>
      </c>
      <c r="DB67">
        <v>419497300.721861</v>
      </c>
      <c r="DC67">
        <v>0.12055068533867598</v>
      </c>
      <c r="DD67">
        <v>1.6061845199778204</v>
      </c>
      <c r="DE67">
        <v>888867799.5848912</v>
      </c>
      <c r="DF67">
        <v>0.11166800326108933</v>
      </c>
      <c r="DG67">
        <v>0.91899610135035381</v>
      </c>
      <c r="DH67">
        <v>1553527482.7631893</v>
      </c>
      <c r="DI67">
        <v>0.10151636660099031</v>
      </c>
      <c r="DJ67">
        <v>0.4257463949089017</v>
      </c>
      <c r="DK67">
        <v>3353371201.8993993</v>
      </c>
      <c r="DL67">
        <v>8.8826820775866511E-2</v>
      </c>
      <c r="DM67">
        <v>125000000</v>
      </c>
      <c r="DN67">
        <v>0.12689545825123788</v>
      </c>
      <c r="DO67">
        <v>1427685700</v>
      </c>
      <c r="DP67">
        <v>555301370</v>
      </c>
      <c r="DQ67" s="12">
        <v>2762</v>
      </c>
      <c r="DR67">
        <v>-0.81651149244072063</v>
      </c>
      <c r="DS67">
        <v>-2.1293010502581891</v>
      </c>
      <c r="DT67">
        <v>-0.3066666666666667</v>
      </c>
      <c r="DU67">
        <v>-0.36499999999999999</v>
      </c>
      <c r="DV67">
        <v>-0.67166666666666663</v>
      </c>
      <c r="DW67">
        <v>-5.7907845579078456</v>
      </c>
      <c r="DX67">
        <v>0.34732753141348482</v>
      </c>
      <c r="DY67">
        <v>-5.1718592558500154</v>
      </c>
      <c r="DZ67">
        <v>314</v>
      </c>
      <c r="EA67">
        <v>-5.1612988240815412</v>
      </c>
      <c r="EB67" s="15">
        <v>5</v>
      </c>
      <c r="EC67" s="15">
        <v>0.14261041369561639</v>
      </c>
      <c r="ED67">
        <v>0.65620040299582494</v>
      </c>
      <c r="EE67">
        <v>2.0403099999999998</v>
      </c>
      <c r="EF67">
        <v>2.0677099999999999</v>
      </c>
      <c r="EG67">
        <v>13.217327531413485</v>
      </c>
      <c r="EH67" s="14" t="s">
        <v>1270</v>
      </c>
      <c r="EI67">
        <v>0</v>
      </c>
      <c r="EJ67">
        <v>1</v>
      </c>
      <c r="EK67">
        <v>45470</v>
      </c>
      <c r="EL67">
        <v>-0.39</v>
      </c>
      <c r="EM67">
        <v>-6.02</v>
      </c>
      <c r="EN67" s="16">
        <v>-1.72</v>
      </c>
      <c r="EO67" s="16">
        <v>5.26</v>
      </c>
      <c r="EP67" s="16">
        <v>-2.74</v>
      </c>
    </row>
    <row r="68" spans="1:146" ht="108" x14ac:dyDescent="0.25">
      <c r="C68" s="7" t="str">
        <f>""&amp;CHAR(10)&amp;Basic_Fundamental_Information_Constructure(F68)&amp;CHAR(10)&amp;Basic_Fundamental_Information_Concatenate("")</f>
        <v xml:space="preserve">
市值70.041751亿, 利润6535.33万; PE119.4; 平均PE17.16; 平均PEG170.56, PB1.63; ROIC9.29%; ROE5.445%; 股利率0%; 毛利8.3%; 净利4.4567%; 上一年度营收增-94.57%, 利润增-69.17%; 当季营收增2015.74%, 利润增-654%; 过往5年营收增.1%, 利润增-8.13%
Income profile:
</v>
      </c>
      <c r="D68" t="s">
        <v>1673</v>
      </c>
      <c r="E68" t="s">
        <v>1674</v>
      </c>
      <c r="F68">
        <v>17.510000000000002</v>
      </c>
      <c r="G68">
        <v>4.2300000000000004</v>
      </c>
      <c r="H68" t="s">
        <v>3127</v>
      </c>
      <c r="I68">
        <v>7004175100</v>
      </c>
      <c r="J68">
        <v>119.4</v>
      </c>
      <c r="K68">
        <v>1.63</v>
      </c>
      <c r="L68" t="s">
        <v>1747</v>
      </c>
      <c r="M68" t="s">
        <v>3128</v>
      </c>
      <c r="N68" t="s">
        <v>3129</v>
      </c>
      <c r="O68" t="s">
        <v>3130</v>
      </c>
      <c r="P68" s="5">
        <v>19.260000000000002</v>
      </c>
      <c r="Q68" t="s">
        <v>580</v>
      </c>
      <c r="R68">
        <v>-75003810</v>
      </c>
      <c r="S68">
        <v>-2.6179999999999999</v>
      </c>
      <c r="T68" t="s">
        <v>3131</v>
      </c>
      <c r="U68">
        <v>40010000</v>
      </c>
      <c r="V68">
        <v>400010000</v>
      </c>
      <c r="W68">
        <v>2.4900000000000002</v>
      </c>
      <c r="X68">
        <v>0.21</v>
      </c>
      <c r="Y68">
        <v>-3.26</v>
      </c>
      <c r="Z68" t="s">
        <v>3132</v>
      </c>
      <c r="AA68" t="s">
        <v>3133</v>
      </c>
      <c r="AB68" t="s">
        <v>3134</v>
      </c>
      <c r="AC68" t="s">
        <v>3135</v>
      </c>
      <c r="AD68" t="s">
        <v>28</v>
      </c>
      <c r="AE68">
        <v>36006296</v>
      </c>
      <c r="AF68" t="s">
        <v>3136</v>
      </c>
      <c r="AG68" t="s">
        <v>3137</v>
      </c>
      <c r="AH68" t="s">
        <v>3138</v>
      </c>
      <c r="AI68" t="s">
        <v>980</v>
      </c>
      <c r="AJ68" t="s">
        <v>3139</v>
      </c>
      <c r="AK68" t="s">
        <v>1552</v>
      </c>
      <c r="AL68" t="s">
        <v>3140</v>
      </c>
      <c r="AM68" t="s">
        <v>28</v>
      </c>
      <c r="AN68" t="s">
        <v>726</v>
      </c>
      <c r="AO68" t="s">
        <v>1401</v>
      </c>
      <c r="AP68" t="s">
        <v>3141</v>
      </c>
      <c r="AQ68" t="s">
        <v>3142</v>
      </c>
      <c r="AR68" t="s">
        <v>28</v>
      </c>
      <c r="AS68" t="s">
        <v>3143</v>
      </c>
      <c r="AT68" t="s">
        <v>3144</v>
      </c>
      <c r="AU68" t="s">
        <v>1438</v>
      </c>
      <c r="AV68" t="s">
        <v>3145</v>
      </c>
      <c r="AW68" t="s">
        <v>626</v>
      </c>
      <c r="AX68" t="s">
        <v>1675</v>
      </c>
      <c r="AY68" t="s">
        <v>1022</v>
      </c>
      <c r="AZ68" t="s">
        <v>1677</v>
      </c>
      <c r="BA68" t="s">
        <v>1678</v>
      </c>
      <c r="BB68" t="s">
        <v>1679</v>
      </c>
      <c r="BC68" t="s">
        <v>162</v>
      </c>
      <c r="BD68" t="s">
        <v>1680</v>
      </c>
      <c r="BE68" t="s">
        <v>1560</v>
      </c>
      <c r="BF68" t="s">
        <v>518</v>
      </c>
      <c r="BG68" t="s">
        <v>1478</v>
      </c>
      <c r="BH68" t="s">
        <v>3146</v>
      </c>
      <c r="BI68" t="s">
        <v>152</v>
      </c>
      <c r="BJ68" t="s">
        <v>1675</v>
      </c>
      <c r="BK68" t="s">
        <v>409</v>
      </c>
      <c r="BL68" t="s">
        <v>3147</v>
      </c>
      <c r="BM68" t="s">
        <v>162</v>
      </c>
      <c r="BN68">
        <v>3.07</v>
      </c>
      <c r="BO68">
        <v>5.36</v>
      </c>
      <c r="BP68">
        <v>19.440000000000001</v>
      </c>
      <c r="BQ68">
        <v>4.3899999999999997</v>
      </c>
      <c r="BR68">
        <v>6.5</v>
      </c>
      <c r="BS68" t="s">
        <v>28</v>
      </c>
      <c r="BT68" t="s">
        <v>1244</v>
      </c>
      <c r="BU68" t="s">
        <v>1061</v>
      </c>
      <c r="BV68">
        <v>5.49</v>
      </c>
      <c r="BW68">
        <v>6.6</v>
      </c>
      <c r="BX68">
        <v>12.81</v>
      </c>
      <c r="BY68">
        <v>2.02</v>
      </c>
      <c r="BZ68">
        <v>2.3199999999999998</v>
      </c>
      <c r="CA68">
        <v>9.0299999999999994</v>
      </c>
      <c r="CB68">
        <v>0.34</v>
      </c>
      <c r="CC68" s="10">
        <v>-15.33</v>
      </c>
      <c r="CD68" s="11" t="s">
        <v>3148</v>
      </c>
      <c r="CE68" s="10" t="s">
        <v>237</v>
      </c>
      <c r="CF68" s="10">
        <v>20.157407407407408</v>
      </c>
      <c r="CG68" s="10">
        <v>-6.5400384089817925</v>
      </c>
      <c r="CH68" s="10">
        <v>-0.94570547342300415</v>
      </c>
      <c r="CI68" s="10">
        <v>0.10988729447126389</v>
      </c>
      <c r="CJ68" s="11">
        <v>0.6360810399055481</v>
      </c>
      <c r="CK68" s="11">
        <v>0.12803743779659271</v>
      </c>
      <c r="CL68" s="11">
        <v>7.6729543507099152E-2</v>
      </c>
      <c r="CM68" s="11">
        <v>-0.69172972440719604</v>
      </c>
      <c r="CN68" s="11">
        <v>-0.70514601469039917</v>
      </c>
      <c r="CO68">
        <v>0.21043771505355835</v>
      </c>
      <c r="CP68">
        <v>0.10408922284841537</v>
      </c>
      <c r="CQ68">
        <v>0.67601245641708374</v>
      </c>
      <c r="CR68" s="10">
        <v>17.157610786488007</v>
      </c>
      <c r="CS68" s="11">
        <v>170.55813987909193</v>
      </c>
      <c r="CT68">
        <v>0</v>
      </c>
      <c r="CU68">
        <v>1.0059684514999389E-3</v>
      </c>
      <c r="CV68">
        <v>-8.1267268955707544E-2</v>
      </c>
      <c r="CW68">
        <v>0.06</v>
      </c>
      <c r="CX68">
        <v>138.60529198476826</v>
      </c>
      <c r="CY68">
        <v>61716078.639623977</v>
      </c>
      <c r="CZ68">
        <v>1.0059684514999389E-3</v>
      </c>
      <c r="DA68">
        <v>48.876038641610798</v>
      </c>
      <c r="DB68">
        <v>175017766.12307879</v>
      </c>
      <c r="DC68">
        <v>9.5567002892494191E-4</v>
      </c>
      <c r="DD68">
        <v>26.540031028186718</v>
      </c>
      <c r="DE68">
        <v>322312174.04814178</v>
      </c>
      <c r="DF68">
        <v>8.8525223731994625E-4</v>
      </c>
      <c r="DG68">
        <v>17.712178934435901</v>
      </c>
      <c r="DH68">
        <v>482954419.76193166</v>
      </c>
      <c r="DI68">
        <v>8.0477476119995112E-4</v>
      </c>
      <c r="DJ68">
        <v>11.342691629579614</v>
      </c>
      <c r="DK68">
        <v>754157423.94797325</v>
      </c>
      <c r="DL68">
        <v>7.0417791604995719E-4</v>
      </c>
      <c r="DM68">
        <v>65353300</v>
      </c>
      <c r="DN68">
        <v>1.0059684514999389E-3</v>
      </c>
      <c r="DO68">
        <v>8554175100</v>
      </c>
      <c r="DP68">
        <v>366123900</v>
      </c>
      <c r="DQ68" s="12">
        <v>2805</v>
      </c>
      <c r="DR68">
        <v>20.156401438955907</v>
      </c>
      <c r="DS68">
        <v>-6.4587711400260845</v>
      </c>
      <c r="DT68">
        <v>-0.50666666666666671</v>
      </c>
      <c r="DU68">
        <v>-1.1983333333333335</v>
      </c>
      <c r="DV68">
        <v>-1.7050000000000001</v>
      </c>
      <c r="DW68">
        <v>-2.1532999999999998</v>
      </c>
      <c r="DX68">
        <v>0.57977477477477235</v>
      </c>
      <c r="DY68">
        <v>-2.0152954729729728</v>
      </c>
      <c r="DZ68">
        <v>2047</v>
      </c>
      <c r="EA68">
        <v>-2.0091683040540538</v>
      </c>
      <c r="EB68" s="15">
        <v>2</v>
      </c>
      <c r="EC68" s="15">
        <v>2.7686807829804254E-2</v>
      </c>
      <c r="ED68">
        <v>0.27749306267343321</v>
      </c>
      <c r="EE68">
        <v>3.0521099999999999</v>
      </c>
      <c r="EF68">
        <v>3.08731</v>
      </c>
      <c r="EG68">
        <v>48.099774774774772</v>
      </c>
      <c r="EH68" s="14" t="s">
        <v>1366</v>
      </c>
      <c r="EI68">
        <v>0</v>
      </c>
      <c r="EJ68">
        <v>0</v>
      </c>
      <c r="EK68">
        <v>45470</v>
      </c>
      <c r="EL68">
        <v>-1.82</v>
      </c>
      <c r="EM68">
        <v>-7.37</v>
      </c>
      <c r="EN68" s="16">
        <v>2.1</v>
      </c>
      <c r="EO68" s="16">
        <v>7.33</v>
      </c>
      <c r="EP68" s="16">
        <v>-3.52</v>
      </c>
    </row>
    <row r="69" spans="1:146" ht="108" x14ac:dyDescent="0.25">
      <c r="C69" s="7" t="str">
        <f>""&amp;CHAR(10)&amp;Basic_Fundamental_Information_Constructure(F69)&amp;CHAR(10)&amp;Basic_Fundamental_Information_Concatenate("")</f>
        <v xml:space="preserve">
市值28.169856亿, 利润1.08亿; PE41.01; 平均PE34.91; 平均PEG2.16, PB1.85; ROIC7.6667%; ROE10.545%; 股利率1.1655%; 毛利33.1767%; 净利12.62%; 上一年度营收增-54.52%, 利润增6.93%; 当季营收增72.08%, 利润增-80.14%; 过往5年营收增16.13%, 利润增26.38%
Income profile:
</v>
      </c>
      <c r="D69" t="s">
        <v>1395</v>
      </c>
      <c r="E69" t="s">
        <v>1396</v>
      </c>
      <c r="F69">
        <v>17.16</v>
      </c>
      <c r="G69">
        <v>1.42</v>
      </c>
      <c r="H69" t="s">
        <v>3149</v>
      </c>
      <c r="I69">
        <v>2816985600</v>
      </c>
      <c r="J69">
        <v>41.01</v>
      </c>
      <c r="K69">
        <v>1.85</v>
      </c>
      <c r="L69" t="s">
        <v>1747</v>
      </c>
      <c r="M69" t="s">
        <v>3150</v>
      </c>
      <c r="N69" t="s">
        <v>1499</v>
      </c>
      <c r="O69" t="s">
        <v>620</v>
      </c>
      <c r="P69" s="5">
        <v>19.89</v>
      </c>
      <c r="Q69" t="s">
        <v>961</v>
      </c>
      <c r="R69">
        <v>4961836</v>
      </c>
      <c r="S69">
        <v>0.24440000000000001</v>
      </c>
      <c r="T69" t="s">
        <v>152</v>
      </c>
      <c r="U69">
        <v>41160000</v>
      </c>
      <c r="V69">
        <v>164160000</v>
      </c>
      <c r="W69">
        <v>1.82</v>
      </c>
      <c r="X69">
        <v>0.04</v>
      </c>
      <c r="Y69">
        <v>3.8</v>
      </c>
      <c r="Z69" t="s">
        <v>196</v>
      </c>
      <c r="AA69" t="s">
        <v>3151</v>
      </c>
      <c r="AB69" t="s">
        <v>3152</v>
      </c>
      <c r="AC69" t="s">
        <v>3153</v>
      </c>
      <c r="AD69" t="s">
        <v>28</v>
      </c>
      <c r="AE69">
        <v>5087113</v>
      </c>
      <c r="AF69" t="s">
        <v>3154</v>
      </c>
      <c r="AG69" t="s">
        <v>3155</v>
      </c>
      <c r="AH69" t="s">
        <v>3156</v>
      </c>
      <c r="AI69" t="s">
        <v>1368</v>
      </c>
      <c r="AJ69" t="s">
        <v>3157</v>
      </c>
      <c r="AK69" t="s">
        <v>3158</v>
      </c>
      <c r="AL69" t="s">
        <v>3159</v>
      </c>
      <c r="AM69" t="s">
        <v>28</v>
      </c>
      <c r="AN69" t="s">
        <v>3160</v>
      </c>
      <c r="AO69" t="s">
        <v>3161</v>
      </c>
      <c r="AP69" t="s">
        <v>3162</v>
      </c>
      <c r="AQ69" t="s">
        <v>1630</v>
      </c>
      <c r="AR69" t="s">
        <v>28</v>
      </c>
      <c r="AS69" t="s">
        <v>1481</v>
      </c>
      <c r="AT69" t="s">
        <v>1207</v>
      </c>
      <c r="AU69" t="s">
        <v>3163</v>
      </c>
      <c r="AV69" t="s">
        <v>3164</v>
      </c>
      <c r="AW69" t="s">
        <v>3165</v>
      </c>
      <c r="AX69" t="s">
        <v>1232</v>
      </c>
      <c r="AY69" t="s">
        <v>1490</v>
      </c>
      <c r="AZ69" t="s">
        <v>1205</v>
      </c>
      <c r="BA69" t="s">
        <v>1491</v>
      </c>
      <c r="BB69" t="s">
        <v>596</v>
      </c>
      <c r="BC69" t="s">
        <v>110</v>
      </c>
      <c r="BD69" t="s">
        <v>1492</v>
      </c>
      <c r="BE69" t="s">
        <v>1493</v>
      </c>
      <c r="BF69" t="s">
        <v>1494</v>
      </c>
      <c r="BG69" t="s">
        <v>1495</v>
      </c>
      <c r="BH69" t="s">
        <v>1583</v>
      </c>
      <c r="BI69" t="s">
        <v>3166</v>
      </c>
      <c r="BJ69" t="s">
        <v>1232</v>
      </c>
      <c r="BK69" t="s">
        <v>3167</v>
      </c>
      <c r="BL69" t="s">
        <v>3168</v>
      </c>
      <c r="BM69" t="s">
        <v>110</v>
      </c>
      <c r="BN69">
        <v>3.59</v>
      </c>
      <c r="BO69">
        <v>9.1</v>
      </c>
      <c r="BP69">
        <v>10.31</v>
      </c>
      <c r="BQ69">
        <v>5.85</v>
      </c>
      <c r="BR69">
        <v>15.24</v>
      </c>
      <c r="BS69" t="s">
        <v>28</v>
      </c>
      <c r="BT69" t="s">
        <v>1250</v>
      </c>
      <c r="BU69" t="s">
        <v>1159</v>
      </c>
      <c r="BV69">
        <v>33.21</v>
      </c>
      <c r="BW69">
        <v>33.67</v>
      </c>
      <c r="BX69">
        <v>32.65</v>
      </c>
      <c r="BY69">
        <v>9.6</v>
      </c>
      <c r="BZ69">
        <v>13.3</v>
      </c>
      <c r="CA69">
        <v>14.96</v>
      </c>
      <c r="CB69">
        <v>3.62</v>
      </c>
      <c r="CC69" s="10">
        <v>10.35</v>
      </c>
      <c r="CD69" s="11" t="s">
        <v>3169</v>
      </c>
      <c r="CE69" s="10" t="s">
        <v>477</v>
      </c>
      <c r="CF69" s="10">
        <v>0.72082644077581515</v>
      </c>
      <c r="CG69" s="10">
        <v>-0.80142488954344626</v>
      </c>
      <c r="CH69" s="10">
        <v>-0.54521274566650391</v>
      </c>
      <c r="CI69" s="10">
        <v>0.16589146852493286</v>
      </c>
      <c r="CJ69" s="11">
        <v>0.22159090638160706</v>
      </c>
      <c r="CK69" s="11">
        <v>0.60486322641372681</v>
      </c>
      <c r="CL69" s="11">
        <v>0.35950413346290588</v>
      </c>
      <c r="CM69" s="11">
        <v>6.9306932389736176E-2</v>
      </c>
      <c r="CN69" s="11">
        <v>3.6181233823299408E-2</v>
      </c>
      <c r="CO69">
        <v>0.11524611711502075</v>
      </c>
      <c r="CP69">
        <v>0.62654983997344971</v>
      </c>
      <c r="CQ69">
        <v>0.47150981426239014</v>
      </c>
      <c r="CR69" s="10">
        <v>34.912371812257149</v>
      </c>
      <c r="CS69" s="11">
        <v>2.1640696052439248</v>
      </c>
      <c r="CT69">
        <v>1.1655011655011656</v>
      </c>
      <c r="CU69">
        <v>0.16132739782333375</v>
      </c>
      <c r="CV69">
        <v>0.26375878751277926</v>
      </c>
      <c r="CW69">
        <v>0.06</v>
      </c>
      <c r="CX69">
        <v>21.787526331233927</v>
      </c>
      <c r="CY69">
        <v>118323923.55181135</v>
      </c>
      <c r="CZ69">
        <v>0.16132739782333375</v>
      </c>
      <c r="DA69">
        <v>6.7059947908540476</v>
      </c>
      <c r="DB69">
        <v>384430003.36295795</v>
      </c>
      <c r="DC69">
        <v>0.15326102793216706</v>
      </c>
      <c r="DD69">
        <v>3.040740361066824</v>
      </c>
      <c r="DE69">
        <v>847815102.20607281</v>
      </c>
      <c r="DF69">
        <v>0.14196811008453369</v>
      </c>
      <c r="DG69">
        <v>1.6595030735718073</v>
      </c>
      <c r="DH69">
        <v>1553468409.3421474</v>
      </c>
      <c r="DI69">
        <v>0.129061918258667</v>
      </c>
      <c r="DJ69">
        <v>0.68805103809173529</v>
      </c>
      <c r="DK69">
        <v>3746794143.5709114</v>
      </c>
      <c r="DL69">
        <v>0.11292917847633362</v>
      </c>
      <c r="DM69">
        <v>108000000</v>
      </c>
      <c r="DN69">
        <v>0.16132739782333375</v>
      </c>
      <c r="DO69">
        <v>2577985600</v>
      </c>
      <c r="DP69">
        <v>909423400</v>
      </c>
      <c r="DQ69" s="12">
        <v>2819</v>
      </c>
      <c r="DR69">
        <v>0.55949904295248143</v>
      </c>
      <c r="DS69">
        <v>-1.0651836770562255</v>
      </c>
      <c r="DT69">
        <v>9.999999999999936E-3</v>
      </c>
      <c r="DU69">
        <v>-0.10666666666666669</v>
      </c>
      <c r="DV69">
        <v>-9.6666666666666748E-2</v>
      </c>
      <c r="DW69">
        <v>8.349758454106281</v>
      </c>
      <c r="DX69">
        <v>0.50511621621621794</v>
      </c>
      <c r="DY69">
        <v>8.1102145606476039</v>
      </c>
      <c r="DZ69">
        <v>187</v>
      </c>
      <c r="EA69">
        <v>8.1061812685064876</v>
      </c>
      <c r="EB69" s="15">
        <v>8</v>
      </c>
      <c r="EC69" s="15">
        <v>0.28409600389863549</v>
      </c>
      <c r="ED69">
        <v>0.90155945419103312</v>
      </c>
      <c r="EE69">
        <v>2.0907100000000001</v>
      </c>
      <c r="EF69">
        <v>2.1039099999999999</v>
      </c>
      <c r="EG69">
        <v>19.315116216216218</v>
      </c>
      <c r="EH69" s="14" t="s">
        <v>1270</v>
      </c>
      <c r="EI69">
        <v>0</v>
      </c>
      <c r="EJ69">
        <v>1</v>
      </c>
      <c r="EK69">
        <v>45470</v>
      </c>
      <c r="EL69">
        <v>-1.1200000000000001</v>
      </c>
      <c r="EM69">
        <v>-5.26</v>
      </c>
      <c r="EN69" s="16">
        <v>2.75</v>
      </c>
      <c r="EO69" s="16">
        <v>1.69</v>
      </c>
      <c r="EP69" s="16">
        <v>-1.32</v>
      </c>
    </row>
    <row r="70" spans="1:146" ht="108" x14ac:dyDescent="0.25">
      <c r="A70" s="7"/>
      <c r="B70" s="7"/>
      <c r="C70" s="7" t="str">
        <f>""&amp;CHAR(10)&amp;Basic_Fundamental_Information_Constructure(F70)&amp;CHAR(10)&amp;Basic_Fundamental_Information_Concatenate("")</f>
        <v xml:space="preserve">
市值202.6003亿, 利润9.34亿; PE12.32; 平均PE9.91; 平均PEG19.76, PB1.04; ROIC4.99%; ROE8.17%; 股利率3.6232%; 毛利31.9367%; 净利13.7433%; 上一年度营收增-50.16%, 利润增-70.4%; 当季营收增102.09%, 利润增463.9%; 过往5年营收增-.5%, 利润增-70.4%
Income profile:
</v>
      </c>
      <c r="D70" t="s">
        <v>244</v>
      </c>
      <c r="E70" t="s">
        <v>657</v>
      </c>
      <c r="F70">
        <v>2.76</v>
      </c>
      <c r="G70">
        <v>0.36</v>
      </c>
      <c r="H70" t="s">
        <v>3170</v>
      </c>
      <c r="I70">
        <v>20260030000</v>
      </c>
      <c r="J70">
        <v>12.32</v>
      </c>
      <c r="K70">
        <v>1.04</v>
      </c>
      <c r="L70" t="s">
        <v>1747</v>
      </c>
      <c r="M70" t="s">
        <v>3171</v>
      </c>
      <c r="N70" t="s">
        <v>3172</v>
      </c>
      <c r="O70" t="s">
        <v>3173</v>
      </c>
      <c r="P70">
        <v>0.24</v>
      </c>
      <c r="Q70" t="s">
        <v>3174</v>
      </c>
      <c r="R70">
        <v>361525500</v>
      </c>
      <c r="S70" s="5">
        <v>0.11890000000000001</v>
      </c>
      <c r="T70" t="s">
        <v>1743</v>
      </c>
      <c r="U70">
        <v>7340590700</v>
      </c>
      <c r="V70">
        <v>7340590700</v>
      </c>
      <c r="W70">
        <v>2.85</v>
      </c>
      <c r="X70" t="s">
        <v>28</v>
      </c>
      <c r="Y70">
        <v>10.98</v>
      </c>
      <c r="Z70" t="s">
        <v>28</v>
      </c>
      <c r="AA70" t="s">
        <v>28</v>
      </c>
      <c r="AB70" t="s">
        <v>28</v>
      </c>
      <c r="AC70" t="s">
        <v>28</v>
      </c>
      <c r="AD70" t="s">
        <v>28</v>
      </c>
      <c r="AE70">
        <v>394392970</v>
      </c>
      <c r="AF70" t="s">
        <v>3175</v>
      </c>
      <c r="AG70" t="s">
        <v>3176</v>
      </c>
      <c r="AH70" t="s">
        <v>3177</v>
      </c>
      <c r="AI70" t="s">
        <v>1292</v>
      </c>
      <c r="AJ70" t="s">
        <v>3178</v>
      </c>
      <c r="AK70" t="s">
        <v>28</v>
      </c>
      <c r="AL70" t="s">
        <v>3179</v>
      </c>
      <c r="AM70" t="s">
        <v>28</v>
      </c>
      <c r="AN70" t="s">
        <v>3180</v>
      </c>
      <c r="AO70" t="s">
        <v>28</v>
      </c>
      <c r="AP70" t="s">
        <v>28</v>
      </c>
      <c r="AQ70" t="s">
        <v>3181</v>
      </c>
      <c r="AR70" t="s">
        <v>28</v>
      </c>
      <c r="AS70" t="s">
        <v>28</v>
      </c>
      <c r="AT70" t="s">
        <v>28</v>
      </c>
      <c r="AU70" t="s">
        <v>3182</v>
      </c>
      <c r="AV70" t="s">
        <v>3183</v>
      </c>
      <c r="AW70" t="s">
        <v>3184</v>
      </c>
      <c r="AX70" t="s">
        <v>3185</v>
      </c>
      <c r="AY70" t="s">
        <v>28</v>
      </c>
      <c r="AZ70" t="s">
        <v>569</v>
      </c>
      <c r="BA70" t="s">
        <v>245</v>
      </c>
      <c r="BB70" t="s">
        <v>570</v>
      </c>
      <c r="BC70" t="s">
        <v>3186</v>
      </c>
      <c r="BD70" t="s">
        <v>28</v>
      </c>
      <c r="BE70" t="s">
        <v>28</v>
      </c>
      <c r="BF70" t="s">
        <v>28</v>
      </c>
      <c r="BG70" t="s">
        <v>28</v>
      </c>
      <c r="BH70" t="s">
        <v>3187</v>
      </c>
      <c r="BI70" t="s">
        <v>3188</v>
      </c>
      <c r="BJ70" t="s">
        <v>3185</v>
      </c>
      <c r="BK70" t="s">
        <v>3189</v>
      </c>
      <c r="BL70" t="s">
        <v>3190</v>
      </c>
      <c r="BM70" t="s">
        <v>3186</v>
      </c>
      <c r="BN70">
        <v>3.15</v>
      </c>
      <c r="BO70">
        <v>7.16</v>
      </c>
      <c r="BP70">
        <v>4.66</v>
      </c>
      <c r="BQ70">
        <v>4.46</v>
      </c>
      <c r="BR70">
        <v>11.45</v>
      </c>
      <c r="BS70">
        <v>8.6</v>
      </c>
      <c r="BT70" t="s">
        <v>1245</v>
      </c>
      <c r="BU70" t="s">
        <v>1153</v>
      </c>
      <c r="BV70">
        <v>32.200000000000003</v>
      </c>
      <c r="BW70">
        <v>32.79</v>
      </c>
      <c r="BX70">
        <v>30.82</v>
      </c>
      <c r="BY70">
        <v>9.7899999999999991</v>
      </c>
      <c r="BZ70">
        <v>19.739999999999998</v>
      </c>
      <c r="CA70">
        <v>11.7</v>
      </c>
      <c r="CB70">
        <v>2.99</v>
      </c>
      <c r="CC70">
        <v>-2.13</v>
      </c>
      <c r="CD70" t="s">
        <v>478</v>
      </c>
      <c r="CE70" t="s">
        <v>1498</v>
      </c>
      <c r="CF70" s="10">
        <v>1.0208913649025069</v>
      </c>
      <c r="CG70" s="11">
        <v>4.6390361009195091</v>
      </c>
      <c r="CH70" s="10">
        <v>-0.5015791654586792</v>
      </c>
      <c r="CI70" s="10" t="s">
        <v>28</v>
      </c>
      <c r="CJ70" s="10" t="s">
        <v>28</v>
      </c>
      <c r="CK70" s="10">
        <v>0.28966259956359863</v>
      </c>
      <c r="CL70" s="10">
        <v>0.19686870276927948</v>
      </c>
      <c r="CM70" s="11">
        <v>-0.70396202802658081</v>
      </c>
      <c r="CN70" s="11" t="s">
        <v>28</v>
      </c>
      <c r="CO70" s="11" t="s">
        <v>28</v>
      </c>
      <c r="CP70" s="11" t="s">
        <v>28</v>
      </c>
      <c r="CQ70" s="11" t="s">
        <v>28</v>
      </c>
      <c r="CR70">
        <v>9.9095280019564687</v>
      </c>
      <c r="CS70">
        <v>19.756017022042641</v>
      </c>
      <c r="CT70">
        <v>3.6231884057971016</v>
      </c>
      <c r="CU70" s="10">
        <v>-5.0159543752670288E-3</v>
      </c>
      <c r="CV70" s="11">
        <v>-0.70396202802658081</v>
      </c>
      <c r="CW70">
        <v>0.06</v>
      </c>
      <c r="CX70">
        <v>56.158490364025695</v>
      </c>
      <c r="CY70" t="s">
        <v>3191</v>
      </c>
      <c r="CZ70">
        <v>-5.0159543752670288E-3</v>
      </c>
      <c r="DA70">
        <v>18.719496788008566</v>
      </c>
      <c r="DB70" t="s">
        <v>3192</v>
      </c>
      <c r="DC70">
        <v>-4.7651566565036774E-3</v>
      </c>
      <c r="DD70">
        <v>9.3597483940042832</v>
      </c>
      <c r="DE70" t="s">
        <v>3193</v>
      </c>
      <c r="DF70">
        <v>-4.4140398502349855E-3</v>
      </c>
      <c r="DG70">
        <v>5.6158490364025697</v>
      </c>
      <c r="DH70" t="s">
        <v>3194</v>
      </c>
      <c r="DI70">
        <v>-4.012763500213623E-3</v>
      </c>
      <c r="DJ70">
        <v>2.8079245182012849</v>
      </c>
      <c r="DK70" t="s">
        <v>3195</v>
      </c>
      <c r="DL70">
        <v>-3.5111680626869197E-3</v>
      </c>
      <c r="DM70">
        <v>934000000</v>
      </c>
      <c r="DN70">
        <v>-5.0159543752670288E-3</v>
      </c>
      <c r="DO70">
        <v>52452030000</v>
      </c>
      <c r="DP70">
        <v>27580207000</v>
      </c>
      <c r="DQ70">
        <v>2850</v>
      </c>
      <c r="DR70">
        <v>1.0259073192777739</v>
      </c>
      <c r="DS70">
        <v>5.3429981289460899</v>
      </c>
      <c r="DT70" s="12">
        <v>-0.91</v>
      </c>
      <c r="DU70">
        <v>-2.3199999999999998</v>
      </c>
      <c r="DV70">
        <v>-3.23</v>
      </c>
      <c r="DW70">
        <v>4.7123745819397991</v>
      </c>
      <c r="DX70">
        <v>0.40728855721392931</v>
      </c>
      <c r="DY70">
        <v>4.1191721160085857</v>
      </c>
      <c r="DZ70">
        <v>2170</v>
      </c>
      <c r="EA70">
        <v>4.0685647790734327</v>
      </c>
      <c r="EB70">
        <v>4</v>
      </c>
      <c r="EC70">
        <v>3.6645552244181111E-2</v>
      </c>
      <c r="ED70">
        <v>0.21905594055257702</v>
      </c>
      <c r="EE70" s="15">
        <v>2.0498099999999999</v>
      </c>
      <c r="EF70">
        <v>2.0686100000000001</v>
      </c>
      <c r="EG70">
        <v>24.167288557213929</v>
      </c>
      <c r="EH70" t="s">
        <v>1270</v>
      </c>
      <c r="EI70">
        <v>0</v>
      </c>
      <c r="EJ70">
        <v>0</v>
      </c>
      <c r="EK70" s="14">
        <v>45470</v>
      </c>
      <c r="EL70" s="16">
        <v>0.08</v>
      </c>
      <c r="EM70" s="16">
        <v>-1.02</v>
      </c>
      <c r="EN70" s="16">
        <v>2.25</v>
      </c>
      <c r="EO70" s="16">
        <v>0.62</v>
      </c>
      <c r="EP70" s="16">
        <v>-1.88</v>
      </c>
    </row>
    <row r="71" spans="1:146" ht="108" x14ac:dyDescent="0.25">
      <c r="A71" s="9"/>
      <c r="B71" s="9"/>
      <c r="C71" s="7" t="str">
        <f>""&amp;CHAR(10)&amp;Basic_Fundamental_Information_Constructure(F71)&amp;CHAR(10)&amp;Basic_Fundamental_Information_Concatenate("")</f>
        <v xml:space="preserve">
市值39.437883亿, 利润1.85亿; PE18.04; 平均PE41.04; 平均PEG.61, PB.745; ROIC3.09%; ROE4.5067%; 股利率1.5617%; 毛利19.7233%; 净利8.2933%; 上一年度营收增189.25%, 利润增2468.02%; 当季营收增-58.41%, 利润增36.66%; 过往5年营收增67.38%, 利润增2468.02%
Income profile:
</v>
      </c>
      <c r="D71" t="s">
        <v>804</v>
      </c>
      <c r="E71" t="s">
        <v>805</v>
      </c>
      <c r="F71">
        <v>3.97</v>
      </c>
      <c r="G71">
        <v>0.51</v>
      </c>
      <c r="H71" t="s">
        <v>3196</v>
      </c>
      <c r="I71">
        <v>3943788300</v>
      </c>
      <c r="J71">
        <v>18.04</v>
      </c>
      <c r="K71">
        <v>0.745</v>
      </c>
      <c r="L71" t="s">
        <v>1747</v>
      </c>
      <c r="M71" t="s">
        <v>3197</v>
      </c>
      <c r="N71" t="s">
        <v>3198</v>
      </c>
      <c r="O71" t="s">
        <v>3199</v>
      </c>
      <c r="P71">
        <v>22.51</v>
      </c>
      <c r="Q71" t="s">
        <v>3200</v>
      </c>
      <c r="R71">
        <v>49321752</v>
      </c>
      <c r="S71" s="5">
        <v>3.0009999999999999</v>
      </c>
      <c r="T71" t="s">
        <v>285</v>
      </c>
      <c r="U71">
        <v>993397570</v>
      </c>
      <c r="V71">
        <v>993397570</v>
      </c>
      <c r="W71">
        <v>4.09</v>
      </c>
      <c r="X71" t="s">
        <v>28</v>
      </c>
      <c r="Y71">
        <v>6.09</v>
      </c>
      <c r="Z71" t="s">
        <v>28</v>
      </c>
      <c r="AA71" t="s">
        <v>28</v>
      </c>
      <c r="AB71" t="s">
        <v>28</v>
      </c>
      <c r="AC71" t="s">
        <v>28</v>
      </c>
      <c r="AD71" t="s">
        <v>28</v>
      </c>
      <c r="AE71">
        <v>126050836</v>
      </c>
      <c r="AF71" t="s">
        <v>3201</v>
      </c>
      <c r="AG71" t="s">
        <v>3202</v>
      </c>
      <c r="AH71" t="s">
        <v>3203</v>
      </c>
      <c r="AI71" t="s">
        <v>3204</v>
      </c>
      <c r="AJ71" t="s">
        <v>3205</v>
      </c>
      <c r="AK71" t="s">
        <v>28</v>
      </c>
      <c r="AL71" t="s">
        <v>3206</v>
      </c>
      <c r="AM71" t="s">
        <v>28</v>
      </c>
      <c r="AN71" t="s">
        <v>889</v>
      </c>
      <c r="AO71" t="s">
        <v>28</v>
      </c>
      <c r="AP71" t="s">
        <v>3207</v>
      </c>
      <c r="AQ71" t="s">
        <v>3208</v>
      </c>
      <c r="AR71" t="s">
        <v>3209</v>
      </c>
      <c r="AS71" t="s">
        <v>28</v>
      </c>
      <c r="AT71" t="s">
        <v>28</v>
      </c>
      <c r="AU71" t="s">
        <v>3210</v>
      </c>
      <c r="AV71" t="s">
        <v>3211</v>
      </c>
      <c r="AW71" t="s">
        <v>249</v>
      </c>
      <c r="AX71" t="s">
        <v>1399</v>
      </c>
      <c r="AY71" t="s">
        <v>28</v>
      </c>
      <c r="AZ71" t="s">
        <v>806</v>
      </c>
      <c r="BA71" t="s">
        <v>807</v>
      </c>
      <c r="BB71" t="s">
        <v>732</v>
      </c>
      <c r="BC71" t="s">
        <v>3212</v>
      </c>
      <c r="BD71" t="s">
        <v>28</v>
      </c>
      <c r="BE71" t="s">
        <v>28</v>
      </c>
      <c r="BF71" t="s">
        <v>28</v>
      </c>
      <c r="BG71" t="s">
        <v>28</v>
      </c>
      <c r="BH71" t="s">
        <v>3213</v>
      </c>
      <c r="BI71" t="s">
        <v>3214</v>
      </c>
      <c r="BJ71" t="s">
        <v>1399</v>
      </c>
      <c r="BK71" t="s">
        <v>414</v>
      </c>
      <c r="BL71" t="s">
        <v>3215</v>
      </c>
      <c r="BM71" t="s">
        <v>3212</v>
      </c>
      <c r="BN71">
        <v>3.57</v>
      </c>
      <c r="BO71">
        <v>0.86</v>
      </c>
      <c r="BP71">
        <v>4.84</v>
      </c>
      <c r="BQ71">
        <v>6.19</v>
      </c>
      <c r="BR71">
        <v>0.12</v>
      </c>
      <c r="BS71">
        <v>7.21</v>
      </c>
      <c r="BT71" t="s">
        <v>3216</v>
      </c>
      <c r="BU71" t="s">
        <v>1159</v>
      </c>
      <c r="BV71">
        <v>12.74</v>
      </c>
      <c r="BW71">
        <v>20.18</v>
      </c>
      <c r="BX71">
        <v>26.25</v>
      </c>
      <c r="BY71">
        <v>4.68</v>
      </c>
      <c r="BZ71">
        <v>0.22</v>
      </c>
      <c r="CA71">
        <v>19.98</v>
      </c>
      <c r="CB71">
        <v>1.28</v>
      </c>
      <c r="CC71">
        <v>-10.47</v>
      </c>
      <c r="CD71" t="s">
        <v>3217</v>
      </c>
      <c r="CE71" t="s">
        <v>193</v>
      </c>
      <c r="CF71" s="10">
        <v>-0.58406169665809771</v>
      </c>
      <c r="CG71" s="11">
        <v>0.36658664716052669</v>
      </c>
      <c r="CH71" s="10">
        <v>1.8925360441207886</v>
      </c>
      <c r="CI71" s="10" t="s">
        <v>28</v>
      </c>
      <c r="CJ71" s="10" t="s">
        <v>28</v>
      </c>
      <c r="CK71" s="10">
        <v>7.521260529756546E-2</v>
      </c>
      <c r="CL71" s="10">
        <v>5.375593900680542E-2</v>
      </c>
      <c r="CM71" s="11">
        <v>24.680177688598633</v>
      </c>
      <c r="CN71" s="11" t="s">
        <v>28</v>
      </c>
      <c r="CO71" s="11" t="s">
        <v>28</v>
      </c>
      <c r="CP71" s="11" t="s">
        <v>28</v>
      </c>
      <c r="CQ71" s="11" t="s">
        <v>28</v>
      </c>
      <c r="CR71">
        <v>41.037525753886499</v>
      </c>
      <c r="CS71">
        <v>0.60901458233923478</v>
      </c>
      <c r="CT71">
        <v>1.5617128463476069</v>
      </c>
      <c r="CU71" s="10">
        <v>0.67383486280838645</v>
      </c>
      <c r="CV71" s="11">
        <v>24.680177688598633</v>
      </c>
      <c r="CW71">
        <v>0.06</v>
      </c>
      <c r="CX71">
        <v>52.961715258969839</v>
      </c>
      <c r="CY71">
        <v>292131556.24485987</v>
      </c>
      <c r="CZ71">
        <v>0.67383486280838645</v>
      </c>
      <c r="DA71">
        <v>10.93799897610837</v>
      </c>
      <c r="DB71">
        <v>1414498971.3195884</v>
      </c>
      <c r="DC71">
        <v>0.64014311966796711</v>
      </c>
      <c r="DD71">
        <v>2.6600417844800748</v>
      </c>
      <c r="DE71">
        <v>5816370400.7469482</v>
      </c>
      <c r="DF71">
        <v>0.59297467927138003</v>
      </c>
      <c r="DG71">
        <v>0.64053927448532111</v>
      </c>
      <c r="DH71">
        <v>24154316396.026951</v>
      </c>
      <c r="DI71">
        <v>0.5390678902467092</v>
      </c>
      <c r="DJ71">
        <v>3.3079254219142783E-2</v>
      </c>
      <c r="DK71">
        <v>467718776170.18829</v>
      </c>
      <c r="DL71">
        <v>0.47168440396587047</v>
      </c>
      <c r="DM71">
        <v>185000000</v>
      </c>
      <c r="DN71">
        <v>0.67383486280838645</v>
      </c>
      <c r="DO71">
        <v>15471788300</v>
      </c>
      <c r="DP71">
        <v>7867742600</v>
      </c>
      <c r="DQ71">
        <v>2973</v>
      </c>
      <c r="DR71">
        <v>-1.2578965594664842</v>
      </c>
      <c r="DS71">
        <v>-24.313591041438105</v>
      </c>
      <c r="DT71" s="12">
        <v>-0.21000000000000008</v>
      </c>
      <c r="DU71">
        <v>1.5599999999999998</v>
      </c>
      <c r="DV71">
        <v>1.3499999999999996</v>
      </c>
      <c r="DW71">
        <v>-2.1046999999999998</v>
      </c>
      <c r="DX71">
        <v>0.32438285714285869</v>
      </c>
      <c r="DY71">
        <v>-2.0130228851428571</v>
      </c>
      <c r="DZ71">
        <v>3188</v>
      </c>
      <c r="EA71">
        <v>-2.0048982358599945</v>
      </c>
      <c r="EB71">
        <v>2</v>
      </c>
      <c r="EC71">
        <v>1.7529336215308035E-2</v>
      </c>
      <c r="ED71">
        <v>0.14093048365318631</v>
      </c>
      <c r="EE71" s="15">
        <v>3.0794100000000002</v>
      </c>
      <c r="EF71">
        <v>3.0813100000000002</v>
      </c>
      <c r="EG71">
        <v>20.124382857142859</v>
      </c>
      <c r="EH71" t="s">
        <v>1366</v>
      </c>
      <c r="EI71">
        <v>0</v>
      </c>
      <c r="EJ71">
        <v>0</v>
      </c>
      <c r="EK71" s="14">
        <v>45470</v>
      </c>
      <c r="EL71" s="16">
        <v>1.95</v>
      </c>
      <c r="EM71" s="16">
        <v>-1.53</v>
      </c>
      <c r="EN71" s="16">
        <v>-0.78</v>
      </c>
      <c r="EO71" s="16">
        <v>2.94</v>
      </c>
      <c r="EP71" s="16">
        <v>-0.19</v>
      </c>
    </row>
    <row r="72" spans="1:146" ht="108" x14ac:dyDescent="0.25">
      <c r="A72" s="9"/>
      <c r="B72" s="9"/>
      <c r="C72" s="7" t="str">
        <f>""&amp;CHAR(10)&amp;Basic_Fundamental_Information_Constructure(F72)&amp;CHAR(10)&amp;Basic_Fundamental_Information_Concatenate("")</f>
        <v xml:space="preserve">
市值22.915692亿, 利润201.40亿; PE46.91; 平均PE.23; 平均PEG0, PB.725; ROIC1.93%; ROE-1.3933%; 股利率0%; 毛利18.27%; 净利-17.7367%; 上一年度营收增51992.01%, 利润增17462.07%; 当季营收增-99.91%, 利润增-99.97%; 过往5年营收增17325.56%, 利润增17462.07%
Income profile:
</v>
      </c>
      <c r="D72" t="s">
        <v>810</v>
      </c>
      <c r="E72" t="s">
        <v>811</v>
      </c>
      <c r="F72">
        <v>1.42</v>
      </c>
      <c r="G72">
        <v>0.71</v>
      </c>
      <c r="H72" t="s">
        <v>3218</v>
      </c>
      <c r="I72">
        <v>2291569200</v>
      </c>
      <c r="J72">
        <v>46.91</v>
      </c>
      <c r="K72">
        <v>0.72499999999999998</v>
      </c>
      <c r="L72" t="s">
        <v>1747</v>
      </c>
      <c r="M72" t="s">
        <v>980</v>
      </c>
      <c r="N72" t="s">
        <v>1692</v>
      </c>
      <c r="O72" t="s">
        <v>3219</v>
      </c>
      <c r="P72">
        <v>-35.229999999999997</v>
      </c>
      <c r="Q72" t="s">
        <v>3220</v>
      </c>
      <c r="R72">
        <v>1967268</v>
      </c>
      <c r="S72" s="6">
        <v>1.117</v>
      </c>
      <c r="T72" t="s">
        <v>3221</v>
      </c>
      <c r="U72">
        <v>1613781100</v>
      </c>
      <c r="V72">
        <v>1613781100</v>
      </c>
      <c r="W72">
        <v>1.1299999999999999</v>
      </c>
      <c r="X72" t="s">
        <v>28</v>
      </c>
      <c r="Y72">
        <v>2.4900000000000002</v>
      </c>
      <c r="Z72" t="s">
        <v>28</v>
      </c>
      <c r="AA72" t="s">
        <v>28</v>
      </c>
      <c r="AB72" t="s">
        <v>28</v>
      </c>
      <c r="AC72" t="s">
        <v>28</v>
      </c>
      <c r="AD72" t="s">
        <v>28</v>
      </c>
      <c r="AE72">
        <v>1092183</v>
      </c>
      <c r="AF72" t="s">
        <v>3222</v>
      </c>
      <c r="AG72" t="s">
        <v>3223</v>
      </c>
      <c r="AH72" t="s">
        <v>3224</v>
      </c>
      <c r="AI72" t="s">
        <v>674</v>
      </c>
      <c r="AJ72" t="s">
        <v>3225</v>
      </c>
      <c r="AK72" t="s">
        <v>28</v>
      </c>
      <c r="AL72" t="s">
        <v>3226</v>
      </c>
      <c r="AM72" t="s">
        <v>28</v>
      </c>
      <c r="AN72" t="s">
        <v>3227</v>
      </c>
      <c r="AO72" t="s">
        <v>28</v>
      </c>
      <c r="AP72" t="s">
        <v>28</v>
      </c>
      <c r="AQ72" t="s">
        <v>660</v>
      </c>
      <c r="AR72" t="s">
        <v>3228</v>
      </c>
      <c r="AS72" t="s">
        <v>28</v>
      </c>
      <c r="AT72" t="s">
        <v>28</v>
      </c>
      <c r="AU72" t="s">
        <v>3229</v>
      </c>
      <c r="AV72" t="s">
        <v>3230</v>
      </c>
      <c r="AW72" t="s">
        <v>3231</v>
      </c>
      <c r="AX72" t="s">
        <v>1184</v>
      </c>
      <c r="AY72" t="s">
        <v>28</v>
      </c>
      <c r="AZ72" t="s">
        <v>650</v>
      </c>
      <c r="BA72" t="s">
        <v>518</v>
      </c>
      <c r="BB72" t="s">
        <v>575</v>
      </c>
      <c r="BC72" t="s">
        <v>1014</v>
      </c>
      <c r="BD72" t="s">
        <v>28</v>
      </c>
      <c r="BE72" t="s">
        <v>28</v>
      </c>
      <c r="BF72" t="s">
        <v>28</v>
      </c>
      <c r="BG72" t="s">
        <v>28</v>
      </c>
      <c r="BH72" t="s">
        <v>149</v>
      </c>
      <c r="BI72" t="s">
        <v>3232</v>
      </c>
      <c r="BJ72" t="s">
        <v>1184</v>
      </c>
      <c r="BK72" t="s">
        <v>3233</v>
      </c>
      <c r="BL72" t="s">
        <v>1681</v>
      </c>
      <c r="BM72" t="s">
        <v>1014</v>
      </c>
      <c r="BN72">
        <v>1.93</v>
      </c>
      <c r="BO72" t="s">
        <v>28</v>
      </c>
      <c r="BP72" t="s">
        <v>28</v>
      </c>
      <c r="BQ72">
        <v>2.11</v>
      </c>
      <c r="BR72">
        <v>-3.6</v>
      </c>
      <c r="BS72">
        <v>-2.69</v>
      </c>
      <c r="BT72" t="s">
        <v>1244</v>
      </c>
      <c r="BU72" t="s">
        <v>1159</v>
      </c>
      <c r="BV72">
        <v>15.82</v>
      </c>
      <c r="BW72">
        <v>23.69</v>
      </c>
      <c r="BX72">
        <v>15.3</v>
      </c>
      <c r="BY72">
        <v>12.7</v>
      </c>
      <c r="BZ72">
        <v>-41.58</v>
      </c>
      <c r="CA72">
        <v>-24.33</v>
      </c>
      <c r="CB72">
        <v>3.65</v>
      </c>
      <c r="CC72">
        <v>-36.04</v>
      </c>
      <c r="CD72" t="s">
        <v>450</v>
      </c>
      <c r="CE72" t="s">
        <v>349</v>
      </c>
      <c r="CF72" s="10">
        <v>-0.99914279944818762</v>
      </c>
      <c r="CG72" s="11">
        <v>-0.99969551648351651</v>
      </c>
      <c r="CH72" s="10">
        <v>519.92010498046875</v>
      </c>
      <c r="CI72" s="10" t="s">
        <v>28</v>
      </c>
      <c r="CJ72" s="10" t="s">
        <v>28</v>
      </c>
      <c r="CK72" s="10">
        <v>-0.29553902149200439</v>
      </c>
      <c r="CL72" s="10">
        <v>0.14225053787231445</v>
      </c>
      <c r="CM72" s="11">
        <v>174.62069702148437</v>
      </c>
      <c r="CN72" s="11" t="s">
        <v>28</v>
      </c>
      <c r="CO72" s="11" t="s">
        <v>28</v>
      </c>
      <c r="CP72" s="11" t="s">
        <v>28</v>
      </c>
      <c r="CQ72" s="11" t="s">
        <v>28</v>
      </c>
      <c r="CR72">
        <v>0.22888226128645625</v>
      </c>
      <c r="CS72">
        <v>1.3210669901692953E-5</v>
      </c>
      <c r="CT72">
        <v>0</v>
      </c>
      <c r="CU72" s="10">
        <v>173.25560549894968</v>
      </c>
      <c r="CV72" s="11">
        <v>174.62069702148437</v>
      </c>
      <c r="CW72">
        <v>0.06</v>
      </c>
      <c r="CX72" t="s">
        <v>3234</v>
      </c>
      <c r="CY72">
        <v>3310856504480.0439</v>
      </c>
      <c r="CZ72">
        <v>173.25560549894968</v>
      </c>
      <c r="DA72" t="s">
        <v>3234</v>
      </c>
      <c r="DB72">
        <v>7.7277891621838704E+16</v>
      </c>
      <c r="DC72">
        <v>164.59282522400218</v>
      </c>
      <c r="DD72" t="s">
        <v>3234</v>
      </c>
      <c r="DE72">
        <v>1.8676234845765789E+23</v>
      </c>
      <c r="DF72">
        <v>152.46493283907571</v>
      </c>
      <c r="DG72" t="s">
        <v>3234</v>
      </c>
      <c r="DH72">
        <v>3.186431830418945E+31</v>
      </c>
      <c r="DI72">
        <v>138.60448439915976</v>
      </c>
      <c r="DJ72" t="s">
        <v>3234</v>
      </c>
      <c r="DK72">
        <v>3.5379810585630844E+51</v>
      </c>
      <c r="DL72">
        <v>121.27892384926477</v>
      </c>
      <c r="DM72">
        <v>20140000000</v>
      </c>
      <c r="DN72">
        <v>173.25560549894968</v>
      </c>
      <c r="DO72">
        <v>-428430800</v>
      </c>
      <c r="DP72">
        <v>982401620</v>
      </c>
      <c r="DQ72">
        <v>2989</v>
      </c>
      <c r="DR72">
        <v>-174.25474829839786</v>
      </c>
      <c r="DS72">
        <v>-175.62039253796789</v>
      </c>
      <c r="DT72" s="12">
        <v>-0.21000000000000008</v>
      </c>
      <c r="DU72">
        <v>-0.42000000000000015</v>
      </c>
      <c r="DV72">
        <v>-0.63000000000000023</v>
      </c>
      <c r="DW72">
        <v>6.0919627110103303</v>
      </c>
      <c r="DX72">
        <v>0.31680483592400865</v>
      </c>
      <c r="DY72">
        <v>6.0135005707009981</v>
      </c>
      <c r="DZ72">
        <v>1022</v>
      </c>
      <c r="EA72">
        <v>6.0108004565607986</v>
      </c>
      <c r="EB72">
        <v>6</v>
      </c>
      <c r="EC72">
        <v>0.10534266388421577</v>
      </c>
      <c r="ED72">
        <v>0.71756943987012856</v>
      </c>
      <c r="EE72" s="15">
        <v>3.0277099999999999</v>
      </c>
      <c r="EF72">
        <v>3.0533100000000002</v>
      </c>
      <c r="EG72">
        <v>17.146804835924009</v>
      </c>
      <c r="EH72" t="s">
        <v>1366</v>
      </c>
      <c r="EI72">
        <v>0</v>
      </c>
      <c r="EJ72">
        <v>1</v>
      </c>
      <c r="EK72" s="14">
        <v>45470</v>
      </c>
      <c r="EL72" s="16">
        <v>0.28999999999999998</v>
      </c>
      <c r="EM72" s="16">
        <v>-3.16</v>
      </c>
      <c r="EN72" s="16">
        <v>0.3</v>
      </c>
      <c r="EO72" s="16">
        <v>4.1399999999999997</v>
      </c>
      <c r="EP72" s="16">
        <v>-2.56</v>
      </c>
    </row>
    <row r="73" spans="1:146" ht="108" x14ac:dyDescent="0.25">
      <c r="A73" s="9"/>
      <c r="B73" s="9"/>
      <c r="C73" s="7" t="str">
        <f>""&amp;CHAR(10)&amp;Basic_Fundamental_Information_Constructure(F73)&amp;CHAR(10)&amp;Basic_Fundamental_Information_Concatenate("")</f>
        <v xml:space="preserve">
市值51.658144亿, 利润9722.10万; PE66.8; 平均PE64.18; 平均PEG2.92, PB1.98; ROIC5.45%; ROE5.8467%; 股利率0%; 毛利19.17%; 净利4.2167%; 上一年度营收增54.31%, 利润增52.49%; 当季营收增-68.42%, 利润增-88.78%; 过往5年营收增22%, 利润增52.49%
Income profile:
</v>
      </c>
      <c r="D73" t="s">
        <v>247</v>
      </c>
      <c r="E73" t="s">
        <v>14</v>
      </c>
      <c r="F73">
        <v>3.72</v>
      </c>
      <c r="G73">
        <v>0.54</v>
      </c>
      <c r="H73" t="s">
        <v>3235</v>
      </c>
      <c r="I73">
        <v>5165814400</v>
      </c>
      <c r="J73">
        <v>66.8</v>
      </c>
      <c r="K73">
        <v>1.98</v>
      </c>
      <c r="L73" t="s">
        <v>1747</v>
      </c>
      <c r="M73" t="s">
        <v>3236</v>
      </c>
      <c r="N73" t="s">
        <v>3237</v>
      </c>
      <c r="O73" t="s">
        <v>1625</v>
      </c>
      <c r="P73">
        <v>-29.95</v>
      </c>
      <c r="Q73" t="s">
        <v>3238</v>
      </c>
      <c r="R73">
        <v>3593072</v>
      </c>
      <c r="S73" s="5">
        <v>1.476</v>
      </c>
      <c r="T73" t="s">
        <v>3239</v>
      </c>
      <c r="U73">
        <v>1388659800</v>
      </c>
      <c r="V73">
        <v>1388659800</v>
      </c>
      <c r="W73">
        <v>2.83</v>
      </c>
      <c r="X73" t="s">
        <v>28</v>
      </c>
      <c r="Y73">
        <v>0.7</v>
      </c>
      <c r="Z73" t="s">
        <v>28</v>
      </c>
      <c r="AA73" t="s">
        <v>28</v>
      </c>
      <c r="AB73" t="s">
        <v>28</v>
      </c>
      <c r="AC73" t="s">
        <v>28</v>
      </c>
      <c r="AD73" t="s">
        <v>28</v>
      </c>
      <c r="AE73">
        <v>39210878</v>
      </c>
      <c r="AF73" t="s">
        <v>3240</v>
      </c>
      <c r="AG73" t="s">
        <v>3241</v>
      </c>
      <c r="AH73" t="s">
        <v>3242</v>
      </c>
      <c r="AI73" t="s">
        <v>1368</v>
      </c>
      <c r="AJ73" t="s">
        <v>3243</v>
      </c>
      <c r="AK73" t="s">
        <v>28</v>
      </c>
      <c r="AL73" t="s">
        <v>3244</v>
      </c>
      <c r="AM73" t="s">
        <v>28</v>
      </c>
      <c r="AN73" t="s">
        <v>3245</v>
      </c>
      <c r="AO73" t="s">
        <v>28</v>
      </c>
      <c r="AP73" t="s">
        <v>28</v>
      </c>
      <c r="AQ73" t="s">
        <v>95</v>
      </c>
      <c r="AR73" t="s">
        <v>3246</v>
      </c>
      <c r="AS73" t="s">
        <v>28</v>
      </c>
      <c r="AT73" t="s">
        <v>28</v>
      </c>
      <c r="AU73" t="s">
        <v>3247</v>
      </c>
      <c r="AV73" t="s">
        <v>3248</v>
      </c>
      <c r="AW73" t="s">
        <v>1210</v>
      </c>
      <c r="AX73" t="s">
        <v>614</v>
      </c>
      <c r="AY73" t="s">
        <v>28</v>
      </c>
      <c r="AZ73" t="s">
        <v>1015</v>
      </c>
      <c r="BA73" t="s">
        <v>248</v>
      </c>
      <c r="BB73" t="s">
        <v>572</v>
      </c>
      <c r="BC73" t="s">
        <v>3249</v>
      </c>
      <c r="BD73" t="s">
        <v>28</v>
      </c>
      <c r="BE73" t="s">
        <v>28</v>
      </c>
      <c r="BF73" t="s">
        <v>28</v>
      </c>
      <c r="BG73" t="s">
        <v>28</v>
      </c>
      <c r="BH73" t="s">
        <v>3250</v>
      </c>
      <c r="BI73" t="s">
        <v>3251</v>
      </c>
      <c r="BJ73" t="s">
        <v>614</v>
      </c>
      <c r="BK73" t="s">
        <v>3252</v>
      </c>
      <c r="BL73" t="s">
        <v>3253</v>
      </c>
      <c r="BM73" t="s">
        <v>3249</v>
      </c>
      <c r="BN73">
        <v>3.42</v>
      </c>
      <c r="BO73">
        <v>5.4</v>
      </c>
      <c r="BP73">
        <v>7.53</v>
      </c>
      <c r="BQ73">
        <v>2.1</v>
      </c>
      <c r="BR73">
        <v>2.54</v>
      </c>
      <c r="BS73">
        <v>12.9</v>
      </c>
      <c r="BT73" t="s">
        <v>1244</v>
      </c>
      <c r="BU73" t="s">
        <v>1061</v>
      </c>
      <c r="BV73">
        <v>15.25</v>
      </c>
      <c r="BW73">
        <v>17.71</v>
      </c>
      <c r="BX73">
        <v>24.55</v>
      </c>
      <c r="BY73">
        <v>1.79</v>
      </c>
      <c r="BZ73">
        <v>2.04</v>
      </c>
      <c r="CA73">
        <v>8.82</v>
      </c>
      <c r="CB73">
        <v>-1.06</v>
      </c>
      <c r="CC73">
        <v>-13.29</v>
      </c>
      <c r="CD73" t="s">
        <v>3254</v>
      </c>
      <c r="CE73" t="s">
        <v>309</v>
      </c>
      <c r="CF73" s="10">
        <v>-0.68421052631578949</v>
      </c>
      <c r="CG73" s="11">
        <v>-0.88779224023783943</v>
      </c>
      <c r="CH73" s="10">
        <v>0.54306745529174805</v>
      </c>
      <c r="CI73" s="10" t="s">
        <v>28</v>
      </c>
      <c r="CJ73" s="10" t="s">
        <v>28</v>
      </c>
      <c r="CK73" s="10">
        <v>7.365524023771286E-2</v>
      </c>
      <c r="CL73" s="10">
        <v>4.3367348611354828E-2</v>
      </c>
      <c r="CM73" s="11">
        <v>0.52492046356201172</v>
      </c>
      <c r="CN73" s="11" t="s">
        <v>28</v>
      </c>
      <c r="CO73" s="11" t="s">
        <v>28</v>
      </c>
      <c r="CP73" s="11" t="s">
        <v>28</v>
      </c>
      <c r="CQ73" s="11" t="s">
        <v>28</v>
      </c>
      <c r="CR73">
        <v>64.181254573668838</v>
      </c>
      <c r="CS73">
        <v>2.9169317948375464</v>
      </c>
      <c r="CT73">
        <v>0</v>
      </c>
      <c r="CU73" s="10">
        <v>0.22003001471360525</v>
      </c>
      <c r="CV73" s="11">
        <v>0.52492046356201172</v>
      </c>
      <c r="CW73">
        <v>0.06</v>
      </c>
      <c r="CX73">
        <v>66.8892462275372</v>
      </c>
      <c r="CY73">
        <v>111898620.81176548</v>
      </c>
      <c r="CZ73">
        <v>0.22003001471360525</v>
      </c>
      <c r="DA73">
        <v>19.612673450558791</v>
      </c>
      <c r="DB73">
        <v>381631521.00953108</v>
      </c>
      <c r="DC73">
        <v>0.20902851397792499</v>
      </c>
      <c r="DD73">
        <v>8.2968170725265917</v>
      </c>
      <c r="DE73">
        <v>902130821.32238495</v>
      </c>
      <c r="DF73">
        <v>0.19362641294797261</v>
      </c>
      <c r="DG73">
        <v>4.1606246117769308</v>
      </c>
      <c r="DH73">
        <v>1798964121.5921581</v>
      </c>
      <c r="DI73">
        <v>0.17602401177088423</v>
      </c>
      <c r="DJ73">
        <v>1.4025456070111231</v>
      </c>
      <c r="DK73">
        <v>5336592523.3265095</v>
      </c>
      <c r="DL73">
        <v>0.15402101029952367</v>
      </c>
      <c r="DM73">
        <v>97221000</v>
      </c>
      <c r="DN73">
        <v>0.22003001471360525</v>
      </c>
      <c r="DO73">
        <v>7484814400</v>
      </c>
      <c r="DP73">
        <v>6149918300</v>
      </c>
      <c r="DQ73">
        <v>3014</v>
      </c>
      <c r="DR73">
        <v>-0.90424054102939477</v>
      </c>
      <c r="DS73">
        <v>-1.4127127037998513</v>
      </c>
      <c r="DT73" s="12">
        <v>-0.41000000000000003</v>
      </c>
      <c r="DU73">
        <v>-0.82000000000000006</v>
      </c>
      <c r="DV73">
        <v>-1.23</v>
      </c>
      <c r="DW73">
        <v>-2.1328999999999998</v>
      </c>
      <c r="DX73">
        <v>0.29242985074626848</v>
      </c>
      <c r="DY73">
        <v>-2.0162709271641792</v>
      </c>
      <c r="DZ73">
        <v>2336</v>
      </c>
      <c r="EA73">
        <v>-2.0088327890319828</v>
      </c>
      <c r="EB73">
        <v>2</v>
      </c>
      <c r="EC73">
        <v>1.7720970967835318E-2</v>
      </c>
      <c r="ED73">
        <v>0.14474387463365757</v>
      </c>
      <c r="EE73" s="15">
        <v>3.4699999999999995E-2</v>
      </c>
      <c r="EF73">
        <v>1.7600000000000001E-2</v>
      </c>
      <c r="EG73">
        <v>17.122429850746268</v>
      </c>
      <c r="EH73" t="s">
        <v>1161</v>
      </c>
      <c r="EI73">
        <v>0</v>
      </c>
      <c r="EJ73">
        <v>0</v>
      </c>
      <c r="EK73" s="14">
        <v>45470</v>
      </c>
      <c r="EL73" s="16">
        <v>4.41</v>
      </c>
      <c r="EM73" s="16">
        <v>-2.85</v>
      </c>
      <c r="EN73" s="16">
        <v>10</v>
      </c>
      <c r="EO73" s="16">
        <v>1.93</v>
      </c>
      <c r="EP73" s="16">
        <v>-1.71</v>
      </c>
    </row>
    <row r="74" spans="1:146" ht="108" x14ac:dyDescent="0.25">
      <c r="A74" s="9"/>
      <c r="B74" s="9"/>
      <c r="C74" s="7" t="str">
        <f>""&amp;CHAR(10)&amp;Basic_Fundamental_Information_Constructure(F74)&amp;CHAR(10)&amp;Basic_Fundamental_Information_Concatenate("")</f>
        <v xml:space="preserve">
市值42.324191亿, 利润5.77亿; PE24.05; 平均PE22.27; 平均PEG.12, PB1.78; ROIC5.9%; ROE7.5167%; 股利率1.6681%; 毛利36.6%; 净利13.0967%; 上一年度营收增870.22%, 利润增235.47%; 当季营收增-88.97%, 利润增-74.92%; 过往5年营收增185.58%, 利润增90.89%
Income profile:
</v>
      </c>
      <c r="D74" t="s">
        <v>814</v>
      </c>
      <c r="E74" t="s">
        <v>815</v>
      </c>
      <c r="F74">
        <v>11.99</v>
      </c>
      <c r="G74">
        <v>-0.42</v>
      </c>
      <c r="H74" t="s">
        <v>3255</v>
      </c>
      <c r="I74">
        <v>4232419100</v>
      </c>
      <c r="J74">
        <v>24.05</v>
      </c>
      <c r="K74">
        <v>1.78</v>
      </c>
      <c r="L74" t="s">
        <v>1747</v>
      </c>
      <c r="M74" t="s">
        <v>3256</v>
      </c>
      <c r="N74" t="s">
        <v>3257</v>
      </c>
      <c r="O74" t="s">
        <v>1285</v>
      </c>
      <c r="P74">
        <v>13.15</v>
      </c>
      <c r="Q74" t="s">
        <v>3258</v>
      </c>
      <c r="R74">
        <v>30348536</v>
      </c>
      <c r="S74" s="5">
        <v>-0.49330000000000002</v>
      </c>
      <c r="T74" t="s">
        <v>3259</v>
      </c>
      <c r="U74">
        <v>352995760</v>
      </c>
      <c r="V74">
        <v>352995760</v>
      </c>
      <c r="W74">
        <v>2.67</v>
      </c>
      <c r="X74">
        <v>0.06</v>
      </c>
      <c r="Y74">
        <v>10.25</v>
      </c>
      <c r="Z74" t="s">
        <v>742</v>
      </c>
      <c r="AA74" t="s">
        <v>654</v>
      </c>
      <c r="AB74" t="s">
        <v>3260</v>
      </c>
      <c r="AC74" t="s">
        <v>3261</v>
      </c>
      <c r="AD74" t="s">
        <v>28</v>
      </c>
      <c r="AE74">
        <v>16470317</v>
      </c>
      <c r="AF74" t="s">
        <v>3262</v>
      </c>
      <c r="AG74" t="s">
        <v>3263</v>
      </c>
      <c r="AH74" t="s">
        <v>3264</v>
      </c>
      <c r="AI74" t="s">
        <v>1429</v>
      </c>
      <c r="AJ74" t="s">
        <v>3265</v>
      </c>
      <c r="AK74" t="s">
        <v>28</v>
      </c>
      <c r="AL74" t="s">
        <v>3266</v>
      </c>
      <c r="AM74" t="s">
        <v>28</v>
      </c>
      <c r="AN74" t="s">
        <v>1516</v>
      </c>
      <c r="AO74" t="s">
        <v>1718</v>
      </c>
      <c r="AP74" t="s">
        <v>28</v>
      </c>
      <c r="AQ74" t="s">
        <v>793</v>
      </c>
      <c r="AR74" t="s">
        <v>3267</v>
      </c>
      <c r="AS74" t="s">
        <v>3268</v>
      </c>
      <c r="AT74" t="s">
        <v>3269</v>
      </c>
      <c r="AU74" t="s">
        <v>3270</v>
      </c>
      <c r="AV74" t="s">
        <v>3271</v>
      </c>
      <c r="AW74" t="s">
        <v>1654</v>
      </c>
      <c r="AX74" t="s">
        <v>1400</v>
      </c>
      <c r="AY74" t="s">
        <v>1016</v>
      </c>
      <c r="AZ74" t="s">
        <v>816</v>
      </c>
      <c r="BA74" t="s">
        <v>817</v>
      </c>
      <c r="BB74" t="s">
        <v>295</v>
      </c>
      <c r="BC74" t="s">
        <v>279</v>
      </c>
      <c r="BD74" t="s">
        <v>114</v>
      </c>
      <c r="BE74" t="s">
        <v>101</v>
      </c>
      <c r="BF74" t="s">
        <v>818</v>
      </c>
      <c r="BG74" t="s">
        <v>819</v>
      </c>
      <c r="BH74" t="s">
        <v>1348</v>
      </c>
      <c r="BI74" t="s">
        <v>3272</v>
      </c>
      <c r="BJ74" t="s">
        <v>1400</v>
      </c>
      <c r="BK74" t="s">
        <v>346</v>
      </c>
      <c r="BL74" t="s">
        <v>227</v>
      </c>
      <c r="BM74" t="s">
        <v>279</v>
      </c>
      <c r="BN74">
        <v>5.68</v>
      </c>
      <c r="BO74">
        <v>6.46</v>
      </c>
      <c r="BP74">
        <v>5.56</v>
      </c>
      <c r="BQ74">
        <v>7.08</v>
      </c>
      <c r="BR74">
        <v>8.0500000000000007</v>
      </c>
      <c r="BS74">
        <v>7.42</v>
      </c>
      <c r="BT74" t="s">
        <v>3273</v>
      </c>
      <c r="BU74" t="s">
        <v>1159</v>
      </c>
      <c r="BV74">
        <v>31.79</v>
      </c>
      <c r="BW74">
        <v>38.020000000000003</v>
      </c>
      <c r="BX74">
        <v>39.99</v>
      </c>
      <c r="BY74">
        <v>12.69</v>
      </c>
      <c r="BZ74">
        <v>13.34</v>
      </c>
      <c r="CA74">
        <v>13.26</v>
      </c>
      <c r="CB74">
        <v>-5.14</v>
      </c>
      <c r="CC74">
        <v>-13.37</v>
      </c>
      <c r="CD74" t="s">
        <v>3274</v>
      </c>
      <c r="CE74" t="s">
        <v>114</v>
      </c>
      <c r="CF74" s="10">
        <v>-0.88966852165497212</v>
      </c>
      <c r="CG74" s="11">
        <v>-0.749185652892562</v>
      </c>
      <c r="CH74" s="10">
        <v>8.7022428512573242</v>
      </c>
      <c r="CI74" s="10">
        <v>0.18713448941707611</v>
      </c>
      <c r="CJ74" s="10">
        <v>0.17034219205379486</v>
      </c>
      <c r="CK74" s="10">
        <v>0.11914893239736557</v>
      </c>
      <c r="CL74" s="10">
        <v>0.10018732398748398</v>
      </c>
      <c r="CM74" s="11">
        <v>2.3546512126922607</v>
      </c>
      <c r="CN74" s="11">
        <v>0.13907285034656525</v>
      </c>
      <c r="CO74" s="11">
        <v>8.633093535900116E-2</v>
      </c>
      <c r="CP74" s="11">
        <v>2.2201268672943115</v>
      </c>
      <c r="CQ74" s="11">
        <v>-0.25548264384269714</v>
      </c>
      <c r="CR74">
        <v>22.273066791095339</v>
      </c>
      <c r="CS74">
        <v>0.12001795924768521</v>
      </c>
      <c r="CT74">
        <v>1.6680567139282736</v>
      </c>
      <c r="CU74" s="10">
        <v>1.8558111578226089</v>
      </c>
      <c r="CV74" s="11">
        <v>0.90893984436988828</v>
      </c>
      <c r="CW74">
        <v>0.06</v>
      </c>
      <c r="CX74">
        <v>3.7165025822482205</v>
      </c>
      <c r="CY74">
        <v>1554531167.984571</v>
      </c>
      <c r="CZ74">
        <v>1.8558111578226089</v>
      </c>
      <c r="DA74">
        <v>0.36931777167112412</v>
      </c>
      <c r="DB74">
        <v>15643490628.294939</v>
      </c>
      <c r="DC74">
        <v>1.7630205999314783</v>
      </c>
      <c r="DD74">
        <v>2.5569270667475396E-2</v>
      </c>
      <c r="DE74">
        <v>225951657954.36584</v>
      </c>
      <c r="DF74">
        <v>1.6331138188838958</v>
      </c>
      <c r="DG74">
        <v>1.1468218253466566E-3</v>
      </c>
      <c r="DH74">
        <v>5037765215406.1729</v>
      </c>
      <c r="DI74">
        <v>1.4846489262580871</v>
      </c>
      <c r="DJ74">
        <v>1.016677291184519E-6</v>
      </c>
      <c r="DK74">
        <v>5682647925841636</v>
      </c>
      <c r="DL74">
        <v>1.2990678104758262</v>
      </c>
      <c r="DM74">
        <v>577000000</v>
      </c>
      <c r="DN74">
        <v>1.8558111578226089</v>
      </c>
      <c r="DO74">
        <v>5777419100</v>
      </c>
      <c r="DP74">
        <v>-968391800</v>
      </c>
      <c r="DQ74">
        <v>3066</v>
      </c>
      <c r="DR74">
        <v>-2.7454796794775809</v>
      </c>
      <c r="DS74">
        <v>-1.6581254972624504</v>
      </c>
      <c r="DT74" s="12">
        <v>0.14333333333333331</v>
      </c>
      <c r="DU74">
        <v>0.20999999999999996</v>
      </c>
      <c r="DV74">
        <v>0.35333333333333328</v>
      </c>
      <c r="DW74">
        <v>-8.3844427823485415</v>
      </c>
      <c r="DX74">
        <v>0.27256887417218667</v>
      </c>
      <c r="DY74">
        <v>-8.0432762911925977</v>
      </c>
      <c r="DZ74">
        <v>2720</v>
      </c>
      <c r="EA74">
        <v>-8.0202407702446781</v>
      </c>
      <c r="EB74">
        <v>8</v>
      </c>
      <c r="EC74">
        <v>4.815326960301166E-2</v>
      </c>
      <c r="ED74">
        <v>0.42776717771340939</v>
      </c>
      <c r="EE74" s="15">
        <v>2.8909999999999998E-2</v>
      </c>
      <c r="EF74">
        <v>3.4810000000000001E-2</v>
      </c>
      <c r="EG74">
        <v>16.112568874172187</v>
      </c>
      <c r="EH74">
        <v>-1</v>
      </c>
      <c r="EI74">
        <v>0</v>
      </c>
      <c r="EJ74">
        <v>0</v>
      </c>
      <c r="EK74" s="14">
        <v>45470</v>
      </c>
      <c r="EL74" s="16">
        <v>-1</v>
      </c>
      <c r="EM74" s="16">
        <v>0</v>
      </c>
      <c r="EN74" s="16">
        <v>1.01</v>
      </c>
      <c r="EO74" s="16">
        <v>1.61</v>
      </c>
      <c r="EP74" s="16">
        <v>-0.59</v>
      </c>
    </row>
    <row r="75" spans="1:146" ht="108" x14ac:dyDescent="0.25">
      <c r="A75" s="9"/>
      <c r="B75" s="9"/>
      <c r="C75" s="7" t="str">
        <f>""&amp;CHAR(10)&amp;Basic_Fundamental_Information_Constructure(F75)&amp;CHAR(10)&amp;Basic_Fundamental_Information_Concatenate("")</f>
        <v xml:space="preserve">
市值36.698394亿, 利润4392.14万; PE65.81; 平均PE65.8; 平均PEG10.16, PB.711; ROIC.15%; ROE.74%; 股利率.5957%; 毛利13.73%; 净利.5%; 上一年度营收增-47.38%, 利润增256.19%; 当季营收增106.63%, 利润增139.45%; 过往5年营收增-6.48%, 利润增25.63%
Income profile:
</v>
      </c>
      <c r="D75" t="s">
        <v>252</v>
      </c>
      <c r="E75" t="s">
        <v>8</v>
      </c>
      <c r="F75">
        <v>4.7</v>
      </c>
      <c r="G75">
        <v>0.43</v>
      </c>
      <c r="H75" t="s">
        <v>3275</v>
      </c>
      <c r="I75">
        <v>3669839400</v>
      </c>
      <c r="J75">
        <v>65.81</v>
      </c>
      <c r="K75">
        <v>0.71099999999999997</v>
      </c>
      <c r="L75" t="s">
        <v>1747</v>
      </c>
      <c r="M75" t="s">
        <v>3276</v>
      </c>
      <c r="N75" t="s">
        <v>1689</v>
      </c>
      <c r="O75" t="s">
        <v>975</v>
      </c>
      <c r="P75">
        <v>4.4800000000000004</v>
      </c>
      <c r="Q75" t="s">
        <v>2946</v>
      </c>
      <c r="R75">
        <v>31648688</v>
      </c>
      <c r="S75" s="5">
        <v>5.8700000000000002E-2</v>
      </c>
      <c r="T75" t="s">
        <v>3277</v>
      </c>
      <c r="U75">
        <v>780816890</v>
      </c>
      <c r="V75">
        <v>780816890</v>
      </c>
      <c r="W75">
        <v>1.77</v>
      </c>
      <c r="X75">
        <v>0.09</v>
      </c>
      <c r="Y75">
        <v>4.7</v>
      </c>
      <c r="Z75" t="s">
        <v>600</v>
      </c>
      <c r="AA75" t="s">
        <v>1801</v>
      </c>
      <c r="AB75" t="s">
        <v>3278</v>
      </c>
      <c r="AC75" t="s">
        <v>3279</v>
      </c>
      <c r="AD75" t="s">
        <v>28</v>
      </c>
      <c r="AE75">
        <v>11882748</v>
      </c>
      <c r="AF75" t="s">
        <v>3280</v>
      </c>
      <c r="AG75" t="s">
        <v>3281</v>
      </c>
      <c r="AH75" t="s">
        <v>3282</v>
      </c>
      <c r="AI75" t="s">
        <v>565</v>
      </c>
      <c r="AJ75" t="s">
        <v>3283</v>
      </c>
      <c r="AK75" t="s">
        <v>362</v>
      </c>
      <c r="AL75" t="s">
        <v>3284</v>
      </c>
      <c r="AM75" t="s">
        <v>28</v>
      </c>
      <c r="AN75" t="s">
        <v>3285</v>
      </c>
      <c r="AO75" t="s">
        <v>208</v>
      </c>
      <c r="AP75" t="s">
        <v>3286</v>
      </c>
      <c r="AQ75" t="s">
        <v>2876</v>
      </c>
      <c r="AR75" t="s">
        <v>28</v>
      </c>
      <c r="AS75" t="s">
        <v>3287</v>
      </c>
      <c r="AT75" t="s">
        <v>373</v>
      </c>
      <c r="AU75" t="s">
        <v>3288</v>
      </c>
      <c r="AV75" t="s">
        <v>3289</v>
      </c>
      <c r="AW75" t="s">
        <v>3290</v>
      </c>
      <c r="AX75" t="s">
        <v>1402</v>
      </c>
      <c r="AY75" t="s">
        <v>1404</v>
      </c>
      <c r="AZ75" t="s">
        <v>573</v>
      </c>
      <c r="BA75" t="s">
        <v>253</v>
      </c>
      <c r="BB75" t="s">
        <v>576</v>
      </c>
      <c r="BC75" t="s">
        <v>1403</v>
      </c>
      <c r="BD75" t="s">
        <v>1405</v>
      </c>
      <c r="BE75" t="s">
        <v>574</v>
      </c>
      <c r="BF75" t="s">
        <v>237</v>
      </c>
      <c r="BG75" t="s">
        <v>120</v>
      </c>
      <c r="BH75" t="s">
        <v>3291</v>
      </c>
      <c r="BI75" t="s">
        <v>1204</v>
      </c>
      <c r="BJ75" t="s">
        <v>1402</v>
      </c>
      <c r="BK75" t="s">
        <v>3292</v>
      </c>
      <c r="BL75" t="s">
        <v>3293</v>
      </c>
      <c r="BM75" t="s">
        <v>1403</v>
      </c>
      <c r="BN75">
        <v>1.77</v>
      </c>
      <c r="BO75">
        <v>-2.88</v>
      </c>
      <c r="BP75">
        <v>1.56</v>
      </c>
      <c r="BQ75">
        <v>1.73</v>
      </c>
      <c r="BR75">
        <v>-0.55000000000000004</v>
      </c>
      <c r="BS75">
        <v>1.04</v>
      </c>
      <c r="BT75" t="s">
        <v>3294</v>
      </c>
      <c r="BU75" t="s">
        <v>1062</v>
      </c>
      <c r="BV75">
        <v>14.6</v>
      </c>
      <c r="BW75">
        <v>13.04</v>
      </c>
      <c r="BX75">
        <v>13.55</v>
      </c>
      <c r="BY75">
        <v>1.07</v>
      </c>
      <c r="BZ75">
        <v>-0.95</v>
      </c>
      <c r="CA75">
        <v>1.38</v>
      </c>
      <c r="CB75">
        <v>0.21</v>
      </c>
      <c r="CC75">
        <v>-9.82</v>
      </c>
      <c r="CD75" t="s">
        <v>3295</v>
      </c>
      <c r="CE75" t="s">
        <v>171</v>
      </c>
      <c r="CF75" s="10">
        <v>1.0663390663390664</v>
      </c>
      <c r="CG75" s="11">
        <v>1.3944538363939567</v>
      </c>
      <c r="CH75" s="10">
        <v>-0.47377327084541321</v>
      </c>
      <c r="CI75" s="10">
        <v>-6.8872354924678802E-2</v>
      </c>
      <c r="CJ75" s="10">
        <v>0.20799337327480316</v>
      </c>
      <c r="CK75" s="10">
        <v>-9.5870174467563629E-2</v>
      </c>
      <c r="CL75" s="10">
        <v>0.10663764923810959</v>
      </c>
      <c r="CM75" s="11">
        <v>2.5618607997894287</v>
      </c>
      <c r="CN75" s="11">
        <v>-1.506562352180481</v>
      </c>
      <c r="CO75" s="11">
        <v>1.1081216335296631</v>
      </c>
      <c r="CP75" s="11">
        <v>-0.76276308298110962</v>
      </c>
      <c r="CQ75" s="11">
        <v>-0.1190476194024086</v>
      </c>
      <c r="CR75">
        <v>65.797741084419329</v>
      </c>
      <c r="CS75">
        <v>10.157584673574606</v>
      </c>
      <c r="CT75">
        <v>0.59574468085106391</v>
      </c>
      <c r="CU75" s="10">
        <v>-6.4776955544948583E-2</v>
      </c>
      <c r="CV75" s="11">
        <v>0.2563218757510185</v>
      </c>
      <c r="CW75">
        <v>0.06</v>
      </c>
      <c r="CX75">
        <v>51.406362274426591</v>
      </c>
      <c r="CY75" t="s">
        <v>3296</v>
      </c>
      <c r="CZ75">
        <v>-6.4776955544948583E-2</v>
      </c>
      <c r="DA75">
        <v>17.13545409147553</v>
      </c>
      <c r="DB75" t="s">
        <v>3297</v>
      </c>
      <c r="DC75">
        <v>-6.1538107767701154E-2</v>
      </c>
      <c r="DD75">
        <v>8.5677270457377652</v>
      </c>
      <c r="DE75" t="s">
        <v>3298</v>
      </c>
      <c r="DF75">
        <v>-5.7003720879554756E-2</v>
      </c>
      <c r="DG75">
        <v>5.1406362274426591</v>
      </c>
      <c r="DH75" t="s">
        <v>3299</v>
      </c>
      <c r="DI75">
        <v>-5.1821564435958867E-2</v>
      </c>
      <c r="DJ75">
        <v>2.5703181137213296</v>
      </c>
      <c r="DK75" t="s">
        <v>3300</v>
      </c>
      <c r="DL75">
        <v>-4.5343868881464008E-2</v>
      </c>
      <c r="DM75">
        <v>43921400</v>
      </c>
      <c r="DN75">
        <v>-6.4776955544948583E-2</v>
      </c>
      <c r="DO75">
        <v>2257839400</v>
      </c>
      <c r="DP75">
        <v>1176515400</v>
      </c>
      <c r="DQ75">
        <v>3072</v>
      </c>
      <c r="DR75">
        <v>1.1311160218840151</v>
      </c>
      <c r="DS75">
        <v>1.1381319606429381</v>
      </c>
      <c r="DT75" s="12">
        <v>-0.47333333333333333</v>
      </c>
      <c r="DU75">
        <v>0.21666666666666667</v>
      </c>
      <c r="DV75">
        <v>-0.25666666666666665</v>
      </c>
      <c r="DW75">
        <v>-2.0981999999999998</v>
      </c>
      <c r="DX75">
        <v>0.31753896713614904</v>
      </c>
      <c r="DY75">
        <v>-2.00957832657277</v>
      </c>
      <c r="DZ75">
        <v>4978</v>
      </c>
      <c r="EA75">
        <v>-2.0002474244828976</v>
      </c>
      <c r="EB75">
        <v>2</v>
      </c>
      <c r="EC75">
        <v>2.6607774839501743E-2</v>
      </c>
      <c r="ED75">
        <v>0.2727912302204426</v>
      </c>
      <c r="EE75" s="15">
        <v>-2.0501100000000001</v>
      </c>
      <c r="EF75">
        <v>-2.0655100000000002</v>
      </c>
      <c r="EG75">
        <v>22.097538967136149</v>
      </c>
      <c r="EH75" t="s">
        <v>1268</v>
      </c>
      <c r="EI75">
        <v>0</v>
      </c>
      <c r="EJ75">
        <v>0</v>
      </c>
      <c r="EK75" s="14">
        <v>45470</v>
      </c>
      <c r="EL75" s="16">
        <v>2.31</v>
      </c>
      <c r="EM75" s="16">
        <v>-2.2599999999999998</v>
      </c>
      <c r="EN75" s="16">
        <v>-2.31</v>
      </c>
      <c r="EO75" s="16">
        <v>2.36</v>
      </c>
      <c r="EP75" s="16">
        <v>-1.54</v>
      </c>
    </row>
    <row r="76" spans="1:146" ht="108" x14ac:dyDescent="0.25">
      <c r="A76" s="7" t="s">
        <v>903</v>
      </c>
      <c r="B76" s="7" t="s">
        <v>902</v>
      </c>
      <c r="C76" s="7" t="s">
        <v>907</v>
      </c>
      <c r="D76" t="s">
        <v>256</v>
      </c>
      <c r="E76" t="s">
        <v>24</v>
      </c>
      <c r="F76">
        <v>21.28</v>
      </c>
      <c r="G76">
        <v>-2.34</v>
      </c>
      <c r="H76" t="s">
        <v>3301</v>
      </c>
      <c r="I76">
        <v>17350587000</v>
      </c>
      <c r="J76">
        <v>11.56</v>
      </c>
      <c r="K76">
        <v>1.39</v>
      </c>
      <c r="L76" t="s">
        <v>1747</v>
      </c>
      <c r="M76" t="s">
        <v>3302</v>
      </c>
      <c r="N76" t="s">
        <v>3303</v>
      </c>
      <c r="O76" t="s">
        <v>3304</v>
      </c>
      <c r="P76">
        <v>-3.08</v>
      </c>
      <c r="Q76" t="s">
        <v>3305</v>
      </c>
      <c r="R76">
        <v>380978900</v>
      </c>
      <c r="S76" s="5">
        <v>0.22839999999999999</v>
      </c>
      <c r="T76" t="s">
        <v>3306</v>
      </c>
      <c r="U76">
        <v>815347150</v>
      </c>
      <c r="V76">
        <v>815347150</v>
      </c>
      <c r="W76">
        <v>2.76</v>
      </c>
      <c r="X76">
        <v>0.08</v>
      </c>
      <c r="Y76">
        <v>14.2</v>
      </c>
      <c r="Z76" t="s">
        <v>3307</v>
      </c>
      <c r="AA76" t="s">
        <v>3308</v>
      </c>
      <c r="AB76" t="s">
        <v>3309</v>
      </c>
      <c r="AC76" t="s">
        <v>228</v>
      </c>
      <c r="AD76" t="s">
        <v>28</v>
      </c>
      <c r="AE76">
        <v>118610742</v>
      </c>
      <c r="AF76" t="s">
        <v>3310</v>
      </c>
      <c r="AG76" t="s">
        <v>3311</v>
      </c>
      <c r="AH76" t="s">
        <v>3312</v>
      </c>
      <c r="AI76" t="s">
        <v>2308</v>
      </c>
      <c r="AJ76" t="s">
        <v>3313</v>
      </c>
      <c r="AK76" t="s">
        <v>3314</v>
      </c>
      <c r="AL76" t="s">
        <v>3315</v>
      </c>
      <c r="AM76" t="s">
        <v>28</v>
      </c>
      <c r="AN76" t="s">
        <v>1184</v>
      </c>
      <c r="AO76" t="s">
        <v>1472</v>
      </c>
      <c r="AP76" t="s">
        <v>3316</v>
      </c>
      <c r="AQ76" t="s">
        <v>826</v>
      </c>
      <c r="AR76" t="s">
        <v>28</v>
      </c>
      <c r="AS76" t="s">
        <v>3317</v>
      </c>
      <c r="AT76" t="s">
        <v>3318</v>
      </c>
      <c r="AU76" t="s">
        <v>961</v>
      </c>
      <c r="AV76" t="s">
        <v>3319</v>
      </c>
      <c r="AW76" t="s">
        <v>465</v>
      </c>
      <c r="AX76" t="s">
        <v>1407</v>
      </c>
      <c r="AY76" t="s">
        <v>1017</v>
      </c>
      <c r="AZ76" t="s">
        <v>578</v>
      </c>
      <c r="BA76" t="s">
        <v>257</v>
      </c>
      <c r="BB76" t="s">
        <v>581</v>
      </c>
      <c r="BC76" t="s">
        <v>725</v>
      </c>
      <c r="BD76" t="s">
        <v>937</v>
      </c>
      <c r="BE76" t="s">
        <v>579</v>
      </c>
      <c r="BF76" t="s">
        <v>258</v>
      </c>
      <c r="BG76" t="s">
        <v>582</v>
      </c>
      <c r="BH76" t="s">
        <v>3320</v>
      </c>
      <c r="BI76" t="s">
        <v>3321</v>
      </c>
      <c r="BJ76" t="s">
        <v>1407</v>
      </c>
      <c r="BK76" t="s">
        <v>3092</v>
      </c>
      <c r="BL76" t="s">
        <v>976</v>
      </c>
      <c r="BM76" t="s">
        <v>725</v>
      </c>
      <c r="BN76">
        <v>5.62</v>
      </c>
      <c r="BO76">
        <v>6.69</v>
      </c>
      <c r="BP76">
        <v>7.88</v>
      </c>
      <c r="BQ76">
        <v>10.24</v>
      </c>
      <c r="BR76">
        <v>11.03</v>
      </c>
      <c r="BS76">
        <v>12.77</v>
      </c>
      <c r="BT76" t="s">
        <v>3322</v>
      </c>
      <c r="BU76" t="s">
        <v>1061</v>
      </c>
      <c r="BV76">
        <v>25.19</v>
      </c>
      <c r="BW76">
        <v>20.45</v>
      </c>
      <c r="BX76">
        <v>22.96</v>
      </c>
      <c r="BY76">
        <v>11.72</v>
      </c>
      <c r="BZ76">
        <v>9.1300000000000008</v>
      </c>
      <c r="CA76">
        <v>10.07</v>
      </c>
      <c r="CB76">
        <v>1.82</v>
      </c>
      <c r="CC76">
        <v>14.22</v>
      </c>
      <c r="CD76" t="s">
        <v>3323</v>
      </c>
      <c r="CE76" t="s">
        <v>217</v>
      </c>
      <c r="CF76" s="10">
        <v>-0.77287171767854157</v>
      </c>
      <c r="CG76" s="11">
        <v>-0.29448351851851851</v>
      </c>
      <c r="CH76" s="10">
        <v>4.6034955978393555</v>
      </c>
      <c r="CI76" s="10">
        <v>9.3232512474060059E-2</v>
      </c>
      <c r="CJ76" s="10">
        <v>0.57425487041473389</v>
      </c>
      <c r="CK76" s="10">
        <v>0.21444803476333618</v>
      </c>
      <c r="CL76" s="10">
        <v>0.27036502957344055</v>
      </c>
      <c r="CM76" s="11">
        <v>0.60945707559585571</v>
      </c>
      <c r="CN76" s="11">
        <v>-1.8056804314255714E-2</v>
      </c>
      <c r="CO76" s="11">
        <v>0.10028388351202011</v>
      </c>
      <c r="CP76" s="11">
        <v>0.15772180259227753</v>
      </c>
      <c r="CQ76" s="11">
        <v>4.5819014310836792E-2</v>
      </c>
      <c r="CR76">
        <v>14.901735184655026</v>
      </c>
      <c r="CS76">
        <v>0.12944981952089768</v>
      </c>
      <c r="CT76">
        <v>2.2556390977443606</v>
      </c>
      <c r="CU76" s="10">
        <v>1.1511592090129852</v>
      </c>
      <c r="CV76" s="11">
        <v>0.1790449943393469</v>
      </c>
      <c r="CW76">
        <v>0.06</v>
      </c>
      <c r="CX76">
        <v>7.2617633213698296</v>
      </c>
      <c r="CY76">
        <v>3730028892.6093087</v>
      </c>
      <c r="CZ76">
        <v>1.1511592090129852</v>
      </c>
      <c r="DA76">
        <v>1.085122151263795</v>
      </c>
      <c r="DB76">
        <v>24961786070.308693</v>
      </c>
      <c r="DC76">
        <v>1.0936012485623359</v>
      </c>
      <c r="DD76">
        <v>0.15197342381963963</v>
      </c>
      <c r="DE76">
        <v>178232393001.46359</v>
      </c>
      <c r="DF76">
        <v>1.0130201039314271</v>
      </c>
      <c r="DG76">
        <v>1.7336123093804737E-2</v>
      </c>
      <c r="DH76">
        <v>1562436240988.604</v>
      </c>
      <c r="DI76">
        <v>0.92092736721038815</v>
      </c>
      <c r="DJ76">
        <v>1.4356379846382726E-4</v>
      </c>
      <c r="DK76">
        <v>188672822047299.16</v>
      </c>
      <c r="DL76">
        <v>0.80581144630908963</v>
      </c>
      <c r="DM76">
        <v>1838000000</v>
      </c>
      <c r="DN76">
        <v>1.1511592090129852</v>
      </c>
      <c r="DO76">
        <v>27086587000</v>
      </c>
      <c r="DP76">
        <v>-1303776600</v>
      </c>
      <c r="DQ76">
        <v>3096</v>
      </c>
      <c r="DR76">
        <v>-1.9240309266915268</v>
      </c>
      <c r="DS76">
        <v>-0.4735285128578654</v>
      </c>
      <c r="DT76" s="12">
        <v>0.20999999999999988</v>
      </c>
      <c r="DU76">
        <v>0.23</v>
      </c>
      <c r="DV76">
        <v>0.43999999999999989</v>
      </c>
      <c r="DW76">
        <v>2.1421999999999999</v>
      </c>
      <c r="DX76">
        <v>0.65502784090909327</v>
      </c>
      <c r="DY76">
        <v>2.0263109589772728</v>
      </c>
      <c r="DZ76">
        <v>4165</v>
      </c>
      <c r="EA76">
        <v>2.0048657252903177</v>
      </c>
      <c r="EB76">
        <v>2</v>
      </c>
      <c r="EC76">
        <v>3.993992006962923E-2</v>
      </c>
      <c r="ED76">
        <v>0.21585897491638992</v>
      </c>
      <c r="EE76" s="15">
        <v>2.0051999999999999</v>
      </c>
      <c r="EF76">
        <v>2.0095100000000001</v>
      </c>
      <c r="EG76">
        <v>47.185027840909093</v>
      </c>
      <c r="EH76" t="s">
        <v>1270</v>
      </c>
      <c r="EI76">
        <v>1</v>
      </c>
      <c r="EJ76">
        <v>0</v>
      </c>
      <c r="EK76" s="14">
        <v>45470</v>
      </c>
      <c r="EL76" s="16">
        <v>-1.34</v>
      </c>
      <c r="EM76" s="16">
        <v>-10.199999999999999</v>
      </c>
      <c r="EN76" s="16">
        <v>3.03</v>
      </c>
      <c r="EO76" s="16">
        <v>0</v>
      </c>
      <c r="EP76" s="16">
        <v>-1.47</v>
      </c>
    </row>
    <row r="77" spans="1:146" ht="108" x14ac:dyDescent="0.25">
      <c r="A77" s="7"/>
      <c r="B77" s="7"/>
      <c r="C77" s="7" t="str">
        <f>""&amp;CHAR(10)&amp;Basic_Fundamental_Information_Constructure(F77)&amp;CHAR(10)&amp;Basic_Fundamental_Information_Concatenate("")</f>
        <v xml:space="preserve">
市值142.69201亿, 利润-6787.48万; PE12.87; 平均PE25.15; 平均PEG4.9, PB1.65; ROIC7.69%; ROE13.3733%; 股利率3.7961%; 毛利28.1167%; 净利13.69%; 上一年度营收增-94.81%, 利润增-107.06%; 当季营收增5280.55%, 利润增3414.07%; 过往5年营收增-5.13%, 利润增4.45%
Income profile:
</v>
      </c>
      <c r="D77" t="s">
        <v>821</v>
      </c>
      <c r="E77" t="s">
        <v>822</v>
      </c>
      <c r="F77">
        <v>11.61</v>
      </c>
      <c r="G77">
        <v>1.93</v>
      </c>
      <c r="H77" t="s">
        <v>3324</v>
      </c>
      <c r="I77">
        <v>14269201000</v>
      </c>
      <c r="J77">
        <v>12.87</v>
      </c>
      <c r="K77">
        <v>1.65</v>
      </c>
      <c r="L77" t="s">
        <v>1747</v>
      </c>
      <c r="M77" t="s">
        <v>3325</v>
      </c>
      <c r="N77" t="s">
        <v>3318</v>
      </c>
      <c r="O77" t="s">
        <v>3326</v>
      </c>
      <c r="P77">
        <v>3.9</v>
      </c>
      <c r="Q77" t="s">
        <v>796</v>
      </c>
      <c r="R77">
        <v>323244890</v>
      </c>
      <c r="S77" s="5">
        <v>8.6499999999999994E-2</v>
      </c>
      <c r="T77" t="s">
        <v>3327</v>
      </c>
      <c r="U77">
        <v>1142572380</v>
      </c>
      <c r="V77">
        <v>1229044000</v>
      </c>
      <c r="W77">
        <v>2.42</v>
      </c>
      <c r="X77">
        <v>0.09</v>
      </c>
      <c r="Y77">
        <v>16.170000000000002</v>
      </c>
      <c r="Z77" t="s">
        <v>2876</v>
      </c>
      <c r="AA77" t="s">
        <v>3328</v>
      </c>
      <c r="AB77" t="s">
        <v>3329</v>
      </c>
      <c r="AC77" t="s">
        <v>3330</v>
      </c>
      <c r="AD77" t="s">
        <v>28</v>
      </c>
      <c r="AE77">
        <v>55465324</v>
      </c>
      <c r="AF77" t="s">
        <v>3331</v>
      </c>
      <c r="AG77" t="s">
        <v>3332</v>
      </c>
      <c r="AH77" t="s">
        <v>3333</v>
      </c>
      <c r="AI77" t="s">
        <v>3334</v>
      </c>
      <c r="AJ77" t="s">
        <v>3335</v>
      </c>
      <c r="AK77" t="s">
        <v>3336</v>
      </c>
      <c r="AL77" t="s">
        <v>3337</v>
      </c>
      <c r="AM77" t="s">
        <v>28</v>
      </c>
      <c r="AN77" t="s">
        <v>3338</v>
      </c>
      <c r="AO77" t="s">
        <v>3339</v>
      </c>
      <c r="AP77" t="s">
        <v>73</v>
      </c>
      <c r="AQ77" t="s">
        <v>1697</v>
      </c>
      <c r="AR77" t="s">
        <v>3340</v>
      </c>
      <c r="AS77" t="s">
        <v>3341</v>
      </c>
      <c r="AT77" t="s">
        <v>3342</v>
      </c>
      <c r="AU77" t="s">
        <v>266</v>
      </c>
      <c r="AV77" t="s">
        <v>3343</v>
      </c>
      <c r="AW77" t="s">
        <v>557</v>
      </c>
      <c r="AX77" t="s">
        <v>3344</v>
      </c>
      <c r="AY77" t="s">
        <v>1408</v>
      </c>
      <c r="AZ77" t="s">
        <v>823</v>
      </c>
      <c r="BA77" t="s">
        <v>397</v>
      </c>
      <c r="BB77" t="s">
        <v>824</v>
      </c>
      <c r="BC77" t="s">
        <v>1058</v>
      </c>
      <c r="BD77" t="s">
        <v>1312</v>
      </c>
      <c r="BE77" t="s">
        <v>356</v>
      </c>
      <c r="BF77" t="s">
        <v>825</v>
      </c>
      <c r="BG77" t="s">
        <v>809</v>
      </c>
      <c r="BH77" t="s">
        <v>3345</v>
      </c>
      <c r="BI77" t="s">
        <v>3346</v>
      </c>
      <c r="BJ77" t="s">
        <v>3344</v>
      </c>
      <c r="BK77" t="s">
        <v>3347</v>
      </c>
      <c r="BL77" t="s">
        <v>3348</v>
      </c>
      <c r="BM77" t="s">
        <v>1058</v>
      </c>
      <c r="BN77">
        <v>7.35</v>
      </c>
      <c r="BO77">
        <v>8.3000000000000007</v>
      </c>
      <c r="BP77">
        <v>7.42</v>
      </c>
      <c r="BQ77">
        <v>12.04</v>
      </c>
      <c r="BR77">
        <v>13.49</v>
      </c>
      <c r="BS77">
        <v>14.59</v>
      </c>
      <c r="BT77" t="s">
        <v>3349</v>
      </c>
      <c r="BU77" t="s">
        <v>1159</v>
      </c>
      <c r="BV77">
        <v>30.73</v>
      </c>
      <c r="BW77">
        <v>29.41</v>
      </c>
      <c r="BX77">
        <v>24.21</v>
      </c>
      <c r="BY77">
        <v>15.4</v>
      </c>
      <c r="BZ77">
        <v>14.05</v>
      </c>
      <c r="CA77">
        <v>11.62</v>
      </c>
      <c r="CB77">
        <v>4.2300000000000004</v>
      </c>
      <c r="CC77">
        <v>10.79</v>
      </c>
      <c r="CD77" t="s">
        <v>3350</v>
      </c>
      <c r="CE77" t="s">
        <v>647</v>
      </c>
      <c r="CF77" s="10">
        <v>52.805534640908718</v>
      </c>
      <c r="CG77" s="11">
        <v>34.140745563222161</v>
      </c>
      <c r="CH77" s="10">
        <v>-0.9480786919593811</v>
      </c>
      <c r="CI77" s="10">
        <v>-0.14812786877155304</v>
      </c>
      <c r="CJ77" s="10">
        <v>0.38372975587844849</v>
      </c>
      <c r="CK77" s="10">
        <v>0.22672359645366669</v>
      </c>
      <c r="CL77" s="10">
        <v>0.22910012304782867</v>
      </c>
      <c r="CM77" s="11">
        <v>-1.0705559253692627</v>
      </c>
      <c r="CN77" s="11">
        <v>-5.7786483317613602E-2</v>
      </c>
      <c r="CO77" s="11">
        <v>0.53765058517456055</v>
      </c>
      <c r="CP77" s="11">
        <v>0.35787320137023926</v>
      </c>
      <c r="CQ77" s="11">
        <v>0.4553571343421936</v>
      </c>
      <c r="CR77">
        <v>25.150428074737086</v>
      </c>
      <c r="CS77">
        <v>4.8996933039675303</v>
      </c>
      <c r="CT77">
        <v>3.7961240310077522</v>
      </c>
      <c r="CU77" s="10">
        <v>-5.1330617070198058E-2</v>
      </c>
      <c r="CV77" s="11">
        <v>4.4507702440023424E-2</v>
      </c>
      <c r="CW77">
        <v>0.06</v>
      </c>
      <c r="CX77" t="e">
        <v>#VALUE!</v>
      </c>
      <c r="CY77" t="s">
        <v>1158</v>
      </c>
      <c r="CZ77">
        <v>-5.1330617070198058E-2</v>
      </c>
      <c r="DA77" t="e">
        <v>#VALUE!</v>
      </c>
      <c r="DB77" t="s">
        <v>1158</v>
      </c>
      <c r="DC77">
        <v>-4.8764086216688152E-2</v>
      </c>
      <c r="DD77" t="e">
        <v>#VALUE!</v>
      </c>
      <c r="DE77" t="s">
        <v>1158</v>
      </c>
      <c r="DF77">
        <v>-4.5170943021774289E-2</v>
      </c>
      <c r="DG77" t="e">
        <v>#VALUE!</v>
      </c>
      <c r="DH77" t="s">
        <v>1158</v>
      </c>
      <c r="DI77">
        <v>-4.1064493656158448E-2</v>
      </c>
      <c r="DJ77" t="e">
        <v>#VALUE!</v>
      </c>
      <c r="DK77" t="s">
        <v>1158</v>
      </c>
      <c r="DL77">
        <v>-3.5931431949138636E-2</v>
      </c>
      <c r="DM77">
        <v>-67874800</v>
      </c>
      <c r="DN77">
        <v>-5.1330617070198058E-2</v>
      </c>
      <c r="DO77">
        <v>18378201000</v>
      </c>
      <c r="DP77">
        <v>-2658994299.999999</v>
      </c>
      <c r="DQ77">
        <v>3193</v>
      </c>
      <c r="DR77">
        <v>52.856865257978917</v>
      </c>
      <c r="DS77">
        <v>34.096237860782139</v>
      </c>
      <c r="DT77" s="12">
        <v>-0.42333333333333339</v>
      </c>
      <c r="DU77">
        <v>-0.40000000000000008</v>
      </c>
      <c r="DV77">
        <v>-0.82333333333333347</v>
      </c>
      <c r="DW77">
        <v>8.392029657089898</v>
      </c>
      <c r="DX77">
        <v>0.40935128205128279</v>
      </c>
      <c r="DY77">
        <v>8.0624704284593989</v>
      </c>
      <c r="DZ77">
        <v>3813</v>
      </c>
      <c r="EA77">
        <v>8.0158559972038823</v>
      </c>
      <c r="EB77">
        <v>8</v>
      </c>
      <c r="EC77">
        <v>4.0452253946970163E-2</v>
      </c>
      <c r="ED77">
        <v>0.25385584242712222</v>
      </c>
      <c r="EE77" s="15">
        <v>-2.0143</v>
      </c>
      <c r="EF77">
        <v>-2.0108999999999999</v>
      </c>
      <c r="EG77">
        <v>25.159351282051283</v>
      </c>
      <c r="EH77" t="s">
        <v>1553</v>
      </c>
      <c r="EI77">
        <v>0</v>
      </c>
      <c r="EJ77">
        <v>0</v>
      </c>
      <c r="EK77" s="14">
        <v>45470</v>
      </c>
      <c r="EL77" s="16">
        <v>-1.33</v>
      </c>
      <c r="EM77" s="16">
        <v>-2.27</v>
      </c>
      <c r="EN77" s="16">
        <v>-4.09</v>
      </c>
      <c r="EO77" s="16">
        <v>2.02</v>
      </c>
      <c r="EP77" s="16">
        <v>-0.34</v>
      </c>
    </row>
    <row r="78" spans="1:146" ht="108" x14ac:dyDescent="0.25">
      <c r="A78" s="7"/>
      <c r="B78" s="7"/>
      <c r="C78" s="7" t="str">
        <f>""&amp;CHAR(10)&amp;Basic_Fundamental_Information_Constructure(F78)&amp;CHAR(10)&amp;Basic_Fundamental_Information_Concatenate("")</f>
        <v xml:space="preserve">
市值80.58883亿, 利润528.81万; PE11.4; 平均PE16.11; 平均PEG1.07, PB.946; ROIC6.59%; ROE8.74%; 股利率4.0984%; 毛利19.38%; 净利9.7%; 上一年度营收增-93.37%, 利润增-99.27%; 当季营收增2881.16%, 利润增7876.43%; 过往5年营收增-15.01%, 利润增-6.98%
Income profile:
</v>
      </c>
      <c r="D78" t="s">
        <v>1019</v>
      </c>
      <c r="E78" t="s">
        <v>1020</v>
      </c>
      <c r="F78">
        <v>8.5399999999999991</v>
      </c>
      <c r="G78">
        <v>0.23</v>
      </c>
      <c r="H78" t="s">
        <v>3351</v>
      </c>
      <c r="I78">
        <v>8058883000</v>
      </c>
      <c r="J78">
        <v>11.4</v>
      </c>
      <c r="K78">
        <v>0.94599999999999995</v>
      </c>
      <c r="L78" t="s">
        <v>1747</v>
      </c>
      <c r="M78" t="s">
        <v>3352</v>
      </c>
      <c r="N78" t="s">
        <v>3353</v>
      </c>
      <c r="O78" t="s">
        <v>3354</v>
      </c>
      <c r="P78">
        <v>31.44</v>
      </c>
      <c r="Q78" t="s">
        <v>630</v>
      </c>
      <c r="R78">
        <v>186385480</v>
      </c>
      <c r="S78" s="5">
        <v>-0.15609999999999999</v>
      </c>
      <c r="T78" t="s">
        <v>3355</v>
      </c>
      <c r="U78">
        <v>942406490</v>
      </c>
      <c r="V78">
        <v>943663120</v>
      </c>
      <c r="W78">
        <v>2.4900000000000002</v>
      </c>
      <c r="X78">
        <v>0.11</v>
      </c>
      <c r="Y78">
        <v>8.67</v>
      </c>
      <c r="Z78" t="s">
        <v>3356</v>
      </c>
      <c r="AA78" t="s">
        <v>3357</v>
      </c>
      <c r="AB78" t="s">
        <v>3358</v>
      </c>
      <c r="AC78" t="s">
        <v>84</v>
      </c>
      <c r="AD78" t="s">
        <v>28</v>
      </c>
      <c r="AE78">
        <v>47533766</v>
      </c>
      <c r="AF78" t="s">
        <v>3359</v>
      </c>
      <c r="AG78" t="s">
        <v>3360</v>
      </c>
      <c r="AH78" t="s">
        <v>3361</v>
      </c>
      <c r="AI78" t="s">
        <v>1343</v>
      </c>
      <c r="AJ78" t="s">
        <v>3362</v>
      </c>
      <c r="AK78" t="s">
        <v>3363</v>
      </c>
      <c r="AL78" t="s">
        <v>3364</v>
      </c>
      <c r="AM78" t="s">
        <v>28</v>
      </c>
      <c r="AN78" t="s">
        <v>1225</v>
      </c>
      <c r="AO78" t="s">
        <v>1646</v>
      </c>
      <c r="AP78" t="s">
        <v>3365</v>
      </c>
      <c r="AQ78" t="s">
        <v>3366</v>
      </c>
      <c r="AR78" t="s">
        <v>3367</v>
      </c>
      <c r="AS78" t="s">
        <v>3368</v>
      </c>
      <c r="AT78" t="s">
        <v>3369</v>
      </c>
      <c r="AU78" t="s">
        <v>1568</v>
      </c>
      <c r="AV78" t="s">
        <v>3210</v>
      </c>
      <c r="AW78" t="s">
        <v>1649</v>
      </c>
      <c r="AX78" t="s">
        <v>1409</v>
      </c>
      <c r="AY78" t="s">
        <v>1021</v>
      </c>
      <c r="AZ78" t="s">
        <v>1022</v>
      </c>
      <c r="BA78" t="s">
        <v>1023</v>
      </c>
      <c r="BB78" t="s">
        <v>1024</v>
      </c>
      <c r="BC78" t="s">
        <v>744</v>
      </c>
      <c r="BD78" t="s">
        <v>947</v>
      </c>
      <c r="BE78" t="s">
        <v>363</v>
      </c>
      <c r="BF78" t="s">
        <v>523</v>
      </c>
      <c r="BG78" t="s">
        <v>881</v>
      </c>
      <c r="BH78" t="s">
        <v>3370</v>
      </c>
      <c r="BI78" t="s">
        <v>3371</v>
      </c>
      <c r="BJ78" t="s">
        <v>1409</v>
      </c>
      <c r="BK78" t="s">
        <v>1360</v>
      </c>
      <c r="BL78" t="s">
        <v>3372</v>
      </c>
      <c r="BM78" t="s">
        <v>744</v>
      </c>
      <c r="BN78">
        <v>4.82</v>
      </c>
      <c r="BO78">
        <v>7.33</v>
      </c>
      <c r="BP78">
        <v>7.62</v>
      </c>
      <c r="BQ78">
        <v>6.52</v>
      </c>
      <c r="BR78">
        <v>9.58</v>
      </c>
      <c r="BS78">
        <v>10.119999999999999</v>
      </c>
      <c r="BT78" t="s">
        <v>1258</v>
      </c>
      <c r="BU78" t="s">
        <v>1061</v>
      </c>
      <c r="BV78">
        <v>18.32</v>
      </c>
      <c r="BW78">
        <v>19.95</v>
      </c>
      <c r="BX78">
        <v>19.87</v>
      </c>
      <c r="BY78">
        <v>8.91</v>
      </c>
      <c r="BZ78">
        <v>9.9</v>
      </c>
      <c r="CA78">
        <v>10.29</v>
      </c>
      <c r="CB78">
        <v>-1.95</v>
      </c>
      <c r="CC78">
        <v>-11.59</v>
      </c>
      <c r="CD78" t="s">
        <v>3373</v>
      </c>
      <c r="CE78" t="s">
        <v>164</v>
      </c>
      <c r="CF78" s="10">
        <v>28.811621392408316</v>
      </c>
      <c r="CG78" s="11">
        <v>78.764302403204269</v>
      </c>
      <c r="CH78" s="10">
        <v>-0.93370294570922852</v>
      </c>
      <c r="CI78" s="10">
        <v>5.5151022970676422E-2</v>
      </c>
      <c r="CJ78" s="10">
        <v>6.0514006763696671E-2</v>
      </c>
      <c r="CK78" s="10">
        <v>0.1276230663061142</v>
      </c>
      <c r="CL78" s="10">
        <v>-6.023610383272171E-2</v>
      </c>
      <c r="CM78" s="11">
        <v>-0.99274605512619019</v>
      </c>
      <c r="CN78" s="11">
        <v>-3.4437086433172226E-2</v>
      </c>
      <c r="CO78" s="11">
        <v>0.17236024141311646</v>
      </c>
      <c r="CP78" s="11">
        <v>0.43429845571517944</v>
      </c>
      <c r="CQ78" s="11">
        <v>7.1599043905735016E-2</v>
      </c>
      <c r="CR78">
        <v>16.110848538665781</v>
      </c>
      <c r="CS78">
        <v>1.0731251631344514</v>
      </c>
      <c r="CT78">
        <v>4.0983606557377055</v>
      </c>
      <c r="CU78" s="10">
        <v>-0.1501301907002926</v>
      </c>
      <c r="CV78" s="11">
        <v>-6.9785080105066302E-2</v>
      </c>
      <c r="CW78">
        <v>0.06</v>
      </c>
      <c r="CX78">
        <v>2538.3186777859723</v>
      </c>
      <c r="CY78" t="s">
        <v>3374</v>
      </c>
      <c r="CZ78">
        <v>-0.1501301907002926</v>
      </c>
      <c r="DA78">
        <v>846.10622592865741</v>
      </c>
      <c r="DB78" t="s">
        <v>3375</v>
      </c>
      <c r="DC78">
        <v>-0.14262368116527796</v>
      </c>
      <c r="DD78">
        <v>423.0531129643287</v>
      </c>
      <c r="DE78" t="s">
        <v>3376</v>
      </c>
      <c r="DF78">
        <v>-0.13211456781625749</v>
      </c>
      <c r="DG78">
        <v>253.83186777859723</v>
      </c>
      <c r="DH78" t="s">
        <v>3377</v>
      </c>
      <c r="DI78">
        <v>-0.12010415256023409</v>
      </c>
      <c r="DJ78">
        <v>126.91593388929861</v>
      </c>
      <c r="DK78" t="s">
        <v>3378</v>
      </c>
      <c r="DL78">
        <v>-0.10509113349020481</v>
      </c>
      <c r="DM78">
        <v>5288099.9999999991</v>
      </c>
      <c r="DN78">
        <v>-0.1501301907002926</v>
      </c>
      <c r="DO78">
        <v>13422883000</v>
      </c>
      <c r="DP78">
        <v>815377700</v>
      </c>
      <c r="DQ78">
        <v>3200</v>
      </c>
      <c r="DR78">
        <v>28.961751583108608</v>
      </c>
      <c r="DS78">
        <v>78.834087483309332</v>
      </c>
      <c r="DT78" s="12">
        <v>-0.77333333333333332</v>
      </c>
      <c r="DU78">
        <v>-8.3333333333333329E-2</v>
      </c>
      <c r="DV78">
        <v>-0.85666666666666669</v>
      </c>
      <c r="DW78">
        <v>-2.1158999999999999</v>
      </c>
      <c r="DX78">
        <v>0.31748505747126315</v>
      </c>
      <c r="DY78">
        <v>-2.0159345181609196</v>
      </c>
      <c r="DZ78">
        <v>3586</v>
      </c>
      <c r="EA78">
        <v>-2.0047522907391864</v>
      </c>
      <c r="EB78">
        <v>2</v>
      </c>
      <c r="EC78">
        <v>2.5350572140617297E-2</v>
      </c>
      <c r="ED78">
        <v>0.184387835353786</v>
      </c>
      <c r="EE78" s="15">
        <v>8.5209999999999994E-2</v>
      </c>
      <c r="EF78">
        <v>0.10310999999999999</v>
      </c>
      <c r="EG78">
        <v>18.137485057471263</v>
      </c>
      <c r="EH78">
        <v>-1</v>
      </c>
      <c r="EI78">
        <v>0</v>
      </c>
      <c r="EJ78">
        <v>0</v>
      </c>
      <c r="EK78" s="14">
        <v>45470</v>
      </c>
      <c r="EL78" s="16">
        <v>0.51</v>
      </c>
      <c r="EM78" s="16">
        <v>-4.09</v>
      </c>
      <c r="EN78" s="16">
        <v>2.13</v>
      </c>
      <c r="EO78" s="16">
        <v>2.09</v>
      </c>
      <c r="EP78" s="16">
        <v>-1.79</v>
      </c>
    </row>
    <row r="79" spans="1:146" ht="108" x14ac:dyDescent="0.25">
      <c r="A79" s="9"/>
      <c r="B79" s="9"/>
      <c r="C79" s="7" t="str">
        <f>""&amp;CHAR(10)&amp;Basic_Fundamental_Information_Constructure(F79)&amp;CHAR(10)&amp;Basic_Fundamental_Information_Concatenate("")</f>
        <v xml:space="preserve">
市值23.548568亿, 利润-1.74亿; PE185.4; 平均PE-98.84; 平均PEG-.83, PB25.01; ROIC12.2567%; ROE12.61%; 股利率0%; 毛利32.8733%; 净利17.39%; 上一年度营收增529.29%, 利润增-1731.31%; 当季营收增-78.62%, 利润增117.18%; 过往5年营收增118.61%, 利润增-322.86%
Income profile:
</v>
      </c>
      <c r="D79" t="s">
        <v>827</v>
      </c>
      <c r="E79" t="s">
        <v>828</v>
      </c>
      <c r="F79">
        <v>6.28</v>
      </c>
      <c r="G79">
        <v>1.95</v>
      </c>
      <c r="H79" t="s">
        <v>3379</v>
      </c>
      <c r="I79">
        <v>2354856800</v>
      </c>
      <c r="J79">
        <v>185.4</v>
      </c>
      <c r="K79">
        <v>25.01</v>
      </c>
      <c r="L79" t="s">
        <v>1747</v>
      </c>
      <c r="M79" t="s">
        <v>1262</v>
      </c>
      <c r="N79" t="s">
        <v>3380</v>
      </c>
      <c r="O79" t="s">
        <v>3381</v>
      </c>
      <c r="P79">
        <v>24.69</v>
      </c>
      <c r="Q79" t="s">
        <v>642</v>
      </c>
      <c r="R79">
        <v>3998511</v>
      </c>
      <c r="S79" s="5">
        <v>0.15790000000000001</v>
      </c>
      <c r="T79" t="s">
        <v>1584</v>
      </c>
      <c r="U79">
        <v>374977200</v>
      </c>
      <c r="V79">
        <v>374977200</v>
      </c>
      <c r="W79">
        <v>3.13</v>
      </c>
      <c r="X79">
        <v>7.0000000000000007E-2</v>
      </c>
      <c r="Y79">
        <v>19.72</v>
      </c>
      <c r="Z79" t="s">
        <v>3382</v>
      </c>
      <c r="AA79" t="s">
        <v>3383</v>
      </c>
      <c r="AB79" t="s">
        <v>28</v>
      </c>
      <c r="AC79" t="s">
        <v>3384</v>
      </c>
      <c r="AD79" t="s">
        <v>28</v>
      </c>
      <c r="AE79">
        <v>-26337</v>
      </c>
      <c r="AF79" t="s">
        <v>3385</v>
      </c>
      <c r="AG79" t="s">
        <v>28</v>
      </c>
      <c r="AH79" t="s">
        <v>3386</v>
      </c>
      <c r="AI79" t="s">
        <v>365</v>
      </c>
      <c r="AJ79" t="s">
        <v>3387</v>
      </c>
      <c r="AK79" t="s">
        <v>28</v>
      </c>
      <c r="AL79" t="s">
        <v>3388</v>
      </c>
      <c r="AM79" t="s">
        <v>28</v>
      </c>
      <c r="AN79" t="s">
        <v>3389</v>
      </c>
      <c r="AO79" t="s">
        <v>28</v>
      </c>
      <c r="AP79" t="s">
        <v>3390</v>
      </c>
      <c r="AQ79" t="s">
        <v>3391</v>
      </c>
      <c r="AR79" t="s">
        <v>28</v>
      </c>
      <c r="AS79" t="s">
        <v>517</v>
      </c>
      <c r="AT79" t="s">
        <v>28</v>
      </c>
      <c r="AU79" t="s">
        <v>3392</v>
      </c>
      <c r="AV79" t="s">
        <v>3393</v>
      </c>
      <c r="AW79" t="s">
        <v>28</v>
      </c>
      <c r="AX79" t="s">
        <v>1411</v>
      </c>
      <c r="AY79" t="s">
        <v>1025</v>
      </c>
      <c r="AZ79" t="s">
        <v>829</v>
      </c>
      <c r="BA79" t="s">
        <v>831</v>
      </c>
      <c r="BB79" t="s">
        <v>832</v>
      </c>
      <c r="BC79" t="s">
        <v>1412</v>
      </c>
      <c r="BD79" t="s">
        <v>1026</v>
      </c>
      <c r="BE79" t="s">
        <v>830</v>
      </c>
      <c r="BF79" t="s">
        <v>833</v>
      </c>
      <c r="BG79" t="s">
        <v>834</v>
      </c>
      <c r="BH79" t="s">
        <v>3394</v>
      </c>
      <c r="BI79" t="s">
        <v>3395</v>
      </c>
      <c r="BJ79" t="s">
        <v>1411</v>
      </c>
      <c r="BK79" t="s">
        <v>3396</v>
      </c>
      <c r="BL79" t="s">
        <v>3397</v>
      </c>
      <c r="BM79" t="s">
        <v>1412</v>
      </c>
      <c r="BN79">
        <v>11.98</v>
      </c>
      <c r="BO79">
        <v>14.1</v>
      </c>
      <c r="BP79">
        <v>10.69</v>
      </c>
      <c r="BQ79">
        <v>12.31</v>
      </c>
      <c r="BR79">
        <v>14.68</v>
      </c>
      <c r="BS79">
        <v>10.84</v>
      </c>
      <c r="BT79" t="s">
        <v>1244</v>
      </c>
      <c r="BU79" t="s">
        <v>1159</v>
      </c>
      <c r="BV79">
        <v>35.15</v>
      </c>
      <c r="BW79">
        <v>33.03</v>
      </c>
      <c r="BX79">
        <v>30.44</v>
      </c>
      <c r="BY79">
        <v>18.260000000000002</v>
      </c>
      <c r="BZ79">
        <v>20.85</v>
      </c>
      <c r="CA79">
        <v>13.06</v>
      </c>
      <c r="CB79">
        <v>-0.16</v>
      </c>
      <c r="CC79">
        <v>-15.25</v>
      </c>
      <c r="CD79" t="s">
        <v>3398</v>
      </c>
      <c r="CE79" t="s">
        <v>225</v>
      </c>
      <c r="CF79" s="10">
        <v>-0.78623226229605003</v>
      </c>
      <c r="CG79" s="11">
        <v>1.1717794818919964</v>
      </c>
      <c r="CH79" s="10">
        <v>5.2928972244262695</v>
      </c>
      <c r="CI79" s="10">
        <v>-3.4319546073675156E-2</v>
      </c>
      <c r="CJ79" s="10">
        <v>0.72773784399032593</v>
      </c>
      <c r="CK79" s="10">
        <v>0.32338270545005798</v>
      </c>
      <c r="CL79" s="10">
        <v>-0.37909194827079773</v>
      </c>
      <c r="CM79" s="11">
        <v>-17.313060760498047</v>
      </c>
      <c r="CN79" s="11">
        <v>0.54106104373931885</v>
      </c>
      <c r="CO79" s="11">
        <v>0.30883854627609253</v>
      </c>
      <c r="CP79" s="11">
        <v>0.71460992097854614</v>
      </c>
      <c r="CQ79" s="11">
        <v>-0.39436426758766174</v>
      </c>
      <c r="CR79">
        <v>-98.841537516597015</v>
      </c>
      <c r="CS79">
        <v>-0.83331731072662374</v>
      </c>
      <c r="CT79">
        <v>0</v>
      </c>
      <c r="CU79" s="10">
        <v>1.1861212559044361</v>
      </c>
      <c r="CV79" s="11">
        <v>-3.2285831034183503</v>
      </c>
      <c r="CW79">
        <v>0.06</v>
      </c>
      <c r="CX79" t="e">
        <v>#VALUE!</v>
      </c>
      <c r="CY79" t="s">
        <v>1158</v>
      </c>
      <c r="CZ79">
        <v>1.1861212559044361</v>
      </c>
      <c r="DA79" t="e">
        <v>#VALUE!</v>
      </c>
      <c r="DB79" t="s">
        <v>1158</v>
      </c>
      <c r="DC79">
        <v>1.1268151931092143</v>
      </c>
      <c r="DD79" t="e">
        <v>#VALUE!</v>
      </c>
      <c r="DE79" t="s">
        <v>1158</v>
      </c>
      <c r="DF79">
        <v>1.0437867051959038</v>
      </c>
      <c r="DG79" t="e">
        <v>#VALUE!</v>
      </c>
      <c r="DH79" t="s">
        <v>1158</v>
      </c>
      <c r="DI79">
        <v>0.94889700472354888</v>
      </c>
      <c r="DJ79" t="e">
        <v>#VALUE!</v>
      </c>
      <c r="DK79" t="s">
        <v>1158</v>
      </c>
      <c r="DL79">
        <v>0.83028487913310522</v>
      </c>
      <c r="DM79">
        <v>-174000000</v>
      </c>
      <c r="DN79">
        <v>1.1861212559044361</v>
      </c>
      <c r="DO79">
        <v>2456706800</v>
      </c>
      <c r="DP79">
        <v>2387560</v>
      </c>
      <c r="DQ79">
        <v>3448</v>
      </c>
      <c r="DR79">
        <v>-1.9723535182004861</v>
      </c>
      <c r="DS79">
        <v>4.4003625853103472</v>
      </c>
      <c r="DT79" s="12">
        <v>0.14333333333333331</v>
      </c>
      <c r="DU79">
        <v>-0.11333333333333333</v>
      </c>
      <c r="DV79">
        <v>2.9999999999999985E-2</v>
      </c>
      <c r="DW79">
        <v>-2.1524999999999999</v>
      </c>
      <c r="DX79">
        <v>0.27494774193548494</v>
      </c>
      <c r="DY79">
        <v>-2.0144795306451613</v>
      </c>
      <c r="DZ79">
        <v>4180</v>
      </c>
      <c r="EA79">
        <v>-2.0026352179060667</v>
      </c>
      <c r="EB79">
        <v>2</v>
      </c>
      <c r="EC79">
        <v>3.9247452911803704E-2</v>
      </c>
      <c r="ED79">
        <v>0.41335846552803746</v>
      </c>
      <c r="EE79" s="15">
        <v>-3.0396999999999998</v>
      </c>
      <c r="EF79">
        <v>-3.0171999999999999</v>
      </c>
      <c r="EG79">
        <v>18.094947741935485</v>
      </c>
      <c r="EH79" t="s">
        <v>1551</v>
      </c>
      <c r="EI79">
        <v>0</v>
      </c>
      <c r="EJ79">
        <v>0</v>
      </c>
      <c r="EK79" s="14">
        <v>45470</v>
      </c>
      <c r="EL79" s="16">
        <v>-0.71</v>
      </c>
      <c r="EM79" s="16">
        <v>-4.97</v>
      </c>
      <c r="EN79" s="16">
        <v>2.99</v>
      </c>
      <c r="EO79" s="16">
        <v>3.05</v>
      </c>
      <c r="EP79" s="16">
        <v>-2.25</v>
      </c>
    </row>
    <row r="80" spans="1:146" ht="108" x14ac:dyDescent="0.25">
      <c r="A80" s="9"/>
      <c r="B80" s="9"/>
      <c r="C80" s="7" t="str">
        <f>""&amp;CHAR(10)&amp;Basic_Fundamental_Information_Constructure(F80)&amp;CHAR(10)&amp;Basic_Fundamental_Information_Concatenate("")</f>
        <v xml:space="preserve">
市值37.956457亿, 利润1.18亿; PE18.15; 平均PE41.97; 平均PEG.45, PB1.2; ROIC4.18%; ROE6.37%; 股利率.7078%; 毛利22.8333%; 净利8.82%; 上一年度营收增79.19%, 利润增-42.72%; 当季营收增-57.01%, 利润增1318.39%; 过往5年营收增93.66%, 利润增118.92%
Income profile:
</v>
      </c>
      <c r="D80" t="s">
        <v>1027</v>
      </c>
      <c r="E80" t="s">
        <v>1028</v>
      </c>
      <c r="F80">
        <v>4.38</v>
      </c>
      <c r="G80">
        <v>1.1499999999999999</v>
      </c>
      <c r="H80" t="s">
        <v>3399</v>
      </c>
      <c r="I80">
        <v>3795645700</v>
      </c>
      <c r="J80">
        <v>18.149999999999999</v>
      </c>
      <c r="K80">
        <v>1.2</v>
      </c>
      <c r="L80" t="s">
        <v>1747</v>
      </c>
      <c r="M80" t="s">
        <v>98</v>
      </c>
      <c r="N80" t="s">
        <v>3400</v>
      </c>
      <c r="O80" t="s">
        <v>3401</v>
      </c>
      <c r="P80">
        <v>4.5199999999999996</v>
      </c>
      <c r="Q80" t="s">
        <v>3402</v>
      </c>
      <c r="R80">
        <v>28777812</v>
      </c>
      <c r="S80" s="5">
        <v>-5.1499999999999997E-2</v>
      </c>
      <c r="T80" t="s">
        <v>196</v>
      </c>
      <c r="U80">
        <v>301402140</v>
      </c>
      <c r="V80">
        <v>866585770</v>
      </c>
      <c r="W80">
        <v>1.89</v>
      </c>
      <c r="X80">
        <v>0.06</v>
      </c>
      <c r="Y80">
        <v>5.53</v>
      </c>
      <c r="Z80" t="s">
        <v>302</v>
      </c>
      <c r="AA80" t="s">
        <v>305</v>
      </c>
      <c r="AB80" t="s">
        <v>3403</v>
      </c>
      <c r="AC80" t="s">
        <v>3404</v>
      </c>
      <c r="AD80" t="s">
        <v>28</v>
      </c>
      <c r="AE80">
        <v>17504580</v>
      </c>
      <c r="AF80" t="s">
        <v>3405</v>
      </c>
      <c r="AG80" t="s">
        <v>3406</v>
      </c>
      <c r="AH80" t="s">
        <v>3407</v>
      </c>
      <c r="AI80" t="s">
        <v>1625</v>
      </c>
      <c r="AJ80" t="s">
        <v>3408</v>
      </c>
      <c r="AK80" t="s">
        <v>3409</v>
      </c>
      <c r="AL80" t="s">
        <v>3410</v>
      </c>
      <c r="AM80" t="s">
        <v>28</v>
      </c>
      <c r="AN80" t="s">
        <v>342</v>
      </c>
      <c r="AO80" t="s">
        <v>1311</v>
      </c>
      <c r="AP80" t="s">
        <v>227</v>
      </c>
      <c r="AQ80" t="s">
        <v>85</v>
      </c>
      <c r="AR80" t="s">
        <v>28</v>
      </c>
      <c r="AS80" t="s">
        <v>3411</v>
      </c>
      <c r="AT80" t="s">
        <v>753</v>
      </c>
      <c r="AU80" t="s">
        <v>3412</v>
      </c>
      <c r="AV80" t="s">
        <v>1593</v>
      </c>
      <c r="AW80" t="s">
        <v>3413</v>
      </c>
      <c r="AX80" t="s">
        <v>1216</v>
      </c>
      <c r="AY80" t="s">
        <v>1029</v>
      </c>
      <c r="AZ80" t="s">
        <v>1030</v>
      </c>
      <c r="BA80" t="s">
        <v>99</v>
      </c>
      <c r="BB80" t="s">
        <v>624</v>
      </c>
      <c r="BC80" t="s">
        <v>346</v>
      </c>
      <c r="BD80" t="s">
        <v>477</v>
      </c>
      <c r="BE80" t="s">
        <v>1032</v>
      </c>
      <c r="BF80" t="s">
        <v>1033</v>
      </c>
      <c r="BG80" t="s">
        <v>1034</v>
      </c>
      <c r="BH80" t="s">
        <v>3414</v>
      </c>
      <c r="BI80" t="s">
        <v>1652</v>
      </c>
      <c r="BJ80" t="s">
        <v>1216</v>
      </c>
      <c r="BK80" t="s">
        <v>862</v>
      </c>
      <c r="BL80" t="s">
        <v>3415</v>
      </c>
      <c r="BM80" t="s">
        <v>346</v>
      </c>
      <c r="BN80">
        <v>3.15</v>
      </c>
      <c r="BO80">
        <v>4.68</v>
      </c>
      <c r="BP80">
        <v>4.71</v>
      </c>
      <c r="BQ80">
        <v>4.57</v>
      </c>
      <c r="BR80">
        <v>6.98</v>
      </c>
      <c r="BS80">
        <v>7.56</v>
      </c>
      <c r="BT80" t="s">
        <v>3416</v>
      </c>
      <c r="BU80" t="s">
        <v>1153</v>
      </c>
      <c r="BV80">
        <v>23.54</v>
      </c>
      <c r="BW80">
        <v>21.96</v>
      </c>
      <c r="BX80">
        <v>23</v>
      </c>
      <c r="BY80">
        <v>8.99</v>
      </c>
      <c r="BZ80">
        <v>9.4600000000000009</v>
      </c>
      <c r="CA80">
        <v>8.01</v>
      </c>
      <c r="CB80">
        <v>0.46</v>
      </c>
      <c r="CC80">
        <v>-10.59</v>
      </c>
      <c r="CD80" t="s">
        <v>3417</v>
      </c>
      <c r="CE80" t="s">
        <v>101</v>
      </c>
      <c r="CF80" s="10">
        <v>-0.57011494252873562</v>
      </c>
      <c r="CG80" s="11">
        <v>13.183947952092268</v>
      </c>
      <c r="CH80" s="10">
        <v>0.79193633794784546</v>
      </c>
      <c r="CI80" s="10">
        <v>-1.0832102969288826E-2</v>
      </c>
      <c r="CJ80" s="10">
        <v>7.5741492211818695E-2</v>
      </c>
      <c r="CK80" s="10">
        <v>3.9684209823608398</v>
      </c>
      <c r="CL80" s="10">
        <v>-0.14221218228340149</v>
      </c>
      <c r="CM80" s="11">
        <v>-0.42718446254730225</v>
      </c>
      <c r="CN80" s="11">
        <v>0.39189189672470093</v>
      </c>
      <c r="CO80" s="11">
        <v>0.53948891162872314</v>
      </c>
      <c r="CP80" s="11">
        <v>4.0122160911560059</v>
      </c>
      <c r="CQ80" s="11">
        <v>1.4296152591705322</v>
      </c>
      <c r="CR80">
        <v>41.966279003771717</v>
      </c>
      <c r="CS80">
        <v>0.44806523989221703</v>
      </c>
      <c r="CT80">
        <v>0.70776255707762559</v>
      </c>
      <c r="CU80" s="10">
        <v>0.93661090545356274</v>
      </c>
      <c r="CV80" s="11">
        <v>1.1892055392265319</v>
      </c>
      <c r="CW80">
        <v>0.06</v>
      </c>
      <c r="CX80">
        <v>16.942950160224761</v>
      </c>
      <c r="CY80">
        <v>215584987.5882268</v>
      </c>
      <c r="CZ80">
        <v>0.93661090545356274</v>
      </c>
      <c r="DA80">
        <v>2.9126229288168641</v>
      </c>
      <c r="DB80">
        <v>1254074347.8537884</v>
      </c>
      <c r="DC80">
        <v>0.88978036018088458</v>
      </c>
      <c r="DD80">
        <v>0.51914487882844584</v>
      </c>
      <c r="DE80">
        <v>7035888918.4131508</v>
      </c>
      <c r="DF80">
        <v>0.8242175967991352</v>
      </c>
      <c r="DG80">
        <v>8.196293220695966E-2</v>
      </c>
      <c r="DH80">
        <v>44564605018.972778</v>
      </c>
      <c r="DI80">
        <v>0.74928872436285021</v>
      </c>
      <c r="DJ80">
        <v>1.4916256910956825E-3</v>
      </c>
      <c r="DK80">
        <v>2448768294756.9287</v>
      </c>
      <c r="DL80">
        <v>0.65562763381749389</v>
      </c>
      <c r="DM80">
        <v>118000000</v>
      </c>
      <c r="DN80">
        <v>0.93661090545356274</v>
      </c>
      <c r="DO80">
        <v>3652645700</v>
      </c>
      <c r="DP80">
        <v>200843700</v>
      </c>
      <c r="DQ80">
        <v>3471</v>
      </c>
      <c r="DR80">
        <v>-1.5067258479822985</v>
      </c>
      <c r="DS80">
        <v>11.994742412865737</v>
      </c>
      <c r="DT80" s="12">
        <v>0.37666666666666671</v>
      </c>
      <c r="DU80">
        <v>1.2183333333333333</v>
      </c>
      <c r="DV80">
        <v>1.595</v>
      </c>
      <c r="DW80">
        <v>-2.1059000000000001</v>
      </c>
      <c r="DX80">
        <v>0.3296474820143902</v>
      </c>
      <c r="DY80">
        <v>-2.0105526683453236</v>
      </c>
      <c r="DZ80">
        <v>491</v>
      </c>
      <c r="EA80">
        <v>-2.00953870353954</v>
      </c>
      <c r="EB80">
        <v>2</v>
      </c>
      <c r="EC80">
        <v>1.5983415005764518E-2</v>
      </c>
      <c r="ED80">
        <v>0.16039958745226107</v>
      </c>
      <c r="EE80" s="15">
        <v>-2.1009000000000002</v>
      </c>
      <c r="EF80">
        <v>-2.1025999999999998</v>
      </c>
      <c r="EG80">
        <v>23.09964748201439</v>
      </c>
      <c r="EH80" t="s">
        <v>1553</v>
      </c>
      <c r="EI80">
        <v>0</v>
      </c>
      <c r="EJ80">
        <v>1</v>
      </c>
      <c r="EK80" s="14">
        <v>45470</v>
      </c>
      <c r="EL80" s="16">
        <v>0.34</v>
      </c>
      <c r="EM80" s="16">
        <v>-0.17</v>
      </c>
      <c r="EN80" s="16">
        <v>0.68</v>
      </c>
      <c r="EO80" s="16">
        <v>-1.02</v>
      </c>
      <c r="EP80" s="16">
        <v>0.17</v>
      </c>
    </row>
    <row r="81" spans="1:146" ht="108" x14ac:dyDescent="0.25">
      <c r="A81" s="9"/>
      <c r="B81" s="9"/>
      <c r="C81" s="7" t="str">
        <f>""&amp;CHAR(10)&amp;Basic_Fundamental_Information_Constructure(F81)&amp;CHAR(10)&amp;Basic_Fundamental_Information_Concatenate("")</f>
        <v xml:space="preserve">
市值86.058911亿, 利润35.50亿; PE9.47; 平均PE7.86; 平均PEG.03, PB.918; ROIC5.01%; ROE9.1967%; 股利率3.0292%; 毛利34.2333%; 净利17.73%; 上一年度营收增1217.27%, 利润增372.7%; 当季营收增-92.52%, 利润增-75.31%; 过往5年营收增257.25%, 利润增83.26%
Income profile:
</v>
      </c>
      <c r="D81" t="s">
        <v>835</v>
      </c>
      <c r="E81" t="s">
        <v>3418</v>
      </c>
      <c r="F81">
        <v>5.48</v>
      </c>
      <c r="G81">
        <v>0</v>
      </c>
      <c r="H81" t="s">
        <v>3419</v>
      </c>
      <c r="I81">
        <v>8605891100</v>
      </c>
      <c r="J81">
        <v>9.4700000000000006</v>
      </c>
      <c r="K81">
        <v>0.91800000000000004</v>
      </c>
      <c r="L81" t="s">
        <v>1747</v>
      </c>
      <c r="M81" t="s">
        <v>3420</v>
      </c>
      <c r="N81" t="s">
        <v>3421</v>
      </c>
      <c r="O81" t="s">
        <v>1571</v>
      </c>
      <c r="P81">
        <v>10.61</v>
      </c>
      <c r="Q81" t="s">
        <v>3422</v>
      </c>
      <c r="R81">
        <v>251596000</v>
      </c>
      <c r="S81" s="5">
        <v>0.21</v>
      </c>
      <c r="T81" t="s">
        <v>3423</v>
      </c>
      <c r="U81">
        <v>1230418090</v>
      </c>
      <c r="V81">
        <v>1570418100</v>
      </c>
      <c r="W81">
        <v>2.36</v>
      </c>
      <c r="X81">
        <v>0.04</v>
      </c>
      <c r="Y81">
        <v>23.1</v>
      </c>
      <c r="Z81" t="s">
        <v>246</v>
      </c>
      <c r="AA81" t="s">
        <v>2376</v>
      </c>
      <c r="AB81" t="s">
        <v>3424</v>
      </c>
      <c r="AC81" t="s">
        <v>3425</v>
      </c>
      <c r="AD81" t="s">
        <v>28</v>
      </c>
      <c r="AE81">
        <v>90824000</v>
      </c>
      <c r="AF81" t="s">
        <v>67</v>
      </c>
      <c r="AG81" t="s">
        <v>3426</v>
      </c>
      <c r="AH81" t="s">
        <v>3427</v>
      </c>
      <c r="AI81" t="s">
        <v>3428</v>
      </c>
      <c r="AJ81" t="s">
        <v>3429</v>
      </c>
      <c r="AK81" t="s">
        <v>3430</v>
      </c>
      <c r="AL81" t="s">
        <v>3431</v>
      </c>
      <c r="AM81" t="s">
        <v>28</v>
      </c>
      <c r="AN81" t="s">
        <v>125</v>
      </c>
      <c r="AO81" t="s">
        <v>3432</v>
      </c>
      <c r="AP81" t="s">
        <v>28</v>
      </c>
      <c r="AQ81" t="s">
        <v>1712</v>
      </c>
      <c r="AR81" t="s">
        <v>28</v>
      </c>
      <c r="AS81" t="s">
        <v>3433</v>
      </c>
      <c r="AT81" t="s">
        <v>3434</v>
      </c>
      <c r="AU81" t="s">
        <v>3435</v>
      </c>
      <c r="AV81" t="s">
        <v>3436</v>
      </c>
      <c r="AW81" t="s">
        <v>3437</v>
      </c>
      <c r="AX81" t="s">
        <v>1414</v>
      </c>
      <c r="AY81" t="s">
        <v>1035</v>
      </c>
      <c r="AZ81" t="s">
        <v>571</v>
      </c>
      <c r="BA81" t="s">
        <v>838</v>
      </c>
      <c r="BB81" t="s">
        <v>839</v>
      </c>
      <c r="BC81" t="s">
        <v>421</v>
      </c>
      <c r="BD81" t="s">
        <v>607</v>
      </c>
      <c r="BE81" t="s">
        <v>836</v>
      </c>
      <c r="BF81" t="s">
        <v>405</v>
      </c>
      <c r="BG81" t="s">
        <v>251</v>
      </c>
      <c r="BH81" t="s">
        <v>3438</v>
      </c>
      <c r="BI81" t="s">
        <v>3439</v>
      </c>
      <c r="BJ81" t="s">
        <v>1414</v>
      </c>
      <c r="BK81" t="s">
        <v>2006</v>
      </c>
      <c r="BL81" t="s">
        <v>3440</v>
      </c>
      <c r="BM81" t="s">
        <v>421</v>
      </c>
      <c r="BN81">
        <v>4.3</v>
      </c>
      <c r="BO81">
        <v>5.44</v>
      </c>
      <c r="BP81">
        <v>5.29</v>
      </c>
      <c r="BQ81">
        <v>7.6</v>
      </c>
      <c r="BR81">
        <v>9.8800000000000008</v>
      </c>
      <c r="BS81">
        <v>10.11</v>
      </c>
      <c r="BT81" t="s">
        <v>3441</v>
      </c>
      <c r="BU81" t="s">
        <v>1159</v>
      </c>
      <c r="BV81">
        <v>39.03</v>
      </c>
      <c r="BW81">
        <v>33.97</v>
      </c>
      <c r="BX81">
        <v>29.7</v>
      </c>
      <c r="BY81">
        <v>19.37</v>
      </c>
      <c r="BZ81">
        <v>17.97</v>
      </c>
      <c r="CA81">
        <v>15.85</v>
      </c>
      <c r="CB81">
        <v>1.03</v>
      </c>
      <c r="CC81">
        <v>-4.0999999999999996</v>
      </c>
      <c r="CD81" t="s">
        <v>3442</v>
      </c>
      <c r="CE81" t="s">
        <v>92</v>
      </c>
      <c r="CF81" s="10">
        <v>-0.92517148202037003</v>
      </c>
      <c r="CG81" s="11">
        <v>-0.75309519136408243</v>
      </c>
      <c r="CH81" s="10">
        <v>12.172711372375488</v>
      </c>
      <c r="CI81" s="10">
        <v>-3.086447948589921E-3</v>
      </c>
      <c r="CJ81" s="10">
        <v>0.34839478135108948</v>
      </c>
      <c r="CK81" s="10">
        <v>0.17993684113025665</v>
      </c>
      <c r="CL81" s="10">
        <v>0.16462421417236328</v>
      </c>
      <c r="CM81" s="11">
        <v>3.7270307540893555</v>
      </c>
      <c r="CN81" s="11">
        <v>8.3694085478782654E-2</v>
      </c>
      <c r="CO81" s="11">
        <v>0.21578946709632874</v>
      </c>
      <c r="CP81" s="11">
        <v>0.12426035851240158</v>
      </c>
      <c r="CQ81" s="11">
        <v>1.1976048350334167E-2</v>
      </c>
      <c r="CR81">
        <v>7.8568695374315283</v>
      </c>
      <c r="CS81">
        <v>3.0541575144875745E-2</v>
      </c>
      <c r="CT81">
        <v>3.0291970802919703</v>
      </c>
      <c r="CU81" s="10">
        <v>2.5725161522161217</v>
      </c>
      <c r="CV81" s="11">
        <v>0.83255014270544048</v>
      </c>
      <c r="CW81">
        <v>0.06</v>
      </c>
      <c r="CX81">
        <v>1.0350478688711773</v>
      </c>
      <c r="CY81">
        <v>11964558811.6672</v>
      </c>
      <c r="CZ81">
        <v>2.5725161522161217</v>
      </c>
      <c r="DA81">
        <v>7.2524907593380011E-2</v>
      </c>
      <c r="DB81">
        <v>170753628111.21164</v>
      </c>
      <c r="DC81">
        <v>2.4438903446053155</v>
      </c>
      <c r="DD81">
        <v>2.7673932658922001E-3</v>
      </c>
      <c r="DE81">
        <v>4474929982894.0166</v>
      </c>
      <c r="DF81">
        <v>2.2638142139501873</v>
      </c>
      <c r="DG81">
        <v>5.7077391064512813E-5</v>
      </c>
      <c r="DH81">
        <v>216966663490327.91</v>
      </c>
      <c r="DI81">
        <v>2.0580129217728973</v>
      </c>
      <c r="DJ81">
        <v>7.882922328334139E-9</v>
      </c>
      <c r="DK81">
        <v>1.5709771813287711E+18</v>
      </c>
      <c r="DL81">
        <v>1.8007613065512851</v>
      </c>
      <c r="DM81">
        <v>3550000000</v>
      </c>
      <c r="DN81">
        <v>2.5725161522161217</v>
      </c>
      <c r="DO81">
        <v>12383891100</v>
      </c>
      <c r="DP81">
        <v>2834844999.9999995</v>
      </c>
      <c r="DQ81">
        <v>3538</v>
      </c>
      <c r="DR81">
        <v>-3.4976876342364918</v>
      </c>
      <c r="DS81">
        <v>-1.5856453340695229</v>
      </c>
      <c r="DT81" s="12">
        <v>0.20999999999999988</v>
      </c>
      <c r="DU81">
        <v>-6.6666666666666714E-3</v>
      </c>
      <c r="DV81">
        <v>0.2033333333333332</v>
      </c>
      <c r="DW81">
        <v>-1.0409999999999999</v>
      </c>
      <c r="DX81">
        <v>0.43300438596491103</v>
      </c>
      <c r="DY81">
        <v>-1.0058631798245614</v>
      </c>
      <c r="DZ81">
        <v>767</v>
      </c>
      <c r="EA81">
        <v>-1.0049831291542213</v>
      </c>
      <c r="EB81">
        <v>1</v>
      </c>
      <c r="EC81">
        <v>2.0761986887440995E-2</v>
      </c>
      <c r="ED81">
        <v>0.14518426653386124</v>
      </c>
      <c r="EE81" s="15">
        <v>1.1023099999999999</v>
      </c>
      <c r="EF81">
        <v>1.1160099999999999</v>
      </c>
      <c r="EG81">
        <v>29.143004385964911</v>
      </c>
      <c r="EH81" t="s">
        <v>1160</v>
      </c>
      <c r="EI81">
        <v>0</v>
      </c>
      <c r="EJ81">
        <v>1</v>
      </c>
      <c r="EK81" s="14">
        <v>45470</v>
      </c>
      <c r="EL81" s="16">
        <v>-0.28999999999999998</v>
      </c>
      <c r="EM81" s="16">
        <v>-0.49</v>
      </c>
      <c r="EN81" s="16">
        <v>0.49</v>
      </c>
      <c r="EO81" s="16">
        <v>0.1</v>
      </c>
      <c r="EP81" s="16">
        <v>-1.37</v>
      </c>
    </row>
    <row r="82" spans="1:146" ht="96" x14ac:dyDescent="0.25">
      <c r="C82" s="7" t="str">
        <f>""&amp;CHAR(10)&amp;Basic_Fundamental_Information_Constructure(F82)&amp;CHAR(10)&amp;Basic_Fundamental_Information_Concatenate("")</f>
        <v xml:space="preserve">
市值145.53亿, 利润9.97亿; PE20.38; 平均PE25.43; 平均PEG.3, PB1.41; ROIC5.6167%; ROE9.565%; 股利率3.2158%; 毛利43.6433%; 净利23.2167%; 上一年度营收增250.08%, 利润增39.44%; 当季营收增-77.85%, 利润增-58.12%; 过往5年营收增86.07%, 利润增78.83%
Income profile:
</v>
      </c>
      <c r="D82" t="s">
        <v>1698</v>
      </c>
      <c r="E82" t="s">
        <v>1699</v>
      </c>
      <c r="F82">
        <v>16.170000000000002</v>
      </c>
      <c r="G82">
        <v>-0.25</v>
      </c>
      <c r="H82" t="s">
        <v>3443</v>
      </c>
      <c r="I82">
        <v>14553000000</v>
      </c>
      <c r="J82">
        <v>20.38</v>
      </c>
      <c r="K82">
        <v>1.41</v>
      </c>
      <c r="L82" t="s">
        <v>1747</v>
      </c>
      <c r="M82" t="s">
        <v>3444</v>
      </c>
      <c r="N82" t="s">
        <v>3445</v>
      </c>
      <c r="O82" t="s">
        <v>1648</v>
      </c>
      <c r="P82" s="5">
        <v>5.49</v>
      </c>
      <c r="Q82" t="s">
        <v>3446</v>
      </c>
      <c r="R82">
        <v>203560550</v>
      </c>
      <c r="S82">
        <v>-9.2700000000000005E-2</v>
      </c>
      <c r="T82" t="s">
        <v>1559</v>
      </c>
      <c r="U82">
        <v>145497540</v>
      </c>
      <c r="V82">
        <v>900000000</v>
      </c>
      <c r="W82">
        <v>2.5</v>
      </c>
      <c r="X82">
        <v>0.04</v>
      </c>
      <c r="Y82">
        <v>22.37</v>
      </c>
      <c r="Z82" t="s">
        <v>737</v>
      </c>
      <c r="AA82" t="s">
        <v>755</v>
      </c>
      <c r="AB82" t="s">
        <v>3447</v>
      </c>
      <c r="AC82" t="s">
        <v>3448</v>
      </c>
      <c r="AD82" t="s">
        <v>28</v>
      </c>
      <c r="AE82">
        <v>94232482</v>
      </c>
      <c r="AF82" t="s">
        <v>3449</v>
      </c>
      <c r="AG82" t="s">
        <v>3450</v>
      </c>
      <c r="AH82" t="s">
        <v>3451</v>
      </c>
      <c r="AI82" t="s">
        <v>3452</v>
      </c>
      <c r="AJ82" t="s">
        <v>3453</v>
      </c>
      <c r="AK82" t="s">
        <v>28</v>
      </c>
      <c r="AL82" t="s">
        <v>3454</v>
      </c>
      <c r="AM82" t="s">
        <v>28</v>
      </c>
      <c r="AN82" t="s">
        <v>3455</v>
      </c>
      <c r="AO82" t="s">
        <v>28</v>
      </c>
      <c r="AP82" t="s">
        <v>28</v>
      </c>
      <c r="AQ82" t="s">
        <v>3456</v>
      </c>
      <c r="AR82" t="s">
        <v>28</v>
      </c>
      <c r="AS82" t="s">
        <v>1581</v>
      </c>
      <c r="AT82" t="s">
        <v>3457</v>
      </c>
      <c r="AU82" t="s">
        <v>3458</v>
      </c>
      <c r="AV82" t="s">
        <v>3145</v>
      </c>
      <c r="AW82" t="s">
        <v>3459</v>
      </c>
      <c r="AX82" t="s">
        <v>1700</v>
      </c>
      <c r="AY82" t="s">
        <v>1701</v>
      </c>
      <c r="AZ82" t="s">
        <v>1702</v>
      </c>
      <c r="BA82" t="s">
        <v>1703</v>
      </c>
      <c r="BB82" t="s">
        <v>28</v>
      </c>
      <c r="BC82" t="s">
        <v>130</v>
      </c>
      <c r="BD82" t="s">
        <v>1579</v>
      </c>
      <c r="BE82" t="s">
        <v>1704</v>
      </c>
      <c r="BF82" t="s">
        <v>120</v>
      </c>
      <c r="BG82" t="s">
        <v>28</v>
      </c>
      <c r="BH82" t="s">
        <v>3460</v>
      </c>
      <c r="BI82" t="s">
        <v>3461</v>
      </c>
      <c r="BJ82" t="s">
        <v>1700</v>
      </c>
      <c r="BK82" t="s">
        <v>556</v>
      </c>
      <c r="BL82" t="s">
        <v>294</v>
      </c>
      <c r="BM82" t="s">
        <v>130</v>
      </c>
      <c r="BN82">
        <v>5.08</v>
      </c>
      <c r="BO82">
        <v>5.71</v>
      </c>
      <c r="BP82">
        <v>6.06</v>
      </c>
      <c r="BQ82">
        <v>7.93</v>
      </c>
      <c r="BR82">
        <v>11.2</v>
      </c>
      <c r="BS82" t="s">
        <v>28</v>
      </c>
      <c r="BT82" t="s">
        <v>3462</v>
      </c>
      <c r="BU82" t="s">
        <v>1061</v>
      </c>
      <c r="BV82">
        <v>45.3</v>
      </c>
      <c r="BW82">
        <v>40.869999999999997</v>
      </c>
      <c r="BX82">
        <v>44.76</v>
      </c>
      <c r="BY82">
        <v>21.17</v>
      </c>
      <c r="BZ82">
        <v>21.74</v>
      </c>
      <c r="CA82">
        <v>26.74</v>
      </c>
      <c r="CB82">
        <v>-0.12</v>
      </c>
      <c r="CC82" s="10">
        <v>9.11</v>
      </c>
      <c r="CD82" s="11" t="s">
        <v>3463</v>
      </c>
      <c r="CE82" s="10" t="s">
        <v>149</v>
      </c>
      <c r="CF82" s="10">
        <v>-0.77852028639618143</v>
      </c>
      <c r="CG82" s="10">
        <v>-0.58115113168724286</v>
      </c>
      <c r="CH82" s="10">
        <v>2.5007591247558594</v>
      </c>
      <c r="CI82" s="10">
        <v>0.29850155115127563</v>
      </c>
      <c r="CJ82" s="11">
        <v>0.37601730227470398</v>
      </c>
      <c r="CK82" s="11">
        <v>0.26753786206245422</v>
      </c>
      <c r="CL82" s="11" t="s">
        <v>28</v>
      </c>
      <c r="CM82" s="11">
        <v>0.39440560340881348</v>
      </c>
      <c r="CN82" s="11">
        <v>5.6129984557628632E-2</v>
      </c>
      <c r="CO82">
        <v>0.95664739608764648</v>
      </c>
      <c r="CP82">
        <v>1.7460317611694336</v>
      </c>
      <c r="CQ82" t="s">
        <v>28</v>
      </c>
      <c r="CR82" s="10">
        <v>25.433414889898636</v>
      </c>
      <c r="CS82" s="11">
        <v>0.29549550217119885</v>
      </c>
      <c r="CT82">
        <v>3.2158317872603583</v>
      </c>
      <c r="CU82">
        <v>0.8607039600610733</v>
      </c>
      <c r="CV82">
        <v>0.78830368630588055</v>
      </c>
      <c r="CW82">
        <v>0.06</v>
      </c>
      <c r="CX82">
        <v>11.416392955949322</v>
      </c>
      <c r="CY82">
        <v>1750114951.1140473</v>
      </c>
      <c r="CZ82">
        <v>0.8607039600610733</v>
      </c>
      <c r="DA82">
        <v>2.0665169638882812</v>
      </c>
      <c r="DB82">
        <v>9668442286.7772522</v>
      </c>
      <c r="DC82">
        <v>0.81766876205801964</v>
      </c>
      <c r="DD82">
        <v>0.40228359736662189</v>
      </c>
      <c r="DE82">
        <v>49666454538.018837</v>
      </c>
      <c r="DF82">
        <v>0.75741948485374455</v>
      </c>
      <c r="DG82">
        <v>7.1575526170941636E-2</v>
      </c>
      <c r="DH82">
        <v>279145695028.24719</v>
      </c>
      <c r="DI82">
        <v>0.68856316804885864</v>
      </c>
      <c r="DJ82">
        <v>1.7450409252102821E-3</v>
      </c>
      <c r="DK82">
        <v>11449588208134.635</v>
      </c>
      <c r="DL82">
        <v>0.60249277204275131</v>
      </c>
      <c r="DM82">
        <v>997000000.00000012</v>
      </c>
      <c r="DN82">
        <v>0.8607039600610733</v>
      </c>
      <c r="DO82">
        <v>19980000000</v>
      </c>
      <c r="DP82">
        <v>125391700</v>
      </c>
      <c r="DQ82" s="12">
        <v>3639</v>
      </c>
      <c r="DR82">
        <v>-1.6392242464572546</v>
      </c>
      <c r="DS82">
        <v>-1.3694548179931234</v>
      </c>
      <c r="DT82">
        <v>0.312</v>
      </c>
      <c r="DU82">
        <v>0.53600000000000003</v>
      </c>
      <c r="DV82">
        <v>0.84800000000000009</v>
      </c>
      <c r="DW82">
        <v>2.0911</v>
      </c>
      <c r="DX82">
        <v>0.24237511520737287</v>
      </c>
      <c r="DY82">
        <v>2.0093263729953916</v>
      </c>
      <c r="DZ82">
        <v>881</v>
      </c>
      <c r="EA82">
        <v>2.0077184405865971</v>
      </c>
      <c r="EB82" s="15">
        <v>2</v>
      </c>
      <c r="EC82" s="15">
        <v>2.4683777777777777E-2</v>
      </c>
      <c r="ED82">
        <v>0.24111111111111111</v>
      </c>
      <c r="EE82">
        <v>-8.0124099999999991</v>
      </c>
      <c r="EF82">
        <v>-8.05701</v>
      </c>
      <c r="EG82">
        <v>14.102375115207373</v>
      </c>
      <c r="EH82" s="14" t="s">
        <v>2188</v>
      </c>
      <c r="EI82">
        <v>1</v>
      </c>
      <c r="EJ82">
        <v>1</v>
      </c>
      <c r="EK82">
        <v>45470</v>
      </c>
      <c r="EL82">
        <v>3.95</v>
      </c>
      <c r="EM82">
        <v>-4.97</v>
      </c>
      <c r="EN82" s="16">
        <v>-0.08</v>
      </c>
      <c r="EO82" s="16">
        <v>-1.62</v>
      </c>
      <c r="EP82" s="16">
        <v>-4.46</v>
      </c>
    </row>
    <row r="83" spans="1:146" ht="108" x14ac:dyDescent="0.25">
      <c r="A83" s="9"/>
      <c r="B83" s="9"/>
      <c r="C83" s="7" t="str">
        <f>""&amp;CHAR(10)&amp;Basic_Fundamental_Information_Constructure(F83)&amp;CHAR(10)&amp;Basic_Fundamental_Information_Concatenate("")</f>
        <v xml:space="preserve">
市值235.68亿, 利润3.07亿; PE23.9; 平均PE15.45; 平均PEG6.03, PB1.37; ROIC8.4167%; ROE10.93%; 股利率3.442%; 毛利34.0833%; 净利22.79%; 上一年度营收增-55.95%, 利润增-83.93%; 当季营收增8.57%, 利润增-66.38%; 过往5年营收增-2.56%, 利润增-10.25%
Income profile:
</v>
      </c>
      <c r="D83" t="s">
        <v>841</v>
      </c>
      <c r="E83" t="s">
        <v>842</v>
      </c>
      <c r="F83">
        <v>4.91</v>
      </c>
      <c r="G83">
        <v>0.82</v>
      </c>
      <c r="H83" t="s">
        <v>3464</v>
      </c>
      <c r="I83">
        <v>23568000000</v>
      </c>
      <c r="J83">
        <v>23.9</v>
      </c>
      <c r="K83">
        <v>1.37</v>
      </c>
      <c r="L83" t="s">
        <v>1747</v>
      </c>
      <c r="M83" t="s">
        <v>3465</v>
      </c>
      <c r="N83" t="s">
        <v>3466</v>
      </c>
      <c r="O83" t="s">
        <v>3467</v>
      </c>
      <c r="P83">
        <v>-8.56</v>
      </c>
      <c r="Q83" t="s">
        <v>3468</v>
      </c>
      <c r="R83">
        <v>183912500</v>
      </c>
      <c r="S83" s="5">
        <v>-0.35799999999999998</v>
      </c>
      <c r="T83" t="s">
        <v>1230</v>
      </c>
      <c r="U83">
        <v>4800000000</v>
      </c>
      <c r="V83">
        <v>4800000000</v>
      </c>
      <c r="W83">
        <v>1.96</v>
      </c>
      <c r="X83">
        <v>0.05</v>
      </c>
      <c r="Y83">
        <v>12.27</v>
      </c>
      <c r="Z83" t="s">
        <v>509</v>
      </c>
      <c r="AA83" t="s">
        <v>3469</v>
      </c>
      <c r="AB83" t="s">
        <v>3470</v>
      </c>
      <c r="AC83" t="s">
        <v>133</v>
      </c>
      <c r="AD83" t="s">
        <v>28</v>
      </c>
      <c r="AE83">
        <v>33715457</v>
      </c>
      <c r="AF83" t="s">
        <v>3471</v>
      </c>
      <c r="AG83" t="s">
        <v>3472</v>
      </c>
      <c r="AH83" t="s">
        <v>3473</v>
      </c>
      <c r="AI83" t="s">
        <v>3474</v>
      </c>
      <c r="AJ83" t="s">
        <v>3475</v>
      </c>
      <c r="AK83" t="s">
        <v>1659</v>
      </c>
      <c r="AL83" t="s">
        <v>3476</v>
      </c>
      <c r="AM83" t="s">
        <v>28</v>
      </c>
      <c r="AN83" t="s">
        <v>577</v>
      </c>
      <c r="AO83" t="s">
        <v>1745</v>
      </c>
      <c r="AP83" t="s">
        <v>28</v>
      </c>
      <c r="AQ83" t="s">
        <v>3477</v>
      </c>
      <c r="AR83" t="s">
        <v>3478</v>
      </c>
      <c r="AS83" t="s">
        <v>3479</v>
      </c>
      <c r="AT83" t="s">
        <v>3480</v>
      </c>
      <c r="AU83" t="s">
        <v>3481</v>
      </c>
      <c r="AV83" t="s">
        <v>3482</v>
      </c>
      <c r="AW83" t="s">
        <v>484</v>
      </c>
      <c r="AX83" t="s">
        <v>1288</v>
      </c>
      <c r="AY83" t="s">
        <v>1036</v>
      </c>
      <c r="AZ83" t="s">
        <v>843</v>
      </c>
      <c r="BA83" t="s">
        <v>845</v>
      </c>
      <c r="BB83" t="s">
        <v>846</v>
      </c>
      <c r="BC83" t="s">
        <v>3483</v>
      </c>
      <c r="BD83" t="s">
        <v>1037</v>
      </c>
      <c r="BE83" t="s">
        <v>844</v>
      </c>
      <c r="BF83" t="s">
        <v>703</v>
      </c>
      <c r="BG83" t="s">
        <v>847</v>
      </c>
      <c r="BH83" t="s">
        <v>3484</v>
      </c>
      <c r="BI83" t="s">
        <v>3485</v>
      </c>
      <c r="BJ83" t="s">
        <v>1288</v>
      </c>
      <c r="BK83" t="s">
        <v>3486</v>
      </c>
      <c r="BL83" t="s">
        <v>1582</v>
      </c>
      <c r="BM83" t="s">
        <v>3483</v>
      </c>
      <c r="BN83">
        <v>6.07</v>
      </c>
      <c r="BO83">
        <v>8.66</v>
      </c>
      <c r="BP83">
        <v>10.52</v>
      </c>
      <c r="BQ83">
        <v>8.1</v>
      </c>
      <c r="BR83">
        <v>11.54</v>
      </c>
      <c r="BS83">
        <v>13.15</v>
      </c>
      <c r="BT83" t="s">
        <v>3487</v>
      </c>
      <c r="BU83" t="s">
        <v>1159</v>
      </c>
      <c r="BV83">
        <v>25.15</v>
      </c>
      <c r="BW83">
        <v>35.729999999999997</v>
      </c>
      <c r="BX83">
        <v>41.37</v>
      </c>
      <c r="BY83">
        <v>15.09</v>
      </c>
      <c r="BZ83">
        <v>24.66</v>
      </c>
      <c r="CA83">
        <v>28.62</v>
      </c>
      <c r="CB83">
        <v>2.29</v>
      </c>
      <c r="CC83">
        <v>-0.83</v>
      </c>
      <c r="CD83" t="s">
        <v>3488</v>
      </c>
      <c r="CE83" t="s">
        <v>300</v>
      </c>
      <c r="CF83" s="10">
        <v>8.5714285714285715E-2</v>
      </c>
      <c r="CG83" s="11">
        <v>-0.66377970749542958</v>
      </c>
      <c r="CH83" s="10">
        <v>-0.55945497751235962</v>
      </c>
      <c r="CI83" s="10">
        <v>7.2669617831707001E-2</v>
      </c>
      <c r="CJ83" s="10">
        <v>0.14204718172550201</v>
      </c>
      <c r="CK83" s="10">
        <v>0.12608619034290314</v>
      </c>
      <c r="CL83" s="10">
        <v>9.0504787862300873E-2</v>
      </c>
      <c r="CM83" s="11">
        <v>-0.8392670750617981</v>
      </c>
      <c r="CN83" s="11">
        <v>-8.0846965312957764E-2</v>
      </c>
      <c r="CO83" s="11">
        <v>0.17136414349079132</v>
      </c>
      <c r="CP83" s="11">
        <v>6.6746801137924194E-2</v>
      </c>
      <c r="CQ83" s="11">
        <v>0.16947965323925018</v>
      </c>
      <c r="CR83">
        <v>15.447673148350447</v>
      </c>
      <c r="CS83">
        <v>6.0273159220386647</v>
      </c>
      <c r="CT83">
        <v>3.4419551934826882</v>
      </c>
      <c r="CU83" s="10">
        <v>-2.562943994998932E-2</v>
      </c>
      <c r="CV83" s="11">
        <v>-0.10250468850135804</v>
      </c>
      <c r="CW83">
        <v>0.06</v>
      </c>
      <c r="CX83">
        <v>72.491856677524424</v>
      </c>
      <c r="CY83" t="s">
        <v>3489</v>
      </c>
      <c r="CZ83">
        <v>-2.562943994998932E-2</v>
      </c>
      <c r="DA83">
        <v>24.163952225841477</v>
      </c>
      <c r="DB83" t="s">
        <v>3490</v>
      </c>
      <c r="DC83">
        <v>-2.4347967952489852E-2</v>
      </c>
      <c r="DD83">
        <v>12.081976112920739</v>
      </c>
      <c r="DE83" t="s">
        <v>3491</v>
      </c>
      <c r="DF83">
        <v>-2.25539071559906E-2</v>
      </c>
      <c r="DG83">
        <v>7.2491856677524433</v>
      </c>
      <c r="DH83" t="s">
        <v>3492</v>
      </c>
      <c r="DI83">
        <v>-2.0503551959991456E-2</v>
      </c>
      <c r="DJ83">
        <v>3.6245928338762217</v>
      </c>
      <c r="DK83" t="s">
        <v>3493</v>
      </c>
      <c r="DL83">
        <v>-1.7940607964992524E-2</v>
      </c>
      <c r="DM83">
        <v>307000000</v>
      </c>
      <c r="DN83">
        <v>-2.562943994998932E-2</v>
      </c>
      <c r="DO83">
        <v>22255000000</v>
      </c>
      <c r="DP83">
        <v>-805471700.00000095</v>
      </c>
      <c r="DQ83">
        <v>3677</v>
      </c>
      <c r="DR83">
        <v>0.11134372566427503</v>
      </c>
      <c r="DS83">
        <v>-0.56127501899407151</v>
      </c>
      <c r="DT83" s="12">
        <v>-0.60666666666666669</v>
      </c>
      <c r="DU83">
        <v>-0.54</v>
      </c>
      <c r="DV83">
        <v>-1.1466666666666667</v>
      </c>
      <c r="DW83">
        <v>-8.3000000000000001E-3</v>
      </c>
      <c r="DX83">
        <v>0.40537727272727198</v>
      </c>
      <c r="DY83">
        <v>-1.1236313636363638E-3</v>
      </c>
      <c r="DZ83">
        <v>1939</v>
      </c>
      <c r="EA83">
        <v>-6.972671338729764E-4</v>
      </c>
      <c r="EB83">
        <v>0</v>
      </c>
      <c r="EC83">
        <v>7.4457500000000001E-3</v>
      </c>
      <c r="ED83">
        <v>5.5E-2</v>
      </c>
      <c r="EE83" s="15">
        <v>4.0789999999999997</v>
      </c>
      <c r="EF83">
        <v>4.1062000000000003</v>
      </c>
      <c r="EG83">
        <v>27.135377272727272</v>
      </c>
      <c r="EH83" t="s">
        <v>1457</v>
      </c>
      <c r="EI83">
        <v>0</v>
      </c>
      <c r="EJ83">
        <v>0</v>
      </c>
      <c r="EK83" s="14">
        <v>45470</v>
      </c>
      <c r="EL83" s="16">
        <v>1.51</v>
      </c>
      <c r="EM83" s="16">
        <v>-0.36</v>
      </c>
      <c r="EN83" s="16">
        <v>-0.15</v>
      </c>
      <c r="EO83" s="16">
        <v>-1.24</v>
      </c>
      <c r="EP83" s="16">
        <v>2.72</v>
      </c>
    </row>
    <row r="84" spans="1:146" ht="108" x14ac:dyDescent="0.25">
      <c r="A84" s="9"/>
      <c r="B84" s="7"/>
      <c r="C84" s="7" t="str">
        <f>""&amp;CHAR(10)&amp;Basic_Fundamental_Information_Constructure(F84)&amp;CHAR(10)&amp;Basic_Fundamental_Information_Concatenate("")</f>
        <v xml:space="preserve">
市值46.292909亿, 利润5.47亿; PE13.86; 平均PE15.63; 平均PEG.18, PB1.22; ROIC5.7033%; ROE8.0233%; 股利率2.101%; 毛利44.6833%; 净利23.5467%; 上一年度营收增403.23%, 利润增95.36%; 当季营收增-78.44%, 利润增-39.04%; 过往5年营收增88.07%, 利润增26.85%
Income profile:
</v>
      </c>
      <c r="D84" t="s">
        <v>848</v>
      </c>
      <c r="E84" t="s">
        <v>849</v>
      </c>
      <c r="F84">
        <v>4.95</v>
      </c>
      <c r="G84">
        <v>0.41</v>
      </c>
      <c r="H84" t="s">
        <v>3494</v>
      </c>
      <c r="I84">
        <v>4629290900</v>
      </c>
      <c r="J84">
        <v>13.86</v>
      </c>
      <c r="K84">
        <v>1.22</v>
      </c>
      <c r="L84" t="s">
        <v>1747</v>
      </c>
      <c r="M84" t="s">
        <v>3495</v>
      </c>
      <c r="N84" t="s">
        <v>3496</v>
      </c>
      <c r="O84" t="s">
        <v>102</v>
      </c>
      <c r="P84">
        <v>0.61</v>
      </c>
      <c r="Q84" t="s">
        <v>3497</v>
      </c>
      <c r="R84">
        <v>84118512</v>
      </c>
      <c r="S84" s="5">
        <v>0.14330000000000001</v>
      </c>
      <c r="T84" t="s">
        <v>1582</v>
      </c>
      <c r="U84">
        <v>935210290</v>
      </c>
      <c r="V84">
        <v>935210290</v>
      </c>
      <c r="W84">
        <v>1.62</v>
      </c>
      <c r="X84">
        <v>0.05</v>
      </c>
      <c r="Y84">
        <v>28.47</v>
      </c>
      <c r="Z84" t="s">
        <v>96</v>
      </c>
      <c r="AA84" t="s">
        <v>487</v>
      </c>
      <c r="AB84" t="s">
        <v>3498</v>
      </c>
      <c r="AC84" t="s">
        <v>3499</v>
      </c>
      <c r="AD84" t="s">
        <v>28</v>
      </c>
      <c r="AE84">
        <v>-13181864</v>
      </c>
      <c r="AF84" t="s">
        <v>3500</v>
      </c>
      <c r="AG84" t="s">
        <v>3501</v>
      </c>
      <c r="AH84" t="s">
        <v>3502</v>
      </c>
      <c r="AI84" t="s">
        <v>1040</v>
      </c>
      <c r="AJ84" t="s">
        <v>3503</v>
      </c>
      <c r="AK84" t="s">
        <v>28</v>
      </c>
      <c r="AL84" t="s">
        <v>3504</v>
      </c>
      <c r="AM84" t="s">
        <v>28</v>
      </c>
      <c r="AN84" t="s">
        <v>106</v>
      </c>
      <c r="AO84" t="s">
        <v>3505</v>
      </c>
      <c r="AP84" t="s">
        <v>3506</v>
      </c>
      <c r="AQ84" t="s">
        <v>770</v>
      </c>
      <c r="AR84" t="s">
        <v>28</v>
      </c>
      <c r="AS84" t="s">
        <v>1277</v>
      </c>
      <c r="AT84" t="s">
        <v>3507</v>
      </c>
      <c r="AU84" t="s">
        <v>3508</v>
      </c>
      <c r="AV84" t="s">
        <v>2143</v>
      </c>
      <c r="AW84" t="s">
        <v>3509</v>
      </c>
      <c r="AX84" t="s">
        <v>1303</v>
      </c>
      <c r="AY84" t="s">
        <v>1038</v>
      </c>
      <c r="AZ84" t="s">
        <v>503</v>
      </c>
      <c r="BA84" t="s">
        <v>720</v>
      </c>
      <c r="BB84" t="s">
        <v>373</v>
      </c>
      <c r="BC84" t="s">
        <v>808</v>
      </c>
      <c r="BD84" t="s">
        <v>167</v>
      </c>
      <c r="BE84" t="s">
        <v>290</v>
      </c>
      <c r="BF84" t="s">
        <v>375</v>
      </c>
      <c r="BG84" t="s">
        <v>517</v>
      </c>
      <c r="BH84" t="s">
        <v>1656</v>
      </c>
      <c r="BI84" t="s">
        <v>3510</v>
      </c>
      <c r="BJ84" t="s">
        <v>1303</v>
      </c>
      <c r="BK84" t="s">
        <v>1484</v>
      </c>
      <c r="BL84" t="s">
        <v>58</v>
      </c>
      <c r="BM84" t="s">
        <v>808</v>
      </c>
      <c r="BN84">
        <v>5.07</v>
      </c>
      <c r="BO84">
        <v>6</v>
      </c>
      <c r="BP84">
        <v>6.04</v>
      </c>
      <c r="BQ84">
        <v>7.16</v>
      </c>
      <c r="BR84">
        <v>8.26</v>
      </c>
      <c r="BS84">
        <v>8.65</v>
      </c>
      <c r="BT84" t="s">
        <v>1458</v>
      </c>
      <c r="BU84" t="s">
        <v>1159</v>
      </c>
      <c r="BV84">
        <v>40.42</v>
      </c>
      <c r="BW84">
        <v>43.14</v>
      </c>
      <c r="BX84">
        <v>50.49</v>
      </c>
      <c r="BY84">
        <v>23.71</v>
      </c>
      <c r="BZ84">
        <v>22.11</v>
      </c>
      <c r="CA84">
        <v>24.82</v>
      </c>
      <c r="CB84">
        <v>1.64</v>
      </c>
      <c r="CC84">
        <v>-9.61</v>
      </c>
      <c r="CD84" t="s">
        <v>3511</v>
      </c>
      <c r="CE84" t="s">
        <v>453</v>
      </c>
      <c r="CF84" s="10">
        <v>-0.78435672514619881</v>
      </c>
      <c r="CG84" s="11">
        <v>-0.39044556521739132</v>
      </c>
      <c r="CH84" s="10">
        <v>4.0323343276977539</v>
      </c>
      <c r="CI84" s="10">
        <v>0.13824057579040527</v>
      </c>
      <c r="CJ84" s="10">
        <v>0.16894018650054932</v>
      </c>
      <c r="CK84" s="10">
        <v>-3.9314515888690948E-2</v>
      </c>
      <c r="CL84" s="10">
        <v>0.10344827920198441</v>
      </c>
      <c r="CM84" s="11">
        <v>0.95357143878936768</v>
      </c>
      <c r="CN84" s="11">
        <v>1.4492753893136978E-2</v>
      </c>
      <c r="CO84" s="11">
        <v>0.13114753365516663</v>
      </c>
      <c r="CP84" s="11">
        <v>3.8297872990369797E-2</v>
      </c>
      <c r="CQ84" s="11">
        <v>0.20512820780277252</v>
      </c>
      <c r="CR84">
        <v>15.630695216657287</v>
      </c>
      <c r="CS84">
        <v>0.17747435975664674</v>
      </c>
      <c r="CT84">
        <v>2.1010101010101012</v>
      </c>
      <c r="CU84" s="10">
        <v>0.88072977066040037</v>
      </c>
      <c r="CV84" s="11">
        <v>0.26852756142616274</v>
      </c>
      <c r="CW84">
        <v>0.06</v>
      </c>
      <c r="CX84">
        <v>3.2861416012287576</v>
      </c>
      <c r="CY84">
        <v>970527532.59550858</v>
      </c>
      <c r="CZ84">
        <v>0.88072977066040037</v>
      </c>
      <c r="DA84">
        <v>0.5867275398421945</v>
      </c>
      <c r="DB84">
        <v>5435727289.8043747</v>
      </c>
      <c r="DC84">
        <v>0.83669328212738026</v>
      </c>
      <c r="DD84">
        <v>0.11157553970242742</v>
      </c>
      <c r="DE84">
        <v>28584140471.16291</v>
      </c>
      <c r="DF84">
        <v>0.77504219818115228</v>
      </c>
      <c r="DG84">
        <v>1.9231565843048304E-2</v>
      </c>
      <c r="DH84">
        <v>165836257225.66129</v>
      </c>
      <c r="DI84">
        <v>0.70458381652832036</v>
      </c>
      <c r="DJ84">
        <v>4.3375104551456186E-4</v>
      </c>
      <c r="DK84">
        <v>7352814322825.4863</v>
      </c>
      <c r="DL84">
        <v>0.61651083946228025</v>
      </c>
      <c r="DM84">
        <v>547000000</v>
      </c>
      <c r="DN84">
        <v>0.88072977066040037</v>
      </c>
      <c r="DO84">
        <v>3189290900</v>
      </c>
      <c r="DP84">
        <v>308659800</v>
      </c>
      <c r="DQ84">
        <v>3689</v>
      </c>
      <c r="DR84">
        <v>-1.6650864958065992</v>
      </c>
      <c r="DS84">
        <v>-0.65897312664355412</v>
      </c>
      <c r="DT84" s="12">
        <v>-6.6666666666666714E-3</v>
      </c>
      <c r="DU84">
        <v>0.21333333333333335</v>
      </c>
      <c r="DV84">
        <v>0.20666666666666667</v>
      </c>
      <c r="DW84">
        <v>-2.0960999999999999</v>
      </c>
      <c r="DX84">
        <v>0.29205498007967978</v>
      </c>
      <c r="DY84">
        <v>-2.0126904835856574</v>
      </c>
      <c r="DZ84">
        <v>1012</v>
      </c>
      <c r="EA84">
        <v>-2.0101772214743687</v>
      </c>
      <c r="EB84">
        <v>2</v>
      </c>
      <c r="EC84">
        <v>3.5442082229441681E-2</v>
      </c>
      <c r="ED84">
        <v>0.26838883477212377</v>
      </c>
      <c r="EE84" s="15">
        <v>1.0900099999999999</v>
      </c>
      <c r="EF84">
        <v>1.1059099999999999</v>
      </c>
      <c r="EG84">
        <v>16.13205498007968</v>
      </c>
      <c r="EH84" t="s">
        <v>1160</v>
      </c>
      <c r="EI84">
        <v>0</v>
      </c>
      <c r="EJ84">
        <v>1</v>
      </c>
      <c r="EK84" s="14">
        <v>45470</v>
      </c>
      <c r="EL84" s="16">
        <v>1.08</v>
      </c>
      <c r="EM84" s="16">
        <v>-3.1</v>
      </c>
      <c r="EN84" s="16">
        <v>-0.98</v>
      </c>
      <c r="EO84" s="16">
        <v>1.49</v>
      </c>
      <c r="EP84" s="16">
        <v>-1.59</v>
      </c>
    </row>
    <row r="85" spans="1:146" ht="180" x14ac:dyDescent="0.25">
      <c r="A85" s="7"/>
      <c r="B85" s="7" t="s">
        <v>910</v>
      </c>
      <c r="C85" s="7" t="str">
        <f>"从2017年4月上市冲高到32元后迅速下跌，然后从2019年开始价格一直在10~14.9浮动；横盘的pe均值在18.8，目前21左右；
公司地处上海市，隶属于上海国资委；"&amp;CHAR(10)&amp;Basic_Fundamental_Information_Constructure(F85)&amp;CHAR(10)&amp;Basic_Fundamental_Information_Concatenate("承包及设计规划 19.61亿 51.14% 毛利4.22%
固体废弃物处理 13.60亿 35.47% 毛利41.52%
污水处理 3.25亿 8.48% 毛利70.07%
环境服务 1.87亿 4.87% 毛利5.82%")</f>
        <v>从2017年4月上市冲高到32元后迅速下跌，然后从2019年开始价格一直在10~14.9浮动；横盘的pe均值在18.8，目前21左右；
公司地处上海市，隶属于上海国资委；
市值95.694534亿, 利润3.29亿; PE17.82; 平均PE16.98; 平均PEG1.19, PB.883; ROIC4.6267%; ROE5.63%; 股利率1.1723%; 毛利25.58%; 净利10.6533%; 上一年度营收增-40.55%, 利润增-36.73%; 当季营收增53.26%, 利润增81.33%; 过往5年营收增14.24%, 利润增-8.34%
Income profile:
承包及设计规划 19.61亿 51.14% 毛利4.22%
固体废弃物处理 13.60亿 35.47% 毛利41.52%
污水处理 3.25亿 8.48% 毛利70.07%
环境服务 1.87亿 4.87% 毛利5.82%</v>
      </c>
      <c r="D85" t="s">
        <v>259</v>
      </c>
      <c r="E85" t="s">
        <v>22</v>
      </c>
      <c r="F85">
        <v>8.5299999999999994</v>
      </c>
      <c r="G85">
        <v>0.12</v>
      </c>
      <c r="H85" t="s">
        <v>3512</v>
      </c>
      <c r="I85">
        <v>9569453400</v>
      </c>
      <c r="J85">
        <v>17.82</v>
      </c>
      <c r="K85">
        <v>0.88300000000000001</v>
      </c>
      <c r="L85" t="s">
        <v>1747</v>
      </c>
      <c r="M85" t="s">
        <v>3513</v>
      </c>
      <c r="N85" t="s">
        <v>3514</v>
      </c>
      <c r="O85" t="s">
        <v>816</v>
      </c>
      <c r="P85">
        <v>-3.83</v>
      </c>
      <c r="Q85" t="s">
        <v>3515</v>
      </c>
      <c r="R85">
        <v>128126179</v>
      </c>
      <c r="S85" s="5">
        <v>-6.9199999999999998E-2</v>
      </c>
      <c r="T85" t="s">
        <v>1491</v>
      </c>
      <c r="U85">
        <v>1121858540</v>
      </c>
      <c r="V85">
        <v>1121858540</v>
      </c>
      <c r="W85">
        <v>2.35</v>
      </c>
      <c r="X85">
        <v>0.04</v>
      </c>
      <c r="Y85">
        <v>11.67</v>
      </c>
      <c r="Z85" t="s">
        <v>3516</v>
      </c>
      <c r="AA85" t="s">
        <v>1648</v>
      </c>
      <c r="AB85" t="s">
        <v>3517</v>
      </c>
      <c r="AC85" t="s">
        <v>3518</v>
      </c>
      <c r="AD85" t="s">
        <v>28</v>
      </c>
      <c r="AE85">
        <v>81239916</v>
      </c>
      <c r="AF85" t="s">
        <v>3519</v>
      </c>
      <c r="AG85" t="s">
        <v>3520</v>
      </c>
      <c r="AH85" t="s">
        <v>3521</v>
      </c>
      <c r="AI85" t="s">
        <v>1684</v>
      </c>
      <c r="AJ85" t="s">
        <v>3522</v>
      </c>
      <c r="AK85" t="s">
        <v>28</v>
      </c>
      <c r="AL85" t="s">
        <v>3523</v>
      </c>
      <c r="AM85" t="s">
        <v>28</v>
      </c>
      <c r="AN85" t="s">
        <v>652</v>
      </c>
      <c r="AO85" t="s">
        <v>1647</v>
      </c>
      <c r="AP85" t="s">
        <v>28</v>
      </c>
      <c r="AQ85" t="s">
        <v>3524</v>
      </c>
      <c r="AR85" t="s">
        <v>3525</v>
      </c>
      <c r="AS85" t="s">
        <v>3526</v>
      </c>
      <c r="AT85" t="s">
        <v>3527</v>
      </c>
      <c r="AU85" t="s">
        <v>3528</v>
      </c>
      <c r="AV85" t="s">
        <v>3529</v>
      </c>
      <c r="AW85" t="s">
        <v>3530</v>
      </c>
      <c r="AX85" t="s">
        <v>1416</v>
      </c>
      <c r="AY85" t="s">
        <v>1418</v>
      </c>
      <c r="AZ85" t="s">
        <v>583</v>
      </c>
      <c r="BA85" t="s">
        <v>260</v>
      </c>
      <c r="BB85" t="s">
        <v>587</v>
      </c>
      <c r="BC85" t="s">
        <v>1417</v>
      </c>
      <c r="BD85" t="s">
        <v>51</v>
      </c>
      <c r="BE85" t="s">
        <v>584</v>
      </c>
      <c r="BF85" t="s">
        <v>261</v>
      </c>
      <c r="BG85" t="s">
        <v>187</v>
      </c>
      <c r="BH85" t="s">
        <v>3497</v>
      </c>
      <c r="BI85" t="s">
        <v>3531</v>
      </c>
      <c r="BJ85" t="s">
        <v>1416</v>
      </c>
      <c r="BK85" t="s">
        <v>1582</v>
      </c>
      <c r="BL85" t="s">
        <v>3532</v>
      </c>
      <c r="BM85" t="s">
        <v>1417</v>
      </c>
      <c r="BN85">
        <v>3.51</v>
      </c>
      <c r="BO85">
        <v>4.5</v>
      </c>
      <c r="BP85">
        <v>5.87</v>
      </c>
      <c r="BQ85">
        <v>4.53</v>
      </c>
      <c r="BR85">
        <v>5.16</v>
      </c>
      <c r="BS85">
        <v>7.2</v>
      </c>
      <c r="BT85" t="s">
        <v>3533</v>
      </c>
      <c r="BU85" t="s">
        <v>1061</v>
      </c>
      <c r="BV85">
        <v>26.64</v>
      </c>
      <c r="BW85">
        <v>26.44</v>
      </c>
      <c r="BX85">
        <v>23.66</v>
      </c>
      <c r="BY85">
        <v>10.29</v>
      </c>
      <c r="BZ85">
        <v>9.92</v>
      </c>
      <c r="CA85">
        <v>11.75</v>
      </c>
      <c r="CB85">
        <v>0.35</v>
      </c>
      <c r="CC85">
        <v>-6.16</v>
      </c>
      <c r="CD85" t="s">
        <v>3534</v>
      </c>
      <c r="CE85" t="s">
        <v>152</v>
      </c>
      <c r="CF85" s="10">
        <v>0.53263403263403264</v>
      </c>
      <c r="CG85" s="11">
        <v>0.81326710576220906</v>
      </c>
      <c r="CH85" s="10">
        <v>-0.40550431609153748</v>
      </c>
      <c r="CI85" s="10">
        <v>-0.12670186161994934</v>
      </c>
      <c r="CJ85" s="10">
        <v>0.59530144929885864</v>
      </c>
      <c r="CK85" s="10">
        <v>0.23718121647834778</v>
      </c>
      <c r="CL85" s="10">
        <v>0.41192412376403809</v>
      </c>
      <c r="CM85" s="11">
        <v>-0.36730769276618958</v>
      </c>
      <c r="CN85" s="11">
        <v>-0.27068722248077393</v>
      </c>
      <c r="CO85" s="11">
        <v>0.14079999923706055</v>
      </c>
      <c r="CP85" s="11">
        <v>1.4610389247536659E-2</v>
      </c>
      <c r="CQ85" s="11">
        <v>6.574394553899765E-2</v>
      </c>
      <c r="CR85">
        <v>16.98217107364685</v>
      </c>
      <c r="CS85">
        <v>1.1922322721695593</v>
      </c>
      <c r="CT85">
        <v>1.1723329425556859</v>
      </c>
      <c r="CU85" s="10">
        <v>0.14244012236595155</v>
      </c>
      <c r="CV85" s="11">
        <v>-8.3368116244673732E-2</v>
      </c>
      <c r="CW85">
        <v>0.06</v>
      </c>
      <c r="CX85">
        <v>39.260976595329581</v>
      </c>
      <c r="CY85">
        <v>354587547.41358304</v>
      </c>
      <c r="CZ85">
        <v>0.14244012236595155</v>
      </c>
      <c r="DA85">
        <v>12.276149150908223</v>
      </c>
      <c r="DB85">
        <v>1134024459.0438244</v>
      </c>
      <c r="DC85">
        <v>0.13531811624765397</v>
      </c>
      <c r="DD85">
        <v>5.6903743609287751</v>
      </c>
      <c r="DE85">
        <v>2446491657.1372576</v>
      </c>
      <c r="DF85">
        <v>0.12534730768203736</v>
      </c>
      <c r="DG85">
        <v>3.1878574578859711</v>
      </c>
      <c r="DH85">
        <v>4367025058.0250282</v>
      </c>
      <c r="DI85">
        <v>0.11395209789276124</v>
      </c>
      <c r="DJ85">
        <v>1.4061645644951852</v>
      </c>
      <c r="DK85">
        <v>9900301679.8377514</v>
      </c>
      <c r="DL85">
        <v>9.9708085656166082E-2</v>
      </c>
      <c r="DM85">
        <v>329000000</v>
      </c>
      <c r="DN85">
        <v>0.14244012236595155</v>
      </c>
      <c r="DO85">
        <v>13921453400.000002</v>
      </c>
      <c r="DP85">
        <v>41077299.999999046</v>
      </c>
      <c r="DQ85">
        <v>3690</v>
      </c>
      <c r="DR85">
        <v>0.39019391026808109</v>
      </c>
      <c r="DS85">
        <v>0.89663522200688284</v>
      </c>
      <c r="DT85" s="12">
        <v>-0.25666666666666677</v>
      </c>
      <c r="DU85">
        <v>-0.31666666666666665</v>
      </c>
      <c r="DV85">
        <v>-0.57333333333333347</v>
      </c>
      <c r="DW85">
        <v>-2.0615999999999999</v>
      </c>
      <c r="DX85">
        <v>0.33505833333333329</v>
      </c>
      <c r="DY85">
        <v>-2.0083195933333333</v>
      </c>
      <c r="DZ85">
        <v>1810</v>
      </c>
      <c r="EA85">
        <v>-2.0053727315068492</v>
      </c>
      <c r="EB85">
        <v>2</v>
      </c>
      <c r="EC85">
        <v>1.3001906639673128E-2</v>
      </c>
      <c r="ED85">
        <v>9.6268821914035616E-2</v>
      </c>
      <c r="EE85" s="15">
        <v>-1.0238100000000001</v>
      </c>
      <c r="EF85">
        <v>-1.0436099999999999</v>
      </c>
      <c r="EG85">
        <v>20.135058333333333</v>
      </c>
      <c r="EH85" t="s">
        <v>1168</v>
      </c>
      <c r="EI85">
        <v>0</v>
      </c>
      <c r="EJ85">
        <v>0</v>
      </c>
      <c r="EK85" s="14">
        <v>45470</v>
      </c>
      <c r="EL85" s="16">
        <v>2.96</v>
      </c>
      <c r="EM85" s="16">
        <v>-4.0199999999999996</v>
      </c>
      <c r="EN85" s="16">
        <v>0</v>
      </c>
      <c r="EO85" s="16">
        <v>0.6</v>
      </c>
      <c r="EP85" s="16">
        <v>-1.98</v>
      </c>
    </row>
    <row r="86" spans="1:146" ht="120" x14ac:dyDescent="0.25">
      <c r="A86" s="7" t="s">
        <v>908</v>
      </c>
      <c r="B86" s="7" t="s">
        <v>909</v>
      </c>
      <c r="C86" s="7" t="s">
        <v>919</v>
      </c>
      <c r="D86" t="s">
        <v>263</v>
      </c>
      <c r="E86" t="s">
        <v>7</v>
      </c>
      <c r="F86">
        <v>5.89</v>
      </c>
      <c r="G86">
        <v>0.86</v>
      </c>
      <c r="H86" t="s">
        <v>3535</v>
      </c>
      <c r="I86">
        <v>8207431600</v>
      </c>
      <c r="J86">
        <v>13.74</v>
      </c>
      <c r="K86">
        <v>1.06</v>
      </c>
      <c r="L86" t="s">
        <v>1747</v>
      </c>
      <c r="M86" t="s">
        <v>1570</v>
      </c>
      <c r="N86" t="s">
        <v>3536</v>
      </c>
      <c r="O86" t="s">
        <v>3537</v>
      </c>
      <c r="P86">
        <v>-22.65</v>
      </c>
      <c r="Q86" t="s">
        <v>3538</v>
      </c>
      <c r="R86">
        <v>138851430</v>
      </c>
      <c r="S86" s="5">
        <v>-0.186</v>
      </c>
      <c r="T86" t="s">
        <v>3539</v>
      </c>
      <c r="U86">
        <v>989092090</v>
      </c>
      <c r="V86">
        <v>1393451900</v>
      </c>
      <c r="W86">
        <v>2.69</v>
      </c>
      <c r="X86">
        <v>0.04</v>
      </c>
      <c r="Y86">
        <v>18.260000000000002</v>
      </c>
      <c r="Z86" t="s">
        <v>1585</v>
      </c>
      <c r="AA86" t="s">
        <v>523</v>
      </c>
      <c r="AB86" t="s">
        <v>3540</v>
      </c>
      <c r="AC86" t="s">
        <v>3541</v>
      </c>
      <c r="AD86" t="s">
        <v>28</v>
      </c>
      <c r="AE86">
        <v>120955209</v>
      </c>
      <c r="AF86" t="s">
        <v>67</v>
      </c>
      <c r="AG86" t="s">
        <v>3542</v>
      </c>
      <c r="AH86" t="s">
        <v>3543</v>
      </c>
      <c r="AI86" t="s">
        <v>2643</v>
      </c>
      <c r="AJ86" t="s">
        <v>3544</v>
      </c>
      <c r="AK86" t="s">
        <v>28</v>
      </c>
      <c r="AL86" t="s">
        <v>3545</v>
      </c>
      <c r="AM86" t="s">
        <v>28</v>
      </c>
      <c r="AN86" t="s">
        <v>3546</v>
      </c>
      <c r="AO86" t="s">
        <v>1580</v>
      </c>
      <c r="AP86" t="s">
        <v>28</v>
      </c>
      <c r="AQ86" t="s">
        <v>1671</v>
      </c>
      <c r="AR86" t="s">
        <v>28</v>
      </c>
      <c r="AS86" t="s">
        <v>3547</v>
      </c>
      <c r="AT86" t="s">
        <v>3548</v>
      </c>
      <c r="AU86" t="s">
        <v>1241</v>
      </c>
      <c r="AV86" t="s">
        <v>3549</v>
      </c>
      <c r="AW86" t="s">
        <v>3550</v>
      </c>
      <c r="AX86" t="s">
        <v>1419</v>
      </c>
      <c r="AY86" t="s">
        <v>1039</v>
      </c>
      <c r="AZ86" t="s">
        <v>498</v>
      </c>
      <c r="BA86" t="s">
        <v>264</v>
      </c>
      <c r="BB86" t="s">
        <v>589</v>
      </c>
      <c r="BC86" t="s">
        <v>1180</v>
      </c>
      <c r="BD86" t="s">
        <v>1040</v>
      </c>
      <c r="BE86" t="s">
        <v>504</v>
      </c>
      <c r="BF86" t="s">
        <v>64</v>
      </c>
      <c r="BG86" t="s">
        <v>77</v>
      </c>
      <c r="BH86" t="s">
        <v>3551</v>
      </c>
      <c r="BI86" t="s">
        <v>3552</v>
      </c>
      <c r="BJ86" t="s">
        <v>1419</v>
      </c>
      <c r="BK86" t="s">
        <v>3553</v>
      </c>
      <c r="BL86" t="s">
        <v>1208</v>
      </c>
      <c r="BM86" t="s">
        <v>1180</v>
      </c>
      <c r="BN86">
        <v>4.24</v>
      </c>
      <c r="BO86">
        <v>6.3</v>
      </c>
      <c r="BP86">
        <v>6.56</v>
      </c>
      <c r="BQ86">
        <v>7.1</v>
      </c>
      <c r="BR86">
        <v>10.64</v>
      </c>
      <c r="BS86">
        <v>11.06</v>
      </c>
      <c r="BT86" t="s">
        <v>1249</v>
      </c>
      <c r="BU86" t="s">
        <v>1061</v>
      </c>
      <c r="BV86">
        <v>38.520000000000003</v>
      </c>
      <c r="BW86">
        <v>34.380000000000003</v>
      </c>
      <c r="BX86">
        <v>34.24</v>
      </c>
      <c r="BY86">
        <v>16.77</v>
      </c>
      <c r="BZ86">
        <v>17.18</v>
      </c>
      <c r="CA86">
        <v>14.67</v>
      </c>
      <c r="CB86">
        <v>1.2</v>
      </c>
      <c r="CC86">
        <v>-10.08</v>
      </c>
      <c r="CD86" t="s">
        <v>3554</v>
      </c>
      <c r="CE86" t="s">
        <v>47</v>
      </c>
      <c r="CF86" s="10">
        <v>-0.86902050113895213</v>
      </c>
      <c r="CG86" s="11">
        <v>-0.657156962962963</v>
      </c>
      <c r="CH86" s="10">
        <v>4.7357120513916016</v>
      </c>
      <c r="CI86" s="10">
        <v>-9.6895366907119751E-2</v>
      </c>
      <c r="CJ86" s="10">
        <v>1.219929575920105</v>
      </c>
      <c r="CK86" s="10">
        <v>0.30022838711738586</v>
      </c>
      <c r="CL86" s="10">
        <v>0.53684210777282715</v>
      </c>
      <c r="CM86" s="11">
        <v>0.42013421654701233</v>
      </c>
      <c r="CN86" s="11">
        <v>6.7335240542888641E-2</v>
      </c>
      <c r="CO86" s="11">
        <v>0.38767394423484802</v>
      </c>
      <c r="CP86" s="11">
        <v>0.20913460850715637</v>
      </c>
      <c r="CQ86" s="11">
        <v>0.13661202788352966</v>
      </c>
      <c r="CR86">
        <v>13.007023137876386</v>
      </c>
      <c r="CS86">
        <v>9.712798014962791E-2</v>
      </c>
      <c r="CT86">
        <v>2.5466893039049237</v>
      </c>
      <c r="CU86" s="10">
        <v>1.33916335105896</v>
      </c>
      <c r="CV86" s="11">
        <v>0.24417800754308699</v>
      </c>
      <c r="CW86">
        <v>0.06</v>
      </c>
      <c r="CX86">
        <v>6.0141054033663819</v>
      </c>
      <c r="CY86">
        <v>2334749835.3022447</v>
      </c>
      <c r="CZ86">
        <v>1.33916335105896</v>
      </c>
      <c r="DA86">
        <v>0.80006172188714408</v>
      </c>
      <c r="DB86">
        <v>17550435442.50536</v>
      </c>
      <c r="DC86">
        <v>1.272205183506012</v>
      </c>
      <c r="DD86">
        <v>9.1650105271671445E-2</v>
      </c>
      <c r="DE86">
        <v>153206933678.66901</v>
      </c>
      <c r="DF86">
        <v>1.1784637489318848</v>
      </c>
      <c r="DG86">
        <v>7.9922500155623077E-3</v>
      </c>
      <c r="DH86">
        <v>1756880924978.4326</v>
      </c>
      <c r="DI86">
        <v>1.0713306808471681</v>
      </c>
      <c r="DJ86">
        <v>3.4719825285552771E-5</v>
      </c>
      <c r="DK86">
        <v>404421147990130.12</v>
      </c>
      <c r="DL86">
        <v>0.93741434574127191</v>
      </c>
      <c r="DM86">
        <v>1058000000</v>
      </c>
      <c r="DN86">
        <v>1.33916335105896</v>
      </c>
      <c r="DO86">
        <v>14041431600</v>
      </c>
      <c r="DP86">
        <v>215622500.00000048</v>
      </c>
      <c r="DQ86">
        <v>3713</v>
      </c>
      <c r="DR86">
        <v>-2.2081838521979122</v>
      </c>
      <c r="DS86">
        <v>-0.90133497050605005</v>
      </c>
      <c r="DT86" s="12">
        <v>0.34333333333333332</v>
      </c>
      <c r="DU86">
        <v>-2.3333333333333355E-2</v>
      </c>
      <c r="DV86">
        <v>0.31999999999999995</v>
      </c>
      <c r="DW86">
        <v>-2.1008</v>
      </c>
      <c r="DX86">
        <v>0.26940892857142928</v>
      </c>
      <c r="DY86">
        <v>-2.0130444199999999</v>
      </c>
      <c r="DZ86">
        <v>2765</v>
      </c>
      <c r="EA86">
        <v>-2.0059861379452055</v>
      </c>
      <c r="EB86">
        <v>2</v>
      </c>
      <c r="EC86">
        <v>1.0401363692568076E-2</v>
      </c>
      <c r="ED86">
        <v>8.0375935473624899E-2</v>
      </c>
      <c r="EE86" s="15">
        <v>2.47E-2</v>
      </c>
      <c r="EF86">
        <v>3.9699999999999999E-2</v>
      </c>
      <c r="EG86">
        <v>14.129408928571429</v>
      </c>
      <c r="EH86" t="s">
        <v>1161</v>
      </c>
      <c r="EI86">
        <v>0</v>
      </c>
      <c r="EJ86">
        <v>0</v>
      </c>
      <c r="EK86" s="14">
        <v>45470</v>
      </c>
      <c r="EL86" s="16">
        <v>0.42</v>
      </c>
      <c r="EM86" s="16">
        <v>0.83</v>
      </c>
      <c r="EN86" s="16">
        <v>0.14000000000000001</v>
      </c>
      <c r="EO86" s="16">
        <v>0.69</v>
      </c>
      <c r="EP86" s="16">
        <v>1.5</v>
      </c>
    </row>
    <row r="87" spans="1:146" ht="108" x14ac:dyDescent="0.25">
      <c r="A87" s="7"/>
      <c r="B87" s="7"/>
      <c r="C87" s="7" t="str">
        <f>""&amp;CHAR(10)&amp;Basic_Fundamental_Information_Constructure(F87)&amp;CHAR(10)&amp;Basic_Fundamental_Information_Concatenate("")</f>
        <v xml:space="preserve">
市值35.583815亿, 利润10.20亿; PE55.77; 平均PE9.4; 平均PEG.12, PB.758; ROIC3.2467%; ROE4.35%; 股利率.6452%; 毛利36.7067%; 净利8.1933%; 上一年度营收增349.8%, 利润增521.95%; 当季营收增-79.61%, 利润增-92.01%; 过往5年营收增81.07%, 利润增96.92%
Income profile:
</v>
      </c>
      <c r="D87" t="s">
        <v>852</v>
      </c>
      <c r="E87" t="s">
        <v>853</v>
      </c>
      <c r="F87">
        <v>4.03</v>
      </c>
      <c r="G87">
        <v>0.25</v>
      </c>
      <c r="H87" t="s">
        <v>3555</v>
      </c>
      <c r="I87">
        <v>3558381500</v>
      </c>
      <c r="J87">
        <v>55.77</v>
      </c>
      <c r="K87">
        <v>0.75800000000000001</v>
      </c>
      <c r="L87" t="s">
        <v>1747</v>
      </c>
      <c r="M87" t="s">
        <v>3556</v>
      </c>
      <c r="N87" t="s">
        <v>3557</v>
      </c>
      <c r="O87" t="s">
        <v>3558</v>
      </c>
      <c r="P87">
        <v>7.53</v>
      </c>
      <c r="Q87" t="s">
        <v>3559</v>
      </c>
      <c r="R87">
        <v>20937714</v>
      </c>
      <c r="S87" s="5">
        <v>-0.31669999999999998</v>
      </c>
      <c r="T87" t="s">
        <v>3560</v>
      </c>
      <c r="U87">
        <v>882973080</v>
      </c>
      <c r="V87">
        <v>882973080</v>
      </c>
      <c r="W87">
        <v>4.58</v>
      </c>
      <c r="X87">
        <v>0.03</v>
      </c>
      <c r="Y87">
        <v>3.86</v>
      </c>
      <c r="Z87" t="s">
        <v>1564</v>
      </c>
      <c r="AA87" t="s">
        <v>977</v>
      </c>
      <c r="AB87" t="s">
        <v>3561</v>
      </c>
      <c r="AC87" t="s">
        <v>3562</v>
      </c>
      <c r="AD87" t="s">
        <v>28</v>
      </c>
      <c r="AE87">
        <v>109042277</v>
      </c>
      <c r="AF87" t="s">
        <v>67</v>
      </c>
      <c r="AG87" t="s">
        <v>3563</v>
      </c>
      <c r="AH87" t="s">
        <v>3564</v>
      </c>
      <c r="AI87" t="s">
        <v>975</v>
      </c>
      <c r="AJ87" t="s">
        <v>3565</v>
      </c>
      <c r="AK87" t="s">
        <v>28</v>
      </c>
      <c r="AL87" t="s">
        <v>3566</v>
      </c>
      <c r="AM87" t="s">
        <v>28</v>
      </c>
      <c r="AN87" t="s">
        <v>3567</v>
      </c>
      <c r="AO87" t="s">
        <v>241</v>
      </c>
      <c r="AP87" t="s">
        <v>28</v>
      </c>
      <c r="AQ87" t="s">
        <v>543</v>
      </c>
      <c r="AR87" t="s">
        <v>3568</v>
      </c>
      <c r="AS87" t="s">
        <v>3569</v>
      </c>
      <c r="AT87" t="s">
        <v>3570</v>
      </c>
      <c r="AU87" t="s">
        <v>3571</v>
      </c>
      <c r="AV87" t="s">
        <v>3572</v>
      </c>
      <c r="AW87" t="s">
        <v>347</v>
      </c>
      <c r="AX87" t="s">
        <v>1421</v>
      </c>
      <c r="AY87" t="s">
        <v>1422</v>
      </c>
      <c r="AZ87" t="s">
        <v>854</v>
      </c>
      <c r="BA87" t="s">
        <v>855</v>
      </c>
      <c r="BB87" t="s">
        <v>509</v>
      </c>
      <c r="BC87" t="s">
        <v>315</v>
      </c>
      <c r="BD87" t="s">
        <v>605</v>
      </c>
      <c r="BE87" t="s">
        <v>240</v>
      </c>
      <c r="BF87" t="s">
        <v>154</v>
      </c>
      <c r="BG87" t="s">
        <v>123</v>
      </c>
      <c r="BH87" t="s">
        <v>3573</v>
      </c>
      <c r="BI87" t="s">
        <v>968</v>
      </c>
      <c r="BJ87" t="s">
        <v>1421</v>
      </c>
      <c r="BK87" t="s">
        <v>3574</v>
      </c>
      <c r="BL87" t="s">
        <v>236</v>
      </c>
      <c r="BM87" t="s">
        <v>315</v>
      </c>
      <c r="BN87">
        <v>2.44</v>
      </c>
      <c r="BO87">
        <v>3.29</v>
      </c>
      <c r="BP87">
        <v>4.01</v>
      </c>
      <c r="BQ87">
        <v>2.9</v>
      </c>
      <c r="BR87">
        <v>3.55</v>
      </c>
      <c r="BS87">
        <v>6.6</v>
      </c>
      <c r="BT87" t="s">
        <v>3575</v>
      </c>
      <c r="BU87" t="s">
        <v>1159</v>
      </c>
      <c r="BV87">
        <v>34.17</v>
      </c>
      <c r="BW87">
        <v>36.42</v>
      </c>
      <c r="BX87">
        <v>39.53</v>
      </c>
      <c r="BY87">
        <v>3.15</v>
      </c>
      <c r="BZ87">
        <v>7.27</v>
      </c>
      <c r="CA87">
        <v>14.16</v>
      </c>
      <c r="CB87">
        <v>-0.25</v>
      </c>
      <c r="CC87">
        <v>-8.91</v>
      </c>
      <c r="CD87" t="s">
        <v>3576</v>
      </c>
      <c r="CE87" t="s">
        <v>152</v>
      </c>
      <c r="CF87" s="10">
        <v>-0.79609463011641002</v>
      </c>
      <c r="CG87" s="11">
        <v>-0.92008506106870225</v>
      </c>
      <c r="CH87" s="10">
        <v>3.4980041980743408</v>
      </c>
      <c r="CI87" s="10">
        <v>8.1016331911087036E-2</v>
      </c>
      <c r="CJ87" s="10">
        <v>0.35191181302070618</v>
      </c>
      <c r="CK87" s="10">
        <v>1.3131976127624512E-2</v>
      </c>
      <c r="CL87" s="10">
        <v>0.10924991965293884</v>
      </c>
      <c r="CM87" s="11">
        <v>5.2195119857788086</v>
      </c>
      <c r="CN87" s="11">
        <v>-0.44594594836235046</v>
      </c>
      <c r="CO87" s="11">
        <v>0.19354838132858276</v>
      </c>
      <c r="CP87" s="11">
        <v>-5.7034220546483994E-2</v>
      </c>
      <c r="CQ87" s="11">
        <v>-6.4056940376758575E-2</v>
      </c>
      <c r="CR87">
        <v>9.3971342429577458</v>
      </c>
      <c r="CS87">
        <v>0.11591914282188304</v>
      </c>
      <c r="CT87">
        <v>0.64516129032258063</v>
      </c>
      <c r="CU87" s="10">
        <v>0.81066284775733943</v>
      </c>
      <c r="CV87" s="11">
        <v>0.96920465156435964</v>
      </c>
      <c r="CW87">
        <v>0.06</v>
      </c>
      <c r="CX87">
        <v>8.7866989824562705</v>
      </c>
      <c r="CY87">
        <v>1742335947.8419678</v>
      </c>
      <c r="CZ87">
        <v>0.81066284775733943</v>
      </c>
      <c r="DA87">
        <v>1.6465541115680831</v>
      </c>
      <c r="DB87">
        <v>9297830780.3198948</v>
      </c>
      <c r="DC87">
        <v>0.77012970536947245</v>
      </c>
      <c r="DD87">
        <v>0.33996785324835793</v>
      </c>
      <c r="DE87">
        <v>45031850375.617668</v>
      </c>
      <c r="DF87">
        <v>0.71338330602645872</v>
      </c>
      <c r="DG87">
        <v>6.5523520651527889E-2</v>
      </c>
      <c r="DH87">
        <v>233647114009.93704</v>
      </c>
      <c r="DI87">
        <v>0.64853027820587161</v>
      </c>
      <c r="DJ87">
        <v>1.9449335439332852E-3</v>
      </c>
      <c r="DK87">
        <v>7871416248515.8623</v>
      </c>
      <c r="DL87">
        <v>0.56746399343013754</v>
      </c>
      <c r="DM87">
        <v>1019999999.9999999</v>
      </c>
      <c r="DN87">
        <v>0.81066284775733943</v>
      </c>
      <c r="DO87">
        <v>15309381500</v>
      </c>
      <c r="DP87">
        <v>-1692015500</v>
      </c>
      <c r="DQ87">
        <v>3719</v>
      </c>
      <c r="DR87">
        <v>-1.6067574778737495</v>
      </c>
      <c r="DS87">
        <v>-1.8892897126330619</v>
      </c>
      <c r="DT87" s="12">
        <v>-6.6666666666666714E-3</v>
      </c>
      <c r="DU87">
        <v>-0.1566666666666667</v>
      </c>
      <c r="DV87">
        <v>-0.16333333333333339</v>
      </c>
      <c r="DW87">
        <v>-2.0891000000000002</v>
      </c>
      <c r="DX87">
        <v>0.31252685185185225</v>
      </c>
      <c r="DY87">
        <v>-2.0091351424999999</v>
      </c>
      <c r="DZ87">
        <v>3860</v>
      </c>
      <c r="EA87">
        <v>-2.0022346238992172</v>
      </c>
      <c r="EB87">
        <v>2</v>
      </c>
      <c r="EC87">
        <v>1.2540472921326208E-2</v>
      </c>
      <c r="ED87">
        <v>0.12231403476083325</v>
      </c>
      <c r="EE87" s="15">
        <v>6.1609999999999998E-2</v>
      </c>
      <c r="EF87">
        <v>6.8209999999999993E-2</v>
      </c>
      <c r="EG87">
        <v>21.102526851851852</v>
      </c>
      <c r="EH87">
        <v>-1</v>
      </c>
      <c r="EI87">
        <v>0</v>
      </c>
      <c r="EJ87">
        <v>0</v>
      </c>
      <c r="EK87" s="14">
        <v>45470</v>
      </c>
      <c r="EL87" s="16">
        <v>0</v>
      </c>
      <c r="EM87" s="16">
        <v>-1.74</v>
      </c>
      <c r="EN87" s="16">
        <v>-0.66</v>
      </c>
      <c r="EO87" s="16">
        <v>1.33</v>
      </c>
      <c r="EP87" s="16">
        <v>-0.66</v>
      </c>
    </row>
    <row r="88" spans="1:146" ht="132" x14ac:dyDescent="0.25">
      <c r="A88" s="7" t="s">
        <v>904</v>
      </c>
      <c r="B88" s="7" t="s">
        <v>905</v>
      </c>
      <c r="C88" s="7" t="s">
        <v>906</v>
      </c>
      <c r="D88" t="s">
        <v>267</v>
      </c>
      <c r="E88" t="s">
        <v>268</v>
      </c>
      <c r="F88">
        <v>8.85</v>
      </c>
      <c r="G88">
        <v>1.49</v>
      </c>
      <c r="H88" t="s">
        <v>3577</v>
      </c>
      <c r="I88">
        <v>14852672000</v>
      </c>
      <c r="J88">
        <v>12.32</v>
      </c>
      <c r="K88">
        <v>1.37</v>
      </c>
      <c r="L88" t="s">
        <v>1747</v>
      </c>
      <c r="M88" t="s">
        <v>3578</v>
      </c>
      <c r="N88" t="s">
        <v>3579</v>
      </c>
      <c r="O88" t="s">
        <v>3580</v>
      </c>
      <c r="P88">
        <v>0.42</v>
      </c>
      <c r="Q88" t="s">
        <v>3581</v>
      </c>
      <c r="R88">
        <v>390068680</v>
      </c>
      <c r="S88" s="5">
        <v>0.11459999999999999</v>
      </c>
      <c r="T88" t="s">
        <v>3582</v>
      </c>
      <c r="U88">
        <v>1678268000</v>
      </c>
      <c r="V88">
        <v>1678268000</v>
      </c>
      <c r="W88">
        <v>2.2200000000000002</v>
      </c>
      <c r="X88">
        <v>0.06</v>
      </c>
      <c r="Y88">
        <v>26.37</v>
      </c>
      <c r="Z88" t="s">
        <v>3583</v>
      </c>
      <c r="AA88" t="s">
        <v>3584</v>
      </c>
      <c r="AB88" t="s">
        <v>3585</v>
      </c>
      <c r="AC88" t="s">
        <v>3586</v>
      </c>
      <c r="AD88" t="s">
        <v>28</v>
      </c>
      <c r="AE88">
        <v>72791539</v>
      </c>
      <c r="AF88" t="s">
        <v>3587</v>
      </c>
      <c r="AG88" t="s">
        <v>3588</v>
      </c>
      <c r="AH88" t="s">
        <v>3589</v>
      </c>
      <c r="AI88" t="s">
        <v>3590</v>
      </c>
      <c r="AJ88" t="s">
        <v>3591</v>
      </c>
      <c r="AK88" t="s">
        <v>3592</v>
      </c>
      <c r="AL88" t="s">
        <v>3593</v>
      </c>
      <c r="AM88" t="s">
        <v>28</v>
      </c>
      <c r="AN88" t="s">
        <v>3594</v>
      </c>
      <c r="AO88" t="s">
        <v>3595</v>
      </c>
      <c r="AP88" t="s">
        <v>28</v>
      </c>
      <c r="AQ88" t="s">
        <v>1340</v>
      </c>
      <c r="AR88" t="s">
        <v>28</v>
      </c>
      <c r="AS88" t="s">
        <v>3596</v>
      </c>
      <c r="AT88" t="s">
        <v>3597</v>
      </c>
      <c r="AU88" t="s">
        <v>1550</v>
      </c>
      <c r="AV88" t="s">
        <v>2056</v>
      </c>
      <c r="AW88" t="s">
        <v>3598</v>
      </c>
      <c r="AX88" t="s">
        <v>1424</v>
      </c>
      <c r="AY88" t="s">
        <v>1042</v>
      </c>
      <c r="AZ88" t="s">
        <v>591</v>
      </c>
      <c r="BA88" t="s">
        <v>269</v>
      </c>
      <c r="BB88" t="s">
        <v>593</v>
      </c>
      <c r="BC88" t="s">
        <v>1425</v>
      </c>
      <c r="BD88" t="s">
        <v>1043</v>
      </c>
      <c r="BE88" t="s">
        <v>448</v>
      </c>
      <c r="BF88" t="s">
        <v>270</v>
      </c>
      <c r="BG88" t="s">
        <v>161</v>
      </c>
      <c r="BH88" t="s">
        <v>3599</v>
      </c>
      <c r="BI88" t="s">
        <v>3600</v>
      </c>
      <c r="BJ88" t="s">
        <v>1424</v>
      </c>
      <c r="BK88" t="s">
        <v>586</v>
      </c>
      <c r="BL88" t="s">
        <v>410</v>
      </c>
      <c r="BM88" t="s">
        <v>1425</v>
      </c>
      <c r="BN88">
        <v>6.42</v>
      </c>
      <c r="BO88">
        <v>8.09</v>
      </c>
      <c r="BP88">
        <v>9.34</v>
      </c>
      <c r="BQ88">
        <v>9.91</v>
      </c>
      <c r="BR88">
        <v>12.45</v>
      </c>
      <c r="BS88">
        <v>15</v>
      </c>
      <c r="BT88" t="s">
        <v>3601</v>
      </c>
      <c r="BU88" t="s">
        <v>1061</v>
      </c>
      <c r="BV88">
        <v>31.76</v>
      </c>
      <c r="BW88">
        <v>31.19</v>
      </c>
      <c r="BX88">
        <v>31.71</v>
      </c>
      <c r="BY88">
        <v>20.18</v>
      </c>
      <c r="BZ88">
        <v>19.88</v>
      </c>
      <c r="CA88">
        <v>22.29</v>
      </c>
      <c r="CB88">
        <v>4.24</v>
      </c>
      <c r="CC88">
        <v>4.55</v>
      </c>
      <c r="CD88" t="s">
        <v>3602</v>
      </c>
      <c r="CE88" t="s">
        <v>517</v>
      </c>
      <c r="CF88" s="10">
        <v>-0.40695452808559418</v>
      </c>
      <c r="CG88" s="11">
        <v>1.3357405988023952</v>
      </c>
      <c r="CH88" s="10">
        <v>0.9118378758430481</v>
      </c>
      <c r="CI88" s="10">
        <v>2.5366052985191345E-2</v>
      </c>
      <c r="CJ88" s="10">
        <v>0.19172245264053345</v>
      </c>
      <c r="CK88" s="10">
        <v>0.12946829199790955</v>
      </c>
      <c r="CL88" s="10">
        <v>0.27119147777557373</v>
      </c>
      <c r="CM88" s="11">
        <v>-2.9455661773681641</v>
      </c>
      <c r="CN88" s="11">
        <v>-7.9967640340328217E-2</v>
      </c>
      <c r="CO88" s="11">
        <v>0.71705961227416992</v>
      </c>
      <c r="CP88" s="11">
        <v>0.30144405364990234</v>
      </c>
      <c r="CQ88" s="11">
        <v>7.9922027885913849E-2</v>
      </c>
      <c r="CR88">
        <v>45.723977424320168</v>
      </c>
      <c r="CS88">
        <v>1.4946519157219538</v>
      </c>
      <c r="CT88">
        <v>2.6553672316384183</v>
      </c>
      <c r="CU88" s="10">
        <v>0.30591723024845124</v>
      </c>
      <c r="CV88" s="11">
        <v>-0.38542162477970121</v>
      </c>
      <c r="CW88">
        <v>0.06</v>
      </c>
      <c r="CX88" t="e">
        <v>#VALUE!</v>
      </c>
      <c r="CY88" t="s">
        <v>1158</v>
      </c>
      <c r="CZ88">
        <v>0.30591723024845124</v>
      </c>
      <c r="DA88" t="e">
        <v>#VALUE!</v>
      </c>
      <c r="DB88" t="s">
        <v>1158</v>
      </c>
      <c r="DC88">
        <v>0.29062136873602867</v>
      </c>
      <c r="DD88" t="e">
        <v>#VALUE!</v>
      </c>
      <c r="DE88" t="s">
        <v>1158</v>
      </c>
      <c r="DF88">
        <v>0.26920716261863709</v>
      </c>
      <c r="DG88" t="e">
        <v>#VALUE!</v>
      </c>
      <c r="DH88" t="s">
        <v>1158</v>
      </c>
      <c r="DI88">
        <v>0.24473378419876102</v>
      </c>
      <c r="DJ88" t="e">
        <v>#VALUE!</v>
      </c>
      <c r="DK88" t="s">
        <v>1158</v>
      </c>
      <c r="DL88">
        <v>0.21414206117391585</v>
      </c>
      <c r="DM88">
        <v>-2216000000</v>
      </c>
      <c r="DN88">
        <v>0.30591723024845124</v>
      </c>
      <c r="DO88">
        <v>17424672000</v>
      </c>
      <c r="DP88">
        <v>1139226300</v>
      </c>
      <c r="DQ88">
        <v>3791</v>
      </c>
      <c r="DR88">
        <v>-0.71287175833404537</v>
      </c>
      <c r="DS88">
        <v>1.7211622235820965</v>
      </c>
      <c r="DT88" s="12">
        <v>0.12666666666666662</v>
      </c>
      <c r="DU88">
        <v>-0.1466666666666667</v>
      </c>
      <c r="DV88">
        <v>-2.0000000000000073E-2</v>
      </c>
      <c r="DW88">
        <v>8.9318681318681321</v>
      </c>
      <c r="DX88">
        <v>0.55072769230769525</v>
      </c>
      <c r="DY88">
        <v>8.1497770143702457</v>
      </c>
      <c r="DZ88">
        <v>2217</v>
      </c>
      <c r="EA88">
        <v>8.0847954799556003</v>
      </c>
      <c r="EB88">
        <v>8</v>
      </c>
      <c r="EC88">
        <v>1.8675146043420954E-2</v>
      </c>
      <c r="ED88">
        <v>0.11619121618239757</v>
      </c>
      <c r="EE88" s="15">
        <v>3.06731</v>
      </c>
      <c r="EF88">
        <v>3.02061</v>
      </c>
      <c r="EG88">
        <v>39.160727692307695</v>
      </c>
      <c r="EH88" t="s">
        <v>1366</v>
      </c>
      <c r="EI88">
        <v>0</v>
      </c>
      <c r="EJ88">
        <v>0</v>
      </c>
      <c r="EK88" s="14">
        <v>45470</v>
      </c>
      <c r="EL88" s="16">
        <v>-0.15</v>
      </c>
      <c r="EM88" s="16">
        <v>-0.73</v>
      </c>
      <c r="EN88" s="16">
        <v>0.59</v>
      </c>
      <c r="EO88" s="16">
        <v>-0.31</v>
      </c>
      <c r="EP88" s="16">
        <v>4.67</v>
      </c>
    </row>
    <row r="89" spans="1:146" ht="108" x14ac:dyDescent="0.25">
      <c r="A89" s="7"/>
      <c r="B89" s="7"/>
      <c r="C89" s="7" t="str">
        <f>""&amp;CHAR(10)&amp;Basic_Fundamental_Information_Constructure(F89)&amp;CHAR(10)&amp;Basic_Fundamental_Information_Concatenate("")</f>
        <v xml:space="preserve">
市值32.967亿, 利润3.97亿; PE24.34; 平均PE18.28; 平均PEG2.85, PB1.55; ROIC6.5667%; ROE6.7%; 股利率1.537%; 毛利20.43%; 净利6.18%; 上一年度营收增-26.19%, 利润增152.87%; 当季营收增48.78%, 利润增-85.79%; 过往5年营收增6.41%, 利润增34.62%
Income profile:
</v>
      </c>
      <c r="D89" t="s">
        <v>271</v>
      </c>
      <c r="E89" t="s">
        <v>12</v>
      </c>
      <c r="F89">
        <v>5.4</v>
      </c>
      <c r="G89">
        <v>0.37</v>
      </c>
      <c r="H89" t="s">
        <v>3603</v>
      </c>
      <c r="I89">
        <v>3296700000</v>
      </c>
      <c r="J89">
        <v>24.34</v>
      </c>
      <c r="K89">
        <v>1.55</v>
      </c>
      <c r="L89" t="s">
        <v>1747</v>
      </c>
      <c r="M89" t="s">
        <v>3604</v>
      </c>
      <c r="N89" t="s">
        <v>3605</v>
      </c>
      <c r="O89" t="s">
        <v>993</v>
      </c>
      <c r="P89">
        <v>-9.0500000000000007</v>
      </c>
      <c r="Q89" t="s">
        <v>3606</v>
      </c>
      <c r="R89">
        <v>26716716</v>
      </c>
      <c r="S89" s="5">
        <v>-0.23050000000000001</v>
      </c>
      <c r="T89" t="s">
        <v>1742</v>
      </c>
      <c r="U89">
        <v>610500000</v>
      </c>
      <c r="V89">
        <v>610500000</v>
      </c>
      <c r="W89">
        <v>2.11</v>
      </c>
      <c r="X89">
        <v>0.1</v>
      </c>
      <c r="Y89">
        <v>4.8499999999999996</v>
      </c>
      <c r="Z89" t="s">
        <v>183</v>
      </c>
      <c r="AA89" t="s">
        <v>812</v>
      </c>
      <c r="AB89" t="s">
        <v>3607</v>
      </c>
      <c r="AC89" t="s">
        <v>3608</v>
      </c>
      <c r="AD89" t="s">
        <v>28</v>
      </c>
      <c r="AE89">
        <v>-1094976</v>
      </c>
      <c r="AF89" t="s">
        <v>67</v>
      </c>
      <c r="AG89" t="s">
        <v>3609</v>
      </c>
      <c r="AH89" t="s">
        <v>3610</v>
      </c>
      <c r="AI89" t="s">
        <v>3611</v>
      </c>
      <c r="AJ89" t="s">
        <v>3612</v>
      </c>
      <c r="AK89" t="s">
        <v>517</v>
      </c>
      <c r="AL89" t="s">
        <v>3613</v>
      </c>
      <c r="AM89" t="s">
        <v>28</v>
      </c>
      <c r="AN89" t="s">
        <v>158</v>
      </c>
      <c r="AO89" t="s">
        <v>3614</v>
      </c>
      <c r="AP89" t="s">
        <v>1686</v>
      </c>
      <c r="AQ89" t="s">
        <v>2357</v>
      </c>
      <c r="AR89" t="s">
        <v>28</v>
      </c>
      <c r="AS89" t="s">
        <v>1690</v>
      </c>
      <c r="AT89" t="s">
        <v>449</v>
      </c>
      <c r="AU89" t="s">
        <v>3615</v>
      </c>
      <c r="AV89" t="s">
        <v>3616</v>
      </c>
      <c r="AW89" t="s">
        <v>3617</v>
      </c>
      <c r="AX89" t="s">
        <v>1426</v>
      </c>
      <c r="AY89" t="s">
        <v>1044</v>
      </c>
      <c r="AZ89" t="s">
        <v>594</v>
      </c>
      <c r="BA89" t="s">
        <v>272</v>
      </c>
      <c r="BB89" t="s">
        <v>182</v>
      </c>
      <c r="BC89" t="s">
        <v>429</v>
      </c>
      <c r="BD89" t="s">
        <v>193</v>
      </c>
      <c r="BE89" t="s">
        <v>362</v>
      </c>
      <c r="BF89" t="s">
        <v>150</v>
      </c>
      <c r="BG89" t="s">
        <v>355</v>
      </c>
      <c r="BH89" t="s">
        <v>3618</v>
      </c>
      <c r="BI89" t="s">
        <v>449</v>
      </c>
      <c r="BJ89" t="s">
        <v>1426</v>
      </c>
      <c r="BK89" t="s">
        <v>166</v>
      </c>
      <c r="BL89" t="s">
        <v>132</v>
      </c>
      <c r="BM89" t="s">
        <v>429</v>
      </c>
      <c r="BN89">
        <v>4.4000000000000004</v>
      </c>
      <c r="BO89">
        <v>7.86</v>
      </c>
      <c r="BP89">
        <v>7.44</v>
      </c>
      <c r="BQ89">
        <v>4.7</v>
      </c>
      <c r="BR89">
        <v>7.94</v>
      </c>
      <c r="BS89">
        <v>7.46</v>
      </c>
      <c r="BT89" t="s">
        <v>3619</v>
      </c>
      <c r="BU89" t="s">
        <v>1061</v>
      </c>
      <c r="BV89">
        <v>20.39</v>
      </c>
      <c r="BW89">
        <v>19.079999999999998</v>
      </c>
      <c r="BX89">
        <v>21.82</v>
      </c>
      <c r="BY89">
        <v>6.06</v>
      </c>
      <c r="BZ89">
        <v>6.36</v>
      </c>
      <c r="CA89">
        <v>6.12</v>
      </c>
      <c r="CB89">
        <v>-0.92</v>
      </c>
      <c r="CC89">
        <v>-8.89</v>
      </c>
      <c r="CD89" t="s">
        <v>3620</v>
      </c>
      <c r="CE89" t="s">
        <v>450</v>
      </c>
      <c r="CF89" s="10">
        <v>0.48780487804878048</v>
      </c>
      <c r="CG89" s="11">
        <v>-0.85788980851063834</v>
      </c>
      <c r="CH89" s="10">
        <v>-0.26188257336616516</v>
      </c>
      <c r="CI89" s="10">
        <v>9.4525717198848724E-2</v>
      </c>
      <c r="CJ89" s="10">
        <v>0.13246053457260132</v>
      </c>
      <c r="CK89" s="10">
        <v>0.14254289865493774</v>
      </c>
      <c r="CL89" s="10">
        <v>0.21291351318359375</v>
      </c>
      <c r="CM89" s="11">
        <v>1.5286624431610107</v>
      </c>
      <c r="CN89" s="11">
        <v>0.12142857164144516</v>
      </c>
      <c r="CO89" s="11">
        <v>3.7037037312984467E-2</v>
      </c>
      <c r="CP89" s="11">
        <v>9.7560971975326538E-2</v>
      </c>
      <c r="CQ89" s="11">
        <v>-5.3846154361963272E-2</v>
      </c>
      <c r="CR89">
        <v>18.281146025878002</v>
      </c>
      <c r="CS89">
        <v>2.8514382454742657</v>
      </c>
      <c r="CT89">
        <v>1.5370370370370368</v>
      </c>
      <c r="CU89" s="10">
        <v>6.4112018048763278E-2</v>
      </c>
      <c r="CV89" s="11">
        <v>0.34616857394576073</v>
      </c>
      <c r="CW89">
        <v>0.06</v>
      </c>
      <c r="CX89">
        <v>9.1099999708454291</v>
      </c>
      <c r="CY89">
        <v>398540067.13713115</v>
      </c>
      <c r="CZ89">
        <v>6.4112018048763278E-2</v>
      </c>
      <c r="DA89">
        <v>3.0432391042950475</v>
      </c>
      <c r="DB89">
        <v>1193038034.6637387</v>
      </c>
      <c r="DC89">
        <v>6.0906417146325109E-2</v>
      </c>
      <c r="DD89">
        <v>1.5423600934483188</v>
      </c>
      <c r="DE89">
        <v>2353989846.7436957</v>
      </c>
      <c r="DF89">
        <v>5.6418575882911687E-2</v>
      </c>
      <c r="DG89">
        <v>0.95672494382282292</v>
      </c>
      <c r="DH89">
        <v>3794925619.3662844</v>
      </c>
      <c r="DI89">
        <v>5.1289614439010624E-2</v>
      </c>
      <c r="DJ89">
        <v>0.52990916174428693</v>
      </c>
      <c r="DK89">
        <v>6851551666.0420218</v>
      </c>
      <c r="DL89">
        <v>4.4878412634134293E-2</v>
      </c>
      <c r="DM89">
        <v>397000000</v>
      </c>
      <c r="DN89">
        <v>6.4112018048763278E-2</v>
      </c>
      <c r="DO89">
        <v>3630700000</v>
      </c>
      <c r="DP89">
        <v>1479256500</v>
      </c>
      <c r="DQ89">
        <v>3951</v>
      </c>
      <c r="DR89">
        <v>0.42369286000001721</v>
      </c>
      <c r="DS89">
        <v>-1.2040583824563991</v>
      </c>
      <c r="DT89" s="12">
        <v>-0.50666666666666671</v>
      </c>
      <c r="DU89">
        <v>-0.10666666666666669</v>
      </c>
      <c r="DV89">
        <v>-0.6133333333333334</v>
      </c>
      <c r="DW89">
        <v>-2.0889000000000002</v>
      </c>
      <c r="DX89">
        <v>0.27756823529411606</v>
      </c>
      <c r="DY89">
        <v>-2.0068958161176469</v>
      </c>
      <c r="DZ89">
        <v>681</v>
      </c>
      <c r="EA89">
        <v>-2.0059768237935534</v>
      </c>
      <c r="EB89">
        <v>2</v>
      </c>
      <c r="EC89">
        <v>2.15996723996724E-2</v>
      </c>
      <c r="ED89">
        <v>0.27846027846027849</v>
      </c>
      <c r="EE89" s="15">
        <v>-1.0158</v>
      </c>
      <c r="EF89">
        <v>-1.0111000000000001</v>
      </c>
      <c r="EG89">
        <v>20.077568235294116</v>
      </c>
      <c r="EH89" t="s">
        <v>1154</v>
      </c>
      <c r="EI89">
        <v>0</v>
      </c>
      <c r="EJ89">
        <v>1</v>
      </c>
      <c r="EK89" s="14">
        <v>45470</v>
      </c>
      <c r="EL89" s="16">
        <v>-1.17</v>
      </c>
      <c r="EM89" s="16">
        <v>-6.72</v>
      </c>
      <c r="EN89" s="16">
        <v>-0.55000000000000004</v>
      </c>
      <c r="EO89" s="16">
        <v>4.75</v>
      </c>
      <c r="EP89" s="16">
        <v>-0.47</v>
      </c>
    </row>
    <row r="90" spans="1:146" ht="108" x14ac:dyDescent="0.25">
      <c r="A90" s="7"/>
      <c r="B90" s="7"/>
      <c r="C90" s="7" t="str">
        <f>""&amp;CHAR(10)&amp;Basic_Fundamental_Information_Constructure(F90)&amp;CHAR(10)&amp;Basic_Fundamental_Information_Concatenate("")</f>
        <v xml:space="preserve">
市值14.886727亿, 利润5334.76万; PE; 平均PE-73.8; 平均PEG-3.2, PB3.85; ROIC6.26%; ROE-6.5467%; 股利率0%; 毛利19.2367%; 净利-6.5333%; 上一年度营收增81.93%, 利润增472.45%; 当季营收增-30.12%, 利润增156%; 过往5年营收增23.09%, 利润增-297.38%
Income profile:
</v>
      </c>
      <c r="D90" t="s">
        <v>273</v>
      </c>
      <c r="E90" t="s">
        <v>5</v>
      </c>
      <c r="F90">
        <v>7.13</v>
      </c>
      <c r="G90">
        <v>0.42</v>
      </c>
      <c r="H90" t="s">
        <v>3621</v>
      </c>
      <c r="I90">
        <v>1488672700</v>
      </c>
      <c r="K90">
        <v>3.85</v>
      </c>
      <c r="L90" t="s">
        <v>1747</v>
      </c>
      <c r="M90" t="s">
        <v>3622</v>
      </c>
      <c r="N90" t="s">
        <v>1211</v>
      </c>
      <c r="O90" t="s">
        <v>56</v>
      </c>
      <c r="P90">
        <v>6.55</v>
      </c>
      <c r="Q90" t="s">
        <v>1903</v>
      </c>
      <c r="R90">
        <v>14946072</v>
      </c>
      <c r="S90" s="5">
        <v>11.87</v>
      </c>
      <c r="T90" t="s">
        <v>3623</v>
      </c>
      <c r="U90">
        <v>204192000</v>
      </c>
      <c r="V90">
        <v>208790000</v>
      </c>
      <c r="W90">
        <v>4.33</v>
      </c>
      <c r="X90">
        <v>0.12</v>
      </c>
      <c r="Y90">
        <v>6.62</v>
      </c>
      <c r="Z90" t="s">
        <v>346</v>
      </c>
      <c r="AA90" t="s">
        <v>88</v>
      </c>
      <c r="AB90" t="s">
        <v>3624</v>
      </c>
      <c r="AC90" t="s">
        <v>3625</v>
      </c>
      <c r="AD90" t="s">
        <v>28</v>
      </c>
      <c r="AE90">
        <v>7346763</v>
      </c>
      <c r="AF90" t="s">
        <v>3626</v>
      </c>
      <c r="AG90" t="s">
        <v>3627</v>
      </c>
      <c r="AH90" t="s">
        <v>3628</v>
      </c>
      <c r="AI90" t="s">
        <v>101</v>
      </c>
      <c r="AJ90" t="s">
        <v>3629</v>
      </c>
      <c r="AK90" t="s">
        <v>3630</v>
      </c>
      <c r="AL90" t="s">
        <v>3631</v>
      </c>
      <c r="AM90" t="s">
        <v>28</v>
      </c>
      <c r="AN90" t="s">
        <v>3632</v>
      </c>
      <c r="AO90" t="s">
        <v>1470</v>
      </c>
      <c r="AP90" t="s">
        <v>3633</v>
      </c>
      <c r="AQ90" t="s">
        <v>718</v>
      </c>
      <c r="AR90" t="s">
        <v>28</v>
      </c>
      <c r="AS90" t="s">
        <v>878</v>
      </c>
      <c r="AT90" t="s">
        <v>425</v>
      </c>
      <c r="AU90" t="s">
        <v>3634</v>
      </c>
      <c r="AV90" t="s">
        <v>3635</v>
      </c>
      <c r="AW90" t="s">
        <v>3636</v>
      </c>
      <c r="AX90" t="s">
        <v>1215</v>
      </c>
      <c r="AY90" t="s">
        <v>1355</v>
      </c>
      <c r="AZ90" t="s">
        <v>112</v>
      </c>
      <c r="BA90" t="s">
        <v>274</v>
      </c>
      <c r="BB90" t="s">
        <v>599</v>
      </c>
      <c r="BC90" t="s">
        <v>3637</v>
      </c>
      <c r="BD90" t="s">
        <v>1427</v>
      </c>
      <c r="BE90" t="s">
        <v>597</v>
      </c>
      <c r="BF90" t="s">
        <v>275</v>
      </c>
      <c r="BG90" t="s">
        <v>602</v>
      </c>
      <c r="BH90" t="s">
        <v>1589</v>
      </c>
      <c r="BI90" t="s">
        <v>642</v>
      </c>
      <c r="BJ90" t="s">
        <v>1215</v>
      </c>
      <c r="BK90" t="s">
        <v>3638</v>
      </c>
      <c r="BL90" t="s">
        <v>3639</v>
      </c>
      <c r="BM90" t="s">
        <v>3637</v>
      </c>
      <c r="BN90" t="s">
        <v>28</v>
      </c>
      <c r="BO90">
        <v>6.26</v>
      </c>
      <c r="BP90" t="s">
        <v>28</v>
      </c>
      <c r="BQ90">
        <v>-0.52</v>
      </c>
      <c r="BR90">
        <v>2.65</v>
      </c>
      <c r="BS90">
        <v>-21.77</v>
      </c>
      <c r="BT90" t="s">
        <v>1244</v>
      </c>
      <c r="BU90" t="s">
        <v>1062</v>
      </c>
      <c r="BV90">
        <v>20.81</v>
      </c>
      <c r="BW90">
        <v>25.87</v>
      </c>
      <c r="BX90">
        <v>11.03</v>
      </c>
      <c r="BY90">
        <v>-7.17</v>
      </c>
      <c r="BZ90">
        <v>0.98</v>
      </c>
      <c r="CA90">
        <v>-13.41</v>
      </c>
      <c r="CB90">
        <v>1.42</v>
      </c>
      <c r="CC90">
        <v>-16.22</v>
      </c>
      <c r="CD90" t="s">
        <v>3640</v>
      </c>
      <c r="CE90" t="s">
        <v>73</v>
      </c>
      <c r="CF90" s="10">
        <v>-0.30124223602484473</v>
      </c>
      <c r="CG90" s="11">
        <v>1.5600041107856739</v>
      </c>
      <c r="CH90" s="10">
        <v>0.81932246685028076</v>
      </c>
      <c r="CI90" s="10">
        <v>0.28341385722160339</v>
      </c>
      <c r="CJ90" s="10">
        <v>0.46462264657020569</v>
      </c>
      <c r="CK90" s="10">
        <v>-0.45431146025657654</v>
      </c>
      <c r="CL90" s="10">
        <v>4.1554961353540421E-2</v>
      </c>
      <c r="CM90" s="11">
        <v>4.7244830131530762</v>
      </c>
      <c r="CN90" s="11">
        <v>1.1153287887573242</v>
      </c>
      <c r="CO90" s="11">
        <v>0.3376598060131073</v>
      </c>
      <c r="CP90" s="11">
        <v>-20.532186508178711</v>
      </c>
      <c r="CQ90" s="11">
        <v>-0.5142170786857605</v>
      </c>
      <c r="CR90">
        <v>-73.797256656763167</v>
      </c>
      <c r="CS90">
        <v>-3.1957863621065301</v>
      </c>
      <c r="CT90">
        <v>0</v>
      </c>
      <c r="CU90" s="10">
        <v>0.23092049434781076</v>
      </c>
      <c r="CV90" s="11">
        <v>-2.9737863957881929</v>
      </c>
      <c r="CW90">
        <v>0.06</v>
      </c>
      <c r="CX90">
        <v>40.140206556073309</v>
      </c>
      <c r="CY90">
        <v>61949673.739876665</v>
      </c>
      <c r="CZ90">
        <v>0.23092049434781076</v>
      </c>
      <c r="DA90">
        <v>11.664992370581189</v>
      </c>
      <c r="DB90">
        <v>213173967.11474282</v>
      </c>
      <c r="DC90">
        <v>0.2193744696304202</v>
      </c>
      <c r="DD90">
        <v>4.870874710444733</v>
      </c>
      <c r="DE90">
        <v>510518715.38961333</v>
      </c>
      <c r="DF90">
        <v>0.20321003502607346</v>
      </c>
      <c r="DG90">
        <v>2.4033681149704029</v>
      </c>
      <c r="DH90">
        <v>1034661600.3227715</v>
      </c>
      <c r="DI90">
        <v>0.18473639547824861</v>
      </c>
      <c r="DJ90">
        <v>0.77801839957304564</v>
      </c>
      <c r="DK90">
        <v>3196161814.8936005</v>
      </c>
      <c r="DL90">
        <v>0.16164434604346753</v>
      </c>
      <c r="DM90">
        <v>53347600</v>
      </c>
      <c r="DN90">
        <v>0.23092049434781076</v>
      </c>
      <c r="DO90">
        <v>2486672700</v>
      </c>
      <c r="DP90">
        <v>-52433589.999999881</v>
      </c>
      <c r="DQ90">
        <v>3984</v>
      </c>
      <c r="DR90">
        <v>-0.53216273037265549</v>
      </c>
      <c r="DS90">
        <v>4.5337905065738671</v>
      </c>
      <c r="DT90" s="12">
        <v>5.9999999999999977E-2</v>
      </c>
      <c r="DU90">
        <v>-0.87333333333333341</v>
      </c>
      <c r="DV90">
        <v>-0.81333333333333346</v>
      </c>
      <c r="DW90">
        <v>-3.0024880952380952</v>
      </c>
      <c r="DX90">
        <v>0.28634218749999985</v>
      </c>
      <c r="DY90">
        <v>-3.0001899466331845</v>
      </c>
      <c r="DZ90">
        <v>3478</v>
      </c>
      <c r="EA90">
        <v>-3.0000606639736511</v>
      </c>
      <c r="EB90">
        <v>3</v>
      </c>
      <c r="EC90">
        <v>4.680204990660472E-2</v>
      </c>
      <c r="ED90">
        <v>0.61305618085157332</v>
      </c>
      <c r="EE90" s="15">
        <v>-5.0971000000000002</v>
      </c>
      <c r="EF90">
        <v>-5.0788000000000002</v>
      </c>
      <c r="EG90">
        <v>21.0763421875</v>
      </c>
      <c r="EH90" t="s">
        <v>1706</v>
      </c>
      <c r="EI90">
        <v>0</v>
      </c>
      <c r="EJ90">
        <v>0</v>
      </c>
      <c r="EK90" s="14">
        <v>45470</v>
      </c>
      <c r="EL90" s="16">
        <v>1.31</v>
      </c>
      <c r="EM90" s="16">
        <v>-5.67</v>
      </c>
      <c r="EN90" s="16">
        <v>0.55000000000000004</v>
      </c>
      <c r="EO90" s="16">
        <v>4.08</v>
      </c>
      <c r="EP90" s="16">
        <v>-1.83</v>
      </c>
    </row>
    <row r="91" spans="1:146" ht="204" x14ac:dyDescent="0.25">
      <c r="A91" s="7"/>
      <c r="B91" s="7"/>
      <c r="C91" s="7" t="str">
        <f>""&amp;CHAR(10)&amp;Basic_Fundamental_Information_Constructure(F91)&amp;CHAR(10)&amp;Basic_Fundamental_Information_Concatenate("按产品分：水处理设备集成30.24%（毛利11.32%） 水处理系统运行管理28.33%（毛利45.70%） 化学品销售与服务27.78%（毛利31.60%） 设备销售与安装12.18%（毛利29.16%） 风管清洗1.47%（毛利41.03%）
按客户行业分：钢铁冶金33.27%（毛利17.59%） 民用22.11%（毛利41.73%） 石油化工17.82%（毛利49.19%） 汽车制造12.09%（毛利 29.11%） 制浆造纸8.19%（毛利6.45%） 其他6.52%（毛利21.85%）")</f>
        <v xml:space="preserve">
市值35.958472亿, 利润2.10亿; PE74.53; 平均PE48.06; 平均PEG.6, PB3.79; ROIC3.7467%; ROE4.71%; 股利率.3415%; 毛利30.4667%; 净利6.9367%; 上一年度营收增354.88%, 利润增396.8%; 当季营收增-79.24%, 利润增-25.83%; 过往5年营收增80.08%, 利润增70.8%
Income profile:
按产品分：水处理设备集成30.24%（毛利11.32%） 水处理系统运行管理28.33%（毛利45.70%） 化学品销售与服务27.78%（毛利31.60%） 设备销售与安装12.18%（毛利29.16%） 风管清洗1.47%（毛利41.03%）
按客户行业分：钢铁冶金33.27%（毛利17.59%） 民用22.11%（毛利41.73%） 石油化工17.82%（毛利49.19%） 汽车制造12.09%（毛利 29.11%） 制浆造纸8.19%（毛利6.45%） 其他6.52%（毛利21.85%）</v>
      </c>
      <c r="D91" t="s">
        <v>276</v>
      </c>
      <c r="E91" t="s">
        <v>11</v>
      </c>
      <c r="F91">
        <v>20.5</v>
      </c>
      <c r="G91">
        <v>-1.68</v>
      </c>
      <c r="H91" t="s">
        <v>3641</v>
      </c>
      <c r="I91">
        <v>3595847200</v>
      </c>
      <c r="J91">
        <v>74.53</v>
      </c>
      <c r="K91">
        <v>3.79</v>
      </c>
      <c r="L91" t="s">
        <v>1747</v>
      </c>
      <c r="M91" t="s">
        <v>534</v>
      </c>
      <c r="N91" t="s">
        <v>879</v>
      </c>
      <c r="O91" t="s">
        <v>314</v>
      </c>
      <c r="P91">
        <v>6.4</v>
      </c>
      <c r="Q91" t="s">
        <v>1651</v>
      </c>
      <c r="R91">
        <v>20220250</v>
      </c>
      <c r="S91" s="5">
        <v>0.84660000000000002</v>
      </c>
      <c r="T91" t="s">
        <v>400</v>
      </c>
      <c r="U91">
        <v>175407180</v>
      </c>
      <c r="V91">
        <v>175407180</v>
      </c>
      <c r="W91">
        <v>1.45</v>
      </c>
      <c r="X91">
        <v>0.08</v>
      </c>
      <c r="Y91">
        <v>15.18</v>
      </c>
      <c r="Z91" t="s">
        <v>219</v>
      </c>
      <c r="AA91" t="s">
        <v>3642</v>
      </c>
      <c r="AB91" t="s">
        <v>3643</v>
      </c>
      <c r="AC91" t="s">
        <v>3644</v>
      </c>
      <c r="AD91" t="s">
        <v>28</v>
      </c>
      <c r="AE91">
        <v>104171</v>
      </c>
      <c r="AF91" t="s">
        <v>3645</v>
      </c>
      <c r="AG91" t="s">
        <v>3646</v>
      </c>
      <c r="AH91" t="s">
        <v>3647</v>
      </c>
      <c r="AI91" t="s">
        <v>214</v>
      </c>
      <c r="AJ91" t="s">
        <v>3648</v>
      </c>
      <c r="AK91" t="s">
        <v>3649</v>
      </c>
      <c r="AL91" t="s">
        <v>3650</v>
      </c>
      <c r="AM91" t="s">
        <v>28</v>
      </c>
      <c r="AN91" t="s">
        <v>3651</v>
      </c>
      <c r="AO91" t="s">
        <v>155</v>
      </c>
      <c r="AP91" t="s">
        <v>3652</v>
      </c>
      <c r="AQ91" t="s">
        <v>3653</v>
      </c>
      <c r="AR91" t="s">
        <v>28</v>
      </c>
      <c r="AS91" t="s">
        <v>1311</v>
      </c>
      <c r="AT91" t="s">
        <v>28</v>
      </c>
      <c r="AU91" t="s">
        <v>3654</v>
      </c>
      <c r="AV91" t="s">
        <v>3655</v>
      </c>
      <c r="AW91" t="s">
        <v>3656</v>
      </c>
      <c r="AX91" t="s">
        <v>1179</v>
      </c>
      <c r="AY91" t="s">
        <v>157</v>
      </c>
      <c r="AZ91" t="s">
        <v>184</v>
      </c>
      <c r="BA91" t="s">
        <v>277</v>
      </c>
      <c r="BB91" t="s">
        <v>604</v>
      </c>
      <c r="BC91" t="s">
        <v>1428</v>
      </c>
      <c r="BD91" t="s">
        <v>1046</v>
      </c>
      <c r="BE91" t="s">
        <v>603</v>
      </c>
      <c r="BF91" t="s">
        <v>278</v>
      </c>
      <c r="BG91" t="s">
        <v>606</v>
      </c>
      <c r="BH91" t="s">
        <v>2502</v>
      </c>
      <c r="BI91" t="s">
        <v>1713</v>
      </c>
      <c r="BJ91" t="s">
        <v>1179</v>
      </c>
      <c r="BK91" t="s">
        <v>3657</v>
      </c>
      <c r="BL91" t="s">
        <v>3658</v>
      </c>
      <c r="BM91" t="s">
        <v>1428</v>
      </c>
      <c r="BN91">
        <v>3.32</v>
      </c>
      <c r="BO91">
        <v>3.83</v>
      </c>
      <c r="BP91">
        <v>4.09</v>
      </c>
      <c r="BQ91">
        <v>4.1399999999999997</v>
      </c>
      <c r="BR91">
        <v>4.9800000000000004</v>
      </c>
      <c r="BS91">
        <v>5.01</v>
      </c>
      <c r="BT91" t="s">
        <v>1278</v>
      </c>
      <c r="BU91" t="s">
        <v>1159</v>
      </c>
      <c r="BV91">
        <v>34.11</v>
      </c>
      <c r="BW91">
        <v>28.49</v>
      </c>
      <c r="BX91">
        <v>28.8</v>
      </c>
      <c r="BY91">
        <v>7.36</v>
      </c>
      <c r="BZ91">
        <v>6.47</v>
      </c>
      <c r="CA91">
        <v>6.98</v>
      </c>
      <c r="CB91">
        <v>-1.35</v>
      </c>
      <c r="CC91">
        <v>-5.14</v>
      </c>
      <c r="CD91" t="s">
        <v>3659</v>
      </c>
      <c r="CE91" t="s">
        <v>3660</v>
      </c>
      <c r="CF91" s="10">
        <v>-0.79235880398671099</v>
      </c>
      <c r="CG91" s="11">
        <v>-0.25833718465048378</v>
      </c>
      <c r="CH91" s="10">
        <v>3.5487604141235352</v>
      </c>
      <c r="CI91" s="10">
        <v>8.03571417927742E-2</v>
      </c>
      <c r="CJ91" s="10">
        <v>5.6603774428367615E-2</v>
      </c>
      <c r="CK91" s="10">
        <v>-9.2465750873088837E-2</v>
      </c>
      <c r="CL91" s="10">
        <v>0.41062802076339722</v>
      </c>
      <c r="CM91" s="11">
        <v>3.9679801464080811</v>
      </c>
      <c r="CN91" s="11">
        <v>3.016352653503418E-2</v>
      </c>
      <c r="CO91" s="11">
        <v>0.17583847045898438</v>
      </c>
      <c r="CP91" s="11">
        <v>-0.14162938296794891</v>
      </c>
      <c r="CQ91" s="11">
        <v>-0.49231886863708496</v>
      </c>
      <c r="CR91">
        <v>48.058431699597982</v>
      </c>
      <c r="CS91">
        <v>0.60014771279536527</v>
      </c>
      <c r="CT91">
        <v>0.34146341463414631</v>
      </c>
      <c r="CU91" s="10">
        <v>0.80077672004699707</v>
      </c>
      <c r="CV91" s="11">
        <v>0.70800677835941317</v>
      </c>
      <c r="CW91">
        <v>0.06</v>
      </c>
      <c r="CX91">
        <v>8.5347775505496397</v>
      </c>
      <c r="CY91">
        <v>356757652.08478242</v>
      </c>
      <c r="CZ91">
        <v>0.80077672004699707</v>
      </c>
      <c r="DA91">
        <v>1.6104192868817748</v>
      </c>
      <c r="DB91">
        <v>1890717047.9159384</v>
      </c>
      <c r="DC91">
        <v>0.76073788404464715</v>
      </c>
      <c r="DD91">
        <v>0.33641959600258109</v>
      </c>
      <c r="DE91">
        <v>9050742692.1012039</v>
      </c>
      <c r="DF91">
        <v>0.7046835136413574</v>
      </c>
      <c r="DG91">
        <v>6.5878859405195861E-2</v>
      </c>
      <c r="DH91">
        <v>46218881557.622307</v>
      </c>
      <c r="DI91">
        <v>0.64062137603759772</v>
      </c>
      <c r="DJ91">
        <v>2.0337648780309014E-3</v>
      </c>
      <c r="DK91">
        <v>1497148088695.4995</v>
      </c>
      <c r="DL91">
        <v>0.56054370403289788</v>
      </c>
      <c r="DM91">
        <v>210000000</v>
      </c>
      <c r="DN91">
        <v>0.80077672004699707</v>
      </c>
      <c r="DO91">
        <v>3044847200</v>
      </c>
      <c r="DP91">
        <v>553363450</v>
      </c>
      <c r="DQ91">
        <v>4005</v>
      </c>
      <c r="DR91">
        <v>-1.5931355240337082</v>
      </c>
      <c r="DS91">
        <v>-0.96634396300989689</v>
      </c>
      <c r="DT91" s="12">
        <v>-4.0000000000000036E-2</v>
      </c>
      <c r="DU91">
        <v>0.11333333333333333</v>
      </c>
      <c r="DV91">
        <v>7.3333333333333292E-2</v>
      </c>
      <c r="DW91">
        <v>-1.0513999999999999</v>
      </c>
      <c r="DX91">
        <v>0.29064291827128674</v>
      </c>
      <c r="DY91">
        <v>-1.0062010459991442</v>
      </c>
      <c r="DZ91">
        <v>3450</v>
      </c>
      <c r="EA91">
        <v>-1.0020144298157689</v>
      </c>
      <c r="EB91">
        <v>1</v>
      </c>
      <c r="EC91">
        <v>6.4294403456004484E-2</v>
      </c>
      <c r="ED91">
        <v>0.53293143416364142</v>
      </c>
      <c r="EE91" s="15">
        <v>4.0290100000000004</v>
      </c>
      <c r="EF91">
        <v>4.0445099999999998</v>
      </c>
      <c r="EG91">
        <v>17.120642918271287</v>
      </c>
      <c r="EH91" t="s">
        <v>1397</v>
      </c>
      <c r="EI91">
        <v>0</v>
      </c>
      <c r="EJ91">
        <v>0</v>
      </c>
      <c r="EK91" s="14">
        <v>45470</v>
      </c>
      <c r="EL91" s="16">
        <v>0.26</v>
      </c>
      <c r="EM91" s="16">
        <v>-5.58</v>
      </c>
      <c r="EN91" s="16">
        <v>2.3199999999999998</v>
      </c>
      <c r="EO91" s="16">
        <v>-0.56999999999999995</v>
      </c>
      <c r="EP91" s="16">
        <v>-1.55</v>
      </c>
    </row>
    <row r="92" spans="1:146" ht="108" x14ac:dyDescent="0.25">
      <c r="C92" s="7" t="str">
        <f>""&amp;CHAR(10)&amp;Basic_Fundamental_Information_Constructure(F92)&amp;CHAR(10)&amp;Basic_Fundamental_Information_Concatenate("")</f>
        <v xml:space="preserve">
市值51.252015亿, 利润27.07亿; PE29.14; 平均PE9.17; 平均PEG.01, PB2.95; ROIC7.3767%; ROE8.42%; 股利率1.2386%; 毛利33.63%; 净利13.16%; 上一年度营收增7275.8%, 利润增1982.31%; 当季营收增-98.6%, 利润增-94.3%; 过往5年营收增1471.74%, 利润增398.86%
Income profile:
</v>
      </c>
      <c r="D92" t="s">
        <v>1271</v>
      </c>
      <c r="E92" t="s">
        <v>1272</v>
      </c>
      <c r="F92">
        <v>12.11</v>
      </c>
      <c r="G92">
        <v>1.25</v>
      </c>
      <c r="H92" t="s">
        <v>3661</v>
      </c>
      <c r="I92">
        <v>5125201500</v>
      </c>
      <c r="J92">
        <v>29.14</v>
      </c>
      <c r="K92">
        <v>2.95</v>
      </c>
      <c r="L92" t="s">
        <v>1747</v>
      </c>
      <c r="M92" t="s">
        <v>1610</v>
      </c>
      <c r="N92" t="s">
        <v>1591</v>
      </c>
      <c r="O92" t="s">
        <v>375</v>
      </c>
      <c r="P92">
        <v>-2.48</v>
      </c>
      <c r="Q92" t="s">
        <v>3662</v>
      </c>
      <c r="R92">
        <v>33635216</v>
      </c>
      <c r="S92">
        <v>0.96899999999999997</v>
      </c>
      <c r="T92" t="s">
        <v>3663</v>
      </c>
      <c r="U92">
        <v>129943077</v>
      </c>
      <c r="V92">
        <v>423220600</v>
      </c>
      <c r="W92">
        <v>2.04</v>
      </c>
      <c r="X92">
        <v>0.06</v>
      </c>
      <c r="Y92">
        <v>14.65</v>
      </c>
      <c r="Z92" t="s">
        <v>682</v>
      </c>
      <c r="AA92" t="s">
        <v>72</v>
      </c>
      <c r="AB92" t="s">
        <v>3664</v>
      </c>
      <c r="AC92" t="s">
        <v>3665</v>
      </c>
      <c r="AD92" t="s">
        <v>28</v>
      </c>
      <c r="AE92">
        <v>10276621</v>
      </c>
      <c r="AF92" t="s">
        <v>3666</v>
      </c>
      <c r="AG92" t="s">
        <v>3667</v>
      </c>
      <c r="AH92" t="s">
        <v>3668</v>
      </c>
      <c r="AI92" t="s">
        <v>90</v>
      </c>
      <c r="AJ92" t="s">
        <v>3669</v>
      </c>
      <c r="AK92" t="s">
        <v>3670</v>
      </c>
      <c r="AL92" t="s">
        <v>3671</v>
      </c>
      <c r="AM92" t="s">
        <v>28</v>
      </c>
      <c r="AN92" t="s">
        <v>3672</v>
      </c>
      <c r="AO92" t="s">
        <v>114</v>
      </c>
      <c r="AP92" t="s">
        <v>3673</v>
      </c>
      <c r="AQ92" t="s">
        <v>425</v>
      </c>
      <c r="AR92" t="s">
        <v>28</v>
      </c>
      <c r="AS92" t="s">
        <v>1574</v>
      </c>
      <c r="AT92" t="s">
        <v>80</v>
      </c>
      <c r="AU92" t="s">
        <v>3674</v>
      </c>
      <c r="AV92" t="s">
        <v>3675</v>
      </c>
      <c r="AW92" t="s">
        <v>3676</v>
      </c>
      <c r="AX92" t="s">
        <v>1430</v>
      </c>
      <c r="AY92" t="s">
        <v>1500</v>
      </c>
      <c r="AZ92" t="s">
        <v>1215</v>
      </c>
      <c r="BA92" t="s">
        <v>507</v>
      </c>
      <c r="BB92" t="s">
        <v>993</v>
      </c>
      <c r="BC92" t="s">
        <v>355</v>
      </c>
      <c r="BD92" t="s">
        <v>106</v>
      </c>
      <c r="BE92" t="s">
        <v>196</v>
      </c>
      <c r="BF92" t="s">
        <v>376</v>
      </c>
      <c r="BG92" t="s">
        <v>100</v>
      </c>
      <c r="BH92" t="s">
        <v>3677</v>
      </c>
      <c r="BI92" t="s">
        <v>3678</v>
      </c>
      <c r="BJ92" t="s">
        <v>1430</v>
      </c>
      <c r="BK92" t="s">
        <v>352</v>
      </c>
      <c r="BL92" t="s">
        <v>629</v>
      </c>
      <c r="BM92" t="s">
        <v>355</v>
      </c>
      <c r="BN92">
        <v>5.47</v>
      </c>
      <c r="BO92">
        <v>7.43</v>
      </c>
      <c r="BP92">
        <v>9.23</v>
      </c>
      <c r="BQ92">
        <v>6.93</v>
      </c>
      <c r="BR92">
        <v>9.91</v>
      </c>
      <c r="BS92" t="s">
        <v>28</v>
      </c>
      <c r="BT92" t="s">
        <v>1249</v>
      </c>
      <c r="BU92" t="s">
        <v>1159</v>
      </c>
      <c r="BV92">
        <v>35.08</v>
      </c>
      <c r="BW92">
        <v>31.88</v>
      </c>
      <c r="BX92">
        <v>33.93</v>
      </c>
      <c r="BY92">
        <v>14.58</v>
      </c>
      <c r="BZ92">
        <v>11.29</v>
      </c>
      <c r="CA92">
        <v>13.61</v>
      </c>
      <c r="CB92">
        <v>-1.22</v>
      </c>
      <c r="CC92" s="10">
        <v>-20.07</v>
      </c>
      <c r="CD92" s="11" t="s">
        <v>3679</v>
      </c>
      <c r="CE92" s="10" t="s">
        <v>3680</v>
      </c>
      <c r="CF92" s="10">
        <v>-0.98602936805183994</v>
      </c>
      <c r="CG92" s="10">
        <v>-0.94299115932203392</v>
      </c>
      <c r="CH92" s="10">
        <v>72.75799560546875</v>
      </c>
      <c r="CI92" s="10">
        <v>0.11143125593662262</v>
      </c>
      <c r="CJ92" s="11">
        <v>0.30614805221557617</v>
      </c>
      <c r="CK92" s="11">
        <v>0.161807581782341</v>
      </c>
      <c r="CL92" s="11">
        <v>0.24954462051391602</v>
      </c>
      <c r="CM92" s="11">
        <v>19.823076248168945</v>
      </c>
      <c r="CN92" s="11">
        <v>-7.8014187514781952E-2</v>
      </c>
      <c r="CO92">
        <v>0.19491524994373322</v>
      </c>
      <c r="CP92">
        <v>-0.13868613541126251</v>
      </c>
      <c r="CQ92">
        <v>0.14166666567325592</v>
      </c>
      <c r="CR92" s="10">
        <v>9.1712523113629576</v>
      </c>
      <c r="CS92" s="11">
        <v>6.2315771773673997E-3</v>
      </c>
      <c r="CT92">
        <v>1.2386457473162675</v>
      </c>
      <c r="CU92">
        <v>14.71738542318344</v>
      </c>
      <c r="CV92">
        <v>3.9885915681719779</v>
      </c>
      <c r="CW92">
        <v>0.06</v>
      </c>
      <c r="CX92">
        <v>0.12992968912213898</v>
      </c>
      <c r="CY92">
        <v>40138643717.507141</v>
      </c>
      <c r="CZ92">
        <v>14.71738542318344</v>
      </c>
      <c r="DA92">
        <v>6.3433365846520093E-4</v>
      </c>
      <c r="DB92">
        <v>8221543079738.8506</v>
      </c>
      <c r="DC92">
        <v>13.981516152024268</v>
      </c>
      <c r="DD92">
        <v>3.4246188017196405E-7</v>
      </c>
      <c r="DE92">
        <v>1.522856061346517E+16</v>
      </c>
      <c r="DF92">
        <v>12.951299172401427</v>
      </c>
      <c r="DG92">
        <v>2.7351525960936887E-11</v>
      </c>
      <c r="DH92">
        <v>1.9067314589497809E+20</v>
      </c>
      <c r="DI92">
        <v>11.773908338546754</v>
      </c>
      <c r="DJ92">
        <v>4.8405391281326474E-21</v>
      </c>
      <c r="DK92">
        <v>1.0774009592629587E+30</v>
      </c>
      <c r="DL92">
        <v>10.302169796228407</v>
      </c>
      <c r="DM92">
        <v>2707000000</v>
      </c>
      <c r="DN92">
        <v>14.71738542318344</v>
      </c>
      <c r="DO92">
        <v>5215201500</v>
      </c>
      <c r="DP92">
        <v>8436470</v>
      </c>
      <c r="DQ92" s="12">
        <v>4065</v>
      </c>
      <c r="DR92">
        <v>-15.70341479123528</v>
      </c>
      <c r="DS92">
        <v>-4.9315827274940123</v>
      </c>
      <c r="DT92">
        <v>0.20999999999999988</v>
      </c>
      <c r="DU92">
        <v>-6.6666666666666714E-3</v>
      </c>
      <c r="DV92">
        <v>0.2033333333333332</v>
      </c>
      <c r="DW92">
        <v>-3.0460297619047618</v>
      </c>
      <c r="DX92">
        <v>0.2503736865867997</v>
      </c>
      <c r="DY92">
        <v>-3.0036995816569982</v>
      </c>
      <c r="DZ92">
        <v>1253</v>
      </c>
      <c r="EA92">
        <v>-3.0027924239630219</v>
      </c>
      <c r="EB92" s="15">
        <v>3</v>
      </c>
      <c r="EC92" s="15">
        <v>1.1735487355766709E-2</v>
      </c>
      <c r="ED92">
        <v>0.14601155992879364</v>
      </c>
      <c r="EE92">
        <v>-3.0226099999999998</v>
      </c>
      <c r="EF92">
        <v>-3.03301</v>
      </c>
      <c r="EG92">
        <v>17.0803736865868</v>
      </c>
      <c r="EH92" s="14" t="s">
        <v>2246</v>
      </c>
      <c r="EI92" s="16">
        <v>0</v>
      </c>
      <c r="EJ92" s="16">
        <v>1</v>
      </c>
      <c r="EK92" s="16">
        <v>45470</v>
      </c>
      <c r="EL92" s="16">
        <v>1.77</v>
      </c>
      <c r="EM92" s="16">
        <v>-4.58</v>
      </c>
      <c r="EN92" s="16">
        <v>0.17</v>
      </c>
      <c r="EO92" s="16">
        <v>2.89</v>
      </c>
      <c r="EP92" s="16">
        <v>-1.04</v>
      </c>
    </row>
    <row r="93" spans="1:146" ht="108" x14ac:dyDescent="0.25">
      <c r="A93" s="7"/>
      <c r="B93" s="7"/>
      <c r="C93" s="7" t="str">
        <f>""&amp;CHAR(10)&amp;Basic_Fundamental_Information_Constructure(F93)&amp;CHAR(10)&amp;Basic_Fundamental_Information_Concatenate("")</f>
        <v xml:space="preserve">
市值29.126747亿, 利润-1.08亿; PE38.68; 平均PE56.2; 平均PEG31.42, PB1.88; ROIC4.1567%; ROE4.0233%; 股利率.7481%; 毛利20.8667%; 净利6.15%; 上一年度营收增-57.5%, 利润增-367.91%; 当季营收增113.76%, 利润增544.3%; 过往5年营收增-1.79%, 利润增-85.1%
Income profile:
</v>
      </c>
      <c r="D93" t="s">
        <v>281</v>
      </c>
      <c r="E93" t="s">
        <v>282</v>
      </c>
      <c r="F93">
        <v>9.09</v>
      </c>
      <c r="G93">
        <v>1.68</v>
      </c>
      <c r="H93" t="s">
        <v>3681</v>
      </c>
      <c r="I93">
        <v>2912674700</v>
      </c>
      <c r="J93">
        <v>38.68</v>
      </c>
      <c r="K93">
        <v>1.88</v>
      </c>
      <c r="L93" t="s">
        <v>1747</v>
      </c>
      <c r="M93" t="s">
        <v>3682</v>
      </c>
      <c r="N93" t="s">
        <v>854</v>
      </c>
      <c r="O93" t="s">
        <v>653</v>
      </c>
      <c r="P93">
        <v>15.78</v>
      </c>
      <c r="Q93" t="s">
        <v>747</v>
      </c>
      <c r="R93">
        <v>13938256</v>
      </c>
      <c r="S93" s="5">
        <v>0.33579999999999999</v>
      </c>
      <c r="T93" t="s">
        <v>1588</v>
      </c>
      <c r="U93">
        <v>307026260</v>
      </c>
      <c r="V93">
        <v>320426260</v>
      </c>
      <c r="W93">
        <v>1.78</v>
      </c>
      <c r="X93">
        <v>0.08</v>
      </c>
      <c r="Y93">
        <v>5.99</v>
      </c>
      <c r="Z93" t="s">
        <v>1696</v>
      </c>
      <c r="AA93" t="s">
        <v>487</v>
      </c>
      <c r="AB93" t="s">
        <v>3683</v>
      </c>
      <c r="AC93" t="s">
        <v>3684</v>
      </c>
      <c r="AD93" t="s">
        <v>28</v>
      </c>
      <c r="AE93">
        <v>9460517</v>
      </c>
      <c r="AF93" t="s">
        <v>3685</v>
      </c>
      <c r="AG93" t="s">
        <v>3686</v>
      </c>
      <c r="AH93" t="s">
        <v>3687</v>
      </c>
      <c r="AI93" t="s">
        <v>93</v>
      </c>
      <c r="AJ93" t="s">
        <v>3688</v>
      </c>
      <c r="AK93" t="s">
        <v>3689</v>
      </c>
      <c r="AL93" t="s">
        <v>3690</v>
      </c>
      <c r="AM93" t="s">
        <v>28</v>
      </c>
      <c r="AN93" t="s">
        <v>3691</v>
      </c>
      <c r="AO93" t="s">
        <v>755</v>
      </c>
      <c r="AP93" t="s">
        <v>739</v>
      </c>
      <c r="AQ93" t="s">
        <v>100</v>
      </c>
      <c r="AR93" t="s">
        <v>28</v>
      </c>
      <c r="AS93" t="s">
        <v>3692</v>
      </c>
      <c r="AT93" t="s">
        <v>28</v>
      </c>
      <c r="AU93" t="s">
        <v>3693</v>
      </c>
      <c r="AV93" t="s">
        <v>3694</v>
      </c>
      <c r="AW93" t="s">
        <v>3695</v>
      </c>
      <c r="AX93" t="s">
        <v>1431</v>
      </c>
      <c r="AY93" t="s">
        <v>482</v>
      </c>
      <c r="AZ93" t="s">
        <v>608</v>
      </c>
      <c r="BA93" t="s">
        <v>283</v>
      </c>
      <c r="BB93" t="s">
        <v>169</v>
      </c>
      <c r="BC93" t="s">
        <v>3696</v>
      </c>
      <c r="BD93" t="s">
        <v>1047</v>
      </c>
      <c r="BE93" t="s">
        <v>609</v>
      </c>
      <c r="BF93" t="s">
        <v>142</v>
      </c>
      <c r="BG93" t="s">
        <v>610</v>
      </c>
      <c r="BH93" t="s">
        <v>3560</v>
      </c>
      <c r="BI93" t="s">
        <v>192</v>
      </c>
      <c r="BJ93" t="s">
        <v>1431</v>
      </c>
      <c r="BK93" t="s">
        <v>3697</v>
      </c>
      <c r="BL93" t="s">
        <v>3698</v>
      </c>
      <c r="BM93" t="s">
        <v>3696</v>
      </c>
      <c r="BN93">
        <v>4.01</v>
      </c>
      <c r="BO93">
        <v>3.24</v>
      </c>
      <c r="BP93">
        <v>5.22</v>
      </c>
      <c r="BQ93">
        <v>3.81</v>
      </c>
      <c r="BR93">
        <v>2.85</v>
      </c>
      <c r="BS93">
        <v>5.41</v>
      </c>
      <c r="BT93" t="s">
        <v>3699</v>
      </c>
      <c r="BU93" t="s">
        <v>1062</v>
      </c>
      <c r="BV93">
        <v>19.38</v>
      </c>
      <c r="BW93">
        <v>19.11</v>
      </c>
      <c r="BX93">
        <v>24.11</v>
      </c>
      <c r="BY93">
        <v>7.01</v>
      </c>
      <c r="BZ93">
        <v>3.83</v>
      </c>
      <c r="CA93">
        <v>7.61</v>
      </c>
      <c r="CB93">
        <v>-4.72</v>
      </c>
      <c r="CC93">
        <v>-27.97</v>
      </c>
      <c r="CD93" t="s">
        <v>3700</v>
      </c>
      <c r="CE93" t="s">
        <v>1388</v>
      </c>
      <c r="CF93" s="10">
        <v>1.1376146788990822</v>
      </c>
      <c r="CG93" s="11">
        <v>5.4430384750247045</v>
      </c>
      <c r="CH93" s="10">
        <v>-0.57495254278182983</v>
      </c>
      <c r="CI93" s="10">
        <v>0.10830704867839813</v>
      </c>
      <c r="CJ93" s="10">
        <v>7.3363430798053741E-2</v>
      </c>
      <c r="CK93" s="10">
        <v>5.9808611869812012E-2</v>
      </c>
      <c r="CL93" s="10">
        <v>0.244047611951828</v>
      </c>
      <c r="CM93" s="11">
        <v>-3.6791493892669678</v>
      </c>
      <c r="CN93" s="11">
        <v>-0.46254822611808777</v>
      </c>
      <c r="CO93" s="11">
        <v>-0.24405260384082794</v>
      </c>
      <c r="CP93" s="11">
        <v>-0.12965613603591919</v>
      </c>
      <c r="CQ93" s="11">
        <v>0.26037174463272095</v>
      </c>
      <c r="CR93">
        <v>56.195881788320641</v>
      </c>
      <c r="CS93">
        <v>31.420382583347088</v>
      </c>
      <c r="CT93">
        <v>0.74807480748074817</v>
      </c>
      <c r="CU93" s="10">
        <v>-1.788516789674759E-2</v>
      </c>
      <c r="CV93" s="11">
        <v>-0.8510069221258163</v>
      </c>
      <c r="CW93">
        <v>0.06</v>
      </c>
      <c r="CX93" t="e">
        <v>#VALUE!</v>
      </c>
      <c r="CY93" t="s">
        <v>1158</v>
      </c>
      <c r="CZ93">
        <v>-1.788516789674759E-2</v>
      </c>
      <c r="DA93" t="e">
        <v>#VALUE!</v>
      </c>
      <c r="DB93" t="s">
        <v>1158</v>
      </c>
      <c r="DC93">
        <v>-1.699090950191021E-2</v>
      </c>
      <c r="DD93" t="e">
        <v>#VALUE!</v>
      </c>
      <c r="DE93" t="s">
        <v>1158</v>
      </c>
      <c r="DF93">
        <v>-1.573894774913788E-2</v>
      </c>
      <c r="DG93" t="e">
        <v>#VALUE!</v>
      </c>
      <c r="DH93" t="s">
        <v>1158</v>
      </c>
      <c r="DI93">
        <v>-1.4308134317398073E-2</v>
      </c>
      <c r="DJ93" t="e">
        <v>#VALUE!</v>
      </c>
      <c r="DK93" t="s">
        <v>1158</v>
      </c>
      <c r="DL93">
        <v>-1.2519617527723311E-2</v>
      </c>
      <c r="DM93">
        <v>-108000000</v>
      </c>
      <c r="DN93">
        <v>-1.788516789674759E-2</v>
      </c>
      <c r="DO93">
        <v>2666674700</v>
      </c>
      <c r="DP93">
        <v>834407000</v>
      </c>
      <c r="DQ93">
        <v>4081</v>
      </c>
      <c r="DR93">
        <v>1.1554998467958297</v>
      </c>
      <c r="DS93">
        <v>6.294045397150521</v>
      </c>
      <c r="DT93" s="12">
        <v>-0.50666666666666671</v>
      </c>
      <c r="DU93">
        <v>-1.3733333333333333</v>
      </c>
      <c r="DV93">
        <v>-1.88</v>
      </c>
      <c r="DW93">
        <v>-8.1687522345370045</v>
      </c>
      <c r="DX93">
        <v>0.3511863225136993</v>
      </c>
      <c r="DY93">
        <v>-8.0187629403741383</v>
      </c>
      <c r="DZ93">
        <v>2177</v>
      </c>
      <c r="EA93">
        <v>-8.0107694137215937</v>
      </c>
      <c r="EB93">
        <v>8</v>
      </c>
      <c r="EC93">
        <v>2.5682352001986351E-2</v>
      </c>
      <c r="ED93">
        <v>0.23098481379147889</v>
      </c>
      <c r="EE93" s="15">
        <v>-3.0367000000000002</v>
      </c>
      <c r="EF93">
        <v>-3.0173999999999999</v>
      </c>
      <c r="EG93">
        <v>24.111186322513699</v>
      </c>
      <c r="EH93" t="s">
        <v>1551</v>
      </c>
      <c r="EI93">
        <v>0</v>
      </c>
      <c r="EJ93">
        <v>0</v>
      </c>
      <c r="EK93" s="14">
        <v>45470</v>
      </c>
      <c r="EL93" s="16">
        <v>-0.5</v>
      </c>
      <c r="EM93" s="16">
        <v>-4.43</v>
      </c>
      <c r="EN93" s="16">
        <v>0.21</v>
      </c>
      <c r="EO93" s="16">
        <v>3.26</v>
      </c>
      <c r="EP93" s="16">
        <v>-1.93</v>
      </c>
    </row>
    <row r="94" spans="1:146" ht="108" x14ac:dyDescent="0.25">
      <c r="A94" s="7"/>
      <c r="B94" s="7" t="s">
        <v>1273</v>
      </c>
      <c r="C94" s="7" t="str">
        <f>""&amp;CHAR(10)&amp;Basic_Fundamental_Information_Constructure(F94)&amp;CHAR(10)&amp;Basic_Fundamental_Information_Concatenate("")</f>
        <v xml:space="preserve">
市值16.237894亿, 利润3.28亿; PE; 平均PE5.1; 平均PEG2.56, PB.49; ROIC3.9767%; ROE5.3467%; 股利率.2747%; 毛利25.81%; 净利-6.4567%; 上一年度营收增-14.17%, 利润增844.58%; 当季营收增-51.94%, 利润增-95.72%; 过往5年营收增-1.99%, 利润增158.88%
Income profile:
</v>
      </c>
      <c r="D94" t="s">
        <v>286</v>
      </c>
      <c r="E94" t="s">
        <v>287</v>
      </c>
      <c r="F94">
        <v>3.64</v>
      </c>
      <c r="G94">
        <v>3.41</v>
      </c>
      <c r="H94" t="s">
        <v>3701</v>
      </c>
      <c r="I94">
        <v>1623789400</v>
      </c>
      <c r="K94">
        <v>0.49</v>
      </c>
      <c r="L94" t="s">
        <v>1747</v>
      </c>
      <c r="M94" t="s">
        <v>3702</v>
      </c>
      <c r="N94" t="s">
        <v>3703</v>
      </c>
      <c r="O94" t="s">
        <v>620</v>
      </c>
      <c r="P94">
        <v>-22.14</v>
      </c>
      <c r="Q94" t="s">
        <v>3704</v>
      </c>
      <c r="R94">
        <v>3111689</v>
      </c>
      <c r="S94" s="5">
        <v>-0.49109999999999998</v>
      </c>
      <c r="T94" t="s">
        <v>118</v>
      </c>
      <c r="U94">
        <v>446096000</v>
      </c>
      <c r="V94">
        <v>446096000</v>
      </c>
      <c r="W94">
        <v>2.39</v>
      </c>
      <c r="X94">
        <v>0.02</v>
      </c>
      <c r="Y94">
        <v>2.34</v>
      </c>
      <c r="Z94" t="s">
        <v>227</v>
      </c>
      <c r="AA94" t="s">
        <v>3705</v>
      </c>
      <c r="AB94" t="s">
        <v>28</v>
      </c>
      <c r="AC94" t="s">
        <v>3706</v>
      </c>
      <c r="AD94" t="s">
        <v>28</v>
      </c>
      <c r="AE94">
        <v>6518539</v>
      </c>
      <c r="AF94" t="s">
        <v>67</v>
      </c>
      <c r="AG94" t="s">
        <v>28</v>
      </c>
      <c r="AH94" t="s">
        <v>3707</v>
      </c>
      <c r="AI94" t="s">
        <v>1468</v>
      </c>
      <c r="AJ94" t="s">
        <v>3708</v>
      </c>
      <c r="AK94" t="s">
        <v>3709</v>
      </c>
      <c r="AL94" t="s">
        <v>3710</v>
      </c>
      <c r="AM94" t="s">
        <v>28</v>
      </c>
      <c r="AN94">
        <v>0</v>
      </c>
      <c r="AO94" t="s">
        <v>1714</v>
      </c>
      <c r="AP94" t="s">
        <v>133</v>
      </c>
      <c r="AQ94" t="s">
        <v>3711</v>
      </c>
      <c r="AR94" t="s">
        <v>28</v>
      </c>
      <c r="AS94" t="s">
        <v>3712</v>
      </c>
      <c r="AT94" t="s">
        <v>110</v>
      </c>
      <c r="AU94" t="s">
        <v>192</v>
      </c>
      <c r="AV94" t="s">
        <v>3713</v>
      </c>
      <c r="AW94" t="s">
        <v>3714</v>
      </c>
      <c r="AX94" t="s">
        <v>522</v>
      </c>
      <c r="AY94" t="s">
        <v>1048</v>
      </c>
      <c r="AZ94" t="s">
        <v>611</v>
      </c>
      <c r="BA94" t="s">
        <v>288</v>
      </c>
      <c r="BB94" t="s">
        <v>612</v>
      </c>
      <c r="BC94" t="s">
        <v>3715</v>
      </c>
      <c r="BD94" t="s">
        <v>407</v>
      </c>
      <c r="BE94" t="s">
        <v>99</v>
      </c>
      <c r="BF94" t="s">
        <v>289</v>
      </c>
      <c r="BG94" t="s">
        <v>195</v>
      </c>
      <c r="BH94" t="s">
        <v>521</v>
      </c>
      <c r="BI94" t="s">
        <v>627</v>
      </c>
      <c r="BJ94" t="s">
        <v>522</v>
      </c>
      <c r="BK94" t="s">
        <v>3145</v>
      </c>
      <c r="BL94" t="s">
        <v>3716</v>
      </c>
      <c r="BM94" t="s">
        <v>3715</v>
      </c>
      <c r="BN94">
        <v>1.17</v>
      </c>
      <c r="BO94">
        <v>-0.13</v>
      </c>
      <c r="BP94">
        <v>10.89</v>
      </c>
      <c r="BQ94">
        <v>1.01</v>
      </c>
      <c r="BR94">
        <v>0.96</v>
      </c>
      <c r="BS94">
        <v>14.07</v>
      </c>
      <c r="BT94" t="s">
        <v>1432</v>
      </c>
      <c r="BU94" t="s">
        <v>1153</v>
      </c>
      <c r="BV94">
        <v>24.77</v>
      </c>
      <c r="BW94">
        <v>22.97</v>
      </c>
      <c r="BX94">
        <v>29.69</v>
      </c>
      <c r="BY94">
        <v>-39.299999999999997</v>
      </c>
      <c r="BZ94">
        <v>2.2000000000000002</v>
      </c>
      <c r="CA94">
        <v>17.73</v>
      </c>
      <c r="CB94">
        <v>0.55000000000000004</v>
      </c>
      <c r="CC94">
        <v>-20.87</v>
      </c>
      <c r="CD94" t="s">
        <v>3717</v>
      </c>
      <c r="CE94" t="s">
        <v>53</v>
      </c>
      <c r="CF94" s="10">
        <v>-0.51937984496124034</v>
      </c>
      <c r="CG94" s="11">
        <v>-0.95717177458980851</v>
      </c>
      <c r="CH94" s="10">
        <v>-0.1417069286108017</v>
      </c>
      <c r="CI94" s="10">
        <v>-0.5418664813041687</v>
      </c>
      <c r="CJ94" s="10">
        <v>0.15953816473484039</v>
      </c>
      <c r="CK94" s="10">
        <v>0.15914714336395264</v>
      </c>
      <c r="CL94" s="10">
        <v>0.26537019014358521</v>
      </c>
      <c r="CM94" s="11">
        <v>8.4458074569702148</v>
      </c>
      <c r="CN94" s="11">
        <v>-0.92780786752700806</v>
      </c>
      <c r="CO94" s="11">
        <v>0.26578947901725769</v>
      </c>
      <c r="CP94" s="11">
        <v>4.9723755568265915E-2</v>
      </c>
      <c r="CQ94" s="11">
        <v>0.11042945086956024</v>
      </c>
      <c r="CR94">
        <v>5.0963080243156389</v>
      </c>
      <c r="CS94">
        <v>2.5604978735296315</v>
      </c>
      <c r="CT94">
        <v>0.27472527472527475</v>
      </c>
      <c r="CU94" s="10">
        <v>-1.9903582334518433E-2</v>
      </c>
      <c r="CV94" s="11">
        <v>1.588788454979658</v>
      </c>
      <c r="CW94">
        <v>0.06</v>
      </c>
      <c r="CX94">
        <v>9.7371628048780483</v>
      </c>
      <c r="CY94" t="s">
        <v>3718</v>
      </c>
      <c r="CZ94">
        <v>-1.9903582334518433E-2</v>
      </c>
      <c r="DA94">
        <v>3.2457209349593494</v>
      </c>
      <c r="DB94" t="s">
        <v>3719</v>
      </c>
      <c r="DC94">
        <v>-1.890840321779251E-2</v>
      </c>
      <c r="DD94">
        <v>1.6228604674796747</v>
      </c>
      <c r="DE94" t="s">
        <v>3720</v>
      </c>
      <c r="DF94">
        <v>-1.751515245437622E-2</v>
      </c>
      <c r="DG94">
        <v>0.9737162804878049</v>
      </c>
      <c r="DH94" t="s">
        <v>3721</v>
      </c>
      <c r="DI94">
        <v>-1.5922865867614749E-2</v>
      </c>
      <c r="DJ94">
        <v>0.48685814024390245</v>
      </c>
      <c r="DK94" t="s">
        <v>3722</v>
      </c>
      <c r="DL94">
        <v>-1.3932507634162903E-2</v>
      </c>
      <c r="DM94">
        <v>328000000</v>
      </c>
      <c r="DN94">
        <v>-1.9903582334518433E-2</v>
      </c>
      <c r="DO94">
        <v>3193789400</v>
      </c>
      <c r="DP94">
        <v>2552623100</v>
      </c>
      <c r="DQ94">
        <v>4116</v>
      </c>
      <c r="DR94">
        <v>-0.4994762626267219</v>
      </c>
      <c r="DS94">
        <v>-2.5459602295694665</v>
      </c>
      <c r="DT94" s="12">
        <v>-0.24000000000000007</v>
      </c>
      <c r="DU94">
        <v>-0.3066666666666667</v>
      </c>
      <c r="DV94">
        <v>-0.54666666666666675</v>
      </c>
      <c r="DW94">
        <v>-3.055077380952381</v>
      </c>
      <c r="DX94">
        <v>0.37227687074830002</v>
      </c>
      <c r="DY94">
        <v>-3.0100393326490118</v>
      </c>
      <c r="DZ94" t="s">
        <v>3723</v>
      </c>
      <c r="EA94" t="e">
        <v>#VALUE!</v>
      </c>
      <c r="EB94" t="e">
        <v>#VALUE!</v>
      </c>
      <c r="EC94">
        <v>0.12012974785696351</v>
      </c>
      <c r="ED94">
        <v>0.65905096660808438</v>
      </c>
      <c r="EE94" s="15">
        <v>5.0310000000000001E-2</v>
      </c>
      <c r="EF94">
        <v>5.8709999999999998E-2</v>
      </c>
      <c r="EG94">
        <v>19.1822768707483</v>
      </c>
      <c r="EH94">
        <v>-1</v>
      </c>
      <c r="EI94" t="e">
        <v>#VALUE!</v>
      </c>
      <c r="EJ94">
        <v>0</v>
      </c>
      <c r="EK94" s="14">
        <v>45470</v>
      </c>
      <c r="EL94" s="16">
        <v>0.08</v>
      </c>
      <c r="EM94" s="16">
        <v>-1.94</v>
      </c>
      <c r="EN94" s="16">
        <v>-2.33</v>
      </c>
      <c r="EO94" s="16">
        <v>4.59</v>
      </c>
      <c r="EP94" s="16">
        <v>-0.84</v>
      </c>
    </row>
    <row r="95" spans="1:146" ht="228" x14ac:dyDescent="0.25">
      <c r="A95" s="7" t="s">
        <v>900</v>
      </c>
      <c r="B95" s="7" t="s">
        <v>901</v>
      </c>
      <c r="C95" s="7" t="str">
        <f>"作为最大的垃圾处理公司，市场在2021年一年价格翻倍，虽然目前估值还是在2015年上市后的一个底部区间，但需要时刻注意市场的演绎过后的走势；
公司地处浙江省，主营业务涵盖城市生活垃圾焚烧发电行业全产业链,包括核心技术研发、关键设备制造销售及项目投资、项目建设、运营管理等领域,是国内领先的生活垃圾焚烧处理企业"&amp;CHAR(10)&amp;Basic_Fundamental_Information_Constructure(F95)&amp;CHAR(10)&amp;Basic_Fundamental_Information_Concatenate("设备、EPC及服务 16.89亿 54.08% 毛利48.82%
项目运营 13.05亿 41.78% 毛利63.35%
垃圾清运 6582.72万 2.11% 毛利1.21%
餐厨垃圾处置 5103.14万 1.63% 毛利50.46%
其他业务 1254.74万 0.40% 毛利98.31%")</f>
        <v>作为最大的垃圾处理公司，市场在2021年一年价格翻倍，虽然目前估值还是在2015年上市后的一个底部区间，但需要时刻注意市场的演绎过后的走势；
公司地处浙江省，主营业务涵盖城市生活垃圾焚烧发电行业全产业链,包括核心技术研发、关键设备制造销售及项目投资、项目建设、运营管理等领域,是国内领先的生活垃圾焚烧处理企业
市值332.23592亿, 利润7039.33万; PE14.75; 平均PE31.59; 平均PEG1.42, PB2.88; ROIC13.0867%; ROE20.0333%; 股利率1.2827%; 毛利47.4967%; 净利36.32%; 上一年度营收增-15.44%, 利润增-95.77%; 当季营收增127.15%, 利润增5432.58%; 过往5年营收增22.24%, 利润增-.75%
Income profile:
设备、EPC及服务 16.89亿 54.08% 毛利48.82%
项目运营 13.05亿 41.78% 毛利63.35%
垃圾清运 6582.72万 2.11% 毛利1.21%
餐厨垃圾处置 5103.14万 1.63% 毛利50.46%
其他业务 1254.74万 0.40% 毛利98.31%</v>
      </c>
      <c r="D95" t="s">
        <v>291</v>
      </c>
      <c r="E95" t="s">
        <v>15</v>
      </c>
      <c r="F95">
        <v>19.489999999999998</v>
      </c>
      <c r="G95">
        <v>-0.31</v>
      </c>
      <c r="H95" t="s">
        <v>3724</v>
      </c>
      <c r="I95">
        <v>33223592000</v>
      </c>
      <c r="J95">
        <v>14.75</v>
      </c>
      <c r="K95">
        <v>2.88</v>
      </c>
      <c r="L95" t="s">
        <v>1747</v>
      </c>
      <c r="M95" t="s">
        <v>3725</v>
      </c>
      <c r="N95" t="s">
        <v>3726</v>
      </c>
      <c r="O95" t="s">
        <v>3727</v>
      </c>
      <c r="P95">
        <v>50.11</v>
      </c>
      <c r="Q95" t="s">
        <v>3728</v>
      </c>
      <c r="R95">
        <v>712424890</v>
      </c>
      <c r="S95" s="5">
        <v>0.40289999999999998</v>
      </c>
      <c r="T95" t="s">
        <v>3729</v>
      </c>
      <c r="U95">
        <v>1698390100</v>
      </c>
      <c r="V95">
        <v>1704648100</v>
      </c>
      <c r="W95">
        <v>1.89</v>
      </c>
      <c r="X95">
        <v>0.08</v>
      </c>
      <c r="Y95">
        <v>36.090000000000003</v>
      </c>
      <c r="Z95" t="s">
        <v>464</v>
      </c>
      <c r="AA95" t="s">
        <v>1463</v>
      </c>
      <c r="AB95" t="s">
        <v>3730</v>
      </c>
      <c r="AC95" t="s">
        <v>3731</v>
      </c>
      <c r="AD95" t="s">
        <v>28</v>
      </c>
      <c r="AE95">
        <v>64070681</v>
      </c>
      <c r="AF95" t="s">
        <v>3732</v>
      </c>
      <c r="AG95" t="s">
        <v>3733</v>
      </c>
      <c r="AH95" t="s">
        <v>3734</v>
      </c>
      <c r="AI95" t="s">
        <v>3735</v>
      </c>
      <c r="AJ95" t="s">
        <v>3736</v>
      </c>
      <c r="AK95" t="s">
        <v>418</v>
      </c>
      <c r="AL95" t="s">
        <v>3737</v>
      </c>
      <c r="AM95" t="s">
        <v>28</v>
      </c>
      <c r="AN95" t="s">
        <v>1658</v>
      </c>
      <c r="AO95" t="s">
        <v>453</v>
      </c>
      <c r="AP95" t="s">
        <v>3738</v>
      </c>
      <c r="AQ95" t="s">
        <v>3739</v>
      </c>
      <c r="AR95" t="s">
        <v>3740</v>
      </c>
      <c r="AS95" t="s">
        <v>3741</v>
      </c>
      <c r="AT95" t="s">
        <v>3742</v>
      </c>
      <c r="AU95" t="s">
        <v>1654</v>
      </c>
      <c r="AV95" t="s">
        <v>3743</v>
      </c>
      <c r="AW95" t="s">
        <v>3744</v>
      </c>
      <c r="AX95" t="s">
        <v>3745</v>
      </c>
      <c r="AY95" t="s">
        <v>1433</v>
      </c>
      <c r="AZ95" t="s">
        <v>614</v>
      </c>
      <c r="BA95" t="s">
        <v>292</v>
      </c>
      <c r="BB95" t="s">
        <v>543</v>
      </c>
      <c r="BC95" t="s">
        <v>3746</v>
      </c>
      <c r="BD95" t="s">
        <v>1434</v>
      </c>
      <c r="BE95" t="s">
        <v>203</v>
      </c>
      <c r="BF95" t="s">
        <v>293</v>
      </c>
      <c r="BG95" t="s">
        <v>615</v>
      </c>
      <c r="BH95" t="s">
        <v>3747</v>
      </c>
      <c r="BI95" t="s">
        <v>234</v>
      </c>
      <c r="BJ95" t="s">
        <v>3745</v>
      </c>
      <c r="BK95" t="s">
        <v>3748</v>
      </c>
      <c r="BL95" t="s">
        <v>3749</v>
      </c>
      <c r="BM95" t="s">
        <v>3746</v>
      </c>
      <c r="BN95">
        <v>10.09</v>
      </c>
      <c r="BO95">
        <v>12.91</v>
      </c>
      <c r="BP95">
        <v>16.260000000000002</v>
      </c>
      <c r="BQ95">
        <v>15.74</v>
      </c>
      <c r="BR95">
        <v>19.45</v>
      </c>
      <c r="BS95">
        <v>24.91</v>
      </c>
      <c r="BT95" t="s">
        <v>1251</v>
      </c>
      <c r="BU95" t="s">
        <v>1061</v>
      </c>
      <c r="BV95">
        <v>47.53</v>
      </c>
      <c r="BW95">
        <v>47.22</v>
      </c>
      <c r="BX95">
        <v>47.74</v>
      </c>
      <c r="BY95">
        <v>34.630000000000003</v>
      </c>
      <c r="BZ95">
        <v>37.58</v>
      </c>
      <c r="CA95">
        <v>36.75</v>
      </c>
      <c r="CB95">
        <v>-5.3</v>
      </c>
      <c r="CC95">
        <v>-5.98</v>
      </c>
      <c r="CD95" t="s">
        <v>3750</v>
      </c>
      <c r="CE95" t="s">
        <v>620</v>
      </c>
      <c r="CF95" s="10">
        <v>1.271493212669683</v>
      </c>
      <c r="CG95" s="11">
        <v>54.325807453657326</v>
      </c>
      <c r="CH95" s="10">
        <v>-0.15444788336753845</v>
      </c>
      <c r="CI95" s="10">
        <v>4.3133582919836044E-2</v>
      </c>
      <c r="CJ95" s="10">
        <v>0.37335890531539917</v>
      </c>
      <c r="CK95" s="10">
        <v>0.53238469362258911</v>
      </c>
      <c r="CL95" s="10">
        <v>0.31738844513893127</v>
      </c>
      <c r="CM95" s="11">
        <v>-0.95769631862640381</v>
      </c>
      <c r="CN95" s="11">
        <v>3.676016628742218E-2</v>
      </c>
      <c r="CO95" s="11">
        <v>0.2768496572971344</v>
      </c>
      <c r="CP95" s="11">
        <v>0.29055434465408325</v>
      </c>
      <c r="CQ95" s="11">
        <v>0.31621623039245605</v>
      </c>
      <c r="CR95">
        <v>31.589402200968998</v>
      </c>
      <c r="CS95">
        <v>1.420619628620706</v>
      </c>
      <c r="CT95">
        <v>1.2827090815802977</v>
      </c>
      <c r="CU95" s="10">
        <v>0.22236354872584344</v>
      </c>
      <c r="CV95" s="11">
        <v>-7.4631839990615843E-3</v>
      </c>
      <c r="CW95">
        <v>0.06</v>
      </c>
      <c r="CX95">
        <v>389.89015159966226</v>
      </c>
      <c r="CY95">
        <v>81175664.145776331</v>
      </c>
      <c r="CZ95">
        <v>0.22236354872584344</v>
      </c>
      <c r="DA95">
        <v>114.10151455876183</v>
      </c>
      <c r="DB95">
        <v>277380998.16107684</v>
      </c>
      <c r="DC95">
        <v>0.21124537128955126</v>
      </c>
      <c r="DD95">
        <v>48.134496575269047</v>
      </c>
      <c r="DE95">
        <v>657524109.56472325</v>
      </c>
      <c r="DF95">
        <v>0.19567992287874222</v>
      </c>
      <c r="DG95">
        <v>24.054789065978181</v>
      </c>
      <c r="DH95">
        <v>1315729350.7413669</v>
      </c>
      <c r="DI95">
        <v>0.17789083898067476</v>
      </c>
      <c r="DJ95">
        <v>8.0391994433795482</v>
      </c>
      <c r="DK95">
        <v>3936908422.6494861</v>
      </c>
      <c r="DL95">
        <v>0.15565448410809041</v>
      </c>
      <c r="DM95">
        <v>70393300</v>
      </c>
      <c r="DN95">
        <v>0.22236354872584344</v>
      </c>
      <c r="DO95">
        <v>31649592000</v>
      </c>
      <c r="DP95">
        <v>3591954300</v>
      </c>
      <c r="DQ95">
        <v>4187</v>
      </c>
      <c r="DR95">
        <v>1.0491296639438394</v>
      </c>
      <c r="DS95">
        <v>54.333270637656391</v>
      </c>
      <c r="DT95" s="12">
        <v>-0.25666666666666677</v>
      </c>
      <c r="DU95">
        <v>1.6666666666666607E-2</v>
      </c>
      <c r="DV95">
        <v>-0.24000000000000016</v>
      </c>
      <c r="DW95">
        <v>-8.8862876254180598</v>
      </c>
      <c r="DX95">
        <v>0.35709032258064521</v>
      </c>
      <c r="DY95">
        <v>-8.1303643327219763</v>
      </c>
      <c r="DZ95">
        <v>2749</v>
      </c>
      <c r="EA95">
        <v>-8.0602329138075515</v>
      </c>
      <c r="EB95">
        <v>8</v>
      </c>
      <c r="EC95">
        <v>1.069968634582117E-2</v>
      </c>
      <c r="ED95">
        <v>7.2742286223180019E-2</v>
      </c>
      <c r="EE95" s="15">
        <v>-3.0737999999999999</v>
      </c>
      <c r="EF95">
        <v>-3.0524</v>
      </c>
      <c r="EG95">
        <v>21.147090322580645</v>
      </c>
      <c r="EH95" t="s">
        <v>1551</v>
      </c>
      <c r="EI95">
        <v>0</v>
      </c>
      <c r="EJ95">
        <v>0</v>
      </c>
      <c r="EK95" s="14">
        <v>45470</v>
      </c>
      <c r="EL95" s="16">
        <v>0.72</v>
      </c>
      <c r="EM95" s="16">
        <v>-4.42</v>
      </c>
      <c r="EN95" s="16">
        <v>1.49</v>
      </c>
      <c r="EO95" s="16">
        <v>3.08</v>
      </c>
      <c r="EP95" s="16">
        <v>-2.14</v>
      </c>
    </row>
    <row r="96" spans="1:146" ht="108" x14ac:dyDescent="0.25">
      <c r="A96" s="7"/>
      <c r="B96" s="7"/>
      <c r="C96" s="7" t="str">
        <f>""&amp;CHAR(10)&amp;Basic_Fundamental_Information_Constructure(F96)&amp;CHAR(10)&amp;Basic_Fundamental_Information_Concatenate("")</f>
        <v xml:space="preserve">
市值88.534159亿, 利润17.21亿; PE17.98; 平均PE12; 平均PEG.94, PB.933; ROIC6.47%; ROE10.55%; 股利率1.7361%; 毛利22.05%; 净利7.9633%; 上一年度营收增-32.05%, 利润增148.7%; 当季营收增96.29%, 利润增-63.8%; 过往5年营收增12.82%, 利润增47.26%
Income profile:
</v>
      </c>
      <c r="D96" t="s">
        <v>297</v>
      </c>
      <c r="E96" t="s">
        <v>20</v>
      </c>
      <c r="F96">
        <v>5.76</v>
      </c>
      <c r="G96">
        <v>-0.69</v>
      </c>
      <c r="H96" t="s">
        <v>3751</v>
      </c>
      <c r="I96">
        <v>8853415900</v>
      </c>
      <c r="J96">
        <v>17.98</v>
      </c>
      <c r="K96">
        <v>0.93300000000000005</v>
      </c>
      <c r="L96" t="s">
        <v>1747</v>
      </c>
      <c r="M96" t="s">
        <v>3752</v>
      </c>
      <c r="N96" t="s">
        <v>3753</v>
      </c>
      <c r="O96" t="s">
        <v>3754</v>
      </c>
      <c r="P96">
        <v>80.099999999999994</v>
      </c>
      <c r="Q96" t="s">
        <v>3755</v>
      </c>
      <c r="R96">
        <v>194006640</v>
      </c>
      <c r="S96" s="5">
        <v>-5.9499999999999997E-2</v>
      </c>
      <c r="T96" t="s">
        <v>3756</v>
      </c>
      <c r="U96">
        <v>1523234500</v>
      </c>
      <c r="V96">
        <v>1537051400</v>
      </c>
      <c r="W96">
        <v>2.63</v>
      </c>
      <c r="X96">
        <v>0.12</v>
      </c>
      <c r="Y96">
        <v>6.72</v>
      </c>
      <c r="Z96" t="s">
        <v>3757</v>
      </c>
      <c r="AA96" t="s">
        <v>3758</v>
      </c>
      <c r="AB96" t="s">
        <v>3759</v>
      </c>
      <c r="AC96" t="s">
        <v>660</v>
      </c>
      <c r="AD96" t="s">
        <v>28</v>
      </c>
      <c r="AE96">
        <v>103365761</v>
      </c>
      <c r="AF96" t="s">
        <v>3760</v>
      </c>
      <c r="AG96" t="s">
        <v>3761</v>
      </c>
      <c r="AH96" t="s">
        <v>3762</v>
      </c>
      <c r="AI96" t="s">
        <v>3763</v>
      </c>
      <c r="AJ96" t="s">
        <v>3764</v>
      </c>
      <c r="AK96" t="s">
        <v>3765</v>
      </c>
      <c r="AL96" t="s">
        <v>3766</v>
      </c>
      <c r="AM96" t="s">
        <v>28</v>
      </c>
      <c r="AN96" t="s">
        <v>840</v>
      </c>
      <c r="AO96" t="s">
        <v>2542</v>
      </c>
      <c r="AP96" t="s">
        <v>632</v>
      </c>
      <c r="AQ96" t="s">
        <v>1676</v>
      </c>
      <c r="AR96" t="s">
        <v>28</v>
      </c>
      <c r="AS96" t="s">
        <v>3767</v>
      </c>
      <c r="AT96" t="s">
        <v>3768</v>
      </c>
      <c r="AU96" t="s">
        <v>3769</v>
      </c>
      <c r="AV96" t="s">
        <v>1619</v>
      </c>
      <c r="AW96" t="s">
        <v>456</v>
      </c>
      <c r="AX96" t="s">
        <v>1435</v>
      </c>
      <c r="AY96" t="s">
        <v>1049</v>
      </c>
      <c r="AZ96" t="s">
        <v>616</v>
      </c>
      <c r="BA96" t="s">
        <v>298</v>
      </c>
      <c r="BB96" t="s">
        <v>619</v>
      </c>
      <c r="BC96" t="s">
        <v>749</v>
      </c>
      <c r="BD96" t="s">
        <v>911</v>
      </c>
      <c r="BE96" t="s">
        <v>617</v>
      </c>
      <c r="BF96" t="s">
        <v>299</v>
      </c>
      <c r="BG96" t="s">
        <v>134</v>
      </c>
      <c r="BH96" t="s">
        <v>3770</v>
      </c>
      <c r="BI96" t="s">
        <v>1866</v>
      </c>
      <c r="BJ96" t="s">
        <v>1435</v>
      </c>
      <c r="BK96" t="s">
        <v>320</v>
      </c>
      <c r="BL96" t="s">
        <v>1597</v>
      </c>
      <c r="BM96" t="s">
        <v>749</v>
      </c>
      <c r="BN96">
        <v>4.5199999999999996</v>
      </c>
      <c r="BO96">
        <v>6.35</v>
      </c>
      <c r="BP96">
        <v>8.5399999999999991</v>
      </c>
      <c r="BQ96">
        <v>7.12</v>
      </c>
      <c r="BR96">
        <v>10.29</v>
      </c>
      <c r="BS96">
        <v>14.24</v>
      </c>
      <c r="BT96" t="s">
        <v>3771</v>
      </c>
      <c r="BU96" t="s">
        <v>1061</v>
      </c>
      <c r="BV96">
        <v>18.22</v>
      </c>
      <c r="BW96">
        <v>23.56</v>
      </c>
      <c r="BX96">
        <v>24.37</v>
      </c>
      <c r="BY96">
        <v>4.8</v>
      </c>
      <c r="BZ96">
        <v>8.48</v>
      </c>
      <c r="CA96">
        <v>10.61</v>
      </c>
      <c r="CB96">
        <v>-8.2799999999999994</v>
      </c>
      <c r="CC96">
        <v>-9.86</v>
      </c>
      <c r="CD96" t="s">
        <v>3772</v>
      </c>
      <c r="CE96" t="s">
        <v>347</v>
      </c>
      <c r="CF96" s="10">
        <v>0.9629396984924623</v>
      </c>
      <c r="CG96" s="11">
        <v>-0.63804731343283583</v>
      </c>
      <c r="CH96" s="10">
        <v>-0.32049235701560974</v>
      </c>
      <c r="CI96" s="10">
        <v>0.12099141627550125</v>
      </c>
      <c r="CJ96" s="10">
        <v>0.14647722244262695</v>
      </c>
      <c r="CK96" s="10">
        <v>0.34522169828414917</v>
      </c>
      <c r="CL96" s="10">
        <v>0.34901648759841919</v>
      </c>
      <c r="CM96" s="11">
        <v>1.4869941473007202</v>
      </c>
      <c r="CN96" s="11">
        <v>-4.6831954270601273E-2</v>
      </c>
      <c r="CO96" s="11">
        <v>0.31999999284744263</v>
      </c>
      <c r="CP96" s="11">
        <v>0.33495146036148071</v>
      </c>
      <c r="CQ96" s="11">
        <v>0.26769229769706726</v>
      </c>
      <c r="CR96">
        <v>12.001919430637145</v>
      </c>
      <c r="CS96">
        <v>0.93587403570588756</v>
      </c>
      <c r="CT96">
        <v>1.7361111111111112</v>
      </c>
      <c r="CU96" s="10">
        <v>0.12824289351701737</v>
      </c>
      <c r="CV96" s="11">
        <v>0.47256118878722192</v>
      </c>
      <c r="CW96">
        <v>0.06</v>
      </c>
      <c r="CX96">
        <v>8.2516821244250149</v>
      </c>
      <c r="CY96">
        <v>1831798131.832818</v>
      </c>
      <c r="CZ96">
        <v>0.12824289351701737</v>
      </c>
      <c r="DA96">
        <v>2.6110179849601267</v>
      </c>
      <c r="DB96">
        <v>5789089154.9070778</v>
      </c>
      <c r="DC96">
        <v>0.1218307488411665</v>
      </c>
      <c r="DD96">
        <v>1.230344472858371</v>
      </c>
      <c r="DE96">
        <v>12285515344.238056</v>
      </c>
      <c r="DF96">
        <v>0.11285374629497529</v>
      </c>
      <c r="DG96">
        <v>0.70268053827675003</v>
      </c>
      <c r="DH96">
        <v>21511078045.606564</v>
      </c>
      <c r="DI96">
        <v>0.1025943148136139</v>
      </c>
      <c r="DJ96">
        <v>0.32417527055569567</v>
      </c>
      <c r="DK96">
        <v>46627294778.190247</v>
      </c>
      <c r="DL96">
        <v>8.9770025461912151E-2</v>
      </c>
      <c r="DM96">
        <v>1721000000</v>
      </c>
      <c r="DN96">
        <v>0.12824289351701737</v>
      </c>
      <c r="DO96">
        <v>15115415900</v>
      </c>
      <c r="DP96">
        <v>2209501900</v>
      </c>
      <c r="DQ96">
        <v>4197</v>
      </c>
      <c r="DR96">
        <v>0.83469680497544496</v>
      </c>
      <c r="DS96">
        <v>-1.1106085022200578</v>
      </c>
      <c r="DT96" s="12">
        <v>-0.39000000000000007</v>
      </c>
      <c r="DU96">
        <v>0.24333333333333326</v>
      </c>
      <c r="DV96">
        <v>-0.14666666666666681</v>
      </c>
      <c r="DW96">
        <v>-9.8397565922920887</v>
      </c>
      <c r="DX96">
        <v>0.45619854721549702</v>
      </c>
      <c r="DY96">
        <v>-9.1563614574994237</v>
      </c>
      <c r="DZ96">
        <v>1481</v>
      </c>
      <c r="EA96">
        <v>-9.111044174024542</v>
      </c>
      <c r="EB96">
        <v>9</v>
      </c>
      <c r="EC96">
        <v>5.0030857783936178E-2</v>
      </c>
      <c r="ED96">
        <v>0.26869628432725151</v>
      </c>
      <c r="EE96" s="15">
        <v>3.5799999999999998E-2</v>
      </c>
      <c r="EF96">
        <v>3.3299999999999996E-2</v>
      </c>
      <c r="EG96">
        <v>27.186198547215497</v>
      </c>
      <c r="EH96" t="s">
        <v>1161</v>
      </c>
      <c r="EI96">
        <v>0</v>
      </c>
      <c r="EJ96">
        <v>1</v>
      </c>
      <c r="EK96" s="14">
        <v>45470</v>
      </c>
      <c r="EL96" s="16">
        <v>-0.68</v>
      </c>
      <c r="EM96" s="16">
        <v>-0.44</v>
      </c>
      <c r="EN96" s="16">
        <v>-2.04</v>
      </c>
      <c r="EO96" s="16">
        <v>0.55000000000000004</v>
      </c>
      <c r="EP96" s="16">
        <v>-0.25</v>
      </c>
    </row>
    <row r="97" spans="1:146" ht="108" x14ac:dyDescent="0.25">
      <c r="A97" s="7"/>
      <c r="B97" s="7"/>
      <c r="C97" s="7" t="str">
        <f>""&amp;CHAR(10)&amp;Basic_Fundamental_Information_Constructure(F97)&amp;CHAR(10)&amp;Basic_Fundamental_Information_Concatenate("")</f>
        <v xml:space="preserve">
市值31.922361亿, 利润8854.99万; PE14.48; 平均PE11.7; 平均PEG3.9, PB.944; ROIC9.4433%; ROE8.6033%; 股利率3.2552%; 毛利22.1833%; 净利6.9333%; 上一年度营收增-60.35%, 利润增-65.94%; 当季营收增165.1%, 利润增228.85%; 过往5年营收增-3%, 利润增-6.85%
Income profile:
</v>
      </c>
      <c r="D97" t="s">
        <v>857</v>
      </c>
      <c r="E97" t="s">
        <v>1050</v>
      </c>
      <c r="F97">
        <v>7.68</v>
      </c>
      <c r="G97">
        <v>0.39</v>
      </c>
      <c r="H97" t="s">
        <v>1840</v>
      </c>
      <c r="I97">
        <v>3192236100</v>
      </c>
      <c r="J97">
        <v>14.48</v>
      </c>
      <c r="K97">
        <v>0.94399999999999995</v>
      </c>
      <c r="L97" t="s">
        <v>1747</v>
      </c>
      <c r="M97" t="s">
        <v>3773</v>
      </c>
      <c r="N97" t="s">
        <v>3774</v>
      </c>
      <c r="O97" t="s">
        <v>3775</v>
      </c>
      <c r="P97">
        <v>-1.72</v>
      </c>
      <c r="Q97" t="s">
        <v>1627</v>
      </c>
      <c r="R97">
        <v>65030828</v>
      </c>
      <c r="S97" s="5">
        <v>-0.15640000000000001</v>
      </c>
      <c r="T97" t="s">
        <v>3776</v>
      </c>
      <c r="U97">
        <v>415655740</v>
      </c>
      <c r="V97">
        <v>415655740</v>
      </c>
      <c r="W97">
        <v>1.68</v>
      </c>
      <c r="X97">
        <v>0.19</v>
      </c>
      <c r="Y97">
        <v>6.63</v>
      </c>
      <c r="Z97" t="s">
        <v>3777</v>
      </c>
      <c r="AA97" t="s">
        <v>3611</v>
      </c>
      <c r="AB97" t="s">
        <v>3778</v>
      </c>
      <c r="AC97" t="s">
        <v>3779</v>
      </c>
      <c r="AD97" t="s">
        <v>28</v>
      </c>
      <c r="AE97">
        <v>-941943</v>
      </c>
      <c r="AF97" t="s">
        <v>67</v>
      </c>
      <c r="AG97" t="s">
        <v>3780</v>
      </c>
      <c r="AH97" t="s">
        <v>3781</v>
      </c>
      <c r="AI97" t="s">
        <v>341</v>
      </c>
      <c r="AJ97" t="s">
        <v>3782</v>
      </c>
      <c r="AK97" t="s">
        <v>28</v>
      </c>
      <c r="AL97" t="s">
        <v>3783</v>
      </c>
      <c r="AM97" t="s">
        <v>28</v>
      </c>
      <c r="AN97" t="s">
        <v>3784</v>
      </c>
      <c r="AO97" t="s">
        <v>233</v>
      </c>
      <c r="AP97" t="s">
        <v>1469</v>
      </c>
      <c r="AQ97" t="s">
        <v>1295</v>
      </c>
      <c r="AR97" t="s">
        <v>28</v>
      </c>
      <c r="AS97" t="s">
        <v>502</v>
      </c>
      <c r="AT97" t="s">
        <v>429</v>
      </c>
      <c r="AU97" t="s">
        <v>3785</v>
      </c>
      <c r="AV97" t="s">
        <v>1345</v>
      </c>
      <c r="AW97" t="s">
        <v>1338</v>
      </c>
      <c r="AX97" t="s">
        <v>1436</v>
      </c>
      <c r="AY97" t="s">
        <v>1051</v>
      </c>
      <c r="AZ97" t="s">
        <v>858</v>
      </c>
      <c r="BA97" t="s">
        <v>859</v>
      </c>
      <c r="BB97" t="s">
        <v>860</v>
      </c>
      <c r="BC97" t="s">
        <v>861</v>
      </c>
      <c r="BD97" t="s">
        <v>48</v>
      </c>
      <c r="BE97" t="s">
        <v>624</v>
      </c>
      <c r="BF97" t="s">
        <v>652</v>
      </c>
      <c r="BG97" t="s">
        <v>391</v>
      </c>
      <c r="BH97" t="s">
        <v>3786</v>
      </c>
      <c r="BI97" t="s">
        <v>1370</v>
      </c>
      <c r="BJ97" t="s">
        <v>1436</v>
      </c>
      <c r="BK97" t="s">
        <v>469</v>
      </c>
      <c r="BL97" t="s">
        <v>3787</v>
      </c>
      <c r="BM97" t="s">
        <v>861</v>
      </c>
      <c r="BN97">
        <v>6.49</v>
      </c>
      <c r="BO97">
        <v>9.5299999999999994</v>
      </c>
      <c r="BP97">
        <v>12.31</v>
      </c>
      <c r="BQ97">
        <v>5.75</v>
      </c>
      <c r="BR97">
        <v>8.41</v>
      </c>
      <c r="BS97">
        <v>11.65</v>
      </c>
      <c r="BT97" t="s">
        <v>1251</v>
      </c>
      <c r="BU97" t="s">
        <v>1061</v>
      </c>
      <c r="BV97">
        <v>22.78</v>
      </c>
      <c r="BW97">
        <v>22.35</v>
      </c>
      <c r="BX97">
        <v>21.42</v>
      </c>
      <c r="BY97">
        <v>6.12</v>
      </c>
      <c r="BZ97">
        <v>7</v>
      </c>
      <c r="CA97">
        <v>7.68</v>
      </c>
      <c r="CB97">
        <v>0.79</v>
      </c>
      <c r="CC97">
        <v>-6.8</v>
      </c>
      <c r="CD97" t="s">
        <v>3788</v>
      </c>
      <c r="CE97" t="s">
        <v>3789</v>
      </c>
      <c r="CF97" s="10">
        <v>1.651006711409396</v>
      </c>
      <c r="CG97" s="11">
        <v>2.2884875577108819</v>
      </c>
      <c r="CH97" s="10">
        <v>-0.60354328155517578</v>
      </c>
      <c r="CI97" s="10">
        <v>-0.10908455401659012</v>
      </c>
      <c r="CJ97" s="10">
        <v>4.7584112733602524E-2</v>
      </c>
      <c r="CK97" s="10">
        <v>0.28736987709999084</v>
      </c>
      <c r="CL97" s="10">
        <v>0.22764228284358978</v>
      </c>
      <c r="CM97" s="11">
        <v>-0.65942347049713135</v>
      </c>
      <c r="CN97" s="11">
        <v>-0.23529411852359772</v>
      </c>
      <c r="CO97" s="11">
        <v>-0.23250564932823181</v>
      </c>
      <c r="CP97" s="11">
        <v>0.64074075222015381</v>
      </c>
      <c r="CQ97" s="11">
        <v>0.14406779408454895</v>
      </c>
      <c r="CR97">
        <v>11.696386534541634</v>
      </c>
      <c r="CS97">
        <v>3.8979753022901957</v>
      </c>
      <c r="CT97">
        <v>3.2552083333333335</v>
      </c>
      <c r="CU97" s="10">
        <v>-3.000631257891655E-2</v>
      </c>
      <c r="CV97" s="11">
        <v>-6.8482938408851626E-2</v>
      </c>
      <c r="CW97">
        <v>0.06</v>
      </c>
      <c r="CX97">
        <v>21.120702564316844</v>
      </c>
      <c r="CY97" t="s">
        <v>3790</v>
      </c>
      <c r="CZ97">
        <v>-3.000631257891655E-2</v>
      </c>
      <c r="DA97">
        <v>7.0402341881056145</v>
      </c>
      <c r="DB97" t="s">
        <v>3791</v>
      </c>
      <c r="DC97">
        <v>-2.8505996949970722E-2</v>
      </c>
      <c r="DD97">
        <v>3.5201170940528073</v>
      </c>
      <c r="DE97" t="s">
        <v>3792</v>
      </c>
      <c r="DF97">
        <v>-2.6405555069446564E-2</v>
      </c>
      <c r="DG97">
        <v>2.1120702564316844</v>
      </c>
      <c r="DH97" t="s">
        <v>3793</v>
      </c>
      <c r="DI97">
        <v>-2.4005050063133242E-2</v>
      </c>
      <c r="DJ97">
        <v>1.0560351282158422</v>
      </c>
      <c r="DK97" t="s">
        <v>3794</v>
      </c>
      <c r="DL97">
        <v>-2.1004418805241586E-2</v>
      </c>
      <c r="DM97">
        <v>88549900</v>
      </c>
      <c r="DN97">
        <v>-3.000631257891655E-2</v>
      </c>
      <c r="DO97">
        <v>1870236100</v>
      </c>
      <c r="DP97">
        <v>2031283900</v>
      </c>
      <c r="DQ97">
        <v>4255</v>
      </c>
      <c r="DR97">
        <v>1.6810130239883125</v>
      </c>
      <c r="DS97">
        <v>2.3569704961197333</v>
      </c>
      <c r="DT97" s="12">
        <v>-0.55666666666666675</v>
      </c>
      <c r="DU97">
        <v>-0.38333333333333336</v>
      </c>
      <c r="DV97">
        <v>-0.94000000000000017</v>
      </c>
      <c r="DW97">
        <v>-2.0680000000000001</v>
      </c>
      <c r="DX97">
        <v>0.31534135831048032</v>
      </c>
      <c r="DY97">
        <v>-2.0092032123651129</v>
      </c>
      <c r="DZ97">
        <v>2804</v>
      </c>
      <c r="EA97">
        <v>-2.0041531521945108</v>
      </c>
      <c r="EB97">
        <v>2</v>
      </c>
      <c r="EC97">
        <v>2.9256903802170518E-2</v>
      </c>
      <c r="ED97">
        <v>0.21617119975294941</v>
      </c>
      <c r="EE97" s="15">
        <v>-5.0265000000000004</v>
      </c>
      <c r="EF97">
        <v>-5.0075000000000003</v>
      </c>
      <c r="EG97">
        <v>18.13534135831048</v>
      </c>
      <c r="EH97" t="s">
        <v>1706</v>
      </c>
      <c r="EI97">
        <v>0</v>
      </c>
      <c r="EJ97">
        <v>0</v>
      </c>
      <c r="EK97" s="14">
        <v>45470</v>
      </c>
      <c r="EL97" s="16">
        <v>0.41</v>
      </c>
      <c r="EM97" s="16">
        <v>-3.44</v>
      </c>
      <c r="EN97" s="16">
        <v>0.28000000000000003</v>
      </c>
      <c r="EO97" s="16">
        <v>4.55</v>
      </c>
      <c r="EP97" s="16">
        <v>-1.9</v>
      </c>
    </row>
    <row r="98" spans="1:146" ht="144" x14ac:dyDescent="0.25">
      <c r="A98" s="7"/>
      <c r="B98" s="7"/>
      <c r="C98" s="7" t="str">
        <f>""&amp;CHAR(10)&amp;Basic_Fundamental_Information_Constructure(F98)&amp;CHAR(10)&amp;Basic_Fundamental_Information_Concatenate("供水业务 3.63亿 42.71%（毛利59.00%）
污水处理业务 3.60亿 42.30%（毛利46.86%）
工程业务 1.19亿 14.00%（毛利28.65%）
其他业务 834.87万 0.98%(毛利87.46%)")</f>
        <v xml:space="preserve">
市值27.428544亿, 利润5.83亿; PE11.49; 平均PE11.27; 平均PEG.05, PB1.06; ROIC6.2167%; ROE9.2467%; 股利率4.5455%; 毛利45.8333%; 净利18.9467%; 上一年度营收增1000.76%, 利润增173.71%; 当季营收增-89.48%, 利润增-84.27%; 过往5年营收增214.04%, 利润增47.52%
Income profile:
供水业务 3.63亿 42.71%（毛利59.00%）
污水处理业务 3.60亿 42.30%（毛利46.86%）
工程业务 1.19亿 14.00%（毛利28.65%）
其他业务 834.87万 0.98%(毛利87.46%)</v>
      </c>
      <c r="D98" t="s">
        <v>863</v>
      </c>
      <c r="E98" t="s">
        <v>864</v>
      </c>
      <c r="F98">
        <v>5.94</v>
      </c>
      <c r="G98">
        <v>0.68</v>
      </c>
      <c r="H98" t="s">
        <v>3795</v>
      </c>
      <c r="I98">
        <v>2742854400</v>
      </c>
      <c r="J98">
        <v>11.49</v>
      </c>
      <c r="K98">
        <v>1.06</v>
      </c>
      <c r="L98" t="s">
        <v>1747</v>
      </c>
      <c r="M98" t="s">
        <v>1193</v>
      </c>
      <c r="N98" t="s">
        <v>3796</v>
      </c>
      <c r="O98" t="s">
        <v>1184</v>
      </c>
      <c r="P98">
        <v>3.43</v>
      </c>
      <c r="Q98" t="s">
        <v>3797</v>
      </c>
      <c r="R98">
        <v>29099530</v>
      </c>
      <c r="S98" s="5">
        <v>-0.1007</v>
      </c>
      <c r="T98" t="s">
        <v>1255</v>
      </c>
      <c r="U98">
        <v>461760000</v>
      </c>
      <c r="V98">
        <v>461760000</v>
      </c>
      <c r="W98">
        <v>2.27</v>
      </c>
      <c r="X98">
        <v>0.05</v>
      </c>
      <c r="Y98">
        <v>10.42</v>
      </c>
      <c r="Z98" t="s">
        <v>659</v>
      </c>
      <c r="AA98" t="s">
        <v>450</v>
      </c>
      <c r="AB98" t="s">
        <v>3798</v>
      </c>
      <c r="AC98" t="s">
        <v>3799</v>
      </c>
      <c r="AD98" t="s">
        <v>28</v>
      </c>
      <c r="AE98">
        <v>22587310</v>
      </c>
      <c r="AF98" t="s">
        <v>3800</v>
      </c>
      <c r="AG98" t="s">
        <v>3801</v>
      </c>
      <c r="AH98" t="s">
        <v>3802</v>
      </c>
      <c r="AI98" t="s">
        <v>3803</v>
      </c>
      <c r="AJ98" t="s">
        <v>3804</v>
      </c>
      <c r="AK98" t="s">
        <v>28</v>
      </c>
      <c r="AL98" t="s">
        <v>3805</v>
      </c>
      <c r="AM98" t="s">
        <v>28</v>
      </c>
      <c r="AN98" t="s">
        <v>3806</v>
      </c>
      <c r="AO98" t="s">
        <v>424</v>
      </c>
      <c r="AP98" t="s">
        <v>28</v>
      </c>
      <c r="AQ98" t="s">
        <v>3807</v>
      </c>
      <c r="AR98" t="s">
        <v>28</v>
      </c>
      <c r="AS98" t="s">
        <v>1482</v>
      </c>
      <c r="AT98" t="s">
        <v>1672</v>
      </c>
      <c r="AU98" t="s">
        <v>3808</v>
      </c>
      <c r="AV98" t="s">
        <v>3809</v>
      </c>
      <c r="AW98" t="s">
        <v>3810</v>
      </c>
      <c r="AX98" t="s">
        <v>108</v>
      </c>
      <c r="AY98" t="s">
        <v>412</v>
      </c>
      <c r="AZ98" t="s">
        <v>865</v>
      </c>
      <c r="BA98" t="s">
        <v>866</v>
      </c>
      <c r="BB98" t="s">
        <v>508</v>
      </c>
      <c r="BC98" t="s">
        <v>171</v>
      </c>
      <c r="BD98" t="s">
        <v>68</v>
      </c>
      <c r="BE98" t="s">
        <v>45</v>
      </c>
      <c r="BF98" t="s">
        <v>225</v>
      </c>
      <c r="BG98" t="s">
        <v>100</v>
      </c>
      <c r="BH98" t="s">
        <v>1178</v>
      </c>
      <c r="BI98" t="s">
        <v>3811</v>
      </c>
      <c r="BJ98" t="s">
        <v>108</v>
      </c>
      <c r="BK98" t="s">
        <v>596</v>
      </c>
      <c r="BL98" t="s">
        <v>285</v>
      </c>
      <c r="BM98" t="s">
        <v>171</v>
      </c>
      <c r="BN98">
        <v>4.67</v>
      </c>
      <c r="BO98">
        <v>6.46</v>
      </c>
      <c r="BP98">
        <v>7.52</v>
      </c>
      <c r="BQ98">
        <v>7.21</v>
      </c>
      <c r="BR98">
        <v>9.39</v>
      </c>
      <c r="BS98">
        <v>11.14</v>
      </c>
      <c r="BT98" t="s">
        <v>1415</v>
      </c>
      <c r="BU98" t="s">
        <v>1159</v>
      </c>
      <c r="BV98">
        <v>48.1</v>
      </c>
      <c r="BW98">
        <v>44.2</v>
      </c>
      <c r="BX98">
        <v>45.2</v>
      </c>
      <c r="BY98">
        <v>18.55</v>
      </c>
      <c r="BZ98">
        <v>18.14</v>
      </c>
      <c r="CA98">
        <v>20.149999999999999</v>
      </c>
      <c r="CB98">
        <v>0.17</v>
      </c>
      <c r="CC98">
        <v>-10.81</v>
      </c>
      <c r="CD98" t="s">
        <v>3812</v>
      </c>
      <c r="CE98" t="s">
        <v>3813</v>
      </c>
      <c r="CF98" s="10">
        <v>-0.89477530142491779</v>
      </c>
      <c r="CG98" s="11">
        <v>-0.84270524324324325</v>
      </c>
      <c r="CH98" s="10">
        <v>10.00758171081543</v>
      </c>
      <c r="CI98" s="10">
        <v>9.5018506050109863E-2</v>
      </c>
      <c r="CJ98" s="10">
        <v>0.27529412508010864</v>
      </c>
      <c r="CK98" s="10">
        <v>0.24816446006298065</v>
      </c>
      <c r="CL98" s="10">
        <v>7.5829386711120605E-2</v>
      </c>
      <c r="CM98" s="11">
        <v>1.7370891571044922</v>
      </c>
      <c r="CN98" s="11">
        <v>-4.6728970482945442E-3</v>
      </c>
      <c r="CO98" s="11">
        <v>0.22285714745521545</v>
      </c>
      <c r="CP98" s="11">
        <v>0.12903225421905518</v>
      </c>
      <c r="CQ98" s="11">
        <v>0.2916666567325592</v>
      </c>
      <c r="CR98">
        <v>11.272004383561644</v>
      </c>
      <c r="CS98">
        <v>5.266362432866202E-2</v>
      </c>
      <c r="CT98">
        <v>4.5454545454545459</v>
      </c>
      <c r="CU98" s="10">
        <v>2.1403776377439501</v>
      </c>
      <c r="CV98" s="11">
        <v>0.47519446369260548</v>
      </c>
      <c r="CW98">
        <v>0.06</v>
      </c>
      <c r="CX98">
        <v>1.9892537524524776</v>
      </c>
      <c r="CY98">
        <v>1727207700.7591724</v>
      </c>
      <c r="CZ98">
        <v>2.1403776377439501</v>
      </c>
      <c r="DA98">
        <v>0.17089687214504748</v>
      </c>
      <c r="DB98">
        <v>20104840754.977913</v>
      </c>
      <c r="DC98">
        <v>2.0333587558567525</v>
      </c>
      <c r="DD98">
        <v>9.2196430162580847E-3</v>
      </c>
      <c r="DE98">
        <v>372666750105.30804</v>
      </c>
      <c r="DF98">
        <v>1.8835323212146762</v>
      </c>
      <c r="DG98">
        <v>2.9842261004068952E-4</v>
      </c>
      <c r="DH98">
        <v>11513384992951.861</v>
      </c>
      <c r="DI98">
        <v>1.7123021101951601</v>
      </c>
      <c r="DJ98">
        <v>1.2131542984396845E-7</v>
      </c>
      <c r="DK98">
        <v>2.832166035613996E+16</v>
      </c>
      <c r="DL98">
        <v>1.498264346420765</v>
      </c>
      <c r="DM98">
        <v>583000000</v>
      </c>
      <c r="DN98">
        <v>2.1403776377439501</v>
      </c>
      <c r="DO98">
        <v>3435854400</v>
      </c>
      <c r="DP98">
        <v>83892200</v>
      </c>
      <c r="DQ98">
        <v>4294</v>
      </c>
      <c r="DR98">
        <v>-3.0351529391688681</v>
      </c>
      <c r="DS98">
        <v>-1.3178997069358487</v>
      </c>
      <c r="DT98" s="12">
        <v>0.10999999999999995</v>
      </c>
      <c r="DU98">
        <v>0.12666666666666662</v>
      </c>
      <c r="DV98">
        <v>0.23666666666666658</v>
      </c>
      <c r="DW98">
        <v>-2.1080999999999999</v>
      </c>
      <c r="DX98">
        <v>0.3184432278319056</v>
      </c>
      <c r="DY98">
        <v>-2.0117227129286293</v>
      </c>
      <c r="DZ98">
        <v>1863</v>
      </c>
      <c r="EA98">
        <v>-2.007448854966587</v>
      </c>
      <c r="EB98">
        <v>2</v>
      </c>
      <c r="EC98">
        <v>1.156488218988219E-2</v>
      </c>
      <c r="ED98">
        <v>0.10664457726957727</v>
      </c>
      <c r="EE98" s="15">
        <v>2.1368</v>
      </c>
      <c r="EF98">
        <v>2.0981000000000001</v>
      </c>
      <c r="EG98">
        <v>21.108443227831906</v>
      </c>
      <c r="EH98" t="s">
        <v>1155</v>
      </c>
      <c r="EI98">
        <v>0</v>
      </c>
      <c r="EJ98">
        <v>0</v>
      </c>
      <c r="EK98" s="14">
        <v>45470</v>
      </c>
      <c r="EL98" s="16">
        <v>0.71</v>
      </c>
      <c r="EM98" s="16">
        <v>-3.4</v>
      </c>
      <c r="EN98" s="16">
        <v>-0.15</v>
      </c>
      <c r="EO98" s="16">
        <v>2.5</v>
      </c>
      <c r="EP98" s="16">
        <v>-3.87</v>
      </c>
    </row>
    <row r="99" spans="1:146" ht="108" x14ac:dyDescent="0.25">
      <c r="A99" s="7"/>
      <c r="B99" s="7"/>
      <c r="C99" s="7" t="str">
        <f>""&amp;CHAR(10)&amp;Basic_Fundamental_Information_Constructure(F99)&amp;CHAR(10)&amp;Basic_Fundamental_Information_Concatenate("")</f>
        <v xml:space="preserve">
市值18.751332亿, 利润4778.99万; PE8.71; 平均PE10.08; 平均PEG.24, PB.612; ROIC5.2733%; ROE10.0167%; 股利率0%; 毛利61.18%; 净利28.3133%; 上一年度营收增-16.27%, 利润增-82.75%; 当季营收增-28.3%, 利润增61.4%; 过往5年营收增42.86%, 利润增22.12%
Income profile:
</v>
      </c>
      <c r="D99" t="s">
        <v>867</v>
      </c>
      <c r="E99" t="s">
        <v>868</v>
      </c>
      <c r="F99">
        <v>3.21</v>
      </c>
      <c r="G99">
        <v>1.58</v>
      </c>
      <c r="H99" t="s">
        <v>3814</v>
      </c>
      <c r="I99">
        <v>1875133200</v>
      </c>
      <c r="J99">
        <v>8.7100000000000009</v>
      </c>
      <c r="K99">
        <v>0.61199999999999999</v>
      </c>
      <c r="L99" t="s">
        <v>1747</v>
      </c>
      <c r="M99" t="s">
        <v>3815</v>
      </c>
      <c r="N99" t="s">
        <v>3816</v>
      </c>
      <c r="O99" t="s">
        <v>656</v>
      </c>
      <c r="P99">
        <v>-23.97</v>
      </c>
      <c r="Q99" t="s">
        <v>3817</v>
      </c>
      <c r="R99">
        <v>55567318</v>
      </c>
      <c r="S99" s="5">
        <v>-0.1174</v>
      </c>
      <c r="T99" t="s">
        <v>3818</v>
      </c>
      <c r="U99">
        <v>584153650</v>
      </c>
      <c r="V99">
        <v>584153650</v>
      </c>
      <c r="W99">
        <v>3.21</v>
      </c>
      <c r="X99">
        <v>0.03</v>
      </c>
      <c r="Y99">
        <v>21.78</v>
      </c>
      <c r="Z99" t="s">
        <v>145</v>
      </c>
      <c r="AA99" t="s">
        <v>110</v>
      </c>
      <c r="AB99" t="s">
        <v>28</v>
      </c>
      <c r="AC99" t="s">
        <v>3819</v>
      </c>
      <c r="AD99" t="s">
        <v>28</v>
      </c>
      <c r="AE99">
        <v>64079475</v>
      </c>
      <c r="AF99" t="s">
        <v>3820</v>
      </c>
      <c r="AG99">
        <v>0.6</v>
      </c>
      <c r="AH99" t="s">
        <v>3821</v>
      </c>
      <c r="AI99" t="s">
        <v>1564</v>
      </c>
      <c r="AJ99" t="s">
        <v>3822</v>
      </c>
      <c r="AK99" t="s">
        <v>28</v>
      </c>
      <c r="AL99" t="s">
        <v>3823</v>
      </c>
      <c r="AM99" t="s">
        <v>28</v>
      </c>
      <c r="AN99">
        <v>0</v>
      </c>
      <c r="AO99" t="s">
        <v>1803</v>
      </c>
      <c r="AP99" t="s">
        <v>28</v>
      </c>
      <c r="AQ99" t="s">
        <v>130</v>
      </c>
      <c r="AR99" t="s">
        <v>28</v>
      </c>
      <c r="AS99" t="s">
        <v>3824</v>
      </c>
      <c r="AT99" t="s">
        <v>3825</v>
      </c>
      <c r="AU99" t="s">
        <v>3826</v>
      </c>
      <c r="AV99" t="s">
        <v>3827</v>
      </c>
      <c r="AW99" t="s">
        <v>3828</v>
      </c>
      <c r="AX99" t="s">
        <v>3829</v>
      </c>
      <c r="AY99" t="s">
        <v>590</v>
      </c>
      <c r="AZ99" t="s">
        <v>746</v>
      </c>
      <c r="BA99" t="s">
        <v>526</v>
      </c>
      <c r="BB99" t="s">
        <v>453</v>
      </c>
      <c r="BC99" t="s">
        <v>308</v>
      </c>
      <c r="BD99" t="s">
        <v>214</v>
      </c>
      <c r="BE99" t="s">
        <v>454</v>
      </c>
      <c r="BF99" t="s">
        <v>217</v>
      </c>
      <c r="BG99" t="s">
        <v>869</v>
      </c>
      <c r="BH99" t="s">
        <v>509</v>
      </c>
      <c r="BI99" t="s">
        <v>446</v>
      </c>
      <c r="BJ99" t="s">
        <v>3829</v>
      </c>
      <c r="BK99" t="s">
        <v>1506</v>
      </c>
      <c r="BL99" t="s">
        <v>3830</v>
      </c>
      <c r="BM99" t="s">
        <v>308</v>
      </c>
      <c r="BN99">
        <v>4.0199999999999996</v>
      </c>
      <c r="BO99">
        <v>5.42</v>
      </c>
      <c r="BP99">
        <v>6.38</v>
      </c>
      <c r="BQ99">
        <v>6.69</v>
      </c>
      <c r="BR99">
        <v>9.7799999999999994</v>
      </c>
      <c r="BS99">
        <v>13.58</v>
      </c>
      <c r="BT99" t="s">
        <v>1244</v>
      </c>
      <c r="BU99" t="s">
        <v>1159</v>
      </c>
      <c r="BV99">
        <v>48.94</v>
      </c>
      <c r="BW99">
        <v>65.17</v>
      </c>
      <c r="BX99">
        <v>69.430000000000007</v>
      </c>
      <c r="BY99">
        <v>16.739999999999998</v>
      </c>
      <c r="BZ99">
        <v>28.21</v>
      </c>
      <c r="CA99">
        <v>39.99</v>
      </c>
      <c r="CB99">
        <v>2.88</v>
      </c>
      <c r="CC99">
        <v>-13.94</v>
      </c>
      <c r="CD99" t="s">
        <v>3831</v>
      </c>
      <c r="CE99" t="s">
        <v>106</v>
      </c>
      <c r="CF99" s="10">
        <v>-0.28301886792452829</v>
      </c>
      <c r="CG99" s="11">
        <v>0.6139918381573406</v>
      </c>
      <c r="CH99" s="10">
        <v>-0.16270945966243744</v>
      </c>
      <c r="CI99" s="10">
        <v>0.82420384883880615</v>
      </c>
      <c r="CJ99" s="10">
        <v>0.29966887831687927</v>
      </c>
      <c r="CK99" s="10">
        <v>0.23770491778850555</v>
      </c>
      <c r="CL99" s="10">
        <v>0.94422310590744019</v>
      </c>
      <c r="CM99" s="11">
        <v>-0.82747328281402588</v>
      </c>
      <c r="CN99" s="11">
        <v>-8.5808582603931427E-2</v>
      </c>
      <c r="CO99" s="11">
        <v>0.26778241991996765</v>
      </c>
      <c r="CP99" s="11">
        <v>0.35795453190803528</v>
      </c>
      <c r="CQ99" s="11">
        <v>1.3936198949813843</v>
      </c>
      <c r="CR99">
        <v>10.078483142851589</v>
      </c>
      <c r="CS99">
        <v>0.235138913220516</v>
      </c>
      <c r="CT99">
        <v>0</v>
      </c>
      <c r="CU99" s="10">
        <v>0.42861825823783872</v>
      </c>
      <c r="CV99" s="11">
        <v>0.22121499627828597</v>
      </c>
      <c r="CW99">
        <v>0.06</v>
      </c>
      <c r="CX99">
        <v>88.35930628927693</v>
      </c>
      <c r="CY99">
        <v>64408984.622038193</v>
      </c>
      <c r="CZ99">
        <v>0.42861825823783872</v>
      </c>
      <c r="DA99">
        <v>21.933375505777096</v>
      </c>
      <c r="DB99">
        <v>259473659.15022954</v>
      </c>
      <c r="DC99">
        <v>0.40718734532594675</v>
      </c>
      <c r="DD99">
        <v>7.1993417999834186</v>
      </c>
      <c r="DE99">
        <v>790507432.22291625</v>
      </c>
      <c r="DF99">
        <v>0.37718406724929809</v>
      </c>
      <c r="DG99">
        <v>2.5995960849426285</v>
      </c>
      <c r="DH99">
        <v>2189237486.917357</v>
      </c>
      <c r="DI99">
        <v>0.34289460659027099</v>
      </c>
      <c r="DJ99">
        <v>0.3772226252045161</v>
      </c>
      <c r="DK99">
        <v>15086934928.451015</v>
      </c>
      <c r="DL99">
        <v>0.30003278076648709</v>
      </c>
      <c r="DM99">
        <v>47789900</v>
      </c>
      <c r="DN99">
        <v>0.42861825823783872</v>
      </c>
      <c r="DO99">
        <v>5691133200</v>
      </c>
      <c r="DP99">
        <v>264684000</v>
      </c>
      <c r="DQ99">
        <v>4308</v>
      </c>
      <c r="DR99">
        <v>-0.71163712616236707</v>
      </c>
      <c r="DS99">
        <v>0.39277684187905459</v>
      </c>
      <c r="DT99" s="12">
        <v>0.14333333333333331</v>
      </c>
      <c r="DU99">
        <v>0.33666666666666667</v>
      </c>
      <c r="DV99">
        <v>0.48</v>
      </c>
      <c r="DW99">
        <v>6.1712247324613552</v>
      </c>
      <c r="DX99">
        <v>0.40492765957446664</v>
      </c>
      <c r="DY99">
        <v>6.0282396943861158</v>
      </c>
      <c r="DZ99">
        <v>1056</v>
      </c>
      <c r="EA99">
        <v>6.0224038593035836</v>
      </c>
      <c r="EB99">
        <v>6</v>
      </c>
      <c r="EC99">
        <v>3.9809389190669273E-2</v>
      </c>
      <c r="ED99">
        <v>0.24137485060651423</v>
      </c>
      <c r="EE99" s="15">
        <v>1.1167</v>
      </c>
      <c r="EF99">
        <v>1.0991</v>
      </c>
      <c r="EG99">
        <v>24.164927659574467</v>
      </c>
      <c r="EH99" t="s">
        <v>1175</v>
      </c>
      <c r="EI99">
        <v>0</v>
      </c>
      <c r="EJ99">
        <v>1</v>
      </c>
      <c r="EK99" s="14">
        <v>45470</v>
      </c>
      <c r="EL99" s="16">
        <v>-0.71</v>
      </c>
      <c r="EM99" s="16">
        <v>-3.57</v>
      </c>
      <c r="EN99" s="16">
        <v>2.1</v>
      </c>
      <c r="EO99" s="16">
        <v>2.78</v>
      </c>
      <c r="EP99" s="16">
        <v>-1.76</v>
      </c>
    </row>
    <row r="100" spans="1:146" ht="108" x14ac:dyDescent="0.25">
      <c r="A100" s="7"/>
      <c r="B100" s="7"/>
      <c r="C100" s="7" t="str">
        <f>""&amp;CHAR(10)&amp;Basic_Fundamental_Information_Constructure(F100)&amp;CHAR(10)&amp;Basic_Fundamental_Information_Concatenate("")</f>
        <v xml:space="preserve">
市值25.70262亿, 利润-3.04亿; PE16.34; 平均PE42.02; 平均PEG.57, PB.966; ROIC4.5967%; ROE6.5467%; 股利率1.1435%; 毛利39.5433%; 净利13.7967%; 上一年度营收增285.45%, 利润增-305.41%; 当季营收增-73.32%, 利润增155.21%; 过往5年营收增74.33%, 利润增-56.12%
Income profile:
</v>
      </c>
      <c r="D100" t="s">
        <v>870</v>
      </c>
      <c r="E100" t="s">
        <v>871</v>
      </c>
      <c r="F100">
        <v>4.8099999999999996</v>
      </c>
      <c r="G100">
        <v>0.84</v>
      </c>
      <c r="H100" t="s">
        <v>3832</v>
      </c>
      <c r="I100">
        <v>2570262000</v>
      </c>
      <c r="J100">
        <v>16.34</v>
      </c>
      <c r="K100">
        <v>0.96599999999999997</v>
      </c>
      <c r="L100" t="s">
        <v>1747</v>
      </c>
      <c r="M100" t="s">
        <v>1309</v>
      </c>
      <c r="N100" t="s">
        <v>3833</v>
      </c>
      <c r="O100" t="s">
        <v>627</v>
      </c>
      <c r="P100">
        <v>0.83</v>
      </c>
      <c r="Q100" t="s">
        <v>3834</v>
      </c>
      <c r="R100">
        <v>53061305</v>
      </c>
      <c r="S100" s="5">
        <v>0.32219999999999999</v>
      </c>
      <c r="T100" t="s">
        <v>3835</v>
      </c>
      <c r="U100">
        <v>534358010</v>
      </c>
      <c r="V100">
        <v>534358010</v>
      </c>
      <c r="W100">
        <v>2.37</v>
      </c>
      <c r="X100">
        <v>0.04</v>
      </c>
      <c r="Y100">
        <v>19.04</v>
      </c>
      <c r="Z100" t="s">
        <v>682</v>
      </c>
      <c r="AA100" t="s">
        <v>324</v>
      </c>
      <c r="AB100" t="s">
        <v>3836</v>
      </c>
      <c r="AC100" t="s">
        <v>3837</v>
      </c>
      <c r="AD100" t="s">
        <v>28</v>
      </c>
      <c r="AE100">
        <v>23543130</v>
      </c>
      <c r="AF100" t="s">
        <v>3838</v>
      </c>
      <c r="AG100" t="s">
        <v>3839</v>
      </c>
      <c r="AH100" t="s">
        <v>3840</v>
      </c>
      <c r="AI100" t="s">
        <v>3199</v>
      </c>
      <c r="AJ100" t="s">
        <v>3841</v>
      </c>
      <c r="AK100" t="s">
        <v>3842</v>
      </c>
      <c r="AL100" t="s">
        <v>3843</v>
      </c>
      <c r="AM100" t="s">
        <v>28</v>
      </c>
      <c r="AN100" t="s">
        <v>3844</v>
      </c>
      <c r="AO100" t="s">
        <v>1742</v>
      </c>
      <c r="AP100" t="s">
        <v>3845</v>
      </c>
      <c r="AQ100" t="s">
        <v>1323</v>
      </c>
      <c r="AR100" t="s">
        <v>3846</v>
      </c>
      <c r="AS100" t="s">
        <v>372</v>
      </c>
      <c r="AT100" t="s">
        <v>489</v>
      </c>
      <c r="AU100" t="s">
        <v>3847</v>
      </c>
      <c r="AV100" t="s">
        <v>3848</v>
      </c>
      <c r="AW100" t="s">
        <v>2502</v>
      </c>
      <c r="AX100" t="s">
        <v>1437</v>
      </c>
      <c r="AY100" t="s">
        <v>588</v>
      </c>
      <c r="AZ100" t="s">
        <v>646</v>
      </c>
      <c r="BA100" t="s">
        <v>141</v>
      </c>
      <c r="BB100" t="s">
        <v>339</v>
      </c>
      <c r="BC100" t="s">
        <v>477</v>
      </c>
      <c r="BD100" t="s">
        <v>103</v>
      </c>
      <c r="BE100" t="s">
        <v>355</v>
      </c>
      <c r="BF100" t="s">
        <v>355</v>
      </c>
      <c r="BG100" t="s">
        <v>411</v>
      </c>
      <c r="BH100" t="s">
        <v>1431</v>
      </c>
      <c r="BI100" t="s">
        <v>1504</v>
      </c>
      <c r="BJ100" t="s">
        <v>1437</v>
      </c>
      <c r="BK100" t="s">
        <v>213</v>
      </c>
      <c r="BL100" t="s">
        <v>3849</v>
      </c>
      <c r="BM100" t="s">
        <v>477</v>
      </c>
      <c r="BN100">
        <v>3.76</v>
      </c>
      <c r="BO100">
        <v>4.8</v>
      </c>
      <c r="BP100">
        <v>5.23</v>
      </c>
      <c r="BQ100">
        <v>5.24</v>
      </c>
      <c r="BR100">
        <v>6.59</v>
      </c>
      <c r="BS100">
        <v>7.81</v>
      </c>
      <c r="BT100" t="s">
        <v>1248</v>
      </c>
      <c r="BU100" t="s">
        <v>1159</v>
      </c>
      <c r="BV100">
        <v>36.31</v>
      </c>
      <c r="BW100">
        <v>39.79</v>
      </c>
      <c r="BX100">
        <v>42.53</v>
      </c>
      <c r="BY100">
        <v>12.59</v>
      </c>
      <c r="BZ100">
        <v>13.45</v>
      </c>
      <c r="CA100">
        <v>15.35</v>
      </c>
      <c r="CB100">
        <v>1.05</v>
      </c>
      <c r="CC100">
        <v>-10.51</v>
      </c>
      <c r="CD100" t="s">
        <v>3850</v>
      </c>
      <c r="CE100" t="s">
        <v>620</v>
      </c>
      <c r="CF100" s="10">
        <v>-0.73319544984488105</v>
      </c>
      <c r="CG100" s="11">
        <v>1.5520537120693492</v>
      </c>
      <c r="CH100" s="10">
        <v>2.8545455932617187</v>
      </c>
      <c r="CI100" s="10">
        <v>0.17415730655193329</v>
      </c>
      <c r="CJ100" s="10">
        <v>0.21418826282024384</v>
      </c>
      <c r="CK100" s="10">
        <v>0.14352573454380035</v>
      </c>
      <c r="CL100" s="10">
        <v>0.32987552881240845</v>
      </c>
      <c r="CM100" s="11">
        <v>-3.0540540218353271</v>
      </c>
      <c r="CN100" s="11">
        <v>1.3698630034923553E-2</v>
      </c>
      <c r="CO100" s="11">
        <v>0.12307692319154739</v>
      </c>
      <c r="CP100" s="11">
        <v>0</v>
      </c>
      <c r="CQ100" s="11">
        <v>0.1111111119389534</v>
      </c>
      <c r="CR100">
        <v>42.020632152588554</v>
      </c>
      <c r="CS100">
        <v>0.56535691134953281</v>
      </c>
      <c r="CT100">
        <v>1.1434511434511436</v>
      </c>
      <c r="CU100" s="10">
        <v>0.74325848519802096</v>
      </c>
      <c r="CV100" s="11">
        <v>-0.5612334713339806</v>
      </c>
      <c r="CW100">
        <v>0.06</v>
      </c>
      <c r="CX100" t="e">
        <v>#VALUE!</v>
      </c>
      <c r="CY100" t="s">
        <v>1158</v>
      </c>
      <c r="CZ100">
        <v>0.74325848519802096</v>
      </c>
      <c r="DA100" t="e">
        <v>#VALUE!</v>
      </c>
      <c r="DB100" t="s">
        <v>1158</v>
      </c>
      <c r="DC100">
        <v>0.70609556093811987</v>
      </c>
      <c r="DD100" t="e">
        <v>#VALUE!</v>
      </c>
      <c r="DE100" t="s">
        <v>1158</v>
      </c>
      <c r="DF100">
        <v>0.65406746697425844</v>
      </c>
      <c r="DG100" t="e">
        <v>#VALUE!</v>
      </c>
      <c r="DH100" t="s">
        <v>1158</v>
      </c>
      <c r="DI100">
        <v>0.59460678815841683</v>
      </c>
      <c r="DJ100" t="e">
        <v>#VALUE!</v>
      </c>
      <c r="DK100" t="s">
        <v>1158</v>
      </c>
      <c r="DL100">
        <v>0.52028093963861466</v>
      </c>
      <c r="DM100">
        <v>-304000000</v>
      </c>
      <c r="DN100">
        <v>0.74325848519802096</v>
      </c>
      <c r="DO100">
        <v>3079262000</v>
      </c>
      <c r="DP100">
        <v>981123800</v>
      </c>
      <c r="DQ100">
        <v>4322</v>
      </c>
      <c r="DR100">
        <v>-1.476453935042902</v>
      </c>
      <c r="DS100">
        <v>2.1132871834033295</v>
      </c>
      <c r="DT100" s="12">
        <v>0.24333333333333326</v>
      </c>
      <c r="DU100">
        <v>-0.53</v>
      </c>
      <c r="DV100">
        <v>-0.28666666666666674</v>
      </c>
      <c r="DW100">
        <v>-2.1051000000000002</v>
      </c>
      <c r="DX100">
        <v>0.36189274193548226</v>
      </c>
      <c r="DY100">
        <v>-2.0149129271774195</v>
      </c>
      <c r="DZ100">
        <v>4022</v>
      </c>
      <c r="EA100">
        <v>-2.003175198584938</v>
      </c>
      <c r="EB100">
        <v>2</v>
      </c>
      <c r="EC100">
        <v>3.2926801265690767E-2</v>
      </c>
      <c r="ED100">
        <v>0.23205416159102771</v>
      </c>
      <c r="EE100" s="15">
        <v>-3.0157099999999999</v>
      </c>
      <c r="EF100">
        <v>-3.0398100000000001</v>
      </c>
      <c r="EG100">
        <v>22.141892741935482</v>
      </c>
      <c r="EH100" t="s">
        <v>2246</v>
      </c>
      <c r="EI100">
        <v>0</v>
      </c>
      <c r="EJ100">
        <v>0</v>
      </c>
      <c r="EK100" s="14">
        <v>45470</v>
      </c>
      <c r="EL100" s="16">
        <v>-2.0299999999999998</v>
      </c>
      <c r="EM100" s="16">
        <v>-4.5</v>
      </c>
      <c r="EN100" s="16">
        <v>2.17</v>
      </c>
      <c r="EO100" s="16">
        <v>3.19</v>
      </c>
      <c r="EP100" s="16">
        <v>-2.41</v>
      </c>
    </row>
    <row r="101" spans="1:146" ht="108" x14ac:dyDescent="0.25">
      <c r="A101" s="7"/>
      <c r="B101" s="7"/>
      <c r="C101" s="7" t="str">
        <f>""&amp;CHAR(10)&amp;Basic_Fundamental_Information_Constructure(F101)&amp;CHAR(10)&amp;Basic_Fundamental_Information_Concatenate("")</f>
        <v xml:space="preserve">
市值17.719172亿, 利润-12.33亿; PE9.88; 平均PE-17.5; 平均PEG-.16, PB.987; ROIC6.67%; ROE9.0967%; 股利率2.7666%; 毛利33.4033%; 净利10.9467%; 上一年度营收增508.29%, 利润增-1127.5%; 当季营收增-90.07%, 利润增108.46%; 过往5年营收增109.45%, 利润增-218.27%
Income profile:
</v>
      </c>
      <c r="D101" t="s">
        <v>872</v>
      </c>
      <c r="E101" t="s">
        <v>873</v>
      </c>
      <c r="F101">
        <v>6.94</v>
      </c>
      <c r="G101">
        <v>1.17</v>
      </c>
      <c r="H101" t="s">
        <v>3851</v>
      </c>
      <c r="I101">
        <v>1771917200</v>
      </c>
      <c r="J101">
        <v>9.8800000000000008</v>
      </c>
      <c r="K101">
        <v>0.98699999999999999</v>
      </c>
      <c r="L101" t="s">
        <v>1747</v>
      </c>
      <c r="M101" t="s">
        <v>3852</v>
      </c>
      <c r="N101" t="s">
        <v>2969</v>
      </c>
      <c r="O101" t="s">
        <v>682</v>
      </c>
      <c r="P101">
        <v>14.32</v>
      </c>
      <c r="Q101" t="s">
        <v>3853</v>
      </c>
      <c r="R101">
        <v>18876079</v>
      </c>
      <c r="S101" s="5">
        <v>5.43</v>
      </c>
      <c r="T101" t="s">
        <v>3854</v>
      </c>
      <c r="U101">
        <v>202303750</v>
      </c>
      <c r="V101">
        <v>255319480</v>
      </c>
      <c r="W101">
        <v>2.5299999999999998</v>
      </c>
      <c r="X101">
        <v>0.04</v>
      </c>
      <c r="Y101">
        <v>8.65</v>
      </c>
      <c r="Z101" t="s">
        <v>682</v>
      </c>
      <c r="AA101" t="s">
        <v>90</v>
      </c>
      <c r="AB101" t="s">
        <v>3855</v>
      </c>
      <c r="AC101" t="s">
        <v>3856</v>
      </c>
      <c r="AD101" t="s">
        <v>28</v>
      </c>
      <c r="AE101">
        <v>19723720</v>
      </c>
      <c r="AF101" t="s">
        <v>3857</v>
      </c>
      <c r="AG101" t="s">
        <v>3858</v>
      </c>
      <c r="AH101" t="s">
        <v>3859</v>
      </c>
      <c r="AI101" t="s">
        <v>787</v>
      </c>
      <c r="AJ101" t="s">
        <v>3860</v>
      </c>
      <c r="AK101" t="s">
        <v>3861</v>
      </c>
      <c r="AL101" t="s">
        <v>3862</v>
      </c>
      <c r="AM101" t="s">
        <v>28</v>
      </c>
      <c r="AN101" t="s">
        <v>3863</v>
      </c>
      <c r="AO101" t="s">
        <v>3864</v>
      </c>
      <c r="AP101" t="s">
        <v>3865</v>
      </c>
      <c r="AQ101" t="s">
        <v>731</v>
      </c>
      <c r="AR101" t="s">
        <v>28</v>
      </c>
      <c r="AS101" t="s">
        <v>3866</v>
      </c>
      <c r="AT101" t="s">
        <v>3867</v>
      </c>
      <c r="AU101" t="s">
        <v>3868</v>
      </c>
      <c r="AV101" t="s">
        <v>3869</v>
      </c>
      <c r="AW101" t="s">
        <v>3870</v>
      </c>
      <c r="AX101" t="s">
        <v>1221</v>
      </c>
      <c r="AY101" t="s">
        <v>936</v>
      </c>
      <c r="AZ101" t="s">
        <v>390</v>
      </c>
      <c r="BA101" t="s">
        <v>874</v>
      </c>
      <c r="BB101" t="s">
        <v>401</v>
      </c>
      <c r="BC101" t="s">
        <v>100</v>
      </c>
      <c r="BD101" t="s">
        <v>315</v>
      </c>
      <c r="BE101" t="s">
        <v>58</v>
      </c>
      <c r="BF101" t="s">
        <v>237</v>
      </c>
      <c r="BG101" t="s">
        <v>875</v>
      </c>
      <c r="BH101" t="s">
        <v>3871</v>
      </c>
      <c r="BI101" t="s">
        <v>1709</v>
      </c>
      <c r="BJ101" t="s">
        <v>1221</v>
      </c>
      <c r="BK101" t="s">
        <v>250</v>
      </c>
      <c r="BL101" t="s">
        <v>3872</v>
      </c>
      <c r="BM101" t="s">
        <v>100</v>
      </c>
      <c r="BN101">
        <v>4.1500000000000004</v>
      </c>
      <c r="BO101">
        <v>6.09</v>
      </c>
      <c r="BP101">
        <v>9.77</v>
      </c>
      <c r="BQ101">
        <v>5.13</v>
      </c>
      <c r="BR101">
        <v>7.66</v>
      </c>
      <c r="BS101">
        <v>14.5</v>
      </c>
      <c r="BT101" t="s">
        <v>3873</v>
      </c>
      <c r="BU101" t="s">
        <v>1159</v>
      </c>
      <c r="BV101">
        <v>33.229999999999997</v>
      </c>
      <c r="BW101">
        <v>32.54</v>
      </c>
      <c r="BX101">
        <v>34.44</v>
      </c>
      <c r="BY101">
        <v>10.93</v>
      </c>
      <c r="BZ101">
        <v>9.0299999999999994</v>
      </c>
      <c r="CA101">
        <v>12.88</v>
      </c>
      <c r="CB101">
        <v>-1</v>
      </c>
      <c r="CC101">
        <v>-12.13</v>
      </c>
      <c r="CD101" t="s">
        <v>3874</v>
      </c>
      <c r="CE101" t="s">
        <v>3875</v>
      </c>
      <c r="CF101" s="10">
        <v>-0.90067178502879075</v>
      </c>
      <c r="CG101" s="11">
        <v>1.0846460941704037</v>
      </c>
      <c r="CH101" s="10">
        <v>5.0829267501831055</v>
      </c>
      <c r="CI101" s="10">
        <v>-1.846780814230442E-2</v>
      </c>
      <c r="CJ101" s="10">
        <v>-0.1003076583147049</v>
      </c>
      <c r="CK101" s="10">
        <v>0.21540763974189758</v>
      </c>
      <c r="CL101" s="10">
        <v>0.29303669929504395</v>
      </c>
      <c r="CM101" s="11">
        <v>-11.274999618530273</v>
      </c>
      <c r="CN101" s="11">
        <v>-0.26829269528388977</v>
      </c>
      <c r="CO101" s="11">
        <v>0.18840579688549042</v>
      </c>
      <c r="CP101" s="11">
        <v>0.24324324727058411</v>
      </c>
      <c r="CQ101" s="11">
        <v>0.19821497797966003</v>
      </c>
      <c r="CR101">
        <v>-17.50438733263282</v>
      </c>
      <c r="CS101">
        <v>-0.15992765169624482</v>
      </c>
      <c r="CT101">
        <v>2.7665706051873196</v>
      </c>
      <c r="CU101" s="10">
        <v>1.0945191245526076</v>
      </c>
      <c r="CV101" s="11">
        <v>-2.1826856583356857</v>
      </c>
      <c r="CW101">
        <v>0.06</v>
      </c>
      <c r="CX101" t="e">
        <v>#VALUE!</v>
      </c>
      <c r="CY101" t="s">
        <v>1158</v>
      </c>
      <c r="CZ101">
        <v>1.0945191245526076</v>
      </c>
      <c r="DA101" t="e">
        <v>#VALUE!</v>
      </c>
      <c r="DB101" t="s">
        <v>1158</v>
      </c>
      <c r="DC101">
        <v>1.0397931683249773</v>
      </c>
      <c r="DD101" t="e">
        <v>#VALUE!</v>
      </c>
      <c r="DE101" t="s">
        <v>1158</v>
      </c>
      <c r="DF101">
        <v>0.96317682960629469</v>
      </c>
      <c r="DG101" t="e">
        <v>#VALUE!</v>
      </c>
      <c r="DH101" t="s">
        <v>1158</v>
      </c>
      <c r="DI101">
        <v>0.87561529964208606</v>
      </c>
      <c r="DJ101" t="e">
        <v>#VALUE!</v>
      </c>
      <c r="DK101" t="s">
        <v>1158</v>
      </c>
      <c r="DL101">
        <v>0.76616338718682531</v>
      </c>
      <c r="DM101">
        <v>-1233000000</v>
      </c>
      <c r="DN101">
        <v>1.0945191245526076</v>
      </c>
      <c r="DO101">
        <v>2816917200</v>
      </c>
      <c r="DP101">
        <v>730974500</v>
      </c>
      <c r="DQ101">
        <v>4371</v>
      </c>
      <c r="DR101">
        <v>-1.9951909095813982</v>
      </c>
      <c r="DS101">
        <v>3.2673317525060894</v>
      </c>
      <c r="DT101" s="12">
        <v>7.6666666666666591E-2</v>
      </c>
      <c r="DU101">
        <v>-0.9900000000000001</v>
      </c>
      <c r="DV101">
        <v>-0.91333333333333355</v>
      </c>
      <c r="DW101">
        <v>-2.1213000000000002</v>
      </c>
      <c r="DX101">
        <v>0.39003946954306357</v>
      </c>
      <c r="DY101">
        <v>-2.0181997876555733</v>
      </c>
      <c r="DZ101">
        <v>2744</v>
      </c>
      <c r="EA101">
        <v>-2.0084267509966902</v>
      </c>
      <c r="EB101">
        <v>2</v>
      </c>
      <c r="EC101">
        <v>4.3856426466167019E-2</v>
      </c>
      <c r="ED101">
        <v>0.29229927931860117</v>
      </c>
      <c r="EE101" s="15">
        <v>-4.0882100000000001</v>
      </c>
      <c r="EF101">
        <v>-4.1189099999999996</v>
      </c>
      <c r="EG101">
        <v>24.150039469543064</v>
      </c>
      <c r="EH101" t="s">
        <v>1740</v>
      </c>
      <c r="EI101">
        <v>0</v>
      </c>
      <c r="EJ101">
        <v>0</v>
      </c>
      <c r="EK101" s="14">
        <v>45470</v>
      </c>
      <c r="EL101" s="16">
        <v>-2.52</v>
      </c>
      <c r="EM101" s="16">
        <v>-4.4400000000000004</v>
      </c>
      <c r="EN101" s="16">
        <v>-0.26</v>
      </c>
      <c r="EO101" s="16">
        <v>5.3</v>
      </c>
      <c r="EP101" s="16">
        <v>-3.07</v>
      </c>
    </row>
    <row r="102" spans="1:146" ht="108" x14ac:dyDescent="0.25">
      <c r="A102" s="7"/>
      <c r="B102" s="7"/>
      <c r="C102" s="7" t="str">
        <f>""&amp;CHAR(10)&amp;Basic_Fundamental_Information_Constructure(F102)&amp;CHAR(10)&amp;Basic_Fundamental_Information_Concatenate("")</f>
        <v xml:space="preserve">
市值12.8288853亿, 利润3.71亿; PE; 平均PE15.76; 平均PEG.13, PB1.19; ROIC4.33%; ROE-8.6533%; 股利率0%; 毛利15.5467%; 净利-117.0067%; 上一年度营收增695.14%, 利润增209.44%; 当季营收增-88.2%, 利润增-61.44%; 过往5年营收增122.89%, 利润增-44.74%
Income profile:
</v>
      </c>
      <c r="D102" t="s">
        <v>876</v>
      </c>
      <c r="E102" t="s">
        <v>877</v>
      </c>
      <c r="F102">
        <v>6.06</v>
      </c>
      <c r="G102">
        <v>1.68</v>
      </c>
      <c r="H102" t="s">
        <v>3876</v>
      </c>
      <c r="I102">
        <v>1282888530</v>
      </c>
      <c r="K102">
        <v>1.19</v>
      </c>
      <c r="L102" t="s">
        <v>1747</v>
      </c>
      <c r="M102" t="s">
        <v>3877</v>
      </c>
      <c r="N102" t="s">
        <v>3878</v>
      </c>
      <c r="O102" t="s">
        <v>3879</v>
      </c>
      <c r="P102">
        <v>-13.66</v>
      </c>
      <c r="Q102" t="s">
        <v>3880</v>
      </c>
      <c r="R102">
        <v>34719199</v>
      </c>
      <c r="S102" s="5">
        <v>2.7250000000000001</v>
      </c>
      <c r="T102" t="s">
        <v>446</v>
      </c>
      <c r="U102">
        <v>84161278</v>
      </c>
      <c r="V102">
        <v>211697780</v>
      </c>
      <c r="W102">
        <v>2.92</v>
      </c>
      <c r="X102">
        <v>0.02</v>
      </c>
      <c r="Y102">
        <v>47.02</v>
      </c>
      <c r="Z102" t="s">
        <v>3881</v>
      </c>
      <c r="AA102" t="s">
        <v>3882</v>
      </c>
      <c r="AB102" t="s">
        <v>3883</v>
      </c>
      <c r="AC102" t="s">
        <v>3884</v>
      </c>
      <c r="AD102" t="s">
        <v>28</v>
      </c>
      <c r="AE102">
        <v>-502609</v>
      </c>
      <c r="AF102" t="s">
        <v>67</v>
      </c>
      <c r="AG102">
        <v>300</v>
      </c>
      <c r="AH102" t="s">
        <v>3885</v>
      </c>
      <c r="AI102" t="s">
        <v>3886</v>
      </c>
      <c r="AJ102" t="s">
        <v>3887</v>
      </c>
      <c r="AK102" t="s">
        <v>28</v>
      </c>
      <c r="AL102" t="s">
        <v>3888</v>
      </c>
      <c r="AM102" t="s">
        <v>28</v>
      </c>
      <c r="AN102">
        <v>0</v>
      </c>
      <c r="AO102" t="s">
        <v>227</v>
      </c>
      <c r="AP102" t="s">
        <v>28</v>
      </c>
      <c r="AQ102" t="s">
        <v>1541</v>
      </c>
      <c r="AR102" t="s">
        <v>28</v>
      </c>
      <c r="AS102" t="s">
        <v>3889</v>
      </c>
      <c r="AT102" t="s">
        <v>160</v>
      </c>
      <c r="AU102" t="s">
        <v>3890</v>
      </c>
      <c r="AV102">
        <v>-9706.73</v>
      </c>
      <c r="AW102" t="s">
        <v>3891</v>
      </c>
      <c r="AX102" t="s">
        <v>406</v>
      </c>
      <c r="AY102" t="s">
        <v>631</v>
      </c>
      <c r="AZ102" t="s">
        <v>878</v>
      </c>
      <c r="BA102" t="s">
        <v>879</v>
      </c>
      <c r="BB102" t="s">
        <v>741</v>
      </c>
      <c r="BC102" t="s">
        <v>1439</v>
      </c>
      <c r="BD102" t="s">
        <v>152</v>
      </c>
      <c r="BE102" t="s">
        <v>237</v>
      </c>
      <c r="BF102" t="s">
        <v>1052</v>
      </c>
      <c r="BG102" t="s">
        <v>109</v>
      </c>
      <c r="BH102" t="s">
        <v>250</v>
      </c>
      <c r="BI102" t="s">
        <v>1590</v>
      </c>
      <c r="BJ102" t="s">
        <v>406</v>
      </c>
      <c r="BK102" t="s">
        <v>3892</v>
      </c>
      <c r="BL102" t="s">
        <v>3893</v>
      </c>
      <c r="BM102" t="s">
        <v>1439</v>
      </c>
      <c r="BN102" t="s">
        <v>28</v>
      </c>
      <c r="BO102" t="s">
        <v>28</v>
      </c>
      <c r="BP102">
        <v>4.33</v>
      </c>
      <c r="BQ102">
        <v>-13.1</v>
      </c>
      <c r="BR102">
        <v>-20.32</v>
      </c>
      <c r="BS102">
        <v>7.46</v>
      </c>
      <c r="BT102" t="s">
        <v>1244</v>
      </c>
      <c r="BU102" t="s">
        <v>1153</v>
      </c>
      <c r="BV102">
        <v>-21.39</v>
      </c>
      <c r="BW102">
        <v>28.13</v>
      </c>
      <c r="BX102">
        <v>39.9</v>
      </c>
      <c r="BY102">
        <v>-264.32</v>
      </c>
      <c r="BZ102">
        <v>-96.76</v>
      </c>
      <c r="CA102">
        <v>10.06</v>
      </c>
      <c r="CB102">
        <v>-1.3</v>
      </c>
      <c r="CC102">
        <v>-16.989999999999998</v>
      </c>
      <c r="CD102" t="s">
        <v>3894</v>
      </c>
      <c r="CE102" t="s">
        <v>411</v>
      </c>
      <c r="CF102" s="10">
        <v>-0.88197046153846159</v>
      </c>
      <c r="CG102" s="11">
        <v>-0.61437337559922345</v>
      </c>
      <c r="CH102" s="10">
        <v>6.9514284133911133</v>
      </c>
      <c r="CI102" s="10">
        <v>-0.69135802984237671</v>
      </c>
      <c r="CJ102" s="10">
        <v>6.7796610295772552E-2</v>
      </c>
      <c r="CK102" s="10">
        <v>3.8123168051242828E-2</v>
      </c>
      <c r="CL102" s="10">
        <v>-0.22146119177341461</v>
      </c>
      <c r="CM102" s="11">
        <v>2.0943953990936279</v>
      </c>
      <c r="CN102" s="11">
        <v>-4.1388888359069824</v>
      </c>
      <c r="CO102" s="11">
        <v>-2.7027027681469917E-2</v>
      </c>
      <c r="CP102" s="11">
        <v>0.16166383028030396</v>
      </c>
      <c r="CQ102" s="11">
        <v>-0.32709437608718872</v>
      </c>
      <c r="CR102">
        <v>15.755378602017471</v>
      </c>
      <c r="CS102">
        <v>0.12820656130541266</v>
      </c>
      <c r="CT102">
        <v>0</v>
      </c>
      <c r="CU102" s="10">
        <v>1.2289057940244674</v>
      </c>
      <c r="CV102" s="11">
        <v>-0.44739020206034186</v>
      </c>
      <c r="CW102">
        <v>0.06</v>
      </c>
      <c r="CX102">
        <v>3.1468208514578579</v>
      </c>
      <c r="CY102">
        <v>780117027.90856373</v>
      </c>
      <c r="CZ102">
        <v>1.2289057940244674</v>
      </c>
      <c r="DA102">
        <v>0.44783918860599442</v>
      </c>
      <c r="DB102">
        <v>5481629550.1995306</v>
      </c>
      <c r="DC102">
        <v>1.167460504323244</v>
      </c>
      <c r="DD102">
        <v>5.7650689192529012E-2</v>
      </c>
      <c r="DE102">
        <v>42582119388.056343</v>
      </c>
      <c r="DF102">
        <v>1.0814370987415314</v>
      </c>
      <c r="DG102">
        <v>5.8742744586362519E-3</v>
      </c>
      <c r="DH102">
        <v>417904976569.63702</v>
      </c>
      <c r="DI102">
        <v>0.98312463521957394</v>
      </c>
      <c r="DJ102">
        <v>3.7074768743425272E-5</v>
      </c>
      <c r="DK102">
        <v>66214533851552.141</v>
      </c>
      <c r="DL102">
        <v>0.8602340558171272</v>
      </c>
      <c r="DM102">
        <v>371000000</v>
      </c>
      <c r="DN102">
        <v>1.2289057940244674</v>
      </c>
      <c r="DO102">
        <v>2454888530</v>
      </c>
      <c r="DP102">
        <v>207600200</v>
      </c>
      <c r="DQ102">
        <v>4447</v>
      </c>
      <c r="DR102">
        <v>-2.1108762555629292</v>
      </c>
      <c r="DS102">
        <v>-0.16698317353888159</v>
      </c>
      <c r="DT102" s="12">
        <v>-0.54</v>
      </c>
      <c r="DU102">
        <v>-0.62</v>
      </c>
      <c r="DV102">
        <v>-1.1600000000000001</v>
      </c>
      <c r="DW102">
        <v>-3.0111964285714286</v>
      </c>
      <c r="DX102">
        <v>0.33541965811965696</v>
      </c>
      <c r="DY102">
        <v>-3.0016281808150183</v>
      </c>
      <c r="DZ102">
        <v>1060</v>
      </c>
      <c r="EA102">
        <v>-3.0012904368494762</v>
      </c>
      <c r="EB102">
        <v>3</v>
      </c>
      <c r="EC102">
        <v>8.0369761081103455E-2</v>
      </c>
      <c r="ED102">
        <v>0.55267466668757703</v>
      </c>
      <c r="EE102" s="15">
        <v>-2.0146099999999998</v>
      </c>
      <c r="EF102">
        <v>-2.02061</v>
      </c>
      <c r="EG102">
        <v>19.145419658119657</v>
      </c>
      <c r="EH102" t="s">
        <v>1268</v>
      </c>
      <c r="EI102">
        <v>0</v>
      </c>
      <c r="EJ102">
        <v>1</v>
      </c>
      <c r="EK102" s="14">
        <v>45470</v>
      </c>
      <c r="EL102" s="16">
        <v>0.2</v>
      </c>
      <c r="EM102" s="16">
        <v>-4.1100000000000003</v>
      </c>
      <c r="EN102" s="16">
        <v>0</v>
      </c>
      <c r="EO102" s="16">
        <v>2.52</v>
      </c>
      <c r="EP102" s="16">
        <v>-0.6</v>
      </c>
    </row>
    <row r="103" spans="1:146" ht="108" x14ac:dyDescent="0.25">
      <c r="A103" s="7"/>
      <c r="B103" s="7"/>
      <c r="C103" s="7" t="str">
        <f>""&amp;CHAR(10)&amp;Basic_Fundamental_Information_Constructure(F103)&amp;CHAR(10)&amp;Basic_Fundamental_Information_Concatenate("")</f>
        <v xml:space="preserve">
市值14.529599亿, 利润1.16亿; PE; 平均PE19.33; 平均PEG1.83, PB1.11; ROIC5.58%; ROE-2.5467%; 股利率0%; 毛利37.7067%; 净利-71.72%; 上一年度营收增53.66%, 利润增172.5%; 当季营收增-39.8%, 利润增-76.17%; 过往5年营收增10.59%, 利润增-14.49%
Income profile:
</v>
      </c>
      <c r="D103" t="s">
        <v>621</v>
      </c>
      <c r="E103" t="s">
        <v>622</v>
      </c>
      <c r="F103">
        <v>12.83</v>
      </c>
      <c r="G103">
        <v>2.15</v>
      </c>
      <c r="H103" t="s">
        <v>3895</v>
      </c>
      <c r="I103">
        <v>1452959900</v>
      </c>
      <c r="K103">
        <v>1.1100000000000001</v>
      </c>
      <c r="L103" t="s">
        <v>1747</v>
      </c>
      <c r="M103" t="s">
        <v>802</v>
      </c>
      <c r="N103" t="s">
        <v>471</v>
      </c>
      <c r="O103" t="s">
        <v>3896</v>
      </c>
      <c r="P103">
        <v>-16.61</v>
      </c>
      <c r="Q103" t="s">
        <v>499</v>
      </c>
      <c r="R103">
        <v>5296316</v>
      </c>
      <c r="S103" s="5">
        <v>1.8540000000000001</v>
      </c>
      <c r="T103" t="s">
        <v>532</v>
      </c>
      <c r="U103">
        <v>86578293</v>
      </c>
      <c r="V103">
        <v>113247072</v>
      </c>
      <c r="W103">
        <v>1.24</v>
      </c>
      <c r="X103">
        <v>0.02</v>
      </c>
      <c r="Y103">
        <v>13.7</v>
      </c>
      <c r="Z103" t="s">
        <v>3897</v>
      </c>
      <c r="AA103" t="s">
        <v>3898</v>
      </c>
      <c r="AB103" t="s">
        <v>3899</v>
      </c>
      <c r="AC103" t="s">
        <v>3900</v>
      </c>
      <c r="AD103" t="s">
        <v>28</v>
      </c>
      <c r="AE103">
        <v>-317590</v>
      </c>
      <c r="AF103" t="s">
        <v>67</v>
      </c>
      <c r="AG103" t="s">
        <v>3901</v>
      </c>
      <c r="AH103" t="s">
        <v>3902</v>
      </c>
      <c r="AI103" t="s">
        <v>302</v>
      </c>
      <c r="AJ103" t="s">
        <v>3903</v>
      </c>
      <c r="AK103" t="s">
        <v>28</v>
      </c>
      <c r="AL103" t="s">
        <v>3904</v>
      </c>
      <c r="AM103" t="s">
        <v>28</v>
      </c>
      <c r="AN103" t="s">
        <v>3905</v>
      </c>
      <c r="AO103" t="s">
        <v>28</v>
      </c>
      <c r="AP103" t="s">
        <v>28</v>
      </c>
      <c r="AQ103" t="s">
        <v>94</v>
      </c>
      <c r="AR103">
        <v>8795.08</v>
      </c>
      <c r="AS103" t="s">
        <v>1696</v>
      </c>
      <c r="AT103" t="s">
        <v>28</v>
      </c>
      <c r="AU103" t="s">
        <v>3906</v>
      </c>
      <c r="AV103" t="s">
        <v>3907</v>
      </c>
      <c r="AW103" t="s">
        <v>3908</v>
      </c>
      <c r="AX103" t="s">
        <v>1163</v>
      </c>
      <c r="AY103" t="s">
        <v>984</v>
      </c>
      <c r="AZ103" t="s">
        <v>157</v>
      </c>
      <c r="BA103" t="s">
        <v>183</v>
      </c>
      <c r="BB103" t="s">
        <v>408</v>
      </c>
      <c r="BC103" t="s">
        <v>1558</v>
      </c>
      <c r="BD103" t="s">
        <v>3909</v>
      </c>
      <c r="BE103" t="s">
        <v>250</v>
      </c>
      <c r="BF103" t="s">
        <v>477</v>
      </c>
      <c r="BG103" t="s">
        <v>3910</v>
      </c>
      <c r="BH103" t="s">
        <v>1557</v>
      </c>
      <c r="BI103" t="s">
        <v>3911</v>
      </c>
      <c r="BJ103" t="s">
        <v>1163</v>
      </c>
      <c r="BK103" t="s">
        <v>3912</v>
      </c>
      <c r="BL103" t="s">
        <v>3913</v>
      </c>
      <c r="BM103" t="s">
        <v>1558</v>
      </c>
      <c r="BN103" t="s">
        <v>28</v>
      </c>
      <c r="BO103" t="s">
        <v>28</v>
      </c>
      <c r="BP103">
        <v>5.58</v>
      </c>
      <c r="BQ103">
        <v>-3.53</v>
      </c>
      <c r="BR103">
        <v>-9.58</v>
      </c>
      <c r="BS103">
        <v>5.47</v>
      </c>
      <c r="BT103" t="s">
        <v>1244</v>
      </c>
      <c r="BU103" t="s">
        <v>1159</v>
      </c>
      <c r="BV103">
        <v>6.03</v>
      </c>
      <c r="BW103">
        <v>44.83</v>
      </c>
      <c r="BX103">
        <v>62.26</v>
      </c>
      <c r="BY103">
        <v>-157.16999999999999</v>
      </c>
      <c r="BZ103">
        <v>-78.06</v>
      </c>
      <c r="CA103">
        <v>20.07</v>
      </c>
      <c r="CB103">
        <v>9.75</v>
      </c>
      <c r="CC103">
        <v>0.16</v>
      </c>
      <c r="CD103" t="s">
        <v>3914</v>
      </c>
      <c r="CE103" t="s">
        <v>73</v>
      </c>
      <c r="CF103" s="10">
        <v>-0.397994520954566</v>
      </c>
      <c r="CG103" s="11">
        <v>-0.76171165050727729</v>
      </c>
      <c r="CH103" s="10">
        <v>0.53658539056777954</v>
      </c>
      <c r="CI103" s="10">
        <v>-0.55434781312942505</v>
      </c>
      <c r="CJ103" s="10">
        <v>-0.1785714328289032</v>
      </c>
      <c r="CK103" s="10">
        <v>5.2631579339504242E-2</v>
      </c>
      <c r="CL103" s="10">
        <v>0.67295598983764648</v>
      </c>
      <c r="CM103" s="11">
        <v>1.7250000238418579</v>
      </c>
      <c r="CN103" s="11">
        <v>-2.7319016456604004</v>
      </c>
      <c r="CO103" s="11">
        <v>-0.43322700262069702</v>
      </c>
      <c r="CP103" s="11">
        <v>0.10135135054588318</v>
      </c>
      <c r="CQ103" s="11">
        <v>0.61412221193313599</v>
      </c>
      <c r="CR103">
        <v>19.326642349925631</v>
      </c>
      <c r="CS103">
        <v>1.8258390868578995</v>
      </c>
      <c r="CT103">
        <v>0</v>
      </c>
      <c r="CU103" s="10">
        <v>0.1058507427573204</v>
      </c>
      <c r="CV103" s="11">
        <v>-0.14493101239204406</v>
      </c>
      <c r="CW103">
        <v>0.06</v>
      </c>
      <c r="CX103">
        <v>4.1891409250198395</v>
      </c>
      <c r="CY103">
        <v>121017628.45268784</v>
      </c>
      <c r="CZ103">
        <v>0.1058507427573204</v>
      </c>
      <c r="DA103">
        <v>1.3507531315240067</v>
      </c>
      <c r="DB103">
        <v>375316472.09880251</v>
      </c>
      <c r="DC103">
        <v>0.10055820561945437</v>
      </c>
      <c r="DD103">
        <v>0.65306623752293536</v>
      </c>
      <c r="DE103">
        <v>776276388.01676047</v>
      </c>
      <c r="DF103">
        <v>9.3148653626441952E-2</v>
      </c>
      <c r="DG103">
        <v>0.38422795243569824</v>
      </c>
      <c r="DH103">
        <v>1319424827.8561704</v>
      </c>
      <c r="DI103">
        <v>8.468059420585633E-2</v>
      </c>
      <c r="DJ103">
        <v>0.18966512844288472</v>
      </c>
      <c r="DK103">
        <v>2672920974.783536</v>
      </c>
      <c r="DL103">
        <v>7.4095519930124268E-2</v>
      </c>
      <c r="DM103">
        <v>115999999.99999999</v>
      </c>
      <c r="DN103">
        <v>0.1058507427573204</v>
      </c>
      <c r="DO103">
        <v>506959900</v>
      </c>
      <c r="DP103">
        <v>894442810</v>
      </c>
      <c r="DQ103">
        <v>4450</v>
      </c>
      <c r="DR103">
        <v>-0.50384526371188643</v>
      </c>
      <c r="DS103">
        <v>-0.6167806381152332</v>
      </c>
      <c r="DT103" s="12">
        <v>-0.35666666666666669</v>
      </c>
      <c r="DU103">
        <v>-0.75666666666666671</v>
      </c>
      <c r="DV103">
        <v>-1.1133333333333333</v>
      </c>
      <c r="DW103">
        <v>5.0164102564102562</v>
      </c>
      <c r="DX103">
        <v>0.3351023437499997</v>
      </c>
      <c r="DY103">
        <v>5.0030375769230773</v>
      </c>
      <c r="DZ103">
        <v>1848</v>
      </c>
      <c r="EA103">
        <v>5.0019390559536356</v>
      </c>
      <c r="EB103">
        <v>5</v>
      </c>
      <c r="EC103">
        <v>0.20921600516082217</v>
      </c>
      <c r="ED103">
        <v>1.1302720480049144</v>
      </c>
      <c r="EE103" s="15">
        <v>-3.0536099999999999</v>
      </c>
      <c r="EF103">
        <v>-3.0630099999999998</v>
      </c>
      <c r="EG103">
        <v>15.18510234375</v>
      </c>
      <c r="EH103" t="s">
        <v>2246</v>
      </c>
      <c r="EI103">
        <v>1</v>
      </c>
      <c r="EJ103">
        <v>0</v>
      </c>
      <c r="EK103" s="14">
        <v>45470</v>
      </c>
      <c r="EL103" s="16">
        <v>0.71</v>
      </c>
      <c r="EM103" s="16">
        <v>-4.7300000000000004</v>
      </c>
      <c r="EN103" s="16">
        <v>1.23</v>
      </c>
      <c r="EO103" s="16">
        <v>3.21</v>
      </c>
      <c r="EP103" s="16">
        <v>-0.94</v>
      </c>
    </row>
    <row r="104" spans="1:146" ht="108" x14ac:dyDescent="0.25">
      <c r="A104" s="7"/>
      <c r="B104" s="7"/>
      <c r="C104" s="7" t="str">
        <f>""&amp;CHAR(10)&amp;Basic_Fundamental_Information_Constructure(F104)&amp;CHAR(10)&amp;Basic_Fundamental_Information_Concatenate("")</f>
        <v xml:space="preserve">
市值26.5788亿, 利润1451.96万; PE15.42; 平均PE10.02; 平均PEG1.01, PB.834; ROIC7.2533%; ROE8.47%; 股利率5.1921%; 毛利65.5567%; 净利38.7067%; 上一年度营收增-61.44%, 利润增-95.22%; 当季营收增57.18%, 利润增979.04%; 过往5年营收增-9.88%, 利润增-12.32%
Income profile:
</v>
      </c>
      <c r="D104" t="s">
        <v>623</v>
      </c>
      <c r="E104" t="s">
        <v>1197</v>
      </c>
      <c r="F104">
        <v>9.6300000000000008</v>
      </c>
      <c r="G104">
        <v>1.26</v>
      </c>
      <c r="H104" t="s">
        <v>3915</v>
      </c>
      <c r="I104">
        <v>2657880000</v>
      </c>
      <c r="J104">
        <v>15.42</v>
      </c>
      <c r="K104">
        <v>0.83399999999999996</v>
      </c>
      <c r="L104" t="s">
        <v>1747</v>
      </c>
      <c r="M104" t="s">
        <v>642</v>
      </c>
      <c r="N104" t="s">
        <v>3916</v>
      </c>
      <c r="O104" t="s">
        <v>3917</v>
      </c>
      <c r="P104">
        <v>-26.88</v>
      </c>
      <c r="Q104" t="s">
        <v>104</v>
      </c>
      <c r="R104">
        <v>39126869</v>
      </c>
      <c r="S104" s="5">
        <v>-0.21390000000000001</v>
      </c>
      <c r="T104" t="s">
        <v>3918</v>
      </c>
      <c r="U104">
        <v>276000000</v>
      </c>
      <c r="V104">
        <v>276000000</v>
      </c>
      <c r="W104">
        <v>1.0900000000000001</v>
      </c>
      <c r="X104">
        <v>0.02</v>
      </c>
      <c r="Y104">
        <v>46.26</v>
      </c>
      <c r="Z104" t="s">
        <v>3919</v>
      </c>
      <c r="AA104" t="s">
        <v>3920</v>
      </c>
      <c r="AB104" t="s">
        <v>3921</v>
      </c>
      <c r="AC104" t="s">
        <v>3922</v>
      </c>
      <c r="AD104" t="s">
        <v>28</v>
      </c>
      <c r="AE104">
        <v>-12387833</v>
      </c>
      <c r="AF104" t="s">
        <v>3923</v>
      </c>
      <c r="AG104" t="s">
        <v>3924</v>
      </c>
      <c r="AH104" t="s">
        <v>3925</v>
      </c>
      <c r="AI104" t="s">
        <v>3926</v>
      </c>
      <c r="AJ104" t="s">
        <v>3927</v>
      </c>
      <c r="AK104" t="s">
        <v>28</v>
      </c>
      <c r="AL104" t="s">
        <v>3928</v>
      </c>
      <c r="AM104" t="s">
        <v>28</v>
      </c>
      <c r="AN104" t="s">
        <v>3929</v>
      </c>
      <c r="AO104" t="s">
        <v>28</v>
      </c>
      <c r="AP104" t="s">
        <v>3930</v>
      </c>
      <c r="AQ104" t="s">
        <v>114</v>
      </c>
      <c r="AR104" t="s">
        <v>28</v>
      </c>
      <c r="AS104" t="s">
        <v>750</v>
      </c>
      <c r="AT104" t="s">
        <v>3931</v>
      </c>
      <c r="AU104" t="s">
        <v>3932</v>
      </c>
      <c r="AV104" t="s">
        <v>3933</v>
      </c>
      <c r="AW104">
        <v>7755.26</v>
      </c>
      <c r="AX104" t="s">
        <v>1191</v>
      </c>
      <c r="AY104" t="s">
        <v>258</v>
      </c>
      <c r="AZ104" t="s">
        <v>121</v>
      </c>
      <c r="BA104" t="s">
        <v>486</v>
      </c>
      <c r="BB104" t="s">
        <v>625</v>
      </c>
      <c r="BC104" t="s">
        <v>456</v>
      </c>
      <c r="BD104" t="s">
        <v>743</v>
      </c>
      <c r="BE104" t="s">
        <v>528</v>
      </c>
      <c r="BF104" t="s">
        <v>627</v>
      </c>
      <c r="BG104" t="s">
        <v>398</v>
      </c>
      <c r="BH104" t="s">
        <v>320</v>
      </c>
      <c r="BI104" t="s">
        <v>3934</v>
      </c>
      <c r="BJ104" t="s">
        <v>1191</v>
      </c>
      <c r="BK104" t="s">
        <v>1557</v>
      </c>
      <c r="BL104" t="s">
        <v>3935</v>
      </c>
      <c r="BM104" t="s">
        <v>456</v>
      </c>
      <c r="BN104">
        <v>2.52</v>
      </c>
      <c r="BO104">
        <v>8.27</v>
      </c>
      <c r="BP104">
        <v>10.97</v>
      </c>
      <c r="BQ104">
        <v>3.4</v>
      </c>
      <c r="BR104">
        <v>9.6</v>
      </c>
      <c r="BS104">
        <v>12.41</v>
      </c>
      <c r="BT104" t="s">
        <v>3936</v>
      </c>
      <c r="BU104" t="s">
        <v>1159</v>
      </c>
      <c r="BV104">
        <v>64.2</v>
      </c>
      <c r="BW104">
        <v>67.150000000000006</v>
      </c>
      <c r="BX104">
        <v>65.319999999999993</v>
      </c>
      <c r="BY104">
        <v>35.65</v>
      </c>
      <c r="BZ104">
        <v>38.049999999999997</v>
      </c>
      <c r="CA104">
        <v>42.42</v>
      </c>
      <c r="CB104">
        <v>-1.83</v>
      </c>
      <c r="CC104">
        <v>-15.75</v>
      </c>
      <c r="CD104" t="s">
        <v>3937</v>
      </c>
      <c r="CE104" t="s">
        <v>3938</v>
      </c>
      <c r="CF104" s="10">
        <v>0.57178632467358714</v>
      </c>
      <c r="CG104" s="11">
        <v>9.7903819280627253</v>
      </c>
      <c r="CH104" s="10">
        <v>-0.61441212892532349</v>
      </c>
      <c r="CI104" s="10">
        <v>-0.13362541794776917</v>
      </c>
      <c r="CJ104" s="10">
        <v>-5.9732235968112946E-2</v>
      </c>
      <c r="CK104" s="10">
        <v>0.24807198345661163</v>
      </c>
      <c r="CL104" s="10">
        <v>6.5753422677516937E-2</v>
      </c>
      <c r="CM104" s="11">
        <v>-0.95223808288574219</v>
      </c>
      <c r="CN104" s="11">
        <v>-0.20626631379127502</v>
      </c>
      <c r="CO104" s="11">
        <v>-1.0335917584598064E-2</v>
      </c>
      <c r="CP104" s="11">
        <v>0.5</v>
      </c>
      <c r="CQ104" s="11">
        <v>5.3061224520206451E-2</v>
      </c>
      <c r="CR104">
        <v>10.02015934959268</v>
      </c>
      <c r="CS104">
        <v>1.014300376936462</v>
      </c>
      <c r="CT104">
        <v>5.192107995846313</v>
      </c>
      <c r="CU104" s="10">
        <v>-9.8788875341415408E-2</v>
      </c>
      <c r="CV104" s="11">
        <v>-0.12315581794828176</v>
      </c>
      <c r="CW104">
        <v>0.06</v>
      </c>
      <c r="CX104" t="s">
        <v>3234</v>
      </c>
      <c r="CY104" t="s">
        <v>3939</v>
      </c>
      <c r="CZ104">
        <v>-9.8788875341415408E-2</v>
      </c>
      <c r="DA104" t="s">
        <v>3234</v>
      </c>
      <c r="DB104" t="s">
        <v>3940</v>
      </c>
      <c r="DC104">
        <v>-9.3849431574344638E-2</v>
      </c>
      <c r="DD104" t="s">
        <v>3234</v>
      </c>
      <c r="DE104" t="s">
        <v>3941</v>
      </c>
      <c r="DF104">
        <v>-8.6934210300445555E-2</v>
      </c>
      <c r="DG104" t="s">
        <v>3234</v>
      </c>
      <c r="DH104" t="s">
        <v>3942</v>
      </c>
      <c r="DI104">
        <v>-7.9031100273132329E-2</v>
      </c>
      <c r="DJ104" t="s">
        <v>3234</v>
      </c>
      <c r="DK104" t="s">
        <v>3943</v>
      </c>
      <c r="DL104">
        <v>-6.9152212738990776E-2</v>
      </c>
      <c r="DM104">
        <v>14519600</v>
      </c>
      <c r="DN104">
        <v>-9.8788875341415408E-2</v>
      </c>
      <c r="DO104">
        <v>-242120000</v>
      </c>
      <c r="DP104">
        <v>2841802900</v>
      </c>
      <c r="DQ104">
        <v>4588</v>
      </c>
      <c r="DR104">
        <v>0.67057520001500259</v>
      </c>
      <c r="DS104">
        <v>9.9135377460110075</v>
      </c>
      <c r="DT104" s="12">
        <v>-0.65666666666666662</v>
      </c>
      <c r="DU104">
        <v>-0.3666666666666667</v>
      </c>
      <c r="DV104">
        <v>-1.0233333333333334</v>
      </c>
      <c r="DW104">
        <v>-2.1575000000000002</v>
      </c>
      <c r="DX104">
        <v>0.29848092870464754</v>
      </c>
      <c r="DY104">
        <v>-2.0170857462709821</v>
      </c>
      <c r="DZ104">
        <v>3567</v>
      </c>
      <c r="EA104">
        <v>-2.0051591597839775</v>
      </c>
      <c r="EB104">
        <v>2</v>
      </c>
      <c r="EC104">
        <v>8.8300724637681155E-3</v>
      </c>
      <c r="ED104">
        <v>8.1397463768115935E-2</v>
      </c>
      <c r="EE104" s="15">
        <v>3.0697000000000001</v>
      </c>
      <c r="EF104">
        <v>3.0470999999999999</v>
      </c>
      <c r="EG104">
        <v>19.108480928704648</v>
      </c>
      <c r="EH104" t="s">
        <v>1376</v>
      </c>
      <c r="EI104">
        <v>0</v>
      </c>
      <c r="EJ104">
        <v>0</v>
      </c>
      <c r="EK104" s="14">
        <v>45470</v>
      </c>
      <c r="EL104" s="16">
        <v>-1.1299999999999999</v>
      </c>
      <c r="EM104" s="16">
        <v>-5.0199999999999996</v>
      </c>
      <c r="EN104" s="16">
        <v>-0.86</v>
      </c>
      <c r="EO104" s="16">
        <v>5.18</v>
      </c>
      <c r="EP104" s="16">
        <v>-2.2599999999999998</v>
      </c>
    </row>
    <row r="105" spans="1:146" ht="108" x14ac:dyDescent="0.25">
      <c r="A105" s="7"/>
      <c r="B105" s="7"/>
      <c r="C105" s="7" t="str">
        <f>""&amp;CHAR(10)&amp;Basic_Fundamental_Information_Constructure(F105)&amp;CHAR(10)&amp;Basic_Fundamental_Information_Concatenate("")</f>
        <v xml:space="preserve">
市值15.338702亿, 利润-6449.99万; PE; 平均PE19.41; 平均PEG1.45, PB1.12; ROIC5.59%; ROE3.3467%; 股利率0%; 毛利41.85%; 净利10.11%; 上一年度营收增-32.74%, 利润增-214.33%; 当季营收增-52.11%, 利润增-294.75%; 过往5年营收增13.36%, 利润增-37.69%
Income profile:
</v>
      </c>
      <c r="D105" t="s">
        <v>303</v>
      </c>
      <c r="E105" t="s">
        <v>304</v>
      </c>
      <c r="F105">
        <v>13.36</v>
      </c>
      <c r="G105">
        <v>1.98</v>
      </c>
      <c r="H105" t="s">
        <v>3944</v>
      </c>
      <c r="I105">
        <v>1533870200</v>
      </c>
      <c r="K105">
        <v>1.1200000000000001</v>
      </c>
      <c r="L105" t="s">
        <v>1747</v>
      </c>
      <c r="M105" t="s">
        <v>761</v>
      </c>
      <c r="N105" t="s">
        <v>1638</v>
      </c>
      <c r="O105" t="s">
        <v>3945</v>
      </c>
      <c r="P105">
        <v>23.15</v>
      </c>
      <c r="Q105" t="s">
        <v>1688</v>
      </c>
      <c r="R105">
        <v>-2879043</v>
      </c>
      <c r="S105" s="5">
        <v>0.8115</v>
      </c>
      <c r="T105" t="s">
        <v>3946</v>
      </c>
      <c r="U105">
        <v>114810640</v>
      </c>
      <c r="V105">
        <v>114810640</v>
      </c>
      <c r="W105">
        <v>1.22</v>
      </c>
      <c r="X105">
        <v>0.02</v>
      </c>
      <c r="Y105">
        <v>-7.26</v>
      </c>
      <c r="Z105" t="s">
        <v>3947</v>
      </c>
      <c r="AA105" t="s">
        <v>3948</v>
      </c>
      <c r="AB105" t="s">
        <v>3949</v>
      </c>
      <c r="AC105" t="s">
        <v>3950</v>
      </c>
      <c r="AD105" t="s">
        <v>28</v>
      </c>
      <c r="AE105">
        <v>-1370338</v>
      </c>
      <c r="AF105" t="s">
        <v>3951</v>
      </c>
      <c r="AG105" t="s">
        <v>28</v>
      </c>
      <c r="AH105" t="s">
        <v>3952</v>
      </c>
      <c r="AI105" t="s">
        <v>514</v>
      </c>
      <c r="AJ105" t="s">
        <v>3953</v>
      </c>
      <c r="AK105" t="s">
        <v>28</v>
      </c>
      <c r="AL105" t="s">
        <v>3954</v>
      </c>
      <c r="AM105" t="s">
        <v>28</v>
      </c>
      <c r="AN105" t="s">
        <v>3955</v>
      </c>
      <c r="AO105" t="s">
        <v>3956</v>
      </c>
      <c r="AP105" t="s">
        <v>3957</v>
      </c>
      <c r="AQ105" t="s">
        <v>101</v>
      </c>
      <c r="AR105" t="s">
        <v>28</v>
      </c>
      <c r="AS105" t="s">
        <v>296</v>
      </c>
      <c r="AT105" t="s">
        <v>28</v>
      </c>
      <c r="AU105" t="s">
        <v>3958</v>
      </c>
      <c r="AV105" t="s">
        <v>3959</v>
      </c>
      <c r="AW105" t="s">
        <v>3960</v>
      </c>
      <c r="AX105" t="s">
        <v>523</v>
      </c>
      <c r="AY105" t="s">
        <v>357</v>
      </c>
      <c r="AZ105" t="s">
        <v>357</v>
      </c>
      <c r="BA105" t="s">
        <v>305</v>
      </c>
      <c r="BB105" t="s">
        <v>220</v>
      </c>
      <c r="BC105" t="s">
        <v>3961</v>
      </c>
      <c r="BD105" t="s">
        <v>192</v>
      </c>
      <c r="BE105" t="s">
        <v>519</v>
      </c>
      <c r="BF105" t="s">
        <v>115</v>
      </c>
      <c r="BG105" t="s">
        <v>628</v>
      </c>
      <c r="BH105" t="s">
        <v>718</v>
      </c>
      <c r="BI105" t="s">
        <v>3962</v>
      </c>
      <c r="BJ105" t="s">
        <v>523</v>
      </c>
      <c r="BK105" t="s">
        <v>3963</v>
      </c>
      <c r="BL105" t="s">
        <v>3964</v>
      </c>
      <c r="BM105" t="s">
        <v>3961</v>
      </c>
      <c r="BN105" t="s">
        <v>28</v>
      </c>
      <c r="BO105">
        <v>3.7</v>
      </c>
      <c r="BP105">
        <v>7.48</v>
      </c>
      <c r="BQ105">
        <v>-1.29</v>
      </c>
      <c r="BR105">
        <v>3.79</v>
      </c>
      <c r="BS105">
        <v>7.54</v>
      </c>
      <c r="BT105" t="s">
        <v>1244</v>
      </c>
      <c r="BU105" t="s">
        <v>1159</v>
      </c>
      <c r="BV105">
        <v>37.479999999999997</v>
      </c>
      <c r="BW105">
        <v>41.79</v>
      </c>
      <c r="BX105">
        <v>46.28</v>
      </c>
      <c r="BY105">
        <v>-4.38</v>
      </c>
      <c r="BZ105">
        <v>12.57</v>
      </c>
      <c r="CA105">
        <v>22.14</v>
      </c>
      <c r="CB105">
        <v>-0.6</v>
      </c>
      <c r="CC105">
        <v>-9.42</v>
      </c>
      <c r="CD105" t="s">
        <v>3965</v>
      </c>
      <c r="CE105" t="s">
        <v>3966</v>
      </c>
      <c r="CF105" s="10">
        <v>-0.52113347974927315</v>
      </c>
      <c r="CG105" s="11">
        <v>-2.9475363593316644</v>
      </c>
      <c r="CH105" s="10">
        <v>-0.32739421725273132</v>
      </c>
      <c r="CI105" s="10">
        <v>-8.5539713501930237E-2</v>
      </c>
      <c r="CJ105" s="10">
        <v>0</v>
      </c>
      <c r="CK105" s="10">
        <v>0.65319865942001343</v>
      </c>
      <c r="CL105" s="10">
        <v>0.42788460850715637</v>
      </c>
      <c r="CM105" s="11">
        <v>-2.1432991027832031</v>
      </c>
      <c r="CN105" s="11">
        <v>-0.48242568969726563</v>
      </c>
      <c r="CO105" s="11">
        <v>-0.43523314595222473</v>
      </c>
      <c r="CP105" s="11">
        <v>0.93000000715255737</v>
      </c>
      <c r="CQ105" s="11">
        <v>0.24630782008171082</v>
      </c>
      <c r="CR105">
        <v>19.409825568851552</v>
      </c>
      <c r="CS105">
        <v>1.4525065347659072</v>
      </c>
      <c r="CT105">
        <v>0</v>
      </c>
      <c r="CU105" s="10">
        <v>0.13362986743450164</v>
      </c>
      <c r="CV105" s="11">
        <v>-0.37693002223968508</v>
      </c>
      <c r="CW105">
        <v>0.06</v>
      </c>
      <c r="CX105" t="e">
        <v>#VALUE!</v>
      </c>
      <c r="CY105" t="s">
        <v>1157</v>
      </c>
      <c r="CZ105">
        <v>0.13362986743450164</v>
      </c>
      <c r="DA105" t="e">
        <v>#VALUE!</v>
      </c>
      <c r="DB105" t="s">
        <v>1158</v>
      </c>
      <c r="DC105">
        <v>0.12694837406277656</v>
      </c>
      <c r="DD105" t="e">
        <v>#VALUE!</v>
      </c>
      <c r="DE105" t="s">
        <v>1158</v>
      </c>
      <c r="DF105">
        <v>0.11759428334236145</v>
      </c>
      <c r="DG105" t="e">
        <v>#VALUE!</v>
      </c>
      <c r="DH105" t="s">
        <v>1158</v>
      </c>
      <c r="DI105">
        <v>0.10690389394760132</v>
      </c>
      <c r="DJ105" t="e">
        <v>#VALUE!</v>
      </c>
      <c r="DK105" t="s">
        <v>1158</v>
      </c>
      <c r="DL105">
        <v>9.3540907204151147E-2</v>
      </c>
      <c r="DM105">
        <v>-64499900</v>
      </c>
      <c r="DN105">
        <v>0.13362986743450164</v>
      </c>
      <c r="DO105">
        <v>406870200</v>
      </c>
      <c r="DP105">
        <v>1041724250</v>
      </c>
      <c r="DQ105">
        <v>4599</v>
      </c>
      <c r="DR105">
        <v>-0.65476334718377482</v>
      </c>
      <c r="DS105">
        <v>-2.5706063370919794</v>
      </c>
      <c r="DT105" s="12">
        <v>-0.27333333333333337</v>
      </c>
      <c r="DU105">
        <v>-1.5983333333333334</v>
      </c>
      <c r="DV105">
        <v>-1.8716666666666668</v>
      </c>
      <c r="DW105">
        <v>-2.0941999999999998</v>
      </c>
      <c r="DX105">
        <v>0.25524253808363923</v>
      </c>
      <c r="DY105">
        <v>-2.0070878470874787</v>
      </c>
      <c r="DZ105">
        <v>4785</v>
      </c>
      <c r="EA105">
        <v>-2.0004507926229804</v>
      </c>
      <c r="EB105">
        <v>2</v>
      </c>
      <c r="EC105">
        <v>7.9374176470055381E-3</v>
      </c>
      <c r="ED105">
        <v>0.1054910938568063</v>
      </c>
      <c r="EE105" s="15">
        <v>2.0338099999999999</v>
      </c>
      <c r="EF105">
        <v>2.0536099999999999</v>
      </c>
      <c r="EG105">
        <v>18.075242538083639</v>
      </c>
      <c r="EH105" t="s">
        <v>1270</v>
      </c>
      <c r="EI105">
        <v>0</v>
      </c>
      <c r="EJ105">
        <v>0</v>
      </c>
      <c r="EK105" s="14">
        <v>45470</v>
      </c>
      <c r="EL105" s="16">
        <v>-0.43</v>
      </c>
      <c r="EM105" s="16">
        <v>-5.93</v>
      </c>
      <c r="EN105" s="16">
        <v>-0.88</v>
      </c>
      <c r="EO105" s="16">
        <v>2.61</v>
      </c>
      <c r="EP105" s="16">
        <v>-1.98</v>
      </c>
    </row>
    <row r="106" spans="1:146" ht="108" x14ac:dyDescent="0.25">
      <c r="A106" s="7"/>
      <c r="B106" s="7"/>
      <c r="C106" s="7" t="str">
        <f>""&amp;CHAR(10)&amp;Basic_Fundamental_Information_Constructure(F106)&amp;CHAR(10)&amp;Basic_Fundamental_Information_Concatenate("")</f>
        <v xml:space="preserve">
市值7.5115649亿, 利润3.90亿; PE; 平均PE6.67; 平均PEG.04, PB.985; ROIC4.7867%; ROE5.3667%; 股利率0%; 毛利37.0133%; 净利5.3967%; 上一年度营收增841.63%, 利润增640.91%; 当季营收增-94.32%, 利润增-111.9%; 过往5年营收增184.01%, 利润增128.18%
Income profile:
</v>
      </c>
      <c r="D106" t="s">
        <v>882</v>
      </c>
      <c r="E106" t="s">
        <v>883</v>
      </c>
      <c r="F106">
        <v>4.93</v>
      </c>
      <c r="G106">
        <v>1.86</v>
      </c>
      <c r="H106" t="s">
        <v>3967</v>
      </c>
      <c r="I106">
        <v>751156490</v>
      </c>
      <c r="K106">
        <v>0.98499999999999999</v>
      </c>
      <c r="L106" t="s">
        <v>1747</v>
      </c>
      <c r="M106" t="s">
        <v>3968</v>
      </c>
      <c r="N106" t="s">
        <v>3969</v>
      </c>
      <c r="O106" t="s">
        <v>3970</v>
      </c>
      <c r="P106">
        <v>-39.44</v>
      </c>
      <c r="Q106" t="s">
        <v>3971</v>
      </c>
      <c r="R106">
        <v>-6198750</v>
      </c>
      <c r="S106" s="5">
        <v>-2.347</v>
      </c>
      <c r="T106" t="s">
        <v>742</v>
      </c>
      <c r="U106">
        <v>152364400</v>
      </c>
      <c r="V106">
        <v>152364400</v>
      </c>
      <c r="W106">
        <v>2.29</v>
      </c>
      <c r="X106">
        <v>0.03</v>
      </c>
      <c r="Y106">
        <v>-12.34</v>
      </c>
      <c r="Z106" t="s">
        <v>3972</v>
      </c>
      <c r="AA106" t="s">
        <v>3973</v>
      </c>
      <c r="AB106" t="s">
        <v>3974</v>
      </c>
      <c r="AC106" t="s">
        <v>3975</v>
      </c>
      <c r="AD106" t="s">
        <v>28</v>
      </c>
      <c r="AE106">
        <v>7512695</v>
      </c>
      <c r="AF106" t="s">
        <v>3976</v>
      </c>
      <c r="AG106" t="s">
        <v>1659</v>
      </c>
      <c r="AH106" t="s">
        <v>3977</v>
      </c>
      <c r="AI106" t="s">
        <v>191</v>
      </c>
      <c r="AJ106" t="s">
        <v>3978</v>
      </c>
      <c r="AK106" t="s">
        <v>3979</v>
      </c>
      <c r="AL106" t="s">
        <v>3980</v>
      </c>
      <c r="AM106" t="s">
        <v>28</v>
      </c>
      <c r="AN106" t="s">
        <v>1269</v>
      </c>
      <c r="AO106" t="s">
        <v>1267</v>
      </c>
      <c r="AP106" t="s">
        <v>3981</v>
      </c>
      <c r="AQ106" t="s">
        <v>228</v>
      </c>
      <c r="AR106" t="s">
        <v>28</v>
      </c>
      <c r="AS106" t="s">
        <v>1056</v>
      </c>
      <c r="AT106" t="s">
        <v>414</v>
      </c>
      <c r="AU106" t="s">
        <v>3982</v>
      </c>
      <c r="AV106" t="s">
        <v>3983</v>
      </c>
      <c r="AW106" t="s">
        <v>3984</v>
      </c>
      <c r="AX106" t="s">
        <v>1222</v>
      </c>
      <c r="AY106" t="s">
        <v>933</v>
      </c>
      <c r="AZ106" t="s">
        <v>651</v>
      </c>
      <c r="BA106" t="s">
        <v>319</v>
      </c>
      <c r="BB106" t="s">
        <v>761</v>
      </c>
      <c r="BC106" t="s">
        <v>1440</v>
      </c>
      <c r="BD106" t="s">
        <v>1441</v>
      </c>
      <c r="BE106" t="s">
        <v>884</v>
      </c>
      <c r="BF106" t="s">
        <v>885</v>
      </c>
      <c r="BG106" t="s">
        <v>886</v>
      </c>
      <c r="BH106" t="s">
        <v>1227</v>
      </c>
      <c r="BI106" t="s">
        <v>1475</v>
      </c>
      <c r="BJ106" t="s">
        <v>1222</v>
      </c>
      <c r="BK106" t="s">
        <v>3985</v>
      </c>
      <c r="BL106" t="s">
        <v>3986</v>
      </c>
      <c r="BM106" t="s">
        <v>1440</v>
      </c>
      <c r="BN106">
        <v>2</v>
      </c>
      <c r="BO106">
        <v>5.62</v>
      </c>
      <c r="BP106">
        <v>6.74</v>
      </c>
      <c r="BQ106">
        <v>2.2799999999999998</v>
      </c>
      <c r="BR106">
        <v>6.44</v>
      </c>
      <c r="BS106">
        <v>7.38</v>
      </c>
      <c r="BT106" t="s">
        <v>1244</v>
      </c>
      <c r="BU106" t="s">
        <v>1159</v>
      </c>
      <c r="BV106">
        <v>34.11</v>
      </c>
      <c r="BW106">
        <v>37.67</v>
      </c>
      <c r="BX106">
        <v>39.26</v>
      </c>
      <c r="BY106">
        <v>-7.37</v>
      </c>
      <c r="BZ106">
        <v>10.24</v>
      </c>
      <c r="CA106">
        <v>13.32</v>
      </c>
      <c r="CB106">
        <v>-2.38</v>
      </c>
      <c r="CC106">
        <v>-18.11</v>
      </c>
      <c r="CD106" t="s">
        <v>3987</v>
      </c>
      <c r="CE106" t="s">
        <v>3988</v>
      </c>
      <c r="CF106" s="10">
        <v>-0.94319354473386186</v>
      </c>
      <c r="CG106" s="11">
        <v>-1.119015847659715</v>
      </c>
      <c r="CH106" s="10">
        <v>8.4163427352905273</v>
      </c>
      <c r="CI106" s="10">
        <v>0.21800947189331055</v>
      </c>
      <c r="CJ106" s="10">
        <v>0.19886364042758942</v>
      </c>
      <c r="CK106" s="10">
        <v>8.6419753730297089E-2</v>
      </c>
      <c r="CL106" s="10">
        <v>0.28063240647315979</v>
      </c>
      <c r="CM106" s="11">
        <v>6.4091105461120605</v>
      </c>
      <c r="CN106" s="11">
        <v>-6.548936665058136E-2</v>
      </c>
      <c r="CO106" s="11">
        <v>-9.3933679163455963E-2</v>
      </c>
      <c r="CP106" s="11">
        <v>1.4865580014884472E-2</v>
      </c>
      <c r="CQ106" s="11">
        <v>0.14451523125171661</v>
      </c>
      <c r="CR106">
        <v>6.6679828331514051</v>
      </c>
      <c r="CS106">
        <v>3.6237981477754193E-2</v>
      </c>
      <c r="CT106">
        <v>0</v>
      </c>
      <c r="CU106" s="10">
        <v>1.8400536015629769</v>
      </c>
      <c r="CV106" s="11">
        <v>1.2818136623129248</v>
      </c>
      <c r="CW106">
        <v>0.06</v>
      </c>
      <c r="CX106">
        <v>0.98586608004199838</v>
      </c>
      <c r="CY106">
        <v>1044925381.7071329</v>
      </c>
      <c r="CZ106">
        <v>1.8400536015629769</v>
      </c>
      <c r="DA106">
        <v>9.8789552293647345E-2</v>
      </c>
      <c r="DB106">
        <v>10427787818.472015</v>
      </c>
      <c r="DC106">
        <v>1.7480509214848281</v>
      </c>
      <c r="DD106">
        <v>6.9384984289428582E-3</v>
      </c>
      <c r="DE106">
        <v>148469658176.02029</v>
      </c>
      <c r="DF106">
        <v>1.6192471693754198</v>
      </c>
      <c r="DG106">
        <v>3.1711764289207671E-4</v>
      </c>
      <c r="DH106">
        <v>3248499454666.3828</v>
      </c>
      <c r="DI106">
        <v>1.4720428812503816</v>
      </c>
      <c r="DJ106">
        <v>2.9406385323326941E-7</v>
      </c>
      <c r="DK106">
        <v>3503172792824750.5</v>
      </c>
      <c r="DL106">
        <v>1.2880375210940838</v>
      </c>
      <c r="DM106">
        <v>390000000</v>
      </c>
      <c r="DN106">
        <v>1.8400536015629769</v>
      </c>
      <c r="DO106">
        <v>1030156490</v>
      </c>
      <c r="DP106">
        <v>651046990</v>
      </c>
      <c r="DQ106">
        <v>4623</v>
      </c>
      <c r="DR106">
        <v>-2.7832471462968389</v>
      </c>
      <c r="DS106">
        <v>-2.40082950997264</v>
      </c>
      <c r="DT106" s="12">
        <v>0.24333333333333326</v>
      </c>
      <c r="DU106">
        <v>-0.59833333333333338</v>
      </c>
      <c r="DV106">
        <v>-0.35500000000000009</v>
      </c>
      <c r="DW106">
        <v>-3.0238630952380952</v>
      </c>
      <c r="DX106">
        <v>0.391065407387714</v>
      </c>
      <c r="DY106">
        <v>-3.0033662572512938</v>
      </c>
      <c r="DZ106">
        <v>3371</v>
      </c>
      <c r="EA106">
        <v>-3.0011455814794519</v>
      </c>
      <c r="EB106">
        <v>3</v>
      </c>
      <c r="EC106">
        <v>4.3877703715566103E-2</v>
      </c>
      <c r="ED106">
        <v>0.31104509977396294</v>
      </c>
      <c r="EE106" s="15">
        <v>-2.0215000000000001</v>
      </c>
      <c r="EF106">
        <v>-2.0026000000000002</v>
      </c>
      <c r="EG106">
        <v>25.141065407387714</v>
      </c>
      <c r="EH106" t="s">
        <v>1553</v>
      </c>
      <c r="EI106">
        <v>0</v>
      </c>
      <c r="EJ106">
        <v>0</v>
      </c>
      <c r="EK106" s="14">
        <v>45470</v>
      </c>
      <c r="EL106" s="16">
        <v>-0.66</v>
      </c>
      <c r="EM106" s="16">
        <v>-1.85</v>
      </c>
      <c r="EN106" s="16">
        <v>-2.37</v>
      </c>
      <c r="EO106" s="16">
        <v>5.05</v>
      </c>
      <c r="EP106" s="16">
        <v>-1.89</v>
      </c>
    </row>
    <row r="107" spans="1:146" ht="108" x14ac:dyDescent="0.25">
      <c r="A107" s="7"/>
      <c r="B107" s="7"/>
      <c r="C107" s="7" t="str">
        <f>""&amp;CHAR(10)&amp;Basic_Fundamental_Information_Constructure(F107)&amp;CHAR(10)&amp;Basic_Fundamental_Information_Concatenate("")</f>
        <v xml:space="preserve">
市值36.993904亿, 利润9834.11万; PE13.62; 平均PE17.85; 平均PEG1.14, PB.955; ROIC6.4067%; ROE6.2133%; 股利率2.0758%; 毛利32.15%; 净利19.1033%; 上一年度营收增-6.27%, 利润增-54.89%; 当季营收增13.15%, 利润增208.4%; 过往5年营收增15.66%, 利润增-4.44%
Income profile:
</v>
      </c>
      <c r="D107" t="s">
        <v>306</v>
      </c>
      <c r="E107" t="s">
        <v>3989</v>
      </c>
      <c r="F107">
        <v>11.08</v>
      </c>
      <c r="G107">
        <v>1.0900000000000001</v>
      </c>
      <c r="H107" t="s">
        <v>3990</v>
      </c>
      <c r="I107">
        <v>3699390400</v>
      </c>
      <c r="J107">
        <v>13.62</v>
      </c>
      <c r="K107">
        <v>0.95499999999999996</v>
      </c>
      <c r="L107" t="s">
        <v>1747</v>
      </c>
      <c r="M107" t="s">
        <v>3991</v>
      </c>
      <c r="N107" t="s">
        <v>1626</v>
      </c>
      <c r="O107" t="s">
        <v>529</v>
      </c>
      <c r="P107">
        <v>39.99</v>
      </c>
      <c r="Q107" t="s">
        <v>3992</v>
      </c>
      <c r="R107">
        <v>66745406</v>
      </c>
      <c r="S107" s="5">
        <v>0.35909999999999997</v>
      </c>
      <c r="T107" t="s">
        <v>3993</v>
      </c>
      <c r="U107">
        <v>333880000</v>
      </c>
      <c r="V107">
        <v>333880000</v>
      </c>
      <c r="W107">
        <v>1.42</v>
      </c>
      <c r="X107">
        <v>0.05</v>
      </c>
      <c r="Y107">
        <v>24.01</v>
      </c>
      <c r="Z107" t="s">
        <v>862</v>
      </c>
      <c r="AA107" t="s">
        <v>1263</v>
      </c>
      <c r="AB107" t="s">
        <v>3994</v>
      </c>
      <c r="AC107" t="s">
        <v>3995</v>
      </c>
      <c r="AD107" t="s">
        <v>28</v>
      </c>
      <c r="AE107">
        <v>6821088</v>
      </c>
      <c r="AF107" t="s">
        <v>3996</v>
      </c>
      <c r="AG107" t="s">
        <v>3997</v>
      </c>
      <c r="AH107" t="s">
        <v>3998</v>
      </c>
      <c r="AI107" t="s">
        <v>202</v>
      </c>
      <c r="AJ107" t="s">
        <v>3999</v>
      </c>
      <c r="AK107" t="s">
        <v>4000</v>
      </c>
      <c r="AL107" t="s">
        <v>4001</v>
      </c>
      <c r="AM107" t="s">
        <v>28</v>
      </c>
      <c r="AN107" t="s">
        <v>4002</v>
      </c>
      <c r="AO107" t="s">
        <v>28</v>
      </c>
      <c r="AP107" t="s">
        <v>4003</v>
      </c>
      <c r="AQ107" t="s">
        <v>714</v>
      </c>
      <c r="AR107" t="s">
        <v>28</v>
      </c>
      <c r="AS107" t="s">
        <v>1632</v>
      </c>
      <c r="AT107" t="s">
        <v>4004</v>
      </c>
      <c r="AU107" t="s">
        <v>4005</v>
      </c>
      <c r="AV107" t="s">
        <v>410</v>
      </c>
      <c r="AW107" t="s">
        <v>4006</v>
      </c>
      <c r="AX107" t="s">
        <v>1041</v>
      </c>
      <c r="AY107" t="s">
        <v>1053</v>
      </c>
      <c r="AZ107" t="s">
        <v>506</v>
      </c>
      <c r="BA107" t="s">
        <v>307</v>
      </c>
      <c r="BB107" t="s">
        <v>629</v>
      </c>
      <c r="BC107" t="s">
        <v>366</v>
      </c>
      <c r="BD107" t="s">
        <v>655</v>
      </c>
      <c r="BE107" t="s">
        <v>301</v>
      </c>
      <c r="BF107" t="s">
        <v>308</v>
      </c>
      <c r="BG107" t="s">
        <v>399</v>
      </c>
      <c r="BH107" t="s">
        <v>732</v>
      </c>
      <c r="BI107" t="s">
        <v>453</v>
      </c>
      <c r="BJ107" t="s">
        <v>1041</v>
      </c>
      <c r="BK107" t="s">
        <v>750</v>
      </c>
      <c r="BL107" t="s">
        <v>4007</v>
      </c>
      <c r="BM107" t="s">
        <v>366</v>
      </c>
      <c r="BN107">
        <v>5.25</v>
      </c>
      <c r="BO107">
        <v>6.51</v>
      </c>
      <c r="BP107">
        <v>7.46</v>
      </c>
      <c r="BQ107">
        <v>5</v>
      </c>
      <c r="BR107">
        <v>6.24</v>
      </c>
      <c r="BS107">
        <v>7.4</v>
      </c>
      <c r="BT107" t="s">
        <v>1259</v>
      </c>
      <c r="BU107" t="s">
        <v>1159</v>
      </c>
      <c r="BV107">
        <v>33.83</v>
      </c>
      <c r="BW107">
        <v>30.41</v>
      </c>
      <c r="BX107">
        <v>32.21</v>
      </c>
      <c r="BY107">
        <v>17.850000000000001</v>
      </c>
      <c r="BZ107">
        <v>17.73</v>
      </c>
      <c r="CA107">
        <v>21.73</v>
      </c>
      <c r="CB107">
        <v>-0.63</v>
      </c>
      <c r="CC107">
        <v>-10.86</v>
      </c>
      <c r="CD107" t="s">
        <v>4008</v>
      </c>
      <c r="CE107" t="s">
        <v>4009</v>
      </c>
      <c r="CF107" s="10">
        <v>0.1314741035856575</v>
      </c>
      <c r="CG107" s="11">
        <v>2.0840255425717231</v>
      </c>
      <c r="CH107" s="10">
        <v>-6.2748260796070099E-2</v>
      </c>
      <c r="CI107" s="10">
        <v>9.3831442296504974E-2</v>
      </c>
      <c r="CJ107" s="10">
        <v>0.31392702460289001</v>
      </c>
      <c r="CK107" s="10">
        <v>0.18059299886226654</v>
      </c>
      <c r="CL107" s="10">
        <v>0.25762712955474854</v>
      </c>
      <c r="CM107" s="11">
        <v>-0.54889404773712158</v>
      </c>
      <c r="CN107" s="11">
        <v>-0.11740890890359879</v>
      </c>
      <c r="CO107" s="11">
        <v>0.11261261254549026</v>
      </c>
      <c r="CP107" s="11">
        <v>-0.19855596125125885</v>
      </c>
      <c r="CQ107" s="11">
        <v>0.53038674592971802</v>
      </c>
      <c r="CR107">
        <v>17.852174596335633</v>
      </c>
      <c r="CS107">
        <v>1.1396503563200555</v>
      </c>
      <c r="CT107">
        <v>2.0758122743682308</v>
      </c>
      <c r="CU107" s="10">
        <v>0.15664606690406799</v>
      </c>
      <c r="CV107" s="11">
        <v>-4.4371911883354188E-2</v>
      </c>
      <c r="CW107">
        <v>0.06</v>
      </c>
      <c r="CX107">
        <v>13.488262392025781</v>
      </c>
      <c r="CY107">
        <v>107307402.38681097</v>
      </c>
      <c r="CZ107">
        <v>0.15664606690406799</v>
      </c>
      <c r="DA107">
        <v>4.1677834279304369</v>
      </c>
      <c r="DB107">
        <v>347280616.91025037</v>
      </c>
      <c r="DC107">
        <v>0.14881376355886458</v>
      </c>
      <c r="DD107">
        <v>1.9001950112592787</v>
      </c>
      <c r="DE107">
        <v>761706241.42455757</v>
      </c>
      <c r="DF107">
        <v>0.13784853887557982</v>
      </c>
      <c r="DG107">
        <v>1.0438427742136851</v>
      </c>
      <c r="DH107">
        <v>1386598092.8883688</v>
      </c>
      <c r="DI107">
        <v>0.12531685352325439</v>
      </c>
      <c r="DJ107">
        <v>0.43958594798711853</v>
      </c>
      <c r="DK107">
        <v>3292622083.6395202</v>
      </c>
      <c r="DL107">
        <v>0.10965224683284758</v>
      </c>
      <c r="DM107">
        <v>98341100</v>
      </c>
      <c r="DN107">
        <v>0.15664606690406799</v>
      </c>
      <c r="DO107">
        <v>1447390400</v>
      </c>
      <c r="DP107">
        <v>2007631900</v>
      </c>
      <c r="DQ107">
        <v>4628</v>
      </c>
      <c r="DR107">
        <v>-2.5171963318410484E-2</v>
      </c>
      <c r="DS107">
        <v>2.1283974544550772</v>
      </c>
      <c r="DT107" s="12">
        <v>-9.000000000000008E-2</v>
      </c>
      <c r="DU107">
        <v>-0.18333333333333335</v>
      </c>
      <c r="DV107">
        <v>-0.27333333333333343</v>
      </c>
      <c r="DW107">
        <v>-2.1086</v>
      </c>
      <c r="DX107">
        <v>0.32631670695807924</v>
      </c>
      <c r="DY107">
        <v>-2.0115459943756475</v>
      </c>
      <c r="DZ107">
        <v>229</v>
      </c>
      <c r="EA107">
        <v>-2.0110285711443319</v>
      </c>
      <c r="EB107">
        <v>2</v>
      </c>
      <c r="EC107">
        <v>9.6813226308853483E-3</v>
      </c>
      <c r="ED107">
        <v>9.1061159698095126E-2</v>
      </c>
      <c r="EE107" s="15">
        <v>7.7009999999999995E-2</v>
      </c>
      <c r="EF107">
        <v>9.6409999999999996E-2</v>
      </c>
      <c r="EG107">
        <v>22.106316706958079</v>
      </c>
      <c r="EH107">
        <v>-1</v>
      </c>
      <c r="EI107">
        <v>0</v>
      </c>
      <c r="EJ107">
        <v>1</v>
      </c>
      <c r="EK107" s="14">
        <v>45470</v>
      </c>
      <c r="EL107" s="16">
        <v>0.09</v>
      </c>
      <c r="EM107" s="16">
        <v>-3.42</v>
      </c>
      <c r="EN107">
        <v>-2.39</v>
      </c>
      <c r="EO107">
        <v>2.9</v>
      </c>
      <c r="EP107">
        <v>-1.94</v>
      </c>
    </row>
    <row r="108" spans="1:146" ht="108" x14ac:dyDescent="0.25">
      <c r="A108" s="7"/>
      <c r="B108" s="7"/>
      <c r="C108" s="7" t="str">
        <f>""&amp;CHAR(10)&amp;Basic_Fundamental_Information_Constructure(F108)&amp;CHAR(10)&amp;Basic_Fundamental_Information_Concatenate("")</f>
        <v xml:space="preserve">
市值10.6433929亿, 利润2235.90万; PE; 平均PE12.94; 平均PEG.44, PB.871; ROIC6.86%; ROE6.2033%; 股利率2.0833%; 毛利27.0333%; 净利8.0333%; 上一年度营收增-17.86%, 利润增-69.22%; 当季营收增6.55%, 利润增-32.37%; 过往5年营收增29.53%, 利润增-7.72%
Income profile:
</v>
      </c>
      <c r="D108" t="s">
        <v>311</v>
      </c>
      <c r="E108" t="s">
        <v>312</v>
      </c>
      <c r="F108">
        <v>12.48</v>
      </c>
      <c r="G108">
        <v>-1.03</v>
      </c>
      <c r="H108" t="s">
        <v>1722</v>
      </c>
      <c r="I108">
        <v>1064339290</v>
      </c>
      <c r="K108">
        <v>0.871</v>
      </c>
      <c r="L108" t="s">
        <v>679</v>
      </c>
      <c r="M108" t="s">
        <v>367</v>
      </c>
      <c r="N108" t="s">
        <v>203</v>
      </c>
      <c r="O108" t="s">
        <v>1533</v>
      </c>
      <c r="P108">
        <v>2.04</v>
      </c>
      <c r="Q108" t="s">
        <v>1018</v>
      </c>
      <c r="R108">
        <v>20234281</v>
      </c>
      <c r="S108" s="5">
        <v>-0.60950000000000004</v>
      </c>
      <c r="T108" t="s">
        <v>1444</v>
      </c>
      <c r="U108">
        <v>84997844</v>
      </c>
      <c r="V108">
        <v>85236229</v>
      </c>
      <c r="W108">
        <v>1.74</v>
      </c>
      <c r="X108">
        <v>0.28000000000000003</v>
      </c>
      <c r="Y108">
        <v>3.16</v>
      </c>
      <c r="Z108" t="s">
        <v>1355</v>
      </c>
      <c r="AA108" t="s">
        <v>526</v>
      </c>
      <c r="AB108" t="s">
        <v>1723</v>
      </c>
      <c r="AC108" t="s">
        <v>1724</v>
      </c>
      <c r="AD108" t="s">
        <v>1725</v>
      </c>
      <c r="AE108">
        <v>5107427</v>
      </c>
      <c r="AF108" t="s">
        <v>1726</v>
      </c>
      <c r="AG108" t="s">
        <v>1727</v>
      </c>
      <c r="AH108" t="s">
        <v>1728</v>
      </c>
      <c r="AI108" t="s">
        <v>681</v>
      </c>
      <c r="AJ108" t="s">
        <v>1729</v>
      </c>
      <c r="AK108" t="s">
        <v>1730</v>
      </c>
      <c r="AL108" t="s">
        <v>1731</v>
      </c>
      <c r="AM108" t="s">
        <v>28</v>
      </c>
      <c r="AN108" t="s">
        <v>1732</v>
      </c>
      <c r="AO108" t="s">
        <v>145</v>
      </c>
      <c r="AP108" t="s">
        <v>93</v>
      </c>
      <c r="AQ108" t="s">
        <v>319</v>
      </c>
      <c r="AR108" t="s">
        <v>28</v>
      </c>
      <c r="AS108" t="s">
        <v>1235</v>
      </c>
      <c r="AT108" t="s">
        <v>451</v>
      </c>
      <c r="AU108" t="s">
        <v>1733</v>
      </c>
      <c r="AV108" t="s">
        <v>1734</v>
      </c>
      <c r="AW108" t="s">
        <v>1735</v>
      </c>
      <c r="AX108" t="s">
        <v>1054</v>
      </c>
      <c r="AY108" t="s">
        <v>246</v>
      </c>
      <c r="AZ108" t="s">
        <v>313</v>
      </c>
      <c r="BA108" t="s">
        <v>632</v>
      </c>
      <c r="BB108" t="s">
        <v>75</v>
      </c>
      <c r="BC108" t="s">
        <v>1055</v>
      </c>
      <c r="BD108" t="s">
        <v>120</v>
      </c>
      <c r="BE108" t="s">
        <v>314</v>
      </c>
      <c r="BF108" t="s">
        <v>633</v>
      </c>
      <c r="BG108" t="s">
        <v>634</v>
      </c>
      <c r="BH108" t="s">
        <v>977</v>
      </c>
      <c r="BI108" t="s">
        <v>1471</v>
      </c>
      <c r="BJ108" t="s">
        <v>77</v>
      </c>
      <c r="BK108" t="s">
        <v>1736</v>
      </c>
      <c r="BL108" t="s">
        <v>1737</v>
      </c>
      <c r="BM108" t="s">
        <v>1507</v>
      </c>
      <c r="BN108">
        <v>0.26</v>
      </c>
      <c r="BO108">
        <v>5.88</v>
      </c>
      <c r="BP108">
        <v>14.44</v>
      </c>
      <c r="BQ108">
        <v>0.2</v>
      </c>
      <c r="BR108">
        <v>6.26</v>
      </c>
      <c r="BS108">
        <v>12.15</v>
      </c>
      <c r="BT108" t="s">
        <v>1445</v>
      </c>
      <c r="BU108" t="s">
        <v>1153</v>
      </c>
      <c r="BV108">
        <v>20.65</v>
      </c>
      <c r="BW108">
        <v>28.36</v>
      </c>
      <c r="BX108">
        <v>32.090000000000003</v>
      </c>
      <c r="BY108">
        <v>1.36</v>
      </c>
      <c r="BZ108">
        <v>6.89</v>
      </c>
      <c r="CA108">
        <v>15.85</v>
      </c>
      <c r="CB108">
        <v>9</v>
      </c>
      <c r="CC108">
        <v>10.74</v>
      </c>
      <c r="CD108" t="s">
        <v>1738</v>
      </c>
      <c r="CE108" t="s">
        <v>1739</v>
      </c>
      <c r="CF108" s="10">
        <v>6.5502183406113537E-2</v>
      </c>
      <c r="CG108" s="11">
        <v>-0.32366913564402722</v>
      </c>
      <c r="CH108" s="10">
        <v>-0.17860554158687592</v>
      </c>
      <c r="CI108" s="10">
        <v>0.31203007698059082</v>
      </c>
      <c r="CJ108" s="10">
        <v>3.1007751822471619E-2</v>
      </c>
      <c r="CK108" s="10">
        <v>0.56997972726821899</v>
      </c>
      <c r="CL108" s="10">
        <v>0.7420494556427002</v>
      </c>
      <c r="CM108" s="11">
        <v>-0.69215792417526245</v>
      </c>
      <c r="CN108" s="11">
        <v>-0.42356032133102417</v>
      </c>
      <c r="CO108" s="11">
        <v>8.0000003799796104E-3</v>
      </c>
      <c r="CP108" s="11">
        <v>0.60601693391799927</v>
      </c>
      <c r="CQ108" s="11">
        <v>0.11580813676118851</v>
      </c>
      <c r="CR108">
        <v>12.938279202288436</v>
      </c>
      <c r="CS108">
        <v>0.43815160314256646</v>
      </c>
      <c r="CT108">
        <v>2.0833333333333335</v>
      </c>
      <c r="CU108" s="10">
        <v>0.29529229402542112</v>
      </c>
      <c r="CV108" s="11">
        <v>-7.717863488942385E-2</v>
      </c>
      <c r="CW108">
        <v>0.06</v>
      </c>
      <c r="CX108">
        <v>26.950304838533395</v>
      </c>
      <c r="CY108">
        <v>27322113.586900368</v>
      </c>
      <c r="CZ108">
        <v>0.29529229402542112</v>
      </c>
      <c r="DA108">
        <v>7.433307892000947</v>
      </c>
      <c r="DB108">
        <v>99059436.350320116</v>
      </c>
      <c r="DC108">
        <v>0.28052767932415007</v>
      </c>
      <c r="DD108">
        <v>2.8720696433576429</v>
      </c>
      <c r="DE108">
        <v>256379329.69451597</v>
      </c>
      <c r="DF108">
        <v>0.25985721874237061</v>
      </c>
      <c r="DG108">
        <v>1.284373463909783</v>
      </c>
      <c r="DH108">
        <v>573306215.59129465</v>
      </c>
      <c r="DI108">
        <v>0.23623383522033692</v>
      </c>
      <c r="DJ108">
        <v>0.32385195626475466</v>
      </c>
      <c r="DK108">
        <v>2273691036.1536608</v>
      </c>
      <c r="DL108">
        <v>0.20670460581779476</v>
      </c>
      <c r="DM108">
        <v>22359000</v>
      </c>
      <c r="DN108">
        <v>0.29529229402542112</v>
      </c>
      <c r="DO108">
        <v>736339290</v>
      </c>
      <c r="DP108">
        <v>901581800</v>
      </c>
      <c r="DQ108">
        <v>4703</v>
      </c>
      <c r="DR108">
        <v>-0.2297901106193076</v>
      </c>
      <c r="DS108">
        <v>-0.24649050075460338</v>
      </c>
      <c r="DT108" s="12">
        <v>-0.14000000000000004</v>
      </c>
      <c r="DU108">
        <v>-0.69</v>
      </c>
      <c r="DV108">
        <v>-0.83</v>
      </c>
      <c r="DW108">
        <v>9.8379888268156428</v>
      </c>
      <c r="DX108">
        <v>0.34114072321573446</v>
      </c>
      <c r="DY108">
        <v>9.1182743490634657</v>
      </c>
      <c r="DZ108">
        <v>3678</v>
      </c>
      <c r="EA108">
        <v>9.0332444319689724</v>
      </c>
      <c r="EB108">
        <v>9</v>
      </c>
      <c r="EC108">
        <v>5.71118649559215E-2</v>
      </c>
      <c r="ED108">
        <v>0.4046448371149784</v>
      </c>
      <c r="EE108" s="15">
        <v>-4.0235099999999999</v>
      </c>
      <c r="EF108">
        <v>-4.0338099999999999</v>
      </c>
      <c r="EG108">
        <v>20.141140723215734</v>
      </c>
      <c r="EH108" t="s">
        <v>1740</v>
      </c>
      <c r="EI108">
        <v>1</v>
      </c>
      <c r="EJ108">
        <v>0</v>
      </c>
      <c r="EK108" s="14">
        <v>45385</v>
      </c>
      <c r="EL108" s="16">
        <v>2.88</v>
      </c>
      <c r="EM108" s="16">
        <v>2.89</v>
      </c>
      <c r="EN108">
        <v>2.64</v>
      </c>
      <c r="EO108">
        <v>1.37</v>
      </c>
      <c r="EP108">
        <v>-1.03</v>
      </c>
    </row>
    <row r="109" spans="1:146" ht="108" x14ac:dyDescent="0.25">
      <c r="A109" s="8"/>
      <c r="B109" s="8"/>
      <c r="C109" s="8" t="str">
        <f>""&amp;CHAR(10)&amp;Basic_Fundamental_Information_Constructure(F109)&amp;CHAR(10)&amp;Basic_Fundamental_Information_Concatenate("")</f>
        <v xml:space="preserve">
市值21.702408亿, 利润-4155.24万; PE29.1; 平均PE13.12; 平均PEG.04, PB.808; ROIC6.9067%; ROE9.98%; 股利率2.2945%; 毛利43.6867%; 净利19.4533%; 上一年度营收增-57.84%, 利润增-123.74%; 当季营收增135.27%, 利润增309.75%; 过往5年营收增330.33%, 利润增-28.6%
Income profile:
</v>
      </c>
      <c r="D109" t="s">
        <v>1199</v>
      </c>
      <c r="E109" t="s">
        <v>1200</v>
      </c>
      <c r="F109">
        <v>15.69</v>
      </c>
      <c r="G109">
        <v>1.75</v>
      </c>
      <c r="H109" t="s">
        <v>4010</v>
      </c>
      <c r="I109">
        <v>2170240800</v>
      </c>
      <c r="J109">
        <v>29.1</v>
      </c>
      <c r="K109">
        <v>0.80800000000000005</v>
      </c>
      <c r="L109" t="s">
        <v>1747</v>
      </c>
      <c r="M109" t="s">
        <v>1586</v>
      </c>
      <c r="N109" t="s">
        <v>4011</v>
      </c>
      <c r="O109" t="s">
        <v>90</v>
      </c>
      <c r="P109">
        <v>-17.14</v>
      </c>
      <c r="Q109" t="s">
        <v>280</v>
      </c>
      <c r="R109">
        <v>22380670</v>
      </c>
      <c r="S109" s="5">
        <v>-0.38119999999999998</v>
      </c>
      <c r="T109" t="s">
        <v>4012</v>
      </c>
      <c r="U109">
        <v>43769916</v>
      </c>
      <c r="V109">
        <v>138320000</v>
      </c>
      <c r="W109">
        <v>1.23</v>
      </c>
      <c r="X109">
        <v>0.04</v>
      </c>
      <c r="Y109">
        <v>11.62</v>
      </c>
      <c r="Z109" t="s">
        <v>84</v>
      </c>
      <c r="AA109" t="s">
        <v>4013</v>
      </c>
      <c r="AB109" t="s">
        <v>4014</v>
      </c>
      <c r="AC109" t="s">
        <v>4015</v>
      </c>
      <c r="AD109" t="s">
        <v>28</v>
      </c>
      <c r="AE109">
        <v>900178</v>
      </c>
      <c r="AF109" t="s">
        <v>4016</v>
      </c>
      <c r="AG109">
        <v>-4562.29</v>
      </c>
      <c r="AH109" t="s">
        <v>4017</v>
      </c>
      <c r="AI109" t="s">
        <v>1561</v>
      </c>
      <c r="AJ109" t="s">
        <v>4018</v>
      </c>
      <c r="AK109" t="s">
        <v>4019</v>
      </c>
      <c r="AL109" t="s">
        <v>4020</v>
      </c>
      <c r="AM109" t="s">
        <v>28</v>
      </c>
      <c r="AN109" t="s">
        <v>229</v>
      </c>
      <c r="AO109" t="s">
        <v>4021</v>
      </c>
      <c r="AP109" t="s">
        <v>28</v>
      </c>
      <c r="AQ109" t="s">
        <v>114</v>
      </c>
      <c r="AR109" t="s">
        <v>28</v>
      </c>
      <c r="AS109" t="s">
        <v>566</v>
      </c>
      <c r="AT109" t="s">
        <v>226</v>
      </c>
      <c r="AU109" t="s">
        <v>4022</v>
      </c>
      <c r="AV109" t="s">
        <v>4023</v>
      </c>
      <c r="AW109" t="s">
        <v>4024</v>
      </c>
      <c r="AX109" t="s">
        <v>646</v>
      </c>
      <c r="AY109" t="s">
        <v>697</v>
      </c>
      <c r="AZ109" t="s">
        <v>1201</v>
      </c>
      <c r="BA109" t="s">
        <v>1202</v>
      </c>
      <c r="BB109" t="s">
        <v>1203</v>
      </c>
      <c r="BC109" t="s">
        <v>45</v>
      </c>
      <c r="BD109" t="s">
        <v>119</v>
      </c>
      <c r="BE109" t="s">
        <v>212</v>
      </c>
      <c r="BF109" t="s">
        <v>301</v>
      </c>
      <c r="BG109" t="s">
        <v>149</v>
      </c>
      <c r="BH109" t="s">
        <v>989</v>
      </c>
      <c r="BI109" t="s">
        <v>4025</v>
      </c>
      <c r="BJ109" t="s">
        <v>646</v>
      </c>
      <c r="BK109" t="s">
        <v>4026</v>
      </c>
      <c r="BL109" t="s">
        <v>4027</v>
      </c>
      <c r="BM109" t="s">
        <v>45</v>
      </c>
      <c r="BN109">
        <v>2.4</v>
      </c>
      <c r="BO109">
        <v>6.57</v>
      </c>
      <c r="BP109">
        <v>11.75</v>
      </c>
      <c r="BQ109">
        <v>3.49</v>
      </c>
      <c r="BR109">
        <v>9.69</v>
      </c>
      <c r="BS109">
        <v>16.760000000000002</v>
      </c>
      <c r="BT109" t="s">
        <v>2795</v>
      </c>
      <c r="BU109" t="s">
        <v>1061</v>
      </c>
      <c r="BV109">
        <v>37.22</v>
      </c>
      <c r="BW109">
        <v>44.83</v>
      </c>
      <c r="BX109">
        <v>49.01</v>
      </c>
      <c r="BY109">
        <v>8.1999999999999993</v>
      </c>
      <c r="BZ109">
        <v>22.79</v>
      </c>
      <c r="CA109">
        <v>27.37</v>
      </c>
      <c r="CB109">
        <v>-1.69</v>
      </c>
      <c r="CC109">
        <v>-10.5</v>
      </c>
      <c r="CD109" t="s">
        <v>4028</v>
      </c>
      <c r="CE109" t="s">
        <v>4029</v>
      </c>
      <c r="CF109" s="10">
        <v>1.3526562527029597</v>
      </c>
      <c r="CG109" s="11">
        <v>3.0975323336457357</v>
      </c>
      <c r="CH109" s="10">
        <v>-0.5784447193145752</v>
      </c>
      <c r="CI109" s="10">
        <v>9.8950527608394623E-2</v>
      </c>
      <c r="CJ109" s="10">
        <v>-2.9895366169512272E-3</v>
      </c>
      <c r="CK109" s="10">
        <v>9.6721313893795013E-2</v>
      </c>
      <c r="CL109" s="10">
        <v>16.902109146118164</v>
      </c>
      <c r="CM109" s="11">
        <v>-1.2374422550201416</v>
      </c>
      <c r="CN109" s="11">
        <v>-7.4074074625968933E-2</v>
      </c>
      <c r="CO109" s="11">
        <v>-0.18181818723678589</v>
      </c>
      <c r="CP109" s="11">
        <v>4.0540538728237152E-2</v>
      </c>
      <c r="CQ109" s="11">
        <v>2.3041475564241409E-2</v>
      </c>
      <c r="CR109">
        <v>13.120536338643975</v>
      </c>
      <c r="CS109">
        <v>3.9719850133293898E-2</v>
      </c>
      <c r="CT109">
        <v>2.2944550669216062</v>
      </c>
      <c r="CU109" s="10">
        <v>3.3032693463377654</v>
      </c>
      <c r="CV109" s="11">
        <v>-0.28595050051808357</v>
      </c>
      <c r="CW109">
        <v>0.06</v>
      </c>
      <c r="CX109" t="e">
        <v>#VALUE!</v>
      </c>
      <c r="CY109" t="s">
        <v>1158</v>
      </c>
      <c r="CZ109">
        <v>3.3032693463377654</v>
      </c>
      <c r="DA109" t="e">
        <v>#VALUE!</v>
      </c>
      <c r="DB109" t="s">
        <v>1158</v>
      </c>
      <c r="DC109">
        <v>3.1381058790208769</v>
      </c>
      <c r="DD109" t="e">
        <v>#VALUE!</v>
      </c>
      <c r="DE109" t="s">
        <v>1158</v>
      </c>
      <c r="DF109">
        <v>2.9068770247772338</v>
      </c>
      <c r="DG109" t="e">
        <v>#VALUE!</v>
      </c>
      <c r="DH109" t="s">
        <v>1158</v>
      </c>
      <c r="DI109">
        <v>2.6426154770702124</v>
      </c>
      <c r="DJ109" t="e">
        <v>#VALUE!</v>
      </c>
      <c r="DK109" t="s">
        <v>1158</v>
      </c>
      <c r="DL109">
        <v>2.3122885424364354</v>
      </c>
      <c r="DM109">
        <v>-41552400</v>
      </c>
      <c r="DN109">
        <v>3.3032693463377654</v>
      </c>
      <c r="DO109">
        <v>111240800</v>
      </c>
      <c r="DP109">
        <v>1353941200</v>
      </c>
      <c r="DQ109">
        <v>4861</v>
      </c>
      <c r="DR109">
        <v>-1.9506130936348056</v>
      </c>
      <c r="DS109">
        <v>3.3834828341638192</v>
      </c>
      <c r="DT109" s="12">
        <v>-0.12333333333333336</v>
      </c>
      <c r="DU109">
        <v>-1.1033333333333333</v>
      </c>
      <c r="DV109">
        <v>-1.2266666666666666</v>
      </c>
      <c r="DW109">
        <v>-2.105</v>
      </c>
      <c r="DX109">
        <v>0.2876510989010973</v>
      </c>
      <c r="DY109">
        <v>-2.0134033653846153</v>
      </c>
      <c r="DZ109">
        <v>3246</v>
      </c>
      <c r="EA109">
        <v>-2.0048892119524311</v>
      </c>
      <c r="EB109">
        <v>2</v>
      </c>
      <c r="EC109">
        <v>6.7184788895315222E-3</v>
      </c>
      <c r="ED109">
        <v>5.2631578947368418E-2</v>
      </c>
      <c r="EE109" s="15">
        <v>4.6609999999999999E-2</v>
      </c>
      <c r="EF109">
        <v>6.4210000000000003E-2</v>
      </c>
      <c r="EG109">
        <v>16.127651098901097</v>
      </c>
      <c r="EH109">
        <v>-1</v>
      </c>
      <c r="EI109">
        <v>0</v>
      </c>
      <c r="EJ109">
        <v>0</v>
      </c>
      <c r="EK109" s="14">
        <v>45470</v>
      </c>
      <c r="EL109" s="16">
        <v>-1.71</v>
      </c>
      <c r="EM109" s="16">
        <v>-6.52</v>
      </c>
      <c r="EN109">
        <v>-2.65</v>
      </c>
      <c r="EO109">
        <v>3.23</v>
      </c>
      <c r="EP109">
        <v>-1.76</v>
      </c>
    </row>
    <row r="110" spans="1:146" ht="108" x14ac:dyDescent="0.25">
      <c r="C110" s="8" t="str">
        <f>""&amp;CHAR(10)&amp;Basic_Fundamental_Information_Constructure(F110)&amp;CHAR(10)&amp;Basic_Fundamental_Information_Concatenate("")</f>
        <v xml:space="preserve">
市值14.146376亿, 利润1.47亿; PE19.65; 平均PE17; 平均PEG3.76, PB1.23; ROIC5.7733%; ROE6.4%; 股利率3.5683%; 毛利35.2167%; 净利12%; 上一年度营收增-33.68%, 利润增91.44%; 当季营收增8.91%, 利润增-75.08%; 过往5年营收增4.52%, 利润增21.82%
Income profile:
</v>
      </c>
      <c r="D110" t="s">
        <v>317</v>
      </c>
      <c r="E110" t="s">
        <v>318</v>
      </c>
      <c r="F110">
        <v>11.49</v>
      </c>
      <c r="G110">
        <v>-0.95</v>
      </c>
      <c r="H110" t="s">
        <v>4030</v>
      </c>
      <c r="I110">
        <v>1414637600</v>
      </c>
      <c r="J110">
        <v>19.649999999999999</v>
      </c>
      <c r="K110">
        <v>1.23</v>
      </c>
      <c r="L110" t="s">
        <v>1747</v>
      </c>
      <c r="M110" t="s">
        <v>367</v>
      </c>
      <c r="N110" t="s">
        <v>1666</v>
      </c>
      <c r="O110" t="s">
        <v>241</v>
      </c>
      <c r="P110">
        <v>25.93</v>
      </c>
      <c r="Q110" t="s">
        <v>566</v>
      </c>
      <c r="R110">
        <v>8682357</v>
      </c>
      <c r="S110" s="5">
        <v>0.16400000000000001</v>
      </c>
      <c r="T110" t="s">
        <v>136</v>
      </c>
      <c r="U110">
        <v>123119025</v>
      </c>
      <c r="V110">
        <v>123119025</v>
      </c>
      <c r="W110">
        <v>1.77</v>
      </c>
      <c r="X110">
        <v>0.05</v>
      </c>
      <c r="Y110">
        <v>9.51</v>
      </c>
      <c r="Z110" t="s">
        <v>4031</v>
      </c>
      <c r="AA110" t="s">
        <v>4032</v>
      </c>
      <c r="AB110" t="s">
        <v>4033</v>
      </c>
      <c r="AC110" t="s">
        <v>4034</v>
      </c>
      <c r="AD110" t="s">
        <v>28</v>
      </c>
      <c r="AE110">
        <v>1797861</v>
      </c>
      <c r="AF110" t="s">
        <v>4035</v>
      </c>
      <c r="AG110" t="s">
        <v>4036</v>
      </c>
      <c r="AH110" t="s">
        <v>4037</v>
      </c>
      <c r="AI110" t="s">
        <v>4038</v>
      </c>
      <c r="AJ110" t="s">
        <v>4039</v>
      </c>
      <c r="AK110" t="s">
        <v>4040</v>
      </c>
      <c r="AL110" t="s">
        <v>4041</v>
      </c>
      <c r="AM110" t="s">
        <v>28</v>
      </c>
      <c r="AN110" t="s">
        <v>4042</v>
      </c>
      <c r="AO110" t="s">
        <v>28</v>
      </c>
      <c r="AP110" t="s">
        <v>4043</v>
      </c>
      <c r="AQ110" t="s">
        <v>1630</v>
      </c>
      <c r="AR110" t="s">
        <v>28</v>
      </c>
      <c r="AS110" t="s">
        <v>1417</v>
      </c>
      <c r="AT110" t="s">
        <v>1516</v>
      </c>
      <c r="AU110" t="s">
        <v>4044</v>
      </c>
      <c r="AV110" t="s">
        <v>4045</v>
      </c>
      <c r="AW110" t="s">
        <v>4046</v>
      </c>
      <c r="AX110" t="s">
        <v>1410</v>
      </c>
      <c r="AY110" t="s">
        <v>157</v>
      </c>
      <c r="AZ110" t="s">
        <v>635</v>
      </c>
      <c r="BA110" t="s">
        <v>320</v>
      </c>
      <c r="BB110" t="s">
        <v>249</v>
      </c>
      <c r="BC110" t="s">
        <v>1446</v>
      </c>
      <c r="BD110" t="s">
        <v>1447</v>
      </c>
      <c r="BE110" t="s">
        <v>636</v>
      </c>
      <c r="BF110" t="s">
        <v>321</v>
      </c>
      <c r="BG110" t="s">
        <v>637</v>
      </c>
      <c r="BH110" t="s">
        <v>1508</v>
      </c>
      <c r="BI110" t="s">
        <v>110</v>
      </c>
      <c r="BJ110" t="s">
        <v>1410</v>
      </c>
      <c r="BK110" t="s">
        <v>4047</v>
      </c>
      <c r="BL110" t="s">
        <v>4048</v>
      </c>
      <c r="BM110" t="s">
        <v>1446</v>
      </c>
      <c r="BN110">
        <v>4.9800000000000004</v>
      </c>
      <c r="BO110">
        <v>6.47</v>
      </c>
      <c r="BP110">
        <v>5.87</v>
      </c>
      <c r="BQ110">
        <v>5.64</v>
      </c>
      <c r="BR110">
        <v>7.29</v>
      </c>
      <c r="BS110">
        <v>6.27</v>
      </c>
      <c r="BT110" t="s">
        <v>4049</v>
      </c>
      <c r="BU110" t="s">
        <v>1159</v>
      </c>
      <c r="BV110">
        <v>39.14</v>
      </c>
      <c r="BW110">
        <v>34.11</v>
      </c>
      <c r="BX110">
        <v>32.4</v>
      </c>
      <c r="BY110">
        <v>12.78</v>
      </c>
      <c r="BZ110">
        <v>11.36</v>
      </c>
      <c r="CA110">
        <v>11.86</v>
      </c>
      <c r="CB110">
        <v>-3.61</v>
      </c>
      <c r="CC110">
        <v>-10.23</v>
      </c>
      <c r="CD110" t="s">
        <v>4050</v>
      </c>
      <c r="CE110" t="s">
        <v>4051</v>
      </c>
      <c r="CF110" s="10">
        <v>8.9108910891089257E-2</v>
      </c>
      <c r="CG110" s="11">
        <v>-0.75077053575529329</v>
      </c>
      <c r="CH110" s="10">
        <v>-0.33681073784828186</v>
      </c>
      <c r="CI110" s="10">
        <v>0.19821429252624512</v>
      </c>
      <c r="CJ110" s="10">
        <v>5.3859963081777096E-3</v>
      </c>
      <c r="CK110" s="10">
        <v>0.10297029465436935</v>
      </c>
      <c r="CL110" s="10">
        <v>0.25621891021728516</v>
      </c>
      <c r="CM110" s="11">
        <v>0.91441905498504639</v>
      </c>
      <c r="CN110" s="11">
        <v>0.23250727355480194</v>
      </c>
      <c r="CO110" s="11">
        <v>-0.13018396496772766</v>
      </c>
      <c r="CP110" s="11">
        <v>-4.1422750800848007E-2</v>
      </c>
      <c r="CQ110" s="11">
        <v>0.11576034128665924</v>
      </c>
      <c r="CR110">
        <v>16.996097505298877</v>
      </c>
      <c r="CS110">
        <v>3.7605520573788422</v>
      </c>
      <c r="CT110">
        <v>3.5683202785030459</v>
      </c>
      <c r="CU110" s="10">
        <v>4.5195751171559093E-2</v>
      </c>
      <c r="CV110" s="11">
        <v>0.21821599081158638</v>
      </c>
      <c r="CW110">
        <v>0.06</v>
      </c>
      <c r="CX110">
        <v>7.8762439459359728</v>
      </c>
      <c r="CY110">
        <v>144946957.94548979</v>
      </c>
      <c r="CZ110">
        <v>4.5195751171559093E-2</v>
      </c>
      <c r="DA110">
        <v>2.6739174159316903</v>
      </c>
      <c r="DB110">
        <v>426953201.02180934</v>
      </c>
      <c r="DC110">
        <v>4.2935963612981139E-2</v>
      </c>
      <c r="DD110">
        <v>1.3839210816360279</v>
      </c>
      <c r="DE110">
        <v>824929698.05069518</v>
      </c>
      <c r="DF110">
        <v>3.9772261030971999E-2</v>
      </c>
      <c r="DG110">
        <v>0.87826718665507619</v>
      </c>
      <c r="DH110">
        <v>1299875046.3944612</v>
      </c>
      <c r="DI110">
        <v>3.6156600937247277E-2</v>
      </c>
      <c r="DJ110">
        <v>0.50999001989531456</v>
      </c>
      <c r="DK110">
        <v>2238548903.8282423</v>
      </c>
      <c r="DL110">
        <v>3.1637025820091362E-2</v>
      </c>
      <c r="DM110">
        <v>147000000</v>
      </c>
      <c r="DN110">
        <v>4.5195751171559093E-2</v>
      </c>
      <c r="DO110">
        <v>1141637600</v>
      </c>
      <c r="DP110">
        <v>762205040</v>
      </c>
      <c r="DQ110">
        <v>4912</v>
      </c>
      <c r="DR110">
        <v>4.3913159719530165E-2</v>
      </c>
      <c r="DS110">
        <v>-0.96898652656687967</v>
      </c>
      <c r="DT110" s="12">
        <v>-0.35666666666666669</v>
      </c>
      <c r="DU110">
        <v>4.33333333333333E-2</v>
      </c>
      <c r="DV110">
        <v>-0.31333333333333341</v>
      </c>
      <c r="DW110">
        <v>-8.3528836754643212</v>
      </c>
      <c r="DX110">
        <v>0.41715476796868683</v>
      </c>
      <c r="DY110">
        <v>-8.0448708418736032</v>
      </c>
      <c r="DZ110">
        <v>1998</v>
      </c>
      <c r="EA110">
        <v>-8.0273264305108913</v>
      </c>
      <c r="EB110">
        <v>8</v>
      </c>
      <c r="EC110">
        <v>1.5409478754400468E-2</v>
      </c>
      <c r="ED110">
        <v>0.12118679464851188</v>
      </c>
      <c r="EE110" s="15">
        <v>-6.0801100000000003</v>
      </c>
      <c r="EF110">
        <v>-6.1032099999999998</v>
      </c>
      <c r="EG110">
        <v>29.127154767968687</v>
      </c>
      <c r="EH110" t="s">
        <v>1807</v>
      </c>
      <c r="EI110">
        <v>0</v>
      </c>
      <c r="EJ110">
        <v>0</v>
      </c>
      <c r="EK110" s="14">
        <v>45470</v>
      </c>
      <c r="EL110" s="16">
        <v>0.61</v>
      </c>
      <c r="EM110" s="16">
        <v>-6.37</v>
      </c>
      <c r="EN110">
        <v>-0.49</v>
      </c>
      <c r="EO110">
        <v>5.54</v>
      </c>
      <c r="EP110">
        <v>-2.31</v>
      </c>
    </row>
    <row r="111" spans="1:146" ht="108" x14ac:dyDescent="0.25">
      <c r="C111" s="8" t="str">
        <f>""&amp;CHAR(10)&amp;Basic_Fundamental_Information_Constructure(F111)&amp;CHAR(10)&amp;Basic_Fundamental_Information_Concatenate("")</f>
        <v xml:space="preserve">
市值24.451165亿, 利润2.61亿; PE15.64; 平均PE31.59; 平均PEG.51, PB2.41; ROIC8.71%; ROE10.45%; 股利率1.9493%; 毛利30.2267%; 净利12.4333%; 上一年度营收增224.82%, 利润增294.11%; 当季营收增-63.64%, 利润增156.54%; 过往5年营收增62.51%, 利润增121.88%
Income profile:
</v>
      </c>
      <c r="D111" t="s">
        <v>1236</v>
      </c>
      <c r="E111" t="s">
        <v>4052</v>
      </c>
      <c r="F111">
        <v>25.65</v>
      </c>
      <c r="G111">
        <v>2.48</v>
      </c>
      <c r="H111" t="s">
        <v>4053</v>
      </c>
      <c r="I111">
        <v>2445116500</v>
      </c>
      <c r="J111">
        <v>15.64</v>
      </c>
      <c r="K111">
        <v>2.41</v>
      </c>
      <c r="L111" t="s">
        <v>1747</v>
      </c>
      <c r="M111" t="s">
        <v>1564</v>
      </c>
      <c r="N111" t="s">
        <v>2890</v>
      </c>
      <c r="O111" t="s">
        <v>451</v>
      </c>
      <c r="P111">
        <v>2.57</v>
      </c>
      <c r="Q111" t="s">
        <v>4054</v>
      </c>
      <c r="R111">
        <v>79420238</v>
      </c>
      <c r="S111">
        <v>4.9269999999999996</v>
      </c>
      <c r="T111" t="s">
        <v>425</v>
      </c>
      <c r="U111">
        <v>62660846</v>
      </c>
      <c r="V111">
        <v>95326179</v>
      </c>
      <c r="W111">
        <v>1.52</v>
      </c>
      <c r="X111">
        <v>7.0000000000000007E-2</v>
      </c>
      <c r="Y111">
        <v>77.510000000000005</v>
      </c>
      <c r="Z111" t="s">
        <v>4055</v>
      </c>
      <c r="AA111" t="s">
        <v>4056</v>
      </c>
      <c r="AB111" t="s">
        <v>4057</v>
      </c>
      <c r="AC111" t="s">
        <v>4058</v>
      </c>
      <c r="AD111" t="s">
        <v>28</v>
      </c>
      <c r="AE111">
        <v>686266</v>
      </c>
      <c r="AF111" t="s">
        <v>4059</v>
      </c>
      <c r="AG111" t="s">
        <v>28</v>
      </c>
      <c r="AH111" t="s">
        <v>4060</v>
      </c>
      <c r="AI111" t="s">
        <v>310</v>
      </c>
      <c r="AJ111" t="s">
        <v>4061</v>
      </c>
      <c r="AK111" t="s">
        <v>4062</v>
      </c>
      <c r="AL111" t="s">
        <v>4063</v>
      </c>
      <c r="AM111" t="s">
        <v>28</v>
      </c>
      <c r="AN111" t="s">
        <v>4064</v>
      </c>
      <c r="AO111" t="s">
        <v>4065</v>
      </c>
      <c r="AP111" t="s">
        <v>4066</v>
      </c>
      <c r="AQ111" t="s">
        <v>197</v>
      </c>
      <c r="AR111" t="s">
        <v>28</v>
      </c>
      <c r="AS111" t="s">
        <v>980</v>
      </c>
      <c r="AT111" t="s">
        <v>28</v>
      </c>
      <c r="AU111" t="s">
        <v>4067</v>
      </c>
      <c r="AV111" t="s">
        <v>4068</v>
      </c>
      <c r="AW111" t="s">
        <v>4069</v>
      </c>
      <c r="AX111" t="s">
        <v>1413</v>
      </c>
      <c r="AY111" t="s">
        <v>714</v>
      </c>
      <c r="AZ111" t="s">
        <v>1195</v>
      </c>
      <c r="BA111" t="s">
        <v>721</v>
      </c>
      <c r="BB111" t="s">
        <v>235</v>
      </c>
      <c r="BC111" t="s">
        <v>1449</v>
      </c>
      <c r="BD111" t="s">
        <v>1237</v>
      </c>
      <c r="BE111" t="s">
        <v>1238</v>
      </c>
      <c r="BF111" t="s">
        <v>1239</v>
      </c>
      <c r="BG111" t="s">
        <v>1240</v>
      </c>
      <c r="BH111" t="s">
        <v>719</v>
      </c>
      <c r="BI111" t="s">
        <v>455</v>
      </c>
      <c r="BJ111" t="s">
        <v>1413</v>
      </c>
      <c r="BK111" t="s">
        <v>4070</v>
      </c>
      <c r="BL111" t="s">
        <v>4071</v>
      </c>
      <c r="BM111" t="s">
        <v>1449</v>
      </c>
      <c r="BN111">
        <v>6.2</v>
      </c>
      <c r="BO111">
        <v>9.86</v>
      </c>
      <c r="BP111">
        <v>10.07</v>
      </c>
      <c r="BQ111">
        <v>6.12</v>
      </c>
      <c r="BR111">
        <v>13.78</v>
      </c>
      <c r="BS111">
        <v>11.45</v>
      </c>
      <c r="BT111" t="s">
        <v>3936</v>
      </c>
      <c r="BU111" t="s">
        <v>1153</v>
      </c>
      <c r="BV111">
        <v>28.83</v>
      </c>
      <c r="BW111">
        <v>30.7</v>
      </c>
      <c r="BX111">
        <v>31.15</v>
      </c>
      <c r="BY111">
        <v>11.76</v>
      </c>
      <c r="BZ111">
        <v>12.91</v>
      </c>
      <c r="CA111">
        <v>12.63</v>
      </c>
      <c r="CB111">
        <v>-6.25</v>
      </c>
      <c r="CC111" s="10">
        <v>-20.239999999999998</v>
      </c>
      <c r="CD111" s="11" t="s">
        <v>4072</v>
      </c>
      <c r="CE111" s="10" t="s">
        <v>4073</v>
      </c>
      <c r="CF111" s="10">
        <v>-0.63636363636363635</v>
      </c>
      <c r="CG111" s="10">
        <v>1.5653691704405237</v>
      </c>
      <c r="CH111" s="10">
        <v>2.2481751441955566</v>
      </c>
      <c r="CI111" s="10">
        <v>0.42337661981582642</v>
      </c>
      <c r="CJ111" s="11">
        <v>8.1460677087306976E-2</v>
      </c>
      <c r="CK111" s="11">
        <v>-0.2376873642206192</v>
      </c>
      <c r="CL111" s="11">
        <v>0.61034482717514038</v>
      </c>
      <c r="CM111" s="11">
        <v>2.941068172454834</v>
      </c>
      <c r="CN111" s="11">
        <v>0.48390963673591614</v>
      </c>
      <c r="CO111">
        <v>-2.9521515592932701E-2</v>
      </c>
      <c r="CP111">
        <v>0.27405256032943726</v>
      </c>
      <c r="CQ111">
        <v>2.4244010448455811</v>
      </c>
      <c r="CR111" s="10">
        <v>31.585408624020431</v>
      </c>
      <c r="CS111" s="11">
        <v>0.5052582261335733</v>
      </c>
      <c r="CT111">
        <v>1.9493177387914231</v>
      </c>
      <c r="CU111">
        <v>0.6251339808106422</v>
      </c>
      <c r="CV111">
        <v>1.2187819797545671</v>
      </c>
      <c r="CW111">
        <v>0.06</v>
      </c>
      <c r="CX111">
        <v>4.7984808534357821</v>
      </c>
      <c r="CY111">
        <v>400150914.14299768</v>
      </c>
      <c r="CZ111">
        <v>0.6251339808106422</v>
      </c>
      <c r="DA111">
        <v>1.0268512651066186</v>
      </c>
      <c r="DB111">
        <v>1869907127.9818048</v>
      </c>
      <c r="DC111">
        <v>0.59387728177011001</v>
      </c>
      <c r="DD111">
        <v>0.26491857496593257</v>
      </c>
      <c r="DE111">
        <v>7247949677.5449553</v>
      </c>
      <c r="DF111">
        <v>0.55011790311336517</v>
      </c>
      <c r="DG111">
        <v>6.9127424816067429E-2</v>
      </c>
      <c r="DH111">
        <v>27776479524.718288</v>
      </c>
      <c r="DI111">
        <v>0.50010718464851378</v>
      </c>
      <c r="DJ111">
        <v>4.3696865746831372E-3</v>
      </c>
      <c r="DK111">
        <v>439417442689.06403</v>
      </c>
      <c r="DL111">
        <v>0.43759378656744952</v>
      </c>
      <c r="DM111">
        <v>261000000</v>
      </c>
      <c r="DN111">
        <v>0.6251339808106422</v>
      </c>
      <c r="DO111">
        <v>1920116500</v>
      </c>
      <c r="DP111">
        <v>548552380</v>
      </c>
      <c r="DQ111" s="12">
        <v>4919</v>
      </c>
      <c r="DR111">
        <v>-1.2614976171742787</v>
      </c>
      <c r="DS111">
        <v>0.34658719068595656</v>
      </c>
      <c r="DT111">
        <v>9.3333333333333268E-2</v>
      </c>
      <c r="DU111">
        <v>1.5333333333333332</v>
      </c>
      <c r="DV111">
        <v>1.6266666666666665</v>
      </c>
      <c r="DW111">
        <v>-9.3087944664031621</v>
      </c>
      <c r="DX111">
        <v>0.33816249973050783</v>
      </c>
      <c r="DY111">
        <v>-9.0581035387013671</v>
      </c>
      <c r="DZ111">
        <v>55</v>
      </c>
      <c r="EA111">
        <v>-9.0574781581478305</v>
      </c>
      <c r="EB111" s="15">
        <v>9</v>
      </c>
      <c r="EC111">
        <v>2.7466746569166482E-2</v>
      </c>
      <c r="ED111">
        <v>0.14597354206340318</v>
      </c>
      <c r="EE111">
        <v>2.0005099999999998</v>
      </c>
      <c r="EF111">
        <v>2.04081</v>
      </c>
      <c r="EG111">
        <v>15.188162499730508</v>
      </c>
      <c r="EH111" s="14" t="s">
        <v>1270</v>
      </c>
      <c r="EI111" s="16">
        <v>0</v>
      </c>
      <c r="EJ111" s="16">
        <v>1</v>
      </c>
      <c r="EK111" s="16">
        <v>45470</v>
      </c>
      <c r="EL111" s="16">
        <v>2.82</v>
      </c>
      <c r="EM111" s="16">
        <v>-3.05</v>
      </c>
      <c r="EN111">
        <v>-3.84</v>
      </c>
      <c r="EO111">
        <v>5.2</v>
      </c>
      <c r="EP111">
        <v>-4.03</v>
      </c>
    </row>
    <row r="112" spans="1:146" ht="108" x14ac:dyDescent="0.25">
      <c r="C112" s="8" t="str">
        <f>""&amp;CHAR(10)&amp;Basic_Fundamental_Information_Constructure(F112)&amp;CHAR(10)&amp;Basic_Fundamental_Information_Concatenate("")</f>
        <v xml:space="preserve">
市值11.587518亿, 利润1.03亿; PE125.1; 平均PE18.42; 平均PEG1.98, PB.889; ROIC9.11%; ROE6.1233%; 股利率.6485%; 毛利37.7033%; 净利11.3267%; 上一年度营收增-18.02%, 利润增60.96%; 当季营收增-9.15%, 利润增-191.57%; 过往5年营收增9.3%, 利润增23.2%
Income profile:
</v>
      </c>
      <c r="D112" t="s">
        <v>1264</v>
      </c>
      <c r="E112" t="s">
        <v>1265</v>
      </c>
      <c r="F112">
        <v>7.71</v>
      </c>
      <c r="G112">
        <v>1.72</v>
      </c>
      <c r="H112" t="s">
        <v>4074</v>
      </c>
      <c r="I112">
        <v>1158751800</v>
      </c>
      <c r="J112">
        <v>125.1</v>
      </c>
      <c r="K112">
        <v>0.88900000000000001</v>
      </c>
      <c r="L112" t="s">
        <v>1747</v>
      </c>
      <c r="M112" t="s">
        <v>59</v>
      </c>
      <c r="N112" t="s">
        <v>4075</v>
      </c>
      <c r="O112" t="s">
        <v>4076</v>
      </c>
      <c r="P112" s="5">
        <v>92.44</v>
      </c>
      <c r="Q112" t="s">
        <v>1484</v>
      </c>
      <c r="R112">
        <v>-6683969</v>
      </c>
      <c r="S112">
        <v>0.54449999999999998</v>
      </c>
      <c r="T112" t="s">
        <v>163</v>
      </c>
      <c r="U112">
        <v>83392063</v>
      </c>
      <c r="V112">
        <v>150292060</v>
      </c>
      <c r="W112">
        <v>1.1399999999999999</v>
      </c>
      <c r="X112">
        <v>0.03</v>
      </c>
      <c r="Y112">
        <v>-14.61</v>
      </c>
      <c r="Z112" t="s">
        <v>4077</v>
      </c>
      <c r="AA112" t="s">
        <v>4078</v>
      </c>
      <c r="AB112" t="s">
        <v>4079</v>
      </c>
      <c r="AC112" t="s">
        <v>4080</v>
      </c>
      <c r="AD112" t="s">
        <v>28</v>
      </c>
      <c r="AE112">
        <v>-2039803</v>
      </c>
      <c r="AF112" t="s">
        <v>4081</v>
      </c>
      <c r="AG112">
        <v>0.42</v>
      </c>
      <c r="AH112" t="s">
        <v>4082</v>
      </c>
      <c r="AI112" t="s">
        <v>1208</v>
      </c>
      <c r="AJ112" t="s">
        <v>4083</v>
      </c>
      <c r="AK112" t="s">
        <v>3094</v>
      </c>
      <c r="AL112" t="s">
        <v>4084</v>
      </c>
      <c r="AM112" t="s">
        <v>28</v>
      </c>
      <c r="AN112" t="s">
        <v>4085</v>
      </c>
      <c r="AO112" t="s">
        <v>4086</v>
      </c>
      <c r="AP112" t="s">
        <v>4087</v>
      </c>
      <c r="AQ112" t="s">
        <v>100</v>
      </c>
      <c r="AR112" t="s">
        <v>28</v>
      </c>
      <c r="AS112" t="s">
        <v>429</v>
      </c>
      <c r="AT112" t="s">
        <v>28</v>
      </c>
      <c r="AU112" t="s">
        <v>4088</v>
      </c>
      <c r="AV112" t="s">
        <v>4089</v>
      </c>
      <c r="AW112" t="s">
        <v>4090</v>
      </c>
      <c r="AX112" t="s">
        <v>1218</v>
      </c>
      <c r="AY112" t="s">
        <v>775</v>
      </c>
      <c r="AZ112" t="s">
        <v>674</v>
      </c>
      <c r="BA112" t="s">
        <v>454</v>
      </c>
      <c r="BB112" t="s">
        <v>56</v>
      </c>
      <c r="BC112" t="s">
        <v>1450</v>
      </c>
      <c r="BD112" t="s">
        <v>1452</v>
      </c>
      <c r="BE112" t="s">
        <v>1453</v>
      </c>
      <c r="BF112" t="s">
        <v>1454</v>
      </c>
      <c r="BG112" t="s">
        <v>1455</v>
      </c>
      <c r="BH112" t="s">
        <v>172</v>
      </c>
      <c r="BI112" t="s">
        <v>4091</v>
      </c>
      <c r="BJ112" t="s">
        <v>1218</v>
      </c>
      <c r="BK112" t="s">
        <v>4092</v>
      </c>
      <c r="BL112" t="s">
        <v>4093</v>
      </c>
      <c r="BM112" t="s">
        <v>1450</v>
      </c>
      <c r="BN112" t="s">
        <v>28</v>
      </c>
      <c r="BO112">
        <v>8.2799999999999994</v>
      </c>
      <c r="BP112">
        <v>9.94</v>
      </c>
      <c r="BQ112">
        <v>-0.5</v>
      </c>
      <c r="BR112">
        <v>8.74</v>
      </c>
      <c r="BS112">
        <v>10.130000000000001</v>
      </c>
      <c r="BT112" t="s">
        <v>1247</v>
      </c>
      <c r="BU112" t="s">
        <v>1153</v>
      </c>
      <c r="BV112">
        <v>32.39</v>
      </c>
      <c r="BW112">
        <v>41.07</v>
      </c>
      <c r="BX112">
        <v>39.65</v>
      </c>
      <c r="BY112">
        <v>0.45</v>
      </c>
      <c r="BZ112">
        <v>16.25</v>
      </c>
      <c r="CA112">
        <v>17.28</v>
      </c>
      <c r="CB112">
        <v>-0.52</v>
      </c>
      <c r="CC112" s="10">
        <v>-11.68</v>
      </c>
      <c r="CD112" s="11" t="s">
        <v>4094</v>
      </c>
      <c r="CE112" s="10" t="s">
        <v>4095</v>
      </c>
      <c r="CF112" s="10">
        <v>-9.1450876520405677E-2</v>
      </c>
      <c r="CG112" s="10">
        <v>-1.915725089394583</v>
      </c>
      <c r="CH112" s="10">
        <v>-0.18020305037498474</v>
      </c>
      <c r="CI112" s="10">
        <v>5.1020407117903233E-3</v>
      </c>
      <c r="CJ112" s="11">
        <v>0.1428571492433548</v>
      </c>
      <c r="CK112" s="11">
        <v>0.43514645099639893</v>
      </c>
      <c r="CL112" s="11">
        <v>6.2222223728895187E-2</v>
      </c>
      <c r="CM112" s="11">
        <v>0.60959130525588989</v>
      </c>
      <c r="CN112" s="11">
        <v>-5.4726853966712952E-2</v>
      </c>
      <c r="CO112">
        <v>0.1010143905878067</v>
      </c>
      <c r="CP112">
        <v>0.71988296508789063</v>
      </c>
      <c r="CQ112">
        <v>-0.21591733396053314</v>
      </c>
      <c r="CR112" s="10">
        <v>18.416422682004434</v>
      </c>
      <c r="CS112" s="11">
        <v>1.9797291087882156</v>
      </c>
      <c r="CT112">
        <v>0.64850843060959795</v>
      </c>
      <c r="CU112">
        <v>9.3024962861090896E-2</v>
      </c>
      <c r="CV112">
        <v>0.23196889460086823</v>
      </c>
      <c r="CW112">
        <v>0.06</v>
      </c>
      <c r="CX112">
        <v>0.45901747027329332</v>
      </c>
      <c r="CY112">
        <v>106209029.41008712</v>
      </c>
      <c r="CZ112">
        <v>9.3024962861090896E-2</v>
      </c>
      <c r="DA112">
        <v>0.14961902072495037</v>
      </c>
      <c r="DB112">
        <v>325839587.53227007</v>
      </c>
      <c r="DC112">
        <v>8.8373714718036345E-2</v>
      </c>
      <c r="DD112">
        <v>7.3401900059039446E-2</v>
      </c>
      <c r="DE112">
        <v>664176267.38255274</v>
      </c>
      <c r="DF112">
        <v>8.1861967317759993E-2</v>
      </c>
      <c r="DG112">
        <v>4.390876948689295E-2</v>
      </c>
      <c r="DH112">
        <v>1110297568.5654941</v>
      </c>
      <c r="DI112">
        <v>7.4419970288872719E-2</v>
      </c>
      <c r="DJ112">
        <v>2.2490220096944933E-2</v>
      </c>
      <c r="DK112">
        <v>2167688879.426415</v>
      </c>
      <c r="DL112">
        <v>6.5117474002763617E-2</v>
      </c>
      <c r="DM112">
        <v>103000000</v>
      </c>
      <c r="DN112">
        <v>9.3024962861090896E-2</v>
      </c>
      <c r="DO112">
        <v>48751800</v>
      </c>
      <c r="DP112">
        <v>1088824830</v>
      </c>
      <c r="DQ112" s="12">
        <v>4921</v>
      </c>
      <c r="DR112">
        <v>-0.18447583938149659</v>
      </c>
      <c r="DS112">
        <v>-2.1476939839954512</v>
      </c>
      <c r="DT112">
        <v>-0.49</v>
      </c>
      <c r="DU112">
        <v>-0.4316666666666667</v>
      </c>
      <c r="DV112">
        <v>-0.92166666666666663</v>
      </c>
      <c r="DW112">
        <v>-2.1168</v>
      </c>
      <c r="DX112">
        <v>0.36968122988772523</v>
      </c>
      <c r="DY112">
        <v>-2.0116427676508861</v>
      </c>
      <c r="DZ112">
        <v>338</v>
      </c>
      <c r="EA112">
        <v>-2.010872658949125</v>
      </c>
      <c r="EB112" s="15">
        <v>2</v>
      </c>
      <c r="EC112" s="15">
        <v>1.3149729932506082E-2</v>
      </c>
      <c r="ED112">
        <v>0.13191781388850482</v>
      </c>
      <c r="EE112">
        <v>-3.0413999999999999</v>
      </c>
      <c r="EF112">
        <v>-3.0274000000000001</v>
      </c>
      <c r="EG112">
        <v>27.099681229887725</v>
      </c>
      <c r="EH112" s="14" t="s">
        <v>1551</v>
      </c>
      <c r="EI112" s="16">
        <v>0</v>
      </c>
      <c r="EJ112" s="16">
        <v>1</v>
      </c>
      <c r="EK112" s="16">
        <v>45470</v>
      </c>
      <c r="EL112" s="16">
        <v>0.03</v>
      </c>
      <c r="EM112" s="16">
        <v>-3.18</v>
      </c>
      <c r="EN112">
        <v>-3.96</v>
      </c>
      <c r="EO112">
        <v>4.1399999999999997</v>
      </c>
      <c r="EP112">
        <v>-1.4</v>
      </c>
    </row>
    <row r="113" spans="3:146" ht="108" x14ac:dyDescent="0.25">
      <c r="C113" s="8" t="str">
        <f>""&amp;CHAR(10)&amp;Basic_Fundamental_Information_Constructure(F113)&amp;CHAR(10)&amp;Basic_Fundamental_Information_Concatenate("")</f>
        <v xml:space="preserve">
市值7.1416359亿, 利润2.19亿; PE; 平均PE12.61; 平均PEG.21, PB1.47; ROIC2.52%; ROE-3.2667%; 股利率0%; 毛利16.35%; 净利-16.0067%; 上一年度营收增324.14%, 利润增702.93%; 当季营收增-69.93%, 利润增-98.63%; 过往5年营收增58.9%, 利润增52.5%
Income profile:
</v>
      </c>
      <c r="D113" t="s">
        <v>887</v>
      </c>
      <c r="E113" t="s">
        <v>888</v>
      </c>
      <c r="F113">
        <v>4.7</v>
      </c>
      <c r="G113">
        <v>4.68</v>
      </c>
      <c r="H113" t="s">
        <v>4096</v>
      </c>
      <c r="I113">
        <v>714163590</v>
      </c>
      <c r="K113">
        <v>1.47</v>
      </c>
      <c r="L113" t="s">
        <v>1747</v>
      </c>
      <c r="M113" t="s">
        <v>1423</v>
      </c>
      <c r="N113" t="s">
        <v>188</v>
      </c>
      <c r="O113" t="s">
        <v>4097</v>
      </c>
      <c r="P113">
        <v>16.04</v>
      </c>
      <c r="Q113" t="s">
        <v>1721</v>
      </c>
      <c r="R113">
        <v>520988</v>
      </c>
      <c r="S113" s="5">
        <v>1.145</v>
      </c>
      <c r="T113" t="s">
        <v>680</v>
      </c>
      <c r="U113">
        <v>149730000</v>
      </c>
      <c r="V113">
        <v>151949700</v>
      </c>
      <c r="W113">
        <v>1.99</v>
      </c>
      <c r="X113">
        <v>0.05</v>
      </c>
      <c r="Y113">
        <v>1.05</v>
      </c>
      <c r="Z113" t="s">
        <v>4098</v>
      </c>
      <c r="AA113" t="s">
        <v>4099</v>
      </c>
      <c r="AB113" t="s">
        <v>4100</v>
      </c>
      <c r="AC113" t="s">
        <v>4101</v>
      </c>
      <c r="AD113" t="s">
        <v>28</v>
      </c>
      <c r="AE113">
        <v>1424513</v>
      </c>
      <c r="AF113" t="s">
        <v>67</v>
      </c>
      <c r="AG113" t="s">
        <v>4102</v>
      </c>
      <c r="AH113" t="s">
        <v>4103</v>
      </c>
      <c r="AI113" t="s">
        <v>4104</v>
      </c>
      <c r="AJ113" t="s">
        <v>4105</v>
      </c>
      <c r="AK113" t="s">
        <v>4106</v>
      </c>
      <c r="AL113" t="s">
        <v>4107</v>
      </c>
      <c r="AM113" t="s">
        <v>28</v>
      </c>
      <c r="AN113" t="s">
        <v>4108</v>
      </c>
      <c r="AO113" t="s">
        <v>142</v>
      </c>
      <c r="AP113" t="s">
        <v>4109</v>
      </c>
      <c r="AQ113" t="s">
        <v>4110</v>
      </c>
      <c r="AR113" t="s">
        <v>28</v>
      </c>
      <c r="AS113" t="s">
        <v>339</v>
      </c>
      <c r="AT113" t="s">
        <v>28</v>
      </c>
      <c r="AU113" t="s">
        <v>4111</v>
      </c>
      <c r="AV113" t="s">
        <v>28</v>
      </c>
      <c r="AW113" t="s">
        <v>4112</v>
      </c>
      <c r="AX113" t="s">
        <v>158</v>
      </c>
      <c r="AY113" t="s">
        <v>83</v>
      </c>
      <c r="AZ113" t="s">
        <v>204</v>
      </c>
      <c r="BA113" t="s">
        <v>361</v>
      </c>
      <c r="BB113" t="s">
        <v>505</v>
      </c>
      <c r="BC113" t="s">
        <v>4113</v>
      </c>
      <c r="BD113" t="s">
        <v>1456</v>
      </c>
      <c r="BE113" t="s">
        <v>890</v>
      </c>
      <c r="BF113" t="s">
        <v>1057</v>
      </c>
      <c r="BG113" t="s">
        <v>891</v>
      </c>
      <c r="BH113" t="s">
        <v>659</v>
      </c>
      <c r="BI113" t="s">
        <v>69</v>
      </c>
      <c r="BJ113" t="s">
        <v>158</v>
      </c>
      <c r="BK113" t="s">
        <v>4114</v>
      </c>
      <c r="BL113" t="s">
        <v>4115</v>
      </c>
      <c r="BM113" t="s">
        <v>4113</v>
      </c>
      <c r="BN113" t="s">
        <v>28</v>
      </c>
      <c r="BO113" t="s">
        <v>28</v>
      </c>
      <c r="BP113">
        <v>2.52</v>
      </c>
      <c r="BQ113">
        <v>-6.97</v>
      </c>
      <c r="BR113">
        <v>-6.01</v>
      </c>
      <c r="BS113">
        <v>3.18</v>
      </c>
      <c r="BT113" t="s">
        <v>1244</v>
      </c>
      <c r="BU113" t="s">
        <v>1159</v>
      </c>
      <c r="BV113">
        <v>7.65</v>
      </c>
      <c r="BW113">
        <v>21.13</v>
      </c>
      <c r="BX113">
        <v>20.27</v>
      </c>
      <c r="BY113">
        <v>-34.450000000000003</v>
      </c>
      <c r="BZ113">
        <v>-17.88</v>
      </c>
      <c r="CA113">
        <v>4.3099999999999996</v>
      </c>
      <c r="CB113">
        <v>0.21</v>
      </c>
      <c r="CC113">
        <v>-9.44</v>
      </c>
      <c r="CD113" t="s">
        <v>4116</v>
      </c>
      <c r="CE113" t="s">
        <v>4117</v>
      </c>
      <c r="CF113" s="10">
        <v>-0.69926181818181821</v>
      </c>
      <c r="CG113" s="11">
        <v>-0.9862936128343146</v>
      </c>
      <c r="CH113" s="10">
        <v>3.2413792610168457</v>
      </c>
      <c r="CI113" s="10">
        <v>-0.35759493708610535</v>
      </c>
      <c r="CJ113" s="10">
        <v>0.16605165600776672</v>
      </c>
      <c r="CK113" s="10">
        <v>-0.18618617951869965</v>
      </c>
      <c r="CL113" s="10">
        <v>8.1168830394744873E-2</v>
      </c>
      <c r="CM113" s="11">
        <v>7.0293207168579102</v>
      </c>
      <c r="CN113" s="11">
        <v>-3.6653432846069336</v>
      </c>
      <c r="CO113" s="11">
        <v>-0.69073289632797241</v>
      </c>
      <c r="CP113" s="11">
        <v>-0.15539458394050598</v>
      </c>
      <c r="CQ113" s="11">
        <v>0.10691326111555099</v>
      </c>
      <c r="CR113">
        <v>12.614982424324499</v>
      </c>
      <c r="CS113">
        <v>0.21418946301686376</v>
      </c>
      <c r="CT113">
        <v>0</v>
      </c>
      <c r="CU113" s="10">
        <v>0.58896372616291048</v>
      </c>
      <c r="CV113" s="11">
        <v>0.52495264261960983</v>
      </c>
      <c r="CW113">
        <v>0.06</v>
      </c>
      <c r="CX113">
        <v>2.230262054293275</v>
      </c>
      <c r="CY113">
        <v>328285901.91478997</v>
      </c>
      <c r="CZ113">
        <v>0.58896372616291048</v>
      </c>
      <c r="DA113">
        <v>0.49018079105748619</v>
      </c>
      <c r="DB113">
        <v>1493660305.2528331</v>
      </c>
      <c r="DC113">
        <v>0.55951553985476499</v>
      </c>
      <c r="DD113">
        <v>0.13216248053610252</v>
      </c>
      <c r="DE113">
        <v>5539874758.9335432</v>
      </c>
      <c r="DF113">
        <v>0.51828807902336127</v>
      </c>
      <c r="DG113">
        <v>3.66136773554313E-2</v>
      </c>
      <c r="DH113">
        <v>19996996829.694035</v>
      </c>
      <c r="DI113">
        <v>0.47117098093032839</v>
      </c>
      <c r="DJ113">
        <v>2.6931514851331797E-3</v>
      </c>
      <c r="DK113">
        <v>271861272580.3627</v>
      </c>
      <c r="DL113">
        <v>0.41227460831403734</v>
      </c>
      <c r="DM113">
        <v>219000000</v>
      </c>
      <c r="DN113">
        <v>0.58896372616291048</v>
      </c>
      <c r="DO113">
        <v>732163590</v>
      </c>
      <c r="DP113">
        <v>181360470</v>
      </c>
      <c r="DQ113">
        <v>4976</v>
      </c>
      <c r="DR113">
        <v>-1.2882255443447286</v>
      </c>
      <c r="DS113">
        <v>-1.5112462554539245</v>
      </c>
      <c r="DT113" s="12">
        <v>-0.27333333333333337</v>
      </c>
      <c r="DU113">
        <v>-1.24</v>
      </c>
      <c r="DV113">
        <v>-1.5133333333333334</v>
      </c>
      <c r="DW113">
        <v>-2.0943999999999998</v>
      </c>
      <c r="DX113">
        <v>0.37573263274945701</v>
      </c>
      <c r="DY113">
        <v>-2.013757160531549</v>
      </c>
      <c r="DZ113">
        <v>542</v>
      </c>
      <c r="EA113">
        <v>-2.0122979861659718</v>
      </c>
      <c r="EB113">
        <v>2</v>
      </c>
      <c r="EC113">
        <v>7.658981886769109E-2</v>
      </c>
      <c r="ED113">
        <v>0.52555023142526769</v>
      </c>
      <c r="EE113" s="15">
        <v>3.0899999999999997E-2</v>
      </c>
      <c r="EF113">
        <v>3.2000000000000015E-3</v>
      </c>
      <c r="EG113">
        <v>23.145732632749457</v>
      </c>
      <c r="EH113" t="s">
        <v>1161</v>
      </c>
      <c r="EI113">
        <v>0</v>
      </c>
      <c r="EJ113">
        <v>1</v>
      </c>
      <c r="EK113" s="14">
        <v>45470</v>
      </c>
      <c r="EL113" s="16">
        <v>1.6</v>
      </c>
      <c r="EM113" s="16">
        <v>-6.34</v>
      </c>
      <c r="EN113">
        <v>-0.88</v>
      </c>
      <c r="EO113">
        <v>3.21</v>
      </c>
      <c r="EP113">
        <v>-2.77</v>
      </c>
    </row>
    <row r="114" spans="3:146" ht="108" x14ac:dyDescent="0.25">
      <c r="C114" s="8" t="str">
        <f>""&amp;CHAR(10)&amp;Basic_Fundamental_Information_Constructure(F114)&amp;CHAR(10)&amp;Basic_Fundamental_Information_Concatenate("")</f>
        <v xml:space="preserve">
市值8.92856亿, 利润-2.29亿; PE30.28; 平均PE53.18; 平均PEG.72, PB.79; ROIC3.2933%; ROE3.78%; 股利率1.0767%; 毛利19.6133%; 净利3.3133%; 上一年度营收增281.52%, 利润增-602.9%; 当季营收增-80.09%, 利润增-112.6%; 过往5年营收增73.38%, 利润增-120.11%
Income profile:
</v>
      </c>
      <c r="D114" t="s">
        <v>638</v>
      </c>
      <c r="E114" t="s">
        <v>639</v>
      </c>
      <c r="F114">
        <v>6.78</v>
      </c>
      <c r="G114">
        <v>1.5</v>
      </c>
      <c r="H114" t="s">
        <v>4118</v>
      </c>
      <c r="I114">
        <v>892856000</v>
      </c>
      <c r="J114">
        <v>30.28</v>
      </c>
      <c r="K114">
        <v>0.79</v>
      </c>
      <c r="L114" t="s">
        <v>1747</v>
      </c>
      <c r="M114" t="s">
        <v>4119</v>
      </c>
      <c r="N114" t="s">
        <v>4120</v>
      </c>
      <c r="O114" t="s">
        <v>478</v>
      </c>
      <c r="P114">
        <v>18.64</v>
      </c>
      <c r="Q114" t="s">
        <v>4121</v>
      </c>
      <c r="R114">
        <v>-2866612</v>
      </c>
      <c r="S114" s="5">
        <v>-3.5489999999999999</v>
      </c>
      <c r="T114" t="s">
        <v>4122</v>
      </c>
      <c r="U114">
        <v>131689675</v>
      </c>
      <c r="V114">
        <v>131689675</v>
      </c>
      <c r="W114">
        <v>2.41</v>
      </c>
      <c r="X114">
        <v>0.1</v>
      </c>
      <c r="Y114">
        <v>-1.58</v>
      </c>
      <c r="Z114" t="s">
        <v>300</v>
      </c>
      <c r="AA114" t="s">
        <v>1269</v>
      </c>
      <c r="AB114" t="s">
        <v>4123</v>
      </c>
      <c r="AC114" t="s">
        <v>4124</v>
      </c>
      <c r="AD114" t="s">
        <v>28</v>
      </c>
      <c r="AE114">
        <v>1916420</v>
      </c>
      <c r="AF114" t="s">
        <v>4125</v>
      </c>
      <c r="AG114" t="s">
        <v>4126</v>
      </c>
      <c r="AH114" t="s">
        <v>4127</v>
      </c>
      <c r="AI114" t="s">
        <v>449</v>
      </c>
      <c r="AJ114" t="s">
        <v>4128</v>
      </c>
      <c r="AK114" t="s">
        <v>4129</v>
      </c>
      <c r="AL114" t="s">
        <v>4130</v>
      </c>
      <c r="AM114" t="s">
        <v>28</v>
      </c>
      <c r="AN114" t="s">
        <v>156</v>
      </c>
      <c r="AO114" t="s">
        <v>4131</v>
      </c>
      <c r="AP114" t="s">
        <v>1263</v>
      </c>
      <c r="AQ114" t="s">
        <v>1644</v>
      </c>
      <c r="AR114" t="s">
        <v>28</v>
      </c>
      <c r="AS114" t="s">
        <v>4132</v>
      </c>
      <c r="AT114" t="s">
        <v>414</v>
      </c>
      <c r="AU114" t="s">
        <v>4133</v>
      </c>
      <c r="AV114" t="s">
        <v>4134</v>
      </c>
      <c r="AW114" t="s">
        <v>4135</v>
      </c>
      <c r="AX114" t="s">
        <v>1178</v>
      </c>
      <c r="AY114" t="s">
        <v>1058</v>
      </c>
      <c r="AZ114" t="s">
        <v>74</v>
      </c>
      <c r="BA114" t="s">
        <v>313</v>
      </c>
      <c r="BB114" t="s">
        <v>641</v>
      </c>
      <c r="BC114" t="s">
        <v>4136</v>
      </c>
      <c r="BD114" t="s">
        <v>1059</v>
      </c>
      <c r="BE114" t="s">
        <v>640</v>
      </c>
      <c r="BF114" t="s">
        <v>643</v>
      </c>
      <c r="BG114" t="s">
        <v>644</v>
      </c>
      <c r="BH114" t="s">
        <v>4137</v>
      </c>
      <c r="BI114" t="s">
        <v>4138</v>
      </c>
      <c r="BJ114" t="s">
        <v>1178</v>
      </c>
      <c r="BK114" t="s">
        <v>4139</v>
      </c>
      <c r="BL114" t="s">
        <v>4140</v>
      </c>
      <c r="BM114" t="s">
        <v>4136</v>
      </c>
      <c r="BN114">
        <v>2.42</v>
      </c>
      <c r="BO114">
        <v>3.44</v>
      </c>
      <c r="BP114">
        <v>4.0199999999999996</v>
      </c>
      <c r="BQ114">
        <v>2.5</v>
      </c>
      <c r="BR114">
        <v>4.16</v>
      </c>
      <c r="BS114">
        <v>4.68</v>
      </c>
      <c r="BT114" t="s">
        <v>4141</v>
      </c>
      <c r="BU114" t="s">
        <v>1061</v>
      </c>
      <c r="BV114">
        <v>18.25</v>
      </c>
      <c r="BW114">
        <v>19.36</v>
      </c>
      <c r="BX114">
        <v>21.23</v>
      </c>
      <c r="BY114">
        <v>1.8</v>
      </c>
      <c r="BZ114">
        <v>3.29</v>
      </c>
      <c r="CA114">
        <v>4.8499999999999996</v>
      </c>
      <c r="CB114">
        <v>-2.59</v>
      </c>
      <c r="CC114">
        <v>-18.510000000000002</v>
      </c>
      <c r="CD114" t="s">
        <v>4142</v>
      </c>
      <c r="CE114" t="s">
        <v>4143</v>
      </c>
      <c r="CF114" s="10">
        <v>-0.80088823094004447</v>
      </c>
      <c r="CG114" s="11">
        <v>-1.1260287438944503</v>
      </c>
      <c r="CH114" s="10">
        <v>2.8151919841766357</v>
      </c>
      <c r="CI114" s="10">
        <v>0.32744276523590088</v>
      </c>
      <c r="CJ114" s="10">
        <v>0.12778429687023163</v>
      </c>
      <c r="CK114" s="10">
        <v>0.10206717997789383</v>
      </c>
      <c r="CL114" s="10">
        <v>0.29648241400718689</v>
      </c>
      <c r="CM114" s="11">
        <v>-6.0289769172668457</v>
      </c>
      <c r="CN114" s="11">
        <v>-9.1596245765686035E-2</v>
      </c>
      <c r="CO114" s="11">
        <v>-0.44562360644340515</v>
      </c>
      <c r="CP114" s="11">
        <v>4.4599760323762894E-2</v>
      </c>
      <c r="CQ114" s="11">
        <v>0.51613235473632813</v>
      </c>
      <c r="CR114">
        <v>53.178055104447509</v>
      </c>
      <c r="CS114">
        <v>0.72470032205788093</v>
      </c>
      <c r="CT114">
        <v>1.0766961651917404</v>
      </c>
      <c r="CU114" s="10">
        <v>0.73379372805356979</v>
      </c>
      <c r="CV114" s="11">
        <v>-1.2010929308831693</v>
      </c>
      <c r="CW114">
        <v>0.06</v>
      </c>
      <c r="CX114" t="e">
        <v>#VALUE!</v>
      </c>
      <c r="CY114" t="s">
        <v>1157</v>
      </c>
      <c r="CZ114">
        <v>0.73379372805356979</v>
      </c>
      <c r="DA114" t="e">
        <v>#VALUE!</v>
      </c>
      <c r="DB114" t="s">
        <v>1158</v>
      </c>
      <c r="DC114">
        <v>0.69710404165089124</v>
      </c>
      <c r="DD114" t="e">
        <v>#VALUE!</v>
      </c>
      <c r="DE114" t="s">
        <v>1158</v>
      </c>
      <c r="DF114">
        <v>0.64573848068714146</v>
      </c>
      <c r="DG114" t="e">
        <v>#VALUE!</v>
      </c>
      <c r="DH114" t="s">
        <v>1158</v>
      </c>
      <c r="DI114">
        <v>0.5870349824428559</v>
      </c>
      <c r="DJ114" t="e">
        <v>#VALUE!</v>
      </c>
      <c r="DK114" t="s">
        <v>1158</v>
      </c>
      <c r="DL114">
        <v>0.51365560963749879</v>
      </c>
      <c r="DM114">
        <v>-229000000</v>
      </c>
      <c r="DN114">
        <v>0.73379372805356979</v>
      </c>
      <c r="DO114">
        <v>1383856000</v>
      </c>
      <c r="DP114">
        <v>458841900</v>
      </c>
      <c r="DQ114">
        <v>5060</v>
      </c>
      <c r="DR114">
        <v>-1.5346819589936143</v>
      </c>
      <c r="DS114">
        <v>7.5064186988718973E-2</v>
      </c>
      <c r="DT114" s="12">
        <v>0.10999999999999995</v>
      </c>
      <c r="DU114">
        <v>-1.6816666666666666</v>
      </c>
      <c r="DV114">
        <v>-1.5716666666666668</v>
      </c>
      <c r="DW114">
        <v>-8.139924365207996</v>
      </c>
      <c r="DX114">
        <v>0.35797088526623866</v>
      </c>
      <c r="DY114">
        <v>-8.0165070012339044</v>
      </c>
      <c r="DZ114">
        <v>3624</v>
      </c>
      <c r="EA114">
        <v>-8.0048002747228146</v>
      </c>
      <c r="EB114">
        <v>8</v>
      </c>
      <c r="EC114">
        <v>2.7728825361593462E-2</v>
      </c>
      <c r="ED114">
        <v>0.23504804002287955</v>
      </c>
      <c r="EE114" s="15">
        <v>-3.0245099999999998</v>
      </c>
      <c r="EF114">
        <v>-3.05661</v>
      </c>
      <c r="EG114">
        <v>24.117970885266239</v>
      </c>
      <c r="EH114" t="s">
        <v>2246</v>
      </c>
      <c r="EI114">
        <v>0</v>
      </c>
      <c r="EJ114">
        <v>0</v>
      </c>
      <c r="EK114" s="14">
        <v>45470</v>
      </c>
      <c r="EL114" s="16">
        <v>-1.1000000000000001</v>
      </c>
      <c r="EM114" s="16">
        <v>-5.99</v>
      </c>
      <c r="EN114">
        <v>-1.71</v>
      </c>
      <c r="EO114">
        <v>7.16</v>
      </c>
      <c r="EP114">
        <v>-3.21</v>
      </c>
    </row>
    <row r="115" spans="3:146" ht="108" x14ac:dyDescent="0.25">
      <c r="C115" s="8" t="str">
        <f>""&amp;CHAR(10)&amp;Basic_Fundamental_Information_Constructure(F115)&amp;CHAR(10)&amp;Basic_Fundamental_Information_Concatenate("")</f>
        <v xml:space="preserve">
市值6.6198744亿, 利润-1953.08万; PE; 平均PE84.43; 平均PEG1.18, PB2.4; ROIC4.54%; ROE-10.44%; 股利率0%; 毛利16.8833%; 净利-22.9567%; 上一年度营收增321.54%, 利润增79.19%; 当季营收增-81.88%, 利润增-136.8%; 过往5年营收增71.46%, 利润增-121.59%
Income profile:
</v>
      </c>
      <c r="D115" t="s">
        <v>892</v>
      </c>
      <c r="E115" t="s">
        <v>893</v>
      </c>
      <c r="F115">
        <v>4.93</v>
      </c>
      <c r="G115">
        <v>1.02</v>
      </c>
      <c r="H115" t="s">
        <v>4144</v>
      </c>
      <c r="I115">
        <v>661987440</v>
      </c>
      <c r="K115">
        <v>2.4</v>
      </c>
      <c r="L115" t="s">
        <v>1747</v>
      </c>
      <c r="M115" t="s">
        <v>1534</v>
      </c>
      <c r="N115" t="s">
        <v>172</v>
      </c>
      <c r="O115" t="s">
        <v>4145</v>
      </c>
      <c r="P115">
        <v>-19.12</v>
      </c>
      <c r="Q115" t="s">
        <v>2863</v>
      </c>
      <c r="R115">
        <v>-5766278</v>
      </c>
      <c r="S115" s="5">
        <v>0.51219999999999999</v>
      </c>
      <c r="T115" t="s">
        <v>4146</v>
      </c>
      <c r="U115">
        <v>67307755</v>
      </c>
      <c r="V115">
        <v>134277370</v>
      </c>
      <c r="W115">
        <v>2.34</v>
      </c>
      <c r="X115">
        <v>0.08</v>
      </c>
      <c r="Y115">
        <v>-10.82</v>
      </c>
      <c r="Z115" t="s">
        <v>4147</v>
      </c>
      <c r="AA115" t="s">
        <v>4148</v>
      </c>
      <c r="AB115" t="s">
        <v>4149</v>
      </c>
      <c r="AC115" t="s">
        <v>4150</v>
      </c>
      <c r="AD115" t="s">
        <v>28</v>
      </c>
      <c r="AE115">
        <v>2060990</v>
      </c>
      <c r="AF115" t="s">
        <v>67</v>
      </c>
      <c r="AG115">
        <v>6638.2</v>
      </c>
      <c r="AH115" t="s">
        <v>4151</v>
      </c>
      <c r="AI115" t="s">
        <v>4152</v>
      </c>
      <c r="AJ115" t="s">
        <v>4153</v>
      </c>
      <c r="AK115" t="s">
        <v>4154</v>
      </c>
      <c r="AL115" t="s">
        <v>4155</v>
      </c>
      <c r="AM115" t="s">
        <v>28</v>
      </c>
      <c r="AN115" t="s">
        <v>4156</v>
      </c>
      <c r="AO115" t="s">
        <v>106</v>
      </c>
      <c r="AP115" t="s">
        <v>4157</v>
      </c>
      <c r="AQ115" t="s">
        <v>120</v>
      </c>
      <c r="AR115" t="s">
        <v>28</v>
      </c>
      <c r="AS115" t="s">
        <v>1213</v>
      </c>
      <c r="AT115" t="s">
        <v>1710</v>
      </c>
      <c r="AU115" t="s">
        <v>4158</v>
      </c>
      <c r="AV115" t="s">
        <v>4159</v>
      </c>
      <c r="AW115" t="s">
        <v>4160</v>
      </c>
      <c r="AX115" t="s">
        <v>369</v>
      </c>
      <c r="AY115" t="s">
        <v>347</v>
      </c>
      <c r="AZ115" t="s">
        <v>510</v>
      </c>
      <c r="BA115" t="s">
        <v>598</v>
      </c>
      <c r="BB115" t="s">
        <v>862</v>
      </c>
      <c r="BC115" t="s">
        <v>4161</v>
      </c>
      <c r="BD115" t="s">
        <v>1242</v>
      </c>
      <c r="BE115" t="s">
        <v>894</v>
      </c>
      <c r="BF115" t="s">
        <v>1060</v>
      </c>
      <c r="BG115" t="s">
        <v>895</v>
      </c>
      <c r="BH115" t="s">
        <v>353</v>
      </c>
      <c r="BI115" t="s">
        <v>53</v>
      </c>
      <c r="BJ115" t="s">
        <v>369</v>
      </c>
      <c r="BK115" t="s">
        <v>1733</v>
      </c>
      <c r="BL115" t="s">
        <v>4162</v>
      </c>
      <c r="BM115" t="s">
        <v>4161</v>
      </c>
      <c r="BN115" t="s">
        <v>28</v>
      </c>
      <c r="BO115" t="s">
        <v>28</v>
      </c>
      <c r="BP115">
        <v>4.54</v>
      </c>
      <c r="BQ115">
        <v>-15.57</v>
      </c>
      <c r="BR115">
        <v>-20.65</v>
      </c>
      <c r="BS115">
        <v>4.9000000000000004</v>
      </c>
      <c r="BT115" t="s">
        <v>1244</v>
      </c>
      <c r="BU115" t="s">
        <v>1153</v>
      </c>
      <c r="BV115">
        <v>10.83</v>
      </c>
      <c r="BW115">
        <v>5.6</v>
      </c>
      <c r="BX115">
        <v>34.22</v>
      </c>
      <c r="BY115">
        <v>-34.85</v>
      </c>
      <c r="BZ115">
        <v>-38.18</v>
      </c>
      <c r="CA115">
        <v>4.16</v>
      </c>
      <c r="CB115">
        <v>-8.5299999999999994</v>
      </c>
      <c r="CC115">
        <v>-7.33</v>
      </c>
      <c r="CD115" t="s">
        <v>4163</v>
      </c>
      <c r="CE115" t="s">
        <v>376</v>
      </c>
      <c r="CF115" s="10">
        <v>-0.81876904761904767</v>
      </c>
      <c r="CG115" s="11">
        <v>-1.3680125345433891</v>
      </c>
      <c r="CH115" s="10">
        <v>3.2154471874237061</v>
      </c>
      <c r="CI115" s="10">
        <v>-0.40435835719108582</v>
      </c>
      <c r="CJ115" s="10">
        <v>0.21114370226860046</v>
      </c>
      <c r="CK115" s="10">
        <v>0.17182131111621857</v>
      </c>
      <c r="CL115" s="10">
        <v>0.37914693355560303</v>
      </c>
      <c r="CM115" s="11">
        <v>0.79194557666778564</v>
      </c>
      <c r="CN115" s="11">
        <v>-6.4658017158508301</v>
      </c>
      <c r="CO115" s="11">
        <v>-0.63258981704711914</v>
      </c>
      <c r="CP115" s="11">
        <v>-0.16872565448284149</v>
      </c>
      <c r="CQ115" s="11">
        <v>0.39548152685165405</v>
      </c>
      <c r="CR115">
        <v>84.426943163774794</v>
      </c>
      <c r="CS115">
        <v>1.1813909772874509</v>
      </c>
      <c r="CT115">
        <v>0</v>
      </c>
      <c r="CU115" s="10">
        <v>0.71464015543460846</v>
      </c>
      <c r="CV115" s="11">
        <v>-1.2159380167722702</v>
      </c>
      <c r="CW115">
        <v>0.06</v>
      </c>
      <c r="CX115" t="e">
        <v>#VALUE!</v>
      </c>
      <c r="CY115" t="s">
        <v>1157</v>
      </c>
      <c r="CZ115">
        <v>0.71464015543460846</v>
      </c>
      <c r="DA115" t="e">
        <v>#VALUE!</v>
      </c>
      <c r="DB115" t="s">
        <v>1158</v>
      </c>
      <c r="DC115">
        <v>0.67890814766287799</v>
      </c>
      <c r="DD115" t="e">
        <v>#VALUE!</v>
      </c>
      <c r="DE115" t="s">
        <v>1158</v>
      </c>
      <c r="DF115">
        <v>0.62888333678245545</v>
      </c>
      <c r="DG115" t="e">
        <v>#VALUE!</v>
      </c>
      <c r="DH115" t="s">
        <v>1158</v>
      </c>
      <c r="DI115">
        <v>0.57171212434768681</v>
      </c>
      <c r="DJ115" t="e">
        <v>#VALUE!</v>
      </c>
      <c r="DK115" t="s">
        <v>1158</v>
      </c>
      <c r="DL115">
        <v>0.50024810880422588</v>
      </c>
      <c r="DM115">
        <v>-19530800</v>
      </c>
      <c r="DN115">
        <v>0.71464015543460846</v>
      </c>
      <c r="DO115">
        <v>811987440</v>
      </c>
      <c r="DP115">
        <v>241047700</v>
      </c>
      <c r="DQ115">
        <v>5079</v>
      </c>
      <c r="DR115">
        <v>-1.5334092030536561</v>
      </c>
      <c r="DS115">
        <v>-0.15207451777111891</v>
      </c>
      <c r="DT115" s="12">
        <v>5.9999999999999908E-2</v>
      </c>
      <c r="DU115">
        <v>-1.7616666666666667</v>
      </c>
      <c r="DV115">
        <v>-1.7016666666666669</v>
      </c>
      <c r="DW115">
        <v>-5.859320046893318</v>
      </c>
      <c r="DX115">
        <v>0.35110510948905227</v>
      </c>
      <c r="DY115">
        <v>-5.112661248834085</v>
      </c>
      <c r="DZ115">
        <v>4204</v>
      </c>
      <c r="EA115">
        <v>-5.0199747732766502</v>
      </c>
      <c r="EB115">
        <v>5</v>
      </c>
      <c r="EC115">
        <v>0.13376341821410415</v>
      </c>
      <c r="ED115">
        <v>1.0202761641816487</v>
      </c>
      <c r="EE115" s="15">
        <v>-1.0154099999999999</v>
      </c>
      <c r="EF115">
        <v>-1.0707100000000001</v>
      </c>
      <c r="EG115">
        <v>22.131105109489052</v>
      </c>
      <c r="EH115" t="s">
        <v>1168</v>
      </c>
      <c r="EI115">
        <v>0</v>
      </c>
      <c r="EJ115">
        <v>0</v>
      </c>
      <c r="EK115" s="14">
        <v>45470</v>
      </c>
      <c r="EL115" s="16">
        <v>-1.7</v>
      </c>
      <c r="EM115" s="16">
        <v>-3.62</v>
      </c>
      <c r="EN115">
        <v>-5.82</v>
      </c>
      <c r="EO115">
        <v>-0.12</v>
      </c>
      <c r="EP115">
        <v>-5.53</v>
      </c>
    </row>
  </sheetData>
  <autoFilter ref="BU1:BU115"/>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asic_Fundamental_Tabel_Update_Buttom &quot;环境治理&quot;,&quot;&quot;'" altText="更新基本面按钮_x000a_">
                <anchor moveWithCells="1" sizeWithCells="1">
                  <from>
                    <xdr:col>147</xdr:col>
                    <xdr:colOff>247650</xdr:colOff>
                    <xdr:row>0</xdr:row>
                    <xdr:rowOff>95250</xdr:rowOff>
                  </from>
                  <to>
                    <xdr:col>147</xdr:col>
                    <xdr:colOff>1422400</xdr:colOff>
                    <xdr:row>0</xdr:row>
                    <xdr:rowOff>406400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6"/>
  <sheetViews>
    <sheetView workbookViewId="0">
      <selection activeCell="A3" sqref="A3"/>
    </sheetView>
  </sheetViews>
  <sheetFormatPr defaultRowHeight="14" x14ac:dyDescent="0.25"/>
  <sheetData>
    <row r="1" spans="1:30" x14ac:dyDescent="0.25">
      <c r="A1">
        <v>1</v>
      </c>
      <c r="B1">
        <f>A1+A1*$A$2</f>
        <v>1.1499999999999999</v>
      </c>
      <c r="C1">
        <f t="shared" ref="C1:AD1" si="0">B1+B1*$A$2</f>
        <v>1.3224999999999998</v>
      </c>
      <c r="D1">
        <f t="shared" si="0"/>
        <v>1.5208749999999998</v>
      </c>
      <c r="E1">
        <f t="shared" si="0"/>
        <v>1.7490062499999997</v>
      </c>
      <c r="F1">
        <f t="shared" si="0"/>
        <v>2.0113571874999998</v>
      </c>
      <c r="G1">
        <f t="shared" si="0"/>
        <v>2.313060765625</v>
      </c>
      <c r="H1">
        <f t="shared" si="0"/>
        <v>2.66001988046875</v>
      </c>
      <c r="I1">
        <f t="shared" si="0"/>
        <v>3.0590228625390625</v>
      </c>
      <c r="J1">
        <f t="shared" si="0"/>
        <v>3.5178762919199218</v>
      </c>
      <c r="K1">
        <f t="shared" si="0"/>
        <v>4.0455577357079102</v>
      </c>
      <c r="L1">
        <f t="shared" si="0"/>
        <v>4.6523913960640968</v>
      </c>
      <c r="M1">
        <f t="shared" si="0"/>
        <v>5.3502501054737115</v>
      </c>
      <c r="N1">
        <f t="shared" si="0"/>
        <v>6.1527876212947685</v>
      </c>
      <c r="O1">
        <f t="shared" si="0"/>
        <v>7.0757057644889834</v>
      </c>
      <c r="P1">
        <f t="shared" si="0"/>
        <v>8.1370616291623303</v>
      </c>
      <c r="Q1">
        <f t="shared" si="0"/>
        <v>9.3576208735366802</v>
      </c>
      <c r="R1">
        <f t="shared" si="0"/>
        <v>10.761264004567183</v>
      </c>
      <c r="S1">
        <f t="shared" si="0"/>
        <v>12.375453605252261</v>
      </c>
      <c r="T1">
        <f t="shared" si="0"/>
        <v>14.2317716460401</v>
      </c>
      <c r="U1">
        <f t="shared" si="0"/>
        <v>16.366537392946114</v>
      </c>
      <c r="V1">
        <f t="shared" si="0"/>
        <v>18.82151800188803</v>
      </c>
      <c r="W1">
        <f t="shared" si="0"/>
        <v>21.644745702171235</v>
      </c>
      <c r="X1">
        <f t="shared" si="0"/>
        <v>24.891457557496921</v>
      </c>
      <c r="Y1">
        <f t="shared" si="0"/>
        <v>28.625176191121458</v>
      </c>
      <c r="Z1">
        <f t="shared" si="0"/>
        <v>32.918952619789678</v>
      </c>
      <c r="AA1">
        <f t="shared" si="0"/>
        <v>37.856795512758133</v>
      </c>
      <c r="AB1">
        <f t="shared" si="0"/>
        <v>43.535314839671855</v>
      </c>
      <c r="AC1">
        <f t="shared" si="0"/>
        <v>50.065612065622631</v>
      </c>
      <c r="AD1">
        <f t="shared" si="0"/>
        <v>57.575453875466025</v>
      </c>
    </row>
    <row r="2" spans="1:30" x14ac:dyDescent="0.25">
      <c r="A2">
        <v>0.15</v>
      </c>
      <c r="B2" t="s">
        <v>2</v>
      </c>
    </row>
    <row r="3" spans="1:30" s="2" customFormat="1" x14ac:dyDescent="0.25">
      <c r="A3" s="2">
        <v>1</v>
      </c>
      <c r="B3" s="2">
        <v>2</v>
      </c>
      <c r="C3" s="2">
        <v>3</v>
      </c>
      <c r="D3" s="2">
        <v>4</v>
      </c>
      <c r="E3" s="2">
        <v>5</v>
      </c>
      <c r="F3" s="2">
        <v>6</v>
      </c>
      <c r="G3" s="2">
        <v>7</v>
      </c>
      <c r="H3" s="2">
        <v>8</v>
      </c>
      <c r="I3" s="2">
        <v>9</v>
      </c>
      <c r="J3" s="2">
        <v>10</v>
      </c>
      <c r="K3" s="2">
        <v>11</v>
      </c>
      <c r="L3" s="2">
        <v>12</v>
      </c>
      <c r="M3" s="2">
        <v>13</v>
      </c>
      <c r="N3" s="2">
        <v>14</v>
      </c>
      <c r="O3" s="2">
        <v>15</v>
      </c>
      <c r="P3" s="2">
        <v>16</v>
      </c>
      <c r="Q3" s="2">
        <v>17</v>
      </c>
      <c r="R3" s="2">
        <v>18</v>
      </c>
      <c r="S3" s="2">
        <v>19</v>
      </c>
      <c r="T3" s="2">
        <v>20</v>
      </c>
      <c r="U3" s="2">
        <v>21</v>
      </c>
      <c r="V3" s="2">
        <v>22</v>
      </c>
      <c r="W3" s="2">
        <v>23</v>
      </c>
      <c r="X3" s="2">
        <v>24</v>
      </c>
      <c r="Y3" s="2">
        <v>25</v>
      </c>
      <c r="Z3" s="2">
        <v>26</v>
      </c>
      <c r="AA3" s="2">
        <v>27</v>
      </c>
      <c r="AB3" s="2">
        <v>28</v>
      </c>
      <c r="AC3" s="2">
        <v>29</v>
      </c>
      <c r="AD3" s="2">
        <v>30</v>
      </c>
    </row>
    <row r="4" spans="1:30" x14ac:dyDescent="0.25">
      <c r="A4">
        <v>0.5</v>
      </c>
      <c r="B4" t="s">
        <v>0</v>
      </c>
    </row>
    <row r="5" spans="1:30" x14ac:dyDescent="0.25">
      <c r="A5" s="1">
        <v>1</v>
      </c>
      <c r="B5" s="1">
        <f>A5*$A$4+A5</f>
        <v>1.5</v>
      </c>
      <c r="C5" s="1">
        <f t="shared" ref="C5:AD5" si="1">B5*$A$4+B5</f>
        <v>2.25</v>
      </c>
      <c r="D5" s="1">
        <f t="shared" si="1"/>
        <v>3.375</v>
      </c>
      <c r="E5" s="1">
        <f t="shared" si="1"/>
        <v>5.0625</v>
      </c>
      <c r="F5" s="1">
        <f t="shared" si="1"/>
        <v>7.59375</v>
      </c>
      <c r="G5" s="1">
        <f t="shared" si="1"/>
        <v>11.390625</v>
      </c>
      <c r="H5" s="1">
        <f t="shared" si="1"/>
        <v>17.0859375</v>
      </c>
      <c r="I5" s="1">
        <f t="shared" si="1"/>
        <v>25.62890625</v>
      </c>
      <c r="J5" s="1">
        <f t="shared" si="1"/>
        <v>38.443359375</v>
      </c>
      <c r="K5" s="1">
        <f t="shared" si="1"/>
        <v>57.6650390625</v>
      </c>
      <c r="L5" s="1">
        <f t="shared" si="1"/>
        <v>86.49755859375</v>
      </c>
      <c r="M5" s="1">
        <f t="shared" si="1"/>
        <v>129.746337890625</v>
      </c>
      <c r="N5" s="1">
        <f t="shared" si="1"/>
        <v>194.6195068359375</v>
      </c>
      <c r="O5" s="1">
        <f t="shared" si="1"/>
        <v>291.92926025390625</v>
      </c>
      <c r="P5">
        <f t="shared" si="1"/>
        <v>437.89389038085937</v>
      </c>
      <c r="Q5">
        <f t="shared" si="1"/>
        <v>656.84083557128906</v>
      </c>
      <c r="R5">
        <f t="shared" si="1"/>
        <v>985.26125335693359</v>
      </c>
      <c r="S5" s="1">
        <f t="shared" si="1"/>
        <v>1477.8918800354004</v>
      </c>
      <c r="T5">
        <f t="shared" si="1"/>
        <v>2216.8378200531006</v>
      </c>
      <c r="U5">
        <f t="shared" si="1"/>
        <v>3325.2567300796509</v>
      </c>
      <c r="V5">
        <f t="shared" si="1"/>
        <v>4987.8850951194763</v>
      </c>
      <c r="W5">
        <f t="shared" si="1"/>
        <v>7481.8276426792145</v>
      </c>
      <c r="X5">
        <f t="shared" si="1"/>
        <v>11222.741464018822</v>
      </c>
      <c r="Y5">
        <f t="shared" si="1"/>
        <v>16834.112196028233</v>
      </c>
      <c r="Z5">
        <f t="shared" si="1"/>
        <v>25251.168294042349</v>
      </c>
      <c r="AA5">
        <f t="shared" si="1"/>
        <v>37876.752441063523</v>
      </c>
      <c r="AB5">
        <f t="shared" si="1"/>
        <v>56815.128661595285</v>
      </c>
      <c r="AC5">
        <f t="shared" si="1"/>
        <v>85222.692992392927</v>
      </c>
      <c r="AD5">
        <f t="shared" si="1"/>
        <v>127834.03948858939</v>
      </c>
    </row>
    <row r="6" spans="1:30" x14ac:dyDescent="0.25">
      <c r="A6">
        <v>15</v>
      </c>
      <c r="B6" t="s">
        <v>1</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环保</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2024-07-10T16:11:19Z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