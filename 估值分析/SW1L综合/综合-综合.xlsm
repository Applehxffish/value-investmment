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New-综合\"/>
    </mc:Choice>
  </mc:AlternateContent>
  <bookViews>
    <workbookView xWindow="0" yWindow="0" windowWidth="3800" windowHeight="2950"/>
  </bookViews>
  <sheets>
    <sheet name="综合" sheetId="15" r:id="rId1"/>
    <sheet name="估值-增速与年化收益" sheetId="14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10" i="15"/>
  <c r="C27" i="15"/>
  <c r="C24" i="15"/>
  <c r="C16" i="15"/>
  <c r="C12" i="15"/>
  <c r="C15" i="15"/>
  <c r="C26" i="15"/>
  <c r="C20" i="15"/>
  <c r="C18" i="15"/>
  <c r="C25" i="15"/>
  <c r="C22" i="15"/>
  <c r="C19" i="15"/>
  <c r="C14" i="15"/>
  <c r="C11" i="15"/>
  <c r="C28" i="15"/>
  <c r="C21" i="15"/>
  <c r="C17" i="15"/>
  <c r="C13" i="15"/>
  <c r="C23" i="15"/>
  <c r="C9" i="15"/>
  <c r="C8" i="15"/>
  <c r="C7" i="15"/>
  <c r="C6" i="15"/>
  <c r="C5" i="15"/>
  <c r="C4" i="15"/>
  <c r="C3" i="15"/>
  <c r="C2" i="15"/>
</calcChain>
</file>

<file path=xl/sharedStrings.xml><?xml version="1.0" encoding="utf-8"?>
<sst xmlns="http://schemas.openxmlformats.org/spreadsheetml/2006/main" count="1699" uniqueCount="1232">
  <si>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</si>
  <si>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</si>
  <si>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</si>
  <si>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</si>
  <si>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</si>
  <si>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天宸股份</t>
  </si>
  <si>
    <t>鲁银投资</t>
  </si>
  <si>
    <t>泰达股份</t>
  </si>
  <si>
    <t>代码</t>
  </si>
  <si>
    <t>总市值</t>
  </si>
  <si>
    <t>TTM市盈率</t>
  </si>
  <si>
    <t>所属行业</t>
  </si>
  <si>
    <t>综合</t>
  </si>
  <si>
    <t>SH600784</t>
  </si>
  <si>
    <t>SH600620</t>
  </si>
  <si>
    <t>SZ000652</t>
  </si>
  <si>
    <t>SH600083</t>
  </si>
  <si>
    <t>--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</si>
  <si>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</si>
  <si>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</si>
  <si>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</si>
  <si>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</si>
  <si>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</si>
  <si>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</si>
  <si>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</si>
  <si>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</si>
  <si>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</si>
  <si>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</si>
  <si>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</si>
  <si>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1.88亿</t>
  </si>
  <si>
    <t>2.00亿</t>
  </si>
  <si>
    <t>0亿</t>
  </si>
  <si>
    <t>1.01亿</t>
  </si>
  <si>
    <t>201.61亿</t>
  </si>
  <si>
    <t>3.16亿</t>
  </si>
  <si>
    <t>SZ002575</t>
  </si>
  <si>
    <t>1.33亿</t>
  </si>
  <si>
    <t>SH600070</t>
  </si>
  <si>
    <t>31.29亿</t>
  </si>
  <si>
    <t>4.85亿</t>
  </si>
  <si>
    <t>1.23亿</t>
  </si>
  <si>
    <t>1.71亿</t>
  </si>
  <si>
    <t>-672.73万</t>
  </si>
  <si>
    <t>2.60亿</t>
  </si>
  <si>
    <t>4945.26万</t>
  </si>
  <si>
    <t>6713.09万</t>
  </si>
  <si>
    <t>22.62亿</t>
  </si>
  <si>
    <t>1306.40万</t>
  </si>
  <si>
    <t>1.05亿</t>
  </si>
  <si>
    <t>1.37亿</t>
  </si>
  <si>
    <t>SH600881</t>
  </si>
  <si>
    <t>亚泰集团</t>
  </si>
  <si>
    <t>170.10亿</t>
  </si>
  <si>
    <t>5345.68万</t>
  </si>
  <si>
    <t>1.08亿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</si>
  <si>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</si>
  <si>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</si>
  <si>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</si>
  <si>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</si>
  <si>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</si>
  <si>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</si>
  <si>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</si>
  <si>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</si>
  <si>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</si>
  <si>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</si>
  <si>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</si>
  <si>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销售毛利率%[20191231]</t>
  </si>
  <si>
    <t>销售净利率%[20191231]</t>
  </si>
  <si>
    <t>192.32亿</t>
  </si>
  <si>
    <t>3.09亿</t>
  </si>
  <si>
    <t>3.00亿</t>
  </si>
  <si>
    <t>2.44亿</t>
  </si>
  <si>
    <t>9108.04万</t>
  </si>
  <si>
    <t>2446.91万</t>
  </si>
  <si>
    <t>2406.44万</t>
  </si>
  <si>
    <t>1904.56万</t>
  </si>
  <si>
    <t>-6574.87万</t>
  </si>
  <si>
    <t>692.18万</t>
  </si>
  <si>
    <t>1.74亿</t>
  </si>
  <si>
    <t>4.72亿</t>
  </si>
  <si>
    <t>2.17亿</t>
  </si>
  <si>
    <t>1.03亿</t>
  </si>
  <si>
    <t>27.67亿</t>
  </si>
  <si>
    <t>1.66亿</t>
  </si>
  <si>
    <t>1086.68万</t>
  </si>
  <si>
    <t>15.66亿</t>
  </si>
  <si>
    <t>-5244.70万</t>
  </si>
  <si>
    <t>2.72亿</t>
  </si>
  <si>
    <t>3688.59万</t>
  </si>
  <si>
    <t>4881.58万</t>
  </si>
  <si>
    <t>6766.11万</t>
  </si>
  <si>
    <t>2.89亿</t>
  </si>
  <si>
    <t>25.40亿</t>
  </si>
  <si>
    <t>19.84亿</t>
  </si>
  <si>
    <t>6282.21万</t>
  </si>
  <si>
    <t>194.98亿</t>
  </si>
  <si>
    <t>141.28亿</t>
  </si>
  <si>
    <t>-1.97亿</t>
  </si>
  <si>
    <t>3.46亿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</si>
  <si>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</si>
  <si>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</si>
  <si>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</si>
  <si>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</si>
  <si>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</si>
  <si>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</si>
  <si>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</si>
  <si>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</si>
  <si>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</si>
  <si>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</si>
  <si>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</si>
  <si>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</si>
  <si>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</si>
  <si>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销售毛利率%[20201231]</t>
  </si>
  <si>
    <t>销售净利率%[20201231]</t>
  </si>
  <si>
    <t>1.36亿</t>
  </si>
  <si>
    <t>SZ000622</t>
  </si>
  <si>
    <t>2.25亿</t>
  </si>
  <si>
    <t>1.95亿</t>
  </si>
  <si>
    <t>1185.66万</t>
  </si>
  <si>
    <t>315.26万</t>
  </si>
  <si>
    <t>SZ000632</t>
  </si>
  <si>
    <t>三木集团</t>
  </si>
  <si>
    <t>84.39亿</t>
  </si>
  <si>
    <t>4714.47万</t>
  </si>
  <si>
    <t>63.77亿</t>
  </si>
  <si>
    <t>70.13亿</t>
  </si>
  <si>
    <t>4113.39万</t>
  </si>
  <si>
    <t>3312.47万</t>
  </si>
  <si>
    <t>SZ000753</t>
  </si>
  <si>
    <t>漳州发展</t>
  </si>
  <si>
    <t>31.16亿</t>
  </si>
  <si>
    <t>28.44亿</t>
  </si>
  <si>
    <t>31.62亿</t>
  </si>
  <si>
    <t>1.04亿</t>
  </si>
  <si>
    <t>SZ000820</t>
  </si>
  <si>
    <t>166.25万</t>
  </si>
  <si>
    <t>-3.63亿</t>
  </si>
  <si>
    <t>1622.73万</t>
  </si>
  <si>
    <t>1289.55万</t>
  </si>
  <si>
    <t>SZ000833</t>
  </si>
  <si>
    <t>粤桂股份</t>
  </si>
  <si>
    <t>31.90亿</t>
  </si>
  <si>
    <t>6274.57万</t>
  </si>
  <si>
    <t>35.02亿</t>
  </si>
  <si>
    <t>31.68亿</t>
  </si>
  <si>
    <t>8302.92万</t>
  </si>
  <si>
    <t>8847.60万</t>
  </si>
  <si>
    <t>2.48亿</t>
  </si>
  <si>
    <t>2.29亿</t>
  </si>
  <si>
    <t>3.26亿</t>
  </si>
  <si>
    <t>SZ300208</t>
  </si>
  <si>
    <t>-4.08亿</t>
  </si>
  <si>
    <t>7.57亿</t>
  </si>
  <si>
    <t>13.00亿</t>
  </si>
  <si>
    <t>-2.59亿</t>
  </si>
  <si>
    <t>SH600051</t>
  </si>
  <si>
    <t>宁波联合</t>
  </si>
  <si>
    <t>49.14亿</t>
  </si>
  <si>
    <t>38.74亿</t>
  </si>
  <si>
    <t>40.40亿</t>
  </si>
  <si>
    <t>1.27亿</t>
  </si>
  <si>
    <t>SH600676</t>
  </si>
  <si>
    <t>交运股份</t>
  </si>
  <si>
    <t>77.70亿</t>
  </si>
  <si>
    <t>-2.05亿</t>
  </si>
  <si>
    <t>1.20亿</t>
  </si>
  <si>
    <t>15.00万</t>
  </si>
  <si>
    <t>86.96亿</t>
  </si>
  <si>
    <t>96.69亿</t>
  </si>
  <si>
    <t>SH600770</t>
  </si>
  <si>
    <t>综艺股份</t>
  </si>
  <si>
    <t>3.77亿</t>
  </si>
  <si>
    <t>1.68亿</t>
  </si>
  <si>
    <t>4.58亿</t>
  </si>
  <si>
    <t>7.53亿</t>
  </si>
  <si>
    <t>5577.23万</t>
  </si>
  <si>
    <t>5376.71万</t>
  </si>
  <si>
    <t>4471.67万</t>
  </si>
  <si>
    <t>SH600805</t>
  </si>
  <si>
    <t>悦达投资</t>
  </si>
  <si>
    <t>30.26亿</t>
  </si>
  <si>
    <t>-12.68亿</t>
  </si>
  <si>
    <t>26.40亿</t>
  </si>
  <si>
    <t>25.51亿</t>
  </si>
  <si>
    <t>8055.36万</t>
  </si>
  <si>
    <t>流通股本</t>
  </si>
  <si>
    <t>净利润[20201231]</t>
  </si>
  <si>
    <t>投入资本回报率roic%[20201231]</t>
  </si>
  <si>
    <t>净资产收益率%[20201231]</t>
  </si>
  <si>
    <t>SZ000631</t>
  </si>
  <si>
    <t>顺发恒业</t>
  </si>
  <si>
    <t>9555.17万</t>
  </si>
  <si>
    <t>6.50亿</t>
  </si>
  <si>
    <t>16.49亿</t>
  </si>
  <si>
    <t>27.16亿</t>
  </si>
  <si>
    <t>2.66亿</t>
  </si>
  <si>
    <t>6.08亿</t>
  </si>
  <si>
    <t>10.28亿</t>
  </si>
  <si>
    <t>86.00亿</t>
  </si>
  <si>
    <t>2553.06万</t>
  </si>
  <si>
    <t>188.39亿</t>
  </si>
  <si>
    <t>30.61亿</t>
  </si>
  <si>
    <t>19.90亿</t>
  </si>
  <si>
    <t>1.02亿</t>
  </si>
  <si>
    <t>30.59亿</t>
  </si>
  <si>
    <t>5122.41万</t>
  </si>
  <si>
    <t>1968.04万</t>
  </si>
  <si>
    <t>15.86亿</t>
  </si>
  <si>
    <t>5.82亿</t>
  </si>
  <si>
    <t>1242.86万</t>
  </si>
  <si>
    <t>4181.76万</t>
  </si>
  <si>
    <t>75.10亿</t>
  </si>
  <si>
    <t>1167.87万</t>
  </si>
  <si>
    <t>3.73亿</t>
  </si>
  <si>
    <t>5987.50万</t>
  </si>
  <si>
    <t>30.20亿</t>
  </si>
  <si>
    <t>38.87亿</t>
  </si>
  <si>
    <t>-7.68亿</t>
  </si>
  <si>
    <t>196.53亿</t>
  </si>
  <si>
    <t>-12.54亿</t>
  </si>
  <si>
    <t xml:space="preserve">    名称</t>
  </si>
  <si>
    <t>LY营业总收入[20211231]</t>
  </si>
  <si>
    <t>净利润?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</si>
  <si>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</si>
  <si>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</si>
  <si>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</si>
  <si>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</si>
  <si>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</si>
  <si>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管理费用[20220630]</t>
  </si>
  <si>
    <t>研发费用总额[20220630]</t>
  </si>
  <si>
    <t>扣非净利润</t>
  </si>
  <si>
    <t>营业总收入[20201231]</t>
  </si>
  <si>
    <t>投入资本回报率roic%[20211231]</t>
  </si>
  <si>
    <t>净资产收益率%[20211231]</t>
  </si>
  <si>
    <t>细分行业</t>
  </si>
  <si>
    <t>单季营收增速</t>
  </si>
  <si>
    <t>单季利润增速</t>
  </si>
  <si>
    <t>扭亏</t>
  </si>
  <si>
    <t>-1-1</t>
  </si>
  <si>
    <t>亏损</t>
  </si>
  <si>
    <t>1-0</t>
  </si>
  <si>
    <t>1-1</t>
  </si>
  <si>
    <t>神雾节能</t>
  </si>
  <si>
    <t>-20.32亿</t>
  </si>
  <si>
    <t>-7.00亿</t>
  </si>
  <si>
    <t>SZ002213</t>
  </si>
  <si>
    <t>大为股份</t>
  </si>
  <si>
    <t>8.57亿</t>
  </si>
  <si>
    <t>1547.91万</t>
  </si>
  <si>
    <t>3.88亿</t>
  </si>
  <si>
    <t>1.24亿</t>
  </si>
  <si>
    <t>1.18亿</t>
  </si>
  <si>
    <t>899.37万</t>
  </si>
  <si>
    <t>160.05万</t>
  </si>
  <si>
    <t>118.96万</t>
  </si>
  <si>
    <t>群兴玩具</t>
  </si>
  <si>
    <t>1.77亿</t>
  </si>
  <si>
    <t>SH600689</t>
  </si>
  <si>
    <t>上海三毛</t>
  </si>
  <si>
    <t>8.75亿</t>
  </si>
  <si>
    <t>1181.00万</t>
  </si>
  <si>
    <t>9.45亿</t>
  </si>
  <si>
    <t>13.70亿</t>
  </si>
  <si>
    <t>13.78亿</t>
  </si>
  <si>
    <t>-3539.99万</t>
  </si>
  <si>
    <t>820.07万</t>
  </si>
  <si>
    <t>1074.70万</t>
  </si>
  <si>
    <t>1.57亿</t>
  </si>
  <si>
    <t>-1-0</t>
  </si>
  <si>
    <t>1年自由现金流折现</t>
    <phoneticPr fontId="1" type="noConversion"/>
  </si>
  <si>
    <t>开始亏损</t>
  </si>
  <si>
    <t>涨幅</t>
  </si>
  <si>
    <t>成交量[20221212]</t>
  </si>
  <si>
    <t>营业收入(同比增长率) %[20220930]</t>
  </si>
  <si>
    <t>LY净利润[20211231]</t>
  </si>
  <si>
    <t>销售费用[20220930]</t>
  </si>
  <si>
    <t>其他收入[20220930]</t>
  </si>
  <si>
    <t>货币资金[20220930]</t>
  </si>
  <si>
    <t>应收票据[20220930]</t>
  </si>
  <si>
    <t>固定资产[20220930]</t>
  </si>
  <si>
    <t>在建工程[20220930]</t>
  </si>
  <si>
    <t>短期借款[20220930]</t>
  </si>
  <si>
    <t>应付票据[20220930]</t>
  </si>
  <si>
    <t>应付账款[20220930]</t>
  </si>
  <si>
    <t>预收款项[20220930]</t>
  </si>
  <si>
    <t>流动负债[20220930]</t>
  </si>
  <si>
    <t>长期借款[20220930]</t>
  </si>
  <si>
    <t>经营活动产生的现金流量净额[20220930]</t>
  </si>
  <si>
    <t>投资活动产生的现金流量净额[20220930]</t>
  </si>
  <si>
    <t>筹资活动产生的现金流量净额[20220930]</t>
  </si>
  <si>
    <t>CYLQ营业收入[20220630]</t>
  </si>
  <si>
    <t>LYCQ营业收入[20210930]</t>
  </si>
  <si>
    <t>LYLQ营业收入[20210630]</t>
  </si>
  <si>
    <t>CYLQ净利润[20220630]</t>
  </si>
  <si>
    <t>LYCQ净利润[20210930]</t>
  </si>
  <si>
    <t>LYLQ净利润[20210630]</t>
  </si>
  <si>
    <t>分红明细[20211231]</t>
  </si>
  <si>
    <t>销售毛利率%[20220630]</t>
  </si>
  <si>
    <t>销售净利率%[20220630]</t>
  </si>
  <si>
    <t>区间涨跌幅:前复权%[20221206-20221212]</t>
  </si>
  <si>
    <t>指数@区间涨跌幅:不复权%[20221101-20221212]</t>
  </si>
  <si>
    <t>指数@区间成交量[20221206-20221212]</t>
  </si>
  <si>
    <t>指数@区间成交量[20221101-20221212]</t>
  </si>
  <si>
    <t>市销率</t>
    <phoneticPr fontId="1" type="noConversion"/>
  </si>
  <si>
    <t>股利率</t>
    <phoneticPr fontId="1" type="noConversion"/>
  </si>
  <si>
    <t>过往营收增速均值</t>
    <phoneticPr fontId="1" type="noConversion"/>
  </si>
  <si>
    <t>折现率</t>
    <phoneticPr fontId="1" type="noConversion"/>
  </si>
  <si>
    <t>10增速</t>
    <phoneticPr fontId="1" type="noConversion"/>
  </si>
  <si>
    <t>20年自由现金流折现</t>
    <phoneticPr fontId="1" type="noConversion"/>
  </si>
  <si>
    <t>清算价格</t>
    <phoneticPr fontId="1" type="noConversion"/>
  </si>
  <si>
    <t>营收和利润加权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</si>
  <si>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</si>
  <si>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</si>
  <si>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</si>
  <si>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</si>
  <si>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</si>
  <si>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</si>
  <si>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</si>
  <si>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</si>
  <si>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</si>
  <si>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</si>
  <si>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N-4</t>
    <phoneticPr fontId="1" type="noConversion"/>
  </si>
  <si>
    <t>N-1</t>
    <phoneticPr fontId="1" type="noConversion"/>
  </si>
  <si>
    <t>N</t>
    <phoneticPr fontId="1" type="noConversion"/>
  </si>
  <si>
    <t>扣非对比净利润</t>
    <phoneticPr fontId="1" type="noConversion"/>
  </si>
  <si>
    <t>过往利润增速均值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</si>
  <si>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</si>
  <si>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</si>
  <si>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</si>
  <si>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</si>
  <si>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</si>
  <si>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</si>
  <si>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承担负债现期溢价</t>
    <phoneticPr fontId="1" type="noConversion"/>
  </si>
  <si>
    <t>原始顺序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</si>
  <si>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</si>
  <si>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</si>
  <si>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</si>
  <si>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</si>
  <si>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价格变动策略</t>
    <phoneticPr fontId="1" type="noConversion"/>
  </si>
  <si>
    <t>30日成交换手率</t>
    <phoneticPr fontId="1" type="noConversion"/>
  </si>
  <si>
    <t>价格右侧初期策略</t>
    <phoneticPr fontId="1" type="noConversion"/>
  </si>
  <si>
    <t>N日期</t>
    <phoneticPr fontId="1" type="noConversion"/>
  </si>
  <si>
    <t>N-3</t>
    <phoneticPr fontId="1" type="noConversion"/>
  </si>
  <si>
    <t>N-2</t>
    <phoneticPr fontId="1" type="noConversion"/>
  </si>
  <si>
    <t>不分配不转增</t>
  </si>
  <si>
    <t>2.50亿</t>
  </si>
  <si>
    <t>2.12亿</t>
  </si>
  <si>
    <t>3.24亿</t>
  </si>
  <si>
    <t>1.39亿</t>
  </si>
  <si>
    <t>1.78亿</t>
  </si>
  <si>
    <t>3.07亿</t>
  </si>
  <si>
    <t>1.62亿</t>
  </si>
  <si>
    <t>139.54亿</t>
  </si>
  <si>
    <t>1486.84万</t>
  </si>
  <si>
    <t>1.50亿</t>
  </si>
  <si>
    <t>202.51亿</t>
  </si>
  <si>
    <t>3920.00万</t>
  </si>
  <si>
    <t>211.96亿</t>
  </si>
  <si>
    <t>28.53亿</t>
  </si>
  <si>
    <t>-1591.59万</t>
  </si>
  <si>
    <t>34.17亿</t>
  </si>
  <si>
    <t>2.95亿</t>
  </si>
  <si>
    <t>8.82亿</t>
  </si>
  <si>
    <t>8.38亿</t>
  </si>
  <si>
    <t>1597.92万</t>
  </si>
  <si>
    <t>8495.99万</t>
  </si>
  <si>
    <t>1129.74万</t>
  </si>
  <si>
    <t>8.32亿</t>
  </si>
  <si>
    <t>26.57亿</t>
  </si>
  <si>
    <t>3.63亿</t>
  </si>
  <si>
    <t>3.86亿</t>
  </si>
  <si>
    <t>10派1.2元(含税)</t>
  </si>
  <si>
    <t>-5.86亿</t>
  </si>
  <si>
    <t>11.84亿</t>
  </si>
  <si>
    <t>-5.55亿</t>
  </si>
  <si>
    <t>6185.88万</t>
  </si>
  <si>
    <t>SH600089</t>
  </si>
  <si>
    <t>特变电工</t>
  </si>
  <si>
    <t>445.98亿</t>
  </si>
  <si>
    <t>369.80亿</t>
  </si>
  <si>
    <t>396.56亿</t>
  </si>
  <si>
    <t>SH600098</t>
  </si>
  <si>
    <t>广州发展</t>
  </si>
  <si>
    <t>13.54亿</t>
  </si>
  <si>
    <t>316.45亿</t>
  </si>
  <si>
    <t>295.34亿</t>
  </si>
  <si>
    <t>259.82亿</t>
  </si>
  <si>
    <t>1.72亿</t>
  </si>
  <si>
    <t>10派2元(含税)</t>
  </si>
  <si>
    <t>1.67亿</t>
  </si>
  <si>
    <t>10.34亿</t>
  </si>
  <si>
    <t>-1291.57万</t>
  </si>
  <si>
    <t>3.75亿</t>
  </si>
  <si>
    <t>-3.20亿</t>
  </si>
  <si>
    <t>2.88亿</t>
  </si>
  <si>
    <t>37.89亿</t>
  </si>
  <si>
    <t>30.73亿</t>
  </si>
  <si>
    <t>129.68亿</t>
  </si>
  <si>
    <t>1.06亿</t>
  </si>
  <si>
    <t>2.46亿</t>
  </si>
  <si>
    <t>-1325.60万</t>
  </si>
  <si>
    <t>3.06亿</t>
  </si>
  <si>
    <t>171.96万</t>
  </si>
  <si>
    <t>301.62万</t>
  </si>
  <si>
    <t>1.90亿</t>
  </si>
  <si>
    <t>3593.57万</t>
  </si>
  <si>
    <t>2.85亿</t>
  </si>
  <si>
    <t>10派0.3元(含税)</t>
  </si>
  <si>
    <t>SZ000025</t>
  </si>
  <si>
    <t>特  力Ａ</t>
  </si>
  <si>
    <t>8349.61万</t>
  </si>
  <si>
    <t>1.54亿</t>
  </si>
  <si>
    <t>5.09亿</t>
  </si>
  <si>
    <t>4.24亿</t>
  </si>
  <si>
    <t>5.71亿</t>
  </si>
  <si>
    <t>4.14亿</t>
  </si>
  <si>
    <t>1.31亿</t>
  </si>
  <si>
    <t>5766.38万</t>
  </si>
  <si>
    <t>2.20亿</t>
  </si>
  <si>
    <t>8692.41万</t>
  </si>
  <si>
    <t>2.41亿</t>
  </si>
  <si>
    <t>2.79亿</t>
  </si>
  <si>
    <t>1.94亿</t>
  </si>
  <si>
    <t>1.11亿</t>
  </si>
  <si>
    <t>200.00万</t>
  </si>
  <si>
    <t>26.58亿</t>
  </si>
  <si>
    <t>SZ002758</t>
  </si>
  <si>
    <t>浙农股份</t>
  </si>
  <si>
    <t>418.13亿</t>
  </si>
  <si>
    <t>6.10亿</t>
  </si>
  <si>
    <t>5.31亿</t>
  </si>
  <si>
    <t>351.46亿</t>
  </si>
  <si>
    <t>287.47亿</t>
  </si>
  <si>
    <t>66.50亿</t>
  </si>
  <si>
    <t>15.23亿</t>
  </si>
  <si>
    <t>6.57亿</t>
  </si>
  <si>
    <t>3.51亿</t>
  </si>
  <si>
    <t>3456.33万</t>
  </si>
  <si>
    <t>4.08亿</t>
  </si>
  <si>
    <t>10派3元(含税)</t>
  </si>
  <si>
    <t>1.83亿</t>
  </si>
  <si>
    <t>6.15亿</t>
  </si>
  <si>
    <t>3.12亿</t>
  </si>
  <si>
    <t>4.50亿</t>
  </si>
  <si>
    <t>12.43亿</t>
  </si>
  <si>
    <t>400.64万</t>
  </si>
  <si>
    <t>26.74亿</t>
  </si>
  <si>
    <t>2.64亿</t>
  </si>
  <si>
    <t>1.84亿</t>
  </si>
  <si>
    <t>5.04亿</t>
  </si>
  <si>
    <t>1.32亿</t>
  </si>
  <si>
    <t>4.48亿</t>
  </si>
  <si>
    <t>SH600673</t>
  </si>
  <si>
    <t>东阳光</t>
  </si>
  <si>
    <t>154.55亿</t>
  </si>
  <si>
    <t>103.54亿</t>
  </si>
  <si>
    <t>89.90亿</t>
  </si>
  <si>
    <t>116.99亿</t>
  </si>
  <si>
    <t>93.18亿</t>
  </si>
  <si>
    <t>81.14亿</t>
  </si>
  <si>
    <t>5.11亿</t>
  </si>
  <si>
    <t>102489141亿</t>
  </si>
  <si>
    <t>1040.30万</t>
  </si>
  <si>
    <t>-291853250亿</t>
  </si>
  <si>
    <t>53.85亿</t>
  </si>
  <si>
    <t>2406848300亿</t>
  </si>
  <si>
    <t>1897.91万</t>
  </si>
  <si>
    <t>11591801200亿</t>
  </si>
  <si>
    <t>17.83亿</t>
  </si>
  <si>
    <t>62.90亿</t>
  </si>
  <si>
    <t>17.82亿</t>
  </si>
  <si>
    <t>14.09亿</t>
  </si>
  <si>
    <t>115.20亿</t>
  </si>
  <si>
    <t>-8.63亿</t>
  </si>
  <si>
    <t>10.90亿</t>
  </si>
  <si>
    <t>128.02亿</t>
  </si>
  <si>
    <t>103.71亿</t>
  </si>
  <si>
    <t>147.67亿</t>
  </si>
  <si>
    <t>116.80亿</t>
  </si>
  <si>
    <t>90.03亿</t>
  </si>
  <si>
    <t>8.74亿</t>
  </si>
  <si>
    <t>4.16亿</t>
  </si>
  <si>
    <t>11.12亿</t>
  </si>
  <si>
    <t>10.91亿</t>
  </si>
  <si>
    <t>8.47亿</t>
  </si>
  <si>
    <t>53.14亿</t>
  </si>
  <si>
    <t>87.15亿</t>
  </si>
  <si>
    <t>59.26亿</t>
  </si>
  <si>
    <t>-1.39亿</t>
  </si>
  <si>
    <t>7.15亿</t>
  </si>
  <si>
    <t>6.24亿</t>
  </si>
  <si>
    <t>15.79亿</t>
  </si>
  <si>
    <t>SH600682</t>
  </si>
  <si>
    <t>南京新百</t>
  </si>
  <si>
    <t>64.31亿</t>
  </si>
  <si>
    <t>7.23亿</t>
  </si>
  <si>
    <t>63.85亿</t>
  </si>
  <si>
    <t>56.57亿</t>
  </si>
  <si>
    <t>95.02亿</t>
  </si>
  <si>
    <t>145.41亿</t>
  </si>
  <si>
    <t>10.55亿</t>
  </si>
  <si>
    <t>7.52亿</t>
  </si>
  <si>
    <t>16.87亿</t>
  </si>
  <si>
    <t>-8.92亿</t>
  </si>
  <si>
    <t>账面净赚</t>
  </si>
  <si>
    <t>7.42亿</t>
  </si>
  <si>
    <t>1000.00万</t>
  </si>
  <si>
    <t>8.20亿</t>
  </si>
  <si>
    <t>45.43亿</t>
  </si>
  <si>
    <t>2.73亿</t>
  </si>
  <si>
    <t>1167.65万</t>
  </si>
  <si>
    <t>9277.83万</t>
  </si>
  <si>
    <t>547.48万</t>
  </si>
  <si>
    <t>9654790亿</t>
  </si>
  <si>
    <t>14.47万</t>
  </si>
  <si>
    <t>-41114661亿</t>
  </si>
  <si>
    <t>9.67亿</t>
  </si>
  <si>
    <t>163677830亿</t>
  </si>
  <si>
    <t>1742594600亿</t>
  </si>
  <si>
    <t>2.99亿</t>
  </si>
  <si>
    <t>5247.99万</t>
  </si>
  <si>
    <t>48.02万</t>
  </si>
  <si>
    <t>4.97亿</t>
  </si>
  <si>
    <t>4850.76万</t>
  </si>
  <si>
    <t>-9919.83万</t>
  </si>
  <si>
    <t>745.50万</t>
  </si>
  <si>
    <t>3.03亿</t>
  </si>
  <si>
    <t>-7239.09万</t>
  </si>
  <si>
    <t>-3.28亿</t>
  </si>
  <si>
    <t>-2.84亿</t>
  </si>
  <si>
    <t>2.35亿</t>
  </si>
  <si>
    <t>3.31亿</t>
  </si>
  <si>
    <t>1.10亿</t>
  </si>
  <si>
    <t>1.16亿</t>
  </si>
  <si>
    <t>1700.00万</t>
  </si>
  <si>
    <t>1900.00万</t>
  </si>
  <si>
    <t>1.07亿</t>
  </si>
  <si>
    <t>2.10亿</t>
  </si>
  <si>
    <t>6.40亿</t>
  </si>
  <si>
    <t>3.13亿</t>
  </si>
  <si>
    <t>3-1</t>
  </si>
  <si>
    <t>791.93万</t>
  </si>
  <si>
    <t>3313.92万</t>
  </si>
  <si>
    <t>728.90万</t>
  </si>
  <si>
    <t>3678.68万</t>
  </si>
  <si>
    <t>206.10万</t>
  </si>
  <si>
    <t>6.73亿</t>
  </si>
  <si>
    <t>17.68亿</t>
  </si>
  <si>
    <t>7.58亿</t>
  </si>
  <si>
    <t>18.47亿</t>
  </si>
  <si>
    <t>7.17亿</t>
  </si>
  <si>
    <t>6.94亿</t>
  </si>
  <si>
    <t>437.29万</t>
  </si>
  <si>
    <t>1156.72万</t>
  </si>
  <si>
    <t>2509184亿</t>
  </si>
  <si>
    <t>34.71万</t>
  </si>
  <si>
    <t>32505801亿</t>
  </si>
  <si>
    <t>2.61亿</t>
  </si>
  <si>
    <t>263745360亿</t>
  </si>
  <si>
    <t>896353540亿</t>
  </si>
  <si>
    <t>1087.63万</t>
  </si>
  <si>
    <t>1.26亿</t>
  </si>
  <si>
    <t>951.54万</t>
  </si>
  <si>
    <t>5.83亿</t>
  </si>
  <si>
    <t>-2310.19万</t>
  </si>
  <si>
    <t>140.74万</t>
  </si>
  <si>
    <t>7741.32万</t>
  </si>
  <si>
    <t>3.40亿</t>
  </si>
  <si>
    <t>2527.41万</t>
  </si>
  <si>
    <t>10派0.31元(含税)</t>
  </si>
  <si>
    <t>1152.39万</t>
  </si>
  <si>
    <t>7971.47万</t>
  </si>
  <si>
    <t>*ST恒立</t>
  </si>
  <si>
    <t>2855.82万</t>
  </si>
  <si>
    <t>2.06亿</t>
  </si>
  <si>
    <t>1.85亿</t>
  </si>
  <si>
    <t>942.44万</t>
  </si>
  <si>
    <t>-1147.99万</t>
  </si>
  <si>
    <t>1442.44万</t>
  </si>
  <si>
    <t>873.25万</t>
  </si>
  <si>
    <t>43.84万</t>
  </si>
  <si>
    <t>385.82万</t>
  </si>
  <si>
    <t>-5000003亿</t>
  </si>
  <si>
    <t>222.18万</t>
  </si>
  <si>
    <t>55759975亿</t>
  </si>
  <si>
    <t>176.43万</t>
  </si>
  <si>
    <t>216224360亿</t>
  </si>
  <si>
    <t>1413.00万</t>
  </si>
  <si>
    <t>272.62万</t>
  </si>
  <si>
    <t>5305.65万</t>
  </si>
  <si>
    <t>95.89万</t>
  </si>
  <si>
    <t>1.44亿</t>
  </si>
  <si>
    <t>-3476.34万</t>
  </si>
  <si>
    <t>-254.59万</t>
  </si>
  <si>
    <t>-48.84万</t>
  </si>
  <si>
    <t>991.22万</t>
  </si>
  <si>
    <t>-315.01万</t>
  </si>
  <si>
    <t>8606.00万</t>
  </si>
  <si>
    <t>5.53亿</t>
  </si>
  <si>
    <t>-3-0</t>
  </si>
  <si>
    <t>780.47万</t>
  </si>
  <si>
    <t>8.45亿</t>
  </si>
  <si>
    <t>59.64亿</t>
  </si>
  <si>
    <t>9432.96万</t>
  </si>
  <si>
    <t>22.37亿</t>
  </si>
  <si>
    <t>8477.17万</t>
  </si>
  <si>
    <t>6588.59万</t>
  </si>
  <si>
    <t>451.83万</t>
  </si>
  <si>
    <t>1388.73万</t>
  </si>
  <si>
    <t>10652382亿</t>
  </si>
  <si>
    <t>99.74万</t>
  </si>
  <si>
    <t>5513013亿</t>
  </si>
  <si>
    <t>51.44亿</t>
  </si>
  <si>
    <t>52606240亿</t>
  </si>
  <si>
    <t>6161134900亿</t>
  </si>
  <si>
    <t>1893.67万</t>
  </si>
  <si>
    <t>1.69亿</t>
  </si>
  <si>
    <t>1494.13万</t>
  </si>
  <si>
    <t>10.38亿</t>
  </si>
  <si>
    <t>-9355.38万</t>
  </si>
  <si>
    <t>-23.34万</t>
  </si>
  <si>
    <t>5915.37万</t>
  </si>
  <si>
    <t>1836.66万</t>
  </si>
  <si>
    <t>10派1元(含税)</t>
  </si>
  <si>
    <t>3736.40万</t>
  </si>
  <si>
    <t>927.57万</t>
  </si>
  <si>
    <t>78.25亿</t>
  </si>
  <si>
    <t>20.88亿</t>
  </si>
  <si>
    <t>37.03亿</t>
  </si>
  <si>
    <t>139.12亿</t>
  </si>
  <si>
    <t>-3.19亿</t>
  </si>
  <si>
    <t>36.53亿</t>
  </si>
  <si>
    <t>35.34亿</t>
  </si>
  <si>
    <t>1331.38万</t>
  </si>
  <si>
    <t>3489.62万</t>
  </si>
  <si>
    <t>-2737627亿</t>
  </si>
  <si>
    <t>69.78万</t>
  </si>
  <si>
    <t>4280935亿</t>
  </si>
  <si>
    <t>12.27亿</t>
  </si>
  <si>
    <t>29380644亿</t>
  </si>
  <si>
    <t>819.91万</t>
  </si>
  <si>
    <t>5648760000亿</t>
  </si>
  <si>
    <t>9.99万</t>
  </si>
  <si>
    <t>24.92亿</t>
  </si>
  <si>
    <t>4.71亿</t>
  </si>
  <si>
    <t>1095.49万</t>
  </si>
  <si>
    <t>52.22亿</t>
  </si>
  <si>
    <t>15.82亿</t>
  </si>
  <si>
    <t>7159.29万</t>
  </si>
  <si>
    <t>-4.09亿</t>
  </si>
  <si>
    <t>29.64亿</t>
  </si>
  <si>
    <t>674.71万</t>
  </si>
  <si>
    <t>5905.90万</t>
  </si>
  <si>
    <t>3.27亿</t>
  </si>
  <si>
    <t>-2-0</t>
  </si>
  <si>
    <t>505.92万</t>
  </si>
  <si>
    <t>345.85亿</t>
  </si>
  <si>
    <t>65.64亿</t>
  </si>
  <si>
    <t>44.51亿</t>
  </si>
  <si>
    <t>210.68亿</t>
  </si>
  <si>
    <t>45.47亿</t>
  </si>
  <si>
    <t>43.38亿</t>
  </si>
  <si>
    <t>626.00万</t>
  </si>
  <si>
    <t>4144.88万</t>
  </si>
  <si>
    <t>77165874亿</t>
  </si>
  <si>
    <t>53.43万</t>
  </si>
  <si>
    <t>5726651亿</t>
  </si>
  <si>
    <t>29.34亿</t>
  </si>
  <si>
    <t>9118614700亿</t>
  </si>
  <si>
    <t>27145924000亿</t>
  </si>
  <si>
    <t>90.07亿</t>
  </si>
  <si>
    <t>30.71亿</t>
  </si>
  <si>
    <t>20.01亿</t>
  </si>
  <si>
    <t>708.66万</t>
  </si>
  <si>
    <t>253.10亿</t>
  </si>
  <si>
    <t>58.86亿</t>
  </si>
  <si>
    <t>175.47万</t>
  </si>
  <si>
    <t>-1.47亿</t>
  </si>
  <si>
    <t>-5951.22万</t>
  </si>
  <si>
    <t>45.99亿</t>
  </si>
  <si>
    <t>646.56万</t>
  </si>
  <si>
    <t>10派0.4元(含税)</t>
  </si>
  <si>
    <t>3332.65万</t>
  </si>
  <si>
    <t>455.43万</t>
  </si>
  <si>
    <t>69.83亿</t>
  </si>
  <si>
    <t>5.80亿</t>
  </si>
  <si>
    <t>36.49亿</t>
  </si>
  <si>
    <t>7844.71万</t>
  </si>
  <si>
    <t>5.18亿</t>
  </si>
  <si>
    <t>4.87亿</t>
  </si>
  <si>
    <t>3168.74万</t>
  </si>
  <si>
    <t>3107.44万</t>
  </si>
  <si>
    <t>-7073277亿</t>
  </si>
  <si>
    <t>154.53万</t>
  </si>
  <si>
    <t>16686357亿</t>
  </si>
  <si>
    <t>3.35亿</t>
  </si>
  <si>
    <t>1037205250亿</t>
  </si>
  <si>
    <t>2672097200亿</t>
  </si>
  <si>
    <t>2.24亿</t>
  </si>
  <si>
    <t>12.91亿</t>
  </si>
  <si>
    <t>18.06亿</t>
  </si>
  <si>
    <t>40.64亿</t>
  </si>
  <si>
    <t>24.47亿</t>
  </si>
  <si>
    <t>-2.47亿</t>
  </si>
  <si>
    <t>-9765.09万</t>
  </si>
  <si>
    <t>7654.06万</t>
  </si>
  <si>
    <t>4.60亿</t>
  </si>
  <si>
    <t>1736.65万</t>
  </si>
  <si>
    <t>10派0.25元(含税)</t>
  </si>
  <si>
    <t>3569.81万</t>
  </si>
  <si>
    <t>1957.64万</t>
  </si>
  <si>
    <t>1.30亿</t>
  </si>
  <si>
    <t>3802.18万</t>
  </si>
  <si>
    <t>-1703.93万</t>
  </si>
  <si>
    <t>3960.12万</t>
  </si>
  <si>
    <t>3248.54万</t>
  </si>
  <si>
    <t>58.50万</t>
  </si>
  <si>
    <t>599.05万</t>
  </si>
  <si>
    <t>-3184948亿</t>
  </si>
  <si>
    <t>1236.21万</t>
  </si>
  <si>
    <t>141202770亿</t>
  </si>
  <si>
    <t>718.56万</t>
  </si>
  <si>
    <t>186807320亿</t>
  </si>
  <si>
    <t>1600.00万</t>
  </si>
  <si>
    <t>8818.71万</t>
  </si>
  <si>
    <t>2.01亿</t>
  </si>
  <si>
    <t>-2005.20万</t>
  </si>
  <si>
    <t>1395.01万</t>
  </si>
  <si>
    <t>2091.69万</t>
  </si>
  <si>
    <t>-732.65万</t>
  </si>
  <si>
    <t>9100.85万</t>
  </si>
  <si>
    <t>3.43亿</t>
  </si>
  <si>
    <t>384.08万</t>
  </si>
  <si>
    <t>20.24亿</t>
  </si>
  <si>
    <t>34.87亿</t>
  </si>
  <si>
    <t>33.60亿</t>
  </si>
  <si>
    <t>6632.60万</t>
  </si>
  <si>
    <t>412.08万</t>
  </si>
  <si>
    <t>5309.29万</t>
  </si>
  <si>
    <t>83283亿</t>
  </si>
  <si>
    <t>19.93万</t>
  </si>
  <si>
    <t>66113611亿</t>
  </si>
  <si>
    <t>15.14亿</t>
  </si>
  <si>
    <t>7287998亿</t>
  </si>
  <si>
    <t>7985.51万</t>
  </si>
  <si>
    <t>2732879400亿</t>
  </si>
  <si>
    <t>9510.99万</t>
  </si>
  <si>
    <t>12.75亿</t>
  </si>
  <si>
    <t>2.19亿</t>
  </si>
  <si>
    <t>18.46亿</t>
  </si>
  <si>
    <t>-1.62亿</t>
  </si>
  <si>
    <t>1578.70万</t>
  </si>
  <si>
    <t>9.26亿</t>
  </si>
  <si>
    <t>3994.80万</t>
  </si>
  <si>
    <t>10送2股派0.57元(含税)</t>
  </si>
  <si>
    <t>2762.10万</t>
  </si>
  <si>
    <t>1.93亿</t>
  </si>
  <si>
    <t>SZ002052</t>
  </si>
  <si>
    <t>*ST同洲</t>
  </si>
  <si>
    <t>3083.67万</t>
  </si>
  <si>
    <t>3.95亿</t>
  </si>
  <si>
    <t>-1164.41万</t>
  </si>
  <si>
    <t>4111.28万</t>
  </si>
  <si>
    <t>-7474.83万</t>
  </si>
  <si>
    <t>5967.60万</t>
  </si>
  <si>
    <t>4461.81万</t>
  </si>
  <si>
    <t>275.43万</t>
  </si>
  <si>
    <t>881.36万</t>
  </si>
  <si>
    <t>24.78万</t>
  </si>
  <si>
    <t>-14742145亿</t>
  </si>
  <si>
    <t>487.93万</t>
  </si>
  <si>
    <t>82796601亿</t>
  </si>
  <si>
    <t>892.71万</t>
  </si>
  <si>
    <t>194106420亿</t>
  </si>
  <si>
    <t>278.32万</t>
  </si>
  <si>
    <t>4409.63万</t>
  </si>
  <si>
    <t>4457.38万</t>
  </si>
  <si>
    <t>3.30亿</t>
  </si>
  <si>
    <t>197.42万</t>
  </si>
  <si>
    <t>3.00万</t>
  </si>
  <si>
    <t>-800.00万</t>
  </si>
  <si>
    <t>2.55亿</t>
  </si>
  <si>
    <t>7.82亿</t>
  </si>
  <si>
    <t>7.95亿</t>
  </si>
  <si>
    <t>-4756.81万</t>
  </si>
  <si>
    <t>-1.86亿</t>
  </si>
  <si>
    <t>-1.54亿</t>
  </si>
  <si>
    <t>-2.03亿</t>
  </si>
  <si>
    <t>-3.50亿</t>
  </si>
  <si>
    <t>9543.93万</t>
  </si>
  <si>
    <t>-420.03万</t>
  </si>
  <si>
    <t>4.89亿</t>
  </si>
  <si>
    <t>-7-0</t>
  </si>
  <si>
    <t>6.11亿</t>
  </si>
  <si>
    <t>3.21亿</t>
  </si>
  <si>
    <t>7.33亿</t>
  </si>
  <si>
    <t>-6662.61万</t>
  </si>
  <si>
    <t>3.11亿</t>
  </si>
  <si>
    <t>193.46万</t>
  </si>
  <si>
    <t>909.73万</t>
  </si>
  <si>
    <t>17.98万</t>
  </si>
  <si>
    <t>-3452045亿</t>
  </si>
  <si>
    <t>55691369亿</t>
  </si>
  <si>
    <t>1283.30万</t>
  </si>
  <si>
    <t>450471150亿</t>
  </si>
  <si>
    <t>3697.58万</t>
  </si>
  <si>
    <t>2065.34万</t>
  </si>
  <si>
    <t>1535.49万</t>
  </si>
  <si>
    <t>9532.44万</t>
  </si>
  <si>
    <t>1500.00万</t>
  </si>
  <si>
    <t>-2790.10万</t>
  </si>
  <si>
    <t>-3922.24万</t>
  </si>
  <si>
    <t>506.37万</t>
  </si>
  <si>
    <t>81.37万</t>
  </si>
  <si>
    <t>1575.71万</t>
  </si>
  <si>
    <t>1.91亿</t>
  </si>
  <si>
    <t>544.64万</t>
  </si>
  <si>
    <t>9078.52万</t>
  </si>
  <si>
    <t>2574.70万</t>
  </si>
  <si>
    <t>6228.30万</t>
  </si>
  <si>
    <t>917.15万</t>
  </si>
  <si>
    <t>3147.26万</t>
  </si>
  <si>
    <t>2090.63万</t>
  </si>
  <si>
    <t>42.27万</t>
  </si>
  <si>
    <t>968.91万</t>
  </si>
  <si>
    <t>2590106亿</t>
  </si>
  <si>
    <t>-5144568亿</t>
  </si>
  <si>
    <t>12336097亿</t>
  </si>
  <si>
    <t>421737240亿</t>
  </si>
  <si>
    <t>429.27万</t>
  </si>
  <si>
    <t>290.22万</t>
  </si>
  <si>
    <t>8376.27万</t>
  </si>
  <si>
    <t>-813.95万</t>
  </si>
  <si>
    <t>1.13亿</t>
  </si>
  <si>
    <t>-51.47万</t>
  </si>
  <si>
    <t>873.71万</t>
  </si>
  <si>
    <t>336.60万</t>
  </si>
  <si>
    <t>2768.02万</t>
  </si>
  <si>
    <t>159.37万</t>
  </si>
  <si>
    <t>129.94亿</t>
  </si>
  <si>
    <t>74.14亿</t>
  </si>
  <si>
    <t>98.70亿</t>
  </si>
  <si>
    <t>409.41亿</t>
  </si>
  <si>
    <t>3.81亿</t>
  </si>
  <si>
    <t>96.81亿</t>
  </si>
  <si>
    <t>93.19亿</t>
  </si>
  <si>
    <t>1.81亿</t>
  </si>
  <si>
    <t>1.49亿</t>
  </si>
  <si>
    <t>-3024748亿</t>
  </si>
  <si>
    <t>528.33万</t>
  </si>
  <si>
    <t>49693072亿</t>
  </si>
  <si>
    <t>53.99亿</t>
  </si>
  <si>
    <t>1028344590亿</t>
  </si>
  <si>
    <t>15836806000亿</t>
  </si>
  <si>
    <t>30.96亿</t>
  </si>
  <si>
    <t>36.05亿</t>
  </si>
  <si>
    <t>13.94亿</t>
  </si>
  <si>
    <t>120.65亿</t>
  </si>
  <si>
    <t>-4.63亿</t>
  </si>
  <si>
    <t>-3.07亿</t>
  </si>
  <si>
    <t>5.27亿</t>
  </si>
  <si>
    <t>102.11亿</t>
  </si>
  <si>
    <t>9110.89万</t>
  </si>
  <si>
    <t>1649.73万</t>
  </si>
  <si>
    <t>7082.04万</t>
  </si>
  <si>
    <t>*ST中程</t>
  </si>
  <si>
    <t>1790.13万</t>
  </si>
  <si>
    <t>35.43亿</t>
  </si>
  <si>
    <t>-4.17亿</t>
  </si>
  <si>
    <t>2283.79万</t>
  </si>
  <si>
    <t>4.59亿</t>
  </si>
  <si>
    <t>-11.60亿</t>
  </si>
  <si>
    <t>6813.87万</t>
  </si>
  <si>
    <t>998.65万</t>
  </si>
  <si>
    <t>25.12万</t>
  </si>
  <si>
    <t>3507.73万</t>
  </si>
  <si>
    <t>-7381亿</t>
  </si>
  <si>
    <t>3.80万</t>
  </si>
  <si>
    <t>-42923822亿</t>
  </si>
  <si>
    <t>6428.37万</t>
  </si>
  <si>
    <t>652639880亿</t>
  </si>
  <si>
    <t>1795456300亿</t>
  </si>
  <si>
    <t>6528.07万</t>
  </si>
  <si>
    <t>3.61亿</t>
  </si>
  <si>
    <t>6.95亿</t>
  </si>
  <si>
    <t>32.00亿</t>
  </si>
  <si>
    <t>-1.17亿</t>
  </si>
  <si>
    <t>4.01万</t>
  </si>
  <si>
    <t>1.14亿</t>
  </si>
  <si>
    <t>-4759.65万</t>
  </si>
  <si>
    <t>9003.59万</t>
  </si>
  <si>
    <t>4.62亿</t>
  </si>
  <si>
    <t>-9-1</t>
  </si>
  <si>
    <t>189.35万</t>
  </si>
  <si>
    <t>18.69亿</t>
  </si>
  <si>
    <t>36.72亿</t>
  </si>
  <si>
    <t>6345900亿</t>
  </si>
  <si>
    <t>12.71万</t>
  </si>
  <si>
    <t>9856699亿</t>
  </si>
  <si>
    <t>11.78亿</t>
  </si>
  <si>
    <t>101255593亿</t>
  </si>
  <si>
    <t>3405109900亿</t>
  </si>
  <si>
    <t>382.08万</t>
  </si>
  <si>
    <t>7165.97万</t>
  </si>
  <si>
    <t>3.92亿</t>
  </si>
  <si>
    <t>564.49万</t>
  </si>
  <si>
    <t>-3666.20万</t>
  </si>
  <si>
    <t>829.31万</t>
  </si>
  <si>
    <t>-8348.91万</t>
  </si>
  <si>
    <t>17.63亿</t>
  </si>
  <si>
    <t>5998.55万</t>
  </si>
  <si>
    <t>-1338.28万</t>
  </si>
  <si>
    <t>846.74万</t>
  </si>
  <si>
    <t>7130.20万</t>
  </si>
  <si>
    <t>0113000000</t>
  </si>
  <si>
    <t>0339000000</t>
  </si>
  <si>
    <t>0678000000</t>
  </si>
  <si>
    <t>01130000000</t>
  </si>
  <si>
    <t>02260000000</t>
  </si>
  <si>
    <t>*ST富润</t>
  </si>
  <si>
    <t>834.25万</t>
  </si>
  <si>
    <t>3.94亿</t>
  </si>
  <si>
    <t>5.96亿</t>
  </si>
  <si>
    <t>2370.70万</t>
  </si>
  <si>
    <t>17.91亿</t>
  </si>
  <si>
    <t>-8447.25万</t>
  </si>
  <si>
    <t>3159.17万</t>
  </si>
  <si>
    <t>2277.87万</t>
  </si>
  <si>
    <t>80.75万</t>
  </si>
  <si>
    <t>313.10万</t>
  </si>
  <si>
    <t>2091200亿</t>
  </si>
  <si>
    <t>-49139833亿</t>
  </si>
  <si>
    <t>1419.49万</t>
  </si>
  <si>
    <t>380178430亿</t>
  </si>
  <si>
    <t>9612.14万</t>
  </si>
  <si>
    <t>1.56亿</t>
  </si>
  <si>
    <t>317.26万</t>
  </si>
  <si>
    <t>3.76亿</t>
  </si>
  <si>
    <t>-1067.06万</t>
  </si>
  <si>
    <t>221.39万</t>
  </si>
  <si>
    <t>-108.29万</t>
  </si>
  <si>
    <t>9323.17万</t>
  </si>
  <si>
    <t>-5.68亿</t>
  </si>
  <si>
    <t>-2130.84万</t>
  </si>
  <si>
    <t>3232.33万</t>
  </si>
  <si>
    <t>2.23亿</t>
  </si>
  <si>
    <t>2-0</t>
  </si>
  <si>
    <t>*ST博信</t>
  </si>
  <si>
    <t>900.01万</t>
  </si>
  <si>
    <t>9391.85万</t>
  </si>
  <si>
    <t>2175.97万</t>
  </si>
  <si>
    <t>367.61万</t>
  </si>
  <si>
    <t>3744.30万</t>
  </si>
  <si>
    <t>2319.79万</t>
  </si>
  <si>
    <t>199.41万</t>
  </si>
  <si>
    <t>440.48万</t>
  </si>
  <si>
    <t>1.57万</t>
  </si>
  <si>
    <t>-10898120亿</t>
  </si>
  <si>
    <t>1520.48万</t>
  </si>
  <si>
    <t>632.43万</t>
  </si>
  <si>
    <t>267501940亿</t>
  </si>
  <si>
    <t>1725.81万</t>
  </si>
  <si>
    <t>1289.21万</t>
  </si>
  <si>
    <t>35.72万</t>
  </si>
  <si>
    <t>4.79亿</t>
  </si>
  <si>
    <t>157.26万</t>
  </si>
  <si>
    <t>-344.79万</t>
  </si>
  <si>
    <t>8385.41万</t>
  </si>
  <si>
    <t>-1.24亿</t>
  </si>
  <si>
    <t>1173.73万</t>
  </si>
  <si>
    <t>4794.22万</t>
  </si>
  <si>
    <t>-6-1</t>
  </si>
  <si>
    <t>2790.34万</t>
  </si>
  <si>
    <t>1041.66亿</t>
  </si>
  <si>
    <t>919.02亿</t>
  </si>
  <si>
    <t>235.43亿</t>
  </si>
  <si>
    <t>116.95亿</t>
  </si>
  <si>
    <t>30630967亿</t>
  </si>
  <si>
    <t>4863.60万</t>
  </si>
  <si>
    <t>1961007000亿</t>
  </si>
  <si>
    <t>249.78亿</t>
  </si>
  <si>
    <t>16422619000亿</t>
  </si>
  <si>
    <t>81762777000亿</t>
  </si>
  <si>
    <t>154.29亿</t>
  </si>
  <si>
    <t>217.38亿</t>
  </si>
  <si>
    <t>236.64亿</t>
  </si>
  <si>
    <t>37.64万</t>
  </si>
  <si>
    <t>24.96亿</t>
  </si>
  <si>
    <t>-33.16亿</t>
  </si>
  <si>
    <t>3.71亿</t>
  </si>
  <si>
    <t>963.94亿</t>
  </si>
  <si>
    <t>159.14亿</t>
  </si>
  <si>
    <t>981.23亿</t>
  </si>
  <si>
    <t>14.99亿</t>
  </si>
  <si>
    <t>107.03亿</t>
  </si>
  <si>
    <t>10.58亿</t>
  </si>
  <si>
    <t>0223000000</t>
  </si>
  <si>
    <t>0669000000</t>
  </si>
  <si>
    <t>01338000000</t>
  </si>
  <si>
    <t>02230000000</t>
  </si>
  <si>
    <t>04460000000</t>
  </si>
  <si>
    <t>4-0</t>
  </si>
  <si>
    <t>1357.78万</t>
  </si>
  <si>
    <t>458.61亿</t>
  </si>
  <si>
    <t>288.09亿</t>
  </si>
  <si>
    <t>106.85亿</t>
  </si>
  <si>
    <t>1331.20万</t>
  </si>
  <si>
    <t>69499433亿</t>
  </si>
  <si>
    <t>741.47万</t>
  </si>
  <si>
    <t>437926830亿</t>
  </si>
  <si>
    <t>41.53亿</t>
  </si>
  <si>
    <t>3808764400亿</t>
  </si>
  <si>
    <t>15947339000亿</t>
  </si>
  <si>
    <t>38.37亿</t>
  </si>
  <si>
    <t>6.23亿</t>
  </si>
  <si>
    <t>66.27亿</t>
  </si>
  <si>
    <t>707.12万</t>
  </si>
  <si>
    <t>7.08亿</t>
  </si>
  <si>
    <t>-11.77亿</t>
  </si>
  <si>
    <t>2.51亿</t>
  </si>
  <si>
    <t>478.50亿</t>
  </si>
  <si>
    <t>467.55亿</t>
  </si>
  <si>
    <t>16.38亿</t>
  </si>
  <si>
    <t>241.83万</t>
  </si>
  <si>
    <t>10派2.5元(含税)</t>
  </si>
  <si>
    <t>6.52亿</t>
  </si>
  <si>
    <t>013312000</t>
  </si>
  <si>
    <t>039936000</t>
  </si>
  <si>
    <t>079872000</t>
  </si>
  <si>
    <t>0133120000</t>
  </si>
  <si>
    <t>0266240000</t>
  </si>
  <si>
    <t>457.82万</t>
  </si>
  <si>
    <t>15.50亿</t>
  </si>
  <si>
    <t>14.56亿</t>
  </si>
  <si>
    <t>397.89万</t>
  </si>
  <si>
    <t>1446.06万</t>
  </si>
  <si>
    <t>3.97亿</t>
  </si>
  <si>
    <t>3068.19万</t>
  </si>
  <si>
    <t>359.83万</t>
  </si>
  <si>
    <t>38.41万</t>
  </si>
  <si>
    <t>2116.30万</t>
  </si>
  <si>
    <t>308.33万</t>
  </si>
  <si>
    <t>-22040502亿</t>
  </si>
  <si>
    <t>4.11亿</t>
  </si>
  <si>
    <t>14875591亿</t>
  </si>
  <si>
    <t>1853591900亿</t>
  </si>
  <si>
    <t>1145.97万</t>
  </si>
  <si>
    <t>2.21亿</t>
  </si>
  <si>
    <t>907.56万</t>
  </si>
  <si>
    <t>9.87亿</t>
  </si>
  <si>
    <t>3.68亿</t>
  </si>
  <si>
    <t>-5502.03万</t>
  </si>
  <si>
    <t>-95.42万</t>
  </si>
  <si>
    <t>524.61万</t>
  </si>
  <si>
    <t>2.97亿</t>
  </si>
  <si>
    <t>438.41万</t>
  </si>
  <si>
    <t>2181.18万</t>
  </si>
  <si>
    <t>8675.73万</t>
  </si>
  <si>
    <t>10派0.1元(含税)</t>
  </si>
  <si>
    <t>2075.82万</t>
  </si>
  <si>
    <t>2.94亿</t>
  </si>
  <si>
    <t>-3-1</t>
  </si>
  <si>
    <t>235.42万</t>
  </si>
  <si>
    <t>22.96亿</t>
  </si>
  <si>
    <t>55.19亿</t>
  </si>
  <si>
    <t>9.53亿</t>
  </si>
  <si>
    <t>3.28亿</t>
  </si>
  <si>
    <t>-4123.70万</t>
  </si>
  <si>
    <t>10.40亿</t>
  </si>
  <si>
    <t>9.15亿</t>
  </si>
  <si>
    <t>1676.55万</t>
  </si>
  <si>
    <t>9392.14万</t>
  </si>
  <si>
    <t>-2450619亿</t>
  </si>
  <si>
    <t>69.15万</t>
  </si>
  <si>
    <t>-80476617亿</t>
  </si>
  <si>
    <t>928389260亿</t>
  </si>
  <si>
    <t>4766370100亿</t>
  </si>
  <si>
    <t>3213.95万</t>
  </si>
  <si>
    <t>7480.62万</t>
  </si>
  <si>
    <t>9324.91万</t>
  </si>
  <si>
    <t>7.73亿</t>
  </si>
  <si>
    <t>2087.84万</t>
  </si>
  <si>
    <t>14.74亿</t>
  </si>
  <si>
    <t>2949.22万</t>
  </si>
  <si>
    <t>106.76万</t>
  </si>
  <si>
    <t>-968.87万</t>
  </si>
  <si>
    <t>60.17亿</t>
  </si>
  <si>
    <t>2855.15万</t>
  </si>
  <si>
    <t>52.10亿</t>
  </si>
  <si>
    <t>7731.67万</t>
  </si>
  <si>
    <t>917.87万</t>
  </si>
  <si>
    <t>166.13万</t>
  </si>
  <si>
    <t>1614.32万</t>
  </si>
  <si>
    <t>1.47亿</t>
  </si>
  <si>
    <t>1245.85万</t>
  </si>
  <si>
    <t>70.17亿</t>
  </si>
  <si>
    <t>188.74亿</t>
  </si>
  <si>
    <t>15.80亿</t>
  </si>
  <si>
    <t>106.41亿</t>
  </si>
  <si>
    <t>-6.59亿</t>
  </si>
  <si>
    <t>13.84亿</t>
  </si>
  <si>
    <t>1845054亿</t>
  </si>
  <si>
    <t>152.81万</t>
  </si>
  <si>
    <t>120567090亿</t>
  </si>
  <si>
    <t>47.78亿</t>
  </si>
  <si>
    <t>1418291200亿</t>
  </si>
  <si>
    <t>8863917700亿</t>
  </si>
  <si>
    <t>7011.60万</t>
  </si>
  <si>
    <t>40.21万</t>
  </si>
  <si>
    <t>9.61亿</t>
  </si>
  <si>
    <t>2875.22万</t>
  </si>
  <si>
    <t>60.86亿</t>
  </si>
  <si>
    <t>7451.70万</t>
  </si>
  <si>
    <t>-2.81亿</t>
  </si>
  <si>
    <t>-1040.61万</t>
  </si>
  <si>
    <t>65.70亿</t>
  </si>
  <si>
    <t>31.88亿</t>
  </si>
  <si>
    <t>4.27亿</t>
  </si>
  <si>
    <t>8139.48万</t>
  </si>
  <si>
    <t>5.08亿</t>
  </si>
  <si>
    <t>233.92万</t>
  </si>
  <si>
    <t>3.57亿</t>
  </si>
  <si>
    <t>2614.28亿</t>
  </si>
  <si>
    <t>165.97亿</t>
  </si>
  <si>
    <t>2.31亿</t>
  </si>
  <si>
    <t>397.58万</t>
  </si>
  <si>
    <t>700.95万</t>
  </si>
  <si>
    <t>1172245亿</t>
  </si>
  <si>
    <t>3053425亿</t>
  </si>
  <si>
    <t>135172210亿</t>
  </si>
  <si>
    <t>558563150亿</t>
  </si>
  <si>
    <t>8274.00万</t>
  </si>
  <si>
    <t>463.61万</t>
  </si>
  <si>
    <t>-3055.58万</t>
  </si>
  <si>
    <t>-9370.65万</t>
  </si>
  <si>
    <t>-43.54万</t>
  </si>
  <si>
    <t>10.94亿</t>
  </si>
  <si>
    <t>650.68亿</t>
  </si>
  <si>
    <t>1759.88万</t>
  </si>
  <si>
    <t>39.72亿</t>
  </si>
  <si>
    <t>1396.56万</t>
  </si>
  <si>
    <t>9663.69万</t>
  </si>
  <si>
    <t>246.59万</t>
  </si>
  <si>
    <t>22.42亿</t>
  </si>
  <si>
    <t>31.93亿</t>
  </si>
  <si>
    <t>8.13亿</t>
  </si>
  <si>
    <t>60.65亿</t>
  </si>
  <si>
    <t>7.29亿</t>
  </si>
  <si>
    <t>1264.61万</t>
  </si>
  <si>
    <t>5128.30万</t>
  </si>
  <si>
    <t>9990748亿</t>
  </si>
  <si>
    <t>256.87万</t>
  </si>
  <si>
    <t>75546908亿</t>
  </si>
  <si>
    <t>359224030亿</t>
  </si>
  <si>
    <t>1669245700亿</t>
  </si>
  <si>
    <t>7953.44万</t>
  </si>
  <si>
    <t>8.90亿</t>
  </si>
  <si>
    <t>17.30亿</t>
  </si>
  <si>
    <t>-3294.51万</t>
  </si>
  <si>
    <t>2206.58万</t>
  </si>
  <si>
    <t>-7278.90万</t>
  </si>
  <si>
    <t>3.25亿</t>
  </si>
  <si>
    <t>33.48亿</t>
  </si>
  <si>
    <t>18.42亿</t>
  </si>
  <si>
    <t>8381.82万</t>
  </si>
  <si>
    <t>10派0.6元(含税)</t>
  </si>
  <si>
    <t>1760.25万</t>
  </si>
  <si>
    <t>376.64万</t>
  </si>
  <si>
    <t>36.70亿</t>
  </si>
  <si>
    <t>48.20亿</t>
  </si>
  <si>
    <t>7.74亿</t>
  </si>
  <si>
    <t>7.16亿</t>
  </si>
  <si>
    <t>-9510.13万</t>
  </si>
  <si>
    <t>8.54亿</t>
  </si>
  <si>
    <t>7.30亿</t>
  </si>
  <si>
    <t>3621.66万</t>
  </si>
  <si>
    <t>6429.33万</t>
  </si>
  <si>
    <t>84258624亿</t>
  </si>
  <si>
    <t>642.06万</t>
  </si>
  <si>
    <t>-42236884亿</t>
  </si>
  <si>
    <t>9.12亿</t>
  </si>
  <si>
    <t>334897360亿</t>
  </si>
  <si>
    <t>4076.43万</t>
  </si>
  <si>
    <t>3048770000亿</t>
  </si>
  <si>
    <t>8.53亿</t>
  </si>
  <si>
    <t>7.26亿</t>
  </si>
  <si>
    <t>2.37亿</t>
  </si>
  <si>
    <t>78.57万</t>
  </si>
  <si>
    <t>11.52亿</t>
  </si>
  <si>
    <t>-5489.21万</t>
  </si>
  <si>
    <t>-4014.29万</t>
  </si>
  <si>
    <t>9453.40万</t>
  </si>
  <si>
    <t>31.27亿</t>
  </si>
  <si>
    <t>3834.41万</t>
  </si>
  <si>
    <t>690.85万</t>
  </si>
  <si>
    <t>2480.35万</t>
  </si>
  <si>
    <t>1.86亿</t>
  </si>
  <si>
    <t>-4-1</t>
  </si>
  <si>
    <t>385.98亿</t>
  </si>
  <si>
    <t>63.28亿</t>
  </si>
  <si>
    <t>10.01亿</t>
  </si>
  <si>
    <t>40.49亿</t>
  </si>
  <si>
    <t>6343.95万</t>
  </si>
  <si>
    <t>17.00亿</t>
  </si>
  <si>
    <t>7.41亿</t>
  </si>
  <si>
    <t>2.71亿</t>
  </si>
  <si>
    <t>2.03亿</t>
  </si>
  <si>
    <t>50164119亿</t>
  </si>
  <si>
    <t>181.67万</t>
  </si>
  <si>
    <t>-519399610亿</t>
  </si>
  <si>
    <t>7.66亿</t>
  </si>
  <si>
    <t>4983184500亿</t>
  </si>
  <si>
    <t>3997.07万</t>
  </si>
  <si>
    <t>21005546000亿</t>
  </si>
  <si>
    <t>244.25亿</t>
  </si>
  <si>
    <t>4310.79万</t>
  </si>
  <si>
    <t>39.52亿</t>
  </si>
  <si>
    <t>365.45亿</t>
  </si>
  <si>
    <t>-2.82亿</t>
  </si>
  <si>
    <t>-318.48万</t>
  </si>
  <si>
    <t>3.10亿</t>
  </si>
  <si>
    <t>-34.30亿</t>
  </si>
  <si>
    <t>92.52亿</t>
  </si>
  <si>
    <t>10.23亿</t>
  </si>
  <si>
    <t>-39.47亿</t>
  </si>
  <si>
    <t>2420.23万</t>
  </si>
  <si>
    <t>6.41亿</t>
  </si>
  <si>
    <t>22.99亿</t>
  </si>
  <si>
    <t>0190318500</t>
  </si>
  <si>
    <t>0380637000</t>
  </si>
  <si>
    <t>0634395000</t>
  </si>
  <si>
    <t>01268790000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</si>
</sst>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9"/>
      <color theme="1"/>
      <name val="宋体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Fill="0" applyProtection="0"/>
    <xf numFmtId="0" fontId="2" fillId="0" borderId="0" applyFill="0" applyProtection="0"/>
  </cellStyleXfs>
  <cellXfs count="1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4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applyNumberFormat="1">
      <alignment vertical="center"/>
    </xf>
    <xf numFmtId="0" fontId="6" fillId="0" borderId="0" xfId="0" applyFont="1" applyAlignment="1">
      <alignment vertical="center" wrapText="1"/>
    </xf>
  </cellXfs>
  <cellStyles count="3">
    <cellStyle name="Normal 2" xfId="2"/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361950</xdr:colOff>
          <xdr:row>0</xdr:row>
          <xdr:rowOff>133350</xdr:rowOff>
        </xdr:from>
        <xdr:to>
          <xdr:col>147</xdr:col>
          <xdr:colOff>1657350</xdr:colOff>
          <xdr:row>0</xdr:row>
          <xdr:rowOff>444500</xdr:rowOff>
        </xdr:to>
        <xdr:sp macro="" textlink="">
          <xdr:nvSpPr>
            <xdr:cNvPr id="2050" name="Button 2" descr="更新基本面按钮&#10;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28"/>
  <sheetViews>
    <sheetView tabSelected="1" zoomScale="85" zoomScaleNormal="85" workbookViewId="0">
      <pane xSplit="5" ySplit="1" topLeftCell="F29" activePane="bottomRight" state="frozen"/>
      <selection pane="topRight" activeCell="F1" sqref="F1"/>
      <selection pane="bottomLeft" activeCell="A2" sqref="A2"/>
      <selection pane="bottomRight" activeCell="C9" sqref="C9:C10"/>
    </sheetView>
  </sheetViews>
  <sheetFormatPr defaultRowHeight="14" x14ac:dyDescent="0.25"/>
  <cols>
    <col min="1" max="1" width="32.36328125" customWidth="1"/>
    <col min="2" max="2" width="29.7265625" customWidth="1"/>
    <col min="3" max="3" width="42" customWidth="1"/>
    <col min="148" max="148" width="27.81640625" customWidth="1"/>
  </cols>
  <sheetData>
    <row r="1" spans="1:146" ht="44.5" customHeight="1" x14ac:dyDescent="0.25">
      <c r="A1" s="3" t="s">
        <v>18</v>
      </c>
      <c r="B1" s="4" t="s">
        <v>19</v>
      </c>
      <c r="C1" s="3" t="s">
        <v>20</v>
      </c>
      <c r="D1" t="s">
        <v>8</v>
      </c>
      <c r="E1" t="s">
        <v>220</v>
      </c>
      <c r="F1" t="s">
        <v>3</v>
      </c>
      <c r="G1" t="s">
        <v>271</v>
      </c>
      <c r="H1" t="s">
        <v>272</v>
      </c>
      <c r="I1" t="s">
        <v>9</v>
      </c>
      <c r="J1" t="s">
        <v>10</v>
      </c>
      <c r="K1" t="s">
        <v>4</v>
      </c>
      <c r="L1" t="s">
        <v>11</v>
      </c>
      <c r="M1" t="s">
        <v>21</v>
      </c>
      <c r="N1" t="s">
        <v>22</v>
      </c>
      <c r="O1" t="s">
        <v>23</v>
      </c>
      <c r="P1" t="s">
        <v>273</v>
      </c>
      <c r="Q1" t="s">
        <v>221</v>
      </c>
      <c r="R1" t="s">
        <v>222</v>
      </c>
      <c r="S1" t="s">
        <v>24</v>
      </c>
      <c r="T1" t="s">
        <v>274</v>
      </c>
      <c r="U1" t="s">
        <v>185</v>
      </c>
      <c r="V1" t="s">
        <v>25</v>
      </c>
      <c r="W1" t="s">
        <v>223</v>
      </c>
      <c r="X1" t="s">
        <v>224</v>
      </c>
      <c r="Y1" t="s">
        <v>225</v>
      </c>
      <c r="Z1" t="s">
        <v>226</v>
      </c>
      <c r="AA1" t="s">
        <v>227</v>
      </c>
      <c r="AB1" t="s">
        <v>275</v>
      </c>
      <c r="AC1" t="s">
        <v>228</v>
      </c>
      <c r="AD1" t="s">
        <v>229</v>
      </c>
      <c r="AE1" t="s">
        <v>26</v>
      </c>
      <c r="AF1" t="s">
        <v>27</v>
      </c>
      <c r="AG1" t="s">
        <v>276</v>
      </c>
      <c r="AH1" t="s">
        <v>230</v>
      </c>
      <c r="AI1" t="s">
        <v>277</v>
      </c>
      <c r="AJ1" t="s">
        <v>28</v>
      </c>
      <c r="AK1" t="s">
        <v>278</v>
      </c>
      <c r="AL1" t="s">
        <v>55</v>
      </c>
      <c r="AM1" t="s">
        <v>279</v>
      </c>
      <c r="AN1" t="s">
        <v>280</v>
      </c>
      <c r="AO1" t="s">
        <v>281</v>
      </c>
      <c r="AP1" t="s">
        <v>282</v>
      </c>
      <c r="AQ1" t="s">
        <v>283</v>
      </c>
      <c r="AR1" t="s">
        <v>284</v>
      </c>
      <c r="AS1" t="s">
        <v>285</v>
      </c>
      <c r="AT1" t="s">
        <v>286</v>
      </c>
      <c r="AU1" t="s">
        <v>287</v>
      </c>
      <c r="AV1" t="s">
        <v>288</v>
      </c>
      <c r="AW1" t="s">
        <v>289</v>
      </c>
      <c r="AX1" t="s">
        <v>231</v>
      </c>
      <c r="AY1" t="s">
        <v>56</v>
      </c>
      <c r="AZ1" t="s">
        <v>57</v>
      </c>
      <c r="BA1" t="s">
        <v>58</v>
      </c>
      <c r="BB1" t="s">
        <v>59</v>
      </c>
      <c r="BC1" t="s">
        <v>186</v>
      </c>
      <c r="BD1" t="s">
        <v>60</v>
      </c>
      <c r="BE1" t="s">
        <v>61</v>
      </c>
      <c r="BF1" t="s">
        <v>62</v>
      </c>
      <c r="BG1" t="s">
        <v>63</v>
      </c>
      <c r="BH1" t="s">
        <v>290</v>
      </c>
      <c r="BI1" t="s">
        <v>291</v>
      </c>
      <c r="BJ1" t="s">
        <v>292</v>
      </c>
      <c r="BK1" t="s">
        <v>293</v>
      </c>
      <c r="BL1" t="s">
        <v>294</v>
      </c>
      <c r="BM1" t="s">
        <v>295</v>
      </c>
      <c r="BN1" t="s">
        <v>232</v>
      </c>
      <c r="BO1" t="s">
        <v>187</v>
      </c>
      <c r="BP1" t="s">
        <v>64</v>
      </c>
      <c r="BQ1" t="s">
        <v>233</v>
      </c>
      <c r="BR1" t="s">
        <v>188</v>
      </c>
      <c r="BS1" t="s">
        <v>65</v>
      </c>
      <c r="BT1" t="s">
        <v>296</v>
      </c>
      <c r="BU1" t="s">
        <v>234</v>
      </c>
      <c r="BV1" t="s">
        <v>297</v>
      </c>
      <c r="BW1" t="s">
        <v>112</v>
      </c>
      <c r="BX1" t="s">
        <v>66</v>
      </c>
      <c r="BY1" t="s">
        <v>298</v>
      </c>
      <c r="BZ1" t="s">
        <v>113</v>
      </c>
      <c r="CA1" t="s">
        <v>67</v>
      </c>
      <c r="CB1" t="s">
        <v>299</v>
      </c>
      <c r="CC1" t="s">
        <v>300</v>
      </c>
      <c r="CD1" t="s">
        <v>301</v>
      </c>
      <c r="CE1" t="s">
        <v>302</v>
      </c>
      <c r="CF1" s="1" t="s">
        <v>235</v>
      </c>
      <c r="CG1" s="1" t="s">
        <v>236</v>
      </c>
      <c r="CH1" s="1" t="s">
        <v>99</v>
      </c>
      <c r="CI1" s="1" t="s">
        <v>100</v>
      </c>
      <c r="CJ1" s="1" t="s">
        <v>101</v>
      </c>
      <c r="CK1" s="1" t="s">
        <v>102</v>
      </c>
      <c r="CL1" s="1" t="s">
        <v>103</v>
      </c>
      <c r="CM1" s="1" t="s">
        <v>104</v>
      </c>
      <c r="CN1" s="1" t="s">
        <v>105</v>
      </c>
      <c r="CO1" s="1" t="s">
        <v>106</v>
      </c>
      <c r="CP1" s="1" t="s">
        <v>107</v>
      </c>
      <c r="CQ1" s="1" t="s">
        <v>108</v>
      </c>
      <c r="CR1" s="1" t="s">
        <v>303</v>
      </c>
      <c r="CS1" s="1" t="s">
        <v>324</v>
      </c>
      <c r="CT1" s="1" t="s">
        <v>304</v>
      </c>
      <c r="CU1" s="1" t="s">
        <v>305</v>
      </c>
      <c r="CV1" s="1" t="s">
        <v>325</v>
      </c>
      <c r="CW1" s="1" t="s">
        <v>306</v>
      </c>
      <c r="CX1">
        <v>1</v>
      </c>
      <c r="CY1" t="s">
        <v>269</v>
      </c>
      <c r="CZ1" t="s">
        <v>326</v>
      </c>
      <c r="DA1">
        <v>3</v>
      </c>
      <c r="DB1" t="s">
        <v>327</v>
      </c>
      <c r="DC1" t="s">
        <v>328</v>
      </c>
      <c r="DD1">
        <v>6</v>
      </c>
      <c r="DE1" t="s">
        <v>329</v>
      </c>
      <c r="DF1" t="s">
        <v>330</v>
      </c>
      <c r="DG1">
        <v>10</v>
      </c>
      <c r="DH1" t="s">
        <v>331</v>
      </c>
      <c r="DI1" t="s">
        <v>307</v>
      </c>
      <c r="DJ1">
        <v>20</v>
      </c>
      <c r="DK1" t="s">
        <v>308</v>
      </c>
      <c r="DL1" t="s">
        <v>109</v>
      </c>
      <c r="DM1" t="s">
        <v>110</v>
      </c>
      <c r="DN1" s="2" t="s">
        <v>111</v>
      </c>
      <c r="DO1" t="s">
        <v>332</v>
      </c>
      <c r="DP1" t="s">
        <v>309</v>
      </c>
      <c r="DQ1" s="7" t="s">
        <v>333</v>
      </c>
      <c r="DR1" s="1" t="s">
        <v>334</v>
      </c>
      <c r="DS1" s="1" t="s">
        <v>335</v>
      </c>
      <c r="DT1" t="s">
        <v>336</v>
      </c>
      <c r="DU1" t="s">
        <v>337</v>
      </c>
      <c r="DV1" t="s">
        <v>310</v>
      </c>
      <c r="DW1" t="s">
        <v>338</v>
      </c>
      <c r="DX1" t="s">
        <v>311</v>
      </c>
      <c r="DY1" t="s">
        <v>312</v>
      </c>
      <c r="DZ1" t="s">
        <v>313</v>
      </c>
      <c r="EA1" t="s">
        <v>314</v>
      </c>
      <c r="EB1" t="s">
        <v>315</v>
      </c>
      <c r="EC1" t="s">
        <v>316</v>
      </c>
      <c r="ED1" t="s">
        <v>339</v>
      </c>
      <c r="EE1" t="s">
        <v>317</v>
      </c>
      <c r="EF1" t="s">
        <v>318</v>
      </c>
      <c r="EG1" t="s">
        <v>319</v>
      </c>
      <c r="EH1" t="s">
        <v>320</v>
      </c>
      <c r="EI1" t="s">
        <v>340</v>
      </c>
      <c r="EK1" s="8" t="s">
        <v>341</v>
      </c>
      <c r="EL1" t="s">
        <v>321</v>
      </c>
      <c r="EM1" t="s">
        <v>342</v>
      </c>
      <c r="EN1" t="s">
        <v>343</v>
      </c>
      <c r="EO1" t="s">
        <v>322</v>
      </c>
      <c r="EP1" t="s">
        <v>323</v>
      </c>
    </row>
    <row r="2" spans="1:146" ht="108" x14ac:dyDescent="0.25">
      <c r="C2" s="14" t="str">
        <f>""&amp;CHAR(10)&amp;Basic_Fundamental_Information_Constructure(F2)&amp;CHAR(10)&amp;Basic_Fundamental_Information_Concatenate("")</f>
        <v xml:space="preserve">
市值57.977344亿, 利润1.18亿; PE45.21; 平均PE49.9; 平均PEG1.15, PB3.54; ROIC5.8%; ROE6.68%; 股利率.2305%; 毛利19.2467%; 净利13.9033%; 上一年度营收增120.41%, 利润增41.32%; 当季营收增122.94%, 利润增39.46%; 过往5年营收增43.45%, 利润增42.31%
Income profile:
</v>
      </c>
      <c r="D2" s="5" t="s">
        <v>408</v>
      </c>
      <c r="E2" t="s">
        <v>409</v>
      </c>
      <c r="F2">
        <v>13.45</v>
      </c>
      <c r="G2">
        <v>0.9</v>
      </c>
      <c r="H2" t="s">
        <v>545</v>
      </c>
      <c r="I2">
        <v>5797734400</v>
      </c>
      <c r="J2">
        <v>45.21</v>
      </c>
      <c r="K2">
        <v>3.54</v>
      </c>
      <c r="L2" t="s">
        <v>12</v>
      </c>
      <c r="M2" t="s">
        <v>546</v>
      </c>
      <c r="N2" t="s">
        <v>547</v>
      </c>
      <c r="O2" t="s">
        <v>548</v>
      </c>
      <c r="P2" s="5">
        <v>123.14</v>
      </c>
      <c r="Q2" t="s">
        <v>549</v>
      </c>
      <c r="R2">
        <v>35247572</v>
      </c>
      <c r="S2">
        <v>0.39460000000000001</v>
      </c>
      <c r="T2" t="s">
        <v>251</v>
      </c>
      <c r="U2">
        <v>392778320</v>
      </c>
      <c r="V2">
        <v>431058320</v>
      </c>
      <c r="W2">
        <v>1.4</v>
      </c>
      <c r="X2">
        <v>0.31</v>
      </c>
      <c r="Y2">
        <v>4.8499999999999996</v>
      </c>
      <c r="Z2" t="s">
        <v>550</v>
      </c>
      <c r="AA2" t="s">
        <v>551</v>
      </c>
      <c r="AB2" t="s">
        <v>552</v>
      </c>
      <c r="AC2" t="s">
        <v>553</v>
      </c>
      <c r="AD2" t="s">
        <v>17</v>
      </c>
      <c r="AE2">
        <v>2204044</v>
      </c>
      <c r="AF2" t="s">
        <v>554</v>
      </c>
      <c r="AG2" t="s">
        <v>555</v>
      </c>
      <c r="AH2" t="s">
        <v>556</v>
      </c>
      <c r="AI2" t="s">
        <v>557</v>
      </c>
      <c r="AJ2" t="s">
        <v>558</v>
      </c>
      <c r="AK2" t="s">
        <v>17</v>
      </c>
      <c r="AL2" t="s">
        <v>559</v>
      </c>
      <c r="AM2" t="s">
        <v>17</v>
      </c>
      <c r="AN2" t="s">
        <v>560</v>
      </c>
      <c r="AO2" t="s">
        <v>116</v>
      </c>
      <c r="AP2" t="s">
        <v>17</v>
      </c>
      <c r="AQ2" t="s">
        <v>561</v>
      </c>
      <c r="AR2" t="s">
        <v>562</v>
      </c>
      <c r="AS2" t="s">
        <v>563</v>
      </c>
      <c r="AT2" t="s">
        <v>17</v>
      </c>
      <c r="AU2" t="s">
        <v>564</v>
      </c>
      <c r="AV2" t="s">
        <v>565</v>
      </c>
      <c r="AW2" t="s">
        <v>566</v>
      </c>
      <c r="AX2" t="s">
        <v>363</v>
      </c>
      <c r="AY2" t="s">
        <v>412</v>
      </c>
      <c r="AZ2" t="s">
        <v>413</v>
      </c>
      <c r="BA2" t="s">
        <v>414</v>
      </c>
      <c r="BB2" t="s">
        <v>415</v>
      </c>
      <c r="BC2" t="s">
        <v>410</v>
      </c>
      <c r="BD2" t="s">
        <v>416</v>
      </c>
      <c r="BE2" t="s">
        <v>417</v>
      </c>
      <c r="BF2" t="s">
        <v>418</v>
      </c>
      <c r="BG2" t="s">
        <v>419</v>
      </c>
      <c r="BH2" t="s">
        <v>549</v>
      </c>
      <c r="BI2" t="s">
        <v>567</v>
      </c>
      <c r="BJ2" t="s">
        <v>363</v>
      </c>
      <c r="BK2" t="s">
        <v>251</v>
      </c>
      <c r="BL2" t="s">
        <v>568</v>
      </c>
      <c r="BM2" t="s">
        <v>410</v>
      </c>
      <c r="BN2">
        <v>4.12</v>
      </c>
      <c r="BO2">
        <v>4.55</v>
      </c>
      <c r="BP2">
        <v>8.73</v>
      </c>
      <c r="BQ2">
        <v>4.79</v>
      </c>
      <c r="BR2">
        <v>5.69</v>
      </c>
      <c r="BS2">
        <v>9.56</v>
      </c>
      <c r="BT2" t="s">
        <v>569</v>
      </c>
      <c r="BU2" t="s">
        <v>12</v>
      </c>
      <c r="BV2">
        <v>10.74</v>
      </c>
      <c r="BW2">
        <v>16.399999999999999</v>
      </c>
      <c r="BX2">
        <v>30.6</v>
      </c>
      <c r="BY2">
        <v>6.03</v>
      </c>
      <c r="BZ2">
        <v>9.7100000000000009</v>
      </c>
      <c r="CA2">
        <v>25.97</v>
      </c>
      <c r="CB2">
        <v>7.0000000000000007E-2</v>
      </c>
      <c r="CC2" s="9">
        <v>-7.68</v>
      </c>
      <c r="CD2" s="10" t="s">
        <v>570</v>
      </c>
      <c r="CE2" s="9" t="s">
        <v>571</v>
      </c>
      <c r="CF2" s="9">
        <v>1.2294117647058824</v>
      </c>
      <c r="CG2" s="9">
        <v>0.39461235019248952</v>
      </c>
      <c r="CH2" s="9">
        <v>1.2040573358535767</v>
      </c>
      <c r="CI2" s="9">
        <v>0.64636540412902832</v>
      </c>
      <c r="CJ2" s="10">
        <v>0.20047169923782349</v>
      </c>
      <c r="CK2" s="10">
        <v>-0.25744307041168213</v>
      </c>
      <c r="CL2" s="10">
        <v>0.37922704219818115</v>
      </c>
      <c r="CM2" s="10">
        <v>0.41323971748352051</v>
      </c>
      <c r="CN2" s="10">
        <v>-0.36262521147727966</v>
      </c>
      <c r="CO2">
        <v>1.2717891931533813</v>
      </c>
      <c r="CP2">
        <v>-0.7378917932510376</v>
      </c>
      <c r="CQ2">
        <v>1.530943751335144</v>
      </c>
      <c r="CR2" s="9">
        <v>49.902746871252241</v>
      </c>
      <c r="CS2" s="10">
        <v>1.1484153986720202</v>
      </c>
      <c r="CT2">
        <v>0.2304832713754647</v>
      </c>
      <c r="CU2">
        <v>0.4345356822013855</v>
      </c>
      <c r="CV2">
        <v>0.42309113144874572</v>
      </c>
      <c r="CW2">
        <v>0.06</v>
      </c>
      <c r="CX2">
        <v>29.448484803431779</v>
      </c>
      <c r="CY2">
        <v>159693594.81109762</v>
      </c>
      <c r="CZ2">
        <v>0.4345356822013855</v>
      </c>
      <c r="DA2">
        <v>7.2765133104097224</v>
      </c>
      <c r="DB2">
        <v>646289534.47694588</v>
      </c>
      <c r="DC2">
        <v>0.41280889809131621</v>
      </c>
      <c r="DD2">
        <v>2.3711147197758486</v>
      </c>
      <c r="DE2">
        <v>1983343260.7784448</v>
      </c>
      <c r="DF2">
        <v>0.38239140033721924</v>
      </c>
      <c r="DG2">
        <v>0.84791960802406263</v>
      </c>
      <c r="DH2">
        <v>5546203148.8562346</v>
      </c>
      <c r="DI2">
        <v>0.34762854576110841</v>
      </c>
      <c r="DJ2">
        <v>0.1199947793291839</v>
      </c>
      <c r="DK2">
        <v>39191158367.806168</v>
      </c>
      <c r="DL2">
        <v>0.30417497754096984</v>
      </c>
      <c r="DM2">
        <v>118000000</v>
      </c>
      <c r="DN2">
        <v>0.4345356822013855</v>
      </c>
      <c r="DO2">
        <v>4702734400</v>
      </c>
      <c r="DP2">
        <v>313353540</v>
      </c>
      <c r="DQ2" s="11">
        <v>18</v>
      </c>
      <c r="DR2">
        <v>0.79487608250449693</v>
      </c>
      <c r="DS2">
        <v>-2.8478781256256192E-2</v>
      </c>
      <c r="DT2">
        <v>0.31</v>
      </c>
      <c r="DU2">
        <v>0.47</v>
      </c>
      <c r="DV2">
        <v>0.78</v>
      </c>
      <c r="DW2">
        <v>-2.0768</v>
      </c>
      <c r="DX2">
        <v>0.35456429518950383</v>
      </c>
      <c r="DY2">
        <v>-2.011102537870554</v>
      </c>
      <c r="DZ2">
        <v>370</v>
      </c>
      <c r="EA2">
        <v>-2.010298635911238</v>
      </c>
      <c r="EB2" s="12">
        <v>2</v>
      </c>
      <c r="EC2" s="12">
        <v>2.673396954732251E-2</v>
      </c>
      <c r="ED2">
        <v>0.18492787704457253</v>
      </c>
      <c r="EE2">
        <v>-1.10781</v>
      </c>
      <c r="EF2">
        <v>-1.1268100000000001</v>
      </c>
      <c r="EG2">
        <v>21.144564295189504</v>
      </c>
      <c r="EH2" s="8" t="s">
        <v>238</v>
      </c>
      <c r="EI2">
        <v>0</v>
      </c>
      <c r="EJ2">
        <v>1</v>
      </c>
      <c r="EK2">
        <v>45470</v>
      </c>
      <c r="EL2">
        <v>0.22</v>
      </c>
      <c r="EM2">
        <v>-3.77</v>
      </c>
      <c r="EN2" s="13">
        <v>0.75</v>
      </c>
      <c r="EO2" s="13">
        <v>2.17</v>
      </c>
      <c r="EP2" s="13">
        <v>-1.9</v>
      </c>
    </row>
    <row r="3" spans="1:146" ht="108" x14ac:dyDescent="0.25">
      <c r="A3" s="14"/>
      <c r="B3" s="14"/>
      <c r="C3" s="14" t="str">
        <f>""&amp;CHAR(10)&amp;Basic_Fundamental_Information_Constructure(F3)&amp;CHAR(10)&amp;Basic_Fundamental_Information_Concatenate("")</f>
        <v xml:space="preserve">
市值7.654068亿, 利润-1147.99万; PE; 平均PE-920.16; 平均PEG-952.02, PB4.3; ROIC.9%; ROE-2.8667%; 股利率0%; 毛利6.07%; 净利-5.0633%; 上一年度营收增-54.88%, 利润增13.4%; 当季营收增-4.92%, 利润增-55.95%; 过往5年营收增-.97%, 利润增-139.79%
Income profile:
</v>
      </c>
      <c r="D3" t="s">
        <v>115</v>
      </c>
      <c r="E3" t="s">
        <v>572</v>
      </c>
      <c r="F3">
        <v>1.8</v>
      </c>
      <c r="G3">
        <v>-4.26</v>
      </c>
      <c r="H3" t="s">
        <v>573</v>
      </c>
      <c r="I3">
        <v>765406800</v>
      </c>
      <c r="K3">
        <v>4.3</v>
      </c>
      <c r="L3" t="s">
        <v>12</v>
      </c>
      <c r="M3" t="s">
        <v>574</v>
      </c>
      <c r="N3" t="s">
        <v>575</v>
      </c>
      <c r="O3" t="s">
        <v>576</v>
      </c>
      <c r="P3">
        <v>-4.92</v>
      </c>
      <c r="Q3" t="s">
        <v>423</v>
      </c>
      <c r="R3">
        <v>-4912466</v>
      </c>
      <c r="S3" s="5">
        <v>-0.55940000000000001</v>
      </c>
      <c r="T3" t="s">
        <v>577</v>
      </c>
      <c r="U3">
        <v>425226000</v>
      </c>
      <c r="V3">
        <v>425226000</v>
      </c>
      <c r="W3">
        <v>2.11</v>
      </c>
      <c r="X3">
        <v>0.02</v>
      </c>
      <c r="Y3">
        <v>-52.13</v>
      </c>
      <c r="Z3" t="s">
        <v>578</v>
      </c>
      <c r="AA3" t="s">
        <v>579</v>
      </c>
      <c r="AB3" t="s">
        <v>580</v>
      </c>
      <c r="AC3" t="s">
        <v>581</v>
      </c>
      <c r="AD3" t="s">
        <v>17</v>
      </c>
      <c r="AE3">
        <v>488653</v>
      </c>
      <c r="AF3" t="s">
        <v>31</v>
      </c>
      <c r="AG3" t="s">
        <v>17</v>
      </c>
      <c r="AH3" t="s">
        <v>582</v>
      </c>
      <c r="AI3" t="s">
        <v>583</v>
      </c>
      <c r="AJ3" t="s">
        <v>584</v>
      </c>
      <c r="AK3" t="s">
        <v>585</v>
      </c>
      <c r="AL3" t="s">
        <v>586</v>
      </c>
      <c r="AM3" t="s">
        <v>17</v>
      </c>
      <c r="AN3" t="s">
        <v>587</v>
      </c>
      <c r="AO3" t="s">
        <v>534</v>
      </c>
      <c r="AP3" t="s">
        <v>588</v>
      </c>
      <c r="AQ3" t="s">
        <v>589</v>
      </c>
      <c r="AR3" t="s">
        <v>590</v>
      </c>
      <c r="AS3" t="s">
        <v>591</v>
      </c>
      <c r="AT3" t="s">
        <v>535</v>
      </c>
      <c r="AU3" t="s">
        <v>592</v>
      </c>
      <c r="AV3" t="s">
        <v>593</v>
      </c>
      <c r="AW3" t="s">
        <v>594</v>
      </c>
      <c r="AX3" t="s">
        <v>399</v>
      </c>
      <c r="AY3" t="s">
        <v>98</v>
      </c>
      <c r="AZ3" t="s">
        <v>401</v>
      </c>
      <c r="BA3" t="s">
        <v>98</v>
      </c>
      <c r="BB3" t="s">
        <v>117</v>
      </c>
      <c r="BC3" t="s">
        <v>400</v>
      </c>
      <c r="BD3" t="s">
        <v>402</v>
      </c>
      <c r="BE3" t="s">
        <v>403</v>
      </c>
      <c r="BF3" t="s">
        <v>118</v>
      </c>
      <c r="BG3" t="s">
        <v>119</v>
      </c>
      <c r="BH3" t="s">
        <v>423</v>
      </c>
      <c r="BI3" t="s">
        <v>595</v>
      </c>
      <c r="BJ3" t="s">
        <v>399</v>
      </c>
      <c r="BK3" t="s">
        <v>577</v>
      </c>
      <c r="BL3" t="s">
        <v>596</v>
      </c>
      <c r="BM3" t="s">
        <v>400</v>
      </c>
      <c r="BN3" t="s">
        <v>17</v>
      </c>
      <c r="BO3" t="s">
        <v>17</v>
      </c>
      <c r="BP3">
        <v>0.9</v>
      </c>
      <c r="BQ3">
        <v>-2.86</v>
      </c>
      <c r="BR3">
        <v>-6.6</v>
      </c>
      <c r="BS3">
        <v>0.86</v>
      </c>
      <c r="BT3" t="s">
        <v>344</v>
      </c>
      <c r="BU3" t="s">
        <v>12</v>
      </c>
      <c r="BV3">
        <v>8.9700000000000006</v>
      </c>
      <c r="BW3">
        <v>3.1</v>
      </c>
      <c r="BX3">
        <v>6.14</v>
      </c>
      <c r="BY3">
        <v>-10.3</v>
      </c>
      <c r="BZ3">
        <v>-5.38</v>
      </c>
      <c r="CA3">
        <v>0.49</v>
      </c>
      <c r="CB3">
        <v>5.26</v>
      </c>
      <c r="CC3">
        <v>38.46</v>
      </c>
      <c r="CD3" t="s">
        <v>597</v>
      </c>
      <c r="CE3" t="s">
        <v>598</v>
      </c>
      <c r="CF3" s="9">
        <v>-4.9212082080668268E-2</v>
      </c>
      <c r="CG3" s="10">
        <v>-0.55946350909494935</v>
      </c>
      <c r="CH3" s="9">
        <v>-0.54878050088882446</v>
      </c>
      <c r="CI3" s="9">
        <v>-0.28901734948158264</v>
      </c>
      <c r="CJ3" s="9">
        <v>0.13071896135807037</v>
      </c>
      <c r="CK3" s="9">
        <v>-0.11560693383216858</v>
      </c>
      <c r="CL3" s="9">
        <v>0.77435898780822754</v>
      </c>
      <c r="CM3" s="10">
        <v>0.13398461043834686</v>
      </c>
      <c r="CN3" s="10">
        <v>-8.7087697982788086</v>
      </c>
      <c r="CO3" s="10">
        <v>-0.42987865209579468</v>
      </c>
      <c r="CP3" s="10">
        <v>-0.74561005830764771</v>
      </c>
      <c r="CQ3" s="10">
        <v>2.7608957290649414</v>
      </c>
      <c r="CR3">
        <v>-920.16285639864554</v>
      </c>
      <c r="CS3">
        <v>-952.02060688218228</v>
      </c>
      <c r="CT3">
        <v>0</v>
      </c>
      <c r="CU3" s="9">
        <v>-9.6653670072555549E-3</v>
      </c>
      <c r="CV3" s="10">
        <v>-1.3978756338357925</v>
      </c>
      <c r="CW3">
        <v>0.06</v>
      </c>
      <c r="CX3" t="e">
        <v>#VALUE!</v>
      </c>
      <c r="CY3" t="s">
        <v>239</v>
      </c>
      <c r="CZ3">
        <v>-9.6653670072555549E-3</v>
      </c>
      <c r="DA3" t="e">
        <v>#VALUE!</v>
      </c>
      <c r="DB3" t="s">
        <v>237</v>
      </c>
      <c r="DC3">
        <v>-9.1820986568927759E-3</v>
      </c>
      <c r="DD3" t="e">
        <v>#VALUE!</v>
      </c>
      <c r="DE3" t="s">
        <v>237</v>
      </c>
      <c r="DF3">
        <v>-8.5055229663848885E-3</v>
      </c>
      <c r="DG3" t="e">
        <v>#VALUE!</v>
      </c>
      <c r="DH3" t="s">
        <v>237</v>
      </c>
      <c r="DI3">
        <v>-7.7322936058044443E-3</v>
      </c>
      <c r="DJ3" t="e">
        <v>#VALUE!</v>
      </c>
      <c r="DK3" t="s">
        <v>237</v>
      </c>
      <c r="DL3">
        <v>-6.7657569050788881E-3</v>
      </c>
      <c r="DM3">
        <v>-11479900</v>
      </c>
      <c r="DN3">
        <v>-9.6653670072555549E-3</v>
      </c>
      <c r="DO3">
        <v>786406800</v>
      </c>
      <c r="DP3">
        <v>72224360</v>
      </c>
      <c r="DQ3">
        <v>180</v>
      </c>
      <c r="DR3">
        <v>-3.9546715073412717E-2</v>
      </c>
      <c r="DS3">
        <v>0.83841212474084315</v>
      </c>
      <c r="DT3" s="11">
        <v>-0.55666666666666675</v>
      </c>
      <c r="DU3">
        <v>-2.0483333333333333</v>
      </c>
      <c r="DV3">
        <v>-2.605</v>
      </c>
      <c r="DW3">
        <v>8.1367654706188244</v>
      </c>
      <c r="DX3">
        <v>0.64562386980108299</v>
      </c>
      <c r="DY3">
        <v>8.0212839717928688</v>
      </c>
      <c r="DZ3">
        <v>4734</v>
      </c>
      <c r="EA3">
        <v>8.0015661004685157</v>
      </c>
      <c r="EB3">
        <v>8</v>
      </c>
      <c r="EC3">
        <v>0.20238649565172404</v>
      </c>
      <c r="ED3">
        <v>1.3004849186079872</v>
      </c>
      <c r="EE3" s="12">
        <v>-4.1205999999999996</v>
      </c>
      <c r="EF3">
        <v>-3.0185</v>
      </c>
      <c r="EG3">
        <v>49.155623869801083</v>
      </c>
      <c r="EH3" t="s">
        <v>599</v>
      </c>
      <c r="EI3">
        <v>0</v>
      </c>
      <c r="EJ3">
        <v>0</v>
      </c>
      <c r="EK3" s="8">
        <v>45470</v>
      </c>
      <c r="EL3" s="13">
        <v>5.1100000000000003</v>
      </c>
      <c r="EM3" s="13">
        <v>4.8600000000000003</v>
      </c>
      <c r="EN3" s="13">
        <v>5.3</v>
      </c>
      <c r="EO3" s="13">
        <v>5.03</v>
      </c>
      <c r="EP3" s="13">
        <v>4.79</v>
      </c>
    </row>
    <row r="4" spans="1:146" ht="96" x14ac:dyDescent="0.25">
      <c r="A4" s="14"/>
      <c r="B4" s="14"/>
      <c r="C4" s="14" t="str">
        <f>""&amp;CHAR(10)&amp;Basic_Fundamental_Information_Constructure(F4)&amp;CHAR(10)&amp;Basic_Fundamental_Information_Concatenate("")</f>
        <v xml:space="preserve">
市值55.810003亿, 利润3.31亿; PE17.05; 平均PE13.45; 平均PEG.14, PB.946; ROIC2.4467%; ROE2.8367%; 股利率4.2918%; 毛利38.89%; 净利36.0033%; 上一年度营收增628.66%, 利润增104.32%; 当季营收增59.47%, 利润增-22.03%; 过往5年营收增96.7%, 利润增2.54%
Income profile:
</v>
      </c>
      <c r="D4" t="s">
        <v>189</v>
      </c>
      <c r="E4" t="s">
        <v>190</v>
      </c>
      <c r="F4">
        <v>2.33</v>
      </c>
      <c r="G4">
        <v>1.75</v>
      </c>
      <c r="H4" t="s">
        <v>600</v>
      </c>
      <c r="I4">
        <v>5581000300</v>
      </c>
      <c r="J4">
        <v>17.05</v>
      </c>
      <c r="K4">
        <v>0.94599999999999995</v>
      </c>
      <c r="L4" t="s">
        <v>12</v>
      </c>
      <c r="M4" t="s">
        <v>601</v>
      </c>
      <c r="N4" t="s">
        <v>602</v>
      </c>
      <c r="O4" t="s">
        <v>603</v>
      </c>
      <c r="P4">
        <v>59.47</v>
      </c>
      <c r="Q4" t="s">
        <v>604</v>
      </c>
      <c r="R4">
        <v>14320176</v>
      </c>
      <c r="S4" s="5">
        <v>-0.2203</v>
      </c>
      <c r="T4" t="s">
        <v>531</v>
      </c>
      <c r="U4">
        <v>2395279100</v>
      </c>
      <c r="V4">
        <v>2395279100</v>
      </c>
      <c r="W4">
        <v>1.17</v>
      </c>
      <c r="X4">
        <v>0.01</v>
      </c>
      <c r="Y4">
        <v>17.04</v>
      </c>
      <c r="Z4" t="s">
        <v>605</v>
      </c>
      <c r="AA4" t="s">
        <v>606</v>
      </c>
      <c r="AB4" t="s">
        <v>607</v>
      </c>
      <c r="AC4" t="s">
        <v>608</v>
      </c>
      <c r="AD4" t="s">
        <v>17</v>
      </c>
      <c r="AE4">
        <v>-5925536</v>
      </c>
      <c r="AF4" t="s">
        <v>609</v>
      </c>
      <c r="AG4" t="s">
        <v>610</v>
      </c>
      <c r="AH4" t="s">
        <v>611</v>
      </c>
      <c r="AI4" t="s">
        <v>612</v>
      </c>
      <c r="AJ4" t="s">
        <v>613</v>
      </c>
      <c r="AK4" t="s">
        <v>17</v>
      </c>
      <c r="AL4" t="s">
        <v>614</v>
      </c>
      <c r="AM4" t="s">
        <v>17</v>
      </c>
      <c r="AN4" t="s">
        <v>615</v>
      </c>
      <c r="AO4" t="s">
        <v>17</v>
      </c>
      <c r="AP4" t="s">
        <v>17</v>
      </c>
      <c r="AQ4" t="s">
        <v>616</v>
      </c>
      <c r="AR4" t="s">
        <v>617</v>
      </c>
      <c r="AS4" t="s">
        <v>618</v>
      </c>
      <c r="AT4" t="s">
        <v>17</v>
      </c>
      <c r="AU4" t="s">
        <v>619</v>
      </c>
      <c r="AV4" t="s">
        <v>620</v>
      </c>
      <c r="AW4" t="s">
        <v>442</v>
      </c>
      <c r="AX4" t="s">
        <v>350</v>
      </c>
      <c r="AY4" t="s">
        <v>87</v>
      </c>
      <c r="AZ4" t="s">
        <v>192</v>
      </c>
      <c r="BA4" t="s">
        <v>193</v>
      </c>
      <c r="BB4" t="s">
        <v>194</v>
      </c>
      <c r="BC4" t="s">
        <v>351</v>
      </c>
      <c r="BD4" t="s">
        <v>191</v>
      </c>
      <c r="BE4" t="s">
        <v>195</v>
      </c>
      <c r="BF4" t="s">
        <v>196</v>
      </c>
      <c r="BG4" t="s">
        <v>197</v>
      </c>
      <c r="BH4" t="s">
        <v>604</v>
      </c>
      <c r="BI4" t="s">
        <v>621</v>
      </c>
      <c r="BJ4" t="s">
        <v>350</v>
      </c>
      <c r="BK4" t="s">
        <v>531</v>
      </c>
      <c r="BL4" t="s">
        <v>622</v>
      </c>
      <c r="BM4" t="s">
        <v>351</v>
      </c>
      <c r="BN4">
        <v>4</v>
      </c>
      <c r="BO4">
        <v>2.09</v>
      </c>
      <c r="BP4">
        <v>1.25</v>
      </c>
      <c r="BQ4">
        <v>4.38</v>
      </c>
      <c r="BR4">
        <v>2.61</v>
      </c>
      <c r="BS4">
        <v>1.52</v>
      </c>
      <c r="BT4" t="s">
        <v>623</v>
      </c>
      <c r="BU4" t="s">
        <v>12</v>
      </c>
      <c r="BV4">
        <v>18.53</v>
      </c>
      <c r="BW4">
        <v>53.07</v>
      </c>
      <c r="BX4">
        <v>45.07</v>
      </c>
      <c r="BY4">
        <v>15.08</v>
      </c>
      <c r="BZ4">
        <v>55.58</v>
      </c>
      <c r="CA4">
        <v>37.35</v>
      </c>
      <c r="CB4">
        <v>4.0199999999999996</v>
      </c>
      <c r="CC4">
        <v>-16.190000000000001</v>
      </c>
      <c r="CD4" t="s">
        <v>624</v>
      </c>
      <c r="CE4" t="s">
        <v>539</v>
      </c>
      <c r="CF4" s="9">
        <v>0.59465257456422815</v>
      </c>
      <c r="CG4" s="10">
        <v>-0.22031426611348862</v>
      </c>
      <c r="CH4" s="9">
        <v>6.286644458770752</v>
      </c>
      <c r="CI4" s="9">
        <v>0.12867647409439087</v>
      </c>
      <c r="CJ4" s="9">
        <v>-0.58153843879699707</v>
      </c>
      <c r="CK4" s="9">
        <v>-0.60582166910171509</v>
      </c>
      <c r="CL4" s="9">
        <v>-0.39285716414451599</v>
      </c>
      <c r="CM4" s="10">
        <v>1.0432099103927612</v>
      </c>
      <c r="CN4" s="10">
        <v>0.69541734457015991</v>
      </c>
      <c r="CO4" s="10">
        <v>-0.64078307151794434</v>
      </c>
      <c r="CP4" s="10">
        <v>-0.5625</v>
      </c>
      <c r="CQ4" s="10">
        <v>-0.40856030583381653</v>
      </c>
      <c r="CR4">
        <v>13.445214488018859</v>
      </c>
      <c r="CS4">
        <v>0.13903749982614974</v>
      </c>
      <c r="CT4">
        <v>4.2918454935622314</v>
      </c>
      <c r="CU4" s="9">
        <v>0.96702073216438289</v>
      </c>
      <c r="CV4" s="10">
        <v>2.5356775522232054E-2</v>
      </c>
      <c r="CW4">
        <v>0.06</v>
      </c>
      <c r="CX4">
        <v>0.75216165892227738</v>
      </c>
      <c r="CY4">
        <v>614230058.81736863</v>
      </c>
      <c r="CZ4">
        <v>0.96702073216438289</v>
      </c>
      <c r="DA4">
        <v>0.12669490577490866</v>
      </c>
      <c r="DB4">
        <v>3646557824.675355</v>
      </c>
      <c r="DC4">
        <v>0.91866969555616373</v>
      </c>
      <c r="DD4">
        <v>2.1807195093752969E-2</v>
      </c>
      <c r="DE4">
        <v>21185681973.943893</v>
      </c>
      <c r="DF4">
        <v>0.85097824430465696</v>
      </c>
      <c r="DG4">
        <v>3.284074289774092E-3</v>
      </c>
      <c r="DH4">
        <v>140679003955.10861</v>
      </c>
      <c r="DI4">
        <v>0.77361658573150638</v>
      </c>
      <c r="DJ4">
        <v>5.3268714785817224E-5</v>
      </c>
      <c r="DK4">
        <v>8673013829179.2881</v>
      </c>
      <c r="DL4">
        <v>0.67691451251506796</v>
      </c>
      <c r="DM4">
        <v>331000000</v>
      </c>
      <c r="DN4">
        <v>0.96702073216438289</v>
      </c>
      <c r="DO4">
        <v>462000300</v>
      </c>
      <c r="DP4">
        <v>5123134900</v>
      </c>
      <c r="DQ4">
        <v>188</v>
      </c>
      <c r="DR4">
        <v>-0.37236815760015474</v>
      </c>
      <c r="DS4">
        <v>-0.24567104163572068</v>
      </c>
      <c r="DT4" s="11">
        <v>-0.60666666666666669</v>
      </c>
      <c r="DU4">
        <v>-6.9999999999999993E-2</v>
      </c>
      <c r="DV4">
        <v>-0.67666666666666664</v>
      </c>
      <c r="DW4">
        <v>6.1989114299851558</v>
      </c>
      <c r="DX4">
        <v>0.37937380191693237</v>
      </c>
      <c r="DY4">
        <v>6.0237448136420619</v>
      </c>
      <c r="DZ4">
        <v>3162</v>
      </c>
      <c r="EA4">
        <v>6.009051838938305</v>
      </c>
      <c r="EB4">
        <v>6</v>
      </c>
      <c r="EC4">
        <v>1.5599017250223576E-2</v>
      </c>
      <c r="ED4">
        <v>0.13067370729365108</v>
      </c>
      <c r="EE4" s="12">
        <v>3.0099999999999992E-3</v>
      </c>
      <c r="EF4">
        <v>2.3609999999999999E-2</v>
      </c>
      <c r="EG4">
        <v>26.119373801916932</v>
      </c>
      <c r="EH4">
        <v>-1</v>
      </c>
      <c r="EI4">
        <v>0</v>
      </c>
      <c r="EJ4">
        <v>0</v>
      </c>
      <c r="EK4" s="8">
        <v>45470</v>
      </c>
      <c r="EL4" s="13">
        <v>-0.41</v>
      </c>
      <c r="EM4" s="13">
        <v>-2.9</v>
      </c>
      <c r="EN4" s="13">
        <v>1.28</v>
      </c>
      <c r="EO4" s="13">
        <v>2.5299999999999998</v>
      </c>
      <c r="EP4" s="13">
        <v>-2.06</v>
      </c>
    </row>
    <row r="5" spans="1:146" ht="108" x14ac:dyDescent="0.25">
      <c r="A5" s="14"/>
      <c r="B5" s="14"/>
      <c r="C5" s="14" t="str">
        <f>""&amp;CHAR(10)&amp;Basic_Fundamental_Information_Constructure(F5)&amp;CHAR(10)&amp;Basic_Fundamental_Information_Concatenate("")</f>
        <v xml:space="preserve">
市值12.8017882亿, 利润-3.19亿; PE; 平均PE-48.86; 平均PEG-2.8, PB.824; ROIC2.55%; ROE1.22%; 股利率0%; 毛利3.4%; 净利-.4867%; 上一年度营收增-.3%, 利润增-2245.49%; 当季营收增24.93%, 利润增-22.3%; 过往5年营收增17.43%, 利润增-458.86%
Income profile:
</v>
      </c>
      <c r="D5" t="s">
        <v>120</v>
      </c>
      <c r="E5" t="s">
        <v>121</v>
      </c>
      <c r="F5">
        <v>2.75</v>
      </c>
      <c r="G5">
        <v>1.85</v>
      </c>
      <c r="H5" t="s">
        <v>625</v>
      </c>
      <c r="I5">
        <v>1280178820</v>
      </c>
      <c r="K5">
        <v>0.82399999999999995</v>
      </c>
      <c r="L5" t="s">
        <v>12</v>
      </c>
      <c r="M5" t="s">
        <v>626</v>
      </c>
      <c r="N5" t="s">
        <v>627</v>
      </c>
      <c r="O5" t="s">
        <v>628</v>
      </c>
      <c r="P5">
        <v>24.91</v>
      </c>
      <c r="Q5" t="s">
        <v>629</v>
      </c>
      <c r="R5">
        <v>5242661</v>
      </c>
      <c r="S5" s="5">
        <v>-0.223</v>
      </c>
      <c r="T5" t="s">
        <v>630</v>
      </c>
      <c r="U5">
        <v>465481610</v>
      </c>
      <c r="V5">
        <v>465519570</v>
      </c>
      <c r="W5">
        <v>4.49</v>
      </c>
      <c r="X5">
        <v>0.38</v>
      </c>
      <c r="Y5">
        <v>0.98</v>
      </c>
      <c r="Z5" t="s">
        <v>631</v>
      </c>
      <c r="AA5" t="s">
        <v>632</v>
      </c>
      <c r="AB5" t="s">
        <v>633</v>
      </c>
      <c r="AC5" t="s">
        <v>634</v>
      </c>
      <c r="AD5" t="s">
        <v>17</v>
      </c>
      <c r="AE5">
        <v>58730628</v>
      </c>
      <c r="AF5" t="s">
        <v>635</v>
      </c>
      <c r="AG5" t="s">
        <v>636</v>
      </c>
      <c r="AH5" t="s">
        <v>637</v>
      </c>
      <c r="AI5" t="s">
        <v>638</v>
      </c>
      <c r="AJ5" t="s">
        <v>639</v>
      </c>
      <c r="AK5" t="s">
        <v>640</v>
      </c>
      <c r="AL5" t="s">
        <v>641</v>
      </c>
      <c r="AM5" t="s">
        <v>17</v>
      </c>
      <c r="AN5" t="s">
        <v>642</v>
      </c>
      <c r="AO5" t="s">
        <v>643</v>
      </c>
      <c r="AP5" t="s">
        <v>538</v>
      </c>
      <c r="AQ5" t="s">
        <v>644</v>
      </c>
      <c r="AR5" t="s">
        <v>645</v>
      </c>
      <c r="AS5" t="s">
        <v>646</v>
      </c>
      <c r="AT5" t="s">
        <v>647</v>
      </c>
      <c r="AU5" t="s">
        <v>648</v>
      </c>
      <c r="AV5" t="s">
        <v>616</v>
      </c>
      <c r="AW5" t="s">
        <v>649</v>
      </c>
      <c r="AX5" t="s">
        <v>352</v>
      </c>
      <c r="AY5" t="s">
        <v>198</v>
      </c>
      <c r="AZ5" t="s">
        <v>122</v>
      </c>
      <c r="BA5" t="s">
        <v>124</v>
      </c>
      <c r="BB5" t="s">
        <v>125</v>
      </c>
      <c r="BC5" t="s">
        <v>353</v>
      </c>
      <c r="BD5" t="s">
        <v>199</v>
      </c>
      <c r="BE5" t="s">
        <v>123</v>
      </c>
      <c r="BF5" t="s">
        <v>126</v>
      </c>
      <c r="BG5" t="s">
        <v>127</v>
      </c>
      <c r="BH5" t="s">
        <v>629</v>
      </c>
      <c r="BI5" t="s">
        <v>650</v>
      </c>
      <c r="BJ5" t="s">
        <v>352</v>
      </c>
      <c r="BK5" t="s">
        <v>630</v>
      </c>
      <c r="BL5" t="s">
        <v>651</v>
      </c>
      <c r="BM5" t="s">
        <v>353</v>
      </c>
      <c r="BN5">
        <v>2.7</v>
      </c>
      <c r="BO5">
        <v>2.2799999999999998</v>
      </c>
      <c r="BP5">
        <v>2.67</v>
      </c>
      <c r="BQ5">
        <v>0.81</v>
      </c>
      <c r="BR5">
        <v>1.04</v>
      </c>
      <c r="BS5">
        <v>1.81</v>
      </c>
      <c r="BT5" t="s">
        <v>344</v>
      </c>
      <c r="BU5" t="s">
        <v>12</v>
      </c>
      <c r="BV5">
        <v>2.64</v>
      </c>
      <c r="BW5">
        <v>3.67</v>
      </c>
      <c r="BX5">
        <v>3.89</v>
      </c>
      <c r="BY5">
        <v>-2.37</v>
      </c>
      <c r="BZ5">
        <v>0.22</v>
      </c>
      <c r="CA5">
        <v>0.69</v>
      </c>
      <c r="CB5">
        <v>1.85</v>
      </c>
      <c r="CC5">
        <v>-16.41</v>
      </c>
      <c r="CD5" t="s">
        <v>652</v>
      </c>
      <c r="CE5" t="s">
        <v>653</v>
      </c>
      <c r="CF5" s="9">
        <v>0.24932523616734142</v>
      </c>
      <c r="CG5" s="10">
        <v>-0.22297564879726103</v>
      </c>
      <c r="CH5" s="9">
        <v>-3.009843872860074E-3</v>
      </c>
      <c r="CI5" s="9">
        <v>0.62255805730819702</v>
      </c>
      <c r="CJ5" s="9">
        <v>1.9078142940998077E-2</v>
      </c>
      <c r="CK5" s="9">
        <v>0.32334956526756287</v>
      </c>
      <c r="CL5" s="9">
        <v>-9.0688757598400116E-2</v>
      </c>
      <c r="CM5" s="10">
        <v>-22.454898834228516</v>
      </c>
      <c r="CN5" s="10">
        <v>-0.41762435436248779</v>
      </c>
      <c r="CO5" s="10">
        <v>-0.45846298336982727</v>
      </c>
      <c r="CP5" s="10">
        <v>0.14612764120101929</v>
      </c>
      <c r="CQ5" s="10">
        <v>0.24178935587406158</v>
      </c>
      <c r="CR5">
        <v>-48.862501932280175</v>
      </c>
      <c r="CS5">
        <v>-2.8040411903582583</v>
      </c>
      <c r="CT5">
        <v>0</v>
      </c>
      <c r="CU5" s="9">
        <v>0.17425743280909956</v>
      </c>
      <c r="CV5" s="10">
        <v>-4.5886138349771501</v>
      </c>
      <c r="CW5">
        <v>0.06</v>
      </c>
      <c r="CX5" t="e">
        <v>#VALUE!</v>
      </c>
      <c r="CY5" t="s">
        <v>237</v>
      </c>
      <c r="CZ5">
        <v>0.17425743280909956</v>
      </c>
      <c r="DA5" t="e">
        <v>#VALUE!</v>
      </c>
      <c r="DB5" t="s">
        <v>237</v>
      </c>
      <c r="DC5">
        <v>0.16554456116864458</v>
      </c>
      <c r="DD5" t="e">
        <v>#VALUE!</v>
      </c>
      <c r="DE5" t="s">
        <v>237</v>
      </c>
      <c r="DF5">
        <v>0.15334654087200761</v>
      </c>
      <c r="DG5" t="e">
        <v>#VALUE!</v>
      </c>
      <c r="DH5" t="s">
        <v>237</v>
      </c>
      <c r="DI5">
        <v>0.13940594624727964</v>
      </c>
      <c r="DJ5" t="e">
        <v>#VALUE!</v>
      </c>
      <c r="DK5" t="s">
        <v>237</v>
      </c>
      <c r="DL5">
        <v>0.12198020296636967</v>
      </c>
      <c r="DM5">
        <v>-319000000</v>
      </c>
      <c r="DN5">
        <v>0.17425743280909956</v>
      </c>
      <c r="DO5">
        <v>7017178820</v>
      </c>
      <c r="DP5">
        <v>426760000</v>
      </c>
      <c r="DQ5">
        <v>189</v>
      </c>
      <c r="DR5">
        <v>7.5067803358241869E-2</v>
      </c>
      <c r="DS5">
        <v>4.365638186179889</v>
      </c>
      <c r="DT5" s="11">
        <v>-2.3333333333333355E-2</v>
      </c>
      <c r="DU5">
        <v>-1.3733333333333333</v>
      </c>
      <c r="DV5">
        <v>-1.3966666666666667</v>
      </c>
      <c r="DW5">
        <v>-3.0046369047619046</v>
      </c>
      <c r="DX5">
        <v>0.36060856269113045</v>
      </c>
      <c r="DY5">
        <v>-3.0008374647043832</v>
      </c>
      <c r="DZ5">
        <v>3947</v>
      </c>
      <c r="EA5">
        <v>-3.0001906010667705</v>
      </c>
      <c r="EB5">
        <v>3</v>
      </c>
      <c r="EC5">
        <v>0.12686684686532082</v>
      </c>
      <c r="ED5">
        <v>0.70244093067881119</v>
      </c>
      <c r="EE5" s="12">
        <v>-2.0371000000000001</v>
      </c>
      <c r="EF5">
        <v>-2.0226000000000002</v>
      </c>
      <c r="EG5">
        <v>18.18060856269113</v>
      </c>
      <c r="EH5" t="s">
        <v>654</v>
      </c>
      <c r="EI5">
        <v>0</v>
      </c>
      <c r="EJ5">
        <v>0</v>
      </c>
      <c r="EK5" s="8">
        <v>45470</v>
      </c>
      <c r="EL5" s="13">
        <v>-0.37</v>
      </c>
      <c r="EM5" s="13">
        <v>-5.51</v>
      </c>
      <c r="EN5" s="13">
        <v>2.72</v>
      </c>
      <c r="EO5" s="13">
        <v>4.55</v>
      </c>
      <c r="EP5" s="13">
        <v>-1.45</v>
      </c>
    </row>
    <row r="6" spans="1:146" ht="96" x14ac:dyDescent="0.25">
      <c r="A6" s="14"/>
      <c r="B6" s="14"/>
      <c r="C6" s="14" t="str">
        <f>""&amp;CHAR(10)&amp;Basic_Fundamental_Information_Constructure(F6)&amp;CHAR(10)&amp;Basic_Fundamental_Information_Concatenate("")</f>
        <v xml:space="preserve">
市值44.414773亿, 利润1.83亿; PE24.15; 平均PE18.56; 平均PEG8.96, PB.783; ROIC1.6867%; ROE3.4667%; 股利率1.3289%; 毛利6.1533%; 净利.5967%; 上一年度营收增4.03%, 利润增2.81%; 当季营收增-3.22%, 利润增17.15%; 过往5年营收增2.07%, 利润增-7.09%
Income profile:
</v>
      </c>
      <c r="D6" t="s">
        <v>15</v>
      </c>
      <c r="E6" t="s">
        <v>7</v>
      </c>
      <c r="F6">
        <v>3.01</v>
      </c>
      <c r="G6">
        <v>1.35</v>
      </c>
      <c r="H6" t="s">
        <v>655</v>
      </c>
      <c r="I6">
        <v>4441477300</v>
      </c>
      <c r="J6">
        <v>24.15</v>
      </c>
      <c r="K6">
        <v>0.78300000000000003</v>
      </c>
      <c r="L6" t="s">
        <v>12</v>
      </c>
      <c r="M6" t="s">
        <v>656</v>
      </c>
      <c r="N6" t="s">
        <v>657</v>
      </c>
      <c r="O6" t="s">
        <v>658</v>
      </c>
      <c r="P6">
        <v>-3.21</v>
      </c>
      <c r="Q6" t="s">
        <v>659</v>
      </c>
      <c r="R6">
        <v>7574193</v>
      </c>
      <c r="S6" s="5">
        <v>0.17150000000000001</v>
      </c>
      <c r="T6" t="s">
        <v>440</v>
      </c>
      <c r="U6">
        <v>1474454100</v>
      </c>
      <c r="V6">
        <v>1475573900</v>
      </c>
      <c r="W6">
        <v>6.24</v>
      </c>
      <c r="X6">
        <v>0.11</v>
      </c>
      <c r="Y6">
        <v>-0.77</v>
      </c>
      <c r="Z6" t="s">
        <v>660</v>
      </c>
      <c r="AA6" t="s">
        <v>661</v>
      </c>
      <c r="AB6" t="s">
        <v>662</v>
      </c>
      <c r="AC6" t="s">
        <v>663</v>
      </c>
      <c r="AD6" t="s">
        <v>17</v>
      </c>
      <c r="AE6">
        <v>138259400</v>
      </c>
      <c r="AF6" t="s">
        <v>664</v>
      </c>
      <c r="AG6" t="s">
        <v>665</v>
      </c>
      <c r="AH6" t="s">
        <v>666</v>
      </c>
      <c r="AI6" t="s">
        <v>667</v>
      </c>
      <c r="AJ6" t="s">
        <v>668</v>
      </c>
      <c r="AK6" t="s">
        <v>356</v>
      </c>
      <c r="AL6" t="s">
        <v>669</v>
      </c>
      <c r="AM6" t="s">
        <v>17</v>
      </c>
      <c r="AN6" t="s">
        <v>449</v>
      </c>
      <c r="AO6" t="s">
        <v>670</v>
      </c>
      <c r="AP6" t="s">
        <v>671</v>
      </c>
      <c r="AQ6" t="s">
        <v>672</v>
      </c>
      <c r="AR6" t="s">
        <v>673</v>
      </c>
      <c r="AS6" t="s">
        <v>674</v>
      </c>
      <c r="AT6" t="s">
        <v>675</v>
      </c>
      <c r="AU6" t="s">
        <v>676</v>
      </c>
      <c r="AV6" t="s">
        <v>677</v>
      </c>
      <c r="AW6" t="s">
        <v>678</v>
      </c>
      <c r="AX6" t="s">
        <v>355</v>
      </c>
      <c r="AY6" t="s">
        <v>357</v>
      </c>
      <c r="AZ6" t="s">
        <v>200</v>
      </c>
      <c r="BA6" t="s">
        <v>33</v>
      </c>
      <c r="BB6" t="s">
        <v>68</v>
      </c>
      <c r="BC6" t="s">
        <v>349</v>
      </c>
      <c r="BD6" t="s">
        <v>345</v>
      </c>
      <c r="BE6" t="s">
        <v>30</v>
      </c>
      <c r="BF6" t="s">
        <v>34</v>
      </c>
      <c r="BG6" t="s">
        <v>69</v>
      </c>
      <c r="BH6" t="s">
        <v>659</v>
      </c>
      <c r="BI6" t="s">
        <v>679</v>
      </c>
      <c r="BJ6" t="s">
        <v>355</v>
      </c>
      <c r="BK6" t="s">
        <v>440</v>
      </c>
      <c r="BL6" t="s">
        <v>680</v>
      </c>
      <c r="BM6" t="s">
        <v>349</v>
      </c>
      <c r="BN6">
        <v>0.44</v>
      </c>
      <c r="BO6">
        <v>2.0499999999999998</v>
      </c>
      <c r="BP6">
        <v>2.57</v>
      </c>
      <c r="BQ6">
        <v>2.44</v>
      </c>
      <c r="BR6">
        <v>3.28</v>
      </c>
      <c r="BS6">
        <v>4.68</v>
      </c>
      <c r="BT6" t="s">
        <v>681</v>
      </c>
      <c r="BU6" t="s">
        <v>12</v>
      </c>
      <c r="BV6">
        <v>6.26</v>
      </c>
      <c r="BW6">
        <v>6.77</v>
      </c>
      <c r="BX6">
        <v>5.43</v>
      </c>
      <c r="BY6">
        <v>0.19</v>
      </c>
      <c r="BZ6">
        <v>0.85</v>
      </c>
      <c r="CA6">
        <v>0.75</v>
      </c>
      <c r="CB6">
        <v>1.01</v>
      </c>
      <c r="CC6">
        <v>-11.47</v>
      </c>
      <c r="CD6" t="s">
        <v>682</v>
      </c>
      <c r="CE6" t="s">
        <v>574</v>
      </c>
      <c r="CF6" s="9">
        <v>-3.2180908893237659E-2</v>
      </c>
      <c r="CG6" s="10">
        <v>0.17146018930957702</v>
      </c>
      <c r="CH6" s="9">
        <v>4.0343604981899261E-2</v>
      </c>
      <c r="CI6" s="9">
        <v>-4.458380863070488E-2</v>
      </c>
      <c r="CJ6" s="9">
        <v>0.12511281669139862</v>
      </c>
      <c r="CK6" s="9">
        <v>-6.5572164952754974E-2</v>
      </c>
      <c r="CL6" s="9">
        <v>4.8304878175258636E-2</v>
      </c>
      <c r="CM6" s="10">
        <v>2.8089888393878937E-2</v>
      </c>
      <c r="CN6" s="10">
        <v>-0.28799998760223389</v>
      </c>
      <c r="CO6" s="10">
        <v>0.25</v>
      </c>
      <c r="CP6" s="10">
        <v>-0.36708861589431763</v>
      </c>
      <c r="CQ6" s="10">
        <v>2.2653721272945404E-2</v>
      </c>
      <c r="CR6">
        <v>18.557704596100276</v>
      </c>
      <c r="CS6">
        <v>8.9559606948277786</v>
      </c>
      <c r="CT6">
        <v>1.3289036544850501</v>
      </c>
      <c r="CU6" s="9">
        <v>2.0721065253019331E-2</v>
      </c>
      <c r="CV6" s="10">
        <v>-7.0868998765945435E-2</v>
      </c>
      <c r="CW6">
        <v>0.06</v>
      </c>
      <c r="CX6">
        <v>184.21685210593284</v>
      </c>
      <c r="CY6">
        <v>176218825.41632316</v>
      </c>
      <c r="CZ6">
        <v>2.0721065253019331E-2</v>
      </c>
      <c r="DA6">
        <v>63.866239476106642</v>
      </c>
      <c r="DB6">
        <v>508288535.01143932</v>
      </c>
      <c r="DC6">
        <v>1.9685011990368362E-2</v>
      </c>
      <c r="DD6">
        <v>33.951544123513564</v>
      </c>
      <c r="DE6">
        <v>956141410.88557172</v>
      </c>
      <c r="DF6">
        <v>1.8234537422657012E-2</v>
      </c>
      <c r="DG6">
        <v>22.167255850088171</v>
      </c>
      <c r="DH6">
        <v>1464433735.936281</v>
      </c>
      <c r="DI6">
        <v>1.6576852202415466E-2</v>
      </c>
      <c r="DJ6">
        <v>13.618769999819353</v>
      </c>
      <c r="DK6">
        <v>2383657063.0409794</v>
      </c>
      <c r="DL6">
        <v>1.4504745677113531E-2</v>
      </c>
      <c r="DM6">
        <v>183000000</v>
      </c>
      <c r="DN6">
        <v>2.0721065253019331E-2</v>
      </c>
      <c r="DO6">
        <v>32462477300</v>
      </c>
      <c r="DP6">
        <v>1835924000</v>
      </c>
      <c r="DQ6">
        <v>198</v>
      </c>
      <c r="DR6">
        <v>-5.290197414625699E-2</v>
      </c>
      <c r="DS6">
        <v>0.24232918807552245</v>
      </c>
      <c r="DT6" s="11">
        <v>-0.44</v>
      </c>
      <c r="DU6">
        <v>-0.13333333333333333</v>
      </c>
      <c r="DV6">
        <v>-0.57333333333333336</v>
      </c>
      <c r="DW6">
        <v>-2.1147</v>
      </c>
      <c r="DX6">
        <v>0.33177912621359174</v>
      </c>
      <c r="DY6">
        <v>-2.018556065776699</v>
      </c>
      <c r="DZ6">
        <v>2993</v>
      </c>
      <c r="EA6">
        <v>-2.0076875129646323</v>
      </c>
      <c r="EB6">
        <v>2</v>
      </c>
      <c r="EC6">
        <v>2.2585449634206733E-2</v>
      </c>
      <c r="ED6">
        <v>0.13960669811251067</v>
      </c>
      <c r="EE6" s="12">
        <v>1.0883099999999999</v>
      </c>
      <c r="EF6">
        <v>1.10791</v>
      </c>
      <c r="EG6">
        <v>17.161779126213592</v>
      </c>
      <c r="EH6" t="s">
        <v>241</v>
      </c>
      <c r="EI6">
        <v>0</v>
      </c>
      <c r="EJ6">
        <v>0</v>
      </c>
      <c r="EK6" s="8">
        <v>45470</v>
      </c>
      <c r="EL6" s="13">
        <v>-0.65</v>
      </c>
      <c r="EM6" s="13">
        <v>-2.6</v>
      </c>
      <c r="EN6" s="13">
        <v>0.67</v>
      </c>
      <c r="EO6" s="13">
        <v>1.32</v>
      </c>
      <c r="EP6" s="13">
        <v>-1.96</v>
      </c>
    </row>
    <row r="7" spans="1:146" ht="108" x14ac:dyDescent="0.25">
      <c r="A7" s="14"/>
      <c r="B7" s="14"/>
      <c r="C7" s="14" t="str">
        <f>""&amp;CHAR(10)&amp;Basic_Fundamental_Information_Constructure(F7)&amp;CHAR(10)&amp;Basic_Fundamental_Information_Concatenate("")</f>
        <v xml:space="preserve">
市值28.455507亿, 利润7844.71万; PE35.27; 平均PE27.06; 平均PEG7.18, PB1.05; ROIC1.3533%; ROE3.3167%; 股利率.8711%; 毛利17.7433%; 净利3.6067%; 上一年度营收增27.9%, 利润增2.49%; 当季营收增26.09%, 利润增12.79%; 过往5年营收增3.77%, 利润增-2.02%
Income profile:
</v>
      </c>
      <c r="D7" t="s">
        <v>128</v>
      </c>
      <c r="E7" t="s">
        <v>129</v>
      </c>
      <c r="F7">
        <v>2.87</v>
      </c>
      <c r="G7">
        <v>1.06</v>
      </c>
      <c r="H7" t="s">
        <v>683</v>
      </c>
      <c r="I7">
        <v>2845550700</v>
      </c>
      <c r="J7">
        <v>35.270000000000003</v>
      </c>
      <c r="K7">
        <v>1.05</v>
      </c>
      <c r="L7" t="s">
        <v>12</v>
      </c>
      <c r="M7" t="s">
        <v>684</v>
      </c>
      <c r="N7" t="s">
        <v>180</v>
      </c>
      <c r="O7" t="s">
        <v>685</v>
      </c>
      <c r="P7">
        <v>26</v>
      </c>
      <c r="Q7" t="s">
        <v>686</v>
      </c>
      <c r="R7">
        <v>19587397</v>
      </c>
      <c r="S7" s="5">
        <v>0.12790000000000001</v>
      </c>
      <c r="T7" t="s">
        <v>687</v>
      </c>
      <c r="U7">
        <v>991481070</v>
      </c>
      <c r="V7">
        <v>991481070</v>
      </c>
      <c r="W7">
        <v>3.32</v>
      </c>
      <c r="X7">
        <v>0.06</v>
      </c>
      <c r="Y7">
        <v>4.9000000000000004</v>
      </c>
      <c r="Z7" t="s">
        <v>688</v>
      </c>
      <c r="AA7" t="s">
        <v>689</v>
      </c>
      <c r="AB7" t="s">
        <v>690</v>
      </c>
      <c r="AC7" t="s">
        <v>691</v>
      </c>
      <c r="AD7" t="s">
        <v>17</v>
      </c>
      <c r="AE7">
        <v>-34094398</v>
      </c>
      <c r="AF7" t="s">
        <v>692</v>
      </c>
      <c r="AG7" t="s">
        <v>693</v>
      </c>
      <c r="AH7" t="s">
        <v>694</v>
      </c>
      <c r="AI7" t="s">
        <v>695</v>
      </c>
      <c r="AJ7" t="s">
        <v>696</v>
      </c>
      <c r="AK7" t="s">
        <v>17</v>
      </c>
      <c r="AL7" t="s">
        <v>697</v>
      </c>
      <c r="AM7" t="s">
        <v>17</v>
      </c>
      <c r="AN7" t="s">
        <v>698</v>
      </c>
      <c r="AO7" t="s">
        <v>699</v>
      </c>
      <c r="AP7" t="s">
        <v>17</v>
      </c>
      <c r="AQ7" t="s">
        <v>700</v>
      </c>
      <c r="AR7" t="s">
        <v>17</v>
      </c>
      <c r="AS7" t="s">
        <v>701</v>
      </c>
      <c r="AT7" t="s">
        <v>702</v>
      </c>
      <c r="AU7" t="s">
        <v>703</v>
      </c>
      <c r="AV7" t="s">
        <v>704</v>
      </c>
      <c r="AW7" t="s">
        <v>345</v>
      </c>
      <c r="AX7" t="s">
        <v>358</v>
      </c>
      <c r="AY7" t="s">
        <v>201</v>
      </c>
      <c r="AZ7" t="s">
        <v>130</v>
      </c>
      <c r="BA7" t="s">
        <v>131</v>
      </c>
      <c r="BB7" t="s">
        <v>132</v>
      </c>
      <c r="BC7" t="s">
        <v>705</v>
      </c>
      <c r="BD7" t="s">
        <v>114</v>
      </c>
      <c r="BE7" t="s">
        <v>36</v>
      </c>
      <c r="BF7" t="s">
        <v>133</v>
      </c>
      <c r="BG7" t="s">
        <v>81</v>
      </c>
      <c r="BH7" t="s">
        <v>686</v>
      </c>
      <c r="BI7" t="s">
        <v>706</v>
      </c>
      <c r="BJ7" t="s">
        <v>358</v>
      </c>
      <c r="BK7" t="s">
        <v>687</v>
      </c>
      <c r="BL7" t="s">
        <v>707</v>
      </c>
      <c r="BM7" t="s">
        <v>705</v>
      </c>
      <c r="BN7">
        <v>0.62</v>
      </c>
      <c r="BO7">
        <v>1.1599999999999999</v>
      </c>
      <c r="BP7">
        <v>2.2799999999999998</v>
      </c>
      <c r="BQ7">
        <v>1.79</v>
      </c>
      <c r="BR7">
        <v>2.87</v>
      </c>
      <c r="BS7">
        <v>5.29</v>
      </c>
      <c r="BT7" t="s">
        <v>708</v>
      </c>
      <c r="BU7" t="s">
        <v>12</v>
      </c>
      <c r="BV7">
        <v>16.690000000000001</v>
      </c>
      <c r="BW7">
        <v>18.38</v>
      </c>
      <c r="BX7">
        <v>18.16</v>
      </c>
      <c r="BY7">
        <v>2.61</v>
      </c>
      <c r="BZ7">
        <v>3.4</v>
      </c>
      <c r="CA7">
        <v>4.8099999999999996</v>
      </c>
      <c r="CB7">
        <v>3.05</v>
      </c>
      <c r="CC7">
        <v>-14.71</v>
      </c>
      <c r="CD7" t="s">
        <v>709</v>
      </c>
      <c r="CE7" t="s">
        <v>147</v>
      </c>
      <c r="CF7" s="9">
        <v>0.26086956521739146</v>
      </c>
      <c r="CG7" s="10">
        <v>0.12788397201508653</v>
      </c>
      <c r="CH7" s="9">
        <v>0.27900457382202148</v>
      </c>
      <c r="CI7" s="9">
        <v>-6.795164942741394E-2</v>
      </c>
      <c r="CJ7" s="9">
        <v>-1.7650855705142021E-2</v>
      </c>
      <c r="CK7" s="9">
        <v>9.5639944076538086E-2</v>
      </c>
      <c r="CL7" s="9">
        <v>-0.1005692258477211</v>
      </c>
      <c r="CM7" s="10">
        <v>2.4908401072025299E-2</v>
      </c>
      <c r="CN7" s="10">
        <v>-0.43720147013664246</v>
      </c>
      <c r="CO7" s="10">
        <v>2.255639061331749E-2</v>
      </c>
      <c r="CP7" s="10">
        <v>0.2788461446762085</v>
      </c>
      <c r="CQ7" s="10">
        <v>9.7087379544973373E-3</v>
      </c>
      <c r="CR7">
        <v>27.058061829097461</v>
      </c>
      <c r="CS7">
        <v>7.1782410266022172</v>
      </c>
      <c r="CT7">
        <v>0.87108013937282225</v>
      </c>
      <c r="CU7" s="9">
        <v>3.7694557383656499E-2</v>
      </c>
      <c r="CV7" s="10">
        <v>-2.0236359164118766E-2</v>
      </c>
      <c r="CW7">
        <v>0.06</v>
      </c>
      <c r="CX7">
        <v>88.579091208797337</v>
      </c>
      <c r="CY7">
        <v>76796347.842010781</v>
      </c>
      <c r="CZ7">
        <v>3.7694557383656499E-2</v>
      </c>
      <c r="DA7">
        <v>30.265521887379229</v>
      </c>
      <c r="DB7">
        <v>224762378.96418613</v>
      </c>
      <c r="DC7">
        <v>3.5809829514473673E-2</v>
      </c>
      <c r="DD7">
        <v>15.794103611752492</v>
      </c>
      <c r="DE7">
        <v>430701916.81775337</v>
      </c>
      <c r="DF7">
        <v>3.3171210497617717E-2</v>
      </c>
      <c r="DG7">
        <v>10.11233263794535</v>
      </c>
      <c r="DH7">
        <v>672698470.62528586</v>
      </c>
      <c r="DI7">
        <v>3.01556459069252E-2</v>
      </c>
      <c r="DJ7">
        <v>5.9777981387198436</v>
      </c>
      <c r="DK7">
        <v>1137969289.383997</v>
      </c>
      <c r="DL7">
        <v>2.6386190168559549E-2</v>
      </c>
      <c r="DM7">
        <v>78447100</v>
      </c>
      <c r="DN7">
        <v>3.7694557383656499E-2</v>
      </c>
      <c r="DO7">
        <v>6802550700</v>
      </c>
      <c r="DP7">
        <v>-1391902800</v>
      </c>
      <c r="DQ7">
        <v>263</v>
      </c>
      <c r="DR7">
        <v>0.22317500783373495</v>
      </c>
      <c r="DS7">
        <v>0.14812033117920528</v>
      </c>
      <c r="DT7" s="11">
        <v>-0.27333333333333337</v>
      </c>
      <c r="DU7">
        <v>-3.3333333333333347E-2</v>
      </c>
      <c r="DV7">
        <v>-0.3066666666666667</v>
      </c>
      <c r="DW7">
        <v>6.1717342342342345</v>
      </c>
      <c r="DX7">
        <v>0.28394395161290242</v>
      </c>
      <c r="DY7">
        <v>6.024720104302892</v>
      </c>
      <c r="DZ7">
        <v>2463</v>
      </c>
      <c r="EA7">
        <v>6.0128051107807741</v>
      </c>
      <c r="EB7">
        <v>6</v>
      </c>
      <c r="EC7">
        <v>3.6004822563077278E-2</v>
      </c>
      <c r="ED7">
        <v>0.25013084717794964</v>
      </c>
      <c r="EE7" s="12">
        <v>-1.0661099999999999</v>
      </c>
      <c r="EF7">
        <v>-1.0697099999999999</v>
      </c>
      <c r="EG7">
        <v>14.143943951612902</v>
      </c>
      <c r="EH7" t="s">
        <v>238</v>
      </c>
      <c r="EI7">
        <v>0</v>
      </c>
      <c r="EJ7">
        <v>0</v>
      </c>
      <c r="EK7" s="8">
        <v>45470</v>
      </c>
      <c r="EL7" s="13">
        <v>0.72</v>
      </c>
      <c r="EM7" s="13">
        <v>-3.91</v>
      </c>
      <c r="EN7" s="13">
        <v>0</v>
      </c>
      <c r="EO7" s="13">
        <v>2.96</v>
      </c>
      <c r="EP7" s="13">
        <v>-0.36</v>
      </c>
    </row>
    <row r="8" spans="1:146" ht="96" x14ac:dyDescent="0.25">
      <c r="A8" s="14"/>
      <c r="B8" s="14"/>
      <c r="C8" s="14" t="str">
        <f>""&amp;CHAR(10)&amp;Basic_Fundamental_Information_Constructure(F8)&amp;CHAR(10)&amp;Basic_Fundamental_Information_Concatenate("")</f>
        <v xml:space="preserve">
市值14.019395亿, 利润-1703.93万; PE; 平均PE-7.39; 平均PEG-.01, PB17.27; ROIC-265.29%; ROE-66.0767%; 股利率0%; 毛利16.6767%; 净利550.38%; 上一年度营收增0%, 利润增-7.06%; 当季营收增81.78%, 利润增57.7%; 过往5年营收增1416.99%, 利润增86.44%
Income profile:
</v>
      </c>
      <c r="D8" t="s">
        <v>134</v>
      </c>
      <c r="E8" t="s">
        <v>242</v>
      </c>
      <c r="F8">
        <v>2.2000000000000002</v>
      </c>
      <c r="G8">
        <v>4.2699999999999996</v>
      </c>
      <c r="H8" t="s">
        <v>710</v>
      </c>
      <c r="I8">
        <v>1401939500</v>
      </c>
      <c r="K8">
        <v>17.27</v>
      </c>
      <c r="L8" t="s">
        <v>12</v>
      </c>
      <c r="M8" t="s">
        <v>422</v>
      </c>
      <c r="N8" t="s">
        <v>711</v>
      </c>
      <c r="O8" t="s">
        <v>712</v>
      </c>
      <c r="P8">
        <v>81.78</v>
      </c>
      <c r="Q8" t="s">
        <v>267</v>
      </c>
      <c r="R8">
        <v>-3099261</v>
      </c>
      <c r="S8" s="5">
        <v>0.57699999999999996</v>
      </c>
      <c r="T8" t="s">
        <v>713</v>
      </c>
      <c r="U8">
        <v>287656920</v>
      </c>
      <c r="V8">
        <v>637245220</v>
      </c>
      <c r="W8">
        <v>2.59</v>
      </c>
      <c r="X8">
        <v>0.12</v>
      </c>
      <c r="Y8">
        <v>-7.47</v>
      </c>
      <c r="Z8" t="s">
        <v>714</v>
      </c>
      <c r="AA8" t="s">
        <v>715</v>
      </c>
      <c r="AB8" t="s">
        <v>716</v>
      </c>
      <c r="AC8" t="s">
        <v>717</v>
      </c>
      <c r="AD8" t="s">
        <v>17</v>
      </c>
      <c r="AE8">
        <v>51818</v>
      </c>
      <c r="AF8" t="s">
        <v>31</v>
      </c>
      <c r="AG8" t="s">
        <v>17</v>
      </c>
      <c r="AH8" t="s">
        <v>718</v>
      </c>
      <c r="AI8" t="s">
        <v>719</v>
      </c>
      <c r="AJ8" t="s">
        <v>720</v>
      </c>
      <c r="AK8" t="s">
        <v>721</v>
      </c>
      <c r="AL8" t="s">
        <v>722</v>
      </c>
      <c r="AM8" t="s">
        <v>17</v>
      </c>
      <c r="AN8">
        <v>0</v>
      </c>
      <c r="AO8" t="s">
        <v>723</v>
      </c>
      <c r="AP8" t="s">
        <v>17</v>
      </c>
      <c r="AQ8" t="s">
        <v>724</v>
      </c>
      <c r="AR8" t="s">
        <v>17</v>
      </c>
      <c r="AS8" t="s">
        <v>725</v>
      </c>
      <c r="AT8" t="s">
        <v>17</v>
      </c>
      <c r="AU8" t="s">
        <v>726</v>
      </c>
      <c r="AV8">
        <v>-1499</v>
      </c>
      <c r="AW8" t="s">
        <v>727</v>
      </c>
      <c r="AX8" t="s">
        <v>267</v>
      </c>
      <c r="AY8" t="s">
        <v>165</v>
      </c>
      <c r="AZ8" t="s">
        <v>135</v>
      </c>
      <c r="BA8" t="s">
        <v>137</v>
      </c>
      <c r="BB8" t="s">
        <v>138</v>
      </c>
      <c r="BC8" t="s">
        <v>359</v>
      </c>
      <c r="BD8" t="s">
        <v>202</v>
      </c>
      <c r="BE8" t="s">
        <v>136</v>
      </c>
      <c r="BF8" t="s">
        <v>243</v>
      </c>
      <c r="BG8" t="s">
        <v>244</v>
      </c>
      <c r="BH8" t="s">
        <v>267</v>
      </c>
      <c r="BI8" t="s">
        <v>728</v>
      </c>
      <c r="BJ8" t="s">
        <v>267</v>
      </c>
      <c r="BK8" t="s">
        <v>713</v>
      </c>
      <c r="BL8" t="s">
        <v>729</v>
      </c>
      <c r="BM8" t="s">
        <v>359</v>
      </c>
      <c r="BN8" t="s">
        <v>17</v>
      </c>
      <c r="BO8" t="s">
        <v>17</v>
      </c>
      <c r="BP8">
        <v>-265.29000000000002</v>
      </c>
      <c r="BQ8">
        <v>-33.81</v>
      </c>
      <c r="BR8">
        <v>-20.72</v>
      </c>
      <c r="BS8">
        <v>-143.69999999999999</v>
      </c>
      <c r="BT8" t="s">
        <v>344</v>
      </c>
      <c r="BU8" t="s">
        <v>12</v>
      </c>
      <c r="BV8">
        <v>20.13</v>
      </c>
      <c r="BW8">
        <v>14.53</v>
      </c>
      <c r="BX8">
        <v>15.37</v>
      </c>
      <c r="BY8">
        <v>-9.66</v>
      </c>
      <c r="BZ8">
        <v>-13.32</v>
      </c>
      <c r="CA8">
        <v>1674.12</v>
      </c>
      <c r="CB8">
        <v>9.4499999999999993</v>
      </c>
      <c r="CC8">
        <v>-23.08</v>
      </c>
      <c r="CD8" t="s">
        <v>730</v>
      </c>
      <c r="CE8" t="s">
        <v>731</v>
      </c>
      <c r="CF8" s="9">
        <v>0.81775502105952602</v>
      </c>
      <c r="CG8" s="10">
        <v>0.57697932164061971</v>
      </c>
      <c r="CH8" s="9">
        <v>0</v>
      </c>
      <c r="CI8" s="9">
        <v>0.30833333730697632</v>
      </c>
      <c r="CJ8" s="9">
        <v>71.180450439453125</v>
      </c>
      <c r="CK8" s="9">
        <v>-0.89754921197891235</v>
      </c>
      <c r="CL8" s="9">
        <v>0.25836920738220215</v>
      </c>
      <c r="CM8" s="10">
        <v>-7.0583507418632507E-2</v>
      </c>
      <c r="CN8" s="10">
        <v>-1.007997989654541</v>
      </c>
      <c r="CO8" s="10">
        <v>6.482093334197998</v>
      </c>
      <c r="CP8" s="10">
        <v>0.82135826349258423</v>
      </c>
      <c r="CQ8" s="10">
        <v>-1.9028571844100952</v>
      </c>
      <c r="CR8">
        <v>-7.3918876595493375</v>
      </c>
      <c r="CS8">
        <v>-5.2166047980451722E-3</v>
      </c>
      <c r="CT8">
        <v>0</v>
      </c>
      <c r="CU8" s="9">
        <v>14.169920754432678</v>
      </c>
      <c r="CV8" s="10">
        <v>0.86440258324146269</v>
      </c>
      <c r="CW8">
        <v>0.06</v>
      </c>
      <c r="CX8" t="e">
        <v>#VALUE!</v>
      </c>
      <c r="CY8" t="s">
        <v>239</v>
      </c>
      <c r="CZ8">
        <v>14.169920754432678</v>
      </c>
      <c r="DA8" t="e">
        <v>#VALUE!</v>
      </c>
      <c r="DB8" t="s">
        <v>237</v>
      </c>
      <c r="DC8">
        <v>13.461424716711043</v>
      </c>
      <c r="DD8" t="e">
        <v>#VALUE!</v>
      </c>
      <c r="DE8" t="s">
        <v>237</v>
      </c>
      <c r="DF8">
        <v>12.469530263900756</v>
      </c>
      <c r="DG8" t="e">
        <v>#VALUE!</v>
      </c>
      <c r="DH8" t="s">
        <v>237</v>
      </c>
      <c r="DI8">
        <v>11.335936603546143</v>
      </c>
      <c r="DJ8" t="e">
        <v>#VALUE!</v>
      </c>
      <c r="DK8" t="s">
        <v>237</v>
      </c>
      <c r="DL8">
        <v>9.9189445281028732</v>
      </c>
      <c r="DM8">
        <v>-17039300</v>
      </c>
      <c r="DN8">
        <v>14.169920754432678</v>
      </c>
      <c r="DO8">
        <v>1465939500</v>
      </c>
      <c r="DP8">
        <v>-14192679.99999997</v>
      </c>
      <c r="DQ8">
        <v>307</v>
      </c>
      <c r="DR8">
        <v>-13.352165733373152</v>
      </c>
      <c r="DS8">
        <v>-0.28742326160084297</v>
      </c>
      <c r="DT8" s="11">
        <v>-8.333333333333302E-3</v>
      </c>
      <c r="DU8">
        <v>-1.885</v>
      </c>
      <c r="DV8">
        <v>-1.8933333333333333</v>
      </c>
      <c r="DW8">
        <v>7.2905010759299111</v>
      </c>
      <c r="DX8">
        <v>0.53533089212827933</v>
      </c>
      <c r="DY8">
        <v>7.0770789096407087</v>
      </c>
      <c r="DZ8">
        <v>4323</v>
      </c>
      <c r="EA8">
        <v>7.0118710571207901</v>
      </c>
      <c r="EB8">
        <v>7</v>
      </c>
      <c r="EC8">
        <v>0.14281550829051334</v>
      </c>
      <c r="ED8">
        <v>0.5382543316684274</v>
      </c>
      <c r="EE8" s="12">
        <v>-2.0055999999999998</v>
      </c>
      <c r="EF8">
        <v>-2.0055999999999998</v>
      </c>
      <c r="EG8">
        <v>27.265330892128279</v>
      </c>
      <c r="EH8" t="s">
        <v>654</v>
      </c>
      <c r="EI8">
        <v>1</v>
      </c>
      <c r="EJ8">
        <v>0</v>
      </c>
      <c r="EK8" s="8">
        <v>45470</v>
      </c>
      <c r="EL8" s="13">
        <v>-2.35</v>
      </c>
      <c r="EM8" s="13">
        <v>-6.25</v>
      </c>
      <c r="EN8" s="13">
        <v>0.51</v>
      </c>
      <c r="EO8" s="13">
        <v>4.59</v>
      </c>
      <c r="EP8" s="13">
        <v>0</v>
      </c>
    </row>
    <row r="9" spans="1:146" ht="96" x14ac:dyDescent="0.25">
      <c r="A9" s="14"/>
      <c r="B9" s="14"/>
      <c r="C9" s="14" t="str">
        <f>""&amp;CHAR(10)&amp;Basic_Fundamental_Information_Constructure(F9)&amp;CHAR(10)&amp;Basic_Fundamental_Information_Concatenate("")</f>
        <v xml:space="preserve">
市值38.259322亿, 利润6632.60万; PE43.18; 平均PE26.83; 平均PEG17.74, PB1.13; ROIC5.64%; ROE6.45%; 股利率.1172%; 毛利19.1167%; 净利6.6733%; 上一年度营收增-1.67%, 利润增-77.52%; 当季营收增-33.59%, 利润增55.75%; 过往5年营收增1.51%, 利润增43.95%
Income profile:
</v>
      </c>
      <c r="D9" t="s">
        <v>139</v>
      </c>
      <c r="E9" t="s">
        <v>140</v>
      </c>
      <c r="F9">
        <v>4.7699999999999996</v>
      </c>
      <c r="G9">
        <v>1.27</v>
      </c>
      <c r="H9" t="s">
        <v>732</v>
      </c>
      <c r="I9">
        <v>3825932200</v>
      </c>
      <c r="J9">
        <v>43.18</v>
      </c>
      <c r="K9">
        <v>1.1299999999999999</v>
      </c>
      <c r="L9" t="s">
        <v>12</v>
      </c>
      <c r="M9" t="s">
        <v>733</v>
      </c>
      <c r="N9" t="s">
        <v>734</v>
      </c>
      <c r="O9" t="s">
        <v>441</v>
      </c>
      <c r="P9">
        <v>-33.57</v>
      </c>
      <c r="Q9" t="s">
        <v>735</v>
      </c>
      <c r="R9">
        <v>62218793</v>
      </c>
      <c r="S9" s="5">
        <v>0.5575</v>
      </c>
      <c r="T9" t="s">
        <v>736</v>
      </c>
      <c r="U9">
        <v>453701050</v>
      </c>
      <c r="V9">
        <v>802082220</v>
      </c>
      <c r="W9">
        <v>1.66</v>
      </c>
      <c r="X9">
        <v>0.11</v>
      </c>
      <c r="Y9">
        <v>9.98</v>
      </c>
      <c r="Z9" t="s">
        <v>430</v>
      </c>
      <c r="AA9" t="s">
        <v>443</v>
      </c>
      <c r="AB9" t="s">
        <v>737</v>
      </c>
      <c r="AC9" t="s">
        <v>738</v>
      </c>
      <c r="AD9" t="s">
        <v>17</v>
      </c>
      <c r="AE9">
        <v>4202018</v>
      </c>
      <c r="AF9" t="s">
        <v>739</v>
      </c>
      <c r="AG9" t="s">
        <v>740</v>
      </c>
      <c r="AH9" t="s">
        <v>741</v>
      </c>
      <c r="AI9" t="s">
        <v>742</v>
      </c>
      <c r="AJ9" t="s">
        <v>743</v>
      </c>
      <c r="AK9" t="s">
        <v>744</v>
      </c>
      <c r="AL9" t="s">
        <v>745</v>
      </c>
      <c r="AM9" t="s">
        <v>17</v>
      </c>
      <c r="AN9" t="s">
        <v>746</v>
      </c>
      <c r="AO9" t="s">
        <v>747</v>
      </c>
      <c r="AP9" t="s">
        <v>748</v>
      </c>
      <c r="AQ9" t="s">
        <v>561</v>
      </c>
      <c r="AR9" t="s">
        <v>17</v>
      </c>
      <c r="AS9" t="s">
        <v>749</v>
      </c>
      <c r="AT9" t="s">
        <v>70</v>
      </c>
      <c r="AU9" t="s">
        <v>750</v>
      </c>
      <c r="AV9" t="s">
        <v>751</v>
      </c>
      <c r="AW9" t="s">
        <v>387</v>
      </c>
      <c r="AX9" t="s">
        <v>360</v>
      </c>
      <c r="AY9" t="s">
        <v>204</v>
      </c>
      <c r="AZ9" t="s">
        <v>141</v>
      </c>
      <c r="BA9" t="s">
        <v>143</v>
      </c>
      <c r="BB9" t="s">
        <v>144</v>
      </c>
      <c r="BC9" t="s">
        <v>361</v>
      </c>
      <c r="BD9" t="s">
        <v>43</v>
      </c>
      <c r="BE9" t="s">
        <v>142</v>
      </c>
      <c r="BF9" t="s">
        <v>145</v>
      </c>
      <c r="BG9" t="s">
        <v>146</v>
      </c>
      <c r="BH9" t="s">
        <v>735</v>
      </c>
      <c r="BI9" t="s">
        <v>752</v>
      </c>
      <c r="BJ9" t="s">
        <v>360</v>
      </c>
      <c r="BK9" t="s">
        <v>736</v>
      </c>
      <c r="BL9" t="s">
        <v>753</v>
      </c>
      <c r="BM9" t="s">
        <v>361</v>
      </c>
      <c r="BN9">
        <v>1.53</v>
      </c>
      <c r="BO9">
        <v>7.55</v>
      </c>
      <c r="BP9">
        <v>7.84</v>
      </c>
      <c r="BQ9">
        <v>1.45</v>
      </c>
      <c r="BR9">
        <v>9.2200000000000006</v>
      </c>
      <c r="BS9">
        <v>8.68</v>
      </c>
      <c r="BT9" t="s">
        <v>754</v>
      </c>
      <c r="BU9" t="s">
        <v>12</v>
      </c>
      <c r="BV9">
        <v>14.02</v>
      </c>
      <c r="BW9">
        <v>19.34</v>
      </c>
      <c r="BX9">
        <v>23.99</v>
      </c>
      <c r="BY9">
        <v>1.96</v>
      </c>
      <c r="BZ9">
        <v>8.76</v>
      </c>
      <c r="CA9">
        <v>9.3000000000000007</v>
      </c>
      <c r="CB9">
        <v>1.92</v>
      </c>
      <c r="CC9">
        <v>-11.3</v>
      </c>
      <c r="CD9" t="s">
        <v>755</v>
      </c>
      <c r="CE9" t="s">
        <v>756</v>
      </c>
      <c r="CF9" s="9">
        <v>-0.33585313174946002</v>
      </c>
      <c r="CG9" s="10">
        <v>0.55749456793831986</v>
      </c>
      <c r="CH9" s="9">
        <v>-1.6681281849741936E-2</v>
      </c>
      <c r="CI9" s="9">
        <v>0.11703166365623474</v>
      </c>
      <c r="CJ9" s="9">
        <v>-4.1065849363803864E-2</v>
      </c>
      <c r="CK9" s="9">
        <v>-8.9091941714286804E-2</v>
      </c>
      <c r="CL9" s="9">
        <v>0.10542933642864227</v>
      </c>
      <c r="CM9" s="10">
        <v>-0.7751660943031311</v>
      </c>
      <c r="CN9" s="10">
        <v>0.13461539149284363</v>
      </c>
      <c r="CO9" s="10">
        <v>3.1437103748321533</v>
      </c>
      <c r="CP9" s="10">
        <v>-0.24429357051849365</v>
      </c>
      <c r="CQ9" s="10">
        <v>-6.156245619058609E-2</v>
      </c>
      <c r="CR9">
        <v>26.830543461376763</v>
      </c>
      <c r="CS9">
        <v>17.739923108318603</v>
      </c>
      <c r="CT9">
        <v>0.11715377975089407</v>
      </c>
      <c r="CU9" s="9">
        <v>1.5124385431408881E-2</v>
      </c>
      <c r="CV9" s="10">
        <v>0.43946072906255723</v>
      </c>
      <c r="CW9">
        <v>0.06</v>
      </c>
      <c r="CX9">
        <v>37.200952402508229</v>
      </c>
      <c r="CY9">
        <v>63518056.592569456</v>
      </c>
      <c r="CZ9">
        <v>1.5124385431408881E-2</v>
      </c>
      <c r="DA9">
        <v>12.959446393863493</v>
      </c>
      <c r="DB9">
        <v>182332804.05549476</v>
      </c>
      <c r="DC9">
        <v>1.4368166159838438E-2</v>
      </c>
      <c r="DD9">
        <v>6.9311448710800612</v>
      </c>
      <c r="DE9">
        <v>340915136.5251714</v>
      </c>
      <c r="DF9">
        <v>1.3309459179639816E-2</v>
      </c>
      <c r="DG9">
        <v>4.5540539986220656</v>
      </c>
      <c r="DH9">
        <v>518863456.76071483</v>
      </c>
      <c r="DI9">
        <v>1.2099508345127106E-2</v>
      </c>
      <c r="DJ9">
        <v>2.8320085538922362</v>
      </c>
      <c r="DK9">
        <v>834366194.53442335</v>
      </c>
      <c r="DL9">
        <v>1.0587069801986216E-2</v>
      </c>
      <c r="DM9">
        <v>66326000</v>
      </c>
      <c r="DN9">
        <v>1.5124385431408881E-2</v>
      </c>
      <c r="DO9">
        <v>2362932200.0000005</v>
      </c>
      <c r="DP9">
        <v>886879400</v>
      </c>
      <c r="DQ9">
        <v>317</v>
      </c>
      <c r="DR9">
        <v>-0.35097751718086889</v>
      </c>
      <c r="DS9">
        <v>0.11803383887576263</v>
      </c>
      <c r="DT9" s="11">
        <v>-0.44</v>
      </c>
      <c r="DU9">
        <v>0.13666666666666669</v>
      </c>
      <c r="DV9">
        <v>-0.30333333333333334</v>
      </c>
      <c r="DW9">
        <v>-2.113</v>
      </c>
      <c r="DX9">
        <v>0.30311398963730685</v>
      </c>
      <c r="DY9">
        <v>-2.0161718808290154</v>
      </c>
      <c r="DZ9">
        <v>2450</v>
      </c>
      <c r="EA9">
        <v>-2.008418239335652</v>
      </c>
      <c r="EB9">
        <v>2</v>
      </c>
      <c r="EC9">
        <v>3.4436619228387831E-2</v>
      </c>
      <c r="ED9">
        <v>0.24062371062158691</v>
      </c>
      <c r="EE9" s="12">
        <v>1.0226</v>
      </c>
      <c r="EF9">
        <v>1.00681</v>
      </c>
      <c r="EG9">
        <v>16.143113989637307</v>
      </c>
      <c r="EH9" t="s">
        <v>241</v>
      </c>
      <c r="EI9">
        <v>0</v>
      </c>
      <c r="EJ9">
        <v>0</v>
      </c>
      <c r="EK9" s="8">
        <v>45470</v>
      </c>
      <c r="EL9" s="13">
        <v>0.43</v>
      </c>
      <c r="EM9" s="13">
        <v>-4.03</v>
      </c>
      <c r="EN9" s="13">
        <v>1.33</v>
      </c>
      <c r="EO9" s="13">
        <v>3.93</v>
      </c>
      <c r="EP9" s="13">
        <v>-2.94</v>
      </c>
    </row>
    <row r="10" spans="1:146" ht="108" x14ac:dyDescent="0.25">
      <c r="C10" s="14" t="str">
        <f>""&amp;CHAR(10)&amp;Basic_Fundamental_Information_Constructure(F10)&amp;CHAR(10)&amp;Basic_Fundamental_Information_Concatenate("")</f>
        <v xml:space="preserve">
市值8.0563647亿, 利润-7474.83万; PE; 平均PE-4.76; 平均PEG-.58, PB145.9; ROIC0%; ROE-93.74%; 股利率0%; 毛利1.7933%; 净利-62.51%; 上一年度营收增-7.84%, 利润增-57.14%; 当季营收增-56.92%, 利润增1.1%; 过往5年营收增-8.19%, 利润增12.53%
Income profile:
</v>
      </c>
      <c r="D10" t="s">
        <v>757</v>
      </c>
      <c r="E10" t="s">
        <v>758</v>
      </c>
      <c r="F10">
        <v>1.08</v>
      </c>
      <c r="G10">
        <v>4.8499999999999996</v>
      </c>
      <c r="H10" t="s">
        <v>759</v>
      </c>
      <c r="I10">
        <v>805636470</v>
      </c>
      <c r="K10">
        <v>145.9</v>
      </c>
      <c r="L10" t="s">
        <v>12</v>
      </c>
      <c r="M10" t="s">
        <v>760</v>
      </c>
      <c r="N10" t="s">
        <v>761</v>
      </c>
      <c r="O10" t="s">
        <v>762</v>
      </c>
      <c r="P10" s="5">
        <v>-56.92</v>
      </c>
      <c r="Q10" t="s">
        <v>530</v>
      </c>
      <c r="R10">
        <v>-4153922</v>
      </c>
      <c r="S10">
        <v>1.0999999999999999E-2</v>
      </c>
      <c r="T10" t="s">
        <v>763</v>
      </c>
      <c r="U10">
        <v>745959690</v>
      </c>
      <c r="V10">
        <v>745959690</v>
      </c>
      <c r="W10" t="s">
        <v>17</v>
      </c>
      <c r="X10">
        <v>0.11</v>
      </c>
      <c r="Y10">
        <v>-15.98</v>
      </c>
      <c r="Z10" t="s">
        <v>764</v>
      </c>
      <c r="AA10" t="s">
        <v>765</v>
      </c>
      <c r="AB10" t="s">
        <v>766</v>
      </c>
      <c r="AC10" t="s">
        <v>767</v>
      </c>
      <c r="AD10" t="s">
        <v>17</v>
      </c>
      <c r="AE10">
        <v>-56627</v>
      </c>
      <c r="AF10" t="s">
        <v>31</v>
      </c>
      <c r="AG10" t="s">
        <v>768</v>
      </c>
      <c r="AH10" t="s">
        <v>769</v>
      </c>
      <c r="AI10" t="s">
        <v>770</v>
      </c>
      <c r="AJ10" t="s">
        <v>771</v>
      </c>
      <c r="AK10" t="s">
        <v>772</v>
      </c>
      <c r="AL10" t="s">
        <v>773</v>
      </c>
      <c r="AM10" t="s">
        <v>17</v>
      </c>
      <c r="AN10" t="s">
        <v>774</v>
      </c>
      <c r="AO10" t="s">
        <v>17</v>
      </c>
      <c r="AP10" t="s">
        <v>17</v>
      </c>
      <c r="AQ10" t="s">
        <v>775</v>
      </c>
      <c r="AR10" t="s">
        <v>776</v>
      </c>
      <c r="AS10" t="s">
        <v>777</v>
      </c>
      <c r="AT10" t="s">
        <v>17</v>
      </c>
      <c r="AU10" t="s">
        <v>778</v>
      </c>
      <c r="AV10" t="s">
        <v>779</v>
      </c>
      <c r="AW10" t="s">
        <v>780</v>
      </c>
      <c r="AX10" t="s">
        <v>781</v>
      </c>
      <c r="AY10" t="s">
        <v>348</v>
      </c>
      <c r="AZ10" t="s">
        <v>394</v>
      </c>
      <c r="BA10" t="s">
        <v>782</v>
      </c>
      <c r="BB10" t="s">
        <v>783</v>
      </c>
      <c r="BC10" t="s">
        <v>784</v>
      </c>
      <c r="BD10" t="s">
        <v>785</v>
      </c>
      <c r="BE10" t="s">
        <v>786</v>
      </c>
      <c r="BF10" t="s">
        <v>787</v>
      </c>
      <c r="BG10" t="s">
        <v>788</v>
      </c>
      <c r="BH10" t="s">
        <v>530</v>
      </c>
      <c r="BI10" t="s">
        <v>789</v>
      </c>
      <c r="BJ10" t="s">
        <v>781</v>
      </c>
      <c r="BK10" t="s">
        <v>763</v>
      </c>
      <c r="BL10" t="s">
        <v>790</v>
      </c>
      <c r="BM10" t="s">
        <v>784</v>
      </c>
      <c r="BN10" t="s">
        <v>17</v>
      </c>
      <c r="BO10" t="s">
        <v>17</v>
      </c>
      <c r="BP10" t="s">
        <v>17</v>
      </c>
      <c r="BQ10">
        <v>-67.86</v>
      </c>
      <c r="BR10">
        <v>-78.45</v>
      </c>
      <c r="BS10">
        <v>-134.91</v>
      </c>
      <c r="BT10" t="s">
        <v>344</v>
      </c>
      <c r="BU10" t="s">
        <v>12</v>
      </c>
      <c r="BV10">
        <v>-4.37</v>
      </c>
      <c r="BW10">
        <v>7.19</v>
      </c>
      <c r="BX10">
        <v>2.56</v>
      </c>
      <c r="BY10">
        <v>-35.340000000000003</v>
      </c>
      <c r="BZ10">
        <v>-18.690000000000001</v>
      </c>
      <c r="CA10">
        <v>-133.5</v>
      </c>
      <c r="CB10">
        <v>3.85</v>
      </c>
      <c r="CC10" s="9">
        <v>-18.8</v>
      </c>
      <c r="CD10" s="10" t="s">
        <v>203</v>
      </c>
      <c r="CE10" s="9" t="s">
        <v>791</v>
      </c>
      <c r="CF10" s="9">
        <v>-0.56922567537691493</v>
      </c>
      <c r="CG10" s="9">
        <v>1.1041592267219008E-2</v>
      </c>
      <c r="CH10" s="9">
        <v>-7.8431375324726105E-2</v>
      </c>
      <c r="CI10" s="9">
        <v>0.83453238010406494</v>
      </c>
      <c r="CJ10" s="10">
        <v>-0.5173611044883728</v>
      </c>
      <c r="CK10" s="10">
        <v>-0.63171356916427612</v>
      </c>
      <c r="CL10" s="10">
        <v>-1.6352200880646706E-2</v>
      </c>
      <c r="CM10" s="10">
        <v>-0.5713956356048584</v>
      </c>
      <c r="CN10" s="10">
        <v>0.74425756931304932</v>
      </c>
      <c r="CO10">
        <v>-0.20779220759868622</v>
      </c>
      <c r="CP10">
        <v>0.24137930572032928</v>
      </c>
      <c r="CQ10">
        <v>0.41999998688697815</v>
      </c>
      <c r="CR10" s="9">
        <v>-4.7608989867592015</v>
      </c>
      <c r="CS10" s="10">
        <v>-0.58155363960027107</v>
      </c>
      <c r="CT10">
        <v>0</v>
      </c>
      <c r="CU10">
        <v>-8.1865173950791362E-2</v>
      </c>
      <c r="CV10">
        <v>0.12528980374336243</v>
      </c>
      <c r="CW10">
        <v>0.06</v>
      </c>
      <c r="CX10" t="e">
        <v>#VALUE!</v>
      </c>
      <c r="CY10" t="s">
        <v>239</v>
      </c>
      <c r="CZ10">
        <v>-8.1865173950791362E-2</v>
      </c>
      <c r="DA10" t="e">
        <v>#VALUE!</v>
      </c>
      <c r="DB10" t="s">
        <v>237</v>
      </c>
      <c r="DC10">
        <v>-7.7771915253251792E-2</v>
      </c>
      <c r="DD10" t="e">
        <v>#VALUE!</v>
      </c>
      <c r="DE10" t="s">
        <v>237</v>
      </c>
      <c r="DF10">
        <v>-7.2041353076696402E-2</v>
      </c>
      <c r="DG10" t="e">
        <v>#VALUE!</v>
      </c>
      <c r="DH10" t="s">
        <v>237</v>
      </c>
      <c r="DI10">
        <v>-6.5492139160633095E-2</v>
      </c>
      <c r="DJ10" t="e">
        <v>#VALUE!</v>
      </c>
      <c r="DK10" t="s">
        <v>237</v>
      </c>
      <c r="DL10">
        <v>-5.7305621765553948E-2</v>
      </c>
      <c r="DM10">
        <v>-74748300</v>
      </c>
      <c r="DN10">
        <v>-8.1865173950791362E-2</v>
      </c>
      <c r="DO10">
        <v>1212280570</v>
      </c>
      <c r="DP10">
        <v>-135893580</v>
      </c>
      <c r="DQ10" s="11">
        <v>570</v>
      </c>
      <c r="DR10">
        <v>-0.48736050142612358</v>
      </c>
      <c r="DS10">
        <v>-0.11424821147614342</v>
      </c>
      <c r="DT10">
        <v>-0.50666666666666671</v>
      </c>
      <c r="DU10">
        <v>-2.3249999999999997</v>
      </c>
      <c r="DV10">
        <v>-2.8316666666666666</v>
      </c>
      <c r="DW10">
        <v>6.1699779249448126</v>
      </c>
      <c r="DX10">
        <v>0.63858895705521257</v>
      </c>
      <c r="DY10">
        <v>6.035455518086648</v>
      </c>
      <c r="DZ10">
        <v>4850</v>
      </c>
      <c r="EA10">
        <v>6.0018039989633127</v>
      </c>
      <c r="EB10" s="12">
        <v>6</v>
      </c>
      <c r="EC10" s="12">
        <v>0.13673661106272378</v>
      </c>
      <c r="ED10">
        <v>0.65553140009482269</v>
      </c>
      <c r="EE10">
        <v>-7.0336999999999996</v>
      </c>
      <c r="EF10">
        <v>-7.0542999999999996</v>
      </c>
      <c r="EG10">
        <v>43.208588957055213</v>
      </c>
      <c r="EH10" s="8" t="s">
        <v>792</v>
      </c>
      <c r="EI10">
        <v>0</v>
      </c>
      <c r="EJ10">
        <v>0</v>
      </c>
      <c r="EK10">
        <v>45470</v>
      </c>
      <c r="EL10">
        <v>-4.95</v>
      </c>
      <c r="EM10">
        <v>-4.17</v>
      </c>
      <c r="EN10" s="13">
        <v>0</v>
      </c>
      <c r="EO10" s="13">
        <v>5.43</v>
      </c>
      <c r="EP10" s="13">
        <v>2.06</v>
      </c>
    </row>
    <row r="11" spans="1:146" ht="96" x14ac:dyDescent="0.25">
      <c r="A11" s="14"/>
      <c r="B11" s="14"/>
      <c r="C11" s="14" t="str">
        <f>""&amp;CHAR(10)&amp;Basic_Fundamental_Information_Constructure(F11)&amp;CHAR(10)&amp;Basic_Fundamental_Information_Concatenate("")</f>
        <v xml:space="preserve">
市值22.06425亿, 利润-6662.61万; PE; 平均PE-566.14; 平均PEG-10.72, PB3.64; ROIC4.76%; ROE1.0733%; 股利率0%; 毛利8.7433%; 净利-1.4033%; 上一年度营收增-12.53%, 利润增-516.96%; 当季营收增202.83%, 利润增-442.68%; 过往5年营收增52.83%, 利润增10.97%
Income profile:
</v>
      </c>
      <c r="D11" t="s">
        <v>245</v>
      </c>
      <c r="E11" t="s">
        <v>246</v>
      </c>
      <c r="F11">
        <v>9.3000000000000007</v>
      </c>
      <c r="G11">
        <v>0.11</v>
      </c>
      <c r="H11" t="s">
        <v>766</v>
      </c>
      <c r="I11">
        <v>2206425000</v>
      </c>
      <c r="K11">
        <v>3.64</v>
      </c>
      <c r="L11" t="s">
        <v>12</v>
      </c>
      <c r="M11" t="s">
        <v>533</v>
      </c>
      <c r="N11" t="s">
        <v>793</v>
      </c>
      <c r="O11" t="s">
        <v>794</v>
      </c>
      <c r="P11">
        <v>201.95</v>
      </c>
      <c r="Q11" t="s">
        <v>795</v>
      </c>
      <c r="R11">
        <v>-2788422</v>
      </c>
      <c r="S11" s="5">
        <v>-4.4269999999999996</v>
      </c>
      <c r="T11" t="s">
        <v>796</v>
      </c>
      <c r="U11">
        <v>236000000</v>
      </c>
      <c r="V11">
        <v>237250000</v>
      </c>
      <c r="W11">
        <v>1.18</v>
      </c>
      <c r="X11">
        <v>0.44</v>
      </c>
      <c r="Y11">
        <v>-0.94</v>
      </c>
      <c r="Z11" t="s">
        <v>347</v>
      </c>
      <c r="AA11" t="s">
        <v>797</v>
      </c>
      <c r="AB11" t="s">
        <v>798</v>
      </c>
      <c r="AC11" t="s">
        <v>799</v>
      </c>
      <c r="AD11" t="s">
        <v>17</v>
      </c>
      <c r="AE11">
        <v>-475564</v>
      </c>
      <c r="AF11" t="s">
        <v>31</v>
      </c>
      <c r="AG11" t="s">
        <v>800</v>
      </c>
      <c r="AH11" t="s">
        <v>801</v>
      </c>
      <c r="AI11" t="s">
        <v>537</v>
      </c>
      <c r="AJ11" t="s">
        <v>802</v>
      </c>
      <c r="AK11" t="s">
        <v>803</v>
      </c>
      <c r="AL11" t="s">
        <v>804</v>
      </c>
      <c r="AM11" t="s">
        <v>17</v>
      </c>
      <c r="AN11" t="s">
        <v>805</v>
      </c>
      <c r="AO11" t="s">
        <v>534</v>
      </c>
      <c r="AP11" t="s">
        <v>806</v>
      </c>
      <c r="AQ11" t="s">
        <v>807</v>
      </c>
      <c r="AR11" t="s">
        <v>17</v>
      </c>
      <c r="AS11" t="s">
        <v>808</v>
      </c>
      <c r="AT11" t="s">
        <v>809</v>
      </c>
      <c r="AU11" t="s">
        <v>810</v>
      </c>
      <c r="AV11" t="s">
        <v>811</v>
      </c>
      <c r="AW11" t="s">
        <v>812</v>
      </c>
      <c r="AX11" t="s">
        <v>363</v>
      </c>
      <c r="AY11" t="s">
        <v>247</v>
      </c>
      <c r="AZ11" t="s">
        <v>249</v>
      </c>
      <c r="BA11" t="s">
        <v>29</v>
      </c>
      <c r="BB11" t="s">
        <v>250</v>
      </c>
      <c r="BC11" t="s">
        <v>364</v>
      </c>
      <c r="BD11" t="s">
        <v>248</v>
      </c>
      <c r="BE11" t="s">
        <v>252</v>
      </c>
      <c r="BF11" t="s">
        <v>253</v>
      </c>
      <c r="BG11" t="s">
        <v>254</v>
      </c>
      <c r="BH11" t="s">
        <v>795</v>
      </c>
      <c r="BI11" t="s">
        <v>398</v>
      </c>
      <c r="BJ11" t="s">
        <v>363</v>
      </c>
      <c r="BK11" t="s">
        <v>796</v>
      </c>
      <c r="BL11" t="s">
        <v>813</v>
      </c>
      <c r="BM11" t="s">
        <v>364</v>
      </c>
      <c r="BN11" t="s">
        <v>17</v>
      </c>
      <c r="BO11">
        <v>4.76</v>
      </c>
      <c r="BP11">
        <v>4.76</v>
      </c>
      <c r="BQ11">
        <v>-5.3</v>
      </c>
      <c r="BR11">
        <v>4.4800000000000004</v>
      </c>
      <c r="BS11">
        <v>4.04</v>
      </c>
      <c r="BT11" t="s">
        <v>344</v>
      </c>
      <c r="BU11" t="s">
        <v>12</v>
      </c>
      <c r="BV11">
        <v>5.32</v>
      </c>
      <c r="BW11">
        <v>10.85</v>
      </c>
      <c r="BX11">
        <v>10.06</v>
      </c>
      <c r="BY11">
        <v>-9.1199999999999992</v>
      </c>
      <c r="BZ11">
        <v>2.75</v>
      </c>
      <c r="CA11">
        <v>2.16</v>
      </c>
      <c r="CB11">
        <v>-4.62</v>
      </c>
      <c r="CC11">
        <v>-11.85</v>
      </c>
      <c r="CD11" t="s">
        <v>814</v>
      </c>
      <c r="CE11" t="s">
        <v>815</v>
      </c>
      <c r="CF11" s="9">
        <v>2.0283018867924527</v>
      </c>
      <c r="CG11" s="10">
        <v>-4.4268428167629343</v>
      </c>
      <c r="CH11" s="9">
        <v>-0.12529833614826202</v>
      </c>
      <c r="CI11" s="9">
        <v>-2.2170361131429672E-2</v>
      </c>
      <c r="CJ11" s="9">
        <v>1.2087628841400146</v>
      </c>
      <c r="CK11" s="9">
        <v>1.063829779624939</v>
      </c>
      <c r="CL11" s="9">
        <v>0.5161290168762207</v>
      </c>
      <c r="CM11" s="10">
        <v>-5.1695513725280762</v>
      </c>
      <c r="CN11" s="10">
        <v>3.2308079302310944E-2</v>
      </c>
      <c r="CO11" s="10">
        <v>0.72110480070114136</v>
      </c>
      <c r="CP11" s="10">
        <v>4.6193065643310547</v>
      </c>
      <c r="CQ11" s="10">
        <v>0.34541022777557373</v>
      </c>
      <c r="CR11">
        <v>-566.13710229216554</v>
      </c>
      <c r="CS11">
        <v>-10.71720705775884</v>
      </c>
      <c r="CT11">
        <v>0</v>
      </c>
      <c r="CU11" s="9">
        <v>0.52825059667229657</v>
      </c>
      <c r="CV11" s="10">
        <v>0.10971565991640091</v>
      </c>
      <c r="CW11">
        <v>0.06</v>
      </c>
      <c r="CX11" t="e">
        <v>#VALUE!</v>
      </c>
      <c r="CY11" t="s">
        <v>239</v>
      </c>
      <c r="CZ11">
        <v>0.52825059667229657</v>
      </c>
      <c r="DA11" t="e">
        <v>#VALUE!</v>
      </c>
      <c r="DB11" t="s">
        <v>237</v>
      </c>
      <c r="DC11">
        <v>0.50183806683868171</v>
      </c>
      <c r="DD11" t="e">
        <v>#VALUE!</v>
      </c>
      <c r="DE11" t="s">
        <v>237</v>
      </c>
      <c r="DF11">
        <v>0.46486052507162096</v>
      </c>
      <c r="DG11" t="e">
        <v>#VALUE!</v>
      </c>
      <c r="DH11" t="s">
        <v>237</v>
      </c>
      <c r="DI11">
        <v>0.42260047733783729</v>
      </c>
      <c r="DJ11" t="e">
        <v>#VALUE!</v>
      </c>
      <c r="DK11" t="s">
        <v>237</v>
      </c>
      <c r="DL11">
        <v>0.36977541767060756</v>
      </c>
      <c r="DM11">
        <v>-66626100</v>
      </c>
      <c r="DN11">
        <v>0.52825059667229657</v>
      </c>
      <c r="DO11">
        <v>1711425000</v>
      </c>
      <c r="DP11">
        <v>355146750</v>
      </c>
      <c r="DQ11">
        <v>723</v>
      </c>
      <c r="DR11">
        <v>1.5000512901201561</v>
      </c>
      <c r="DS11">
        <v>-4.5365584766793354</v>
      </c>
      <c r="DT11" s="11">
        <v>0.16</v>
      </c>
      <c r="DU11">
        <v>-0.87999999999999989</v>
      </c>
      <c r="DV11">
        <v>-0.71999999999999986</v>
      </c>
      <c r="DW11">
        <v>-8.3898734177215193</v>
      </c>
      <c r="DX11">
        <v>0.2924979057591619</v>
      </c>
      <c r="DY11">
        <v>-8.0321637404731927</v>
      </c>
      <c r="DZ11">
        <v>3229</v>
      </c>
      <c r="EA11">
        <v>-8.0118395295166493</v>
      </c>
      <c r="EB11">
        <v>8</v>
      </c>
      <c r="EC11">
        <v>6.6415595363540567E-2</v>
      </c>
      <c r="ED11">
        <v>0.8050579557428873</v>
      </c>
      <c r="EE11" s="12">
        <v>3.0158100000000001</v>
      </c>
      <c r="EF11">
        <v>3.0341100000000001</v>
      </c>
      <c r="EG11">
        <v>21.082497905759162</v>
      </c>
      <c r="EH11" t="s">
        <v>540</v>
      </c>
      <c r="EI11">
        <v>0</v>
      </c>
      <c r="EJ11">
        <v>0</v>
      </c>
      <c r="EK11" s="8">
        <v>45470</v>
      </c>
      <c r="EL11" s="13">
        <v>-1.44</v>
      </c>
      <c r="EM11" s="13">
        <v>-6.15</v>
      </c>
      <c r="EN11" s="13">
        <v>-3.12</v>
      </c>
      <c r="EO11" s="13">
        <v>5.48</v>
      </c>
      <c r="EP11" s="13">
        <v>-1.83</v>
      </c>
    </row>
    <row r="12" spans="1:146" ht="108" x14ac:dyDescent="0.25">
      <c r="A12" s="14"/>
      <c r="B12" s="14"/>
      <c r="C12" s="14" t="str">
        <f>""&amp;CHAR(10)&amp;Basic_Fundamental_Information_Constructure(F12)&amp;CHAR(10)&amp;Basic_Fundamental_Information_Concatenate("")</f>
        <v xml:space="preserve">
市值27.379872亿, 利润917.15万; PE983.9; 平均PE2836.56; 平均PEG47.24, PB3.34; ROIC1.74%; ROE1.8133%; 股利率0%; 毛利33.3133%; 净利22.5767%; 上一年度营收增-26.69%, 利润增-18.82%; 当季营收增194.69%, 利润增-189.8%; 过往5年营收增60.05%, 利润增-198.73%
Income profile:
</v>
      </c>
      <c r="D12" t="s">
        <v>35</v>
      </c>
      <c r="E12" t="s">
        <v>255</v>
      </c>
      <c r="F12">
        <v>4.26</v>
      </c>
      <c r="G12">
        <v>1.19</v>
      </c>
      <c r="H12" t="s">
        <v>816</v>
      </c>
      <c r="I12">
        <v>2737987200</v>
      </c>
      <c r="J12">
        <v>983.9</v>
      </c>
      <c r="K12">
        <v>3.34</v>
      </c>
      <c r="L12" t="s">
        <v>12</v>
      </c>
      <c r="M12" t="s">
        <v>817</v>
      </c>
      <c r="N12" t="s">
        <v>507</v>
      </c>
      <c r="O12" t="s">
        <v>818</v>
      </c>
      <c r="P12">
        <v>194.69</v>
      </c>
      <c r="Q12" t="s">
        <v>819</v>
      </c>
      <c r="R12">
        <v>-3022776</v>
      </c>
      <c r="S12" s="5">
        <v>-1.8979999999999999</v>
      </c>
      <c r="T12" t="s">
        <v>820</v>
      </c>
      <c r="U12">
        <v>588720000</v>
      </c>
      <c r="V12">
        <v>642720000</v>
      </c>
      <c r="W12">
        <v>1.1100000000000001</v>
      </c>
      <c r="X12">
        <v>0.03</v>
      </c>
      <c r="Y12">
        <v>-15.05</v>
      </c>
      <c r="Z12" t="s">
        <v>821</v>
      </c>
      <c r="AA12" t="s">
        <v>822</v>
      </c>
      <c r="AB12" t="s">
        <v>823</v>
      </c>
      <c r="AC12" t="s">
        <v>824</v>
      </c>
      <c r="AD12" t="s">
        <v>17</v>
      </c>
      <c r="AE12">
        <v>-67147</v>
      </c>
      <c r="AF12" t="s">
        <v>825</v>
      </c>
      <c r="AG12">
        <v>5043.6400000000003</v>
      </c>
      <c r="AH12" t="s">
        <v>826</v>
      </c>
      <c r="AI12" t="s">
        <v>561</v>
      </c>
      <c r="AJ12" t="s">
        <v>827</v>
      </c>
      <c r="AK12" t="s">
        <v>17</v>
      </c>
      <c r="AL12" t="s">
        <v>828</v>
      </c>
      <c r="AM12" t="s">
        <v>17</v>
      </c>
      <c r="AN12">
        <v>0</v>
      </c>
      <c r="AO12" t="s">
        <v>17</v>
      </c>
      <c r="AP12" t="s">
        <v>17</v>
      </c>
      <c r="AQ12" t="s">
        <v>829</v>
      </c>
      <c r="AR12" t="s">
        <v>830</v>
      </c>
      <c r="AS12" t="s">
        <v>831</v>
      </c>
      <c r="AT12" t="s">
        <v>17</v>
      </c>
      <c r="AU12" t="s">
        <v>832</v>
      </c>
      <c r="AV12" t="s">
        <v>833</v>
      </c>
      <c r="AW12" t="s">
        <v>834</v>
      </c>
      <c r="AX12" t="s">
        <v>365</v>
      </c>
      <c r="AY12" t="s">
        <v>205</v>
      </c>
      <c r="AZ12" t="s">
        <v>72</v>
      </c>
      <c r="BA12" t="s">
        <v>74</v>
      </c>
      <c r="BB12" t="s">
        <v>75</v>
      </c>
      <c r="BC12" t="s">
        <v>366</v>
      </c>
      <c r="BD12" t="s">
        <v>206</v>
      </c>
      <c r="BE12" t="s">
        <v>73</v>
      </c>
      <c r="BF12" t="s">
        <v>76</v>
      </c>
      <c r="BG12" t="s">
        <v>77</v>
      </c>
      <c r="BH12" t="s">
        <v>819</v>
      </c>
      <c r="BI12" t="s">
        <v>835</v>
      </c>
      <c r="BJ12" t="s">
        <v>365</v>
      </c>
      <c r="BK12" t="s">
        <v>820</v>
      </c>
      <c r="BL12" t="s">
        <v>836</v>
      </c>
      <c r="BM12" t="s">
        <v>366</v>
      </c>
      <c r="BN12">
        <v>1.63</v>
      </c>
      <c r="BO12">
        <v>1.51</v>
      </c>
      <c r="BP12">
        <v>2.08</v>
      </c>
      <c r="BQ12">
        <v>1.59</v>
      </c>
      <c r="BR12">
        <v>1.43</v>
      </c>
      <c r="BS12">
        <v>2.42</v>
      </c>
      <c r="BT12" t="s">
        <v>344</v>
      </c>
      <c r="BU12" t="s">
        <v>12</v>
      </c>
      <c r="BV12">
        <v>33.090000000000003</v>
      </c>
      <c r="BW12">
        <v>18.77</v>
      </c>
      <c r="BX12">
        <v>48.08</v>
      </c>
      <c r="BY12">
        <v>15.35</v>
      </c>
      <c r="BZ12">
        <v>13.76</v>
      </c>
      <c r="CA12">
        <v>38.619999999999997</v>
      </c>
      <c r="CB12">
        <v>-3.18</v>
      </c>
      <c r="CC12">
        <v>-23.79</v>
      </c>
      <c r="CD12" t="s">
        <v>837</v>
      </c>
      <c r="CE12" t="s">
        <v>256</v>
      </c>
      <c r="CF12" s="9">
        <v>1.9468587975415184</v>
      </c>
      <c r="CG12" s="10">
        <v>-1.8980320855614974</v>
      </c>
      <c r="CH12" s="9">
        <v>-0.2669130265712738</v>
      </c>
      <c r="CI12" s="9">
        <v>0.65859240293502808</v>
      </c>
      <c r="CJ12" s="9">
        <v>-0.43759468197822571</v>
      </c>
      <c r="CK12" s="9">
        <v>2.7848606109619141</v>
      </c>
      <c r="CL12" s="9">
        <v>0.2635149359703064</v>
      </c>
      <c r="CM12" s="10">
        <v>-0.18817603588104248</v>
      </c>
      <c r="CN12" s="10">
        <v>-0.42595678567886353</v>
      </c>
      <c r="CO12" s="10">
        <v>-0.19570396840572357</v>
      </c>
      <c r="CP12" s="10">
        <v>1.3721609115600586</v>
      </c>
      <c r="CQ12" s="10">
        <v>-10.498785972595215</v>
      </c>
      <c r="CR12">
        <v>2836.5575757575762</v>
      </c>
      <c r="CS12">
        <v>47.237221274787636</v>
      </c>
      <c r="CT12">
        <v>0</v>
      </c>
      <c r="CU12" s="9">
        <v>0.60049204826354985</v>
      </c>
      <c r="CV12" s="10">
        <v>-1.9872923702001573</v>
      </c>
      <c r="CW12">
        <v>0.06</v>
      </c>
      <c r="CX12">
        <v>145.05834117392325</v>
      </c>
      <c r="CY12">
        <v>13848030.962876555</v>
      </c>
      <c r="CZ12">
        <v>0.60049204826354985</v>
      </c>
      <c r="DA12">
        <v>31.610699821272373</v>
      </c>
      <c r="DB12">
        <v>63547229.620275587</v>
      </c>
      <c r="DC12">
        <v>0.57046744585037235</v>
      </c>
      <c r="DD12">
        <v>8.4037994749324181</v>
      </c>
      <c r="DE12">
        <v>239031453.09356087</v>
      </c>
      <c r="DF12">
        <v>0.52843300247192382</v>
      </c>
      <c r="DG12">
        <v>2.2841203363049769</v>
      </c>
      <c r="DH12">
        <v>879451212.82427371</v>
      </c>
      <c r="DI12">
        <v>0.48039363861083989</v>
      </c>
      <c r="DJ12">
        <v>0.16006913509457046</v>
      </c>
      <c r="DK12">
        <v>12549404973.127373</v>
      </c>
      <c r="DL12">
        <v>0.42034443378448488</v>
      </c>
      <c r="DM12">
        <v>9171500</v>
      </c>
      <c r="DN12">
        <v>0.60049204826354985</v>
      </c>
      <c r="DO12">
        <v>2008772400</v>
      </c>
      <c r="DP12">
        <v>337974540</v>
      </c>
      <c r="DQ12">
        <v>1068</v>
      </c>
      <c r="DR12">
        <v>1.3463667492779685</v>
      </c>
      <c r="DS12">
        <v>8.926028463865987E-2</v>
      </c>
      <c r="DT12" s="11">
        <v>0.10999999999999988</v>
      </c>
      <c r="DU12">
        <v>-1.7316666666666667</v>
      </c>
      <c r="DV12">
        <v>-1.6216666666666668</v>
      </c>
      <c r="DW12">
        <v>-8.1336696090794458</v>
      </c>
      <c r="DX12">
        <v>0.39638531073446415</v>
      </c>
      <c r="DY12">
        <v>-8.0209039633516426</v>
      </c>
      <c r="DZ12">
        <v>4109</v>
      </c>
      <c r="EA12">
        <v>-8.0040948859716234</v>
      </c>
      <c r="EB12">
        <v>8</v>
      </c>
      <c r="EC12">
        <v>4.3067276574558125E-2</v>
      </c>
      <c r="ED12">
        <v>0.27539208364451084</v>
      </c>
      <c r="EE12" s="12">
        <v>-1.0300100000000001</v>
      </c>
      <c r="EF12">
        <v>-1.07551</v>
      </c>
      <c r="EG12">
        <v>24.156385310734464</v>
      </c>
      <c r="EH12" t="s">
        <v>238</v>
      </c>
      <c r="EI12">
        <v>0</v>
      </c>
      <c r="EJ12">
        <v>0</v>
      </c>
      <c r="EK12" s="8">
        <v>45470</v>
      </c>
      <c r="EL12" s="13">
        <v>-1.04</v>
      </c>
      <c r="EM12" s="13">
        <v>-2.72</v>
      </c>
      <c r="EN12" s="13">
        <v>0.22</v>
      </c>
      <c r="EO12" s="13">
        <v>3.86</v>
      </c>
      <c r="EP12" s="13">
        <v>-4.55</v>
      </c>
    </row>
    <row r="13" spans="1:146" ht="96" x14ac:dyDescent="0.25">
      <c r="C13" s="14" t="str">
        <f>""&amp;CHAR(10)&amp;Basic_Fundamental_Information_Constructure(F13)&amp;CHAR(10)&amp;Basic_Fundamental_Information_Concatenate("")</f>
        <v xml:space="preserve">
市值41.932443亿, 利润3.81亿; PE12.09; 平均PE11.66; 平均PEG.08, PB.912; ROIC13.1567%; ROE13.86%; 股利率3.7313%; 毛利7.75%; 净利2.9833%; 上一年度营收增-2.09%, 利润增-37.54%; 当季营收增-3.34%, 利润增-37.31%; 过往5年营收增141.61%, 利润增96.86%
Income profile:
</v>
      </c>
      <c r="D13" s="5" t="s">
        <v>426</v>
      </c>
      <c r="E13" t="s">
        <v>427</v>
      </c>
      <c r="F13">
        <v>8.0399999999999991</v>
      </c>
      <c r="G13">
        <v>1.52</v>
      </c>
      <c r="H13" t="s">
        <v>838</v>
      </c>
      <c r="I13">
        <v>4193244300</v>
      </c>
      <c r="J13">
        <v>12.09</v>
      </c>
      <c r="K13">
        <v>0.91200000000000003</v>
      </c>
      <c r="L13" t="s">
        <v>12</v>
      </c>
      <c r="M13" t="s">
        <v>839</v>
      </c>
      <c r="N13" t="s">
        <v>840</v>
      </c>
      <c r="O13" t="s">
        <v>841</v>
      </c>
      <c r="P13" s="5">
        <v>-3.34</v>
      </c>
      <c r="Q13" t="s">
        <v>842</v>
      </c>
      <c r="R13">
        <v>57119269</v>
      </c>
      <c r="S13">
        <v>-0.37309999999999999</v>
      </c>
      <c r="T13" t="s">
        <v>843</v>
      </c>
      <c r="U13">
        <v>518233850</v>
      </c>
      <c r="V13">
        <v>521547800</v>
      </c>
      <c r="W13">
        <v>2.73</v>
      </c>
      <c r="X13">
        <v>0.49</v>
      </c>
      <c r="Y13">
        <v>1.04</v>
      </c>
      <c r="Z13" t="s">
        <v>844</v>
      </c>
      <c r="AA13" t="s">
        <v>845</v>
      </c>
      <c r="AB13" t="s">
        <v>846</v>
      </c>
      <c r="AC13" t="s">
        <v>847</v>
      </c>
      <c r="AD13" t="s">
        <v>17</v>
      </c>
      <c r="AE13">
        <v>10310819</v>
      </c>
      <c r="AF13" t="s">
        <v>848</v>
      </c>
      <c r="AG13" t="s">
        <v>849</v>
      </c>
      <c r="AH13" t="s">
        <v>850</v>
      </c>
      <c r="AI13" t="s">
        <v>851</v>
      </c>
      <c r="AJ13" t="s">
        <v>852</v>
      </c>
      <c r="AK13" t="s">
        <v>17</v>
      </c>
      <c r="AL13" t="s">
        <v>853</v>
      </c>
      <c r="AM13" t="s">
        <v>17</v>
      </c>
      <c r="AN13" t="s">
        <v>361</v>
      </c>
      <c r="AO13" t="s">
        <v>854</v>
      </c>
      <c r="AP13" t="s">
        <v>855</v>
      </c>
      <c r="AQ13" t="s">
        <v>856</v>
      </c>
      <c r="AR13" t="s">
        <v>17</v>
      </c>
      <c r="AS13" t="s">
        <v>857</v>
      </c>
      <c r="AT13" t="s">
        <v>424</v>
      </c>
      <c r="AU13" t="s">
        <v>858</v>
      </c>
      <c r="AV13" t="s">
        <v>859</v>
      </c>
      <c r="AW13" t="s">
        <v>860</v>
      </c>
      <c r="AX13" t="s">
        <v>428</v>
      </c>
      <c r="AY13" t="s">
        <v>431</v>
      </c>
      <c r="AZ13" t="s">
        <v>432</v>
      </c>
      <c r="BA13" t="s">
        <v>433</v>
      </c>
      <c r="BB13" t="s">
        <v>434</v>
      </c>
      <c r="BC13" t="s">
        <v>429</v>
      </c>
      <c r="BD13" t="s">
        <v>435</v>
      </c>
      <c r="BE13" t="s">
        <v>436</v>
      </c>
      <c r="BF13" t="s">
        <v>250</v>
      </c>
      <c r="BG13" t="s">
        <v>437</v>
      </c>
      <c r="BH13" t="s">
        <v>842</v>
      </c>
      <c r="BI13" t="s">
        <v>861</v>
      </c>
      <c r="BJ13" t="s">
        <v>428</v>
      </c>
      <c r="BK13" t="s">
        <v>843</v>
      </c>
      <c r="BL13" t="s">
        <v>862</v>
      </c>
      <c r="BM13" t="s">
        <v>429</v>
      </c>
      <c r="BN13">
        <v>5.0199999999999996</v>
      </c>
      <c r="BO13">
        <v>14.88</v>
      </c>
      <c r="BP13">
        <v>19.57</v>
      </c>
      <c r="BQ13">
        <v>5.64</v>
      </c>
      <c r="BR13">
        <v>15.82</v>
      </c>
      <c r="BS13">
        <v>20.12</v>
      </c>
      <c r="BT13" t="s">
        <v>439</v>
      </c>
      <c r="BU13" t="s">
        <v>12</v>
      </c>
      <c r="BV13">
        <v>6.15</v>
      </c>
      <c r="BW13">
        <v>7.84</v>
      </c>
      <c r="BX13">
        <v>9.26</v>
      </c>
      <c r="BY13">
        <v>1.98</v>
      </c>
      <c r="BZ13">
        <v>3.05</v>
      </c>
      <c r="CA13">
        <v>3.92</v>
      </c>
      <c r="CB13">
        <v>2.81</v>
      </c>
      <c r="CC13" s="9">
        <v>-10.67</v>
      </c>
      <c r="CD13" s="10" t="s">
        <v>863</v>
      </c>
      <c r="CE13" s="9" t="s">
        <v>864</v>
      </c>
      <c r="CF13" s="9">
        <v>-3.3395357947311723E-2</v>
      </c>
      <c r="CG13" s="9">
        <v>-0.37306597928413143</v>
      </c>
      <c r="CH13" s="9">
        <v>-2.0854795351624489E-2</v>
      </c>
      <c r="CI13" s="9">
        <v>0.18969447910785675</v>
      </c>
      <c r="CJ13" s="10">
        <v>0.22259709239006042</v>
      </c>
      <c r="CK13" s="10">
        <v>3.3228573799133301</v>
      </c>
      <c r="CL13" s="10">
        <v>3.3663821220397949</v>
      </c>
      <c r="CM13" s="10">
        <v>-0.37540984153747559</v>
      </c>
      <c r="CN13" s="10">
        <v>-7.1537293493747711E-2</v>
      </c>
      <c r="CO13">
        <v>0.87179487943649292</v>
      </c>
      <c r="CP13">
        <v>1.8306452035903931</v>
      </c>
      <c r="CQ13">
        <v>2.5876204967498779</v>
      </c>
      <c r="CR13" s="9">
        <v>11.661055691853862</v>
      </c>
      <c r="CS13" s="10">
        <v>8.2344222739864484E-2</v>
      </c>
      <c r="CT13">
        <v>3.7313432835820901</v>
      </c>
      <c r="CU13">
        <v>1.4161352556198836</v>
      </c>
      <c r="CV13">
        <v>0.96862268894910808</v>
      </c>
      <c r="CW13">
        <v>0.06</v>
      </c>
      <c r="CX13">
        <v>11.253779509994706</v>
      </c>
      <c r="CY13">
        <v>868441068.29356194</v>
      </c>
      <c r="CZ13">
        <v>1.4161352556198836</v>
      </c>
      <c r="DA13">
        <v>1.4298784449427668</v>
      </c>
      <c r="DB13">
        <v>6835017574.0925932</v>
      </c>
      <c r="DC13">
        <v>1.3453284928388893</v>
      </c>
      <c r="DD13">
        <v>0.15128370068878999</v>
      </c>
      <c r="DE13">
        <v>64602096957.58844</v>
      </c>
      <c r="DF13">
        <v>1.2461990249454975</v>
      </c>
      <c r="DG13">
        <v>1.1869720844690622E-2</v>
      </c>
      <c r="DH13">
        <v>823376086757.0542</v>
      </c>
      <c r="DI13">
        <v>1.1329082044959069</v>
      </c>
      <c r="DJ13">
        <v>4.0038099771076707E-5</v>
      </c>
      <c r="DK13">
        <v>244098604975757</v>
      </c>
      <c r="DL13">
        <v>0.99129467893391843</v>
      </c>
      <c r="DM13">
        <v>381000000</v>
      </c>
      <c r="DN13">
        <v>1.4161352556198836</v>
      </c>
      <c r="DO13">
        <v>9773244300</v>
      </c>
      <c r="DP13">
        <v>3771806000</v>
      </c>
      <c r="DQ13" s="11">
        <v>1237</v>
      </c>
      <c r="DR13">
        <v>-1.4495306135671953</v>
      </c>
      <c r="DS13">
        <v>-1.3416886682332394</v>
      </c>
      <c r="DT13">
        <v>0.85283333333333344</v>
      </c>
      <c r="DU13">
        <v>0.85100000000000009</v>
      </c>
      <c r="DV13">
        <v>1.7038333333333335</v>
      </c>
      <c r="DW13">
        <v>6.2084569732937682</v>
      </c>
      <c r="DX13">
        <v>0.33294559194808249</v>
      </c>
      <c r="DY13">
        <v>6.0485591330396229</v>
      </c>
      <c r="DZ13">
        <v>28</v>
      </c>
      <c r="EA13">
        <v>6.0482930555983101</v>
      </c>
      <c r="EB13" s="12">
        <v>6</v>
      </c>
      <c r="EC13" s="12">
        <v>3.163142477065381E-2</v>
      </c>
      <c r="ED13">
        <v>0.13578889605133029</v>
      </c>
      <c r="EE13">
        <v>9.960999999999999E-2</v>
      </c>
      <c r="EF13">
        <v>0.11481</v>
      </c>
      <c r="EG13">
        <v>10.232945591948083</v>
      </c>
      <c r="EH13" s="8">
        <v>-1</v>
      </c>
      <c r="EI13">
        <v>0</v>
      </c>
      <c r="EJ13">
        <v>1</v>
      </c>
      <c r="EK13">
        <v>45470</v>
      </c>
      <c r="EL13">
        <v>-2.2200000000000002</v>
      </c>
      <c r="EM13">
        <v>-2.14</v>
      </c>
      <c r="EN13" s="13">
        <v>0.13</v>
      </c>
      <c r="EO13" s="13">
        <v>1.8</v>
      </c>
      <c r="EP13" s="13">
        <v>-1.52</v>
      </c>
    </row>
    <row r="14" spans="1:146" ht="96" x14ac:dyDescent="0.25">
      <c r="A14" s="14"/>
      <c r="B14" s="14"/>
      <c r="C14" s="14" t="str">
        <f>""&amp;CHAR(10)&amp;Basic_Fundamental_Information_Constructure(F14)&amp;CHAR(10)&amp;Basic_Fundamental_Information_Concatenate("")</f>
        <v xml:space="preserve">
市值10.8673875亿, 利润-11.60亿; PE; 平均PE-3.37; 平均PEG-.07, PB; ROIC-55.35%; ROE-10.51%; 股利率0%; 毛利32.59%; 净利-94.7367%; 上一年度营收增-44.83%, 利润增-653.25%; 当季营收增-79.43%, 利润增10.33%; 过往5年营收增50.56%, 利润增-178.68%
Income profile:
</v>
      </c>
      <c r="D14" t="s">
        <v>150</v>
      </c>
      <c r="E14" t="s">
        <v>865</v>
      </c>
      <c r="F14">
        <v>1.45</v>
      </c>
      <c r="G14">
        <v>3.57</v>
      </c>
      <c r="H14" t="s">
        <v>866</v>
      </c>
      <c r="I14">
        <v>1086738750</v>
      </c>
      <c r="L14" t="s">
        <v>12</v>
      </c>
      <c r="M14" t="s">
        <v>867</v>
      </c>
      <c r="N14" t="s">
        <v>868</v>
      </c>
      <c r="O14" t="s">
        <v>869</v>
      </c>
      <c r="P14">
        <v>-79.47</v>
      </c>
      <c r="Q14" t="s">
        <v>870</v>
      </c>
      <c r="R14">
        <v>-42680387</v>
      </c>
      <c r="S14" s="5">
        <v>0.1033</v>
      </c>
      <c r="T14" t="s">
        <v>871</v>
      </c>
      <c r="U14">
        <v>687391130</v>
      </c>
      <c r="V14">
        <v>749475000</v>
      </c>
      <c r="W14" t="s">
        <v>17</v>
      </c>
      <c r="X14">
        <v>0.01</v>
      </c>
      <c r="Y14">
        <v>-190.03</v>
      </c>
      <c r="Z14" t="s">
        <v>872</v>
      </c>
      <c r="AA14" t="s">
        <v>873</v>
      </c>
      <c r="AB14" t="s">
        <v>874</v>
      </c>
      <c r="AC14" t="s">
        <v>875</v>
      </c>
      <c r="AD14" t="s">
        <v>17</v>
      </c>
      <c r="AE14">
        <v>22201145</v>
      </c>
      <c r="AF14" t="s">
        <v>876</v>
      </c>
      <c r="AG14" t="s">
        <v>877</v>
      </c>
      <c r="AH14" t="s">
        <v>878</v>
      </c>
      <c r="AI14" t="s">
        <v>879</v>
      </c>
      <c r="AJ14" t="s">
        <v>880</v>
      </c>
      <c r="AK14" t="s">
        <v>17</v>
      </c>
      <c r="AL14" t="s">
        <v>881</v>
      </c>
      <c r="AM14" t="s">
        <v>17</v>
      </c>
      <c r="AN14" t="s">
        <v>882</v>
      </c>
      <c r="AO14" t="s">
        <v>883</v>
      </c>
      <c r="AP14" t="s">
        <v>349</v>
      </c>
      <c r="AQ14" t="s">
        <v>884</v>
      </c>
      <c r="AR14" t="s">
        <v>17</v>
      </c>
      <c r="AS14" t="s">
        <v>885</v>
      </c>
      <c r="AT14" t="s">
        <v>17</v>
      </c>
      <c r="AU14" t="s">
        <v>886</v>
      </c>
      <c r="AV14" t="s">
        <v>887</v>
      </c>
      <c r="AW14" t="s">
        <v>888</v>
      </c>
      <c r="AX14" t="s">
        <v>367</v>
      </c>
      <c r="AY14" t="s">
        <v>207</v>
      </c>
      <c r="AZ14" t="s">
        <v>91</v>
      </c>
      <c r="BA14" t="s">
        <v>152</v>
      </c>
      <c r="BB14" t="s">
        <v>153</v>
      </c>
      <c r="BC14" t="s">
        <v>786</v>
      </c>
      <c r="BD14" t="s">
        <v>488</v>
      </c>
      <c r="BE14" t="s">
        <v>151</v>
      </c>
      <c r="BF14" t="s">
        <v>154</v>
      </c>
      <c r="BG14" t="s">
        <v>29</v>
      </c>
      <c r="BH14" t="s">
        <v>870</v>
      </c>
      <c r="BI14" t="s">
        <v>423</v>
      </c>
      <c r="BJ14" t="s">
        <v>367</v>
      </c>
      <c r="BK14" t="s">
        <v>871</v>
      </c>
      <c r="BL14" t="s">
        <v>889</v>
      </c>
      <c r="BM14" t="s">
        <v>786</v>
      </c>
      <c r="BN14" t="s">
        <v>17</v>
      </c>
      <c r="BO14">
        <v>-55.35</v>
      </c>
      <c r="BP14" t="s">
        <v>17</v>
      </c>
      <c r="BQ14">
        <v>-7.96</v>
      </c>
      <c r="BR14">
        <v>-13.53</v>
      </c>
      <c r="BS14">
        <v>-10.039999999999999</v>
      </c>
      <c r="BT14" t="s">
        <v>344</v>
      </c>
      <c r="BU14" t="s">
        <v>12</v>
      </c>
      <c r="BV14">
        <v>43.07</v>
      </c>
      <c r="BW14">
        <v>38.409999999999997</v>
      </c>
      <c r="BX14">
        <v>16.29</v>
      </c>
      <c r="BY14">
        <v>-257.70999999999998</v>
      </c>
      <c r="BZ14">
        <v>-17.11</v>
      </c>
      <c r="CA14">
        <v>-9.39</v>
      </c>
      <c r="CB14">
        <v>17.89</v>
      </c>
      <c r="CC14">
        <v>-34.39</v>
      </c>
      <c r="CD14" t="s">
        <v>890</v>
      </c>
      <c r="CE14" t="s">
        <v>891</v>
      </c>
      <c r="CF14" s="9">
        <v>-0.79425315315315315</v>
      </c>
      <c r="CG14" s="10">
        <v>0.10328727952685597</v>
      </c>
      <c r="CH14" s="9">
        <v>-0.44831731915473938</v>
      </c>
      <c r="CI14" s="9">
        <v>-0.47540983557701111</v>
      </c>
      <c r="CJ14" s="9">
        <v>4.487889289855957</v>
      </c>
      <c r="CK14" s="9">
        <v>-0.61822986602783203</v>
      </c>
      <c r="CL14" s="9">
        <v>-0.41769230365753174</v>
      </c>
      <c r="CM14" s="10">
        <v>-6.5324673652648926</v>
      </c>
      <c r="CN14" s="10">
        <v>-0.10791366547346115</v>
      </c>
      <c r="CO14" s="10">
        <v>0.65931373834609985</v>
      </c>
      <c r="CP14" s="10">
        <v>-0.57528954744338989</v>
      </c>
      <c r="CQ14" s="10">
        <v>-2.3776595592498779</v>
      </c>
      <c r="CR14">
        <v>-3.374965062111801</v>
      </c>
      <c r="CS14">
        <v>-6.6745346728311589E-2</v>
      </c>
      <c r="CT14">
        <v>0</v>
      </c>
      <c r="CU14" s="9">
        <v>0.50564799308776853</v>
      </c>
      <c r="CV14" s="10">
        <v>-1.7868032798171043</v>
      </c>
      <c r="CW14">
        <v>0.06</v>
      </c>
      <c r="CX14" t="e">
        <v>#VALUE!</v>
      </c>
      <c r="CY14" t="s">
        <v>239</v>
      </c>
      <c r="CZ14">
        <v>0.50564799308776853</v>
      </c>
      <c r="DA14" t="e">
        <v>#VALUE!</v>
      </c>
      <c r="DB14" t="s">
        <v>237</v>
      </c>
      <c r="DC14">
        <v>0.48036559343338009</v>
      </c>
      <c r="DD14" t="e">
        <v>#VALUE!</v>
      </c>
      <c r="DE14" t="s">
        <v>237</v>
      </c>
      <c r="DF14">
        <v>0.44497023391723634</v>
      </c>
      <c r="DG14" t="e">
        <v>#VALUE!</v>
      </c>
      <c r="DH14" t="s">
        <v>237</v>
      </c>
      <c r="DI14">
        <v>0.40451839447021487</v>
      </c>
      <c r="DJ14" t="e">
        <v>#VALUE!</v>
      </c>
      <c r="DK14" t="s">
        <v>237</v>
      </c>
      <c r="DL14">
        <v>0.35395359516143793</v>
      </c>
      <c r="DM14">
        <v>-1160000000</v>
      </c>
      <c r="DN14">
        <v>0.50564799308776853</v>
      </c>
      <c r="DO14">
        <v>5046738750</v>
      </c>
      <c r="DP14">
        <v>-1404543700</v>
      </c>
      <c r="DQ14">
        <v>1694</v>
      </c>
      <c r="DR14">
        <v>-1.2999011462409218</v>
      </c>
      <c r="DS14">
        <v>1.8900905593439603</v>
      </c>
      <c r="DT14" s="11">
        <v>-0.72166666666666668</v>
      </c>
      <c r="DU14">
        <v>-3.3650000000000002</v>
      </c>
      <c r="DV14">
        <v>-4.0866666666666669</v>
      </c>
      <c r="DW14">
        <v>7.3421958684009185</v>
      </c>
      <c r="DX14">
        <v>0.43488290909091076</v>
      </c>
      <c r="DY14">
        <v>7.0666881263128607</v>
      </c>
      <c r="DZ14">
        <v>5074</v>
      </c>
      <c r="EA14">
        <v>7.0004698185023999</v>
      </c>
      <c r="EB14">
        <v>7</v>
      </c>
      <c r="EC14">
        <v>0.12013195903799326</v>
      </c>
      <c r="ED14">
        <v>0.61643150205143604</v>
      </c>
      <c r="EE14" s="12">
        <v>-8.1230100000000007</v>
      </c>
      <c r="EF14">
        <v>-9.0185099999999991</v>
      </c>
      <c r="EG14">
        <v>24.194882909090911</v>
      </c>
      <c r="EH14" t="s">
        <v>892</v>
      </c>
      <c r="EI14">
        <v>1</v>
      </c>
      <c r="EJ14">
        <v>0</v>
      </c>
      <c r="EK14" s="8">
        <v>45470</v>
      </c>
      <c r="EL14" s="13">
        <v>-4.6100000000000003</v>
      </c>
      <c r="EM14" s="13">
        <v>-5.52</v>
      </c>
      <c r="EN14" s="13">
        <v>-1.46</v>
      </c>
      <c r="EO14" s="13">
        <v>-2.2200000000000002</v>
      </c>
      <c r="EP14" s="13">
        <v>-4.55</v>
      </c>
    </row>
    <row r="15" spans="1:146" ht="96" x14ac:dyDescent="0.25">
      <c r="A15" s="14"/>
      <c r="B15" s="14"/>
      <c r="C15" s="14" t="str">
        <f>""&amp;CHAR(10)&amp;Basic_Fundamental_Information_Constructure(F15)&amp;CHAR(10)&amp;Basic_Fundamental_Information_Concatenate("")</f>
        <v xml:space="preserve">
市值16.134672亿, 利润1.13亿; PE15.79; 平均PE12.27; 平均PEG.59, PB.484; ROIC5.4533%; ROE4.8567%; 股利率2.3121%; 毛利14.89%; 净利7.3233%; 上一年度营收增-84.64%, 利润增-24.67%; 当季营收增233.41%, 利润增153.77%; 过往5年营收增-20.64%, 利润增-24.67%
Income profile:
</v>
      </c>
      <c r="D15" t="s">
        <v>155</v>
      </c>
      <c r="E15" t="s">
        <v>156</v>
      </c>
      <c r="F15">
        <v>5.19</v>
      </c>
      <c r="G15">
        <v>1.17</v>
      </c>
      <c r="H15" t="s">
        <v>893</v>
      </c>
      <c r="I15">
        <v>1613467200</v>
      </c>
      <c r="J15">
        <v>15.79</v>
      </c>
      <c r="K15">
        <v>0.48399999999999999</v>
      </c>
      <c r="L15" t="s">
        <v>12</v>
      </c>
      <c r="M15" t="s">
        <v>894</v>
      </c>
      <c r="N15" t="s">
        <v>895</v>
      </c>
      <c r="O15" t="s">
        <v>30</v>
      </c>
      <c r="P15">
        <v>-73.36</v>
      </c>
      <c r="Q15" t="s">
        <v>438</v>
      </c>
      <c r="R15">
        <v>7196554</v>
      </c>
      <c r="S15" s="5">
        <v>-0.3584</v>
      </c>
      <c r="T15" t="s">
        <v>833</v>
      </c>
      <c r="U15">
        <v>310880000</v>
      </c>
      <c r="V15">
        <v>310880000</v>
      </c>
      <c r="W15">
        <v>1.47</v>
      </c>
      <c r="X15" t="s">
        <v>17</v>
      </c>
      <c r="Y15">
        <v>-4.0599999999999996</v>
      </c>
      <c r="Z15" t="s">
        <v>17</v>
      </c>
      <c r="AA15" t="s">
        <v>17</v>
      </c>
      <c r="AB15" t="s">
        <v>17</v>
      </c>
      <c r="AC15" t="s">
        <v>17</v>
      </c>
      <c r="AD15" t="s">
        <v>17</v>
      </c>
      <c r="AE15">
        <v>13424239</v>
      </c>
      <c r="AF15" t="s">
        <v>896</v>
      </c>
      <c r="AG15" t="s">
        <v>897</v>
      </c>
      <c r="AH15" t="s">
        <v>898</v>
      </c>
      <c r="AI15" t="s">
        <v>899</v>
      </c>
      <c r="AJ15" t="s">
        <v>900</v>
      </c>
      <c r="AK15" t="s">
        <v>17</v>
      </c>
      <c r="AL15" t="s">
        <v>901</v>
      </c>
      <c r="AM15" t="s">
        <v>17</v>
      </c>
      <c r="AN15" t="s">
        <v>902</v>
      </c>
      <c r="AO15" t="s">
        <v>17</v>
      </c>
      <c r="AP15" t="s">
        <v>903</v>
      </c>
      <c r="AQ15" t="s">
        <v>904</v>
      </c>
      <c r="AR15" t="s">
        <v>905</v>
      </c>
      <c r="AS15" t="s">
        <v>17</v>
      </c>
      <c r="AT15" t="s">
        <v>17</v>
      </c>
      <c r="AU15" t="s">
        <v>906</v>
      </c>
      <c r="AV15" t="s">
        <v>907</v>
      </c>
      <c r="AW15" t="s">
        <v>908</v>
      </c>
      <c r="AX15" t="s">
        <v>368</v>
      </c>
      <c r="AY15" t="s">
        <v>17</v>
      </c>
      <c r="AZ15" t="s">
        <v>157</v>
      </c>
      <c r="BA15" t="s">
        <v>158</v>
      </c>
      <c r="BB15" t="s">
        <v>159</v>
      </c>
      <c r="BC15" t="s">
        <v>354</v>
      </c>
      <c r="BD15" t="s">
        <v>17</v>
      </c>
      <c r="BE15" t="s">
        <v>17</v>
      </c>
      <c r="BF15" t="s">
        <v>17</v>
      </c>
      <c r="BG15" t="s">
        <v>17</v>
      </c>
      <c r="BH15" t="s">
        <v>909</v>
      </c>
      <c r="BI15" t="s">
        <v>910</v>
      </c>
      <c r="BJ15" t="s">
        <v>368</v>
      </c>
      <c r="BK15" t="s">
        <v>398</v>
      </c>
      <c r="BL15" t="s">
        <v>911</v>
      </c>
      <c r="BM15" t="s">
        <v>354</v>
      </c>
      <c r="BN15">
        <v>0.65</v>
      </c>
      <c r="BO15">
        <v>4.0199999999999996</v>
      </c>
      <c r="BP15">
        <v>11.69</v>
      </c>
      <c r="BQ15">
        <v>1.66</v>
      </c>
      <c r="BR15">
        <v>4.7</v>
      </c>
      <c r="BS15">
        <v>8.2100000000000009</v>
      </c>
      <c r="BT15" t="s">
        <v>371</v>
      </c>
      <c r="BU15" t="s">
        <v>12</v>
      </c>
      <c r="BV15">
        <v>14.57</v>
      </c>
      <c r="BW15">
        <v>10.96</v>
      </c>
      <c r="BX15">
        <v>19.14</v>
      </c>
      <c r="BY15">
        <v>4.78</v>
      </c>
      <c r="BZ15">
        <v>5.81</v>
      </c>
      <c r="CA15">
        <v>11.38</v>
      </c>
      <c r="CB15">
        <v>-1.52</v>
      </c>
      <c r="CC15">
        <v>-11.43</v>
      </c>
      <c r="CD15" t="s">
        <v>912</v>
      </c>
      <c r="CE15" t="s">
        <v>913</v>
      </c>
      <c r="CF15" s="9">
        <v>2.3341390836118729</v>
      </c>
      <c r="CG15" s="10">
        <v>1.5377465104462444</v>
      </c>
      <c r="CH15" s="9">
        <v>-0.84644335508346558</v>
      </c>
      <c r="CI15" s="9" t="s">
        <v>17</v>
      </c>
      <c r="CJ15" s="9" t="s">
        <v>17</v>
      </c>
      <c r="CK15" s="9">
        <v>0.26845639944076538</v>
      </c>
      <c r="CL15" s="9">
        <v>-4.1089139878749847E-2</v>
      </c>
      <c r="CM15" s="10">
        <v>-0.24666666984558105</v>
      </c>
      <c r="CN15" s="10" t="s">
        <v>17</v>
      </c>
      <c r="CO15" s="10" t="s">
        <v>17</v>
      </c>
      <c r="CP15" s="10" t="s">
        <v>17</v>
      </c>
      <c r="CQ15" s="10" t="s">
        <v>17</v>
      </c>
      <c r="CR15">
        <v>12.269712547528517</v>
      </c>
      <c r="CS15">
        <v>0.59458179549932511</v>
      </c>
      <c r="CT15">
        <v>2.3121387283236992</v>
      </c>
      <c r="CU15" s="9">
        <v>-0.20635869850715002</v>
      </c>
      <c r="CV15" s="10">
        <v>-0.24666666984558105</v>
      </c>
      <c r="CW15">
        <v>0.06</v>
      </c>
      <c r="CX15" t="s">
        <v>504</v>
      </c>
      <c r="CY15" t="s">
        <v>914</v>
      </c>
      <c r="CZ15">
        <v>-0.20635869850715002</v>
      </c>
      <c r="DA15" t="s">
        <v>504</v>
      </c>
      <c r="DB15" t="s">
        <v>915</v>
      </c>
      <c r="DC15">
        <v>-0.19604076358179251</v>
      </c>
      <c r="DD15" t="s">
        <v>504</v>
      </c>
      <c r="DE15" t="s">
        <v>916</v>
      </c>
      <c r="DF15">
        <v>-0.18159565468629202</v>
      </c>
      <c r="DG15" t="s">
        <v>504</v>
      </c>
      <c r="DH15" t="s">
        <v>917</v>
      </c>
      <c r="DI15">
        <v>-0.16508695880572002</v>
      </c>
      <c r="DJ15" t="s">
        <v>504</v>
      </c>
      <c r="DK15" t="s">
        <v>918</v>
      </c>
      <c r="DL15">
        <v>-0.144451088955005</v>
      </c>
      <c r="DM15">
        <v>112999999.99999999</v>
      </c>
      <c r="DN15">
        <v>-0.20635869850715002</v>
      </c>
      <c r="DO15">
        <v>-189532800</v>
      </c>
      <c r="DP15">
        <v>3405109900</v>
      </c>
      <c r="DQ15">
        <v>2880</v>
      </c>
      <c r="DR15">
        <v>2.5404977821190231</v>
      </c>
      <c r="DS15">
        <v>1.7844131802918255</v>
      </c>
      <c r="DT15" s="11">
        <v>-1.1599999999999999</v>
      </c>
      <c r="DU15">
        <v>-1.1599999999999999</v>
      </c>
      <c r="DV15">
        <v>-2.3199999999999998</v>
      </c>
      <c r="DW15">
        <v>-2.1143000000000001</v>
      </c>
      <c r="DX15">
        <v>0.39875403214495964</v>
      </c>
      <c r="DY15">
        <v>-2.0135735858741692</v>
      </c>
      <c r="DZ15">
        <v>2171</v>
      </c>
      <c r="EA15">
        <v>-2.0078068040869241</v>
      </c>
      <c r="EB15">
        <v>2</v>
      </c>
      <c r="EC15">
        <v>2.7236875965002575E-2</v>
      </c>
      <c r="ED15">
        <v>0.22935537828100874</v>
      </c>
      <c r="EE15" s="12">
        <v>-2.0598999999999998</v>
      </c>
      <c r="EF15">
        <v>-2.0754000000000001</v>
      </c>
      <c r="EG15">
        <v>28.11875403214496</v>
      </c>
      <c r="EH15" t="s">
        <v>654</v>
      </c>
      <c r="EI15">
        <v>0</v>
      </c>
      <c r="EJ15">
        <v>0</v>
      </c>
      <c r="EK15" s="8">
        <v>45470</v>
      </c>
      <c r="EL15" s="13">
        <v>1.1100000000000001</v>
      </c>
      <c r="EM15" s="13">
        <v>-0.44</v>
      </c>
      <c r="EN15" s="13">
        <v>-1.1000000000000001</v>
      </c>
      <c r="EO15" s="13">
        <v>0.44</v>
      </c>
      <c r="EP15" s="13">
        <v>1.55</v>
      </c>
    </row>
    <row r="16" spans="1:146" ht="96" x14ac:dyDescent="0.25">
      <c r="A16" s="14"/>
      <c r="B16" s="14"/>
      <c r="C16" s="14" t="str">
        <f>""&amp;CHAR(10)&amp;Basic_Fundamental_Information_Constructure(F16)&amp;CHAR(10)&amp;Basic_Fundamental_Information_Concatenate("")</f>
        <v xml:space="preserve">
市值5.0742073亿, 利润-8447.25万; PE; 平均PE-3.27; 平均PEG-.02, PB.832; ROIC0%; ROE-26.97%; 股利率0%; 毛利5.7767%; 净利-321.74%; 上一年度营收增818.46%, 利润增85.58%; 当季营收增-93.47%, 利润增-135.18%; 过往5年营收增135.55%, 利润增-3.33%
Income profile:
</v>
      </c>
      <c r="D16" t="s">
        <v>37</v>
      </c>
      <c r="E16" t="s">
        <v>919</v>
      </c>
      <c r="F16">
        <v>1</v>
      </c>
      <c r="G16">
        <v>-0.99</v>
      </c>
      <c r="H16" t="s">
        <v>920</v>
      </c>
      <c r="I16">
        <v>507420730</v>
      </c>
      <c r="K16">
        <v>0.83199999999999996</v>
      </c>
      <c r="L16" t="s">
        <v>12</v>
      </c>
      <c r="M16" t="s">
        <v>921</v>
      </c>
      <c r="N16" t="s">
        <v>922</v>
      </c>
      <c r="O16" t="s">
        <v>923</v>
      </c>
      <c r="P16">
        <v>-19.82</v>
      </c>
      <c r="Q16" t="s">
        <v>924</v>
      </c>
      <c r="R16">
        <v>-50112734</v>
      </c>
      <c r="S16" s="5">
        <v>-6.4799999999999996E-2</v>
      </c>
      <c r="T16" t="s">
        <v>925</v>
      </c>
      <c r="U16">
        <v>506720730</v>
      </c>
      <c r="V16">
        <v>507420730</v>
      </c>
      <c r="W16">
        <v>1.65</v>
      </c>
      <c r="X16">
        <v>0.02</v>
      </c>
      <c r="Y16">
        <v>-216.65</v>
      </c>
      <c r="Z16" t="s">
        <v>926</v>
      </c>
      <c r="AA16" t="s">
        <v>927</v>
      </c>
      <c r="AB16" t="s">
        <v>928</v>
      </c>
      <c r="AC16" t="s">
        <v>929</v>
      </c>
      <c r="AD16" t="s">
        <v>17</v>
      </c>
      <c r="AE16">
        <v>1082289</v>
      </c>
      <c r="AF16" t="s">
        <v>930</v>
      </c>
      <c r="AG16">
        <v>2033.2</v>
      </c>
      <c r="AH16" t="s">
        <v>931</v>
      </c>
      <c r="AI16" t="s">
        <v>932</v>
      </c>
      <c r="AJ16" t="s">
        <v>17</v>
      </c>
      <c r="AK16" t="s">
        <v>17</v>
      </c>
      <c r="AL16" t="s">
        <v>933</v>
      </c>
      <c r="AM16" t="s">
        <v>17</v>
      </c>
      <c r="AN16">
        <v>0</v>
      </c>
      <c r="AO16" t="s">
        <v>934</v>
      </c>
      <c r="AP16" t="s">
        <v>17</v>
      </c>
      <c r="AQ16" t="s">
        <v>935</v>
      </c>
      <c r="AR16" t="s">
        <v>936</v>
      </c>
      <c r="AS16" t="s">
        <v>937</v>
      </c>
      <c r="AT16" t="s">
        <v>445</v>
      </c>
      <c r="AU16" t="s">
        <v>938</v>
      </c>
      <c r="AV16" t="s">
        <v>939</v>
      </c>
      <c r="AW16" t="s">
        <v>940</v>
      </c>
      <c r="AX16" t="s">
        <v>117</v>
      </c>
      <c r="AY16" t="s">
        <v>373</v>
      </c>
      <c r="AZ16" t="s">
        <v>446</v>
      </c>
      <c r="BA16" t="s">
        <v>38</v>
      </c>
      <c r="BB16" t="s">
        <v>82</v>
      </c>
      <c r="BC16" t="s">
        <v>372</v>
      </c>
      <c r="BD16" t="s">
        <v>374</v>
      </c>
      <c r="BE16" t="s">
        <v>151</v>
      </c>
      <c r="BF16" t="s">
        <v>39</v>
      </c>
      <c r="BG16" t="s">
        <v>80</v>
      </c>
      <c r="BH16" t="s">
        <v>941</v>
      </c>
      <c r="BI16" t="s">
        <v>369</v>
      </c>
      <c r="BJ16" t="s">
        <v>117</v>
      </c>
      <c r="BK16" t="s">
        <v>942</v>
      </c>
      <c r="BL16" t="s">
        <v>943</v>
      </c>
      <c r="BM16" t="s">
        <v>372</v>
      </c>
      <c r="BN16" t="s">
        <v>17</v>
      </c>
      <c r="BO16" t="s">
        <v>17</v>
      </c>
      <c r="BP16" t="s">
        <v>17</v>
      </c>
      <c r="BQ16">
        <v>-15.09</v>
      </c>
      <c r="BR16">
        <v>-38.54</v>
      </c>
      <c r="BS16">
        <v>-27.28</v>
      </c>
      <c r="BT16" t="s">
        <v>344</v>
      </c>
      <c r="BU16" t="s">
        <v>12</v>
      </c>
      <c r="BV16">
        <v>9.7200000000000006</v>
      </c>
      <c r="BW16">
        <v>4.83</v>
      </c>
      <c r="BX16">
        <v>2.78</v>
      </c>
      <c r="BY16">
        <v>-613.34</v>
      </c>
      <c r="BZ16">
        <v>-305.17</v>
      </c>
      <c r="CA16">
        <v>-46.71</v>
      </c>
      <c r="CB16">
        <v>1.01</v>
      </c>
      <c r="CC16">
        <v>-8.26</v>
      </c>
      <c r="CD16" t="s">
        <v>944</v>
      </c>
      <c r="CE16" t="s">
        <v>945</v>
      </c>
      <c r="CF16" s="9">
        <v>-0.9346914600550964</v>
      </c>
      <c r="CG16" s="10">
        <v>-1.3517830526928347</v>
      </c>
      <c r="CH16" s="9">
        <v>8.1846151351928711</v>
      </c>
      <c r="CI16" s="9">
        <v>-0.83530408143997192</v>
      </c>
      <c r="CJ16" s="9">
        <v>-0.55721765756607056</v>
      </c>
      <c r="CK16" s="9">
        <v>-0.14541389048099518</v>
      </c>
      <c r="CL16" s="9">
        <v>0.13082756102085114</v>
      </c>
      <c r="CM16" s="10">
        <v>0.85584896802902222</v>
      </c>
      <c r="CN16" s="10">
        <v>-5.5855855345726013E-2</v>
      </c>
      <c r="CO16" s="10">
        <v>-0.36029410362243652</v>
      </c>
      <c r="CP16" s="10">
        <v>-1.8412370681762695</v>
      </c>
      <c r="CQ16" s="10">
        <v>1.235023021697998</v>
      </c>
      <c r="CR16">
        <v>-3.2685069929600714</v>
      </c>
      <c r="CS16">
        <v>-2.4112899926039131E-2</v>
      </c>
      <c r="CT16">
        <v>0</v>
      </c>
      <c r="CU16" s="9">
        <v>1.3555014133453369</v>
      </c>
      <c r="CV16" s="10">
        <v>-3.3303007483482361E-2</v>
      </c>
      <c r="CW16">
        <v>0.06</v>
      </c>
      <c r="CX16" t="e">
        <v>#VALUE!</v>
      </c>
      <c r="CY16" t="s">
        <v>239</v>
      </c>
      <c r="CZ16">
        <v>1.3555014133453369</v>
      </c>
      <c r="DA16" t="e">
        <v>#VALUE!</v>
      </c>
      <c r="DB16" t="s">
        <v>237</v>
      </c>
      <c r="DC16">
        <v>1.2877263426780701</v>
      </c>
      <c r="DD16" t="e">
        <v>#VALUE!</v>
      </c>
      <c r="DE16" t="s">
        <v>237</v>
      </c>
      <c r="DF16">
        <v>1.1928412437438964</v>
      </c>
      <c r="DG16" t="e">
        <v>#VALUE!</v>
      </c>
      <c r="DH16" t="s">
        <v>237</v>
      </c>
      <c r="DI16">
        <v>1.0844011306762695</v>
      </c>
      <c r="DJ16" t="e">
        <v>#VALUE!</v>
      </c>
      <c r="DK16" t="s">
        <v>237</v>
      </c>
      <c r="DL16">
        <v>0.94885098934173573</v>
      </c>
      <c r="DM16">
        <v>-84472500</v>
      </c>
      <c r="DN16">
        <v>1.3555014133453369</v>
      </c>
      <c r="DO16">
        <v>305420730</v>
      </c>
      <c r="DP16">
        <v>4178430</v>
      </c>
      <c r="DQ16">
        <v>2896</v>
      </c>
      <c r="DR16">
        <v>-2.2901928734004331</v>
      </c>
      <c r="DS16">
        <v>-1.3184800452093524</v>
      </c>
      <c r="DT16" s="11">
        <v>-0.57333333333333336</v>
      </c>
      <c r="DU16">
        <v>-2.3983333333333334</v>
      </c>
      <c r="DV16">
        <v>-2.9716666666666667</v>
      </c>
      <c r="DW16">
        <v>-2.0825999999999998</v>
      </c>
      <c r="DX16">
        <v>0.48494753363229054</v>
      </c>
      <c r="DY16">
        <v>-2.0119726662780271</v>
      </c>
      <c r="DZ16">
        <v>4442</v>
      </c>
      <c r="EA16">
        <v>-2.0015651156700045</v>
      </c>
      <c r="EB16">
        <v>2</v>
      </c>
      <c r="EC16">
        <v>6.3701181463358819E-2</v>
      </c>
      <c r="ED16">
        <v>0.43947751208351304</v>
      </c>
      <c r="EE16" s="12">
        <v>2.1204999999999998</v>
      </c>
      <c r="EF16">
        <v>2.1147999999999998</v>
      </c>
      <c r="EG16">
        <v>34.144947533632291</v>
      </c>
      <c r="EH16" t="s">
        <v>946</v>
      </c>
      <c r="EI16">
        <v>0</v>
      </c>
      <c r="EJ16">
        <v>0</v>
      </c>
      <c r="EK16" s="8">
        <v>45470</v>
      </c>
      <c r="EL16" s="13">
        <v>-0.56000000000000005</v>
      </c>
      <c r="EM16" s="13">
        <v>-3.93</v>
      </c>
      <c r="EN16" s="13">
        <v>1.17</v>
      </c>
      <c r="EO16" s="13">
        <v>1.73</v>
      </c>
      <c r="EP16" s="13">
        <v>-0.56999999999999995</v>
      </c>
    </row>
    <row r="17" spans="1:146" ht="96" x14ac:dyDescent="0.25">
      <c r="A17" s="14"/>
      <c r="B17" s="14"/>
      <c r="C17" s="14" t="str">
        <f>""&amp;CHAR(10)&amp;Basic_Fundamental_Information_Constructure(F17)&amp;CHAR(10)&amp;Basic_Fundamental_Information_Concatenate("")</f>
        <v xml:space="preserve">
市值3.887亿, 利润367.61万; PE; 平均PE78.64; 平均PEG29.39, PB; ROIC18.81%; ROE57.43%; 股利率0%; 毛利16.4233%; 净利-15.5333%; 上一年度营收增-45.08%, 利润增-94.06%; 当季营收增-74.05%, 利润增-192.55%; 过往5年营收增2.68%, 利润增133.35%
Income profile:
</v>
      </c>
      <c r="D17" t="s">
        <v>16</v>
      </c>
      <c r="E17" t="s">
        <v>947</v>
      </c>
      <c r="F17">
        <v>1.69</v>
      </c>
      <c r="G17">
        <v>0</v>
      </c>
      <c r="H17" t="s">
        <v>948</v>
      </c>
      <c r="I17">
        <v>388700000</v>
      </c>
      <c r="L17" t="s">
        <v>12</v>
      </c>
      <c r="M17" t="s">
        <v>505</v>
      </c>
      <c r="N17" t="s">
        <v>949</v>
      </c>
      <c r="O17" t="s">
        <v>950</v>
      </c>
      <c r="P17">
        <v>-66.03</v>
      </c>
      <c r="Q17" t="s">
        <v>346</v>
      </c>
      <c r="R17">
        <v>-10862378</v>
      </c>
      <c r="S17" s="6">
        <v>-0.94499999999999995</v>
      </c>
      <c r="T17" t="s">
        <v>951</v>
      </c>
      <c r="U17">
        <v>227993330</v>
      </c>
      <c r="V17">
        <v>230000000</v>
      </c>
      <c r="W17">
        <v>8.67</v>
      </c>
      <c r="X17">
        <v>0.03</v>
      </c>
      <c r="Y17">
        <v>-70.650000000000006</v>
      </c>
      <c r="Z17" t="s">
        <v>952</v>
      </c>
      <c r="AA17" t="s">
        <v>953</v>
      </c>
      <c r="AB17" t="s">
        <v>954</v>
      </c>
      <c r="AC17" t="s">
        <v>955</v>
      </c>
      <c r="AD17" t="s">
        <v>17</v>
      </c>
      <c r="AE17">
        <v>7826413</v>
      </c>
      <c r="AF17" t="s">
        <v>31</v>
      </c>
      <c r="AG17" t="s">
        <v>956</v>
      </c>
      <c r="AH17" t="s">
        <v>957</v>
      </c>
      <c r="AI17" t="s">
        <v>958</v>
      </c>
      <c r="AJ17" t="s">
        <v>17</v>
      </c>
      <c r="AK17" t="s">
        <v>959</v>
      </c>
      <c r="AL17" t="s">
        <v>960</v>
      </c>
      <c r="AM17" t="s">
        <v>17</v>
      </c>
      <c r="AN17">
        <v>0</v>
      </c>
      <c r="AO17" t="s">
        <v>961</v>
      </c>
      <c r="AP17" t="s">
        <v>17</v>
      </c>
      <c r="AQ17" t="s">
        <v>962</v>
      </c>
      <c r="AR17" t="s">
        <v>963</v>
      </c>
      <c r="AS17" t="s">
        <v>964</v>
      </c>
      <c r="AT17" t="s">
        <v>17</v>
      </c>
      <c r="AU17" t="s">
        <v>965</v>
      </c>
      <c r="AV17" t="s">
        <v>17</v>
      </c>
      <c r="AW17" t="s">
        <v>966</v>
      </c>
      <c r="AX17" t="s">
        <v>370</v>
      </c>
      <c r="AY17" t="s">
        <v>208</v>
      </c>
      <c r="AZ17" t="s">
        <v>71</v>
      </c>
      <c r="BA17" t="s">
        <v>41</v>
      </c>
      <c r="BB17" t="s">
        <v>85</v>
      </c>
      <c r="BC17" t="s">
        <v>375</v>
      </c>
      <c r="BD17" t="s">
        <v>209</v>
      </c>
      <c r="BE17" t="s">
        <v>84</v>
      </c>
      <c r="BF17" t="s">
        <v>42</v>
      </c>
      <c r="BG17" t="s">
        <v>86</v>
      </c>
      <c r="BH17" t="s">
        <v>421</v>
      </c>
      <c r="BI17" t="s">
        <v>967</v>
      </c>
      <c r="BJ17" t="s">
        <v>370</v>
      </c>
      <c r="BK17" t="s">
        <v>968</v>
      </c>
      <c r="BL17" t="s">
        <v>969</v>
      </c>
      <c r="BM17" t="s">
        <v>375</v>
      </c>
      <c r="BN17" t="s">
        <v>17</v>
      </c>
      <c r="BO17">
        <v>22.48</v>
      </c>
      <c r="BP17">
        <v>15.14</v>
      </c>
      <c r="BQ17">
        <v>-19.399999999999999</v>
      </c>
      <c r="BR17">
        <v>115.65</v>
      </c>
      <c r="BS17">
        <v>76.040000000000006</v>
      </c>
      <c r="BT17" t="s">
        <v>344</v>
      </c>
      <c r="BU17" t="s">
        <v>12</v>
      </c>
      <c r="BV17">
        <v>10.76</v>
      </c>
      <c r="BW17">
        <v>27.24</v>
      </c>
      <c r="BX17">
        <v>11.27</v>
      </c>
      <c r="BY17">
        <v>-71.7</v>
      </c>
      <c r="BZ17">
        <v>21.51</v>
      </c>
      <c r="CA17">
        <v>3.59</v>
      </c>
      <c r="CB17">
        <v>3.05</v>
      </c>
      <c r="CC17">
        <v>-41.92</v>
      </c>
      <c r="CD17" t="s">
        <v>970</v>
      </c>
      <c r="CE17" t="s">
        <v>70</v>
      </c>
      <c r="CF17" s="9">
        <v>-0.7405052346873916</v>
      </c>
      <c r="CG17" s="10">
        <v>-1.9254579843746007</v>
      </c>
      <c r="CH17" s="9">
        <v>-0.45077720284461975</v>
      </c>
      <c r="CI17" s="9">
        <v>-0.33676975965499878</v>
      </c>
      <c r="CJ17" s="9">
        <v>1.3852459192276001</v>
      </c>
      <c r="CK17" s="9">
        <v>0.42690059542655945</v>
      </c>
      <c r="CL17" s="9">
        <v>-0.89080464839935303</v>
      </c>
      <c r="CM17" s="10">
        <v>-0.94057273864746094</v>
      </c>
      <c r="CN17" s="10">
        <v>3.9771332740783691</v>
      </c>
      <c r="CO17" s="10">
        <v>0.14372216165065765</v>
      </c>
      <c r="CP17" s="10">
        <v>2.6153285503387451</v>
      </c>
      <c r="CQ17" s="10">
        <v>0.8717314600944519</v>
      </c>
      <c r="CR17">
        <v>78.641758834637173</v>
      </c>
      <c r="CS17">
        <v>29.388921635809236</v>
      </c>
      <c r="CT17">
        <v>0</v>
      </c>
      <c r="CU17" s="9">
        <v>2.6758980751037598E-2</v>
      </c>
      <c r="CV17" s="10">
        <v>1.3334685415029526</v>
      </c>
      <c r="CW17">
        <v>0.06</v>
      </c>
      <c r="CX17">
        <v>291.16373204058135</v>
      </c>
      <c r="CY17">
        <v>3560819.5180555559</v>
      </c>
      <c r="CZ17">
        <v>2.6758980751037598E-2</v>
      </c>
      <c r="DA17">
        <v>100.42150736854029</v>
      </c>
      <c r="DB17">
        <v>10324297.326020814</v>
      </c>
      <c r="DC17">
        <v>2.5421031713485719E-2</v>
      </c>
      <c r="DD17">
        <v>53.035333695734572</v>
      </c>
      <c r="DE17">
        <v>19548882.372420792</v>
      </c>
      <c r="DF17">
        <v>2.3547903060913086E-2</v>
      </c>
      <c r="DG17">
        <v>34.389581017377637</v>
      </c>
      <c r="DH17">
        <v>30148128.279786158</v>
      </c>
      <c r="DI17">
        <v>2.1407184600830079E-2</v>
      </c>
      <c r="DJ17">
        <v>20.846291688513137</v>
      </c>
      <c r="DK17">
        <v>49734577.040927343</v>
      </c>
      <c r="DL17">
        <v>1.8731286525726316E-2</v>
      </c>
      <c r="DM17">
        <v>3676100</v>
      </c>
      <c r="DN17">
        <v>2.6758980751037598E-2</v>
      </c>
      <c r="DO17">
        <v>1036781500</v>
      </c>
      <c r="DP17">
        <v>-211498060</v>
      </c>
      <c r="DQ17">
        <v>2907</v>
      </c>
      <c r="DR17">
        <v>-0.76726421543842915</v>
      </c>
      <c r="DS17">
        <v>-3.2589265258775533</v>
      </c>
      <c r="DT17" s="11">
        <v>-0.57333333333333336</v>
      </c>
      <c r="DU17">
        <v>-0.71833333333333338</v>
      </c>
      <c r="DV17">
        <v>-1.2916666666666667</v>
      </c>
      <c r="DW17">
        <v>6.0678229931065157</v>
      </c>
      <c r="DX17">
        <v>0.38980733333333317</v>
      </c>
      <c r="DY17">
        <v>6.0108386116670376</v>
      </c>
      <c r="DZ17">
        <v>3768</v>
      </c>
      <c r="EA17">
        <v>6.0028464612244941</v>
      </c>
      <c r="EB17">
        <v>6</v>
      </c>
      <c r="EC17">
        <v>0.20844434782608695</v>
      </c>
      <c r="ED17">
        <v>1.3043478260869565</v>
      </c>
      <c r="EE17" s="12">
        <v>-6.0069999999999997</v>
      </c>
      <c r="EF17">
        <v>-6.00291</v>
      </c>
      <c r="EG17">
        <v>23.159807333333333</v>
      </c>
      <c r="EH17" t="s">
        <v>971</v>
      </c>
      <c r="EI17">
        <v>0</v>
      </c>
      <c r="EJ17">
        <v>0</v>
      </c>
      <c r="EK17" s="8">
        <v>45470</v>
      </c>
      <c r="EL17" s="13">
        <v>-0.49</v>
      </c>
      <c r="EM17" s="13">
        <v>-3.45</v>
      </c>
      <c r="EN17" s="13">
        <v>1.02</v>
      </c>
      <c r="EO17" s="13">
        <v>2.02</v>
      </c>
      <c r="EP17" s="13">
        <v>-0.99</v>
      </c>
    </row>
    <row r="18" spans="1:146" ht="216" x14ac:dyDescent="0.25">
      <c r="C18" s="14" t="str">
        <f>"公司主营业务包括输变电业务、新能源业务及能源业务。主要产品是变压器产品、电线电缆产品、新能源产业及配套工程、输变电成套工程、贸易、煤炭产品、电费等。"&amp;CHAR(10)&amp;Basic_Fundamental_Information_Constructure(F18)&amp;CHAR(10)&amp;Basic_Fundamental_Information_Concatenate("新能源产业及工程 343.72亿 35.85% 53.71% 57.82%（72%）
煤炭业务 174.50亿 18.20% 22.46% 47.63%（88%）
变压器产品 135.28亿 14.11% 5.81% 15.88%
电线电缆产品 102.22亿 10.66% 2.61% 9.43%
铝电子新材料、铝及合金制品 57.51亿 6.00% 3.13% 20.12%
发电业务 45.14亿 4.71% 7.02% 57.55%
输变电成套工程 41.79亿 4.36% 1.52% 13.42%")</f>
        <v>公司主营业务包括输变电业务、新能源业务及能源业务。主要产品是变压器产品、电线电缆产品、新能源产业及配套工程、输变电成套工程、贸易、煤炭产品、电费等。
市值678.08476亿, 利润2.23亿; PE8.52; 平均PE8.4; 平均PEG.34, PB1.08; ROIC15.11%; ROE22.5867%; 股利率1.4903%; 毛利32.13%; 净利18.0667%; 上一年度营收增-87.87%, 利润增-98.6%; 当季营收增1470.58%, 利润增1874.03%; 过往5年营收增-24.67%, 利润增-98.6%
Income profile:
新能源产业及工程 343.72亿 35.85% 53.71% 57.82%（72%）
煤炭业务 174.50亿 18.20% 22.46% 47.63%（88%）
变压器产品 135.28亿 14.11% 5.81% 15.88%
电线电缆产品 102.22亿 10.66% 2.61% 9.43%
铝电子新材料、铝及合金制品 57.51亿 6.00% 3.13% 20.12%
发电业务 45.14亿 4.71% 7.02% 57.55%
输变电成套工程 41.79亿 4.36% 1.52% 13.42%</v>
      </c>
      <c r="D18" t="s">
        <v>376</v>
      </c>
      <c r="E18" t="s">
        <v>377</v>
      </c>
      <c r="F18">
        <v>13.42</v>
      </c>
      <c r="G18">
        <v>-0.59</v>
      </c>
      <c r="H18" t="s">
        <v>972</v>
      </c>
      <c r="I18">
        <v>67808476000</v>
      </c>
      <c r="J18">
        <v>8.52</v>
      </c>
      <c r="K18">
        <v>1.08</v>
      </c>
      <c r="L18" t="s">
        <v>12</v>
      </c>
      <c r="M18" t="s">
        <v>973</v>
      </c>
      <c r="N18" t="s">
        <v>974</v>
      </c>
      <c r="O18" t="s">
        <v>975</v>
      </c>
      <c r="P18" s="5">
        <v>-11.12</v>
      </c>
      <c r="Q18" t="s">
        <v>976</v>
      </c>
      <c r="R18">
        <v>1993770300</v>
      </c>
      <c r="S18">
        <v>-0.57889999999999997</v>
      </c>
      <c r="T18" t="s">
        <v>945</v>
      </c>
      <c r="U18">
        <v>5052792500</v>
      </c>
      <c r="V18">
        <v>5052792500</v>
      </c>
      <c r="W18">
        <v>2.17</v>
      </c>
      <c r="X18" t="s">
        <v>17</v>
      </c>
      <c r="Y18">
        <v>10.130000000000001</v>
      </c>
      <c r="Z18" t="s">
        <v>17</v>
      </c>
      <c r="AA18" t="s">
        <v>17</v>
      </c>
      <c r="AB18" t="s">
        <v>17</v>
      </c>
      <c r="AC18" t="s">
        <v>17</v>
      </c>
      <c r="AD18" t="s">
        <v>17</v>
      </c>
      <c r="AE18">
        <v>340540710</v>
      </c>
      <c r="AF18" t="s">
        <v>977</v>
      </c>
      <c r="AG18" t="s">
        <v>978</v>
      </c>
      <c r="AH18" t="s">
        <v>979</v>
      </c>
      <c r="AI18" t="s">
        <v>980</v>
      </c>
      <c r="AJ18" t="s">
        <v>981</v>
      </c>
      <c r="AK18" t="s">
        <v>17</v>
      </c>
      <c r="AL18" t="s">
        <v>982</v>
      </c>
      <c r="AM18" t="s">
        <v>17</v>
      </c>
      <c r="AN18" t="s">
        <v>983</v>
      </c>
      <c r="AO18" t="s">
        <v>17</v>
      </c>
      <c r="AP18" t="s">
        <v>984</v>
      </c>
      <c r="AQ18" t="s">
        <v>985</v>
      </c>
      <c r="AR18" t="s">
        <v>986</v>
      </c>
      <c r="AS18" t="s">
        <v>17</v>
      </c>
      <c r="AT18" t="s">
        <v>17</v>
      </c>
      <c r="AU18" t="s">
        <v>987</v>
      </c>
      <c r="AV18" t="s">
        <v>988</v>
      </c>
      <c r="AW18" t="s">
        <v>989</v>
      </c>
      <c r="AX18" t="s">
        <v>990</v>
      </c>
      <c r="AY18" t="s">
        <v>17</v>
      </c>
      <c r="AZ18" t="s">
        <v>378</v>
      </c>
      <c r="BA18" t="s">
        <v>379</v>
      </c>
      <c r="BB18" t="s">
        <v>380</v>
      </c>
      <c r="BC18" t="s">
        <v>991</v>
      </c>
      <c r="BD18" t="s">
        <v>17</v>
      </c>
      <c r="BE18" t="s">
        <v>17</v>
      </c>
      <c r="BF18" t="s">
        <v>17</v>
      </c>
      <c r="BG18" t="s">
        <v>17</v>
      </c>
      <c r="BH18" t="s">
        <v>992</v>
      </c>
      <c r="BI18" t="s">
        <v>993</v>
      </c>
      <c r="BJ18" t="s">
        <v>990</v>
      </c>
      <c r="BK18" t="s">
        <v>994</v>
      </c>
      <c r="BL18" t="s">
        <v>32</v>
      </c>
      <c r="BM18" t="s">
        <v>991</v>
      </c>
      <c r="BN18">
        <v>10.55</v>
      </c>
      <c r="BO18">
        <v>22.34</v>
      </c>
      <c r="BP18">
        <v>12.44</v>
      </c>
      <c r="BQ18">
        <v>15.24</v>
      </c>
      <c r="BR18">
        <v>33.15</v>
      </c>
      <c r="BS18">
        <v>19.37</v>
      </c>
      <c r="BT18" t="s">
        <v>388</v>
      </c>
      <c r="BU18" t="s">
        <v>12</v>
      </c>
      <c r="BV18">
        <v>27.53</v>
      </c>
      <c r="BW18">
        <v>38.590000000000003</v>
      </c>
      <c r="BX18">
        <v>30.27</v>
      </c>
      <c r="BY18">
        <v>14.36</v>
      </c>
      <c r="BZ18">
        <v>23.83</v>
      </c>
      <c r="CA18">
        <v>16.010000000000002</v>
      </c>
      <c r="CB18">
        <v>-1.83</v>
      </c>
      <c r="CC18" s="9">
        <v>-6.55</v>
      </c>
      <c r="CD18" s="10" t="s">
        <v>888</v>
      </c>
      <c r="CE18" s="9" t="s">
        <v>995</v>
      </c>
      <c r="CF18" s="9">
        <v>14.705803869246164</v>
      </c>
      <c r="CG18" s="9">
        <v>18.740300000000001</v>
      </c>
      <c r="CH18" s="9">
        <v>-0.87867504358291626</v>
      </c>
      <c r="CI18" s="9" t="s">
        <v>17</v>
      </c>
      <c r="CJ18" s="10" t="s">
        <v>17</v>
      </c>
      <c r="CK18" s="10">
        <v>0.206003338098526</v>
      </c>
      <c r="CL18" s="10">
        <v>-6.7480400204658508E-2</v>
      </c>
      <c r="CM18" s="10">
        <v>-0.98598718643188477</v>
      </c>
      <c r="CN18" s="10" t="s">
        <v>17</v>
      </c>
      <c r="CO18" t="s">
        <v>17</v>
      </c>
      <c r="CP18" t="s">
        <v>17</v>
      </c>
      <c r="CQ18" t="s">
        <v>17</v>
      </c>
      <c r="CR18" s="9">
        <v>8.4040993988969461</v>
      </c>
      <c r="CS18" s="10">
        <v>0.34063671511437915</v>
      </c>
      <c r="CT18">
        <v>1.4903129657228018</v>
      </c>
      <c r="CU18">
        <v>-0.24671736856301626</v>
      </c>
      <c r="CV18">
        <v>-0.98598718643188477</v>
      </c>
      <c r="CW18">
        <v>0.06</v>
      </c>
      <c r="CX18">
        <v>359.06939910313901</v>
      </c>
      <c r="CY18" t="s">
        <v>996</v>
      </c>
      <c r="CZ18">
        <v>-0.24671736856301626</v>
      </c>
      <c r="DA18">
        <v>119.68979970104634</v>
      </c>
      <c r="DB18" t="s">
        <v>997</v>
      </c>
      <c r="DC18">
        <v>-0.23438150013486544</v>
      </c>
      <c r="DD18">
        <v>59.84489985052317</v>
      </c>
      <c r="DE18" t="s">
        <v>998</v>
      </c>
      <c r="DF18">
        <v>-0.21711128433545432</v>
      </c>
      <c r="DG18">
        <v>35.906939910313902</v>
      </c>
      <c r="DH18" t="s">
        <v>999</v>
      </c>
      <c r="DI18">
        <v>-0.19737389485041301</v>
      </c>
      <c r="DJ18">
        <v>17.953469955156951</v>
      </c>
      <c r="DK18" t="s">
        <v>1000</v>
      </c>
      <c r="DL18">
        <v>-0.17270215799411137</v>
      </c>
      <c r="DM18">
        <v>223000000</v>
      </c>
      <c r="DN18">
        <v>-0.24671736856301626</v>
      </c>
      <c r="DO18">
        <v>80072476000</v>
      </c>
      <c r="DP18">
        <v>81762777000</v>
      </c>
      <c r="DQ18" s="11">
        <v>2911</v>
      </c>
      <c r="DR18">
        <v>14.952521237809181</v>
      </c>
      <c r="DS18">
        <v>19.726287186431886</v>
      </c>
      <c r="DT18">
        <v>-1.1599999999999999</v>
      </c>
      <c r="DU18">
        <v>-2.3199999999999998</v>
      </c>
      <c r="DV18">
        <v>-3.4799999999999995</v>
      </c>
      <c r="DW18">
        <v>-2.0655000000000001</v>
      </c>
      <c r="DX18">
        <v>0.42775047258979243</v>
      </c>
      <c r="DY18">
        <v>-2.0070576559546316</v>
      </c>
      <c r="DZ18">
        <v>4430</v>
      </c>
      <c r="EA18">
        <v>-2.0009391792659783</v>
      </c>
      <c r="EB18" s="12">
        <v>2</v>
      </c>
      <c r="EC18" s="12">
        <v>2.2561781430763282E-2</v>
      </c>
      <c r="ED18">
        <v>0.20938916450655751</v>
      </c>
      <c r="EE18">
        <v>4.0339999999999998</v>
      </c>
      <c r="EF18">
        <v>4.0237999999999996</v>
      </c>
      <c r="EG18">
        <v>32.107750472589792</v>
      </c>
      <c r="EH18" s="8" t="s">
        <v>1001</v>
      </c>
      <c r="EI18" s="13">
        <v>0</v>
      </c>
      <c r="EJ18" s="13">
        <v>0</v>
      </c>
      <c r="EK18" s="13">
        <v>45470</v>
      </c>
      <c r="EL18" s="13">
        <v>-1.0900000000000001</v>
      </c>
      <c r="EM18" s="13">
        <v>-3.74</v>
      </c>
      <c r="EN18" s="13">
        <v>1.72</v>
      </c>
      <c r="EO18" s="13">
        <v>4.51</v>
      </c>
      <c r="EP18" s="13">
        <v>-1.02</v>
      </c>
    </row>
    <row r="19" spans="1:146" ht="96" x14ac:dyDescent="0.25">
      <c r="C19" s="14" t="str">
        <f>""&amp;CHAR(10)&amp;Basic_Fundamental_Information_Constructure(F19)&amp;CHAR(10)&amp;Basic_Fundamental_Information_Concatenate("")</f>
        <v xml:space="preserve">
市值234.96034亿, 利润1331.20万; PE13.98; 平均PE34.37; 平均PEG1.33, PB.905; ROIC3.8%; ROE4.29%; 股利率3.7313%; 毛利7.47%; 净利2.0833%; 上一年度营收增-98.55%, 利润增-99.02%; 当季营收增5215.92%, 利润增18403.31%; 过往5年营收增-25.91%, 利润增-99.02%
Income profile:
</v>
      </c>
      <c r="D19" t="s">
        <v>381</v>
      </c>
      <c r="E19" t="s">
        <v>382</v>
      </c>
      <c r="F19">
        <v>6.7</v>
      </c>
      <c r="G19">
        <v>-0.15</v>
      </c>
      <c r="H19" t="s">
        <v>1002</v>
      </c>
      <c r="I19">
        <v>23496034000</v>
      </c>
      <c r="J19">
        <v>13.98</v>
      </c>
      <c r="K19">
        <v>0.90500000000000003</v>
      </c>
      <c r="L19" t="s">
        <v>12</v>
      </c>
      <c r="M19" t="s">
        <v>1003</v>
      </c>
      <c r="N19" t="s">
        <v>1004</v>
      </c>
      <c r="O19" t="s">
        <v>1005</v>
      </c>
      <c r="P19" s="5">
        <v>6.12</v>
      </c>
      <c r="Q19" t="s">
        <v>884</v>
      </c>
      <c r="R19">
        <v>447465660</v>
      </c>
      <c r="S19">
        <v>0.1071</v>
      </c>
      <c r="T19" t="s">
        <v>1006</v>
      </c>
      <c r="U19">
        <v>3491029800</v>
      </c>
      <c r="V19">
        <v>3506870700</v>
      </c>
      <c r="W19">
        <v>2.63</v>
      </c>
      <c r="X19" t="s">
        <v>17</v>
      </c>
      <c r="Y19">
        <v>4.32</v>
      </c>
      <c r="Z19" t="s">
        <v>17</v>
      </c>
      <c r="AA19" t="s">
        <v>17</v>
      </c>
      <c r="AB19" t="s">
        <v>17</v>
      </c>
      <c r="AC19" t="s">
        <v>17</v>
      </c>
      <c r="AD19" t="s">
        <v>17</v>
      </c>
      <c r="AE19">
        <v>237786150</v>
      </c>
      <c r="AF19" t="s">
        <v>1007</v>
      </c>
      <c r="AG19" t="s">
        <v>1008</v>
      </c>
      <c r="AH19" t="s">
        <v>1009</v>
      </c>
      <c r="AI19" t="s">
        <v>1010</v>
      </c>
      <c r="AJ19" t="s">
        <v>1011</v>
      </c>
      <c r="AK19" t="s">
        <v>17</v>
      </c>
      <c r="AL19" t="s">
        <v>1012</v>
      </c>
      <c r="AM19" t="s">
        <v>17</v>
      </c>
      <c r="AN19" t="s">
        <v>1013</v>
      </c>
      <c r="AO19" t="s">
        <v>17</v>
      </c>
      <c r="AP19" t="s">
        <v>1014</v>
      </c>
      <c r="AQ19" t="s">
        <v>1015</v>
      </c>
      <c r="AR19" t="s">
        <v>1016</v>
      </c>
      <c r="AS19" t="s">
        <v>17</v>
      </c>
      <c r="AT19" t="s">
        <v>17</v>
      </c>
      <c r="AU19" t="s">
        <v>1017</v>
      </c>
      <c r="AV19" t="s">
        <v>1018</v>
      </c>
      <c r="AW19" t="s">
        <v>1019</v>
      </c>
      <c r="AX19" t="s">
        <v>1020</v>
      </c>
      <c r="AY19" t="s">
        <v>17</v>
      </c>
      <c r="AZ19" t="s">
        <v>384</v>
      </c>
      <c r="BA19" t="s">
        <v>385</v>
      </c>
      <c r="BB19" t="s">
        <v>386</v>
      </c>
      <c r="BC19" t="s">
        <v>383</v>
      </c>
      <c r="BD19" t="s">
        <v>17</v>
      </c>
      <c r="BE19" t="s">
        <v>17</v>
      </c>
      <c r="BF19" t="s">
        <v>17</v>
      </c>
      <c r="BG19" t="s">
        <v>17</v>
      </c>
      <c r="BH19" t="s">
        <v>1021</v>
      </c>
      <c r="BI19" t="s">
        <v>725</v>
      </c>
      <c r="BJ19" t="s">
        <v>1020</v>
      </c>
      <c r="BK19" t="s">
        <v>1022</v>
      </c>
      <c r="BL19" t="s">
        <v>1023</v>
      </c>
      <c r="BM19" t="s">
        <v>383</v>
      </c>
      <c r="BN19">
        <v>4.04</v>
      </c>
      <c r="BO19">
        <v>3.56</v>
      </c>
      <c r="BP19" t="s">
        <v>17</v>
      </c>
      <c r="BQ19">
        <v>6.17</v>
      </c>
      <c r="BR19">
        <v>5.57</v>
      </c>
      <c r="BS19">
        <v>1.1299999999999999</v>
      </c>
      <c r="BT19" t="s">
        <v>1024</v>
      </c>
      <c r="BU19" t="s">
        <v>12</v>
      </c>
      <c r="BV19">
        <v>10.78</v>
      </c>
      <c r="BW19">
        <v>7.51</v>
      </c>
      <c r="BX19">
        <v>4.12</v>
      </c>
      <c r="BY19">
        <v>3.99</v>
      </c>
      <c r="BZ19">
        <v>2.4500000000000002</v>
      </c>
      <c r="CA19">
        <v>-0.19</v>
      </c>
      <c r="CB19">
        <v>4.6900000000000004</v>
      </c>
      <c r="CC19" s="9">
        <v>7.2</v>
      </c>
      <c r="CD19" s="10" t="s">
        <v>536</v>
      </c>
      <c r="CE19" s="9" t="s">
        <v>1025</v>
      </c>
      <c r="CF19" s="9">
        <v>52.159203980099512</v>
      </c>
      <c r="CG19" s="9">
        <v>184.03314725220196</v>
      </c>
      <c r="CH19" s="9">
        <v>-0.98547542095184326</v>
      </c>
      <c r="CI19" s="9" t="s">
        <v>17</v>
      </c>
      <c r="CJ19" s="10" t="s">
        <v>17</v>
      </c>
      <c r="CK19" s="10">
        <v>7.1476966142654419E-2</v>
      </c>
      <c r="CL19" s="10">
        <v>0.1367100328207016</v>
      </c>
      <c r="CM19" s="10">
        <v>-0.99016839265823364</v>
      </c>
      <c r="CN19" s="10" t="s">
        <v>17</v>
      </c>
      <c r="CO19" t="s">
        <v>17</v>
      </c>
      <c r="CP19" t="s">
        <v>17</v>
      </c>
      <c r="CQ19" t="s">
        <v>17</v>
      </c>
      <c r="CR19" s="9">
        <v>34.368211498180372</v>
      </c>
      <c r="CS19" s="10">
        <v>1.3264655895783848</v>
      </c>
      <c r="CT19">
        <v>3.7313432835820897</v>
      </c>
      <c r="CU19">
        <v>-0.2590961406628291</v>
      </c>
      <c r="CV19">
        <v>-0.99016839265823364</v>
      </c>
      <c r="CW19">
        <v>0.06</v>
      </c>
      <c r="CX19">
        <v>3045.9761117788462</v>
      </c>
      <c r="CY19" t="s">
        <v>1026</v>
      </c>
      <c r="CZ19">
        <v>-0.2590961406628291</v>
      </c>
      <c r="DA19">
        <v>1015.3253705929487</v>
      </c>
      <c r="DB19" t="s">
        <v>1027</v>
      </c>
      <c r="DC19">
        <v>-0.24614133362968763</v>
      </c>
      <c r="DD19">
        <v>507.66268529647436</v>
      </c>
      <c r="DE19" t="s">
        <v>1028</v>
      </c>
      <c r="DF19">
        <v>-0.2280046037832896</v>
      </c>
      <c r="DG19">
        <v>304.59761117788463</v>
      </c>
      <c r="DH19" t="s">
        <v>1029</v>
      </c>
      <c r="DI19">
        <v>-0.20727691253026329</v>
      </c>
      <c r="DJ19">
        <v>152.29880558894232</v>
      </c>
      <c r="DK19" t="s">
        <v>1030</v>
      </c>
      <c r="DL19">
        <v>-0.18136729846398036</v>
      </c>
      <c r="DM19">
        <v>13312000</v>
      </c>
      <c r="DN19">
        <v>-0.2590961406628291</v>
      </c>
      <c r="DO19">
        <v>40548034000</v>
      </c>
      <c r="DP19">
        <v>15947339000</v>
      </c>
      <c r="DQ19" s="11">
        <v>2916</v>
      </c>
      <c r="DR19">
        <v>52.418300120762339</v>
      </c>
      <c r="DS19">
        <v>185.02331564486019</v>
      </c>
      <c r="DT19">
        <v>-1.1599999999999999</v>
      </c>
      <c r="DU19">
        <v>-2.3199999999999998</v>
      </c>
      <c r="DV19">
        <v>-3.4799999999999995</v>
      </c>
      <c r="DW19">
        <v>8.6513888888888886</v>
      </c>
      <c r="DX19">
        <v>0.30411042944785238</v>
      </c>
      <c r="DY19">
        <v>8.1068997102931153</v>
      </c>
      <c r="DZ19">
        <v>2213</v>
      </c>
      <c r="EA19">
        <v>8.0606043954440612</v>
      </c>
      <c r="EB19" s="12">
        <v>8</v>
      </c>
      <c r="EC19" s="12">
        <v>3.0511532689243434E-2</v>
      </c>
      <c r="ED19">
        <v>0.18592074124660485</v>
      </c>
      <c r="EE19">
        <v>-2.0819000000000001</v>
      </c>
      <c r="EF19">
        <v>-2.0831</v>
      </c>
      <c r="EG19">
        <v>14.164110429447852</v>
      </c>
      <c r="EH19" s="8" t="s">
        <v>654</v>
      </c>
      <c r="EI19" s="13">
        <v>0</v>
      </c>
      <c r="EJ19" s="13">
        <v>0</v>
      </c>
      <c r="EK19" s="13">
        <v>45470</v>
      </c>
      <c r="EL19" s="13">
        <v>0.88</v>
      </c>
      <c r="EM19" s="13">
        <v>-3.72</v>
      </c>
      <c r="EN19" s="13">
        <v>2.19</v>
      </c>
      <c r="EO19" s="13">
        <v>2.02</v>
      </c>
      <c r="EP19" s="13">
        <v>0.12</v>
      </c>
    </row>
    <row r="20" spans="1:146" ht="108" x14ac:dyDescent="0.25">
      <c r="A20" s="14"/>
      <c r="B20" s="14"/>
      <c r="C20" s="14" t="str">
        <f>""&amp;CHAR(10)&amp;Basic_Fundamental_Information_Constructure(F20)&amp;CHAR(10)&amp;Basic_Fundamental_Information_Concatenate("")</f>
        <v xml:space="preserve">
市值29.11511亿, 利润3.97亿; PE; 平均PE21.95; 平均PEG.29, PB2; ROIC2.9633%; ROE2.8767%; 股利率.2358%; 毛利63.7433%; 净利105.42%; 上一年度营收增-94.07%, 利润增1004.75%; 当季营收增-9.24%, 利润增-122.92%; 过往5年营收增75.74%, 利润增201.35%
Income profile:
</v>
      </c>
      <c r="D20" t="s">
        <v>14</v>
      </c>
      <c r="E20" t="s">
        <v>5</v>
      </c>
      <c r="F20">
        <v>4.24</v>
      </c>
      <c r="G20">
        <v>1.19</v>
      </c>
      <c r="H20" t="s">
        <v>1031</v>
      </c>
      <c r="I20">
        <v>2911511000</v>
      </c>
      <c r="K20">
        <v>2</v>
      </c>
      <c r="L20" t="s">
        <v>12</v>
      </c>
      <c r="M20" t="s">
        <v>1032</v>
      </c>
      <c r="N20" t="s">
        <v>1033</v>
      </c>
      <c r="O20" t="s">
        <v>1034</v>
      </c>
      <c r="P20">
        <v>-93.97</v>
      </c>
      <c r="Q20" t="s">
        <v>1035</v>
      </c>
      <c r="R20">
        <v>-19881535</v>
      </c>
      <c r="S20" s="5">
        <v>-3.657</v>
      </c>
      <c r="T20" t="s">
        <v>1036</v>
      </c>
      <c r="U20">
        <v>686677110</v>
      </c>
      <c r="V20">
        <v>686677110</v>
      </c>
      <c r="W20">
        <v>2.0299999999999998</v>
      </c>
      <c r="X20">
        <v>0</v>
      </c>
      <c r="Y20">
        <v>-499.84</v>
      </c>
      <c r="Z20" t="s">
        <v>1037</v>
      </c>
      <c r="AA20" t="s">
        <v>1038</v>
      </c>
      <c r="AB20" t="s">
        <v>1039</v>
      </c>
      <c r="AC20" t="s">
        <v>1040</v>
      </c>
      <c r="AD20" t="s">
        <v>17</v>
      </c>
      <c r="AE20">
        <v>4542172</v>
      </c>
      <c r="AF20" t="s">
        <v>31</v>
      </c>
      <c r="AG20" t="s">
        <v>1041</v>
      </c>
      <c r="AH20" t="s">
        <v>1042</v>
      </c>
      <c r="AI20" t="s">
        <v>1043</v>
      </c>
      <c r="AJ20" t="s">
        <v>1044</v>
      </c>
      <c r="AK20" t="s">
        <v>17</v>
      </c>
      <c r="AL20" t="s">
        <v>1045</v>
      </c>
      <c r="AM20" t="s">
        <v>17</v>
      </c>
      <c r="AN20" t="s">
        <v>1046</v>
      </c>
      <c r="AO20" t="s">
        <v>506</v>
      </c>
      <c r="AP20" t="s">
        <v>17</v>
      </c>
      <c r="AQ20" t="s">
        <v>1047</v>
      </c>
      <c r="AR20" t="s">
        <v>1048</v>
      </c>
      <c r="AS20" t="s">
        <v>1049</v>
      </c>
      <c r="AT20" t="s">
        <v>1050</v>
      </c>
      <c r="AU20" t="s">
        <v>1051</v>
      </c>
      <c r="AV20" t="s">
        <v>1052</v>
      </c>
      <c r="AW20" t="s">
        <v>1053</v>
      </c>
      <c r="AX20" t="s">
        <v>71</v>
      </c>
      <c r="AY20" t="s">
        <v>210</v>
      </c>
      <c r="AZ20" t="s">
        <v>88</v>
      </c>
      <c r="BA20" t="s">
        <v>44</v>
      </c>
      <c r="BB20" t="s">
        <v>89</v>
      </c>
      <c r="BC20" t="s">
        <v>405</v>
      </c>
      <c r="BD20" t="s">
        <v>40</v>
      </c>
      <c r="BE20" t="s">
        <v>48</v>
      </c>
      <c r="BF20" t="s">
        <v>45</v>
      </c>
      <c r="BG20" t="s">
        <v>90</v>
      </c>
      <c r="BH20" t="s">
        <v>1054</v>
      </c>
      <c r="BI20" t="s">
        <v>1055</v>
      </c>
      <c r="BJ20" t="s">
        <v>71</v>
      </c>
      <c r="BK20" t="s">
        <v>1056</v>
      </c>
      <c r="BL20" t="s">
        <v>1057</v>
      </c>
      <c r="BM20" t="s">
        <v>405</v>
      </c>
      <c r="BN20">
        <v>2.2000000000000002</v>
      </c>
      <c r="BO20">
        <v>1.85</v>
      </c>
      <c r="BP20">
        <v>4.84</v>
      </c>
      <c r="BQ20">
        <v>1.71</v>
      </c>
      <c r="BR20">
        <v>1.54</v>
      </c>
      <c r="BS20">
        <v>5.38</v>
      </c>
      <c r="BT20" t="s">
        <v>1058</v>
      </c>
      <c r="BU20" t="s">
        <v>12</v>
      </c>
      <c r="BV20">
        <v>61.85</v>
      </c>
      <c r="BW20">
        <v>59.31</v>
      </c>
      <c r="BX20">
        <v>70.069999999999993</v>
      </c>
      <c r="BY20">
        <v>9.59</v>
      </c>
      <c r="BZ20">
        <v>19.649999999999999</v>
      </c>
      <c r="CA20">
        <v>287.02</v>
      </c>
      <c r="CB20">
        <v>-0.7</v>
      </c>
      <c r="CC20">
        <v>-33.96</v>
      </c>
      <c r="CD20" t="s">
        <v>1059</v>
      </c>
      <c r="CE20" t="s">
        <v>1060</v>
      </c>
      <c r="CF20" s="9">
        <v>-9.242489906708333E-2</v>
      </c>
      <c r="CG20" s="10">
        <v>-1.2291626756480434</v>
      </c>
      <c r="CH20" s="9">
        <v>-0.94073522090911865</v>
      </c>
      <c r="CI20" s="9">
        <v>4.8348636627197266</v>
      </c>
      <c r="CJ20" s="9">
        <v>0.13370148837566376</v>
      </c>
      <c r="CK20" s="9">
        <v>-0.25411605834960938</v>
      </c>
      <c r="CL20" s="9">
        <v>1.304495707154274E-2</v>
      </c>
      <c r="CM20" s="10">
        <v>10.04750919342041</v>
      </c>
      <c r="CN20" s="10">
        <v>-0.70783984661102295</v>
      </c>
      <c r="CO20" s="10">
        <v>0.17142857611179352</v>
      </c>
      <c r="CP20" s="10">
        <v>0.56410843133926392</v>
      </c>
      <c r="CQ20" s="10">
        <v>-7.8362300992012024E-3</v>
      </c>
      <c r="CR20">
        <v>21.953572811402694</v>
      </c>
      <c r="CS20">
        <v>0.28987286758016656</v>
      </c>
      <c r="CT20">
        <v>0.23584905660377359</v>
      </c>
      <c r="CU20" s="9">
        <v>0.75735176578164098</v>
      </c>
      <c r="CV20" s="10">
        <v>2.0134740248322487</v>
      </c>
      <c r="CW20">
        <v>0.06</v>
      </c>
      <c r="CX20">
        <v>4.5664107959611924</v>
      </c>
      <c r="CY20">
        <v>658177972.65595424</v>
      </c>
      <c r="CZ20">
        <v>0.75735176578164098</v>
      </c>
      <c r="DA20">
        <v>0.88834843437425837</v>
      </c>
      <c r="DB20">
        <v>3383256933.5443754</v>
      </c>
      <c r="DC20">
        <v>0.71948417749255889</v>
      </c>
      <c r="DD20">
        <v>0.19541150688305525</v>
      </c>
      <c r="DE20">
        <v>15380419750.8116</v>
      </c>
      <c r="DF20">
        <v>0.66646955388784412</v>
      </c>
      <c r="DG20">
        <v>4.1049653133378598E-2</v>
      </c>
      <c r="DH20">
        <v>73216477377.640411</v>
      </c>
      <c r="DI20">
        <v>0.60588141262531281</v>
      </c>
      <c r="DJ20">
        <v>1.5078835999219995E-3</v>
      </c>
      <c r="DK20">
        <v>1993198281455.8567</v>
      </c>
      <c r="DL20">
        <v>0.53014623604714861</v>
      </c>
      <c r="DM20">
        <v>397000000</v>
      </c>
      <c r="DN20">
        <v>0.75735176578164098</v>
      </c>
      <c r="DO20">
        <v>3005511000</v>
      </c>
      <c r="DP20">
        <v>866591900.00000012</v>
      </c>
      <c r="DQ20">
        <v>3325</v>
      </c>
      <c r="DR20">
        <v>-0.84977666484872427</v>
      </c>
      <c r="DS20">
        <v>-3.2426367004802921</v>
      </c>
      <c r="DT20" s="11">
        <v>-0.57333333333333336</v>
      </c>
      <c r="DU20">
        <v>-0.64833333333333332</v>
      </c>
      <c r="DV20">
        <v>-1.2216666666666667</v>
      </c>
      <c r="DW20">
        <v>-3.2031190476190474</v>
      </c>
      <c r="DX20">
        <v>0.35060612244897871</v>
      </c>
      <c r="DY20">
        <v>-3.0143414483479107</v>
      </c>
      <c r="DZ20">
        <v>3476</v>
      </c>
      <c r="EA20">
        <v>-3.0045858956165334</v>
      </c>
      <c r="EB20">
        <v>3</v>
      </c>
      <c r="EC20">
        <v>3.022992859045498E-2</v>
      </c>
      <c r="ED20">
        <v>0.42814882820253031</v>
      </c>
      <c r="EE20" s="12">
        <v>-3.0076999999999998</v>
      </c>
      <c r="EF20">
        <v>-3.0188100000000002</v>
      </c>
      <c r="EG20">
        <v>28.070606122448979</v>
      </c>
      <c r="EH20" t="s">
        <v>1061</v>
      </c>
      <c r="EI20">
        <v>0</v>
      </c>
      <c r="EJ20">
        <v>0</v>
      </c>
      <c r="EK20" s="8">
        <v>45470</v>
      </c>
      <c r="EL20" s="13">
        <v>0</v>
      </c>
      <c r="EM20" s="13">
        <v>-4.68</v>
      </c>
      <c r="EN20" s="13">
        <v>0.2</v>
      </c>
      <c r="EO20" s="13">
        <v>3.73</v>
      </c>
      <c r="EP20" s="13">
        <v>-2.65</v>
      </c>
    </row>
    <row r="21" spans="1:146" ht="96" x14ac:dyDescent="0.25">
      <c r="C21" s="14" t="str">
        <f>""&amp;CHAR(10)&amp;Basic_Fundamental_Information_Constructure(F21)&amp;CHAR(10)&amp;Basic_Fundamental_Information_Concatenate("")</f>
        <v xml:space="preserve">
市值198.9157亿, 利润12.43亿; PE64.88; 平均PE21.38; 平均PEG2.59, PB1.99; ROIC4%; ROE5.9867%; 股利率0%; 毛利21.5%; 净利2.8933%; 上一年度营收增-8.62%, 利润增42.22%; 当季营收增31.8%, 利润增-190.7%; 过往5年营收增8.24%, 利润增24.09%
Income profile:
</v>
      </c>
      <c r="D21" s="5" t="s">
        <v>452</v>
      </c>
      <c r="E21" t="s">
        <v>453</v>
      </c>
      <c r="F21">
        <v>6.6</v>
      </c>
      <c r="G21">
        <v>-0.15</v>
      </c>
      <c r="H21" t="s">
        <v>541</v>
      </c>
      <c r="I21">
        <v>19891570000</v>
      </c>
      <c r="J21">
        <v>64.88</v>
      </c>
      <c r="K21">
        <v>1.99</v>
      </c>
      <c r="L21" t="s">
        <v>12</v>
      </c>
      <c r="M21" t="s">
        <v>454</v>
      </c>
      <c r="N21" t="s">
        <v>455</v>
      </c>
      <c r="O21" t="s">
        <v>456</v>
      </c>
      <c r="P21" s="5">
        <v>3.15</v>
      </c>
      <c r="Q21" t="s">
        <v>457</v>
      </c>
      <c r="R21">
        <v>-221535580</v>
      </c>
      <c r="S21">
        <v>-1.31</v>
      </c>
      <c r="T21" t="s">
        <v>444</v>
      </c>
      <c r="U21">
        <v>2997264300</v>
      </c>
      <c r="V21">
        <v>3013874300</v>
      </c>
      <c r="W21">
        <v>2.4900000000000002</v>
      </c>
      <c r="X21">
        <v>0.36</v>
      </c>
      <c r="Y21">
        <v>-2.82</v>
      </c>
      <c r="Z21" t="s">
        <v>458</v>
      </c>
      <c r="AA21" t="s">
        <v>459</v>
      </c>
      <c r="AB21" t="s">
        <v>416</v>
      </c>
      <c r="AC21" t="s">
        <v>460</v>
      </c>
      <c r="AD21" t="s">
        <v>411</v>
      </c>
      <c r="AE21">
        <v>255457570</v>
      </c>
      <c r="AF21" t="s">
        <v>461</v>
      </c>
      <c r="AG21" t="s">
        <v>462</v>
      </c>
      <c r="AH21" t="s">
        <v>463</v>
      </c>
      <c r="AI21" t="s">
        <v>464</v>
      </c>
      <c r="AJ21" t="s">
        <v>465</v>
      </c>
      <c r="AK21" t="s">
        <v>466</v>
      </c>
      <c r="AL21" t="s">
        <v>467</v>
      </c>
      <c r="AM21" t="s">
        <v>17</v>
      </c>
      <c r="AN21" t="s">
        <v>468</v>
      </c>
      <c r="AO21" t="s">
        <v>469</v>
      </c>
      <c r="AP21" t="s">
        <v>470</v>
      </c>
      <c r="AQ21" t="s">
        <v>471</v>
      </c>
      <c r="AR21" t="s">
        <v>17</v>
      </c>
      <c r="AS21" t="s">
        <v>472</v>
      </c>
      <c r="AT21" t="s">
        <v>82</v>
      </c>
      <c r="AU21" t="s">
        <v>354</v>
      </c>
      <c r="AV21" t="s">
        <v>473</v>
      </c>
      <c r="AW21" t="s">
        <v>474</v>
      </c>
      <c r="AX21" t="s">
        <v>475</v>
      </c>
      <c r="AY21" t="s">
        <v>476</v>
      </c>
      <c r="AZ21" t="s">
        <v>477</v>
      </c>
      <c r="BA21" t="s">
        <v>478</v>
      </c>
      <c r="BB21" t="s">
        <v>479</v>
      </c>
      <c r="BC21" t="s">
        <v>480</v>
      </c>
      <c r="BD21" t="s">
        <v>481</v>
      </c>
      <c r="BE21" t="s">
        <v>482</v>
      </c>
      <c r="BF21" t="s">
        <v>483</v>
      </c>
      <c r="BG21" t="s">
        <v>484</v>
      </c>
      <c r="BH21" t="s">
        <v>485</v>
      </c>
      <c r="BI21" t="s">
        <v>486</v>
      </c>
      <c r="BJ21" t="s">
        <v>487</v>
      </c>
      <c r="BK21" t="s">
        <v>488</v>
      </c>
      <c r="BL21" t="s">
        <v>489</v>
      </c>
      <c r="BM21" t="s">
        <v>490</v>
      </c>
      <c r="BN21">
        <v>0.56999999999999995</v>
      </c>
      <c r="BO21">
        <v>4.74</v>
      </c>
      <c r="BP21">
        <v>6.69</v>
      </c>
      <c r="BQ21">
        <v>0.65</v>
      </c>
      <c r="BR21">
        <v>11.26</v>
      </c>
      <c r="BS21">
        <v>6.05</v>
      </c>
      <c r="BT21" t="s">
        <v>344</v>
      </c>
      <c r="BU21" t="s">
        <v>12</v>
      </c>
      <c r="BV21">
        <v>10.79</v>
      </c>
      <c r="BW21">
        <v>21.51</v>
      </c>
      <c r="BX21">
        <v>32.200000000000003</v>
      </c>
      <c r="BY21">
        <v>-3.33</v>
      </c>
      <c r="BZ21">
        <v>4.3</v>
      </c>
      <c r="CA21">
        <v>7.71</v>
      </c>
      <c r="CB21">
        <v>-2.94</v>
      </c>
      <c r="CC21" s="9">
        <v>-0.45</v>
      </c>
      <c r="CD21" s="10" t="s">
        <v>542</v>
      </c>
      <c r="CE21" s="9" t="s">
        <v>399</v>
      </c>
      <c r="CF21" s="9">
        <v>0.3180351380423091</v>
      </c>
      <c r="CG21" s="9">
        <v>-1.9069843956043957</v>
      </c>
      <c r="CH21" s="9">
        <v>-8.6158379912376404E-2</v>
      </c>
      <c r="CI21" s="9">
        <v>0.2344035804271698</v>
      </c>
      <c r="CJ21" s="10">
        <v>-0.297690749168396</v>
      </c>
      <c r="CK21" s="10">
        <v>0.26429790258407593</v>
      </c>
      <c r="CL21" s="10">
        <v>0.297345370054245</v>
      </c>
      <c r="CM21" s="10">
        <v>0.42219686508178711</v>
      </c>
      <c r="CN21" s="10">
        <v>1.1009615659713745</v>
      </c>
      <c r="CO21">
        <v>-0.62589925527572632</v>
      </c>
      <c r="CP21">
        <v>1.9248336553573608E-2</v>
      </c>
      <c r="CQ21">
        <v>0.28807562589645386</v>
      </c>
      <c r="CR21" s="9">
        <v>21.37729177861365</v>
      </c>
      <c r="CS21" s="10">
        <v>2.5930870714131093</v>
      </c>
      <c r="CT21">
        <v>0</v>
      </c>
      <c r="CU21">
        <v>8.2439544796943667E-2</v>
      </c>
      <c r="CV21">
        <v>0.24091662764549254</v>
      </c>
      <c r="CW21">
        <v>0.06</v>
      </c>
      <c r="CX21">
        <v>19.689831691929818</v>
      </c>
      <c r="CY21">
        <v>1269313541.681699</v>
      </c>
      <c r="CZ21">
        <v>8.2439544796943667E-2</v>
      </c>
      <c r="DA21">
        <v>6.475814641078288</v>
      </c>
      <c r="DB21">
        <v>3859370810.5021496</v>
      </c>
      <c r="DC21">
        <v>7.8317567557096485E-2</v>
      </c>
      <c r="DD21">
        <v>3.2152481346807966</v>
      </c>
      <c r="DE21">
        <v>7773138791.5045671</v>
      </c>
      <c r="DF21">
        <v>7.2546799421310426E-2</v>
      </c>
      <c r="DG21">
        <v>1.9494389340399318</v>
      </c>
      <c r="DH21">
        <v>12820391325.726984</v>
      </c>
      <c r="DI21">
        <v>6.5951635837554937E-2</v>
      </c>
      <c r="DJ21">
        <v>1.0283669879072066</v>
      </c>
      <c r="DK21">
        <v>24303162483.71751</v>
      </c>
      <c r="DL21">
        <v>5.7707681357860564E-2</v>
      </c>
      <c r="DM21">
        <v>1243000000</v>
      </c>
      <c r="DN21">
        <v>8.2439544796943667E-2</v>
      </c>
      <c r="DO21">
        <v>24992570000</v>
      </c>
      <c r="DP21">
        <v>71801200</v>
      </c>
      <c r="DQ21" s="11">
        <v>3365</v>
      </c>
      <c r="DR21">
        <v>0.23559559324536544</v>
      </c>
      <c r="DS21">
        <v>-2.1479010232498883</v>
      </c>
      <c r="DT21">
        <v>-0.20666666666666669</v>
      </c>
      <c r="DU21">
        <v>-0.59833333333333338</v>
      </c>
      <c r="DV21">
        <v>-0.80500000000000005</v>
      </c>
      <c r="DW21">
        <v>-4.1530612244897958</v>
      </c>
      <c r="DX21">
        <v>0.44471219512195276</v>
      </c>
      <c r="DY21">
        <v>-4.0206192135390744</v>
      </c>
      <c r="DZ21">
        <v>3650</v>
      </c>
      <c r="EA21">
        <v>-4.0058883211104934</v>
      </c>
      <c r="EB21" s="12">
        <v>4</v>
      </c>
      <c r="EC21" s="12">
        <v>1.0995548155409136E-2</v>
      </c>
      <c r="ED21">
        <v>8.1622514913777255E-2</v>
      </c>
      <c r="EE21">
        <v>1.0222</v>
      </c>
      <c r="EF21">
        <v>1.0206999999999999</v>
      </c>
      <c r="EG21">
        <v>31.134712195121953</v>
      </c>
      <c r="EH21" s="8" t="s">
        <v>240</v>
      </c>
      <c r="EI21">
        <v>0</v>
      </c>
      <c r="EJ21">
        <v>0</v>
      </c>
      <c r="EK21">
        <v>45310</v>
      </c>
      <c r="EL21">
        <v>0.28999999999999998</v>
      </c>
      <c r="EM21">
        <v>-1.18</v>
      </c>
      <c r="EN21" s="13">
        <v>-0.24</v>
      </c>
      <c r="EO21" s="13">
        <v>-1.95</v>
      </c>
      <c r="EP21" s="13">
        <v>-1.99</v>
      </c>
    </row>
    <row r="22" spans="1:146" ht="108" x14ac:dyDescent="0.25">
      <c r="A22" s="14"/>
      <c r="B22" s="14"/>
      <c r="C22" s="14" t="str">
        <f>""&amp;CHAR(10)&amp;Basic_Fundamental_Information_Constructure(F22)&amp;CHAR(10)&amp;Basic_Fundamental_Information_Concatenate("")</f>
        <v xml:space="preserve">
市值29.2092亿, 利润-4123.70万; PE; 平均PE70.96; 平均PEG2.56, PB.533; ROIC-.26%; ROE-.3067%; 股利率0%; 毛利4.6633%; 净利.1%; 上一年度营收增-94.55%, 利润增-244.43%; 当季营收增1132.59%, 利润增-4350.23%; 过往5年营收增-27.7%, 利润增-63.34%
Income profile:
</v>
      </c>
      <c r="D22" t="s">
        <v>161</v>
      </c>
      <c r="E22" t="s">
        <v>162</v>
      </c>
      <c r="F22">
        <v>2.84</v>
      </c>
      <c r="G22">
        <v>1.43</v>
      </c>
      <c r="H22" t="s">
        <v>1062</v>
      </c>
      <c r="I22">
        <v>2920920000</v>
      </c>
      <c r="K22">
        <v>0.53300000000000003</v>
      </c>
      <c r="L22" t="s">
        <v>12</v>
      </c>
      <c r="M22" t="s">
        <v>1063</v>
      </c>
      <c r="N22" t="s">
        <v>1064</v>
      </c>
      <c r="O22" t="s">
        <v>1065</v>
      </c>
      <c r="P22">
        <v>-7.66</v>
      </c>
      <c r="Q22" t="s">
        <v>1066</v>
      </c>
      <c r="R22">
        <v>-70609032</v>
      </c>
      <c r="S22" s="6">
        <v>-1.2989999999999999</v>
      </c>
      <c r="T22" t="s">
        <v>1067</v>
      </c>
      <c r="U22">
        <v>1028492940</v>
      </c>
      <c r="V22">
        <v>1028492940</v>
      </c>
      <c r="W22">
        <v>1.38</v>
      </c>
      <c r="X22">
        <v>0.12</v>
      </c>
      <c r="Y22">
        <v>-7.67</v>
      </c>
      <c r="Z22" t="s">
        <v>1068</v>
      </c>
      <c r="AA22" t="s">
        <v>1069</v>
      </c>
      <c r="AB22" t="s">
        <v>1070</v>
      </c>
      <c r="AC22" t="s">
        <v>1071</v>
      </c>
      <c r="AD22" t="s">
        <v>17</v>
      </c>
      <c r="AE22">
        <v>1824932</v>
      </c>
      <c r="AF22" t="s">
        <v>1072</v>
      </c>
      <c r="AG22" t="s">
        <v>1073</v>
      </c>
      <c r="AH22" t="s">
        <v>1074</v>
      </c>
      <c r="AI22" t="s">
        <v>425</v>
      </c>
      <c r="AJ22" t="s">
        <v>1075</v>
      </c>
      <c r="AK22" t="s">
        <v>165</v>
      </c>
      <c r="AL22" t="s">
        <v>1076</v>
      </c>
      <c r="AM22" t="s">
        <v>17</v>
      </c>
      <c r="AN22" t="s">
        <v>1077</v>
      </c>
      <c r="AO22" t="s">
        <v>1078</v>
      </c>
      <c r="AP22" t="s">
        <v>1079</v>
      </c>
      <c r="AQ22" t="s">
        <v>1080</v>
      </c>
      <c r="AR22" t="s">
        <v>1081</v>
      </c>
      <c r="AS22" t="s">
        <v>1082</v>
      </c>
      <c r="AT22" t="s">
        <v>166</v>
      </c>
      <c r="AU22" t="s">
        <v>1083</v>
      </c>
      <c r="AV22" t="s">
        <v>1084</v>
      </c>
      <c r="AW22" t="s">
        <v>1085</v>
      </c>
      <c r="AX22" t="s">
        <v>1086</v>
      </c>
      <c r="AY22" t="s">
        <v>211</v>
      </c>
      <c r="AZ22" t="s">
        <v>163</v>
      </c>
      <c r="BA22" t="s">
        <v>167</v>
      </c>
      <c r="BB22" t="s">
        <v>168</v>
      </c>
      <c r="BC22" t="s">
        <v>1087</v>
      </c>
      <c r="BD22" t="s">
        <v>212</v>
      </c>
      <c r="BE22" t="s">
        <v>164</v>
      </c>
      <c r="BF22" t="s">
        <v>160</v>
      </c>
      <c r="BG22" t="s">
        <v>149</v>
      </c>
      <c r="BH22" t="s">
        <v>1088</v>
      </c>
      <c r="BI22" t="s">
        <v>1089</v>
      </c>
      <c r="BJ22" t="s">
        <v>1086</v>
      </c>
      <c r="BK22" t="s">
        <v>1090</v>
      </c>
      <c r="BL22" t="s">
        <v>1091</v>
      </c>
      <c r="BM22" t="s">
        <v>1087</v>
      </c>
      <c r="BN22" t="s">
        <v>17</v>
      </c>
      <c r="BO22">
        <v>-0.01</v>
      </c>
      <c r="BP22">
        <v>-0.51</v>
      </c>
      <c r="BQ22">
        <v>-1.62</v>
      </c>
      <c r="BR22">
        <v>0.49</v>
      </c>
      <c r="BS22">
        <v>0.21</v>
      </c>
      <c r="BT22" t="s">
        <v>344</v>
      </c>
      <c r="BU22" t="s">
        <v>12</v>
      </c>
      <c r="BV22">
        <v>6.3</v>
      </c>
      <c r="BW22">
        <v>2.15</v>
      </c>
      <c r="BX22">
        <v>5.54</v>
      </c>
      <c r="BY22">
        <v>0.61</v>
      </c>
      <c r="BZ22">
        <v>0</v>
      </c>
      <c r="CA22">
        <v>-0.31</v>
      </c>
      <c r="CB22">
        <v>2.5299999999999998</v>
      </c>
      <c r="CC22">
        <v>-15.48</v>
      </c>
      <c r="CD22" t="s">
        <v>1092</v>
      </c>
      <c r="CE22" t="s">
        <v>1093</v>
      </c>
      <c r="CF22" s="9">
        <v>11.325926998953653</v>
      </c>
      <c r="CG22" s="10">
        <v>-43.502276530427977</v>
      </c>
      <c r="CH22" s="9">
        <v>-0.94548779726028442</v>
      </c>
      <c r="CI22" s="9">
        <v>-0.19880162179470062</v>
      </c>
      <c r="CJ22" s="9">
        <v>-3.3462002873420715E-2</v>
      </c>
      <c r="CK22" s="9">
        <v>-0.10648580640554428</v>
      </c>
      <c r="CL22" s="9">
        <v>-0.10063084959983826</v>
      </c>
      <c r="CM22" s="10">
        <v>-2.4443023204803467</v>
      </c>
      <c r="CN22" s="10">
        <v>1.4447498321533203</v>
      </c>
      <c r="CO22" s="10">
        <v>1.0569692850112915</v>
      </c>
      <c r="CP22" s="10">
        <v>-2.6141731739044189</v>
      </c>
      <c r="CQ22" s="10">
        <v>-0.61042946577072144</v>
      </c>
      <c r="CR22">
        <v>70.955475697306639</v>
      </c>
      <c r="CS22">
        <v>2.5618135340072112</v>
      </c>
      <c r="CT22">
        <v>0</v>
      </c>
      <c r="CU22" s="9">
        <v>-0.27697361558675765</v>
      </c>
      <c r="CV22" s="10">
        <v>-0.633437168598175</v>
      </c>
      <c r="CW22">
        <v>0.06</v>
      </c>
      <c r="CX22" t="s">
        <v>504</v>
      </c>
      <c r="CY22" t="s">
        <v>239</v>
      </c>
      <c r="CZ22">
        <v>-0.27697361558675765</v>
      </c>
      <c r="DA22" t="s">
        <v>504</v>
      </c>
      <c r="DB22" t="s">
        <v>237</v>
      </c>
      <c r="DC22">
        <v>-0.26312493480741977</v>
      </c>
      <c r="DD22" t="s">
        <v>504</v>
      </c>
      <c r="DE22" t="s">
        <v>237</v>
      </c>
      <c r="DF22">
        <v>-0.24373678171634675</v>
      </c>
      <c r="DG22" t="s">
        <v>504</v>
      </c>
      <c r="DH22" t="s">
        <v>237</v>
      </c>
      <c r="DI22">
        <v>-0.22157889246940612</v>
      </c>
      <c r="DJ22" t="s">
        <v>504</v>
      </c>
      <c r="DK22" t="s">
        <v>237</v>
      </c>
      <c r="DL22">
        <v>-0.19388153091073035</v>
      </c>
      <c r="DM22">
        <v>-41237000</v>
      </c>
      <c r="DN22">
        <v>-0.27697361558675765</v>
      </c>
      <c r="DO22">
        <v>-302080000</v>
      </c>
      <c r="DP22">
        <v>3292370100</v>
      </c>
      <c r="DQ22">
        <v>3368</v>
      </c>
      <c r="DR22">
        <v>11.602900614540411</v>
      </c>
      <c r="DS22">
        <v>-42.868839361829799</v>
      </c>
      <c r="DT22" s="11">
        <v>-0.92333333333333334</v>
      </c>
      <c r="DU22">
        <v>-1.9316666666666666</v>
      </c>
      <c r="DV22">
        <v>-2.855</v>
      </c>
      <c r="DW22">
        <v>6.1404775124930593</v>
      </c>
      <c r="DX22">
        <v>0.27981768707483046</v>
      </c>
      <c r="DY22">
        <v>6.0154269155080131</v>
      </c>
      <c r="DZ22">
        <v>4080</v>
      </c>
      <c r="EA22">
        <v>6.0031095348284254</v>
      </c>
      <c r="EB22">
        <v>6</v>
      </c>
      <c r="EC22">
        <v>1.5695975511509103E-2</v>
      </c>
      <c r="ED22">
        <v>0.14292757323156735</v>
      </c>
      <c r="EE22" s="12">
        <v>1.0859000000000001</v>
      </c>
      <c r="EF22">
        <v>1.0740000000000001</v>
      </c>
      <c r="EG22">
        <v>17.10981768707483</v>
      </c>
      <c r="EH22" t="s">
        <v>240</v>
      </c>
      <c r="EI22">
        <v>0</v>
      </c>
      <c r="EJ22">
        <v>0</v>
      </c>
      <c r="EK22" s="8">
        <v>45470</v>
      </c>
      <c r="EL22" s="13">
        <v>0</v>
      </c>
      <c r="EM22" s="13">
        <v>-3.94</v>
      </c>
      <c r="EN22">
        <v>2.0499999999999998</v>
      </c>
      <c r="EO22">
        <v>1.2</v>
      </c>
      <c r="EP22">
        <v>-1.19</v>
      </c>
    </row>
    <row r="23" spans="1:146" ht="96" x14ac:dyDescent="0.25">
      <c r="C23" s="14" t="str">
        <f>""&amp;CHAR(10)&amp;Basic_Fundamental_Information_Constructure(F23)&amp;CHAR(10)&amp;Basic_Fundamental_Information_Concatenate("")</f>
        <v xml:space="preserve">
市值68.383517亿, 利润-6.59亿; PE18.17; 平均PE15.39; 平均PEG19.56, PB.392; ROIC4.46%; ROE4.35%; 股利率.5906%; 毛利51.0033%; 净利14.31%; 上一年度营收增65.46%, 利润增-191.15%; 当季营收增-50.44%, 利润增5.51%; 过往5年营收增.79%, 利润增10.28%
Income profile:
</v>
      </c>
      <c r="D23" s="5" t="s">
        <v>492</v>
      </c>
      <c r="E23" t="s">
        <v>493</v>
      </c>
      <c r="F23">
        <v>5.08</v>
      </c>
      <c r="G23">
        <v>2.0099999999999998</v>
      </c>
      <c r="H23" t="s">
        <v>1094</v>
      </c>
      <c r="I23">
        <v>6838351700</v>
      </c>
      <c r="J23">
        <v>18.170000000000002</v>
      </c>
      <c r="K23">
        <v>0.39200000000000002</v>
      </c>
      <c r="L23" t="s">
        <v>12</v>
      </c>
      <c r="M23" t="s">
        <v>1095</v>
      </c>
      <c r="N23" t="s">
        <v>1096</v>
      </c>
      <c r="O23" t="s">
        <v>1097</v>
      </c>
      <c r="P23" s="5">
        <v>-0.96</v>
      </c>
      <c r="Q23" t="s">
        <v>1098</v>
      </c>
      <c r="R23">
        <v>129782240</v>
      </c>
      <c r="S23">
        <v>-0.27960000000000002</v>
      </c>
      <c r="T23" t="s">
        <v>1099</v>
      </c>
      <c r="U23">
        <v>1165060280</v>
      </c>
      <c r="V23">
        <v>1346132200</v>
      </c>
      <c r="W23">
        <v>1.38</v>
      </c>
      <c r="X23">
        <v>0.06</v>
      </c>
      <c r="Y23">
        <v>10.52</v>
      </c>
      <c r="Z23" t="s">
        <v>1100</v>
      </c>
      <c r="AA23" t="s">
        <v>362</v>
      </c>
      <c r="AB23" t="s">
        <v>160</v>
      </c>
      <c r="AC23" t="s">
        <v>69</v>
      </c>
      <c r="AD23" t="s">
        <v>17</v>
      </c>
      <c r="AE23">
        <v>-20674441</v>
      </c>
      <c r="AF23" t="s">
        <v>1101</v>
      </c>
      <c r="AG23" t="s">
        <v>1102</v>
      </c>
      <c r="AH23" t="s">
        <v>1103</v>
      </c>
      <c r="AI23" t="s">
        <v>1104</v>
      </c>
      <c r="AJ23" t="s">
        <v>1105</v>
      </c>
      <c r="AK23" t="s">
        <v>17</v>
      </c>
      <c r="AL23" t="s">
        <v>1106</v>
      </c>
      <c r="AM23" t="s">
        <v>17</v>
      </c>
      <c r="AN23" t="s">
        <v>1107</v>
      </c>
      <c r="AO23" t="s">
        <v>598</v>
      </c>
      <c r="AP23" t="s">
        <v>1108</v>
      </c>
      <c r="AQ23" t="s">
        <v>1109</v>
      </c>
      <c r="AR23" t="s">
        <v>1110</v>
      </c>
      <c r="AS23" t="s">
        <v>1111</v>
      </c>
      <c r="AT23" t="s">
        <v>389</v>
      </c>
      <c r="AU23" t="s">
        <v>1112</v>
      </c>
      <c r="AV23" t="s">
        <v>1113</v>
      </c>
      <c r="AW23" t="s">
        <v>1114</v>
      </c>
      <c r="AX23" t="s">
        <v>494</v>
      </c>
      <c r="AY23" t="s">
        <v>496</v>
      </c>
      <c r="AZ23" t="s">
        <v>497</v>
      </c>
      <c r="BA23" t="s">
        <v>498</v>
      </c>
      <c r="BB23" t="s">
        <v>499</v>
      </c>
      <c r="BC23" t="s">
        <v>495</v>
      </c>
      <c r="BD23" t="s">
        <v>500</v>
      </c>
      <c r="BE23" t="s">
        <v>501</v>
      </c>
      <c r="BF23" t="s">
        <v>502</v>
      </c>
      <c r="BG23" t="s">
        <v>503</v>
      </c>
      <c r="BH23" t="s">
        <v>1115</v>
      </c>
      <c r="BI23" t="s">
        <v>1116</v>
      </c>
      <c r="BJ23" t="s">
        <v>494</v>
      </c>
      <c r="BK23" t="s">
        <v>1117</v>
      </c>
      <c r="BL23" t="s">
        <v>40</v>
      </c>
      <c r="BM23" t="s">
        <v>495</v>
      </c>
      <c r="BN23">
        <v>2.39</v>
      </c>
      <c r="BO23">
        <v>4.46</v>
      </c>
      <c r="BP23">
        <v>6.53</v>
      </c>
      <c r="BQ23">
        <v>2.31</v>
      </c>
      <c r="BR23">
        <v>4.1900000000000004</v>
      </c>
      <c r="BS23">
        <v>6.55</v>
      </c>
      <c r="BT23" t="s">
        <v>407</v>
      </c>
      <c r="BU23" t="s">
        <v>12</v>
      </c>
      <c r="BV23">
        <v>46.16</v>
      </c>
      <c r="BW23">
        <v>49.4</v>
      </c>
      <c r="BX23">
        <v>57.45</v>
      </c>
      <c r="BY23">
        <v>9.1199999999999992</v>
      </c>
      <c r="BZ23">
        <v>13.6</v>
      </c>
      <c r="CA23">
        <v>20.21</v>
      </c>
      <c r="CB23">
        <v>1.8</v>
      </c>
      <c r="CC23" s="9">
        <v>-24.07</v>
      </c>
      <c r="CD23" s="10" t="s">
        <v>1118</v>
      </c>
      <c r="CE23" s="9" t="s">
        <v>1119</v>
      </c>
      <c r="CF23" s="9">
        <v>-0.50439146800501877</v>
      </c>
      <c r="CG23" s="9">
        <v>5.5140162601626019E-2</v>
      </c>
      <c r="CH23" s="9">
        <v>0.65464162826538086</v>
      </c>
      <c r="CI23" s="9">
        <v>7.2044054977595806E-3</v>
      </c>
      <c r="CJ23" s="10">
        <v>0.12869012355804443</v>
      </c>
      <c r="CK23" s="10">
        <v>-0.40465167164802551</v>
      </c>
      <c r="CL23" s="10">
        <v>-0.34653735160827637</v>
      </c>
      <c r="CM23" s="10">
        <v>-1.9114799499511719</v>
      </c>
      <c r="CN23" s="10">
        <v>-0.3146919310092926</v>
      </c>
      <c r="CO23">
        <v>0.4029255211353302</v>
      </c>
      <c r="CP23">
        <v>-0.55423831939697266</v>
      </c>
      <c r="CQ23">
        <v>2.8912556171417236</v>
      </c>
      <c r="CR23" s="9">
        <v>15.390138859714929</v>
      </c>
      <c r="CS23" s="10">
        <v>19.55687399536744</v>
      </c>
      <c r="CT23">
        <v>0.59055118110236215</v>
      </c>
      <c r="CU23">
        <v>7.869426812976598E-3</v>
      </c>
      <c r="CV23">
        <v>0.10275418758392334</v>
      </c>
      <c r="CW23">
        <v>0.06</v>
      </c>
      <c r="CX23" t="s">
        <v>504</v>
      </c>
      <c r="CY23" t="s">
        <v>237</v>
      </c>
      <c r="CZ23">
        <v>7.869426812976598E-3</v>
      </c>
      <c r="DA23" t="s">
        <v>504</v>
      </c>
      <c r="DB23" t="s">
        <v>237</v>
      </c>
      <c r="DC23">
        <v>7.4759554723277674E-3</v>
      </c>
      <c r="DD23" t="s">
        <v>504</v>
      </c>
      <c r="DE23" t="s">
        <v>237</v>
      </c>
      <c r="DF23">
        <v>6.9250955954194065E-3</v>
      </c>
      <c r="DG23" t="s">
        <v>504</v>
      </c>
      <c r="DH23" t="s">
        <v>237</v>
      </c>
      <c r="DI23">
        <v>6.2955414503812791E-3</v>
      </c>
      <c r="DJ23" t="s">
        <v>504</v>
      </c>
      <c r="DK23" t="s">
        <v>237</v>
      </c>
      <c r="DL23">
        <v>5.5085987690836179E-3</v>
      </c>
      <c r="DM23">
        <v>-659000000</v>
      </c>
      <c r="DN23">
        <v>7.869426812976598E-3</v>
      </c>
      <c r="DO23">
        <v>-5018648300</v>
      </c>
      <c r="DP23">
        <v>2777917700</v>
      </c>
      <c r="DQ23" s="11">
        <v>3372</v>
      </c>
      <c r="DR23">
        <v>-0.51226089481799542</v>
      </c>
      <c r="DS23">
        <v>-4.7614024982297318E-2</v>
      </c>
      <c r="DT23">
        <v>-0.32333333333333331</v>
      </c>
      <c r="DU23">
        <v>-0.47166666666666668</v>
      </c>
      <c r="DV23">
        <v>-0.79499999999999993</v>
      </c>
      <c r="DW23">
        <v>-3.0912678571428573</v>
      </c>
      <c r="DX23">
        <v>0.34022598425196932</v>
      </c>
      <c r="DY23">
        <v>-3.0146234822412823</v>
      </c>
      <c r="DZ23">
        <v>3582</v>
      </c>
      <c r="EA23">
        <v>-3.0043727359813461</v>
      </c>
      <c r="EB23" s="12">
        <v>3</v>
      </c>
      <c r="EC23" s="12">
        <v>6.0465680859576793E-2</v>
      </c>
      <c r="ED23">
        <v>0.37737749680157712</v>
      </c>
      <c r="EE23">
        <v>-1.1375999999999999</v>
      </c>
      <c r="EF23">
        <v>-1.1257999999999999</v>
      </c>
      <c r="EG23">
        <v>18.160225984251969</v>
      </c>
      <c r="EH23" s="8" t="s">
        <v>268</v>
      </c>
      <c r="EI23">
        <v>0</v>
      </c>
      <c r="EJ23">
        <v>0</v>
      </c>
      <c r="EK23">
        <v>45470</v>
      </c>
      <c r="EL23">
        <v>0</v>
      </c>
      <c r="EM23">
        <v>-1.49</v>
      </c>
      <c r="EN23">
        <v>0.6</v>
      </c>
      <c r="EO23">
        <v>1.8</v>
      </c>
      <c r="EP23">
        <v>-1.18</v>
      </c>
    </row>
    <row r="24" spans="1:146" ht="96" x14ac:dyDescent="0.25">
      <c r="A24" s="14"/>
      <c r="B24" s="14"/>
      <c r="C24" s="14" t="str">
        <f>""&amp;CHAR(10)&amp;Basic_Fundamental_Information_Constructure(F24)&amp;CHAR(10)&amp;Basic_Fundamental_Information_Concatenate("")</f>
        <v xml:space="preserve">
市值13.4061226亿, 利润165.97亿; PE66.83; 平均PE.49; 平均PEG0, PB2.99; ROIC2.75%; ROE1.47%; 股利率0%; 毛利7.3533%; 净利.57%; 上一年度营收增25183.17%, 利润增128602.53%; 当季营收增-99.63%, 利润增-99.87%; 过往5年营收增5032.47%, 利润增25594.23%
Income profile:
</v>
      </c>
      <c r="D24" t="s">
        <v>257</v>
      </c>
      <c r="E24" t="s">
        <v>258</v>
      </c>
      <c r="F24">
        <v>6.67</v>
      </c>
      <c r="G24">
        <v>1.37</v>
      </c>
      <c r="H24" t="s">
        <v>1120</v>
      </c>
      <c r="I24">
        <v>1340612260</v>
      </c>
      <c r="J24">
        <v>66.83</v>
      </c>
      <c r="K24">
        <v>2.99</v>
      </c>
      <c r="L24" t="s">
        <v>12</v>
      </c>
      <c r="M24" t="s">
        <v>1121</v>
      </c>
      <c r="N24" t="s">
        <v>451</v>
      </c>
      <c r="O24" t="s">
        <v>71</v>
      </c>
      <c r="P24">
        <v>-13.9</v>
      </c>
      <c r="Q24" t="s">
        <v>1122</v>
      </c>
      <c r="R24">
        <v>5124733</v>
      </c>
      <c r="S24" s="5">
        <v>0.92390000000000005</v>
      </c>
      <c r="T24" t="s">
        <v>1123</v>
      </c>
      <c r="U24">
        <v>152204140</v>
      </c>
      <c r="V24">
        <v>200991340</v>
      </c>
      <c r="W24">
        <v>1.8</v>
      </c>
      <c r="X24">
        <v>0.3</v>
      </c>
      <c r="Y24">
        <v>2.1</v>
      </c>
      <c r="Z24" t="s">
        <v>420</v>
      </c>
      <c r="AA24" t="s">
        <v>1124</v>
      </c>
      <c r="AB24" t="s">
        <v>1125</v>
      </c>
      <c r="AC24" t="s">
        <v>1126</v>
      </c>
      <c r="AD24" t="s">
        <v>17</v>
      </c>
      <c r="AE24">
        <v>-2246515</v>
      </c>
      <c r="AF24" t="s">
        <v>1127</v>
      </c>
      <c r="AG24" t="s">
        <v>17</v>
      </c>
      <c r="AH24" t="s">
        <v>1128</v>
      </c>
      <c r="AI24" t="s">
        <v>532</v>
      </c>
      <c r="AJ24" t="s">
        <v>1129</v>
      </c>
      <c r="AK24" t="s">
        <v>17</v>
      </c>
      <c r="AL24" t="s">
        <v>1130</v>
      </c>
      <c r="AM24" t="s">
        <v>17</v>
      </c>
      <c r="AN24">
        <v>0</v>
      </c>
      <c r="AO24" t="s">
        <v>17</v>
      </c>
      <c r="AP24" t="s">
        <v>17</v>
      </c>
      <c r="AQ24" t="s">
        <v>1131</v>
      </c>
      <c r="AR24" t="s">
        <v>1132</v>
      </c>
      <c r="AS24" t="s">
        <v>1066</v>
      </c>
      <c r="AT24" t="s">
        <v>17</v>
      </c>
      <c r="AU24" t="s">
        <v>1133</v>
      </c>
      <c r="AV24" t="s">
        <v>1134</v>
      </c>
      <c r="AW24" t="s">
        <v>1135</v>
      </c>
      <c r="AX24" t="s">
        <v>390</v>
      </c>
      <c r="AY24" t="s">
        <v>259</v>
      </c>
      <c r="AZ24" t="s">
        <v>261</v>
      </c>
      <c r="BA24" t="s">
        <v>262</v>
      </c>
      <c r="BB24" t="s">
        <v>263</v>
      </c>
      <c r="BC24" t="s">
        <v>391</v>
      </c>
      <c r="BD24" t="s">
        <v>260</v>
      </c>
      <c r="BE24" t="s">
        <v>264</v>
      </c>
      <c r="BF24" t="s">
        <v>265</v>
      </c>
      <c r="BG24" t="s">
        <v>266</v>
      </c>
      <c r="BH24" t="s">
        <v>1136</v>
      </c>
      <c r="BI24" t="s">
        <v>1137</v>
      </c>
      <c r="BJ24" t="s">
        <v>390</v>
      </c>
      <c r="BK24" t="s">
        <v>1138</v>
      </c>
      <c r="BL24" t="s">
        <v>1139</v>
      </c>
      <c r="BM24" t="s">
        <v>391</v>
      </c>
      <c r="BN24">
        <v>4.05</v>
      </c>
      <c r="BO24" t="s">
        <v>17</v>
      </c>
      <c r="BP24">
        <v>1.45</v>
      </c>
      <c r="BQ24">
        <v>4.67</v>
      </c>
      <c r="BR24">
        <v>-2.99</v>
      </c>
      <c r="BS24">
        <v>2.73</v>
      </c>
      <c r="BT24" t="s">
        <v>344</v>
      </c>
      <c r="BU24" t="s">
        <v>12</v>
      </c>
      <c r="BV24">
        <v>6.98</v>
      </c>
      <c r="BW24">
        <v>8.61</v>
      </c>
      <c r="BX24">
        <v>6.47</v>
      </c>
      <c r="BY24">
        <v>1.61</v>
      </c>
      <c r="BZ24">
        <v>-1.25</v>
      </c>
      <c r="CA24">
        <v>1.35</v>
      </c>
      <c r="CB24">
        <v>-1.19</v>
      </c>
      <c r="CC24">
        <v>-16.309999999999999</v>
      </c>
      <c r="CD24" t="s">
        <v>1140</v>
      </c>
      <c r="CE24" t="s">
        <v>1141</v>
      </c>
      <c r="CF24" s="9">
        <v>-0.99625007684268763</v>
      </c>
      <c r="CG24" s="10">
        <v>-0.99870978524672704</v>
      </c>
      <c r="CH24" s="9">
        <v>251.83172607421875</v>
      </c>
      <c r="CI24" s="9">
        <v>0.18171428143978119</v>
      </c>
      <c r="CJ24" s="9">
        <v>-7.4074074625968933E-2</v>
      </c>
      <c r="CK24" s="9">
        <v>-0.31021898984909058</v>
      </c>
      <c r="CL24" s="9">
        <v>-5.805515218526125E-3</v>
      </c>
      <c r="CM24" s="10">
        <v>1286.0252685546875</v>
      </c>
      <c r="CN24" s="10">
        <v>-2.0936241149902344</v>
      </c>
      <c r="CO24" s="10">
        <v>1.3336167335510254</v>
      </c>
      <c r="CP24" s="10">
        <v>-5.3166923522949219</v>
      </c>
      <c r="CQ24" s="10">
        <v>-0.23693123459815979</v>
      </c>
      <c r="CR24">
        <v>0.48515948314087121</v>
      </c>
      <c r="CS24">
        <v>9.6405897743150797E-5</v>
      </c>
      <c r="CT24">
        <v>0</v>
      </c>
      <c r="CU24" s="9">
        <v>50.324668355192991</v>
      </c>
      <c r="CV24" s="10">
        <v>255.94232751727105</v>
      </c>
      <c r="CW24">
        <v>0.06</v>
      </c>
      <c r="CX24">
        <v>1.5549821103084465E-3</v>
      </c>
      <c r="CY24">
        <v>803618415746.35657</v>
      </c>
      <c r="CZ24">
        <v>50.324668355192991</v>
      </c>
      <c r="DA24">
        <v>7.5447932061556371E-7</v>
      </c>
      <c r="DB24">
        <v>1656257800386719.5</v>
      </c>
      <c r="DC24">
        <v>47.80843493743334</v>
      </c>
      <c r="DD24">
        <v>1.2092818289211853E-11</v>
      </c>
      <c r="DE24">
        <v>1.033350729428221E+20</v>
      </c>
      <c r="DF24">
        <v>44.285708152569832</v>
      </c>
      <c r="DG24">
        <v>9.1883341825151572E-18</v>
      </c>
      <c r="DH24">
        <v>1.3599987061614894E+26</v>
      </c>
      <c r="DI24">
        <v>40.259734684154395</v>
      </c>
      <c r="DJ24">
        <v>1.5461598591794519E-32</v>
      </c>
      <c r="DK24">
        <v>8.0820379120640876E+40</v>
      </c>
      <c r="DL24">
        <v>35.227267848635094</v>
      </c>
      <c r="DM24">
        <v>16597000000</v>
      </c>
      <c r="DN24">
        <v>50.324668355192991</v>
      </c>
      <c r="DO24">
        <v>1249612260</v>
      </c>
      <c r="DP24">
        <v>230563150</v>
      </c>
      <c r="DQ24">
        <v>3378</v>
      </c>
      <c r="DR24">
        <v>-51.320918432035675</v>
      </c>
      <c r="DS24">
        <v>-256.94103730251777</v>
      </c>
      <c r="DT24" s="11">
        <v>-0.10666666666666669</v>
      </c>
      <c r="DU24">
        <v>-1.34</v>
      </c>
      <c r="DV24">
        <v>-1.4466666666666668</v>
      </c>
      <c r="DW24">
        <v>-3.0035059523809524</v>
      </c>
      <c r="DX24">
        <v>0.34451623115047242</v>
      </c>
      <c r="DY24">
        <v>-3.000506667024688</v>
      </c>
      <c r="DZ24">
        <v>3547</v>
      </c>
      <c r="EA24">
        <v>-3.0001549746691953</v>
      </c>
      <c r="EB24">
        <v>3</v>
      </c>
      <c r="EC24">
        <v>6.9483590686046467E-2</v>
      </c>
      <c r="ED24">
        <v>0.48080131213613481</v>
      </c>
      <c r="EE24" s="12">
        <v>-1.0660099999999999</v>
      </c>
      <c r="EF24">
        <v>-1.07741</v>
      </c>
      <c r="EG24">
        <v>20.144516231150472</v>
      </c>
      <c r="EH24" t="s">
        <v>238</v>
      </c>
      <c r="EI24">
        <v>0</v>
      </c>
      <c r="EJ24">
        <v>0</v>
      </c>
      <c r="EK24" s="8">
        <v>45470</v>
      </c>
      <c r="EL24" s="13">
        <v>-0.39</v>
      </c>
      <c r="EM24" s="13">
        <v>-1.94</v>
      </c>
      <c r="EN24">
        <v>2.37</v>
      </c>
      <c r="EO24">
        <v>1.54</v>
      </c>
      <c r="EP24">
        <v>-1.1399999999999999</v>
      </c>
    </row>
    <row r="25" spans="1:146" ht="96" x14ac:dyDescent="0.25">
      <c r="A25" s="14"/>
      <c r="B25" s="14"/>
      <c r="C25" s="14" t="str">
        <f>""&amp;CHAR(10)&amp;Basic_Fundamental_Information_Constructure(F25)&amp;CHAR(10)&amp;Basic_Fundamental_Information_Concatenate("")</f>
        <v xml:space="preserve">
市值55.38亿, 利润-3.20亿; PE; 平均PE534.8; 平均PEG45.71, PB1.67; ROIC2.985%; ROE1.86%; 股利率0%; 毛利39.2133%; 净利10.9867%; 上一年度营收增.54%, 利润增-634.45%; 当季营收增-21.24%, 利润增15.6%; 过往5年营收增-11.7%, 利润增-94.72%
Income profile:
</v>
      </c>
      <c r="D25" t="s">
        <v>169</v>
      </c>
      <c r="E25" t="s">
        <v>170</v>
      </c>
      <c r="F25">
        <v>4.26</v>
      </c>
      <c r="G25">
        <v>-1.1599999999999999</v>
      </c>
      <c r="H25" t="s">
        <v>543</v>
      </c>
      <c r="I25">
        <v>5538000000</v>
      </c>
      <c r="K25">
        <v>1.67</v>
      </c>
      <c r="L25" t="s">
        <v>12</v>
      </c>
      <c r="M25" t="s">
        <v>507</v>
      </c>
      <c r="N25" t="s">
        <v>508</v>
      </c>
      <c r="O25" t="s">
        <v>509</v>
      </c>
      <c r="P25">
        <v>-10.02</v>
      </c>
      <c r="Q25" t="s">
        <v>392</v>
      </c>
      <c r="R25">
        <v>-109528971</v>
      </c>
      <c r="S25" s="5">
        <v>0.66579999999999995</v>
      </c>
      <c r="T25" t="s">
        <v>393</v>
      </c>
      <c r="U25">
        <v>1300000000</v>
      </c>
      <c r="V25">
        <v>1300000000</v>
      </c>
      <c r="W25">
        <v>1.18</v>
      </c>
      <c r="X25">
        <v>0.05</v>
      </c>
      <c r="Y25">
        <v>-51.41</v>
      </c>
      <c r="Z25" t="s">
        <v>406</v>
      </c>
      <c r="AA25" t="s">
        <v>83</v>
      </c>
      <c r="AB25" t="s">
        <v>510</v>
      </c>
      <c r="AC25" t="s">
        <v>511</v>
      </c>
      <c r="AD25" t="s">
        <v>512</v>
      </c>
      <c r="AE25">
        <v>2151035</v>
      </c>
      <c r="AF25" t="s">
        <v>513</v>
      </c>
      <c r="AG25" t="s">
        <v>514</v>
      </c>
      <c r="AH25" t="s">
        <v>515</v>
      </c>
      <c r="AI25" t="s">
        <v>516</v>
      </c>
      <c r="AJ25" t="s">
        <v>517</v>
      </c>
      <c r="AK25" t="s">
        <v>17</v>
      </c>
      <c r="AL25" t="s">
        <v>518</v>
      </c>
      <c r="AM25" t="s">
        <v>17</v>
      </c>
      <c r="AN25" t="s">
        <v>519</v>
      </c>
      <c r="AO25" t="s">
        <v>440</v>
      </c>
      <c r="AP25" t="s">
        <v>17</v>
      </c>
      <c r="AQ25" t="s">
        <v>520</v>
      </c>
      <c r="AR25" t="s">
        <v>521</v>
      </c>
      <c r="AS25" t="s">
        <v>522</v>
      </c>
      <c r="AT25" t="s">
        <v>165</v>
      </c>
      <c r="AU25" t="s">
        <v>523</v>
      </c>
      <c r="AV25" t="s">
        <v>524</v>
      </c>
      <c r="AW25" t="s">
        <v>525</v>
      </c>
      <c r="AX25" t="s">
        <v>213</v>
      </c>
      <c r="AY25" t="s">
        <v>171</v>
      </c>
      <c r="AZ25" t="s">
        <v>173</v>
      </c>
      <c r="BA25" t="s">
        <v>79</v>
      </c>
      <c r="BB25" t="s">
        <v>174</v>
      </c>
      <c r="BC25" t="s">
        <v>214</v>
      </c>
      <c r="BD25" t="s">
        <v>172</v>
      </c>
      <c r="BE25" t="s">
        <v>175</v>
      </c>
      <c r="BF25" t="s">
        <v>176</v>
      </c>
      <c r="BG25" t="s">
        <v>177</v>
      </c>
      <c r="BH25" t="s">
        <v>448</v>
      </c>
      <c r="BI25" t="s">
        <v>526</v>
      </c>
      <c r="BJ25" t="s">
        <v>404</v>
      </c>
      <c r="BK25" t="s">
        <v>527</v>
      </c>
      <c r="BL25" t="s">
        <v>528</v>
      </c>
      <c r="BM25" t="s">
        <v>529</v>
      </c>
      <c r="BN25" t="s">
        <v>17</v>
      </c>
      <c r="BO25">
        <v>1.81</v>
      </c>
      <c r="BP25">
        <v>4.16</v>
      </c>
      <c r="BQ25">
        <v>-0.69</v>
      </c>
      <c r="BR25">
        <v>1.63</v>
      </c>
      <c r="BS25">
        <v>4.6399999999999997</v>
      </c>
      <c r="BT25" t="s">
        <v>344</v>
      </c>
      <c r="BU25" t="s">
        <v>12</v>
      </c>
      <c r="BV25">
        <v>39.26</v>
      </c>
      <c r="BW25">
        <v>40.93</v>
      </c>
      <c r="BX25">
        <v>37.450000000000003</v>
      </c>
      <c r="BY25">
        <v>-51.77</v>
      </c>
      <c r="BZ25">
        <v>24.17</v>
      </c>
      <c r="CA25">
        <v>60.56</v>
      </c>
      <c r="CB25">
        <v>-5.54</v>
      </c>
      <c r="CC25">
        <v>-14.8</v>
      </c>
      <c r="CD25" t="s">
        <v>544</v>
      </c>
      <c r="CE25" t="s">
        <v>195</v>
      </c>
      <c r="CF25" s="9">
        <v>-0.21238938053097345</v>
      </c>
      <c r="CG25" s="10">
        <v>0.15595293181818182</v>
      </c>
      <c r="CH25" s="9">
        <v>5.3619304671883583E-3</v>
      </c>
      <c r="CI25" s="9">
        <v>-1.0610079392790794E-2</v>
      </c>
      <c r="CJ25" s="9">
        <v>-0.17685589194297791</v>
      </c>
      <c r="CK25" s="9">
        <v>-2.9661016538739204E-2</v>
      </c>
      <c r="CL25" s="9">
        <v>-0.37317398190498352</v>
      </c>
      <c r="CM25" s="10">
        <v>-6.3444676399230957</v>
      </c>
      <c r="CN25" s="10">
        <v>-0.6436011791229248</v>
      </c>
      <c r="CO25" s="10">
        <v>2.0122480392456055</v>
      </c>
      <c r="CP25" s="10">
        <v>3.7294182926416397E-2</v>
      </c>
      <c r="CQ25" s="10">
        <v>0.20239418745040894</v>
      </c>
      <c r="CR25">
        <v>534.80463085314761</v>
      </c>
      <c r="CS25">
        <v>45.714561254272148</v>
      </c>
      <c r="CT25">
        <v>0</v>
      </c>
      <c r="CU25" s="9">
        <v>-0.11698780786246062</v>
      </c>
      <c r="CV25" s="10">
        <v>-0.94722648188471792</v>
      </c>
      <c r="CW25">
        <v>0.06</v>
      </c>
      <c r="CX25" t="e">
        <v>#VALUE!</v>
      </c>
      <c r="CY25" t="s">
        <v>239</v>
      </c>
      <c r="CZ25">
        <v>-0.11698780786246062</v>
      </c>
      <c r="DA25" t="e">
        <v>#VALUE!</v>
      </c>
      <c r="DB25" t="s">
        <v>237</v>
      </c>
      <c r="DC25">
        <v>-0.11113841746933759</v>
      </c>
      <c r="DD25" t="e">
        <v>#VALUE!</v>
      </c>
      <c r="DE25" t="s">
        <v>237</v>
      </c>
      <c r="DF25">
        <v>-0.10294927091896534</v>
      </c>
      <c r="DG25" t="e">
        <v>#VALUE!</v>
      </c>
      <c r="DH25" t="s">
        <v>237</v>
      </c>
      <c r="DI25">
        <v>-9.3590246289968496E-2</v>
      </c>
      <c r="DJ25" t="e">
        <v>#VALUE!</v>
      </c>
      <c r="DK25" t="s">
        <v>237</v>
      </c>
      <c r="DL25">
        <v>-8.1891465503722422E-2</v>
      </c>
      <c r="DM25">
        <v>-320000000</v>
      </c>
      <c r="DN25">
        <v>-0.11698780786246062</v>
      </c>
      <c r="DO25">
        <v>1815000000</v>
      </c>
      <c r="DP25">
        <v>1245594600</v>
      </c>
      <c r="DQ25">
        <v>3450</v>
      </c>
      <c r="DR25">
        <v>-9.5401572668512832E-2</v>
      </c>
      <c r="DS25">
        <v>1.1031794137028998</v>
      </c>
      <c r="DT25" s="11">
        <v>-0.67333333333333334</v>
      </c>
      <c r="DU25">
        <v>-1.5533333333333335</v>
      </c>
      <c r="DV25">
        <v>-2.2266666666666666</v>
      </c>
      <c r="DW25">
        <v>-8.3743243243243235</v>
      </c>
      <c r="DX25">
        <v>0.37829624060150535</v>
      </c>
      <c r="DY25">
        <v>-8.0517676468197514</v>
      </c>
      <c r="DZ25">
        <v>4608</v>
      </c>
      <c r="EA25">
        <v>-8.0050764515671755</v>
      </c>
      <c r="EB25">
        <v>8</v>
      </c>
      <c r="EC25">
        <v>2.8297538461538461E-2</v>
      </c>
      <c r="ED25">
        <v>0.20461538461538462</v>
      </c>
      <c r="EE25" s="12">
        <v>-1.07281</v>
      </c>
      <c r="EF25">
        <v>-1.0844100000000001</v>
      </c>
      <c r="EG25">
        <v>24.138296240601505</v>
      </c>
      <c r="EH25" t="s">
        <v>238</v>
      </c>
      <c r="EI25">
        <v>0</v>
      </c>
      <c r="EJ25">
        <v>0</v>
      </c>
      <c r="EK25" s="8">
        <v>45310</v>
      </c>
      <c r="EL25" s="13">
        <v>-1.1000000000000001</v>
      </c>
      <c r="EM25" s="13">
        <v>0</v>
      </c>
      <c r="EN25">
        <v>0.65</v>
      </c>
      <c r="EO25">
        <v>-2.13</v>
      </c>
      <c r="EP25">
        <v>-2.35</v>
      </c>
    </row>
    <row r="26" spans="1:146" ht="96" x14ac:dyDescent="0.25">
      <c r="A26" s="14"/>
      <c r="B26" s="14"/>
      <c r="C26" s="14" t="str">
        <f>""&amp;CHAR(10)&amp;Basic_Fundamental_Information_Constructure(F26)&amp;CHAR(10)&amp;Basic_Fundamental_Information_Concatenate("")</f>
        <v xml:space="preserve">
市值31.417831亿, 利润1.36亿; PE12.03; 平均PE20.06; 平均PEG.77, PB1.06; ROIC8.2167%; ROE11.8367%; 股利率1.2903%; 毛利21.5767%; 净利8.35%; 上一年度营收增60.07%, 利润增-58.15%; 当季营收增-55.86%, 利润增-4.22%; 过往5年营收增26.15%, 利润增233.62%
Income profile:
</v>
      </c>
      <c r="D26" t="s">
        <v>13</v>
      </c>
      <c r="E26" t="s">
        <v>6</v>
      </c>
      <c r="F26">
        <v>4.6500000000000004</v>
      </c>
      <c r="G26">
        <v>0.65</v>
      </c>
      <c r="H26" t="s">
        <v>1142</v>
      </c>
      <c r="I26">
        <v>3141783100</v>
      </c>
      <c r="J26">
        <v>12.03</v>
      </c>
      <c r="K26">
        <v>1.06</v>
      </c>
      <c r="L26" t="s">
        <v>12</v>
      </c>
      <c r="M26" t="s">
        <v>1143</v>
      </c>
      <c r="N26" t="s">
        <v>1144</v>
      </c>
      <c r="O26" t="s">
        <v>1145</v>
      </c>
      <c r="P26">
        <v>-18.899999999999999</v>
      </c>
      <c r="Q26" t="s">
        <v>1146</v>
      </c>
      <c r="R26">
        <v>80279500</v>
      </c>
      <c r="S26" s="5">
        <v>-3.0200000000000001E-2</v>
      </c>
      <c r="T26" t="s">
        <v>114</v>
      </c>
      <c r="U26">
        <v>568177850</v>
      </c>
      <c r="V26">
        <v>675652280</v>
      </c>
      <c r="W26">
        <v>1.7</v>
      </c>
      <c r="X26">
        <v>0.15</v>
      </c>
      <c r="Y26">
        <v>10.37</v>
      </c>
      <c r="Z26" t="s">
        <v>1147</v>
      </c>
      <c r="AA26" t="s">
        <v>441</v>
      </c>
      <c r="AB26" t="s">
        <v>1148</v>
      </c>
      <c r="AC26" t="s">
        <v>1149</v>
      </c>
      <c r="AD26" t="s">
        <v>17</v>
      </c>
      <c r="AE26">
        <v>8520027</v>
      </c>
      <c r="AF26" t="s">
        <v>1150</v>
      </c>
      <c r="AG26" t="s">
        <v>1151</v>
      </c>
      <c r="AH26" t="s">
        <v>1152</v>
      </c>
      <c r="AI26" t="s">
        <v>394</v>
      </c>
      <c r="AJ26" t="s">
        <v>1153</v>
      </c>
      <c r="AK26" t="s">
        <v>83</v>
      </c>
      <c r="AL26" t="s">
        <v>1154</v>
      </c>
      <c r="AM26" t="s">
        <v>17</v>
      </c>
      <c r="AN26" t="s">
        <v>1155</v>
      </c>
      <c r="AO26" t="s">
        <v>1156</v>
      </c>
      <c r="AP26" t="s">
        <v>404</v>
      </c>
      <c r="AQ26" t="s">
        <v>695</v>
      </c>
      <c r="AR26" t="s">
        <v>17</v>
      </c>
      <c r="AS26" t="s">
        <v>1157</v>
      </c>
      <c r="AT26" t="s">
        <v>370</v>
      </c>
      <c r="AU26" t="s">
        <v>1158</v>
      </c>
      <c r="AV26" t="s">
        <v>1159</v>
      </c>
      <c r="AW26" t="s">
        <v>1160</v>
      </c>
      <c r="AX26" t="s">
        <v>395</v>
      </c>
      <c r="AY26" t="s">
        <v>215</v>
      </c>
      <c r="AZ26" t="s">
        <v>92</v>
      </c>
      <c r="BA26" t="s">
        <v>46</v>
      </c>
      <c r="BB26" t="s">
        <v>93</v>
      </c>
      <c r="BC26" t="s">
        <v>1161</v>
      </c>
      <c r="BD26" t="s">
        <v>148</v>
      </c>
      <c r="BE26" t="s">
        <v>78</v>
      </c>
      <c r="BF26" t="s">
        <v>47</v>
      </c>
      <c r="BG26" t="s">
        <v>94</v>
      </c>
      <c r="BH26" t="s">
        <v>1162</v>
      </c>
      <c r="BI26" t="s">
        <v>1163</v>
      </c>
      <c r="BJ26" t="s">
        <v>395</v>
      </c>
      <c r="BK26" t="s">
        <v>447</v>
      </c>
      <c r="BL26" t="s">
        <v>1164</v>
      </c>
      <c r="BM26" t="s">
        <v>1161</v>
      </c>
      <c r="BN26">
        <v>6.57</v>
      </c>
      <c r="BO26">
        <v>9.7200000000000006</v>
      </c>
      <c r="BP26">
        <v>8.36</v>
      </c>
      <c r="BQ26">
        <v>9.1999999999999993</v>
      </c>
      <c r="BR26">
        <v>13.5</v>
      </c>
      <c r="BS26">
        <v>12.81</v>
      </c>
      <c r="BT26" t="s">
        <v>1165</v>
      </c>
      <c r="BU26" t="s">
        <v>12</v>
      </c>
      <c r="BV26">
        <v>24.29</v>
      </c>
      <c r="BW26">
        <v>20.7</v>
      </c>
      <c r="BX26">
        <v>19.739999999999998</v>
      </c>
      <c r="BY26">
        <v>8.4600000000000009</v>
      </c>
      <c r="BZ26">
        <v>8.84</v>
      </c>
      <c r="CA26">
        <v>7.75</v>
      </c>
      <c r="CB26">
        <v>-1.9</v>
      </c>
      <c r="CC26">
        <v>-11.76</v>
      </c>
      <c r="CD26" t="s">
        <v>1166</v>
      </c>
      <c r="CE26" t="s">
        <v>450</v>
      </c>
      <c r="CF26" s="9">
        <v>-0.55863192182410426</v>
      </c>
      <c r="CG26" s="10">
        <v>-4.2218754399402515E-2</v>
      </c>
      <c r="CH26" s="9">
        <v>0.60068619251251221</v>
      </c>
      <c r="CI26" s="9">
        <v>0.25463575124740601</v>
      </c>
      <c r="CJ26" s="9">
        <v>0.18897637724876404</v>
      </c>
      <c r="CK26" s="9">
        <v>0.12290002405643463</v>
      </c>
      <c r="CL26" s="9">
        <v>0.14012102782726288</v>
      </c>
      <c r="CM26" s="10">
        <v>-0.58153843879699707</v>
      </c>
      <c r="CN26" s="10">
        <v>0.41921398043632507</v>
      </c>
      <c r="CO26" s="10">
        <v>0.31609195470809937</v>
      </c>
      <c r="CP26" s="10">
        <v>12.319045066833496</v>
      </c>
      <c r="CQ26" s="10">
        <v>-0.79204767942428589</v>
      </c>
      <c r="CR26">
        <v>20.056364914855106</v>
      </c>
      <c r="CS26">
        <v>0.76707977142882011</v>
      </c>
      <c r="CT26">
        <v>1.2903225806451613</v>
      </c>
      <c r="CU26" s="9">
        <v>0.26146387457847597</v>
      </c>
      <c r="CV26" s="10">
        <v>2.3361529767513276</v>
      </c>
      <c r="CW26">
        <v>0.06</v>
      </c>
      <c r="CX26">
        <v>13.536036635447847</v>
      </c>
      <c r="CY26">
        <v>161848195.22893652</v>
      </c>
      <c r="CZ26">
        <v>0.26146387457847597</v>
      </c>
      <c r="DA26">
        <v>3.8369358712260082</v>
      </c>
      <c r="DB26">
        <v>570972039.54570746</v>
      </c>
      <c r="DC26">
        <v>0.24839068084955215</v>
      </c>
      <c r="DD26">
        <v>1.5444400172684594</v>
      </c>
      <c r="DE26">
        <v>1418496720.8209753</v>
      </c>
      <c r="DF26">
        <v>0.23008820962905885</v>
      </c>
      <c r="DG26">
        <v>0.72768652823518809</v>
      </c>
      <c r="DH26">
        <v>3010613794.5320592</v>
      </c>
      <c r="DI26">
        <v>0.2091710996627808</v>
      </c>
      <c r="DJ26">
        <v>0.20965874480933894</v>
      </c>
      <c r="DK26">
        <v>10449280815.795549</v>
      </c>
      <c r="DL26">
        <v>0.18302471220493316</v>
      </c>
      <c r="DM26">
        <v>136000000</v>
      </c>
      <c r="DN26">
        <v>0.26146387457847597</v>
      </c>
      <c r="DO26">
        <v>2190783100</v>
      </c>
      <c r="DP26">
        <v>-60754300</v>
      </c>
      <c r="DQ26">
        <v>3461</v>
      </c>
      <c r="DR26">
        <v>-0.82009579640258023</v>
      </c>
      <c r="DS26">
        <v>-2.3783717311507302</v>
      </c>
      <c r="DT26" s="11">
        <v>0.17666666666666667</v>
      </c>
      <c r="DU26">
        <v>0.37833333333333341</v>
      </c>
      <c r="DV26">
        <v>0.55500000000000005</v>
      </c>
      <c r="DW26">
        <v>-2.1175999999999999</v>
      </c>
      <c r="DX26">
        <v>0.29335227272727227</v>
      </c>
      <c r="DY26">
        <v>-2.0156822272727273</v>
      </c>
      <c r="DZ26">
        <v>3976</v>
      </c>
      <c r="EA26">
        <v>-2.0034801655043588</v>
      </c>
      <c r="EB26">
        <v>2</v>
      </c>
      <c r="EC26">
        <v>2.6052602086978825E-2</v>
      </c>
      <c r="ED26">
        <v>0.19536676469144751</v>
      </c>
      <c r="EE26" s="12">
        <v>1.0253099999999999</v>
      </c>
      <c r="EF26">
        <v>1.0157099999999999</v>
      </c>
      <c r="EG26">
        <v>16.133352272727272</v>
      </c>
      <c r="EH26" t="s">
        <v>241</v>
      </c>
      <c r="EI26">
        <v>0</v>
      </c>
      <c r="EJ26">
        <v>0</v>
      </c>
      <c r="EK26" s="8">
        <v>45470</v>
      </c>
      <c r="EL26" s="13">
        <v>-3.81</v>
      </c>
      <c r="EM26" s="13">
        <v>-4.4800000000000004</v>
      </c>
      <c r="EN26">
        <v>-0.65</v>
      </c>
      <c r="EO26">
        <v>3.07</v>
      </c>
      <c r="EP26">
        <v>0.96</v>
      </c>
    </row>
    <row r="27" spans="1:146" ht="96" x14ac:dyDescent="0.25">
      <c r="A27" s="14"/>
      <c r="B27" s="14"/>
      <c r="C27" s="14" t="str">
        <f>""&amp;CHAR(10)&amp;Basic_Fundamental_Information_Constructure(F27)&amp;CHAR(10)&amp;Basic_Fundamental_Information_Concatenate("")</f>
        <v xml:space="preserve">
市值34.631406亿, 利润-9510.13万; PE72.5; 平均PE-11.24; 平均PEG-1.1, PB.794; ROIC1.7%; ROE-4.1967%; 股利率0%; 毛利7.63%; 净利-6.5967%; 上一年度营收增-76.7%, 利润增-200.6%; 当季营收增298.97%, 利润增124.74%; 过往5年营收增-10.22%, 利润增-257.77%
Income profile:
</v>
      </c>
      <c r="D27" t="s">
        <v>178</v>
      </c>
      <c r="E27" t="s">
        <v>179</v>
      </c>
      <c r="F27">
        <v>4.07</v>
      </c>
      <c r="G27">
        <v>1.5</v>
      </c>
      <c r="H27" t="s">
        <v>1167</v>
      </c>
      <c r="I27">
        <v>3463140600</v>
      </c>
      <c r="J27">
        <v>72.5</v>
      </c>
      <c r="K27">
        <v>0.79400000000000004</v>
      </c>
      <c r="L27" t="s">
        <v>12</v>
      </c>
      <c r="M27" t="s">
        <v>1168</v>
      </c>
      <c r="N27" t="s">
        <v>1169</v>
      </c>
      <c r="O27" t="s">
        <v>1170</v>
      </c>
      <c r="P27">
        <v>26.35</v>
      </c>
      <c r="Q27" t="s">
        <v>1171</v>
      </c>
      <c r="R27">
        <v>15526494</v>
      </c>
      <c r="S27" s="5">
        <v>1.544</v>
      </c>
      <c r="T27" t="s">
        <v>1172</v>
      </c>
      <c r="U27">
        <v>850275370</v>
      </c>
      <c r="V27">
        <v>850894490</v>
      </c>
      <c r="W27">
        <v>1.77</v>
      </c>
      <c r="X27">
        <v>0.09</v>
      </c>
      <c r="Y27">
        <v>1.0900000000000001</v>
      </c>
      <c r="Z27" t="s">
        <v>1173</v>
      </c>
      <c r="AA27" t="s">
        <v>1174</v>
      </c>
      <c r="AB27" t="s">
        <v>1175</v>
      </c>
      <c r="AC27" t="s">
        <v>1176</v>
      </c>
      <c r="AD27" t="s">
        <v>17</v>
      </c>
      <c r="AE27">
        <v>15366164</v>
      </c>
      <c r="AF27" t="s">
        <v>1177</v>
      </c>
      <c r="AG27" t="s">
        <v>1178</v>
      </c>
      <c r="AH27" t="s">
        <v>1179</v>
      </c>
      <c r="AI27" t="s">
        <v>1180</v>
      </c>
      <c r="AJ27" t="s">
        <v>1181</v>
      </c>
      <c r="AK27" t="s">
        <v>1182</v>
      </c>
      <c r="AL27" t="s">
        <v>1183</v>
      </c>
      <c r="AM27" t="s">
        <v>17</v>
      </c>
      <c r="AN27" t="s">
        <v>1184</v>
      </c>
      <c r="AO27" t="s">
        <v>1185</v>
      </c>
      <c r="AP27" t="s">
        <v>1186</v>
      </c>
      <c r="AQ27" t="s">
        <v>797</v>
      </c>
      <c r="AR27" t="s">
        <v>1187</v>
      </c>
      <c r="AS27" t="s">
        <v>604</v>
      </c>
      <c r="AT27" t="s">
        <v>1188</v>
      </c>
      <c r="AU27" t="s">
        <v>1189</v>
      </c>
      <c r="AV27" t="s">
        <v>787</v>
      </c>
      <c r="AW27" t="s">
        <v>1190</v>
      </c>
      <c r="AX27" t="s">
        <v>396</v>
      </c>
      <c r="AY27" t="s">
        <v>216</v>
      </c>
      <c r="AZ27" t="s">
        <v>180</v>
      </c>
      <c r="BA27" t="s">
        <v>182</v>
      </c>
      <c r="BB27" t="s">
        <v>183</v>
      </c>
      <c r="BC27" t="s">
        <v>1191</v>
      </c>
      <c r="BD27" t="s">
        <v>217</v>
      </c>
      <c r="BE27" t="s">
        <v>181</v>
      </c>
      <c r="BF27" t="s">
        <v>54</v>
      </c>
      <c r="BG27" t="s">
        <v>184</v>
      </c>
      <c r="BH27" t="s">
        <v>1192</v>
      </c>
      <c r="BI27" t="s">
        <v>422</v>
      </c>
      <c r="BJ27" t="s">
        <v>396</v>
      </c>
      <c r="BK27" t="s">
        <v>1193</v>
      </c>
      <c r="BL27" t="s">
        <v>1194</v>
      </c>
      <c r="BM27" t="s">
        <v>1191</v>
      </c>
      <c r="BN27">
        <v>1.7</v>
      </c>
      <c r="BO27" t="s">
        <v>17</v>
      </c>
      <c r="BP27" t="s">
        <v>17</v>
      </c>
      <c r="BQ27">
        <v>2.06</v>
      </c>
      <c r="BR27">
        <v>2.2200000000000002</v>
      </c>
      <c r="BS27">
        <v>-16.87</v>
      </c>
      <c r="BT27" t="s">
        <v>344</v>
      </c>
      <c r="BU27" t="s">
        <v>12</v>
      </c>
      <c r="BV27">
        <v>7.8</v>
      </c>
      <c r="BW27">
        <v>6.57</v>
      </c>
      <c r="BX27">
        <v>8.52</v>
      </c>
      <c r="BY27">
        <v>0.43</v>
      </c>
      <c r="BZ27">
        <v>0.96</v>
      </c>
      <c r="CA27">
        <v>-21.18</v>
      </c>
      <c r="CB27">
        <v>0.74</v>
      </c>
      <c r="CC27">
        <v>-7.71</v>
      </c>
      <c r="CD27" t="s">
        <v>1195</v>
      </c>
      <c r="CE27" t="s">
        <v>1196</v>
      </c>
      <c r="CF27" s="9">
        <v>2.9896907216494846</v>
      </c>
      <c r="CG27" s="10">
        <v>1.2474479264673952</v>
      </c>
      <c r="CH27" s="9">
        <v>-0.76700294017791748</v>
      </c>
      <c r="CI27" s="9">
        <v>-0.20941603183746338</v>
      </c>
      <c r="CJ27" s="9">
        <v>0.28453412652015686</v>
      </c>
      <c r="CK27" s="9">
        <v>0.14621207118034363</v>
      </c>
      <c r="CL27" s="9">
        <v>3.488825261592865E-2</v>
      </c>
      <c r="CM27" s="10">
        <v>-2.0060009956359863</v>
      </c>
      <c r="CN27" s="10">
        <v>1.1230912208557129</v>
      </c>
      <c r="CO27" s="10">
        <v>0.39432176947593689</v>
      </c>
      <c r="CP27" s="10">
        <v>-12.740740776062012</v>
      </c>
      <c r="CQ27" s="10">
        <v>0.34072220325469971</v>
      </c>
      <c r="CR27">
        <v>-11.243879631411824</v>
      </c>
      <c r="CS27">
        <v>-1.1006480378470422</v>
      </c>
      <c r="CT27">
        <v>0</v>
      </c>
      <c r="CU27" s="9">
        <v>-0.10215690433979034</v>
      </c>
      <c r="CV27" s="10">
        <v>-2.5777213156223295</v>
      </c>
      <c r="CW27">
        <v>0.06</v>
      </c>
      <c r="CX27" t="e">
        <v>#VALUE!</v>
      </c>
      <c r="CY27" t="s">
        <v>237</v>
      </c>
      <c r="CZ27">
        <v>-0.10215690433979034</v>
      </c>
      <c r="DA27" t="e">
        <v>#VALUE!</v>
      </c>
      <c r="DB27" t="s">
        <v>237</v>
      </c>
      <c r="DC27">
        <v>-9.7049059122800818E-2</v>
      </c>
      <c r="DD27" t="e">
        <v>#VALUE!</v>
      </c>
      <c r="DE27" t="s">
        <v>237</v>
      </c>
      <c r="DF27">
        <v>-8.9898075819015502E-2</v>
      </c>
      <c r="DG27" t="e">
        <v>#VALUE!</v>
      </c>
      <c r="DH27" t="s">
        <v>237</v>
      </c>
      <c r="DI27">
        <v>-8.1725523471832276E-2</v>
      </c>
      <c r="DJ27" t="e">
        <v>#VALUE!</v>
      </c>
      <c r="DK27" t="s">
        <v>237</v>
      </c>
      <c r="DL27">
        <v>-7.1509833037853229E-2</v>
      </c>
      <c r="DM27">
        <v>-95101299.999999985</v>
      </c>
      <c r="DN27">
        <v>-0.10215690433979034</v>
      </c>
      <c r="DO27">
        <v>2313140600</v>
      </c>
      <c r="DP27">
        <v>811770000</v>
      </c>
      <c r="DQ27">
        <v>3479</v>
      </c>
      <c r="DR27">
        <v>3.0918476259892751</v>
      </c>
      <c r="DS27">
        <v>3.825169242089725</v>
      </c>
      <c r="DT27" s="11">
        <v>-0.79</v>
      </c>
      <c r="DU27">
        <v>-1.7233333333333334</v>
      </c>
      <c r="DV27">
        <v>-2.5133333333333336</v>
      </c>
      <c r="DW27">
        <v>-2.0771000000000002</v>
      </c>
      <c r="DX27">
        <v>0.30335215053763609</v>
      </c>
      <c r="DY27">
        <v>-2.0102814508064517</v>
      </c>
      <c r="DZ27">
        <v>4875</v>
      </c>
      <c r="EA27">
        <v>-2.0004728260155611</v>
      </c>
      <c r="EB27">
        <v>2</v>
      </c>
      <c r="EC27">
        <v>2.9149912581993568E-2</v>
      </c>
      <c r="ED27">
        <v>0.21859349447661836</v>
      </c>
      <c r="EE27" s="12">
        <v>-4.0474100000000002</v>
      </c>
      <c r="EF27">
        <v>-4.0939100000000002</v>
      </c>
      <c r="EG27">
        <v>17.133352150537636</v>
      </c>
      <c r="EH27" t="s">
        <v>1197</v>
      </c>
      <c r="EI27">
        <v>0</v>
      </c>
      <c r="EJ27">
        <v>0</v>
      </c>
      <c r="EK27" s="8">
        <v>45470</v>
      </c>
      <c r="EL27" s="13">
        <v>4.8600000000000003</v>
      </c>
      <c r="EM27" s="13">
        <v>-5.3</v>
      </c>
      <c r="EN27">
        <v>-4.9000000000000004</v>
      </c>
      <c r="EO27">
        <v>-5.15</v>
      </c>
      <c r="EP27">
        <v>-4.6500000000000004</v>
      </c>
    </row>
    <row r="28" spans="1:146" ht="96" x14ac:dyDescent="0.25">
      <c r="A28" s="14"/>
      <c r="B28" s="14"/>
      <c r="C28" s="14" t="str">
        <f>""&amp;CHAR(10)&amp;Basic_Fundamental_Information_Constructure(F28)&amp;CHAR(10)&amp;Basic_Fundamental_Information_Concatenate("")</f>
        <v xml:space="preserve">
市值35.088267亿, 利润6343.95万; PE; 平均PE-4.55; 平均PEG-.34, PB.668; ROIC0%; ROE-18.1233%; 股利率0%; 毛利13.9367%; 净利-31.99%; 上一年度营收增-68.78%, 利润增101.85%; 当季营收增-2.15%, 利润增-2231.68%; 过往5年营收增-13.39%, 利润增-160.72%
Income profile:
</v>
      </c>
      <c r="D28" t="s">
        <v>50</v>
      </c>
      <c r="E28" t="s">
        <v>51</v>
      </c>
      <c r="F28">
        <v>1.08</v>
      </c>
      <c r="G28">
        <v>-6.09</v>
      </c>
      <c r="H28" t="s">
        <v>267</v>
      </c>
      <c r="I28">
        <v>3508826700</v>
      </c>
      <c r="K28">
        <v>0.66800000000000004</v>
      </c>
      <c r="L28" t="s">
        <v>12</v>
      </c>
      <c r="M28" t="s">
        <v>1198</v>
      </c>
      <c r="N28" t="s">
        <v>1199</v>
      </c>
      <c r="O28" t="s">
        <v>1200</v>
      </c>
      <c r="P28">
        <v>-37.79</v>
      </c>
      <c r="Q28" t="s">
        <v>1201</v>
      </c>
      <c r="R28">
        <v>-515915340</v>
      </c>
      <c r="S28" s="6">
        <v>-0.50649999999999995</v>
      </c>
      <c r="T28" t="s">
        <v>1202</v>
      </c>
      <c r="U28">
        <v>3248913600</v>
      </c>
      <c r="V28">
        <v>3248913600</v>
      </c>
      <c r="W28">
        <v>7.22</v>
      </c>
      <c r="X28">
        <v>0.02</v>
      </c>
      <c r="Y28">
        <v>-64.31</v>
      </c>
      <c r="Z28" t="s">
        <v>1203</v>
      </c>
      <c r="AA28" t="s">
        <v>1204</v>
      </c>
      <c r="AB28" t="s">
        <v>1205</v>
      </c>
      <c r="AC28" t="s">
        <v>1206</v>
      </c>
      <c r="AD28" t="s">
        <v>17</v>
      </c>
      <c r="AE28">
        <v>427602570</v>
      </c>
      <c r="AF28" t="s">
        <v>1207</v>
      </c>
      <c r="AG28" t="s">
        <v>1208</v>
      </c>
      <c r="AH28" t="s">
        <v>1209</v>
      </c>
      <c r="AI28" t="s">
        <v>1210</v>
      </c>
      <c r="AJ28" t="s">
        <v>1211</v>
      </c>
      <c r="AK28" t="s">
        <v>1212</v>
      </c>
      <c r="AL28" t="s">
        <v>1213</v>
      </c>
      <c r="AM28" t="s">
        <v>17</v>
      </c>
      <c r="AN28" t="s">
        <v>1196</v>
      </c>
      <c r="AO28" t="s">
        <v>1214</v>
      </c>
      <c r="AP28" t="s">
        <v>1215</v>
      </c>
      <c r="AQ28" t="s">
        <v>1216</v>
      </c>
      <c r="AR28" t="s">
        <v>389</v>
      </c>
      <c r="AS28" t="s">
        <v>1217</v>
      </c>
      <c r="AT28" t="s">
        <v>491</v>
      </c>
      <c r="AU28" t="s">
        <v>1218</v>
      </c>
      <c r="AV28" t="s">
        <v>1219</v>
      </c>
      <c r="AW28" t="s">
        <v>1220</v>
      </c>
      <c r="AX28" t="s">
        <v>397</v>
      </c>
      <c r="AY28" t="s">
        <v>218</v>
      </c>
      <c r="AZ28" t="s">
        <v>95</v>
      </c>
      <c r="BA28" t="s">
        <v>52</v>
      </c>
      <c r="BB28" t="s">
        <v>96</v>
      </c>
      <c r="BC28" t="s">
        <v>1221</v>
      </c>
      <c r="BD28" t="s">
        <v>219</v>
      </c>
      <c r="BE28" t="s">
        <v>49</v>
      </c>
      <c r="BF28" t="s">
        <v>53</v>
      </c>
      <c r="BG28" t="s">
        <v>97</v>
      </c>
      <c r="BH28" t="s">
        <v>1222</v>
      </c>
      <c r="BI28" t="s">
        <v>1223</v>
      </c>
      <c r="BJ28" t="s">
        <v>397</v>
      </c>
      <c r="BK28" t="s">
        <v>1224</v>
      </c>
      <c r="BL28" t="s">
        <v>1225</v>
      </c>
      <c r="BM28" t="s">
        <v>1221</v>
      </c>
      <c r="BN28" t="s">
        <v>17</v>
      </c>
      <c r="BO28" t="s">
        <v>17</v>
      </c>
      <c r="BP28" t="s">
        <v>17</v>
      </c>
      <c r="BQ28">
        <v>-14.94</v>
      </c>
      <c r="BR28">
        <v>-30.43</v>
      </c>
      <c r="BS28">
        <v>-9</v>
      </c>
      <c r="BT28" t="s">
        <v>344</v>
      </c>
      <c r="BU28" t="s">
        <v>12</v>
      </c>
      <c r="BV28">
        <v>11.97</v>
      </c>
      <c r="BW28">
        <v>12.29</v>
      </c>
      <c r="BX28">
        <v>17.55</v>
      </c>
      <c r="BY28">
        <v>-53.78</v>
      </c>
      <c r="BZ28">
        <v>-34.08</v>
      </c>
      <c r="CA28">
        <v>-8.11</v>
      </c>
      <c r="CB28">
        <v>27.06</v>
      </c>
      <c r="CC28">
        <v>-20</v>
      </c>
      <c r="CD28" t="s">
        <v>1226</v>
      </c>
      <c r="CE28" t="s">
        <v>1227</v>
      </c>
      <c r="CF28" s="9">
        <v>-2.1505376344086023E-2</v>
      </c>
      <c r="CG28" s="10">
        <v>-22.316789726596234</v>
      </c>
      <c r="CH28" s="9">
        <v>-0.68776983022689819</v>
      </c>
      <c r="CI28" s="9">
        <v>-0.34015163779258728</v>
      </c>
      <c r="CJ28" s="9">
        <v>7.949470542371273E-3</v>
      </c>
      <c r="CK28" s="9">
        <v>0.14626693725585938</v>
      </c>
      <c r="CL28" s="9">
        <v>0.20399206876754761</v>
      </c>
      <c r="CM28" s="10">
        <v>1.0184955596923828</v>
      </c>
      <c r="CN28" s="10">
        <v>-1.7352472543716431</v>
      </c>
      <c r="CO28" s="10">
        <v>-10.153285026550293</v>
      </c>
      <c r="CP28" s="10">
        <v>1.5628170967102051</v>
      </c>
      <c r="CQ28" s="10">
        <v>1.2713543176651001</v>
      </c>
      <c r="CR28">
        <v>-4.5499218441981322</v>
      </c>
      <c r="CS28">
        <v>-0.33969192043907342</v>
      </c>
      <c r="CT28">
        <v>0</v>
      </c>
      <c r="CU28" s="9">
        <v>-0.13394259829074145</v>
      </c>
      <c r="CV28" s="10">
        <v>-1.6071730613708497</v>
      </c>
      <c r="CW28">
        <v>0.06</v>
      </c>
      <c r="CX28" t="e">
        <v>#VALUE!</v>
      </c>
      <c r="CY28" t="s">
        <v>270</v>
      </c>
      <c r="CZ28">
        <v>-0.13394259829074145</v>
      </c>
      <c r="DA28">
        <v>187.99447610190288</v>
      </c>
      <c r="DB28" t="s">
        <v>1228</v>
      </c>
      <c r="DC28">
        <v>-0.12724546837620437</v>
      </c>
      <c r="DD28">
        <v>93.997238050951438</v>
      </c>
      <c r="DE28" t="s">
        <v>1229</v>
      </c>
      <c r="DF28">
        <v>-0.11786948649585248</v>
      </c>
      <c r="DG28">
        <v>56.398342830570861</v>
      </c>
      <c r="DH28" t="s">
        <v>1230</v>
      </c>
      <c r="DI28">
        <v>-0.10715407863259317</v>
      </c>
      <c r="DJ28">
        <v>28.199171415285431</v>
      </c>
      <c r="DK28" t="s">
        <v>1231</v>
      </c>
      <c r="DL28">
        <v>-9.375981880351901E-2</v>
      </c>
      <c r="DM28">
        <v>63439500</v>
      </c>
      <c r="DN28">
        <v>-0.13394259829074145</v>
      </c>
      <c r="DO28">
        <v>35778826700</v>
      </c>
      <c r="DP28">
        <v>-15539454000</v>
      </c>
      <c r="DQ28">
        <v>3544</v>
      </c>
      <c r="DR28">
        <v>0.11243722194665542</v>
      </c>
      <c r="DS28">
        <v>-20.709616665225383</v>
      </c>
      <c r="DT28" s="11">
        <v>-0.82333333333333325</v>
      </c>
      <c r="DU28">
        <v>-1.5316666666666665</v>
      </c>
      <c r="DV28">
        <v>-2.3549999999999995</v>
      </c>
      <c r="DW28">
        <v>5.73909830007391</v>
      </c>
      <c r="DX28">
        <v>0.59881686914124521</v>
      </c>
      <c r="DY28">
        <v>5.2060730740142231</v>
      </c>
      <c r="DZ28">
        <v>1962</v>
      </c>
      <c r="EA28">
        <v>5.1269506921715804</v>
      </c>
      <c r="EB28">
        <v>5</v>
      </c>
      <c r="EC28">
        <v>0.19729672097158879</v>
      </c>
      <c r="ED28">
        <v>0.70762115680761717</v>
      </c>
      <c r="EE28" s="12">
        <v>3.8410000000000007E-2</v>
      </c>
      <c r="EF28">
        <v>5.4109999999999998E-2</v>
      </c>
      <c r="EG28">
        <v>32.278816869141245</v>
      </c>
      <c r="EH28">
        <v>-1</v>
      </c>
      <c r="EI28">
        <v>1</v>
      </c>
      <c r="EJ28">
        <v>0</v>
      </c>
      <c r="EK28" s="8">
        <v>45470</v>
      </c>
      <c r="EL28" s="13">
        <v>-1.49</v>
      </c>
      <c r="EM28" s="13">
        <v>-4.79</v>
      </c>
      <c r="EN28">
        <v>-1.06</v>
      </c>
      <c r="EO28">
        <v>2.41</v>
      </c>
      <c r="EP28">
        <v>-1.57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'Basic_Fundamental_Tabel_Update_Buttom &quot;综合&quot;,&quot;&quot;'" altText="更新基本面按钮_x000a_">
                <anchor moveWithCells="1" sizeWithCells="1">
                  <from>
                    <xdr:col>147</xdr:col>
                    <xdr:colOff>361950</xdr:colOff>
                    <xdr:row>0</xdr:row>
                    <xdr:rowOff>133350</xdr:rowOff>
                  </from>
                  <to>
                    <xdr:col>147</xdr:col>
                    <xdr:colOff>1657350</xdr:colOff>
                    <xdr:row>0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综合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2024-07-11T12:39:18Z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